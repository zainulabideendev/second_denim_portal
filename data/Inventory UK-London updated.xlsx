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 Sheet-UK" sheetId="1" r:id="rId4"/>
    <sheet state="hidden" name="Master UK Sales" sheetId="2" r:id="rId5"/>
    <sheet state="hidden" name="Copy of UK-London" sheetId="3" r:id="rId6"/>
    <sheet state="visible" name="UK-London" sheetId="4" r:id="rId7"/>
    <sheet state="visible" name="Shirts + Socks" sheetId="5" r:id="rId8"/>
    <sheet state="visible" name="UK London sales" sheetId="6" r:id="rId9"/>
    <sheet state="visible" name="Accounts Data" sheetId="7" r:id="rId10"/>
    <sheet state="visible" name="Accounts" sheetId="8" r:id="rId11"/>
    <sheet state="visible" name="Withdrawal" sheetId="9" r:id="rId12"/>
    <sheet state="visible" name="Monthly Report" sheetId="10" r:id="rId13"/>
    <sheet state="hidden" name="UK-Manchester" sheetId="11" r:id="rId14"/>
    <sheet state="hidden" name="UK Manchester sales" sheetId="12" r:id="rId15"/>
  </sheets>
  <definedNames/>
  <calcPr/>
  <extLst>
    <ext uri="GoogleSheetsCustomDataVersion2">
      <go:sheetsCustomData xmlns:go="http://customooxmlschemas.google.com/" r:id="rId16" roundtripDataChecksum="4olWHuAiZhQVCuylxsTGlCbCEH/5uv3CfvuysY03Wr0="/>
    </ext>
  </extLst>
</workbook>
</file>

<file path=xl/sharedStrings.xml><?xml version="1.0" encoding="utf-8"?>
<sst xmlns="http://schemas.openxmlformats.org/spreadsheetml/2006/main" count="59086" uniqueCount="2086">
  <si>
    <t>Date</t>
  </si>
  <si>
    <t>Sr no</t>
  </si>
  <si>
    <t>Pant Name</t>
  </si>
  <si>
    <t>Waist</t>
  </si>
  <si>
    <t>Total Stock</t>
  </si>
  <si>
    <t xml:space="preserve"> Shipment 3</t>
  </si>
  <si>
    <t>Shipment 14</t>
  </si>
  <si>
    <t>Shipment 15</t>
  </si>
  <si>
    <t>Shipment 16</t>
  </si>
  <si>
    <t>Shipment 17</t>
  </si>
  <si>
    <t>Quantity Sold</t>
  </si>
  <si>
    <t>Shipment 18</t>
  </si>
  <si>
    <t>Starting Stock</t>
  </si>
  <si>
    <t>Shipment 19</t>
  </si>
  <si>
    <t>Shipment 2</t>
  </si>
  <si>
    <t>Shipment 20</t>
  </si>
  <si>
    <t>Manchester</t>
  </si>
  <si>
    <t>Shipment 21</t>
  </si>
  <si>
    <t>Shipment 22</t>
  </si>
  <si>
    <t>Shipment 23</t>
  </si>
  <si>
    <t>Shipment 24</t>
  </si>
  <si>
    <t>Name</t>
  </si>
  <si>
    <t>Shipment 25</t>
  </si>
  <si>
    <t>order no</t>
  </si>
  <si>
    <t>Shipment 26</t>
  </si>
  <si>
    <t>username</t>
  </si>
  <si>
    <t>Shipment 27</t>
  </si>
  <si>
    <t>sale price</t>
  </si>
  <si>
    <t>Sold (auto)</t>
  </si>
  <si>
    <t>Bump price</t>
  </si>
  <si>
    <t>Current Stock</t>
  </si>
  <si>
    <t>refund</t>
  </si>
  <si>
    <t>payment status</t>
  </si>
  <si>
    <t>Shipment 4</t>
  </si>
  <si>
    <t>Processed Sales</t>
  </si>
  <si>
    <t>Received Amount</t>
  </si>
  <si>
    <t>Total Sales</t>
  </si>
  <si>
    <t>Photos Captured</t>
  </si>
  <si>
    <t>Total Bump</t>
  </si>
  <si>
    <t>Ammar</t>
  </si>
  <si>
    <t>Safie</t>
  </si>
  <si>
    <t>Abbas</t>
  </si>
  <si>
    <t>abdullah</t>
  </si>
  <si>
    <t>Hamza</t>
  </si>
  <si>
    <t>13/10/2025</t>
  </si>
  <si>
    <t>501 Light Blue</t>
  </si>
  <si>
    <t>501 Selvedge</t>
  </si>
  <si>
    <t>No</t>
  </si>
  <si>
    <t>Complete</t>
  </si>
  <si>
    <t>15/10</t>
  </si>
  <si>
    <t>501 Mid Blue</t>
  </si>
  <si>
    <t>511 Navy Blue</t>
  </si>
  <si>
    <t>501 Navy Blue</t>
  </si>
  <si>
    <t>501 Black</t>
  </si>
  <si>
    <t>16/10</t>
  </si>
  <si>
    <t>17/10</t>
  </si>
  <si>
    <t>Yes</t>
  </si>
  <si>
    <t>501 Mid Blue L30</t>
  </si>
  <si>
    <t>18/10</t>
  </si>
  <si>
    <t>511 Light Blue</t>
  </si>
  <si>
    <t>19/10</t>
  </si>
  <si>
    <t>21/10</t>
  </si>
  <si>
    <t>22/10</t>
  </si>
  <si>
    <t>511 Mid Blue</t>
  </si>
  <si>
    <t>23/10</t>
  </si>
  <si>
    <t>24/10</t>
  </si>
  <si>
    <t>25/10</t>
  </si>
  <si>
    <t>26/10</t>
  </si>
  <si>
    <t>27/10</t>
  </si>
  <si>
    <t>501 Grey</t>
  </si>
  <si>
    <t>29/10</t>
  </si>
  <si>
    <t>511 Black</t>
  </si>
  <si>
    <t>30/10</t>
  </si>
  <si>
    <t>31/10</t>
  </si>
  <si>
    <t>November(shipment 2)</t>
  </si>
  <si>
    <t>Totoal</t>
  </si>
  <si>
    <t>stevie.hollywood</t>
  </si>
  <si>
    <t>aiden_butcher1</t>
  </si>
  <si>
    <t>ladymeade</t>
  </si>
  <si>
    <t>cahalmac</t>
  </si>
  <si>
    <t>timr131</t>
  </si>
  <si>
    <t>jgtpsc62</t>
  </si>
  <si>
    <t>ade1675</t>
  </si>
  <si>
    <t>danmoran26</t>
  </si>
  <si>
    <t>502 Navy Blue</t>
  </si>
  <si>
    <t>gray115</t>
  </si>
  <si>
    <t>florolivence</t>
  </si>
  <si>
    <t>willanslewis</t>
  </si>
  <si>
    <t>fezzauk</t>
  </si>
  <si>
    <t>agabakes</t>
  </si>
  <si>
    <t>patrickfahy</t>
  </si>
  <si>
    <t>timlondon80</t>
  </si>
  <si>
    <t>502 Black</t>
  </si>
  <si>
    <t>billyuk16</t>
  </si>
  <si>
    <t>511 Grey</t>
  </si>
  <si>
    <t>jamiek821</t>
  </si>
  <si>
    <t>matt_8973</t>
  </si>
  <si>
    <t>michaele16</t>
  </si>
  <si>
    <t>joneseyb0y</t>
  </si>
  <si>
    <t>leelawsonfc</t>
  </si>
  <si>
    <t>logoligisly80</t>
  </si>
  <si>
    <t>serfering2072</t>
  </si>
  <si>
    <t>metytim</t>
  </si>
  <si>
    <t>reubenmills021009</t>
  </si>
  <si>
    <t>trevster007</t>
  </si>
  <si>
    <t>nickpeskin</t>
  </si>
  <si>
    <t>ediewillansxx</t>
  </si>
  <si>
    <t>511 Light Blue L30</t>
  </si>
  <si>
    <t>flee-bay</t>
  </si>
  <si>
    <t>stuartsg</t>
  </si>
  <si>
    <t>13/11</t>
  </si>
  <si>
    <t>tracyholland17</t>
  </si>
  <si>
    <t>plpod</t>
  </si>
  <si>
    <t>xxdavidosxx</t>
  </si>
  <si>
    <t>james65650</t>
  </si>
  <si>
    <t>511 Blackish</t>
  </si>
  <si>
    <t>phyllisbailey</t>
  </si>
  <si>
    <t>sarahwright1970</t>
  </si>
  <si>
    <t>rpat3</t>
  </si>
  <si>
    <t>laurieholdsworth</t>
  </si>
  <si>
    <t>14/11</t>
  </si>
  <si>
    <t>karenderrick</t>
  </si>
  <si>
    <t xml:space="preserve">514, 501 Selvedge </t>
  </si>
  <si>
    <t>lozvilla</t>
  </si>
  <si>
    <t>mickey1466</t>
  </si>
  <si>
    <t>514 Navy</t>
  </si>
  <si>
    <t>atylor12</t>
  </si>
  <si>
    <t>phihar3</t>
  </si>
  <si>
    <t>adyrev2013</t>
  </si>
  <si>
    <t>bev5871</t>
  </si>
  <si>
    <t>leshiett</t>
  </si>
  <si>
    <t>15/11</t>
  </si>
  <si>
    <t>ahaqq</t>
  </si>
  <si>
    <t>tomholden094</t>
  </si>
  <si>
    <t>steveg98</t>
  </si>
  <si>
    <t>501 Shorts</t>
  </si>
  <si>
    <t>eezie93</t>
  </si>
  <si>
    <t>Total</t>
  </si>
  <si>
    <t xml:space="preserve"> </t>
  </si>
  <si>
    <t>SHIRTS</t>
  </si>
  <si>
    <t xml:space="preserve">Boss Shirt Blue </t>
  </si>
  <si>
    <t>S</t>
  </si>
  <si>
    <t>M</t>
  </si>
  <si>
    <t>L</t>
  </si>
  <si>
    <t>XL</t>
  </si>
  <si>
    <t>Polo Shirt Navy</t>
  </si>
  <si>
    <t>Polo Shirt Black</t>
  </si>
  <si>
    <t>POLO Shirt Black</t>
  </si>
  <si>
    <t xml:space="preserve">SOCKS ANKLE </t>
  </si>
  <si>
    <t>POLO Ankle White</t>
  </si>
  <si>
    <t>ADIDAS Ankle White</t>
  </si>
  <si>
    <t>New Balance Ankle White</t>
  </si>
  <si>
    <t xml:space="preserve">NIKE Mix </t>
  </si>
  <si>
    <t>POLO Ankle Black</t>
  </si>
  <si>
    <t xml:space="preserve">NIKE Ankle Black </t>
  </si>
  <si>
    <t>New Balance Ankle Black</t>
  </si>
  <si>
    <t>ADIDAS Ankle Black</t>
  </si>
  <si>
    <t xml:space="preserve">SOCKS FULL </t>
  </si>
  <si>
    <t>NIKE Full White</t>
  </si>
  <si>
    <t>POLO Full White</t>
  </si>
  <si>
    <t>NEW BALANCE WHITE</t>
  </si>
  <si>
    <t>NIKE Ankle White</t>
  </si>
  <si>
    <t xml:space="preserve">NIKE Full Black </t>
  </si>
  <si>
    <t>POLO Full Black</t>
  </si>
  <si>
    <t>NEW BALANCE Black</t>
  </si>
  <si>
    <t>ADIDAS Full BLACK</t>
  </si>
  <si>
    <t xml:space="preserve">Account Name </t>
  </si>
  <si>
    <t>In Process</t>
  </si>
  <si>
    <t>crangg</t>
  </si>
  <si>
    <t>jonathasmr97</t>
  </si>
  <si>
    <t>filipx18</t>
  </si>
  <si>
    <t>kebbles</t>
  </si>
  <si>
    <t>austin199191</t>
  </si>
  <si>
    <t>16/11</t>
  </si>
  <si>
    <t>neilp42</t>
  </si>
  <si>
    <t>thefarlowe</t>
  </si>
  <si>
    <t>pawels66</t>
  </si>
  <si>
    <t>blue71135</t>
  </si>
  <si>
    <t>jayb2000</t>
  </si>
  <si>
    <t>bb866</t>
  </si>
  <si>
    <t>Kellyjessica1610</t>
  </si>
  <si>
    <t>ct-breezy</t>
  </si>
  <si>
    <t>ashmitch90</t>
  </si>
  <si>
    <t>hbbossnan</t>
  </si>
  <si>
    <t xml:space="preserve">alb2468
</t>
  </si>
  <si>
    <t>westmolesey1</t>
  </si>
  <si>
    <t>denisewight</t>
  </si>
  <si>
    <t>shanzaboy1974</t>
  </si>
  <si>
    <t>17/11</t>
  </si>
  <si>
    <t>miko564</t>
  </si>
  <si>
    <t>ashleywild87</t>
  </si>
  <si>
    <t>papillon2365</t>
  </si>
  <si>
    <t>hxdgy23</t>
  </si>
  <si>
    <t>jxsxn3000</t>
  </si>
  <si>
    <t>philipw31</t>
  </si>
  <si>
    <t>rodrigo.barre</t>
  </si>
  <si>
    <t>deano8674</t>
  </si>
  <si>
    <t>martinjamesa</t>
  </si>
  <si>
    <t>lozzie2566</t>
  </si>
  <si>
    <t>briannad17</t>
  </si>
  <si>
    <t>tezsimm</t>
  </si>
  <si>
    <t>18/11</t>
  </si>
  <si>
    <t>graci3gray</t>
  </si>
  <si>
    <t>gfcchris</t>
  </si>
  <si>
    <t>19/11</t>
  </si>
  <si>
    <t>cristi251291</t>
  </si>
  <si>
    <t>owenht123</t>
  </si>
  <si>
    <t>complete</t>
  </si>
  <si>
    <t>jandouglas1963</t>
  </si>
  <si>
    <t>ianoliver01</t>
  </si>
  <si>
    <t>mahrukhg</t>
  </si>
  <si>
    <t>kevinwestham</t>
  </si>
  <si>
    <t>20/11</t>
  </si>
  <si>
    <t>collinw2</t>
  </si>
  <si>
    <t>peterb546</t>
  </si>
  <si>
    <t>andyaccount</t>
  </si>
  <si>
    <t>michaelbiezeman</t>
  </si>
  <si>
    <t>samabs277</t>
  </si>
  <si>
    <t>578rob</t>
  </si>
  <si>
    <t>marcp1968</t>
  </si>
  <si>
    <t>adelemarsland31</t>
  </si>
  <si>
    <t>timb214</t>
  </si>
  <si>
    <t>steely1991</t>
  </si>
  <si>
    <t>21/11</t>
  </si>
  <si>
    <t>natnat0870</t>
  </si>
  <si>
    <t>63parsley</t>
  </si>
  <si>
    <t>ian179</t>
  </si>
  <si>
    <t>bazmancan</t>
  </si>
  <si>
    <t>christopherk14</t>
  </si>
  <si>
    <t>lchecko</t>
  </si>
  <si>
    <t>mikeynbv123</t>
  </si>
  <si>
    <t>22/11</t>
  </si>
  <si>
    <t>ryanwerner</t>
  </si>
  <si>
    <t>martyn.com</t>
  </si>
  <si>
    <t>jones777728</t>
  </si>
  <si>
    <t>j100mby</t>
  </si>
  <si>
    <t>lelliea</t>
  </si>
  <si>
    <t>rachelcb123</t>
  </si>
  <si>
    <t>greenaqua</t>
  </si>
  <si>
    <t>studza16</t>
  </si>
  <si>
    <t>23/11</t>
  </si>
  <si>
    <t>jonnyboybrodie</t>
  </si>
  <si>
    <t>gumbar</t>
  </si>
  <si>
    <t>skinny57</t>
  </si>
  <si>
    <t>alexfilip224</t>
  </si>
  <si>
    <t>pvmac</t>
  </si>
  <si>
    <t>Refunded</t>
  </si>
  <si>
    <t>tanit_1</t>
  </si>
  <si>
    <t>sysmith80</t>
  </si>
  <si>
    <t>seagravelol</t>
  </si>
  <si>
    <t>s123h123</t>
  </si>
  <si>
    <t>khighmoor</t>
  </si>
  <si>
    <t>24/11</t>
  </si>
  <si>
    <t>ady_o</t>
  </si>
  <si>
    <t>mick.cornish</t>
  </si>
  <si>
    <t>hasnatyy</t>
  </si>
  <si>
    <t>amberstillwell2003</t>
  </si>
  <si>
    <t>captkjh</t>
  </si>
  <si>
    <t>rbb101</t>
  </si>
  <si>
    <t>harley.s08</t>
  </si>
  <si>
    <t>jamie.evans98</t>
  </si>
  <si>
    <t>25/11</t>
  </si>
  <si>
    <t>tsegays</t>
  </si>
  <si>
    <t>jamesbritton22</t>
  </si>
  <si>
    <t>jjbevan681</t>
  </si>
  <si>
    <t>wissyj</t>
  </si>
  <si>
    <t>saffal</t>
  </si>
  <si>
    <t>aembarek</t>
  </si>
  <si>
    <t>mhann65</t>
  </si>
  <si>
    <t>will57568</t>
  </si>
  <si>
    <t>glj86</t>
  </si>
  <si>
    <t>tpotter07</t>
  </si>
  <si>
    <t>shezahmed86</t>
  </si>
  <si>
    <t>joem85</t>
  </si>
  <si>
    <t>jimbo1096</t>
  </si>
  <si>
    <t>26/11</t>
  </si>
  <si>
    <t>goofy231</t>
  </si>
  <si>
    <t>mcgill_jt</t>
  </si>
  <si>
    <t>cliveamartin</t>
  </si>
  <si>
    <t>ramona2948112</t>
  </si>
  <si>
    <t>nareshm9</t>
  </si>
  <si>
    <t>27/11</t>
  </si>
  <si>
    <t>richaroo</t>
  </si>
  <si>
    <t>kevinstock1992</t>
  </si>
  <si>
    <t>barryhay</t>
  </si>
  <si>
    <t>alan1820</t>
  </si>
  <si>
    <t>barrygwenda23</t>
  </si>
  <si>
    <t>statistics1</t>
  </si>
  <si>
    <t>garjitbhandal</t>
  </si>
  <si>
    <t>stumack8</t>
  </si>
  <si>
    <t>hairybeastie</t>
  </si>
  <si>
    <t>benza321</t>
  </si>
  <si>
    <t>pastie05</t>
  </si>
  <si>
    <t>daluke777</t>
  </si>
  <si>
    <t>28/11</t>
  </si>
  <si>
    <t>johnf769</t>
  </si>
  <si>
    <t>caitryan</t>
  </si>
  <si>
    <t>29/11</t>
  </si>
  <si>
    <t>baileyroary11</t>
  </si>
  <si>
    <t>nedneedlander</t>
  </si>
  <si>
    <t>garyrayner</t>
  </si>
  <si>
    <t>viclg40</t>
  </si>
  <si>
    <t>jez3012</t>
  </si>
  <si>
    <t>jonathanbyrn1979</t>
  </si>
  <si>
    <t>nuevohuevo</t>
  </si>
  <si>
    <t>pete.watt1</t>
  </si>
  <si>
    <t>30/11</t>
  </si>
  <si>
    <t>hilccrest21</t>
  </si>
  <si>
    <t>bradm65</t>
  </si>
  <si>
    <t>robz381</t>
  </si>
  <si>
    <t>sampercival90</t>
  </si>
  <si>
    <t>zxl_qwerty</t>
  </si>
  <si>
    <t>karenw498</t>
  </si>
  <si>
    <t>caian.larrubia90</t>
  </si>
  <si>
    <t>December</t>
  </si>
  <si>
    <t>davidj0508</t>
  </si>
  <si>
    <t>jay_jay1990</t>
  </si>
  <si>
    <t>taybhafc</t>
  </si>
  <si>
    <t>carlymullan</t>
  </si>
  <si>
    <t>jenkie</t>
  </si>
  <si>
    <t>steve.pryde</t>
  </si>
  <si>
    <t>ldeliema</t>
  </si>
  <si>
    <t>k1mmyb-b</t>
  </si>
  <si>
    <t>dan1elle1990</t>
  </si>
  <si>
    <t>designerangeluk</t>
  </si>
  <si>
    <t>madeleine.kathleen</t>
  </si>
  <si>
    <t>lywiu1991</t>
  </si>
  <si>
    <t>gusconsta</t>
  </si>
  <si>
    <t>flowersregis</t>
  </si>
  <si>
    <t xml:space="preserve">pjr54
</t>
  </si>
  <si>
    <t>corbs689412</t>
  </si>
  <si>
    <t>Aali</t>
  </si>
  <si>
    <r>
      <rPr>
        <color rgb="FF1155CC"/>
        <u/>
      </rPr>
      <t>cwicky68</t>
    </r>
    <r>
      <rPr>
        <color rgb="FF000000"/>
      </rPr>
      <t xml:space="preserve"> </t>
    </r>
  </si>
  <si>
    <t>darcydoo100</t>
  </si>
  <si>
    <t>ru-r</t>
  </si>
  <si>
    <t>sammypopsy</t>
  </si>
  <si>
    <t>christophersh88</t>
  </si>
  <si>
    <t>ardrgzmgrz</t>
  </si>
  <si>
    <t>sensesfailme</t>
  </si>
  <si>
    <t>emzi_rp</t>
  </si>
  <si>
    <t>baz10f1</t>
  </si>
  <si>
    <t>krystalfleur22</t>
  </si>
  <si>
    <t>transporter391</t>
  </si>
  <si>
    <r>
      <rPr>
        <color rgb="FF1155CC"/>
        <u/>
      </rPr>
      <t>domnorton</t>
    </r>
  </si>
  <si>
    <t>huwj6</t>
  </si>
  <si>
    <t>lesleyc2021</t>
  </si>
  <si>
    <t>reece95</t>
  </si>
  <si>
    <t>adgill47</t>
  </si>
  <si>
    <t>nueveelusive</t>
  </si>
  <si>
    <t>Active</t>
  </si>
  <si>
    <t>Account User</t>
  </si>
  <si>
    <t>IP Address</t>
  </si>
  <si>
    <t>hosky007</t>
  </si>
  <si>
    <t>Email Address</t>
  </si>
  <si>
    <t xml:space="preserve">Email Passward </t>
  </si>
  <si>
    <t>Vinted Username</t>
  </si>
  <si>
    <t xml:space="preserve">Vinted Password </t>
  </si>
  <si>
    <t xml:space="preserve">Phone Number </t>
  </si>
  <si>
    <t>Identity Verifiy(NAME)</t>
  </si>
  <si>
    <t xml:space="preserve">Account Number </t>
  </si>
  <si>
    <t xml:space="preserve">Demo Account Number </t>
  </si>
  <si>
    <t>Rest</t>
  </si>
  <si>
    <t>Mobile</t>
  </si>
  <si>
    <t>ranaammar046@gmail.com</t>
  </si>
  <si>
    <t>ranaa302</t>
  </si>
  <si>
    <t>gmail login</t>
  </si>
  <si>
    <t>lauren</t>
  </si>
  <si>
    <t>23.230.139.218:34691</t>
  </si>
  <si>
    <t>lgarry491@gmail.com</t>
  </si>
  <si>
    <t>Lauren@264</t>
  </si>
  <si>
    <t>laureng254</t>
  </si>
  <si>
    <t>kennykenyon</t>
  </si>
  <si>
    <t>Rosalind</t>
  </si>
  <si>
    <t>104.252.72.128:49126</t>
  </si>
  <si>
    <t>rosalindbeaumont1@gmail.com</t>
  </si>
  <si>
    <t>Rosalind@264</t>
  </si>
  <si>
    <t>rosalindb92</t>
  </si>
  <si>
    <t>RaimaFatima</t>
  </si>
  <si>
    <t>raimafatima@proton.me</t>
  </si>
  <si>
    <t>Aqzaqzaa@3321</t>
  </si>
  <si>
    <t>raimafitama</t>
  </si>
  <si>
    <r>
      <rPr>
        <color rgb="FF1155CC"/>
        <u/>
      </rPr>
      <t>ldalton</t>
    </r>
  </si>
  <si>
    <t>Levi Style Store</t>
  </si>
  <si>
    <t>92.113.216.23 (Gologin)</t>
  </si>
  <si>
    <t>ranaammar03088741046@gmail.com</t>
  </si>
  <si>
    <t>ranar967</t>
  </si>
  <si>
    <t>AmmarRana</t>
  </si>
  <si>
    <t>82.47.6.174</t>
  </si>
  <si>
    <t xml:space="preserve">ukammar01@thesecondchance.co.uk
</t>
  </si>
  <si>
    <t>amm1ar</t>
  </si>
  <si>
    <t>amm2</t>
  </si>
  <si>
    <t>mcjmcm</t>
  </si>
  <si>
    <t>92.113.78.173</t>
  </si>
  <si>
    <t>ukammar03@thesecondchance.co.uk</t>
  </si>
  <si>
    <t>Blocked</t>
  </si>
  <si>
    <t>178.92.57.196</t>
  </si>
  <si>
    <t>ukammar05@thesecondchance.co.uk</t>
  </si>
  <si>
    <t xml:space="preserve">Tem </t>
  </si>
  <si>
    <t>SanaImran</t>
  </si>
  <si>
    <t>sanaimrans@proton.me</t>
  </si>
  <si>
    <t>Aqzaqzaa@</t>
  </si>
  <si>
    <t>sanaimran</t>
  </si>
  <si>
    <t>ahailstone</t>
  </si>
  <si>
    <t>UK 10</t>
  </si>
  <si>
    <t>185.100.169.75</t>
  </si>
  <si>
    <t>am046ar</t>
  </si>
  <si>
    <t>Sammy</t>
  </si>
  <si>
    <t>abbash</t>
  </si>
  <si>
    <t>abbash419</t>
  </si>
  <si>
    <r>
      <rPr>
        <color rgb="FF1155CC"/>
        <u/>
      </rPr>
      <t>m5c0tt</t>
    </r>
  </si>
  <si>
    <t>Jane</t>
  </si>
  <si>
    <t>Faizan</t>
  </si>
  <si>
    <t>51.146.185.108:41346</t>
  </si>
  <si>
    <t>pauljane1198@gmail.com</t>
  </si>
  <si>
    <t>janep342</t>
  </si>
  <si>
    <t>447,09</t>
  </si>
  <si>
    <t>Olivia</t>
  </si>
  <si>
    <t>51.146.185.176:49631</t>
  </si>
  <si>
    <t>bennetolivia905@gmail.com</t>
  </si>
  <si>
    <t>oliviab9624</t>
  </si>
  <si>
    <t>447,81</t>
  </si>
  <si>
    <t>Freya</t>
  </si>
  <si>
    <t>Abdullah Khan</t>
  </si>
  <si>
    <t>23.26.203.186:34691</t>
  </si>
  <si>
    <t>freyarobinson491@outlook.com</t>
  </si>
  <si>
    <t>freyar491</t>
  </si>
  <si>
    <t>Freya@264</t>
  </si>
  <si>
    <t>447,87</t>
  </si>
  <si>
    <t>Sanu</t>
  </si>
  <si>
    <t>00.00.5</t>
  </si>
  <si>
    <t>summiyahassan021@gmail.com</t>
  </si>
  <si>
    <t>sanu443</t>
  </si>
  <si>
    <r>
      <rPr/>
      <t xml:space="preserve">ipD </t>
    </r>
    <r>
      <rPr>
        <color rgb="FF1155CC"/>
        <u/>
      </rPr>
      <t>CALL.com</t>
    </r>
  </si>
  <si>
    <t>babyorangutan</t>
  </si>
  <si>
    <t>BlueThreadPro</t>
  </si>
  <si>
    <t>82.41.248.209</t>
  </si>
  <si>
    <t>alizymalik085@gmail.com</t>
  </si>
  <si>
    <t>aass@1122</t>
  </si>
  <si>
    <t>bluethreadpro</t>
  </si>
  <si>
    <t>Jeanify</t>
  </si>
  <si>
    <t>kopite1957</t>
  </si>
  <si>
    <t>Umar</t>
  </si>
  <si>
    <t>92.113.205.201</t>
  </si>
  <si>
    <t>d7445344@gmail.com</t>
  </si>
  <si>
    <t>d@isy987</t>
  </si>
  <si>
    <t>levisstore1234</t>
  </si>
  <si>
    <t>Rosie</t>
  </si>
  <si>
    <t>193.106.199.30</t>
  </si>
  <si>
    <t>r48197133@gmail.com</t>
  </si>
  <si>
    <t>rosie@1234</t>
  </si>
  <si>
    <t>rosie704</t>
  </si>
  <si>
    <t>Vyke( Iphone)</t>
  </si>
  <si>
    <t xml:space="preserve">Alexandra </t>
  </si>
  <si>
    <t>Abdullah Malik</t>
  </si>
  <si>
    <t>rachejo</t>
  </si>
  <si>
    <t>Nill</t>
  </si>
  <si>
    <t>Alexandrawhitaker766@gmail.com</t>
  </si>
  <si>
    <t>Alexandra@264</t>
  </si>
  <si>
    <t>Alexandraw244</t>
  </si>
  <si>
    <t>Hina</t>
  </si>
  <si>
    <t>mobile</t>
  </si>
  <si>
    <t>hshk915@gmail.com</t>
  </si>
  <si>
    <t>aass1122</t>
  </si>
  <si>
    <t>ozziyx</t>
  </si>
  <si>
    <t>hinas948</t>
  </si>
  <si>
    <t>Zainab</t>
  </si>
  <si>
    <t>z3854430@gmail.com</t>
  </si>
  <si>
    <t>ass@1234</t>
  </si>
  <si>
    <t>zainab239</t>
  </si>
  <si>
    <r>
      <rPr>
        <color rgb="FF1155CC"/>
        <u/>
      </rPr>
      <t>andyccr</t>
    </r>
  </si>
  <si>
    <t>kingredeye63@gmail.com</t>
  </si>
  <si>
    <t>umar968</t>
  </si>
  <si>
    <t>Mose</t>
  </si>
  <si>
    <t>82.39.66.224</t>
  </si>
  <si>
    <t>faxanshah42@gmail.com</t>
  </si>
  <si>
    <t>Faizan#008</t>
  </si>
  <si>
    <t>moses423</t>
  </si>
  <si>
    <t>stark</t>
  </si>
  <si>
    <t>82.39.66.94 45938</t>
  </si>
  <si>
    <t>s11810464@gmail.com</t>
  </si>
  <si>
    <t>Abcd@1234</t>
  </si>
  <si>
    <t>stark240</t>
  </si>
  <si>
    <t>stefen</t>
  </si>
  <si>
    <t>82.39.69.28 46940</t>
  </si>
  <si>
    <t>S60382417@gmail.com</t>
  </si>
  <si>
    <t>stefen5</t>
  </si>
  <si>
    <t>antonio</t>
  </si>
  <si>
    <t>82.39.68.89 45933</t>
  </si>
  <si>
    <t>a03526794@gmail.com</t>
  </si>
  <si>
    <t>antonio846</t>
  </si>
  <si>
    <t>winona</t>
  </si>
  <si>
    <t>mi8968363@gmail.com</t>
  </si>
  <si>
    <t>zoemcguire773</t>
  </si>
  <si>
    <t>winona_987</t>
  </si>
  <si>
    <t>Sama</t>
  </si>
  <si>
    <t>82.41.248.225:45820</t>
  </si>
  <si>
    <t>samanjali9090@proton.me</t>
  </si>
  <si>
    <t>Sama jeans</t>
  </si>
  <si>
    <t>Faizan#00</t>
  </si>
  <si>
    <t>cgil1122</t>
  </si>
  <si>
    <t>zoee931</t>
  </si>
  <si>
    <t>92.113.205.96</t>
  </si>
  <si>
    <t>zoee1861@gmail.com</t>
  </si>
  <si>
    <t>zoee93</t>
  </si>
  <si>
    <t>Umaima</t>
  </si>
  <si>
    <t>82.39.66.96</t>
  </si>
  <si>
    <t>umer01@thesecondchance.co.uk</t>
  </si>
  <si>
    <t>michael30091990</t>
  </si>
  <si>
    <t>umaima_123</t>
  </si>
  <si>
    <t>Gwen</t>
  </si>
  <si>
    <t>82.39.67.193</t>
  </si>
  <si>
    <t>ukumer02@thesecondchance.co.uk</t>
  </si>
  <si>
    <t>gwen_543</t>
  </si>
  <si>
    <t>Umar2</t>
  </si>
  <si>
    <t>92.113.78.33</t>
  </si>
  <si>
    <t>ukumer03@thesecondchance.co.uk</t>
  </si>
  <si>
    <t>umar_3456</t>
  </si>
  <si>
    <t>Lucy</t>
  </si>
  <si>
    <t>92.113.78.203</t>
  </si>
  <si>
    <t>ukumer05@thesecondchance.co.uk</t>
  </si>
  <si>
    <t>loppylou39702</t>
  </si>
  <si>
    <t>lucy_8980</t>
  </si>
  <si>
    <t>leocarter</t>
  </si>
  <si>
    <t>46.203.167.41</t>
  </si>
  <si>
    <t>uksaif02@thesecondchance.co.uk</t>
  </si>
  <si>
    <t>leocarter65</t>
  </si>
  <si>
    <t xml:space="preserve"> leocarter@65</t>
  </si>
  <si>
    <t>emilybrooks</t>
  </si>
  <si>
    <t>Restricted</t>
  </si>
  <si>
    <t>82.41.248.147</t>
  </si>
  <si>
    <t>uksaif01@thesecondchance.co.uk</t>
  </si>
  <si>
    <t>emilybrooks2</t>
  </si>
  <si>
    <t>saifullah@2005</t>
  </si>
  <si>
    <t>mckaystacy</t>
  </si>
  <si>
    <t>selena</t>
  </si>
  <si>
    <t>82.39.67.88</t>
  </si>
  <si>
    <t>rabecca03@thesecondchance.co.uk</t>
  </si>
  <si>
    <t>selena787</t>
  </si>
  <si>
    <t>benharrison</t>
  </si>
  <si>
    <t>185.203.136.217</t>
  </si>
  <si>
    <t>uksaif3@thesecondchance.co.uk</t>
  </si>
  <si>
    <t>benharrison43</t>
  </si>
  <si>
    <t>saifullah@2026</t>
  </si>
  <si>
    <t>james9708</t>
  </si>
  <si>
    <t>jorjor82</t>
  </si>
  <si>
    <t>trainer2712</t>
  </si>
  <si>
    <t>robbo1812</t>
  </si>
  <si>
    <r>
      <rPr>
        <color rgb="FF1155CC"/>
        <u/>
      </rPr>
      <t>iestyn244</t>
    </r>
  </si>
  <si>
    <t>yohannesa6</t>
  </si>
  <si>
    <t>jvshbaz69</t>
  </si>
  <si>
    <t>con150820</t>
  </si>
  <si>
    <t>johnnyjarv</t>
  </si>
  <si>
    <t>hanjnz85</t>
  </si>
  <si>
    <t>benblo5</t>
  </si>
  <si>
    <t>deepg5</t>
  </si>
  <si>
    <t>prjj_09</t>
  </si>
  <si>
    <t>norasybil</t>
  </si>
  <si>
    <t>ashm7</t>
  </si>
  <si>
    <t>maxhomes</t>
  </si>
  <si>
    <t>udojustus</t>
  </si>
  <si>
    <t>sarah12390</t>
  </si>
  <si>
    <t>nalveyf</t>
  </si>
  <si>
    <t>rcoley91</t>
  </si>
  <si>
    <t>burns1533</t>
  </si>
  <si>
    <t>cuttothebeat</t>
  </si>
  <si>
    <t>pk2512</t>
  </si>
  <si>
    <t>chato90</t>
  </si>
  <si>
    <t>tomrow10</t>
  </si>
  <si>
    <t>gandd123</t>
  </si>
  <si>
    <t>chrcus</t>
  </si>
  <si>
    <t>charlie.tooke</t>
  </si>
  <si>
    <t>ldsjones</t>
  </si>
  <si>
    <t>patchesonelbows</t>
  </si>
  <si>
    <t>chris_london</t>
  </si>
  <si>
    <t>mcooling85</t>
  </si>
  <si>
    <t>leonc1982</t>
  </si>
  <si>
    <t>kamsal66</t>
  </si>
  <si>
    <t>codiew91</t>
  </si>
  <si>
    <t>omez22</t>
  </si>
  <si>
    <t>COMPLETE</t>
  </si>
  <si>
    <t>arthmorg</t>
  </si>
  <si>
    <t>tommy-1234-98765</t>
  </si>
  <si>
    <t>ebuontempo</t>
  </si>
  <si>
    <t>jbsgls31</t>
  </si>
  <si>
    <t>adam05102018</t>
  </si>
  <si>
    <t>deane034</t>
  </si>
  <si>
    <r>
      <rPr>
        <rFont val="Arial"/>
        <color rgb="FF1155CC"/>
        <u/>
      </rPr>
      <t>tomwomersley</t>
    </r>
  </si>
  <si>
    <t>mando1963</t>
  </si>
  <si>
    <t>rjm6326</t>
  </si>
  <si>
    <t>johnzin</t>
  </si>
  <si>
    <t>cbandle</t>
  </si>
  <si>
    <t>antgould</t>
  </si>
  <si>
    <t>jken_24</t>
  </si>
  <si>
    <t>katybambino</t>
  </si>
  <si>
    <t>esudderick</t>
  </si>
  <si>
    <r>
      <rPr>
        <rFont val="Arial"/>
        <color rgb="FF1155CC"/>
        <u/>
      </rPr>
      <t>eleanorf49</t>
    </r>
  </si>
  <si>
    <r>
      <rPr>
        <color rgb="FF1155CC"/>
        <u/>
      </rPr>
      <t>lylajo12</t>
    </r>
  </si>
  <si>
    <t>rhy5c00</t>
  </si>
  <si>
    <r>
      <rPr>
        <color rgb="FF1155CC"/>
        <u/>
      </rPr>
      <t>cxn0n</t>
    </r>
  </si>
  <si>
    <t>silvester_1178</t>
  </si>
  <si>
    <r>
      <rPr>
        <color rgb="FF1155CC"/>
        <u/>
      </rPr>
      <t>jimbos57</t>
    </r>
  </si>
  <si>
    <r>
      <rPr>
        <color rgb="FF1155CC"/>
        <u/>
      </rPr>
      <t>mamun-ahmed</t>
    </r>
  </si>
  <si>
    <r>
      <rPr>
        <color rgb="FF1155CC"/>
        <u/>
      </rPr>
      <t>karolp1987</t>
    </r>
  </si>
  <si>
    <r>
      <rPr>
        <rFont val="Arial"/>
        <color rgb="FF1155CC"/>
        <u/>
      </rPr>
      <t>nadzy6986</t>
    </r>
  </si>
  <si>
    <r>
      <rPr>
        <color rgb="FF1155CC"/>
        <u/>
      </rPr>
      <t>sarahmarie1973</t>
    </r>
  </si>
  <si>
    <r>
      <rPr>
        <color rgb="FF1155CC"/>
        <u/>
      </rPr>
      <t>aljones1994</t>
    </r>
  </si>
  <si>
    <t>michael245robinson</t>
  </si>
  <si>
    <r>
      <rPr>
        <color rgb="FF1155CC"/>
        <u/>
      </rPr>
      <t>peeperspeepin</t>
    </r>
  </si>
  <si>
    <t>John Seddon</t>
  </si>
  <si>
    <r>
      <rPr>
        <color rgb="FF1155CC"/>
        <u/>
      </rPr>
      <t>restlessnative1969</t>
    </r>
  </si>
  <si>
    <r>
      <rPr>
        <color rgb="FF1155CC"/>
        <u/>
      </rPr>
      <t>panthro</t>
    </r>
  </si>
  <si>
    <r>
      <rPr>
        <color rgb="FF1155CC"/>
        <u/>
      </rPr>
      <t>matthewolivier613</t>
    </r>
  </si>
  <si>
    <r>
      <rPr>
        <color rgb="FF1155CC"/>
        <u/>
      </rPr>
      <t>michaelbear1974</t>
    </r>
  </si>
  <si>
    <r>
      <rPr>
        <color rgb="FF1155CC"/>
        <u/>
      </rPr>
      <t>brm2224</t>
    </r>
  </si>
  <si>
    <t>soundwavextreme</t>
  </si>
  <si>
    <t>ghess99</t>
  </si>
  <si>
    <t>stevethewine</t>
  </si>
  <si>
    <t>nathan4990</t>
  </si>
  <si>
    <t>pete.50</t>
  </si>
  <si>
    <t>ricmann1977</t>
  </si>
  <si>
    <r>
      <rPr>
        <color rgb="FF1155CC"/>
        <u/>
      </rPr>
      <t>stevew7664</t>
    </r>
  </si>
  <si>
    <t>dgarm93</t>
  </si>
  <si>
    <r>
      <rPr>
        <color rgb="FF1155CC"/>
        <u/>
      </rPr>
      <t>burty44444</t>
    </r>
  </si>
  <si>
    <t>badshotbutler</t>
  </si>
  <si>
    <t>coopersclose1</t>
  </si>
  <si>
    <t>andrewm617</t>
  </si>
  <si>
    <t>jimmyt9lfc</t>
  </si>
  <si>
    <t>gt9646</t>
  </si>
  <si>
    <t>knpe09</t>
  </si>
  <si>
    <t>brentsimons</t>
  </si>
  <si>
    <t>pineapple_chunk</t>
  </si>
  <si>
    <r>
      <rPr>
        <color rgb="FF1155CC"/>
        <u/>
      </rPr>
      <t>awjpotter</t>
    </r>
  </si>
  <si>
    <t>wicksy200</t>
  </si>
  <si>
    <t>butchwaghorn</t>
  </si>
  <si>
    <t>semajwilson</t>
  </si>
  <si>
    <r>
      <rPr>
        <color rgb="FF1155CC"/>
        <u/>
      </rPr>
      <t>bnform2022</t>
    </r>
  </si>
  <si>
    <r>
      <rPr>
        <color rgb="FF1155CC"/>
        <u/>
      </rPr>
      <t>samlinnell</t>
    </r>
  </si>
  <si>
    <t>saidouldaly</t>
  </si>
  <si>
    <r>
      <rPr>
        <color rgb="FF1155CC"/>
        <u/>
      </rPr>
      <t>dcmanley</t>
    </r>
  </si>
  <si>
    <t>alffar2</t>
  </si>
  <si>
    <t>nicpag8</t>
  </si>
  <si>
    <t>rossm844</t>
  </si>
  <si>
    <t>morgz350</t>
  </si>
  <si>
    <t>matty102</t>
  </si>
  <si>
    <t>teloneill85</t>
  </si>
  <si>
    <r>
      <rPr>
        <color rgb="FF1155CC"/>
        <u/>
      </rPr>
      <t>paulb1417</t>
    </r>
  </si>
  <si>
    <t>sammoustrides86</t>
  </si>
  <si>
    <r>
      <rPr>
        <color rgb="FF1155CC"/>
        <u/>
      </rPr>
      <t>jamieo1999</t>
    </r>
  </si>
  <si>
    <t>parkess44</t>
  </si>
  <si>
    <r>
      <rPr>
        <color rgb="FF1155CC"/>
        <u/>
      </rPr>
      <t>danlintern</t>
    </r>
  </si>
  <si>
    <t>gylesbakewell</t>
  </si>
  <si>
    <t>christopherb622</t>
  </si>
  <si>
    <t>folaadebo</t>
  </si>
  <si>
    <r>
      <rPr>
        <color rgb="FF1155CC"/>
        <u/>
      </rPr>
      <t>dwalkley</t>
    </r>
  </si>
  <si>
    <r>
      <rPr>
        <color rgb="FF1155CC"/>
        <u/>
      </rPr>
      <t>jusmartindale</t>
    </r>
  </si>
  <si>
    <t>shanos1677</t>
  </si>
  <si>
    <t>diareyes</t>
  </si>
  <si>
    <r>
      <rPr>
        <color rgb="FF1155CC"/>
        <u/>
      </rPr>
      <t>adesanyad</t>
    </r>
  </si>
  <si>
    <r>
      <rPr>
        <color rgb="FF1155CC"/>
        <u/>
      </rPr>
      <t>shasrilove</t>
    </r>
  </si>
  <si>
    <t>bmsmith80</t>
  </si>
  <si>
    <t>jasonmatt6116</t>
  </si>
  <si>
    <t>nico392781</t>
  </si>
  <si>
    <t>billy5cot</t>
  </si>
  <si>
    <t>romred2</t>
  </si>
  <si>
    <r>
      <rPr>
        <color rgb="FF1155CC"/>
        <u/>
      </rPr>
      <t>ianm101</t>
    </r>
  </si>
  <si>
    <t>johnm6487</t>
  </si>
  <si>
    <r>
      <rPr>
        <color rgb="FF1155CC"/>
        <u/>
      </rPr>
      <t>badasam</t>
    </r>
  </si>
  <si>
    <t>toon1961</t>
  </si>
  <si>
    <r>
      <rPr>
        <color rgb="FF1155CC"/>
        <u/>
      </rPr>
      <t>mickelson22</t>
    </r>
  </si>
  <si>
    <t>ste.middleton</t>
  </si>
  <si>
    <t>mossmun</t>
  </si>
  <si>
    <t>happychel</t>
  </si>
  <si>
    <t>garryd67</t>
  </si>
  <si>
    <t>craigomills</t>
  </si>
  <si>
    <t>jane95x</t>
  </si>
  <si>
    <r>
      <rPr>
        <color rgb="FF1155CC"/>
        <u/>
      </rPr>
      <t>src1232023</t>
    </r>
  </si>
  <si>
    <r>
      <rPr>
        <color rgb="FF1155CC"/>
        <u/>
      </rPr>
      <t>djhdjh77</t>
    </r>
  </si>
  <si>
    <t>eurobanbi</t>
  </si>
  <si>
    <t>leen759</t>
  </si>
  <si>
    <t>sequioachris</t>
  </si>
  <si>
    <t>lucasr5502</t>
  </si>
  <si>
    <t>westyy_123</t>
  </si>
  <si>
    <t>warrenfj2005</t>
  </si>
  <si>
    <t>austell23</t>
  </si>
  <si>
    <t>joss2345</t>
  </si>
  <si>
    <t>mgault80</t>
  </si>
  <si>
    <r>
      <rPr>
        <color rgb="FF1155CC"/>
        <u/>
      </rPr>
      <t>grahamhutch10</t>
    </r>
  </si>
  <si>
    <t>alicarlyle1</t>
  </si>
  <si>
    <t>slowe76</t>
  </si>
  <si>
    <t>discodom11</t>
  </si>
  <si>
    <t>sarittkax86</t>
  </si>
  <si>
    <t>xiggy-2025</t>
  </si>
  <si>
    <t>mynnster71</t>
  </si>
  <si>
    <r>
      <rPr>
        <color rgb="FF1155CC"/>
        <u/>
      </rPr>
      <t>micjayne</t>
    </r>
  </si>
  <si>
    <t>stetibi</t>
  </si>
  <si>
    <t>guzzi1985</t>
  </si>
  <si>
    <t>danz414</t>
  </si>
  <si>
    <t>mattdalby</t>
  </si>
  <si>
    <t>milliethecat1</t>
  </si>
  <si>
    <r>
      <rPr>
        <color rgb="FF1155CC"/>
        <u/>
      </rPr>
      <t>irenep66</t>
    </r>
  </si>
  <si>
    <r>
      <rPr>
        <color rgb="FF1155CC"/>
        <u/>
      </rPr>
      <t>irenep66</t>
    </r>
  </si>
  <si>
    <t>supernovaheights</t>
  </si>
  <si>
    <r>
      <rPr>
        <color rgb="FF1155CC"/>
        <u/>
      </rPr>
      <t>hollingworthjeff</t>
    </r>
  </si>
  <si>
    <t>cpdowns92</t>
  </si>
  <si>
    <t>untit</t>
  </si>
  <si>
    <t>ronana69</t>
  </si>
  <si>
    <t>liamewan1</t>
  </si>
  <si>
    <t>jimk328</t>
  </si>
  <si>
    <t>kathym1974</t>
  </si>
  <si>
    <t>lucylp79</t>
  </si>
  <si>
    <t>rajveer0308</t>
  </si>
  <si>
    <t>garysvint</t>
  </si>
  <si>
    <t>wahzy</t>
  </si>
  <si>
    <t>philipj803</t>
  </si>
  <si>
    <t>reecegary21</t>
  </si>
  <si>
    <t>crimson-pig</t>
  </si>
  <si>
    <t>thomasdevlin10</t>
  </si>
  <si>
    <t>boothbox</t>
  </si>
  <si>
    <t>mattjp9</t>
  </si>
  <si>
    <t xml:space="preserve">Vinted Name </t>
  </si>
  <si>
    <t>jackiez68</t>
  </si>
  <si>
    <t>Account Name</t>
  </si>
  <si>
    <t>IMPORTANT!</t>
  </si>
  <si>
    <t>georgem670</t>
  </si>
  <si>
    <t>Polly</t>
  </si>
  <si>
    <t xml:space="preserve">Hamza Monzo </t>
  </si>
  <si>
    <t>Ac: 20946673 C: 04-00-05</t>
  </si>
  <si>
    <t xml:space="preserve">Nill </t>
  </si>
  <si>
    <t>katalintaylor</t>
  </si>
  <si>
    <t>Abbas Taptap</t>
  </si>
  <si>
    <t>Ac: 00174781 C: 04-19-19</t>
  </si>
  <si>
    <t>Saria Monzo</t>
  </si>
  <si>
    <t>Ac: 38991926 C: 04-00-06</t>
  </si>
  <si>
    <r>
      <rPr>
        <color rgb="FF1155CC"/>
        <u/>
      </rPr>
      <t>mekhaeil</t>
    </r>
  </si>
  <si>
    <t xml:space="preserve">Sarim Monzo </t>
  </si>
  <si>
    <t>Ac: 36409799 C: 04-00-06</t>
  </si>
  <si>
    <t>Abbas Nsave</t>
  </si>
  <si>
    <t>Ac: 00879986 C: 04-09-72</t>
  </si>
  <si>
    <t>Ac: 39641166 C: 23-08-01</t>
  </si>
  <si>
    <t>DON'T WITHDRAW MORE THAN $200</t>
  </si>
  <si>
    <t>Ac: 39641912 C: 23-08-01</t>
  </si>
  <si>
    <t>Nosheen Nsave</t>
  </si>
  <si>
    <t>Ac: 00888379 C: 04-09-72</t>
  </si>
  <si>
    <t>Ac: 15204491 C: 23-08-01</t>
  </si>
  <si>
    <t>Rana</t>
  </si>
  <si>
    <t>Ac: 15202201 C: 23-08-01</t>
  </si>
  <si>
    <t>Ali Nsave</t>
  </si>
  <si>
    <t>Ac: 00920476 C: 04-09-72</t>
  </si>
  <si>
    <t>Faizan Nsave</t>
  </si>
  <si>
    <t>Ac: 00910931 C: 04-09-72</t>
  </si>
  <si>
    <t>Ac: 39645240 C: 23-08-01</t>
  </si>
  <si>
    <r>
      <rPr>
        <color rgb="FF1155CC"/>
        <u/>
      </rPr>
      <t>mekhaeil</t>
    </r>
  </si>
  <si>
    <t xml:space="preserve">Hamza Nsave </t>
  </si>
  <si>
    <t>Ac: 00904790 C: 04-09-72</t>
  </si>
  <si>
    <t>Ac: 15204401 C: 23-08-01</t>
  </si>
  <si>
    <t>Ac: 00904790 C: 04-09-73</t>
  </si>
  <si>
    <t>Ac: 37704401 C: 23-08-01</t>
  </si>
  <si>
    <t>phoebe.h12</t>
  </si>
  <si>
    <t>Ac: 39645814 C: 23-08-01</t>
  </si>
  <si>
    <t>Abbas Ifast</t>
  </si>
  <si>
    <t>Ac: 00496939 C: 04-00-01</t>
  </si>
  <si>
    <t>joebaxter1988</t>
  </si>
  <si>
    <t>Abbas Taptap Personal</t>
  </si>
  <si>
    <t>Ac: 00766403 C: 04-19-19</t>
  </si>
  <si>
    <t>Ac: 39645220 C: 23-08-01</t>
  </si>
  <si>
    <t>Ac: 39645320 C: 23-08-01</t>
  </si>
  <si>
    <t>dlb627</t>
  </si>
  <si>
    <t>Abdullah Nsave</t>
  </si>
  <si>
    <t>Ac: 01016857 C: 04-09-72</t>
  </si>
  <si>
    <t>Syeda Khola Shah</t>
  </si>
  <si>
    <t>Ac: 01016540 C: 04-09-72</t>
  </si>
  <si>
    <t>Ac: 39642226 C: 23-08-01</t>
  </si>
  <si>
    <t>Ac: 39642227 C: 23-08-01</t>
  </si>
  <si>
    <t>Summiya Hassan</t>
  </si>
  <si>
    <t>Ac: 01016535 C: 040972</t>
  </si>
  <si>
    <t>Ac: 39642250 C: 23-08-01</t>
  </si>
  <si>
    <t>Ac: 39642150 C: 23-08-01</t>
  </si>
  <si>
    <t xml:space="preserve">Nisar Revoult </t>
  </si>
  <si>
    <t>Ac: 26248354 C: 23-01-63</t>
  </si>
  <si>
    <t>malonze</t>
  </si>
  <si>
    <t>welwyndad</t>
  </si>
  <si>
    <t>martinw660</t>
  </si>
  <si>
    <t>lonestartt</t>
  </si>
  <si>
    <t>adamwhite79</t>
  </si>
  <si>
    <t>leeesa.h</t>
  </si>
  <si>
    <r>
      <rPr>
        <color rgb="FF1155CC"/>
        <u/>
      </rPr>
      <t>firefrancis</t>
    </r>
  </si>
  <si>
    <t>swagg90000</t>
  </si>
  <si>
    <t>gavd84</t>
  </si>
  <si>
    <t>johnmeca</t>
  </si>
  <si>
    <t>nadzy6986</t>
  </si>
  <si>
    <t>gkel5908</t>
  </si>
  <si>
    <t>severy2</t>
  </si>
  <si>
    <r>
      <rPr>
        <color rgb="FF1155CC"/>
        <u/>
      </rPr>
      <t>philpot6390</t>
    </r>
  </si>
  <si>
    <r>
      <rPr>
        <color rgb="FF1155CC"/>
        <u/>
      </rPr>
      <t>lloydyboy1972</t>
    </r>
  </si>
  <si>
    <t>ffcol68</t>
  </si>
  <si>
    <r>
      <rPr>
        <color rgb="FF1155CC"/>
        <u/>
      </rPr>
      <t>afzalkp</t>
    </r>
  </si>
  <si>
    <r>
      <rPr>
        <color rgb="FF1155CC"/>
        <u/>
      </rPr>
      <t>hiphelen</t>
    </r>
  </si>
  <si>
    <t>colinw350</t>
  </si>
  <si>
    <t>greenypear</t>
  </si>
  <si>
    <r>
      <rPr>
        <color rgb="FF1155CC"/>
        <u/>
      </rPr>
      <t>bigasc14</t>
    </r>
  </si>
  <si>
    <t>chucker1</t>
  </si>
  <si>
    <t>ahmwaq4</t>
  </si>
  <si>
    <t>rhyskreuchen95</t>
  </si>
  <si>
    <r>
      <rPr>
        <color rgb="FF1155CC"/>
        <u/>
      </rPr>
      <t>bigasc14</t>
    </r>
  </si>
  <si>
    <t>montyf95</t>
  </si>
  <si>
    <t>johng9814</t>
  </si>
  <si>
    <t>10tar</t>
  </si>
  <si>
    <r>
      <rPr>
        <color rgb="FF1155CC"/>
        <u/>
      </rPr>
      <t>kingkhan2707</t>
    </r>
  </si>
  <si>
    <r>
      <rPr>
        <color rgb="FF1155CC"/>
        <u/>
      </rPr>
      <t>dowie975</t>
    </r>
  </si>
  <si>
    <r>
      <rPr>
        <color rgb="FF1155CC"/>
        <u/>
      </rPr>
      <t>archie327</t>
    </r>
  </si>
  <si>
    <t>villan49</t>
  </si>
  <si>
    <r>
      <rPr>
        <color rgb="FF1155CC"/>
        <u/>
      </rPr>
      <t>how813</t>
    </r>
  </si>
  <si>
    <t>hfryers</t>
  </si>
  <si>
    <r>
      <rPr>
        <color rgb="FF1155CC"/>
        <u/>
      </rPr>
      <t>bramwell1234</t>
    </r>
  </si>
  <si>
    <r>
      <rPr>
        <color rgb="FF1155CC"/>
        <u/>
      </rPr>
      <t>ol_mcg1517</t>
    </r>
  </si>
  <si>
    <r>
      <rPr>
        <color rgb="FF1155CC"/>
        <u/>
      </rPr>
      <t>blazejk21</t>
    </r>
  </si>
  <si>
    <t>johnlawrence2710</t>
  </si>
  <si>
    <t>hilux1253</t>
  </si>
  <si>
    <t>cristy1516</t>
  </si>
  <si>
    <t>woodsee79</t>
  </si>
  <si>
    <r>
      <rPr>
        <color rgb="FF1155CC"/>
        <u/>
      </rPr>
      <t>gilese777</t>
    </r>
  </si>
  <si>
    <t>markd509</t>
  </si>
  <si>
    <t>charliechan1985</t>
  </si>
  <si>
    <t>rueben5231</t>
  </si>
  <si>
    <t>agcowling</t>
  </si>
  <si>
    <t>jonathanbradley</t>
  </si>
  <si>
    <t>lorenso102</t>
  </si>
  <si>
    <t>March</t>
  </si>
  <si>
    <t>paa1990</t>
  </si>
  <si>
    <t>kingfender17</t>
  </si>
  <si>
    <t>cupradan385</t>
  </si>
  <si>
    <t>xdkfnfks</t>
  </si>
  <si>
    <t>thrashunreal</t>
  </si>
  <si>
    <t>simon_1981</t>
  </si>
  <si>
    <t>jonnyheron</t>
  </si>
  <si>
    <t>stormish69</t>
  </si>
  <si>
    <t>danh1987</t>
  </si>
  <si>
    <t>devonshire49</t>
  </si>
  <si>
    <t>topbanana80</t>
  </si>
  <si>
    <t>samclarke2000</t>
  </si>
  <si>
    <t>luk9zw</t>
  </si>
  <si>
    <t>paulie760</t>
  </si>
  <si>
    <t>a900pes</t>
  </si>
  <si>
    <t>dvdnicholl</t>
  </si>
  <si>
    <t>j1985s</t>
  </si>
  <si>
    <t>anaylor1978</t>
  </si>
  <si>
    <t>mohammadm960</t>
  </si>
  <si>
    <t>nikky-j</t>
  </si>
  <si>
    <t>pomp82</t>
  </si>
  <si>
    <t>radish0504</t>
  </si>
  <si>
    <t>rjandrews85</t>
  </si>
  <si>
    <t>marekpul</t>
  </si>
  <si>
    <t>olipurnell</t>
  </si>
  <si>
    <t>lauralawson84</t>
  </si>
  <si>
    <t>pwatson1989</t>
  </si>
  <si>
    <t>ibimpy</t>
  </si>
  <si>
    <t>amtt1988</t>
  </si>
  <si>
    <t>seanb673</t>
  </si>
  <si>
    <t>greatmitton</t>
  </si>
  <si>
    <t xml:space="preserve"> Andrzej Paterek</t>
  </si>
  <si>
    <t>michaelbear1974</t>
  </si>
  <si>
    <t>wazzah21</t>
  </si>
  <si>
    <t>cornedbeefballs</t>
  </si>
  <si>
    <t>craig1559robs</t>
  </si>
  <si>
    <t>lewiswheadon</t>
  </si>
  <si>
    <t>hesscobar61</t>
  </si>
  <si>
    <t>geo_ree</t>
  </si>
  <si>
    <t>denish1976</t>
  </si>
  <si>
    <t>j1l1d1</t>
  </si>
  <si>
    <t>mikechrichard</t>
  </si>
  <si>
    <t>heapy89</t>
  </si>
  <si>
    <t>horrisv8</t>
  </si>
  <si>
    <t>mattymate</t>
  </si>
  <si>
    <t>pearlanashe</t>
  </si>
  <si>
    <t xml:space="preserve">Amount </t>
  </si>
  <si>
    <t>Demo Account</t>
  </si>
  <si>
    <t>lucylocs</t>
  </si>
  <si>
    <t>Previous Month Report</t>
  </si>
  <si>
    <t>Lauren</t>
  </si>
  <si>
    <t>kyliep_99</t>
  </si>
  <si>
    <t>This Month Report</t>
  </si>
  <si>
    <t>bow230</t>
  </si>
  <si>
    <t>alisoni1</t>
  </si>
  <si>
    <t>mrhuseyin</t>
  </si>
  <si>
    <t xml:space="preserve">Total Orders </t>
  </si>
  <si>
    <t>vase112007</t>
  </si>
  <si>
    <t>francis.ewbank</t>
  </si>
  <si>
    <t>mamun-ahmed</t>
  </si>
  <si>
    <t>handsome488</t>
  </si>
  <si>
    <t>lewisk831</t>
  </si>
  <si>
    <t>Revenue</t>
  </si>
  <si>
    <t>chelle1510</t>
  </si>
  <si>
    <t xml:space="preserve">1404dave
</t>
  </si>
  <si>
    <t>paul10feb2024</t>
  </si>
  <si>
    <t>andycadd</t>
  </si>
  <si>
    <t xml:space="preserve">Average Order Price </t>
  </si>
  <si>
    <t>robargall</t>
  </si>
  <si>
    <t>isb007</t>
  </si>
  <si>
    <t>dt1415</t>
  </si>
  <si>
    <t>sanu</t>
  </si>
  <si>
    <t>donewbank2026</t>
  </si>
  <si>
    <t>lbridle</t>
  </si>
  <si>
    <t>arthur9772</t>
  </si>
  <si>
    <t>vlad1331</t>
  </si>
  <si>
    <t>adaviz</t>
  </si>
  <si>
    <t>hnlp93</t>
  </si>
  <si>
    <t>vr893</t>
  </si>
  <si>
    <t>lanneroh</t>
  </si>
  <si>
    <t>allygram</t>
  </si>
  <si>
    <t>pipad1</t>
  </si>
  <si>
    <t>kenter63</t>
  </si>
  <si>
    <t>benji1219</t>
  </si>
  <si>
    <t xml:space="preserve"> buyer cancelled</t>
  </si>
  <si>
    <t>rhiannon2406</t>
  </si>
  <si>
    <t>not in stock</t>
  </si>
  <si>
    <r>
      <rPr>
        <color rgb="FF1155CC"/>
        <u/>
      </rPr>
      <t>macmckie</t>
    </r>
  </si>
  <si>
    <t>smh322223</t>
  </si>
  <si>
    <t>jordmg27</t>
  </si>
  <si>
    <t>greener88</t>
  </si>
  <si>
    <t>veedub123</t>
  </si>
  <si>
    <t>jackislee</t>
  </si>
  <si>
    <t>steve_cheese</t>
  </si>
  <si>
    <t>amyalanah123</t>
  </si>
  <si>
    <t>gillbrett</t>
  </si>
  <si>
    <t>rosco_higgins</t>
  </si>
  <si>
    <t>mjb2000</t>
  </si>
  <si>
    <t>kevin-1812</t>
  </si>
  <si>
    <t>paula66653713</t>
  </si>
  <si>
    <t>krossparker</t>
  </si>
  <si>
    <t>hedgehog21c</t>
  </si>
  <si>
    <t>paulw20</t>
  </si>
  <si>
    <t>vyperdiver1</t>
  </si>
  <si>
    <t>jords18000</t>
  </si>
  <si>
    <t>emo-1980</t>
  </si>
  <si>
    <t>liamw0086</t>
  </si>
  <si>
    <t xml:space="preserve">tommig33
</t>
  </si>
  <si>
    <t>mattiejoc</t>
  </si>
  <si>
    <t>dayboat</t>
  </si>
  <si>
    <t>annebella61</t>
  </si>
  <si>
    <t>ford7000hilux</t>
  </si>
  <si>
    <t>markburge3719</t>
  </si>
  <si>
    <t>rent_a_swag</t>
  </si>
  <si>
    <t>josherrr123</t>
  </si>
  <si>
    <t>donnams1973</t>
  </si>
  <si>
    <t>datum94</t>
  </si>
  <si>
    <t>tlaing1994</t>
  </si>
  <si>
    <t>ryang67</t>
  </si>
  <si>
    <t>andynorman89</t>
  </si>
  <si>
    <t>langkawi26</t>
  </si>
  <si>
    <t>mavcrh</t>
  </si>
  <si>
    <t>petalfam</t>
  </si>
  <si>
    <t>adriant</t>
  </si>
  <si>
    <t>syndicate</t>
  </si>
  <si>
    <t>Conterfit</t>
  </si>
  <si>
    <t>25 Refuned</t>
  </si>
  <si>
    <t>billyspackman</t>
  </si>
  <si>
    <t>bensusca</t>
  </si>
  <si>
    <t>pjfunkateer</t>
  </si>
  <si>
    <t>kh0196</t>
  </si>
  <si>
    <t>ethan.h39</t>
  </si>
  <si>
    <t>lucabristol20</t>
  </si>
  <si>
    <t>seanarms</t>
  </si>
  <si>
    <t>roberts_1983100</t>
  </si>
  <si>
    <t>mirok16b</t>
  </si>
  <si>
    <t>fiona4753</t>
  </si>
  <si>
    <t>grahamnutt11</t>
  </si>
  <si>
    <t>shaun.hynus</t>
  </si>
  <si>
    <t>sparkoeuk</t>
  </si>
  <si>
    <t>nismo370shaun</t>
  </si>
  <si>
    <t>1459mand</t>
  </si>
  <si>
    <t>tomd1992</t>
  </si>
  <si>
    <t>phil3651</t>
  </si>
  <si>
    <t>botchk</t>
  </si>
  <si>
    <t>chrisw744</t>
  </si>
  <si>
    <t>e78mac</t>
  </si>
  <si>
    <t>wrong color</t>
  </si>
  <si>
    <t>11 refunded</t>
  </si>
  <si>
    <t>evitts1966</t>
  </si>
  <si>
    <t>relovd_store</t>
  </si>
  <si>
    <t>deancoxon16</t>
  </si>
  <si>
    <t>pieinthesky05</t>
  </si>
  <si>
    <t>bennyst55</t>
  </si>
  <si>
    <t>thewestcloset</t>
  </si>
  <si>
    <t>nickp337</t>
  </si>
  <si>
    <t>harrishawk26</t>
  </si>
  <si>
    <t>23 refunded</t>
  </si>
  <si>
    <t>nate.butler</t>
  </si>
  <si>
    <t>richinnorwich</t>
  </si>
  <si>
    <t>garethbp</t>
  </si>
  <si>
    <t>michaelr517</t>
  </si>
  <si>
    <t>shaju69</t>
  </si>
  <si>
    <t>caburge56my</t>
  </si>
  <si>
    <t>believeyucanyuwill</t>
  </si>
  <si>
    <t>jom0421</t>
  </si>
  <si>
    <t>cabr932910</t>
  </si>
  <si>
    <t>emcash2023</t>
  </si>
  <si>
    <t>joannewhitworth</t>
  </si>
  <si>
    <t>georgek806</t>
  </si>
  <si>
    <t>npanglin</t>
  </si>
  <si>
    <t>carab27</t>
  </si>
  <si>
    <t>doms2110</t>
  </si>
  <si>
    <t>tetley4</t>
  </si>
  <si>
    <t>alexw-123</t>
  </si>
  <si>
    <t>robbied237</t>
  </si>
  <si>
    <t>bezza1406</t>
  </si>
  <si>
    <t>mrfive97</t>
  </si>
  <si>
    <t>86dogg</t>
  </si>
  <si>
    <t>callumm1809</t>
  </si>
  <si>
    <t xml:space="preserve">fiona4753
</t>
  </si>
  <si>
    <t>hub1e</t>
  </si>
  <si>
    <t>jimbo_turner</t>
  </si>
  <si>
    <t>leezgin</t>
  </si>
  <si>
    <t>jri9dpsb4i</t>
  </si>
  <si>
    <t>strawberrypear</t>
  </si>
  <si>
    <t>heidilona42</t>
  </si>
  <si>
    <t>phillipc63</t>
  </si>
  <si>
    <t>annalaverick</t>
  </si>
  <si>
    <t>mattheww351</t>
  </si>
  <si>
    <t>minijeweller4</t>
  </si>
  <si>
    <t>khalidm567</t>
  </si>
  <si>
    <t>swain1990</t>
  </si>
  <si>
    <t>jamie1980lfc</t>
  </si>
  <si>
    <t>eddy23k</t>
  </si>
  <si>
    <t>allanr999</t>
  </si>
  <si>
    <t>pikachuboy</t>
  </si>
  <si>
    <t>hijkz</t>
  </si>
  <si>
    <t>ooska3</t>
  </si>
  <si>
    <t>nclemo43</t>
  </si>
  <si>
    <t>athertonia</t>
  </si>
  <si>
    <t>eel74</t>
  </si>
  <si>
    <t>jap1406</t>
  </si>
  <si>
    <t>jimboflash</t>
  </si>
  <si>
    <t>charliem645</t>
  </si>
  <si>
    <t>james481</t>
  </si>
  <si>
    <t>animos1</t>
  </si>
  <si>
    <t>mouradat76</t>
  </si>
  <si>
    <t>herculessupreme</t>
  </si>
  <si>
    <t>hynam69</t>
  </si>
  <si>
    <t>robocop2000</t>
  </si>
  <si>
    <t>amitid47</t>
  </si>
  <si>
    <t>themanfrom</t>
  </si>
  <si>
    <t>sparkystodd</t>
  </si>
  <si>
    <t>dizzytinamckinstry</t>
  </si>
  <si>
    <t>s_westaway</t>
  </si>
  <si>
    <t>mu02zzy</t>
  </si>
  <si>
    <t>paulhainesuk</t>
  </si>
  <si>
    <t>rayb01</t>
  </si>
  <si>
    <t>ruthie0789</t>
  </si>
  <si>
    <t>seeuupthere</t>
  </si>
  <si>
    <t>leedsalaw</t>
  </si>
  <si>
    <t>kuka4935</t>
  </si>
  <si>
    <t>rory2467</t>
  </si>
  <si>
    <t>kellya1912</t>
  </si>
  <si>
    <t>kellett1977</t>
  </si>
  <si>
    <t>baileyhatton12</t>
  </si>
  <si>
    <t>mickeyblueeyes18</t>
  </si>
  <si>
    <t>glowyc15</t>
  </si>
  <si>
    <t>mgrimshaw1990</t>
  </si>
  <si>
    <t>sjclegg1</t>
  </si>
  <si>
    <t>alfiekna</t>
  </si>
  <si>
    <t>davidc8434</t>
  </si>
  <si>
    <t>greggy398</t>
  </si>
  <si>
    <t>simonjude1975</t>
  </si>
  <si>
    <t>dazbo007</t>
  </si>
  <si>
    <t xml:space="preserve">jordhardcastle
</t>
  </si>
  <si>
    <t>adriancorkin</t>
  </si>
  <si>
    <t>daveadalston</t>
  </si>
  <si>
    <t>cdoran86</t>
  </si>
  <si>
    <t>guys67</t>
  </si>
  <si>
    <t>honkytonkconk82</t>
  </si>
  <si>
    <t>72spike</t>
  </si>
  <si>
    <t>suz7789</t>
  </si>
  <si>
    <t>ace205</t>
  </si>
  <si>
    <t>cesartfr</t>
  </si>
  <si>
    <t>12 refunded</t>
  </si>
  <si>
    <t>scrotalrecall90</t>
  </si>
  <si>
    <t>stepheng672</t>
  </si>
  <si>
    <t>youmeatsteve</t>
  </si>
  <si>
    <t>bella1600</t>
  </si>
  <si>
    <t>bigred04</t>
  </si>
  <si>
    <t>rickymcaddock</t>
  </si>
  <si>
    <t>aymz811</t>
  </si>
  <si>
    <t>mrstizzler</t>
  </si>
  <si>
    <t>tanky125</t>
  </si>
  <si>
    <t>brad2982</t>
  </si>
  <si>
    <t>kathyd2528</t>
  </si>
  <si>
    <t>t.jones93</t>
  </si>
  <si>
    <t>clegood</t>
  </si>
  <si>
    <t>ashleighhwxx</t>
  </si>
  <si>
    <t xml:space="preserve">skinhead1964
</t>
  </si>
  <si>
    <t>tottie100</t>
  </si>
  <si>
    <t>bree177</t>
  </si>
  <si>
    <t>ty1901</t>
  </si>
  <si>
    <t>haroonk33</t>
  </si>
  <si>
    <t>terrykevin</t>
  </si>
  <si>
    <t>Ac: 39641250 C: 23-08-0</t>
  </si>
  <si>
    <t>llewbosh</t>
  </si>
  <si>
    <t>mrmoog</t>
  </si>
  <si>
    <t>benjamhow</t>
  </si>
  <si>
    <t/>
  </si>
  <si>
    <t>46andye</t>
  </si>
  <si>
    <t>choppz2014</t>
  </si>
  <si>
    <t>ether12</t>
  </si>
  <si>
    <t>cagardner</t>
  </si>
  <si>
    <t>felloows</t>
  </si>
  <si>
    <t>hurststephen54</t>
  </si>
  <si>
    <t>rica02shb</t>
  </si>
  <si>
    <t>hceve88</t>
  </si>
  <si>
    <t>lambys123</t>
  </si>
  <si>
    <t>jac0102</t>
  </si>
  <si>
    <t>ks07070</t>
  </si>
  <si>
    <t>dm487989</t>
  </si>
  <si>
    <t>APRIL</t>
  </si>
  <si>
    <t>jmrv33</t>
  </si>
  <si>
    <t>511 Light blue</t>
  </si>
  <si>
    <t>swinnyrob</t>
  </si>
  <si>
    <t>aidenshelford</t>
  </si>
  <si>
    <t>ellisrb15</t>
  </si>
  <si>
    <t>amir198218</t>
  </si>
  <si>
    <t>andywade2</t>
  </si>
  <si>
    <t>tenaciouslee91</t>
  </si>
  <si>
    <t>dontwastemydata</t>
  </si>
  <si>
    <t>trumanluvsgerty</t>
  </si>
  <si>
    <t>metworldtom</t>
  </si>
  <si>
    <t>riffsyoo</t>
  </si>
  <si>
    <t>jamesb6861</t>
  </si>
  <si>
    <r>
      <rPr>
        <color rgb="FF1155CC"/>
        <u/>
      </rPr>
      <t>trreynolds</t>
    </r>
  </si>
  <si>
    <r>
      <rPr>
        <color rgb="FF1155CC"/>
        <u/>
      </rPr>
      <t>ben411</t>
    </r>
  </si>
  <si>
    <t>leslivsey</t>
  </si>
  <si>
    <t>rupert7474</t>
  </si>
  <si>
    <t>mitchcameron</t>
  </si>
  <si>
    <t>mk9191919</t>
  </si>
  <si>
    <t>timnkaren</t>
  </si>
  <si>
    <t>sarahlou660713</t>
  </si>
  <si>
    <t>larisalacatus1</t>
  </si>
  <si>
    <t>saddlers78</t>
  </si>
  <si>
    <t>stuharv21</t>
  </si>
  <si>
    <t>gypsy2018</t>
  </si>
  <si>
    <t>danielh2755</t>
  </si>
  <si>
    <t>ewymac</t>
  </si>
  <si>
    <t>tom_billington</t>
  </si>
  <si>
    <t>10diceshot</t>
  </si>
  <si>
    <t>lemon8889</t>
  </si>
  <si>
    <t>yoxy87</t>
  </si>
  <si>
    <t>moddude</t>
  </si>
  <si>
    <t>jackhickling</t>
  </si>
  <si>
    <t>sorenson3</t>
  </si>
  <si>
    <t>Counterfit</t>
  </si>
  <si>
    <t>liam19877</t>
  </si>
  <si>
    <t>samw615</t>
  </si>
  <si>
    <t>scfh123</t>
  </si>
  <si>
    <t>calexhay</t>
  </si>
  <si>
    <t>jvnanagas</t>
  </si>
  <si>
    <t>not arrived</t>
  </si>
  <si>
    <t>andrewmarc</t>
  </si>
  <si>
    <t>04-04=2026</t>
  </si>
  <si>
    <t>rupunan</t>
  </si>
  <si>
    <t>atissandier</t>
  </si>
  <si>
    <t>ambtb</t>
  </si>
  <si>
    <t>fogsta95</t>
  </si>
  <si>
    <t>chrisaubin</t>
  </si>
  <si>
    <t>barronvonthomas</t>
  </si>
  <si>
    <t>rmwatson91</t>
  </si>
  <si>
    <t>julovesclothes</t>
  </si>
  <si>
    <t>5cottyp</t>
  </si>
  <si>
    <t>ali10011111</t>
  </si>
  <si>
    <t>mattyorkie</t>
  </si>
  <si>
    <t>stocker1234</t>
  </si>
  <si>
    <t>mills19922022</t>
  </si>
  <si>
    <t>the_kelly_bond</t>
  </si>
  <si>
    <t>athens2008</t>
  </si>
  <si>
    <t>fordy51</t>
  </si>
  <si>
    <t>nokelly23</t>
  </si>
  <si>
    <t>jamesf555</t>
  </si>
  <si>
    <t>sandyman1987</t>
  </si>
  <si>
    <t>darrenp898</t>
  </si>
  <si>
    <t>jcooper5196</t>
  </si>
  <si>
    <t>garethnew</t>
  </si>
  <si>
    <t>matthewlottsrobert</t>
  </si>
  <si>
    <t>redman18928</t>
  </si>
  <si>
    <t>bakerboy1966</t>
  </si>
  <si>
    <t>accidentalsbm</t>
  </si>
  <si>
    <t>todgem</t>
  </si>
  <si>
    <t>rav1nder</t>
  </si>
  <si>
    <t>sentryuk19</t>
  </si>
  <si>
    <t>micksil</t>
  </si>
  <si>
    <t xml:space="preserve">davidm7340
</t>
  </si>
  <si>
    <t>boxing4111</t>
  </si>
  <si>
    <t>teawhite</t>
  </si>
  <si>
    <t>adamsheffield21</t>
  </si>
  <si>
    <t>jaypacker</t>
  </si>
  <si>
    <t>cambbo08</t>
  </si>
  <si>
    <t>k_longmore</t>
  </si>
  <si>
    <t>paddingtonthegreat</t>
  </si>
  <si>
    <t>tomb8tes</t>
  </si>
  <si>
    <t>bestrshippintogo</t>
  </si>
  <si>
    <t>pacymedas</t>
  </si>
  <si>
    <t>useran789</t>
  </si>
  <si>
    <t>eve1223</t>
  </si>
  <si>
    <t>jt538332</t>
  </si>
  <si>
    <t>martynblack</t>
  </si>
  <si>
    <t>mohammadm653</t>
  </si>
  <si>
    <t>daisyderry</t>
  </si>
  <si>
    <t>counterfiet</t>
  </si>
  <si>
    <t>hemi300</t>
  </si>
  <si>
    <t>kitkar1000</t>
  </si>
  <si>
    <t>wils2154</t>
  </si>
  <si>
    <t>cooper1663</t>
  </si>
  <si>
    <t>david30a</t>
  </si>
  <si>
    <t>danfield91</t>
  </si>
  <si>
    <t>woodstock1332</t>
  </si>
  <si>
    <t>happylife37</t>
  </si>
  <si>
    <t>samford15</t>
  </si>
  <si>
    <t>16psl</t>
  </si>
  <si>
    <t>inkerbela</t>
  </si>
  <si>
    <t>jessedurrell</t>
  </si>
  <si>
    <t>yawamasta</t>
  </si>
  <si>
    <t>alexbn21</t>
  </si>
  <si>
    <t>steve031980</t>
  </si>
  <si>
    <t>davwat9</t>
  </si>
  <si>
    <t>zachsmummy</t>
  </si>
  <si>
    <t>martj17</t>
  </si>
  <si>
    <t>rehkha8</t>
  </si>
  <si>
    <t>jonfarr3</t>
  </si>
  <si>
    <t>alisaba92</t>
  </si>
  <si>
    <t>harrys3912</t>
  </si>
  <si>
    <t>daziadams</t>
  </si>
  <si>
    <t>out of stock</t>
  </si>
  <si>
    <t>mamaandmimi</t>
  </si>
  <si>
    <t>ertsdad</t>
  </si>
  <si>
    <t>vlazyboy1973</t>
  </si>
  <si>
    <t>marii1712</t>
  </si>
  <si>
    <t>calummac94</t>
  </si>
  <si>
    <t>teddybigboy</t>
  </si>
  <si>
    <t>acash24</t>
  </si>
  <si>
    <t>cameronundell03</t>
  </si>
  <si>
    <t>ujjju</t>
  </si>
  <si>
    <t>stuartc668</t>
  </si>
  <si>
    <t>denreg91</t>
  </si>
  <si>
    <t>nicpinklaydee</t>
  </si>
  <si>
    <t>fayebottomley</t>
  </si>
  <si>
    <t>redredrobin63</t>
  </si>
  <si>
    <t>billyf69</t>
  </si>
  <si>
    <t>tracymichelle1967</t>
  </si>
  <si>
    <t>mcurzon53</t>
  </si>
  <si>
    <t>fortchio</t>
  </si>
  <si>
    <t>adamsmith2104</t>
  </si>
  <si>
    <t>christopherbutton</t>
  </si>
  <si>
    <t>samlloyd88</t>
  </si>
  <si>
    <t>grahamb129</t>
  </si>
  <si>
    <t>acambra3</t>
  </si>
  <si>
    <t>cook12485</t>
  </si>
  <si>
    <t>nickm857</t>
  </si>
  <si>
    <t>cwmboi</t>
  </si>
  <si>
    <t>tmhps</t>
  </si>
  <si>
    <t>stever917</t>
  </si>
  <si>
    <t>boppers92</t>
  </si>
  <si>
    <t>tstubley</t>
  </si>
  <si>
    <t>sue.tcb</t>
  </si>
  <si>
    <t>bumblebee184</t>
  </si>
  <si>
    <t>mardale73</t>
  </si>
  <si>
    <t>dicknose</t>
  </si>
  <si>
    <t>seanmills90</t>
  </si>
  <si>
    <t>megamartonline</t>
  </si>
  <si>
    <t>legasp</t>
  </si>
  <si>
    <t>matthewwood198</t>
  </si>
  <si>
    <t>alexjmcg</t>
  </si>
  <si>
    <t>Cancel</t>
  </si>
  <si>
    <t>buysell4567</t>
  </si>
  <si>
    <t>knashy1977</t>
  </si>
  <si>
    <t>pozessed</t>
  </si>
  <si>
    <t>enzolorenzo12</t>
  </si>
  <si>
    <t>not received</t>
  </si>
  <si>
    <t>elwyn8</t>
  </si>
  <si>
    <t>alikabak77</t>
  </si>
  <si>
    <t>joshua.p.phillips</t>
  </si>
  <si>
    <t>spacem1</t>
  </si>
  <si>
    <t>nibo999</t>
  </si>
  <si>
    <t>brooksie1969</t>
  </si>
  <si>
    <t>nadima80</t>
  </si>
  <si>
    <t>mgee100</t>
  </si>
  <si>
    <t>paul020473</t>
  </si>
  <si>
    <t>mwrb13</t>
  </si>
  <si>
    <t>tomtom996</t>
  </si>
  <si>
    <t>12mokeed</t>
  </si>
  <si>
    <t>charlotteellen88</t>
  </si>
  <si>
    <t>sebw69</t>
  </si>
  <si>
    <t>the12thofnovascotia</t>
  </si>
  <si>
    <t>martint70</t>
  </si>
  <si>
    <t>maggiedodd4</t>
  </si>
  <si>
    <t>johnnybrown101</t>
  </si>
  <si>
    <t>krjane</t>
  </si>
  <si>
    <t>stewartg92</t>
  </si>
  <si>
    <t>sezzer70</t>
  </si>
  <si>
    <t>badgernet</t>
  </si>
  <si>
    <t>sebbymonzo67</t>
  </si>
  <si>
    <t>ndennis1303</t>
  </si>
  <si>
    <t>fabricatem8com</t>
  </si>
  <si>
    <t>trevcrook</t>
  </si>
  <si>
    <t>Michael Hayes</t>
  </si>
  <si>
    <t>abdellah-dz</t>
  </si>
  <si>
    <t>kayakfisher1</t>
  </si>
  <si>
    <t>wozzle27</t>
  </si>
  <si>
    <t>ariyibio</t>
  </si>
  <si>
    <t>sumanii</t>
  </si>
  <si>
    <t>stairwaytodevon</t>
  </si>
  <si>
    <t>emilyp6898</t>
  </si>
  <si>
    <t>jwslondon</t>
  </si>
  <si>
    <t>MA SHA ALLAH</t>
  </si>
  <si>
    <t>deanspleen</t>
  </si>
  <si>
    <t>agnew73</t>
  </si>
  <si>
    <t>richardcal8919</t>
  </si>
  <si>
    <t>patelm71</t>
  </si>
  <si>
    <t>trix222</t>
  </si>
  <si>
    <t xml:space="preserve">chrisb4247
</t>
  </si>
  <si>
    <t>nicbro84</t>
  </si>
  <si>
    <t>sineadyxxx</t>
  </si>
  <si>
    <t>rlang118</t>
  </si>
  <si>
    <t>khalid.vin</t>
  </si>
  <si>
    <t>tonytrims</t>
  </si>
  <si>
    <t>gds1002</t>
  </si>
  <si>
    <t>christopherw742</t>
  </si>
  <si>
    <t>ianchev50</t>
  </si>
  <si>
    <t>creations2009</t>
  </si>
  <si>
    <t>baloonose</t>
  </si>
  <si>
    <t>rossl968</t>
  </si>
  <si>
    <t>massybamble</t>
  </si>
  <si>
    <t>jerrypollard</t>
  </si>
  <si>
    <t>mikeyh311</t>
  </si>
  <si>
    <t>ameltg</t>
  </si>
  <si>
    <t>nico-and-lina</t>
  </si>
  <si>
    <t>amm723</t>
  </si>
  <si>
    <t>jtdru</t>
  </si>
  <si>
    <t>kevinmh2513</t>
  </si>
  <si>
    <t>Bumped</t>
  </si>
  <si>
    <t>stewartmackay78</t>
  </si>
  <si>
    <t>stormin_norman_dj</t>
  </si>
  <si>
    <t>ecksell1000</t>
  </si>
  <si>
    <t>obeng29</t>
  </si>
  <si>
    <t>ILS11251113</t>
  </si>
  <si>
    <t>stuartrigby05</t>
  </si>
  <si>
    <t>ccos0912</t>
  </si>
  <si>
    <t>browner1625</t>
  </si>
  <si>
    <t>leoj200</t>
  </si>
  <si>
    <t>jmbt09167876</t>
  </si>
  <si>
    <t>notty737</t>
  </si>
  <si>
    <t>thealbinobat</t>
  </si>
  <si>
    <t>tonyp205</t>
  </si>
  <si>
    <t>themeemaw1987</t>
  </si>
  <si>
    <t>mikew641</t>
  </si>
  <si>
    <t>alexea77</t>
  </si>
  <si>
    <t>jimmyc19</t>
  </si>
  <si>
    <t>binky22569</t>
  </si>
  <si>
    <t>1287ashm</t>
  </si>
  <si>
    <t>cristiano1</t>
  </si>
  <si>
    <t>mikecollins10</t>
  </si>
  <si>
    <t>shaneb642</t>
  </si>
  <si>
    <t>johnthomas1992</t>
  </si>
  <si>
    <t>sgray0768</t>
  </si>
  <si>
    <t>order not shipped</t>
  </si>
  <si>
    <t>stubert12a</t>
  </si>
  <si>
    <t>pearsoncw</t>
  </si>
  <si>
    <t>geevee2004</t>
  </si>
  <si>
    <t>craigbrown12</t>
  </si>
  <si>
    <t>fortune2021</t>
  </si>
  <si>
    <t>steffijb14</t>
  </si>
  <si>
    <t>trenby</t>
  </si>
  <si>
    <t>rafiu77</t>
  </si>
  <si>
    <t>intercityfirm1970</t>
  </si>
  <si>
    <t>seand449</t>
  </si>
  <si>
    <t>garths2</t>
  </si>
  <si>
    <t>ac_keeble</t>
  </si>
  <si>
    <t>19mpg66</t>
  </si>
  <si>
    <t>williamh800</t>
  </si>
  <si>
    <t>danjosh68</t>
  </si>
  <si>
    <t>djkelly1985</t>
  </si>
  <si>
    <t>dougra11162</t>
  </si>
  <si>
    <t>slickviking</t>
  </si>
  <si>
    <t>jweightman</t>
  </si>
  <si>
    <t>mitsymoo1234</t>
  </si>
  <si>
    <t>nelson0074</t>
  </si>
  <si>
    <t>sarlog4</t>
  </si>
  <si>
    <t>jakegittes77</t>
  </si>
  <si>
    <t>lanathompstone</t>
  </si>
  <si>
    <t>johnb1022</t>
  </si>
  <si>
    <t>d600stephen</t>
  </si>
  <si>
    <t>blackfriar</t>
  </si>
  <si>
    <t>scotty189</t>
  </si>
  <si>
    <t>john23925</t>
  </si>
  <si>
    <t>mylescliff-taylor</t>
  </si>
  <si>
    <t>17flaing</t>
  </si>
  <si>
    <t>willin75</t>
  </si>
  <si>
    <t>ruparnell</t>
  </si>
  <si>
    <t>jackfell24</t>
  </si>
  <si>
    <t>paulh5099</t>
  </si>
  <si>
    <t>massey7718dyna6</t>
  </si>
  <si>
    <t>julesf5873</t>
  </si>
  <si>
    <t>dawson565</t>
  </si>
  <si>
    <t>cousinsvi</t>
  </si>
  <si>
    <t>hshyar</t>
  </si>
  <si>
    <t>simondavid78</t>
  </si>
  <si>
    <t>MAY</t>
  </si>
  <si>
    <t>h8761</t>
  </si>
  <si>
    <t>hughs19</t>
  </si>
  <si>
    <t>mrmacpherson</t>
  </si>
  <si>
    <t>nataliepeg</t>
  </si>
  <si>
    <t>lisahut12</t>
  </si>
  <si>
    <t>glennbhoy</t>
  </si>
  <si>
    <t>freshairman</t>
  </si>
  <si>
    <t>tsoh1987</t>
  </si>
  <si>
    <t>busterdouglas</t>
  </si>
  <si>
    <t>barboryte2014</t>
  </si>
  <si>
    <t>sportssteverino</t>
  </si>
  <si>
    <t>jennyo48</t>
  </si>
  <si>
    <t>johns2587</t>
  </si>
  <si>
    <t>philcornforth</t>
  </si>
  <si>
    <t>eddiehittla</t>
  </si>
  <si>
    <t>atp-edlow</t>
  </si>
  <si>
    <t>happynige</t>
  </si>
  <si>
    <t>cvp205</t>
  </si>
  <si>
    <t>saxy23</t>
  </si>
  <si>
    <t>jrp64</t>
  </si>
  <si>
    <t>dadofmegs</t>
  </si>
  <si>
    <t>05-02--2026</t>
  </si>
  <si>
    <t>mariocmd</t>
  </si>
  <si>
    <t>kylek308</t>
  </si>
  <si>
    <t>callumm378</t>
  </si>
  <si>
    <t>mstubbs76</t>
  </si>
  <si>
    <t>scibby1972</t>
  </si>
  <si>
    <t>hoppers57</t>
  </si>
  <si>
    <t>theelderwarlock</t>
  </si>
  <si>
    <t>whallion</t>
  </si>
  <si>
    <t>nickbryant191</t>
  </si>
  <si>
    <t>peteo44</t>
  </si>
  <si>
    <t>mike042</t>
  </si>
  <si>
    <t>andysmith1965</t>
  </si>
  <si>
    <t>aami123x</t>
  </si>
  <si>
    <t>christamiell</t>
  </si>
  <si>
    <t>jessica21021990</t>
  </si>
  <si>
    <t>arronr1991sjr</t>
  </si>
  <si>
    <t>southluck</t>
  </si>
  <si>
    <t>leeev6</t>
  </si>
  <si>
    <t>blakedextercooper777</t>
  </si>
  <si>
    <t>hxarris</t>
  </si>
  <si>
    <t>ybam92</t>
  </si>
  <si>
    <t>stevejpeterson</t>
  </si>
  <si>
    <t>gazboyh6647</t>
  </si>
  <si>
    <t>tommy_tacco</t>
  </si>
  <si>
    <t>arthurcullen71</t>
  </si>
  <si>
    <t>dilsingh83</t>
  </si>
  <si>
    <t>hubus893</t>
  </si>
  <si>
    <t>sct1990</t>
  </si>
  <si>
    <t>robbo078</t>
  </si>
  <si>
    <t>danallin</t>
  </si>
  <si>
    <t>rossmk14</t>
  </si>
  <si>
    <t>faris1086</t>
  </si>
  <si>
    <t>ocbrook</t>
  </si>
  <si>
    <t>sherry5572</t>
  </si>
  <si>
    <t>iceman200</t>
  </si>
  <si>
    <t>rudeboy6981</t>
  </si>
  <si>
    <t>amarabugarski</t>
  </si>
  <si>
    <t>sol3423</t>
  </si>
  <si>
    <t>thetzo</t>
  </si>
  <si>
    <t>gripper1965</t>
  </si>
  <si>
    <t>stevenf29</t>
  </si>
  <si>
    <t>bcb1984</t>
  </si>
  <si>
    <t>worldb8</t>
  </si>
  <si>
    <t>james52525</t>
  </si>
  <si>
    <t>tcbstudio</t>
  </si>
  <si>
    <t>ryansmithiom</t>
  </si>
  <si>
    <t>samlrowley</t>
  </si>
  <si>
    <t>gail123123</t>
  </si>
  <si>
    <t>roobarb1966</t>
  </si>
  <si>
    <t>thegreyfalcon</t>
  </si>
  <si>
    <t>sammypls</t>
  </si>
  <si>
    <t>djdazza44</t>
  </si>
  <si>
    <t>tnashton</t>
  </si>
  <si>
    <t>paulf966</t>
  </si>
  <si>
    <t>shaxzod</t>
  </si>
  <si>
    <t>shomes555</t>
  </si>
  <si>
    <t>sigraves</t>
  </si>
  <si>
    <t>matty1932</t>
  </si>
  <si>
    <t>jackchapman77</t>
  </si>
  <si>
    <t>dnaboi1987</t>
  </si>
  <si>
    <t>walli2487</t>
  </si>
  <si>
    <t>brynleyj</t>
  </si>
  <si>
    <t>garrybillison</t>
  </si>
  <si>
    <t>valerianauras</t>
  </si>
  <si>
    <t>cretuc88</t>
  </si>
  <si>
    <t>garyb418</t>
  </si>
  <si>
    <t>leehow75</t>
  </si>
  <si>
    <t>jethrowest</t>
  </si>
  <si>
    <t>lovesavestheday</t>
  </si>
  <si>
    <t xml:space="preserve">martbay
</t>
  </si>
  <si>
    <t xml:space="preserve">PARCEL </t>
  </si>
  <si>
    <t>katiesmith999</t>
  </si>
  <si>
    <t>canvrain</t>
  </si>
  <si>
    <t>bryn0206</t>
  </si>
  <si>
    <t>lizzies35</t>
  </si>
  <si>
    <t>rodofhales</t>
  </si>
  <si>
    <t>doncaster4321</t>
  </si>
  <si>
    <t>roharad</t>
  </si>
  <si>
    <t>mxnnyp</t>
  </si>
  <si>
    <t>coplandfront05</t>
  </si>
  <si>
    <t>leescott1985</t>
  </si>
  <si>
    <t>ejohnson</t>
  </si>
  <si>
    <t>tom.griffiths26</t>
  </si>
  <si>
    <t>timf544</t>
  </si>
  <si>
    <t>silverback101</t>
  </si>
  <si>
    <t>3afash</t>
  </si>
  <si>
    <t xml:space="preserve">wilko123101
</t>
  </si>
  <si>
    <t>davidtaylor-black</t>
  </si>
  <si>
    <t>philipm312</t>
  </si>
  <si>
    <t xml:space="preserve">daisyboo54
</t>
  </si>
  <si>
    <t>luisvandutra</t>
  </si>
  <si>
    <t>simonm6595</t>
  </si>
  <si>
    <t>matth231</t>
  </si>
  <si>
    <t>damged/refunded</t>
  </si>
  <si>
    <t>nashamazoid</t>
  </si>
  <si>
    <t>jwmacd</t>
  </si>
  <si>
    <t>nacerbenamara</t>
  </si>
  <si>
    <t>alice300699</t>
  </si>
  <si>
    <t>nic33445</t>
  </si>
  <si>
    <t>luke.wade1</t>
  </si>
  <si>
    <t>briane626</t>
  </si>
  <si>
    <t>13darrens13</t>
  </si>
  <si>
    <t>mattalpa</t>
  </si>
  <si>
    <t>alex2709189</t>
  </si>
  <si>
    <t>tukaalshaar</t>
  </si>
  <si>
    <t>maureenj4</t>
  </si>
  <si>
    <t>poweens4</t>
  </si>
  <si>
    <t>swn-y-gwynt</t>
  </si>
  <si>
    <t>willelliott</t>
  </si>
  <si>
    <t>rigger157</t>
  </si>
  <si>
    <t>paok_katerini</t>
  </si>
  <si>
    <t>gosiakay33</t>
  </si>
  <si>
    <t>johnmcghee</t>
  </si>
  <si>
    <t>davidgreen22</t>
  </si>
  <si>
    <t>adamr172</t>
  </si>
  <si>
    <t>jamiedunning1994</t>
  </si>
  <si>
    <t>vintageav3</t>
  </si>
  <si>
    <t>tom48073</t>
  </si>
  <si>
    <t>retro_2820</t>
  </si>
  <si>
    <t>alanp553</t>
  </si>
  <si>
    <t>mkeean</t>
  </si>
  <si>
    <t>benf430</t>
  </si>
  <si>
    <t>petercourtneyx</t>
  </si>
  <si>
    <t>neils875</t>
  </si>
  <si>
    <t>jwarren09</t>
  </si>
  <si>
    <t>lewis12391</t>
  </si>
  <si>
    <t>emadb4</t>
  </si>
  <si>
    <t>houssamd67</t>
  </si>
  <si>
    <t>marypendry</t>
  </si>
  <si>
    <t>vickvicky5</t>
  </si>
  <si>
    <t>taljon9</t>
  </si>
  <si>
    <t>sulfate123</t>
  </si>
  <si>
    <t>lazinsky</t>
  </si>
  <si>
    <t>jmitton</t>
  </si>
  <si>
    <t>rano25</t>
  </si>
  <si>
    <t>paddiezonton</t>
  </si>
  <si>
    <t>tajwantm</t>
  </si>
  <si>
    <t>seankyro</t>
  </si>
  <si>
    <t>outshine2023</t>
  </si>
  <si>
    <t>rosadalisa</t>
  </si>
  <si>
    <t>dee_0001</t>
  </si>
  <si>
    <t>spooky66335</t>
  </si>
  <si>
    <t>sbastek613</t>
  </si>
  <si>
    <t>mroggy</t>
  </si>
  <si>
    <t>car10519</t>
  </si>
  <si>
    <t>riz325i</t>
  </si>
  <si>
    <t>kulinich24</t>
  </si>
  <si>
    <t>cancelled</t>
  </si>
  <si>
    <t>jashua8</t>
  </si>
  <si>
    <t>gfredd</t>
  </si>
  <si>
    <t>rpjs41</t>
  </si>
  <si>
    <t>lyndsey2022</t>
  </si>
  <si>
    <t>houseman2011</t>
  </si>
  <si>
    <t>jeffbarret35</t>
  </si>
  <si>
    <t>diggercd</t>
  </si>
  <si>
    <t>mariaovalletorres</t>
  </si>
  <si>
    <t>callumc305</t>
  </si>
  <si>
    <t>marcinnowakuk</t>
  </si>
  <si>
    <t>d80wb9</t>
  </si>
  <si>
    <t>julieg0727</t>
  </si>
  <si>
    <t>lahouari84</t>
  </si>
  <si>
    <t>bmullen9</t>
  </si>
  <si>
    <t>browne193</t>
  </si>
  <si>
    <t>davidm7340</t>
  </si>
  <si>
    <t>saxli1109</t>
  </si>
  <si>
    <t>edgarytas</t>
  </si>
  <si>
    <t>joshwatto4242</t>
  </si>
  <si>
    <t>JUNE</t>
  </si>
  <si>
    <t>mosdef69</t>
  </si>
  <si>
    <t>akirakenada</t>
  </si>
  <si>
    <t>paulharryman</t>
  </si>
  <si>
    <t>adamcoulter86</t>
  </si>
  <si>
    <t>captain_beyond_606</t>
  </si>
  <si>
    <t>edwardglow</t>
  </si>
  <si>
    <t>jase7746</t>
  </si>
  <si>
    <t>alan111234</t>
  </si>
  <si>
    <t>bigart79</t>
  </si>
  <si>
    <t>bigrat79</t>
  </si>
  <si>
    <t>jadee221</t>
  </si>
  <si>
    <t>robtaylorstewart</t>
  </si>
  <si>
    <t>oscarshep125</t>
  </si>
  <si>
    <t>adam-tc</t>
  </si>
  <si>
    <t>adamfk82</t>
  </si>
  <si>
    <t>bretta50</t>
  </si>
  <si>
    <t>afroshops</t>
  </si>
  <si>
    <t>stesmith1994</t>
  </si>
  <si>
    <t>chicago09</t>
  </si>
  <si>
    <t>nads247</t>
  </si>
  <si>
    <t>geordie040473</t>
  </si>
  <si>
    <t>danc110</t>
  </si>
  <si>
    <t>mehmetali12345</t>
  </si>
  <si>
    <t>selma1983</t>
  </si>
  <si>
    <t>jesusaquino22</t>
  </si>
  <si>
    <t>robbie.metcalfe</t>
  </si>
  <si>
    <t>gorgusia1981</t>
  </si>
  <si>
    <t>twilkin</t>
  </si>
  <si>
    <t>harry93007</t>
  </si>
  <si>
    <t>jimbob1124</t>
  </si>
  <si>
    <t>lesleykirkland1</t>
  </si>
  <si>
    <t>morlock73</t>
  </si>
  <si>
    <t>full refund</t>
  </si>
  <si>
    <t>damaged</t>
  </si>
  <si>
    <t>r1l3yjd27</t>
  </si>
  <si>
    <t>jezdavison8</t>
  </si>
  <si>
    <t>geowri72</t>
  </si>
  <si>
    <t>tonyk828</t>
  </si>
  <si>
    <t>kevjewitt79</t>
  </si>
  <si>
    <t>happydays1004</t>
  </si>
  <si>
    <t>biggav1988</t>
  </si>
  <si>
    <t>rosty111</t>
  </si>
  <si>
    <t>casualgent198</t>
  </si>
  <si>
    <t>peterokane</t>
  </si>
  <si>
    <t>hleadbeater01</t>
  </si>
  <si>
    <t>tolu_ayeni</t>
  </si>
  <si>
    <t>bigtimmyb</t>
  </si>
  <si>
    <t>btecblackguy</t>
  </si>
  <si>
    <t>goodbox40</t>
  </si>
  <si>
    <t>elliisshx</t>
  </si>
  <si>
    <t>111edw</t>
  </si>
  <si>
    <t>josebaxter</t>
  </si>
  <si>
    <t>racketman12</t>
  </si>
  <si>
    <t>alanf7430</t>
  </si>
  <si>
    <t>bcuds</t>
  </si>
  <si>
    <t>mbturner6519</t>
  </si>
  <si>
    <t>10 refunded</t>
  </si>
  <si>
    <t>j_bseph</t>
  </si>
  <si>
    <t>deus2024</t>
  </si>
  <si>
    <t>daddydave90</t>
  </si>
  <si>
    <t>rruss79</t>
  </si>
  <si>
    <t>aliarm</t>
  </si>
  <si>
    <t>hiphopviking</t>
  </si>
  <si>
    <t>13.45 Refund</t>
  </si>
  <si>
    <t>psychopaul666</t>
  </si>
  <si>
    <t>oliver25224687</t>
  </si>
  <si>
    <t>aidan2576</t>
  </si>
  <si>
    <t>nelot50</t>
  </si>
  <si>
    <t>harry_pinkerton</t>
  </si>
  <si>
    <t>arek730</t>
  </si>
  <si>
    <t>rjb26</t>
  </si>
  <si>
    <t>Leanneunit2</t>
  </si>
  <si>
    <t>deedle123</t>
  </si>
  <si>
    <t xml:space="preserve">trez95
</t>
  </si>
  <si>
    <t>muheeb</t>
  </si>
  <si>
    <t>bambam9876</t>
  </si>
  <si>
    <t>craigwhitehead7231</t>
  </si>
  <si>
    <t>laker7680</t>
  </si>
  <si>
    <t>dejiboi</t>
  </si>
  <si>
    <t>mardou94</t>
  </si>
  <si>
    <t>jevtyu22</t>
  </si>
  <si>
    <t>spitfire19801418</t>
  </si>
  <si>
    <t>ads135789</t>
  </si>
  <si>
    <t>tommomak</t>
  </si>
  <si>
    <t>bumped</t>
  </si>
  <si>
    <t>mdavidson744</t>
  </si>
  <si>
    <t>marcosm1622</t>
  </si>
  <si>
    <t xml:space="preserve">parcel return </t>
  </si>
  <si>
    <t xml:space="preserve">sophieannsargent
</t>
  </si>
  <si>
    <t>welshyg61</t>
  </si>
  <si>
    <t>davidlovett11</t>
  </si>
  <si>
    <t>jagemakala</t>
  </si>
  <si>
    <t>dmp82</t>
  </si>
  <si>
    <t>jackr349</t>
  </si>
  <si>
    <t>dazbags</t>
  </si>
  <si>
    <t>goldengirl2013</t>
  </si>
  <si>
    <t>ashleyn55</t>
  </si>
  <si>
    <t>cristian123321</t>
  </si>
  <si>
    <t>arronbutler</t>
  </si>
  <si>
    <t>ratter66666</t>
  </si>
  <si>
    <t>rabmone</t>
  </si>
  <si>
    <t>markj233</t>
  </si>
  <si>
    <t>greenfields667</t>
  </si>
  <si>
    <t>thebeerman12</t>
  </si>
  <si>
    <t>andrewclothing</t>
  </si>
  <si>
    <t>androsbertos</t>
  </si>
  <si>
    <t>ant-evans-horrocks</t>
  </si>
  <si>
    <t>ro.bbert</t>
  </si>
  <si>
    <t>jmagdirila</t>
  </si>
  <si>
    <t>evandavid2010</t>
  </si>
  <si>
    <t>mannvy</t>
  </si>
  <si>
    <t>sebhamp</t>
  </si>
  <si>
    <t>tuk09876</t>
  </si>
  <si>
    <t>welshboyjonesy</t>
  </si>
  <si>
    <t>jockyjoiner</t>
  </si>
  <si>
    <t>adamko26</t>
  </si>
  <si>
    <t>cascal02</t>
  </si>
  <si>
    <t>mallabar5003</t>
  </si>
  <si>
    <t>precious758</t>
  </si>
  <si>
    <t>jeewing12</t>
  </si>
  <si>
    <t>lesathsamarakone</t>
  </si>
  <si>
    <t>cat2woman</t>
  </si>
  <si>
    <t>andrewcrosland</t>
  </si>
  <si>
    <t>jj3126</t>
  </si>
  <si>
    <t>proton72</t>
  </si>
  <si>
    <t>toramank</t>
  </si>
  <si>
    <t>sadamski66</t>
  </si>
  <si>
    <t>oilman71</t>
  </si>
  <si>
    <t xml:space="preserve">dickie-b
</t>
  </si>
  <si>
    <t>zkmarkov</t>
  </si>
  <si>
    <t>bignige86</t>
  </si>
  <si>
    <t>finlay1312</t>
  </si>
  <si>
    <t>cal1990</t>
  </si>
  <si>
    <t>alexmellor19</t>
  </si>
  <si>
    <t>evermiss20100</t>
  </si>
  <si>
    <t>JULY</t>
  </si>
  <si>
    <t>markhowcroft2</t>
  </si>
  <si>
    <t>rjb_3</t>
  </si>
  <si>
    <t>joeb4422</t>
  </si>
  <si>
    <t>ibra2026</t>
  </si>
  <si>
    <t>frasers144</t>
  </si>
  <si>
    <t>indiekidmunky</t>
  </si>
  <si>
    <t>carlajlow</t>
  </si>
  <si>
    <t>popbnm</t>
  </si>
  <si>
    <t>thedoncarro</t>
  </si>
  <si>
    <t>postill070191</t>
  </si>
  <si>
    <t>76rutiger</t>
  </si>
  <si>
    <t>kylesinclair7</t>
  </si>
  <si>
    <t>julibaby8171</t>
  </si>
  <si>
    <t>chinedumc</t>
  </si>
  <si>
    <t>boomtastic71</t>
  </si>
  <si>
    <t>tommytom2321</t>
  </si>
  <si>
    <t>leeski123</t>
  </si>
  <si>
    <t>paul60c</t>
  </si>
  <si>
    <t>johng471</t>
  </si>
  <si>
    <t>stevenh671</t>
  </si>
  <si>
    <t>jimmer_78</t>
  </si>
  <si>
    <t>kazzapentine</t>
  </si>
  <si>
    <t>petiterete</t>
  </si>
  <si>
    <t>euan80</t>
  </si>
  <si>
    <t>mattbrennan2304</t>
  </si>
  <si>
    <t>hayeswasp</t>
  </si>
  <si>
    <t>kirsty3238</t>
  </si>
  <si>
    <t>kamranc07</t>
  </si>
  <si>
    <t>aiano</t>
  </si>
  <si>
    <t>moonvi76</t>
  </si>
  <si>
    <t>latif267</t>
  </si>
  <si>
    <t>josephr704</t>
  </si>
  <si>
    <t>jasohare</t>
  </si>
  <si>
    <t>jimc586</t>
  </si>
  <si>
    <t>gerryh72</t>
  </si>
  <si>
    <t>baghins1</t>
  </si>
  <si>
    <t>sioux5ie</t>
  </si>
  <si>
    <t>tobymayers</t>
  </si>
  <si>
    <t>andyleach123</t>
  </si>
  <si>
    <t>lyewater</t>
  </si>
  <si>
    <t>Counterfit Fully Refunded</t>
  </si>
  <si>
    <t>Zakr</t>
  </si>
  <si>
    <t>kroasis</t>
  </si>
  <si>
    <t>pavfc</t>
  </si>
  <si>
    <t>slowlydownwardz</t>
  </si>
  <si>
    <t>margo-456</t>
  </si>
  <si>
    <t>holl_200</t>
  </si>
  <si>
    <t xml:space="preserve">sharyar1992
</t>
  </si>
  <si>
    <t>igorwhat</t>
  </si>
  <si>
    <t>gfer501</t>
  </si>
  <si>
    <t>lulu16102021</t>
  </si>
  <si>
    <t xml:space="preserve">Dj Blandford
</t>
  </si>
  <si>
    <t>dragonfly1971</t>
  </si>
  <si>
    <t>perfectjewel80</t>
  </si>
  <si>
    <t>liamlll1</t>
  </si>
  <si>
    <t>youssefok</t>
  </si>
  <si>
    <t>hevfray</t>
  </si>
  <si>
    <t>fredloxx2023</t>
  </si>
  <si>
    <t>spencerj23</t>
  </si>
  <si>
    <t xml:space="preserve">Etsy </t>
  </si>
  <si>
    <t>tim227</t>
  </si>
  <si>
    <t>lincssailer</t>
  </si>
  <si>
    <t>olavdarge</t>
  </si>
  <si>
    <t>12 Refunded</t>
  </si>
  <si>
    <t>emcp25</t>
  </si>
  <si>
    <t>impulsivist</t>
  </si>
  <si>
    <t>haciendafac51</t>
  </si>
  <si>
    <t>wsscott</t>
  </si>
  <si>
    <t>andy072020</t>
  </si>
  <si>
    <t>ashleyedwards1964</t>
  </si>
  <si>
    <t>lonelypigeon</t>
  </si>
  <si>
    <t>harvey1402</t>
  </si>
  <si>
    <t>softimus_prime</t>
  </si>
  <si>
    <t>therealfinchy</t>
  </si>
  <si>
    <t>gmmd1977</t>
  </si>
  <si>
    <t>brynsi</t>
  </si>
  <si>
    <t>iantbrown</t>
  </si>
  <si>
    <t>cancelled by buyyer</t>
  </si>
  <si>
    <t>lowo0519</t>
  </si>
  <si>
    <t>freshair1986</t>
  </si>
  <si>
    <t>paubat9</t>
  </si>
  <si>
    <t>adamo2478</t>
  </si>
  <si>
    <t>keithe31</t>
  </si>
  <si>
    <t>Bobbybepeh37</t>
  </si>
  <si>
    <t>gilmac1</t>
  </si>
  <si>
    <t>mikec315</t>
  </si>
  <si>
    <t>pmtubb</t>
  </si>
  <si>
    <t>coolcustomer</t>
  </si>
  <si>
    <t>stefandavidinge</t>
  </si>
  <si>
    <t>anis2003</t>
  </si>
  <si>
    <t>joneseykit</t>
  </si>
  <si>
    <t>50sar</t>
  </si>
  <si>
    <t>Simon Reeves</t>
  </si>
  <si>
    <t>fendi1231</t>
  </si>
  <si>
    <t>justquick26</t>
  </si>
  <si>
    <t>fudzi1973</t>
  </si>
  <si>
    <t>jimitar</t>
  </si>
  <si>
    <t>n13kfg</t>
  </si>
  <si>
    <t>mickeyc223</t>
  </si>
  <si>
    <t>egorbinder</t>
  </si>
  <si>
    <t>laura76922</t>
  </si>
  <si>
    <t>jason6116</t>
  </si>
  <si>
    <t>tatyana280819</t>
  </si>
  <si>
    <t>demonrust</t>
  </si>
  <si>
    <t>fattmatta</t>
  </si>
  <si>
    <t>gjjbarry86</t>
  </si>
  <si>
    <t>alinav8210</t>
  </si>
  <si>
    <t>poochytomcat</t>
  </si>
  <si>
    <t>2009zola25</t>
  </si>
  <si>
    <t>tchiege</t>
  </si>
  <si>
    <t>garethss88</t>
  </si>
  <si>
    <t>hargou4</t>
  </si>
  <si>
    <t>hamilton52</t>
  </si>
  <si>
    <t>dawidgoliat</t>
  </si>
  <si>
    <t>chubbs0103</t>
  </si>
  <si>
    <t>hamishf43</t>
  </si>
  <si>
    <t>gilby64</t>
  </si>
  <si>
    <t>crocadoosey</t>
  </si>
  <si>
    <t>sophdean92</t>
  </si>
  <si>
    <t>iainb1981</t>
  </si>
  <si>
    <t>mcatlin</t>
  </si>
  <si>
    <t>hossain16</t>
  </si>
  <si>
    <t>reg0123</t>
  </si>
  <si>
    <t>vasileiordache</t>
  </si>
  <si>
    <t>cambo94x</t>
  </si>
  <si>
    <t>suzieq285</t>
  </si>
  <si>
    <t>martinw226</t>
  </si>
  <si>
    <t>del59865</t>
  </si>
  <si>
    <t>murph8181</t>
  </si>
  <si>
    <t>peterd8332</t>
  </si>
  <si>
    <t>Client cancelled</t>
  </si>
  <si>
    <t>wildey360</t>
  </si>
  <si>
    <t>caroline241922</t>
  </si>
  <si>
    <t>10 Refunded</t>
  </si>
  <si>
    <t>bjw121441</t>
  </si>
  <si>
    <t>beverlyb4</t>
  </si>
  <si>
    <t>moggy1959</t>
  </si>
  <si>
    <t>paul1ou</t>
  </si>
  <si>
    <t>smudge89</t>
  </si>
  <si>
    <t>edwina0108</t>
  </si>
  <si>
    <t>rudiroomur</t>
  </si>
  <si>
    <t>maryellen234</t>
  </si>
  <si>
    <t>alfie1969</t>
  </si>
  <si>
    <t>andymanu38</t>
  </si>
  <si>
    <t>martinpdgreenwood</t>
  </si>
  <si>
    <t>alexb1110610</t>
  </si>
  <si>
    <t>florianf619</t>
  </si>
  <si>
    <t xml:space="preserve">August </t>
  </si>
  <si>
    <t>celynnia03</t>
  </si>
  <si>
    <t>et3000</t>
  </si>
  <si>
    <t>miwar86</t>
  </si>
  <si>
    <t>andreivintagelover13</t>
  </si>
  <si>
    <t>marty9181</t>
  </si>
  <si>
    <t>dizzy5000</t>
  </si>
  <si>
    <t>m1chinn</t>
  </si>
  <si>
    <t>mamcmillan</t>
  </si>
  <si>
    <t>waxathon</t>
  </si>
  <si>
    <t>roblittle96</t>
  </si>
  <si>
    <t>sunnycroft1</t>
  </si>
  <si>
    <t>peterr314</t>
  </si>
  <si>
    <t>cdjl</t>
  </si>
  <si>
    <t>tjh2408</t>
  </si>
  <si>
    <t>marko295</t>
  </si>
  <si>
    <t>npoole95</t>
  </si>
  <si>
    <t>omaski1984</t>
  </si>
  <si>
    <t>snookerman91</t>
  </si>
  <si>
    <t>tracym1963</t>
  </si>
  <si>
    <t>bridgetpug</t>
  </si>
  <si>
    <t>dpcherty</t>
  </si>
  <si>
    <t>steveinmarden</t>
  </si>
  <si>
    <t>finlayson68</t>
  </si>
  <si>
    <t>dane841</t>
  </si>
  <si>
    <t>michfind79</t>
  </si>
  <si>
    <t>reptile73</t>
  </si>
  <si>
    <t>corinnep1969</t>
  </si>
  <si>
    <t>paulmmcmahon</t>
  </si>
  <si>
    <t>mikiethemike</t>
  </si>
  <si>
    <t>aravindkdubey</t>
  </si>
  <si>
    <t>paulafraser1976</t>
  </si>
  <si>
    <t>alia4579</t>
  </si>
  <si>
    <t>carlodhl</t>
  </si>
  <si>
    <t>salloum</t>
  </si>
  <si>
    <t>conor1610</t>
  </si>
  <si>
    <t>jbdistributions</t>
  </si>
  <si>
    <t>fracoyle</t>
  </si>
  <si>
    <t>niik02ba</t>
  </si>
  <si>
    <t>cathyg509</t>
  </si>
  <si>
    <t>mattgiles01278</t>
  </si>
  <si>
    <t>saundy82</t>
  </si>
  <si>
    <t>bradsum90</t>
  </si>
  <si>
    <t xml:space="preserve">revanthony
</t>
  </si>
  <si>
    <t>paulad_1980</t>
  </si>
  <si>
    <t>chazblaq</t>
  </si>
  <si>
    <t>davidkends</t>
  </si>
  <si>
    <t>akeeshad</t>
  </si>
  <si>
    <t>ktfrostie</t>
  </si>
  <si>
    <t>crossf</t>
  </si>
  <si>
    <t>9a0</t>
  </si>
  <si>
    <t>phil8411</t>
  </si>
  <si>
    <t>aidenc51</t>
  </si>
  <si>
    <t>75paton</t>
  </si>
  <si>
    <t>ds2708</t>
  </si>
  <si>
    <t>davidl2709</t>
  </si>
  <si>
    <t>liamfw2</t>
  </si>
  <si>
    <t>ianc527</t>
  </si>
  <si>
    <t>mulvey2021</t>
  </si>
  <si>
    <t>simongts</t>
  </si>
  <si>
    <t>jjmcn1</t>
  </si>
  <si>
    <t>buddybig</t>
  </si>
  <si>
    <t>tajk63</t>
  </si>
  <si>
    <t>colin-klenam</t>
  </si>
  <si>
    <t>jayscee1</t>
  </si>
  <si>
    <t>lindsayw60</t>
  </si>
  <si>
    <t>millwalljackson</t>
  </si>
  <si>
    <t>alexnigel</t>
  </si>
  <si>
    <t>duds40</t>
  </si>
  <si>
    <t>morriwa</t>
  </si>
  <si>
    <t>jimbor85</t>
  </si>
  <si>
    <t>hadi3823</t>
  </si>
  <si>
    <t>Jeans Return</t>
  </si>
  <si>
    <t>anthonyh62</t>
  </si>
  <si>
    <t>erica4041</t>
  </si>
  <si>
    <t>Legz1987</t>
  </si>
  <si>
    <t>swimmingstag2</t>
  </si>
  <si>
    <t>garywright11</t>
  </si>
  <si>
    <t>samesammy</t>
  </si>
  <si>
    <t>sinightingale</t>
  </si>
  <si>
    <t>poppet333rachel</t>
  </si>
  <si>
    <t>arashp7</t>
  </si>
  <si>
    <t>ange20081966</t>
  </si>
  <si>
    <t>steveboad</t>
  </si>
  <si>
    <t>steve11345</t>
  </si>
  <si>
    <t>stephenarnell1</t>
  </si>
  <si>
    <t>cratchit13</t>
  </si>
  <si>
    <t>annbrx</t>
  </si>
  <si>
    <t>Bentr2884</t>
  </si>
  <si>
    <t>garbah12345</t>
  </si>
  <si>
    <t>rjd1987</t>
  </si>
  <si>
    <t>marisabajerski</t>
  </si>
  <si>
    <t>tasha86pink</t>
  </si>
  <si>
    <t>isarhan</t>
  </si>
  <si>
    <t>jeant611</t>
  </si>
  <si>
    <t>the4broons</t>
  </si>
  <si>
    <t>Tylock</t>
  </si>
  <si>
    <t>liamburgundy</t>
  </si>
  <si>
    <t>steffmynyddaran</t>
  </si>
  <si>
    <t>lam1511</t>
  </si>
  <si>
    <t>missmama85</t>
  </si>
  <si>
    <t>ninaninda</t>
  </si>
  <si>
    <t>mona18mona</t>
  </si>
  <si>
    <t>asd-75</t>
  </si>
  <si>
    <t>modlike</t>
  </si>
  <si>
    <t>maxcart66</t>
  </si>
  <si>
    <t>sharon41664</t>
  </si>
  <si>
    <t>jameslock96</t>
  </si>
  <si>
    <t>marycmorgan</t>
  </si>
  <si>
    <t>luisrozas</t>
  </si>
  <si>
    <t>September</t>
  </si>
  <si>
    <t>magdoh93</t>
  </si>
  <si>
    <t>graceslack10</t>
  </si>
  <si>
    <t>operation-portal</t>
  </si>
  <si>
    <t>michdawson</t>
  </si>
  <si>
    <t>stealthzv11</t>
  </si>
  <si>
    <t>Sashalianne</t>
  </si>
  <si>
    <t>dfcry</t>
  </si>
  <si>
    <t>thetallblondeone</t>
  </si>
  <si>
    <t>postie2601</t>
  </si>
  <si>
    <t>matthewp514</t>
  </si>
  <si>
    <t>zaviyarz</t>
  </si>
  <si>
    <t>rossfreer200</t>
  </si>
  <si>
    <t>chrssy83</t>
  </si>
  <si>
    <t>vespa1208</t>
  </si>
  <si>
    <t>madfrankie1970</t>
  </si>
  <si>
    <t>nickc541</t>
  </si>
  <si>
    <t>yellowfishcollection</t>
  </si>
  <si>
    <t>buzza14</t>
  </si>
  <si>
    <t>oj56511</t>
  </si>
  <si>
    <t>bu66a67</t>
  </si>
  <si>
    <t>b16vrn</t>
  </si>
  <si>
    <t>moosemayo</t>
  </si>
  <si>
    <t>terrya01</t>
  </si>
  <si>
    <t>lee4515</t>
  </si>
  <si>
    <t>anjiv3a</t>
  </si>
  <si>
    <t>bingowillie1</t>
  </si>
  <si>
    <t>andrew19833</t>
  </si>
  <si>
    <t>philbladen</t>
  </si>
  <si>
    <t>drs7777</t>
  </si>
  <si>
    <t>toonarmy1892</t>
  </si>
  <si>
    <t>heavens99</t>
  </si>
  <si>
    <t>charnjits7</t>
  </si>
  <si>
    <t>kaym242</t>
  </si>
  <si>
    <t>jonnienoone</t>
  </si>
  <si>
    <t>ellah6767</t>
  </si>
  <si>
    <t>jay301980</t>
  </si>
  <si>
    <t>rodgerssaule</t>
  </si>
  <si>
    <t>jemfadri</t>
  </si>
  <si>
    <t>rees1970</t>
  </si>
  <si>
    <t>sunter1234</t>
  </si>
  <si>
    <t>r.miller91</t>
  </si>
  <si>
    <t>jakeshadwell327</t>
  </si>
  <si>
    <t>overlord85</t>
  </si>
  <si>
    <t>toots2112</t>
  </si>
  <si>
    <t>stephena315</t>
  </si>
  <si>
    <t>critch040170</t>
  </si>
  <si>
    <t>djmiles90</t>
  </si>
  <si>
    <t>akenzuaosazee</t>
  </si>
  <si>
    <t>pacrowe904</t>
  </si>
  <si>
    <t>quinstonfinkle</t>
  </si>
  <si>
    <t>sarahw1565</t>
  </si>
  <si>
    <t>mat.g123</t>
  </si>
  <si>
    <t>878369ajd</t>
  </si>
  <si>
    <t>plmoran1312</t>
  </si>
  <si>
    <t>wendyjr123</t>
  </si>
  <si>
    <t xml:space="preserve">Ollie Lailey
</t>
  </si>
  <si>
    <t>stephaniemprado</t>
  </si>
  <si>
    <t>richardroughton</t>
  </si>
  <si>
    <t>luketillison</t>
  </si>
  <si>
    <t>kr1sldn</t>
  </si>
  <si>
    <t>keledw8</t>
  </si>
  <si>
    <t>mhseconds</t>
  </si>
  <si>
    <t>debbietav</t>
  </si>
  <si>
    <t>mcnnes6592</t>
  </si>
  <si>
    <t>tobilamberti</t>
  </si>
  <si>
    <t>johnr914</t>
  </si>
  <si>
    <t>mwise244</t>
  </si>
  <si>
    <t>lisajason1234</t>
  </si>
  <si>
    <t>dools29</t>
  </si>
  <si>
    <t>inoh111</t>
  </si>
  <si>
    <t>peep1684</t>
  </si>
  <si>
    <t>abarton06826</t>
  </si>
  <si>
    <t>dazfos</t>
  </si>
  <si>
    <t>kayknight2606</t>
  </si>
  <si>
    <t>dbedford50269</t>
  </si>
  <si>
    <t>markpallettjones</t>
  </si>
  <si>
    <t>thatrabguy</t>
  </si>
  <si>
    <t>ledredled</t>
  </si>
  <si>
    <t>vernonh6</t>
  </si>
  <si>
    <t>chrishuggett</t>
  </si>
  <si>
    <t>rachneill</t>
  </si>
  <si>
    <t>tonyarnold3</t>
  </si>
  <si>
    <t>Stevenwhittingslow</t>
  </si>
  <si>
    <t>daijg</t>
  </si>
  <si>
    <t>myless41</t>
  </si>
  <si>
    <t>redtv</t>
  </si>
  <si>
    <t>eaglessm</t>
  </si>
  <si>
    <t>sandandbeaches</t>
  </si>
  <si>
    <t>luke.burrell</t>
  </si>
  <si>
    <t>johnw1964</t>
  </si>
  <si>
    <t>adambutler139</t>
  </si>
  <si>
    <t>weedad14</t>
  </si>
  <si>
    <t xml:space="preserve">s.morris23
</t>
  </si>
  <si>
    <t>antblayla</t>
  </si>
  <si>
    <t>geomay23</t>
  </si>
  <si>
    <t>nahid-97</t>
  </si>
  <si>
    <t>davidhartlepool</t>
  </si>
  <si>
    <t>emsy877</t>
  </si>
  <si>
    <t>davemonic</t>
  </si>
  <si>
    <t>tariq_0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</si>
</sst>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"/>
    <numFmt numFmtId="165" formatCode="m/d"/>
    <numFmt numFmtId="166" formatCode="dmmm"/>
    <numFmt numFmtId="167" formatCode="m/d/yyyy"/>
    <numFmt numFmtId="168" formatCode="mm/dd/yyyy"/>
    <numFmt numFmtId="169" formatCode="mm-dd-yyyy"/>
    <numFmt numFmtId="170" formatCode="m-d-yyyy"/>
  </numFmts>
  <fonts count="54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b/>
      <sz val="10.0"/>
      <color rgb="FF000000"/>
      <name val="Arial"/>
    </font>
    <font>
      <b/>
      <sz val="16.0"/>
      <color rgb="FFFFFFFF"/>
      <name val="Arial"/>
    </font>
    <font/>
    <font>
      <sz val="10.0"/>
      <color theme="1"/>
      <name val="Arial"/>
    </font>
    <font>
      <color theme="1"/>
      <name val="Arial"/>
    </font>
    <font>
      <sz val="12.0"/>
      <color rgb="FFFFFFFF"/>
      <name val="Arial"/>
    </font>
    <font>
      <color theme="1"/>
      <name val="Arial"/>
      <scheme val="minor"/>
    </font>
    <font>
      <sz val="10.0"/>
      <color rgb="FF000000"/>
      <name val="Arial"/>
    </font>
    <font>
      <sz val="12.0"/>
      <color theme="0"/>
      <name val="Arial"/>
    </font>
    <font>
      <sz val="12.0"/>
      <color rgb="FF000000"/>
      <name val="Arial"/>
    </font>
    <font>
      <sz val="10.0"/>
      <color rgb="FFFFFFFF"/>
      <name val="Arial"/>
    </font>
    <font>
      <b/>
      <sz val="14.0"/>
      <color rgb="FFFFFFFF"/>
      <name val="Arial"/>
    </font>
    <font>
      <b/>
      <sz val="15.0"/>
      <color rgb="FFFFFFFF"/>
      <name val="Arial"/>
    </font>
    <font>
      <sz val="12.0"/>
      <color rgb="FF15191A"/>
      <name val="V-Inter"/>
    </font>
    <font>
      <color rgb="FF000000"/>
      <name val="Arial"/>
      <scheme val="minor"/>
    </font>
    <font>
      <u/>
      <color rgb="FF0000FF"/>
    </font>
    <font>
      <color rgb="FFFFFFFF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Arial"/>
      <scheme val="minor"/>
    </font>
    <font>
      <u/>
      <color rgb="FF0000FF"/>
      <name val="Arial"/>
    </font>
    <font>
      <sz val="10.0"/>
      <color rgb="FF15191A"/>
      <name val="Arial"/>
    </font>
    <font>
      <sz val="10.0"/>
      <color rgb="FF15191A"/>
      <name val="V-Inter"/>
    </font>
    <font>
      <color rgb="FF000000"/>
      <name val="&quot;Google Sans&quot;"/>
    </font>
    <font>
      <sz val="10.0"/>
      <color rgb="FF000000"/>
      <name val="Roboto"/>
    </font>
    <font>
      <sz val="12.0"/>
      <color rgb="FF5A6566"/>
      <name val="Arial"/>
    </font>
    <font>
      <sz val="10.0"/>
      <color rgb="FF5A6566"/>
      <name val="Arial"/>
    </font>
    <font>
      <sz val="12.0"/>
      <color rgb="FF5A6566"/>
      <name val="V-Inter"/>
    </font>
    <font>
      <u/>
      <color rgb="FF0000FF"/>
    </font>
    <font>
      <b/>
      <sz val="12.0"/>
      <color rgb="FFFF0000"/>
      <name val="Arial"/>
      <scheme val="minor"/>
    </font>
    <font>
      <color rgb="FFFF0000"/>
      <name val="Arial"/>
      <scheme val="minor"/>
    </font>
    <font>
      <b/>
      <sz val="13.0"/>
      <color rgb="FFFF0000"/>
      <name val="Arial"/>
      <scheme val="minor"/>
    </font>
    <font>
      <u/>
      <color rgb="FF0000FF"/>
    </font>
    <font>
      <b/>
      <sz val="18.0"/>
      <color rgb="FFFFFFFF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sz val="14.0"/>
      <color rgb="FFFFFFFF"/>
      <name val="Arial"/>
      <scheme val="minor"/>
    </font>
    <font>
      <sz val="14.0"/>
      <color theme="0"/>
      <name val="Arial"/>
      <scheme val="minor"/>
    </font>
    <font>
      <b/>
      <sz val="14.0"/>
      <color theme="1"/>
      <name val="Arial"/>
      <scheme val="minor"/>
    </font>
    <font>
      <sz val="14.0"/>
      <color rgb="FF000000"/>
      <name val="Arial"/>
      <scheme val="minor"/>
    </font>
    <font>
      <b/>
      <sz val="14.0"/>
      <color rgb="FF000000"/>
      <name val="Arial"/>
      <scheme val="minor"/>
    </font>
    <font>
      <sz val="11.0"/>
      <color theme="1"/>
      <name val="Arial"/>
      <scheme val="minor"/>
    </font>
    <font>
      <sz val="12.0"/>
      <color rgb="FF15191A"/>
      <name val="Arial"/>
    </font>
    <font>
      <sz val="26.0"/>
      <color theme="1"/>
      <name val="Arial"/>
      <scheme val="minor"/>
    </font>
    <font>
      <color rgb="FFEFEFEF"/>
      <name val="Arial"/>
    </font>
    <font>
      <sz val="28.0"/>
      <color theme="1"/>
      <name val="Arial"/>
      <scheme val="minor"/>
    </font>
    <font>
      <color rgb="FF1F1F1F"/>
      <name val="Arial"/>
      <scheme val="minor"/>
    </font>
    <font>
      <b/>
      <sz val="18.0"/>
      <color theme="1"/>
      <name val="Arial"/>
      <scheme val="minor"/>
    </font>
  </fonts>
  <fills count="46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rgb="FF1C4587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38761D"/>
        <bgColor rgb="FF38761D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theme="7"/>
        <bgColor theme="7"/>
      </patternFill>
    </fill>
    <fill>
      <patternFill patternType="solid">
        <fgColor rgb="FF5A6566"/>
        <bgColor rgb="FF5A6566"/>
      </patternFill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  <fill>
      <patternFill patternType="solid">
        <fgColor rgb="FF741B47"/>
        <bgColor rgb="FF741B47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85200C"/>
        <bgColor rgb="FF85200C"/>
      </patternFill>
    </fill>
    <fill>
      <patternFill patternType="solid">
        <fgColor rgb="FFF3F3F3"/>
        <bgColor rgb="FFF3F3F3"/>
      </patternFill>
    </fill>
    <fill>
      <patternFill patternType="solid">
        <fgColor rgb="FF980000"/>
        <bgColor rgb="FF980000"/>
      </patternFill>
    </fill>
    <fill>
      <patternFill patternType="solid">
        <fgColor rgb="FFE6B8AF"/>
        <bgColor rgb="FFE6B8AF"/>
      </patternFill>
    </fill>
    <fill>
      <patternFill patternType="solid">
        <fgColor rgb="FF3D85C6"/>
        <bgColor rgb="FF3D85C6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Border="1" applyFont="1"/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0" fontId="4" numFmtId="0" xfId="0" applyFont="1"/>
    <xf borderId="0" fillId="0" fontId="5" numFmtId="0" xfId="0" applyFont="1"/>
    <xf borderId="0" fillId="0" fontId="3" numFmtId="0" xfId="0" applyFont="1"/>
    <xf borderId="2" fillId="4" fontId="6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  <xf borderId="2" fillId="0" fontId="7" numFmtId="0" xfId="0" applyBorder="1" applyFont="1"/>
    <xf borderId="1" fillId="5" fontId="4" numFmtId="0" xfId="0" applyBorder="1" applyFill="1" applyFont="1"/>
    <xf borderId="0" fillId="0" fontId="8" numFmtId="0" xfId="0" applyAlignment="1" applyFont="1">
      <alignment horizontal="center"/>
    </xf>
    <xf borderId="3" fillId="0" fontId="7" numFmtId="0" xfId="0" applyBorder="1" applyFont="1"/>
    <xf borderId="1" fillId="5" fontId="4" numFmtId="0" xfId="0" applyAlignment="1" applyBorder="1" applyFill="1" applyFont="1">
      <alignment horizontal="center" vertical="center"/>
    </xf>
    <xf borderId="0" fillId="3" fontId="9" numFmtId="0" xfId="0" applyFill="1" applyFont="1"/>
    <xf borderId="0" fillId="0" fontId="9" numFmtId="0" xfId="0" applyAlignment="1" applyFont="1">
      <alignment vertical="bottom"/>
    </xf>
    <xf borderId="1" fillId="5" fontId="4" numFmtId="0" xfId="0" applyAlignment="1" applyBorder="1" applyFill="1" applyFont="1">
      <alignment horizontal="center"/>
    </xf>
    <xf borderId="0" fillId="0" fontId="8" numFmtId="0" xfId="0" applyFont="1"/>
    <xf borderId="0" fillId="5" fontId="4" numFmtId="0" xfId="0" applyAlignment="1" applyFill="1" applyFont="1">
      <alignment readingOrder="0"/>
    </xf>
    <xf borderId="1" fillId="5" fontId="4" numFmtId="0" xfId="0" applyAlignment="1" applyBorder="1" applyFill="1" applyFont="1">
      <alignment horizontal="center" readingOrder="0"/>
    </xf>
    <xf borderId="0" fillId="3" fontId="9" numFmtId="0" xfId="0" applyAlignment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6" fontId="10" numFmtId="0" xfId="0" applyAlignment="1" applyFill="1" applyFont="1">
      <alignment vertical="bottom"/>
    </xf>
    <xf borderId="1" fillId="5" fontId="4" numFmtId="0" xfId="0" applyAlignment="1" applyBorder="1" applyFill="1" applyFont="1">
      <alignment readingOrder="0"/>
    </xf>
    <xf borderId="0" fillId="0" fontId="11" numFmtId="0" xfId="0" applyFont="1"/>
    <xf borderId="0" fillId="7" fontId="9" numFmtId="0" xfId="0" applyAlignment="1" applyFill="1" applyFont="1">
      <alignment horizontal="center" readingOrder="0"/>
    </xf>
    <xf borderId="0" fillId="3" fontId="10" numFmtId="0" xfId="0" applyAlignment="1" applyFill="1" applyFont="1">
      <alignment vertical="bottom"/>
    </xf>
    <xf borderId="0" fillId="3" fontId="9" numFmtId="0" xfId="0" applyAlignment="1" applyFill="1" applyFont="1">
      <alignment horizontal="center"/>
    </xf>
    <xf borderId="0" fillId="8" fontId="4" numFmtId="0" xfId="0" applyAlignment="1" applyFill="1" applyFont="1">
      <alignment vertical="bottom"/>
    </xf>
    <xf borderId="0" fillId="0" fontId="12" numFmtId="0" xfId="0" applyFont="1"/>
    <xf borderId="1" fillId="9" fontId="4" numFmtId="0" xfId="0" applyBorder="1" applyFill="1" applyFont="1"/>
    <xf borderId="0" fillId="7" fontId="9" numFmtId="0" xfId="0" applyAlignment="1" applyFill="1" applyFont="1">
      <alignment horizontal="center"/>
    </xf>
    <xf borderId="1" fillId="9" fontId="4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vertical="bottom"/>
    </xf>
    <xf borderId="0" fillId="0" fontId="4" numFmtId="3" xfId="0" applyAlignment="1" applyFont="1" applyNumberFormat="1">
      <alignment readingOrder="0"/>
    </xf>
    <xf borderId="1" fillId="9" fontId="4" numFmtId="0" xfId="0" applyAlignment="1" applyBorder="1" applyFill="1" applyFont="1">
      <alignment horizontal="center"/>
    </xf>
    <xf borderId="1" fillId="9" fontId="4" numFmtId="0" xfId="0" applyAlignment="1" applyBorder="1" applyFill="1" applyFont="1">
      <alignment readingOrder="0"/>
    </xf>
    <xf borderId="1" fillId="9" fontId="4" numFmtId="0" xfId="0" applyAlignment="1" applyBorder="1" applyFill="1" applyFont="1">
      <alignment horizontal="center" readingOrder="0"/>
    </xf>
    <xf borderId="1" fillId="10" fontId="10" numFmtId="0" xfId="0" applyBorder="1" applyFill="1" applyFont="1"/>
    <xf borderId="1" fillId="10" fontId="10" numFmtId="0" xfId="0" applyAlignment="1" applyBorder="1" applyFill="1" applyFont="1">
      <alignment horizontal="center" vertical="center"/>
    </xf>
    <xf borderId="1" fillId="10" fontId="10" numFmtId="0" xfId="0" applyAlignment="1" applyBorder="1" applyFill="1" applyFont="1">
      <alignment horizontal="center"/>
    </xf>
    <xf borderId="1" fillId="9" fontId="4" numFmtId="0" xfId="0" applyAlignment="1" applyBorder="1" applyFill="1" applyFont="1">
      <alignment horizontal="center" readingOrder="0" vertical="center"/>
    </xf>
    <xf borderId="0" fillId="3" fontId="4" numFmtId="0" xfId="0" applyAlignment="1" applyFill="1" applyFont="1">
      <alignment horizontal="center"/>
    </xf>
    <xf borderId="0" fillId="3" fontId="4" numFmtId="0" xfId="0" applyAlignment="1" applyFill="1" applyFont="1">
      <alignment horizontal="center" readingOrder="0"/>
    </xf>
    <xf borderId="0" fillId="0" fontId="4" numFmtId="0" xfId="0" applyAlignment="1" applyFont="1">
      <alignment vertical="bottom"/>
    </xf>
    <xf borderId="1" fillId="11" fontId="10" numFmtId="0" xfId="0" applyBorder="1" applyFill="1" applyFont="1"/>
    <xf borderId="1" fillId="11" fontId="10" numFmtId="0" xfId="0" applyAlignment="1" applyBorder="1" applyFill="1" applyFont="1">
      <alignment horizontal="center" vertical="center"/>
    </xf>
    <xf borderId="1" fillId="11" fontId="10" numFmtId="0" xfId="0" applyAlignment="1" applyBorder="1" applyFill="1" applyFont="1">
      <alignment horizontal="center"/>
    </xf>
    <xf borderId="0" fillId="7" fontId="4" numFmtId="0" xfId="0" applyAlignment="1" applyFill="1" applyFont="1">
      <alignment vertical="bottom"/>
    </xf>
    <xf borderId="1" fillId="10" fontId="10" numFmtId="0" xfId="0" applyAlignment="1" applyBorder="1" applyFill="1" applyFont="1">
      <alignment readingOrder="0"/>
    </xf>
    <xf borderId="1" fillId="10" fontId="13" numFmtId="0" xfId="0" applyAlignment="1" applyBorder="1" applyFill="1" applyFont="1">
      <alignment horizontal="center" vertical="center"/>
    </xf>
    <xf borderId="1" fillId="10" fontId="13" numFmtId="0" xfId="0" applyAlignment="1" applyBorder="1" applyFill="1" applyFont="1">
      <alignment horizontal="center" readingOrder="0"/>
    </xf>
    <xf borderId="1" fillId="10" fontId="13" numFmtId="0" xfId="0" applyAlignment="1" applyBorder="1" applyFill="1" applyFont="1">
      <alignment horizontal="center"/>
    </xf>
    <xf borderId="0" fillId="3" fontId="9" numFmtId="0" xfId="0" applyAlignment="1" applyFill="1" applyFont="1">
      <alignment horizontal="center" vertical="bottom"/>
    </xf>
    <xf borderId="1" fillId="10" fontId="10" numFmtId="0" xfId="0" applyAlignment="1" applyBorder="1" applyFill="1" applyFont="1">
      <alignment horizontal="center" readingOrder="0"/>
    </xf>
    <xf borderId="1" fillId="10" fontId="13" numFmtId="0" xfId="0" applyBorder="1" applyFill="1" applyFont="1"/>
    <xf borderId="0" fillId="3" fontId="4" numFmtId="0" xfId="0" applyAlignment="1" applyFill="1" applyFont="1">
      <alignment horizontal="center" vertical="bottom"/>
    </xf>
    <xf borderId="1" fillId="12" fontId="14" numFmtId="0" xfId="0" applyAlignment="1" applyBorder="1" applyFill="1" applyFont="1">
      <alignment readingOrder="0"/>
    </xf>
    <xf borderId="1" fillId="12" fontId="14" numFmtId="0" xfId="0" applyAlignment="1" applyBorder="1" applyFill="1" applyFont="1">
      <alignment horizontal="center" readingOrder="0" vertical="center"/>
    </xf>
    <xf borderId="1" fillId="12" fontId="14" numFmtId="0" xfId="0" applyAlignment="1" applyBorder="1" applyFill="1" applyFont="1">
      <alignment horizontal="center" readingOrder="0"/>
    </xf>
    <xf borderId="1" fillId="12" fontId="4" numFmtId="0" xfId="0" applyAlignment="1" applyBorder="1" applyFill="1" applyFont="1">
      <alignment horizontal="center"/>
    </xf>
    <xf borderId="1" fillId="12" fontId="14" numFmtId="0" xfId="0" applyAlignment="1" applyBorder="1" applyFill="1" applyFont="1">
      <alignment horizontal="center"/>
    </xf>
    <xf borderId="1" fillId="11" fontId="13" numFmtId="0" xfId="0" applyBorder="1" applyFill="1" applyFont="1"/>
    <xf borderId="0" fillId="3" fontId="4" numFmtId="0" xfId="0" applyAlignment="1" applyFill="1" applyFont="1">
      <alignment horizontal="center" vertical="bottom"/>
    </xf>
    <xf borderId="1" fillId="11" fontId="13" numFmtId="0" xfId="0" applyAlignment="1" applyBorder="1" applyFill="1" applyFont="1">
      <alignment horizontal="center"/>
    </xf>
    <xf borderId="0" fillId="3" fontId="9" numFmtId="0" xfId="0" applyAlignment="1" applyFill="1" applyFont="1">
      <alignment horizontal="center"/>
    </xf>
    <xf borderId="1" fillId="13" fontId="10" numFmtId="0" xfId="0" applyBorder="1" applyFill="1" applyFont="1"/>
    <xf borderId="1" fillId="13" fontId="10" numFmtId="0" xfId="0" applyAlignment="1" applyBorder="1" applyFill="1" applyFont="1">
      <alignment horizontal="center" vertical="center"/>
    </xf>
    <xf borderId="1" fillId="13" fontId="10" numFmtId="0" xfId="0" applyAlignment="1" applyBorder="1" applyFill="1" applyFont="1">
      <alignment horizontal="center"/>
    </xf>
    <xf borderId="1" fillId="14" fontId="10" numFmtId="0" xfId="0" applyAlignment="1" applyBorder="1" applyFill="1" applyFont="1">
      <alignment readingOrder="0"/>
    </xf>
    <xf borderId="1" fillId="14" fontId="13" numFmtId="0" xfId="0" applyAlignment="1" applyBorder="1" applyFill="1" applyFont="1">
      <alignment horizontal="center" vertical="center"/>
    </xf>
    <xf borderId="1" fillId="14" fontId="13" numFmtId="0" xfId="0" applyAlignment="1" applyBorder="1" applyFill="1" applyFont="1">
      <alignment horizontal="center"/>
    </xf>
    <xf borderId="1" fillId="14" fontId="13" numFmtId="0" xfId="0" applyAlignment="1" applyBorder="1" applyFill="1" applyFont="1">
      <alignment horizontal="center" readingOrder="0"/>
    </xf>
    <xf borderId="1" fillId="14" fontId="10" numFmtId="0" xfId="0" applyAlignment="1" applyBorder="1" applyFill="1" applyFont="1">
      <alignment horizontal="center" readingOrder="0"/>
    </xf>
    <xf borderId="2" fillId="3" fontId="4" numFmtId="0" xfId="0" applyAlignment="1" applyBorder="1" applyFill="1" applyFont="1">
      <alignment horizontal="center" vertical="bottom"/>
    </xf>
    <xf borderId="4" fillId="15" fontId="15" numFmtId="0" xfId="0" applyBorder="1" applyFill="1" applyFont="1"/>
    <xf borderId="4" fillId="15" fontId="12" numFmtId="0" xfId="0" applyBorder="1" applyFill="1" applyFont="1"/>
    <xf borderId="1" fillId="16" fontId="4" numFmtId="0" xfId="0" applyBorder="1" applyFill="1" applyFont="1"/>
    <xf borderId="4" fillId="15" fontId="8" numFmtId="0" xfId="0" applyBorder="1" applyFill="1" applyFont="1"/>
    <xf borderId="1" fillId="16" fontId="4" numFmtId="0" xfId="0" applyAlignment="1" applyBorder="1" applyFill="1" applyFont="1">
      <alignment horizontal="center" vertical="center"/>
    </xf>
    <xf borderId="0" fillId="0" fontId="8" numFmtId="164" xfId="0" applyAlignment="1" applyFont="1" applyNumberFormat="1">
      <alignment horizontal="center"/>
    </xf>
    <xf borderId="1" fillId="16" fontId="4" numFmtId="0" xfId="0" applyAlignment="1" applyBorder="1" applyFill="1" applyFont="1">
      <alignment horizontal="center"/>
    </xf>
    <xf borderId="0" fillId="3" fontId="9" numFmtId="0" xfId="0" applyAlignment="1" applyFill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3" fontId="9" numFmtId="0" xfId="0" applyAlignment="1" applyFill="1" applyFont="1">
      <alignment vertical="bottom"/>
    </xf>
    <xf borderId="1" fillId="10" fontId="10" numFmtId="0" xfId="0" applyAlignment="1" applyBorder="1" applyFill="1" applyFont="1">
      <alignment horizontal="center" readingOrder="0" vertical="center"/>
    </xf>
    <xf borderId="0" fillId="0" fontId="8" numFmtId="165" xfId="0" applyAlignment="1" applyFont="1" applyNumberFormat="1">
      <alignment horizontal="center"/>
    </xf>
    <xf borderId="0" fillId="17" fontId="9" numFmtId="0" xfId="0" applyAlignment="1" applyFill="1" applyFont="1">
      <alignment horizontal="center"/>
    </xf>
    <xf borderId="3" fillId="10" fontId="10" numFmtId="0" xfId="0" applyAlignment="1" applyBorder="1" applyFill="1" applyFont="1">
      <alignment readingOrder="0"/>
    </xf>
    <xf borderId="3" fillId="10" fontId="10" numFmtId="0" xfId="0" applyAlignment="1" applyBorder="1" applyFill="1" applyFont="1">
      <alignment horizontal="center" readingOrder="0"/>
    </xf>
    <xf borderId="3" fillId="10" fontId="13" numFmtId="0" xfId="0" applyAlignment="1" applyBorder="1" applyFill="1" applyFont="1">
      <alignment horizontal="center" readingOrder="0"/>
    </xf>
    <xf borderId="4" fillId="18" fontId="8" numFmtId="164" xfId="0" applyAlignment="1" applyBorder="1" applyFill="1" applyFont="1" applyNumberFormat="1">
      <alignment horizontal="center"/>
    </xf>
    <xf borderId="4" fillId="18" fontId="8" numFmtId="0" xfId="0" applyAlignment="1" applyBorder="1" applyFill="1" applyFont="1">
      <alignment horizontal="center"/>
    </xf>
    <xf borderId="4" fillId="18" fontId="8" numFmtId="0" xfId="0" applyBorder="1" applyFill="1" applyFont="1"/>
    <xf borderId="1" fillId="10" fontId="4" numFmtId="0" xfId="0" applyAlignment="1" applyBorder="1" applyFill="1" applyFont="1">
      <alignment horizontal="center"/>
    </xf>
    <xf borderId="1" fillId="14" fontId="10" numFmtId="0" xfId="0" applyAlignment="1" applyBorder="1" applyFill="1" applyFont="1">
      <alignment horizontal="center" readingOrder="0" vertical="center"/>
    </xf>
    <xf borderId="3" fillId="14" fontId="10" numFmtId="0" xfId="0" applyAlignment="1" applyBorder="1" applyFill="1" applyFont="1">
      <alignment readingOrder="0"/>
    </xf>
    <xf borderId="3" fillId="14" fontId="10" numFmtId="0" xfId="0" applyAlignment="1" applyBorder="1" applyFill="1" applyFont="1">
      <alignment horizontal="center" readingOrder="0"/>
    </xf>
    <xf borderId="3" fillId="14" fontId="13" numFmtId="0" xfId="0" applyAlignment="1" applyBorder="1" applyFill="1" applyFont="1">
      <alignment horizontal="center"/>
    </xf>
    <xf borderId="3" fillId="14" fontId="13" numFmtId="0" xfId="0" applyAlignment="1" applyBorder="1" applyFill="1" applyFont="1">
      <alignment horizontal="center" readingOrder="0"/>
    </xf>
    <xf borderId="1" fillId="14" fontId="10" numFmtId="0" xfId="0" applyAlignment="1" applyBorder="1" applyFill="1" applyFont="1">
      <alignment horizontal="center" vertical="center"/>
    </xf>
    <xf borderId="1" fillId="14" fontId="10" numFmtId="0" xfId="0" applyAlignment="1" applyBorder="1" applyFill="1" applyFont="1">
      <alignment horizontal="center"/>
    </xf>
    <xf borderId="1" fillId="19" fontId="14" numFmtId="0" xfId="0" applyAlignment="1" applyBorder="1" applyFill="1" applyFont="1">
      <alignment readingOrder="0"/>
    </xf>
    <xf borderId="1" fillId="19" fontId="14" numFmtId="0" xfId="0" applyAlignment="1" applyBorder="1" applyFill="1" applyFont="1">
      <alignment horizontal="center" readingOrder="0" vertical="center"/>
    </xf>
    <xf borderId="1" fillId="19" fontId="14" numFmtId="0" xfId="0" applyAlignment="1" applyBorder="1" applyFill="1" applyFont="1">
      <alignment horizontal="center" readingOrder="0"/>
    </xf>
    <xf borderId="1" fillId="19" fontId="4" numFmtId="0" xfId="0" applyAlignment="1" applyBorder="1" applyFill="1" applyFont="1">
      <alignment horizontal="center"/>
    </xf>
    <xf borderId="1" fillId="19" fontId="14" numFmtId="0" xfId="0" applyAlignment="1" applyBorder="1" applyFill="1" applyFont="1">
      <alignment horizontal="center"/>
    </xf>
    <xf borderId="1" fillId="20" fontId="14" numFmtId="0" xfId="0" applyAlignment="1" applyBorder="1" applyFill="1" applyFont="1">
      <alignment horizontal="center"/>
    </xf>
    <xf borderId="1" fillId="11" fontId="10" numFmtId="0" xfId="0" applyAlignment="1" applyBorder="1" applyFill="1" applyFont="1">
      <alignment readingOrder="0"/>
    </xf>
    <xf borderId="1" fillId="11" fontId="10" numFmtId="0" xfId="0" applyAlignment="1" applyBorder="1" applyFill="1" applyFont="1">
      <alignment horizontal="center" readingOrder="0" vertical="center"/>
    </xf>
    <xf borderId="1" fillId="11" fontId="10" numFmtId="0" xfId="0" applyAlignment="1" applyBorder="1" applyFill="1" applyFont="1">
      <alignment horizontal="center" readingOrder="0"/>
    </xf>
    <xf borderId="0" fillId="3" fontId="9" numFmtId="0" xfId="0" applyAlignment="1" applyFill="1" applyFont="1">
      <alignment horizontal="center"/>
    </xf>
    <xf borderId="0" fillId="0" fontId="9" numFmtId="0" xfId="0" applyAlignment="1" applyFont="1">
      <alignment horizontal="center" vertical="bottom"/>
    </xf>
    <xf borderId="1" fillId="21" fontId="10" numFmtId="0" xfId="0" applyAlignment="1" applyBorder="1" applyFill="1" applyFont="1">
      <alignment readingOrder="0"/>
    </xf>
    <xf borderId="1" fillId="21" fontId="10" numFmtId="0" xfId="0" applyAlignment="1" applyBorder="1" applyFill="1" applyFont="1">
      <alignment horizontal="center" readingOrder="0" vertical="center"/>
    </xf>
    <xf borderId="1" fillId="21" fontId="10" numFmtId="0" xfId="0" applyAlignment="1" applyBorder="1" applyFill="1" applyFont="1">
      <alignment horizontal="center" readingOrder="0"/>
    </xf>
    <xf borderId="1" fillId="21" fontId="10" numFmtId="0" xfId="0" applyAlignment="1" applyBorder="1" applyFill="1" applyFont="1">
      <alignment horizontal="center"/>
    </xf>
    <xf borderId="1" fillId="22" fontId="10" numFmtId="0" xfId="0" applyAlignment="1" applyBorder="1" applyFill="1" applyFont="1">
      <alignment readingOrder="0"/>
    </xf>
    <xf borderId="1" fillId="22" fontId="10" numFmtId="0" xfId="0" applyAlignment="1" applyBorder="1" applyFill="1" applyFont="1">
      <alignment horizontal="center" readingOrder="0" vertical="center"/>
    </xf>
    <xf borderId="1" fillId="22" fontId="10" numFmtId="0" xfId="0" applyAlignment="1" applyBorder="1" applyFill="1" applyFont="1">
      <alignment horizontal="center" readingOrder="0"/>
    </xf>
    <xf borderId="1" fillId="22" fontId="10" numFmtId="0" xfId="0" applyAlignment="1" applyBorder="1" applyFill="1" applyFont="1">
      <alignment horizontal="center"/>
    </xf>
    <xf borderId="1" fillId="13" fontId="10" numFmtId="0" xfId="0" applyAlignment="1" applyBorder="1" applyFill="1" applyFont="1">
      <alignment readingOrder="0"/>
    </xf>
    <xf borderId="1" fillId="13" fontId="13" numFmtId="0" xfId="0" applyAlignment="1" applyBorder="1" applyFill="1" applyFont="1">
      <alignment horizontal="center" vertical="center"/>
    </xf>
    <xf borderId="1" fillId="13" fontId="13" numFmtId="0" xfId="0" applyAlignment="1" applyBorder="1" applyFill="1" applyFont="1">
      <alignment horizontal="center"/>
    </xf>
    <xf borderId="1" fillId="13" fontId="10" numFmtId="0" xfId="0" applyAlignment="1" applyBorder="1" applyFill="1" applyFont="1">
      <alignment horizontal="center" readingOrder="0"/>
    </xf>
    <xf borderId="1" fillId="23" fontId="4" numFmtId="0" xfId="0" applyAlignment="1" applyBorder="1" applyFill="1" applyFont="1">
      <alignment readingOrder="0"/>
    </xf>
    <xf borderId="1" fillId="23" fontId="4" numFmtId="0" xfId="0" applyAlignment="1" applyBorder="1" applyFill="1" applyFont="1">
      <alignment horizontal="center" vertical="center"/>
    </xf>
    <xf borderId="1" fillId="23" fontId="4" numFmtId="0" xfId="0" applyAlignment="1" applyBorder="1" applyFill="1" applyFont="1">
      <alignment horizontal="center"/>
    </xf>
    <xf borderId="0" fillId="3" fontId="9" numFmtId="0" xfId="0" applyFill="1" applyFont="1"/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/>
    </xf>
    <xf borderId="0" fillId="3" fontId="4" numFmtId="0" xfId="0" applyFill="1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4" fontId="16" numFmtId="0" xfId="0" applyAlignment="1" applyBorder="1" applyFill="1" applyFont="1">
      <alignment horizontal="center" readingOrder="0"/>
    </xf>
    <xf borderId="1" fillId="24" fontId="10" numFmtId="0" xfId="0" applyAlignment="1" applyBorder="1" applyFill="1" applyFont="1">
      <alignment readingOrder="0"/>
    </xf>
    <xf borderId="1" fillId="24" fontId="10" numFmtId="0" xfId="0" applyAlignment="1" applyBorder="1" applyFill="1" applyFont="1">
      <alignment horizontal="center" readingOrder="0" vertical="center"/>
    </xf>
    <xf borderId="1" fillId="24" fontId="10" numFmtId="0" xfId="0" applyAlignment="1" applyBorder="1" applyFill="1" applyFont="1">
      <alignment horizontal="center" readingOrder="0"/>
    </xf>
    <xf borderId="1" fillId="24" fontId="10" numFmtId="0" xfId="0" applyAlignment="1" applyBorder="1" applyFill="1" applyFont="1">
      <alignment horizontal="center"/>
    </xf>
    <xf borderId="1" fillId="24" fontId="13" numFmtId="0" xfId="0" applyAlignment="1" applyBorder="1" applyFill="1" applyFont="1">
      <alignment horizontal="center"/>
    </xf>
    <xf borderId="1" fillId="21" fontId="13" numFmtId="0" xfId="0" applyAlignment="1" applyBorder="1" applyFill="1" applyFont="1">
      <alignment horizontal="center"/>
    </xf>
    <xf borderId="5" fillId="4" fontId="17" numFmtId="0" xfId="0" applyAlignment="1" applyBorder="1" applyFill="1" applyFont="1">
      <alignment horizontal="center" readingOrder="0"/>
    </xf>
    <xf borderId="6" fillId="0" fontId="7" numFmtId="0" xfId="0" applyBorder="1" applyFont="1"/>
    <xf borderId="7" fillId="0" fontId="7" numFmtId="0" xfId="0" applyBorder="1" applyFont="1"/>
    <xf borderId="1" fillId="3" fontId="14" numFmtId="0" xfId="0" applyAlignment="1" applyBorder="1" applyFill="1" applyFont="1">
      <alignment readingOrder="0"/>
    </xf>
    <xf borderId="1" fillId="3" fontId="14" numFmtId="0" xfId="0" applyAlignment="1" applyBorder="1" applyFill="1" applyFont="1">
      <alignment horizontal="center" readingOrder="0" vertical="center"/>
    </xf>
    <xf borderId="1" fillId="3" fontId="14" numFmtId="0" xfId="0" applyAlignment="1" applyBorder="1" applyFill="1" applyFont="1">
      <alignment horizontal="center" readingOrder="0"/>
    </xf>
    <xf borderId="1" fillId="3" fontId="14" numFmtId="0" xfId="0" applyAlignment="1" applyBorder="1" applyFill="1" applyFont="1">
      <alignment horizontal="center"/>
    </xf>
    <xf borderId="1" fillId="25" fontId="10" numFmtId="0" xfId="0" applyAlignment="1" applyBorder="1" applyFill="1" applyFont="1">
      <alignment readingOrder="0"/>
    </xf>
    <xf borderId="1" fillId="25" fontId="10" numFmtId="0" xfId="0" applyAlignment="1" applyBorder="1" applyFill="1" applyFont="1">
      <alignment horizontal="center" readingOrder="0" vertical="center"/>
    </xf>
    <xf borderId="1" fillId="25" fontId="10" numFmtId="0" xfId="0" applyAlignment="1" applyBorder="1" applyFill="1" applyFont="1">
      <alignment horizontal="center" readingOrder="0"/>
    </xf>
    <xf borderId="1" fillId="25" fontId="10" numFmtId="0" xfId="0" applyAlignment="1" applyBorder="1" applyFill="1" applyFont="1">
      <alignment horizontal="center"/>
    </xf>
    <xf borderId="1" fillId="25" fontId="13" numFmtId="0" xfId="0" applyAlignment="1" applyBorder="1" applyFill="1" applyFont="1">
      <alignment horizont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3" fontId="11" numFmtId="0" xfId="0" applyFill="1" applyFont="1"/>
    <xf borderId="0" fillId="0" fontId="3" numFmtId="0" xfId="0" applyAlignment="1" applyFont="1">
      <alignment horizontal="center" readingOrder="0"/>
    </xf>
    <xf borderId="0" fillId="0" fontId="18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17" fontId="11" numFmtId="0" xfId="0" applyAlignment="1" applyFill="1" applyFont="1">
      <alignment horizontal="center" readingOrder="0"/>
    </xf>
    <xf borderId="0" fillId="17" fontId="8" numFmtId="0" xfId="0" applyAlignment="1" applyFill="1" applyFont="1">
      <alignment horizontal="center"/>
    </xf>
    <xf borderId="0" fillId="17" fontId="11" numFmtId="0" xfId="0" applyAlignment="1" applyFill="1" applyFont="1">
      <alignment readingOrder="0"/>
    </xf>
    <xf borderId="0" fillId="0" fontId="9" numFmtId="0" xfId="0" applyAlignment="1" applyFon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0" fillId="6" fontId="11" numFmtId="0" xfId="0" applyAlignment="1" applyFill="1" applyFont="1">
      <alignment horizontal="center" readingOrder="0"/>
    </xf>
    <xf borderId="0" fillId="6" fontId="8" numFmtId="0" xfId="0" applyAlignment="1" applyFill="1" applyFont="1">
      <alignment horizontal="center"/>
    </xf>
    <xf borderId="0" fillId="6" fontId="11" numFmtId="0" xfId="0" applyAlignment="1" applyFill="1" applyFont="1">
      <alignment readingOrder="0"/>
    </xf>
    <xf borderId="0" fillId="6" fontId="11" numFmtId="0" xfId="0" applyFill="1" applyFont="1"/>
    <xf borderId="0" fillId="6" fontId="8" numFmtId="0" xfId="0" applyFill="1" applyFont="1"/>
    <xf borderId="0" fillId="18" fontId="11" numFmtId="0" xfId="0" applyAlignment="1" applyFill="1" applyFont="1">
      <alignment horizontal="center" readingOrder="0"/>
    </xf>
    <xf borderId="0" fillId="18" fontId="8" numFmtId="0" xfId="0" applyAlignment="1" applyFill="1" applyFont="1">
      <alignment horizontal="center"/>
    </xf>
    <xf borderId="0" fillId="18" fontId="11" numFmtId="0" xfId="0" applyAlignment="1" applyFill="1" applyFont="1">
      <alignment readingOrder="0"/>
    </xf>
    <xf borderId="0" fillId="18" fontId="11" numFmtId="0" xfId="0" applyFill="1" applyFont="1"/>
    <xf borderId="0" fillId="18" fontId="8" numFmtId="0" xfId="0" applyAlignment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6" fontId="8" numFmtId="0" xfId="0" applyAlignment="1" applyFill="1" applyFont="1">
      <alignment readingOrder="0"/>
    </xf>
    <xf borderId="0" fillId="18" fontId="19" numFmtId="0" xfId="0" applyAlignment="1" applyFill="1" applyFont="1">
      <alignment horizontal="center" readingOrder="0"/>
    </xf>
    <xf borderId="0" fillId="18" fontId="19" numFmtId="0" xfId="0" applyAlignment="1" applyFill="1" applyFont="1">
      <alignment readingOrder="0"/>
    </xf>
    <xf borderId="0" fillId="7" fontId="21" numFmtId="0" xfId="0" applyAlignment="1" applyFill="1" applyFon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0" fillId="0" fontId="22" numFmtId="0" xfId="0" applyAlignment="1" applyFont="1">
      <alignment readingOrder="0"/>
    </xf>
    <xf borderId="0" fillId="17" fontId="9" numFmtId="164" xfId="0" applyAlignment="1" applyFill="1" applyFont="1" applyNumberFormat="1">
      <alignment horizontal="center" vertical="bottom"/>
    </xf>
    <xf borderId="0" fillId="0" fontId="23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0" fontId="26" numFmtId="0" xfId="0" applyAlignment="1" applyFont="1">
      <alignment readingOrder="0" vertical="bottom"/>
    </xf>
    <xf borderId="0" fillId="0" fontId="11" numFmtId="166" xfId="0" applyAlignment="1" applyFont="1" applyNumberFormat="1">
      <alignment horizontal="center" readingOrder="0"/>
    </xf>
    <xf borderId="0" fillId="0" fontId="11" numFmtId="165" xfId="0" applyAlignment="1" applyFont="1" applyNumberFormat="1">
      <alignment horizontal="center" readingOrder="0"/>
    </xf>
    <xf borderId="0" fillId="17" fontId="11" numFmtId="165" xfId="0" applyAlignment="1" applyFill="1" applyFont="1" applyNumberFormat="1">
      <alignment horizontal="center" readingOrder="0"/>
    </xf>
    <xf borderId="0" fillId="0" fontId="27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3" fontId="29" numFmtId="0" xfId="0" applyAlignment="1" applyFill="1" applyFont="1">
      <alignment horizontal="center" readingOrder="0" shrinkToFit="0" wrapText="0"/>
    </xf>
    <xf borderId="0" fillId="3" fontId="30" numFmtId="0" xfId="0" applyAlignment="1" applyFill="1" applyFont="1">
      <alignment horizontal="center" readingOrder="0" shrinkToFit="0" wrapText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2" numFmtId="0" xfId="0" applyAlignment="1" applyFont="1">
      <alignment horizontal="center" readingOrder="0"/>
    </xf>
    <xf borderId="0" fillId="6" fontId="11" numFmtId="165" xfId="0" applyAlignment="1" applyFill="1" applyFont="1" applyNumberFormat="1">
      <alignment horizontal="center" readingOrder="0"/>
    </xf>
    <xf borderId="0" fillId="0" fontId="11" numFmtId="167" xfId="0" applyAlignment="1" applyFont="1" applyNumberFormat="1">
      <alignment horizontal="center" readingOrder="0"/>
    </xf>
    <xf borderId="0" fillId="17" fontId="9" numFmtId="168" xfId="0" applyAlignment="1" applyFill="1" applyFont="1" applyNumberFormat="1">
      <alignment horizontal="center" vertical="bottom"/>
    </xf>
    <xf borderId="0" fillId="17" fontId="9" numFmtId="168" xfId="0" applyAlignment="1" applyFill="1" applyFont="1" applyNumberFormat="1">
      <alignment readingOrder="0" vertical="bottom"/>
    </xf>
    <xf borderId="0" fillId="0" fontId="9" numFmtId="0" xfId="0" applyAlignment="1" applyFont="1">
      <alignment horizontal="center" readingOrder="0" vertical="bottom"/>
    </xf>
    <xf borderId="0" fillId="17" fontId="11" numFmtId="168" xfId="0" applyAlignment="1" applyFill="1" applyFont="1" applyNumberFormat="1">
      <alignment horizontal="center" readingOrder="0"/>
    </xf>
    <xf borderId="0" fillId="0" fontId="11" numFmtId="168" xfId="0" applyAlignment="1" applyFont="1" applyNumberFormat="1">
      <alignment horizontal="center" readingOrder="0"/>
    </xf>
    <xf borderId="0" fillId="0" fontId="9" numFmtId="168" xfId="0" applyAlignment="1" applyFont="1" applyNumberFormat="1">
      <alignment horizontal="center" vertical="bottom"/>
    </xf>
    <xf borderId="0" fillId="12" fontId="9" numFmtId="168" xfId="0" applyAlignment="1" applyFill="1" applyFont="1" applyNumberFormat="1">
      <alignment horizontal="center" vertical="bottom"/>
    </xf>
    <xf borderId="0" fillId="7" fontId="11" numFmtId="168" xfId="0" applyAlignment="1" applyFill="1" applyFont="1" applyNumberFormat="1">
      <alignment horizontal="center" readingOrder="0"/>
    </xf>
    <xf borderId="0" fillId="7" fontId="11" numFmtId="0" xfId="0" applyAlignment="1" applyFill="1" applyFont="1">
      <alignment horizontal="center" readingOrder="0"/>
    </xf>
    <xf borderId="0" fillId="7" fontId="8" numFmtId="0" xfId="0" applyAlignment="1" applyFill="1" applyFont="1">
      <alignment horizontal="center"/>
    </xf>
    <xf borderId="0" fillId="7" fontId="11" numFmtId="0" xfId="0" applyAlignment="1" applyFill="1" applyFont="1">
      <alignment readingOrder="0"/>
    </xf>
    <xf borderId="0" fillId="7" fontId="11" numFmtId="0" xfId="0" applyFill="1" applyFont="1"/>
    <xf borderId="0" fillId="6" fontId="11" numFmtId="168" xfId="0" applyAlignment="1" applyFill="1" applyFont="1" applyNumberFormat="1">
      <alignment horizontal="center" readingOrder="0"/>
    </xf>
    <xf borderId="0" fillId="3" fontId="33" numFmtId="0" xfId="0" applyAlignment="1" applyFill="1" applyFont="1">
      <alignment horizontal="center" vertical="bottom"/>
    </xf>
    <xf borderId="0" fillId="3" fontId="33" numFmtId="0" xfId="0" applyAlignment="1" applyFill="1" applyFont="1">
      <alignment vertical="bottom"/>
    </xf>
    <xf borderId="0" fillId="26" fontId="11" numFmtId="168" xfId="0" applyAlignment="1" applyFill="1" applyFont="1" applyNumberFormat="1">
      <alignment horizontal="center" readingOrder="0"/>
    </xf>
    <xf borderId="0" fillId="26" fontId="11" numFmtId="169" xfId="0" applyAlignment="1" applyFill="1" applyFont="1" applyNumberFormat="1">
      <alignment horizontal="center" readingOrder="0"/>
    </xf>
    <xf borderId="0" fillId="27" fontId="11" numFmtId="169" xfId="0" applyAlignment="1" applyFill="1" applyFont="1" applyNumberFormat="1">
      <alignment horizontal="center" readingOrder="0"/>
    </xf>
    <xf borderId="0" fillId="0" fontId="11" numFmtId="169" xfId="0" applyAlignment="1" applyFont="1" applyNumberFormat="1">
      <alignment horizontal="center" readingOrder="0"/>
    </xf>
    <xf borderId="0" fillId="6" fontId="34" numFmtId="0" xfId="0" applyAlignment="1" applyFill="1" applyFont="1">
      <alignment readingOrder="0"/>
    </xf>
    <xf borderId="0" fillId="12" fontId="11" numFmtId="168" xfId="0" applyAlignment="1" applyFill="1" applyFont="1" applyNumberFormat="1">
      <alignment horizontal="center" readingOrder="0"/>
    </xf>
    <xf borderId="0" fillId="28" fontId="11" numFmtId="169" xfId="0" applyAlignment="1" applyFill="1" applyFont="1" applyNumberForma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6" numFmtId="0" xfId="0" applyAlignment="1" applyFont="1">
      <alignment horizontal="center"/>
    </xf>
    <xf borderId="0" fillId="0" fontId="37" numFmtId="0" xfId="0" applyAlignment="1" applyFont="1">
      <alignment horizontal="center" readingOrder="0"/>
    </xf>
    <xf borderId="0" fillId="29" fontId="11" numFmtId="169" xfId="0" applyAlignment="1" applyFill="1" applyFont="1" applyNumberFormat="1">
      <alignment horizontal="center" readingOrder="0"/>
    </xf>
    <xf borderId="0" fillId="30" fontId="11" numFmtId="169" xfId="0" applyAlignment="1" applyFill="1" applyFont="1" applyNumberFormat="1">
      <alignment horizontal="center" readingOrder="0"/>
    </xf>
    <xf borderId="0" fillId="18" fontId="11" numFmtId="169" xfId="0" applyAlignment="1" applyFill="1" applyFont="1" applyNumberFormat="1">
      <alignment horizontal="center" readingOrder="0"/>
    </xf>
    <xf borderId="0" fillId="18" fontId="38" numFmtId="0" xfId="0" applyAlignment="1" applyFill="1" applyFont="1">
      <alignment readingOrder="0"/>
    </xf>
    <xf borderId="0" fillId="6" fontId="11" numFmtId="169" xfId="0" applyAlignment="1" applyFill="1" applyFont="1" applyNumberFormat="1">
      <alignment horizontal="center" readingOrder="0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7" fontId="39" numFmtId="0" xfId="0" applyAlignment="1" applyFill="1" applyFont="1">
      <alignment horizontal="center" readingOrder="0" vertical="center"/>
    </xf>
    <xf borderId="0" fillId="31" fontId="11" numFmtId="169" xfId="0" applyAlignment="1" applyFill="1" applyFont="1" applyNumberFormat="1">
      <alignment horizontal="center" readingOrder="0"/>
    </xf>
    <xf borderId="0" fillId="12" fontId="11" numFmtId="169" xfId="0" applyAlignment="1" applyFill="1" applyFont="1" applyNumberFormat="1">
      <alignment horizontal="center" readingOrder="0"/>
    </xf>
    <xf borderId="0" fillId="3" fontId="11" numFmtId="169" xfId="0" applyAlignment="1" applyFill="1" applyFont="1" applyNumberFormat="1">
      <alignment horizontal="center" readingOrder="0"/>
    </xf>
    <xf borderId="0" fillId="0" fontId="40" numFmtId="0" xfId="0" applyAlignment="1" applyFont="1">
      <alignment horizontal="center"/>
    </xf>
    <xf borderId="0" fillId="0" fontId="41" numFmtId="0" xfId="0" applyAlignment="1" applyFont="1">
      <alignment horizontal="center" readingOrder="0"/>
    </xf>
    <xf borderId="0" fillId="0" fontId="40" numFmtId="0" xfId="0" applyFont="1"/>
    <xf borderId="0" fillId="0" fontId="41" numFmtId="0" xfId="0" applyAlignment="1" applyFont="1">
      <alignment readingOrder="0"/>
    </xf>
    <xf borderId="1" fillId="32" fontId="42" numFmtId="0" xfId="0" applyAlignment="1" applyBorder="1" applyFill="1" applyFont="1">
      <alignment horizontal="center" readingOrder="0"/>
    </xf>
    <xf borderId="1" fillId="32" fontId="42" numFmtId="168" xfId="0" applyAlignment="1" applyBorder="1" applyFill="1" applyFont="1" applyNumberFormat="1">
      <alignment horizontal="center" readingOrder="0"/>
    </xf>
    <xf borderId="1" fillId="33" fontId="42" numFmtId="0" xfId="0" applyAlignment="1" applyBorder="1" applyFill="1" applyFont="1">
      <alignment horizontal="center" readingOrder="0"/>
    </xf>
    <xf borderId="1" fillId="33" fontId="42" numFmtId="168" xfId="0" applyAlignment="1" applyBorder="1" applyFill="1" applyFont="1" applyNumberFormat="1">
      <alignment horizontal="center" readingOrder="0"/>
    </xf>
    <xf borderId="0" fillId="3" fontId="43" numFmtId="0" xfId="0" applyFill="1" applyFont="1"/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0" fontId="28" numFmtId="0" xfId="0" applyAlignment="1" applyFont="1">
      <alignment horizontal="center" readingOrder="0" shrinkToFit="0" wrapText="0"/>
    </xf>
    <xf borderId="0" fillId="0" fontId="28" numFmtId="0" xfId="0" applyAlignment="1" applyFont="1">
      <alignment horizontal="right" readingOrder="0" shrinkToFit="0" wrapText="0"/>
    </xf>
    <xf borderId="1" fillId="22" fontId="43" numFmtId="0" xfId="0" applyBorder="1" applyFill="1" applyFont="1"/>
    <xf borderId="1" fillId="34" fontId="40" numFmtId="0" xfId="0" applyAlignment="1" applyBorder="1" applyFill="1" applyFont="1">
      <alignment horizontal="center" readingOrder="0"/>
    </xf>
    <xf borderId="0" fillId="3" fontId="19" numFmtId="0" xfId="0" applyAlignment="1" applyFill="1" applyFont="1">
      <alignment horizontal="center" readingOrder="0"/>
    </xf>
    <xf borderId="1" fillId="34" fontId="40" numFmtId="0" xfId="0" applyAlignment="1" applyBorder="1" applyFill="1" applyFont="1">
      <alignment horizontal="center"/>
    </xf>
    <xf borderId="0" fillId="3" fontId="19" numFmtId="0" xfId="0" applyAlignment="1" applyFill="1" applyFont="1">
      <alignment readingOrder="0"/>
    </xf>
    <xf borderId="1" fillId="16" fontId="40" numFmtId="0" xfId="0" applyAlignment="1" applyBorder="1" applyFill="1" applyFont="1">
      <alignment horizontal="center" readingOrder="0"/>
    </xf>
    <xf borderId="0" fillId="0" fontId="37" numFmtId="0" xfId="0" applyAlignment="1" applyFont="1">
      <alignment horizontal="center"/>
    </xf>
    <xf borderId="1" fillId="16" fontId="40" numFmtId="0" xfId="0" applyAlignment="1" applyBorder="1" applyFill="1" applyFont="1">
      <alignment horizontal="center"/>
    </xf>
    <xf borderId="0" fillId="3" fontId="40" numFmtId="0" xfId="0" applyFill="1" applyFont="1"/>
    <xf borderId="1" fillId="35" fontId="40" numFmtId="0" xfId="0" applyBorder="1" applyFill="1" applyFont="1"/>
    <xf borderId="0" fillId="26" fontId="19" numFmtId="169" xfId="0" applyAlignment="1" applyFill="1" applyFont="1" applyNumberFormat="1">
      <alignment horizontal="center" readingOrder="0"/>
    </xf>
    <xf borderId="1" fillId="32" fontId="42" numFmtId="0" xfId="0" applyAlignment="1" applyBorder="1" applyFill="1" applyFont="1">
      <alignment horizontal="center"/>
    </xf>
    <xf borderId="0" fillId="0" fontId="11" numFmtId="169" xfId="0" applyAlignment="1" applyFont="1" applyNumberFormat="1">
      <alignment readingOrder="0"/>
    </xf>
    <xf borderId="1" fillId="33" fontId="42" numFmtId="0" xfId="0" applyAlignment="1" applyBorder="1" applyFill="1" applyFont="1">
      <alignment horizontal="center"/>
    </xf>
    <xf borderId="1" fillId="36" fontId="42" numFmtId="0" xfId="0" applyAlignment="1" applyBorder="1" applyFill="1" applyFont="1">
      <alignment horizontal="center"/>
    </xf>
    <xf borderId="0" fillId="37" fontId="11" numFmtId="0" xfId="0" applyFill="1" applyFont="1"/>
    <xf borderId="1" fillId="34" fontId="44" numFmtId="0" xfId="0" applyAlignment="1" applyBorder="1" applyFill="1" applyFont="1">
      <alignment horizontal="center"/>
    </xf>
    <xf borderId="1" fillId="16" fontId="44" numFmtId="0" xfId="0" applyAlignment="1" applyBorder="1" applyFill="1" applyFont="1">
      <alignment horizontal="center"/>
    </xf>
    <xf borderId="1" fillId="3" fontId="40" numFmtId="0" xfId="0" applyAlignment="1" applyBorder="1" applyFill="1" applyFont="1">
      <alignment horizontal="center"/>
    </xf>
    <xf borderId="0" fillId="3" fontId="40" numFmtId="0" xfId="0" applyAlignment="1" applyFill="1" applyFont="1">
      <alignment horizontal="center"/>
    </xf>
    <xf borderId="0" fillId="3" fontId="44" numFmtId="0" xfId="0" applyFill="1" applyFont="1"/>
    <xf borderId="1" fillId="35" fontId="44" numFmtId="0" xfId="0" applyBorder="1" applyFill="1" applyFont="1"/>
    <xf borderId="1" fillId="38" fontId="42" numFmtId="0" xfId="0" applyAlignment="1" applyBorder="1" applyFill="1" applyFont="1">
      <alignment horizontal="center"/>
    </xf>
    <xf borderId="1" fillId="38" fontId="40" numFmtId="0" xfId="0" applyBorder="1" applyFill="1" applyFont="1"/>
    <xf borderId="1" fillId="39" fontId="40" numFmtId="0" xfId="0" applyBorder="1" applyFill="1" applyFont="1"/>
    <xf borderId="1" fillId="34" fontId="45" numFmtId="0" xfId="0" applyAlignment="1" applyBorder="1" applyFill="1" applyFont="1">
      <alignment horizontal="center"/>
    </xf>
    <xf borderId="1" fillId="34" fontId="46" numFmtId="0" xfId="0" applyAlignment="1" applyBorder="1" applyFill="1" applyFont="1">
      <alignment horizontal="center"/>
    </xf>
    <xf borderId="0" fillId="0" fontId="1" numFmtId="16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3" fontId="27" numFmtId="0" xfId="0" applyAlignment="1" applyFill="1" applyFont="1">
      <alignment horizontal="center" readingOrder="0"/>
    </xf>
    <xf borderId="1" fillId="40" fontId="44" numFmtId="0" xfId="0" applyAlignment="1" applyBorder="1" applyFill="1" applyFont="1">
      <alignment horizontal="center" readingOrder="0"/>
    </xf>
    <xf borderId="1" fillId="40" fontId="44" numFmtId="0" xfId="0" applyAlignment="1" applyBorder="1" applyFill="1" applyFont="1">
      <alignment horizontal="center"/>
    </xf>
    <xf borderId="0" fillId="3" fontId="28" numFmtId="0" xfId="0" applyAlignment="1" applyFill="1" applyFont="1">
      <alignment horizontal="center" readingOrder="0"/>
    </xf>
    <xf borderId="0" fillId="3" fontId="44" numFmtId="0" xfId="0" applyAlignment="1" applyFill="1" applyFont="1">
      <alignment horizontal="center"/>
    </xf>
    <xf borderId="0" fillId="3" fontId="28" numFmtId="0" xfId="0" applyAlignment="1" applyFill="1" applyFont="1">
      <alignment horizontal="left" readingOrder="0"/>
    </xf>
    <xf borderId="0" fillId="0" fontId="1" numFmtId="0" xfId="0" applyFont="1"/>
    <xf borderId="0" fillId="26" fontId="1" numFmtId="169" xfId="0" applyAlignment="1" applyFill="1" applyFont="1" applyNumberFormat="1">
      <alignment horizontal="center" readingOrder="0"/>
    </xf>
    <xf borderId="0" fillId="0" fontId="47" numFmtId="0" xfId="0" applyAlignment="1" applyFont="1">
      <alignment horizontal="center" readingOrder="0"/>
    </xf>
    <xf borderId="0" fillId="27" fontId="1" numFmtId="169" xfId="0" applyAlignment="1" applyFill="1" applyFont="1" applyNumberFormat="1">
      <alignment horizontal="center" readingOrder="0"/>
    </xf>
    <xf borderId="0" fillId="3" fontId="18" numFmtId="0" xfId="0" applyAlignment="1" applyFill="1" applyFont="1">
      <alignment horizontal="center" readingOrder="0"/>
    </xf>
    <xf borderId="0" fillId="3" fontId="18" numFmtId="0" xfId="0" applyAlignment="1" applyFill="1" applyFont="1">
      <alignment horizontal="left" readingOrder="0"/>
    </xf>
    <xf borderId="1" fillId="40" fontId="40" numFmtId="0" xfId="0" applyAlignment="1" applyBorder="1" applyFill="1" applyFont="1">
      <alignment horizontal="center" readingOrder="0"/>
    </xf>
    <xf borderId="1" fillId="40" fontId="40" numFmtId="0" xfId="0" applyAlignment="1" applyBorder="1" applyFill="1" applyFont="1">
      <alignment horizontal="center"/>
    </xf>
    <xf borderId="0" fillId="3" fontId="40" numFmtId="0" xfId="0" applyAlignment="1" applyFill="1" applyFont="1">
      <alignment horizontal="center" readingOrder="0"/>
    </xf>
    <xf borderId="0" fillId="3" fontId="48" numFmtId="0" xfId="0" applyAlignment="1" applyFill="1" applyFont="1">
      <alignment horizontal="center" readingOrder="0"/>
    </xf>
    <xf borderId="0" fillId="3" fontId="48" numFmtId="0" xfId="0" applyAlignment="1" applyFill="1" applyFont="1">
      <alignment horizontal="left" readingOrder="0"/>
    </xf>
    <xf borderId="0" fillId="37" fontId="11" numFmtId="169" xfId="0" applyAlignment="1" applyFill="1" applyFont="1" applyNumberFormat="1">
      <alignment horizontal="center" readingOrder="0"/>
    </xf>
    <xf borderId="0" fillId="3" fontId="48" numFmtId="0" xfId="0" applyAlignment="1" applyFill="1" applyFont="1">
      <alignment horizontal="center" readingOrder="0" shrinkToFit="0" wrapText="0"/>
    </xf>
    <xf borderId="0" fillId="3" fontId="48" numFmtId="0" xfId="0" applyAlignment="1" applyFill="1" applyFont="1">
      <alignment horizontal="left" readingOrder="0" shrinkToFit="0" wrapText="0"/>
    </xf>
    <xf borderId="0" fillId="7" fontId="11" numFmtId="0" xfId="0" applyAlignment="1" applyFill="1" applyFont="1">
      <alignment horizontal="center"/>
    </xf>
    <xf borderId="0" fillId="7" fontId="49" numFmtId="0" xfId="0" applyAlignment="1" applyFill="1" applyFont="1">
      <alignment horizontal="center" readingOrder="0"/>
    </xf>
    <xf borderId="0" fillId="41" fontId="11" numFmtId="169" xfId="0" applyAlignment="1" applyFill="1" applyFont="1" applyNumberFormat="1">
      <alignment horizontal="center" readingOrder="0"/>
    </xf>
    <xf borderId="0" fillId="6" fontId="19" numFmtId="0" xfId="0" applyAlignment="1" applyFill="1" applyFont="1">
      <alignment horizontal="center" readingOrder="0"/>
    </xf>
    <xf borderId="0" fillId="6" fontId="19" numFmtId="0" xfId="0" applyAlignment="1" applyFill="1" applyFont="1">
      <alignment readingOrder="0"/>
    </xf>
    <xf borderId="0" fillId="12" fontId="9" numFmtId="169" xfId="0" applyAlignment="1" applyFill="1" applyFont="1" applyNumberFormat="1">
      <alignment horizontal="center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0" fillId="3" fontId="50" numFmtId="0" xfId="0" applyAlignment="1" applyFill="1" applyFont="1">
      <alignment horizontal="right" vertical="bottom"/>
    </xf>
    <xf borderId="0" fillId="6" fontId="48" numFmtId="0" xfId="0" applyAlignment="1" applyFill="1" applyFont="1">
      <alignment horizontal="center" readingOrder="0"/>
    </xf>
    <xf borderId="0" fillId="6" fontId="48" numFmtId="0" xfId="0" applyAlignment="1" applyFill="1" applyFont="1">
      <alignment horizontal="left" readingOrder="0"/>
    </xf>
    <xf borderId="0" fillId="6" fontId="18" numFmtId="0" xfId="0" applyAlignment="1" applyFill="1" applyFont="1">
      <alignment horizontal="center" readingOrder="0"/>
    </xf>
    <xf borderId="0" fillId="6" fontId="18" numFmtId="0" xfId="0" applyAlignment="1" applyFill="1" applyFont="1">
      <alignment horizontal="left" readingOrder="0"/>
    </xf>
    <xf borderId="0" fillId="42" fontId="51" numFmtId="0" xfId="0" applyAlignment="1" applyFill="1" applyFont="1">
      <alignment horizontal="center"/>
    </xf>
    <xf borderId="0" fillId="42" fontId="51" numFmtId="0" xfId="0" applyAlignment="1" applyFill="1" applyFont="1">
      <alignment horizontal="center" readingOrder="0"/>
    </xf>
    <xf borderId="0" fillId="42" fontId="51" numFmtId="0" xfId="0" applyFill="1" applyFont="1"/>
    <xf borderId="0" fillId="42" fontId="51" numFmtId="0" xfId="0" applyAlignment="1" applyFill="1" applyFont="1">
      <alignment readingOrder="0"/>
    </xf>
    <xf borderId="0" fillId="0" fontId="11" numFmtId="0" xfId="0" applyAlignment="1" applyFont="1">
      <alignment horizontal="right"/>
    </xf>
    <xf borderId="0" fillId="3" fontId="9" numFmtId="169" xfId="0" applyAlignment="1" applyFill="1" applyFont="1" applyNumberFormat="1">
      <alignment horizontal="center" vertical="bottom"/>
    </xf>
    <xf borderId="0" fillId="37" fontId="9" numFmtId="169" xfId="0" applyAlignment="1" applyFill="1" applyFont="1" applyNumberFormat="1">
      <alignment horizontal="center" vertical="bottom"/>
    </xf>
    <xf borderId="0" fillId="0" fontId="9" numFmtId="169" xfId="0" applyAlignment="1" applyFont="1" applyNumberFormat="1">
      <alignment horizontal="center" vertical="bottom"/>
    </xf>
    <xf borderId="0" fillId="0" fontId="52" numFmtId="0" xfId="0" applyAlignment="1" applyFont="1">
      <alignment horizontal="center" readingOrder="0"/>
    </xf>
    <xf borderId="0" fillId="0" fontId="52" numFmtId="0" xfId="0" applyAlignment="1" applyFont="1">
      <alignment readingOrder="0"/>
    </xf>
    <xf borderId="0" fillId="43" fontId="11" numFmtId="169" xfId="0" applyAlignment="1" applyFill="1" applyFont="1" applyNumberFormat="1">
      <alignment horizontal="center" readingOrder="0"/>
    </xf>
    <xf borderId="0" fillId="6" fontId="11" numFmtId="170" xfId="0" applyAlignment="1" applyFill="1" applyFont="1" applyNumberFormat="1">
      <alignment horizontal="center" readingOrder="0"/>
    </xf>
    <xf borderId="0" fillId="6" fontId="9" numFmtId="0" xfId="0" applyAlignment="1" applyFill="1" applyFont="1">
      <alignment horizontal="center" vertical="bottom"/>
    </xf>
    <xf borderId="0" fillId="0" fontId="11" numFmtId="170" xfId="0" applyAlignment="1" applyFont="1" applyNumberFormat="1">
      <alignment horizontal="center" readingOrder="0"/>
    </xf>
    <xf borderId="0" fillId="44" fontId="11" numFmtId="0" xfId="0" applyAlignment="1" applyFill="1" applyFont="1">
      <alignment horizontal="center" readingOrder="0"/>
    </xf>
    <xf borderId="0" fillId="44" fontId="9" numFmtId="0" xfId="0" applyAlignment="1" applyFill="1" applyFont="1">
      <alignment horizontal="center" vertical="bottom"/>
    </xf>
    <xf borderId="0" fillId="44" fontId="11" numFmtId="0" xfId="0" applyAlignment="1" applyFill="1" applyFont="1">
      <alignment readingOrder="0"/>
    </xf>
    <xf borderId="0" fillId="0" fontId="48" numFmtId="0" xfId="0" applyAlignment="1" applyFont="1">
      <alignment horizontal="center" readingOrder="0" shrinkToFit="0" wrapText="0"/>
    </xf>
    <xf borderId="0" fillId="0" fontId="48" numFmtId="0" xfId="0" applyAlignment="1" applyFont="1">
      <alignment horizontal="left" readingOrder="0" shrinkToFit="0" wrapText="0"/>
    </xf>
    <xf borderId="0" fillId="0" fontId="48" numFmtId="0" xfId="0" applyAlignment="1" applyFont="1">
      <alignment horizontal="right" readingOrder="0" shrinkToFit="0" wrapText="0"/>
    </xf>
    <xf borderId="0" fillId="3" fontId="11" numFmtId="0" xfId="0" applyAlignment="1" applyFill="1" applyFont="1">
      <alignment horizontal="center" readingOrder="0"/>
    </xf>
    <xf borderId="0" fillId="3" fontId="9" numFmtId="0" xfId="0" applyAlignment="1" applyFill="1" applyFont="1">
      <alignment horizontal="center" vertical="bottom"/>
    </xf>
    <xf borderId="0" fillId="45" fontId="51" numFmtId="0" xfId="0" applyAlignment="1" applyFill="1" applyFont="1">
      <alignment horizontal="center"/>
    </xf>
    <xf borderId="0" fillId="45" fontId="51" numFmtId="0" xfId="0" applyAlignment="1" applyFill="1" applyFont="1">
      <alignment horizontal="center" readingOrder="0"/>
    </xf>
    <xf borderId="0" fillId="45" fontId="51" numFmtId="0" xfId="0" applyFill="1" applyFont="1"/>
    <xf borderId="0" fillId="2" fontId="11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12" fontId="11" numFmtId="170" xfId="0" applyAlignment="1" applyFill="1" applyFont="1" applyNumberFormat="1">
      <alignment horizontal="center" readingOrder="0"/>
    </xf>
    <xf borderId="0" fillId="6" fontId="11" numFmtId="0" xfId="0" applyAlignment="1" applyFill="1" applyFont="1">
      <alignment horizontal="center"/>
    </xf>
    <xf borderId="0" fillId="17" fontId="53" numFmtId="0" xfId="0" applyAlignment="1" applyFill="1" applyFont="1">
      <alignment horizontal="center" readingOrder="0" vertical="center"/>
    </xf>
    <xf borderId="0" fillId="23" fontId="5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inted.co.uk/member/111745676" TargetMode="External"/><Relationship Id="rId42" Type="http://schemas.openxmlformats.org/officeDocument/2006/relationships/hyperlink" Target="https://www.vinted.co.uk/member/67895336" TargetMode="External"/><Relationship Id="rId41" Type="http://schemas.openxmlformats.org/officeDocument/2006/relationships/hyperlink" Target="https://www.vinted.co.uk/member/3135425800" TargetMode="External"/><Relationship Id="rId44" Type="http://schemas.openxmlformats.org/officeDocument/2006/relationships/hyperlink" Target="https://www.vinted.co.uk/member/291606513" TargetMode="External"/><Relationship Id="rId43" Type="http://schemas.openxmlformats.org/officeDocument/2006/relationships/hyperlink" Target="https://www.vinted.co.uk/member/147759383" TargetMode="External"/><Relationship Id="rId46" Type="http://schemas.openxmlformats.org/officeDocument/2006/relationships/hyperlink" Target="https://www.vinted.co.uk/member/239001461" TargetMode="External"/><Relationship Id="rId45" Type="http://schemas.openxmlformats.org/officeDocument/2006/relationships/hyperlink" Target="https://www.vinted.co.uk/member/242622129" TargetMode="External"/><Relationship Id="rId1" Type="http://schemas.openxmlformats.org/officeDocument/2006/relationships/hyperlink" Target="http://martyn.com/" TargetMode="External"/><Relationship Id="rId2" Type="http://schemas.openxmlformats.org/officeDocument/2006/relationships/hyperlink" Target="https://www.vinted.co.uk/member/170851793" TargetMode="External"/><Relationship Id="rId3" Type="http://schemas.openxmlformats.org/officeDocument/2006/relationships/hyperlink" Target="https://www.vinted.co.uk/member/195972938" TargetMode="External"/><Relationship Id="rId4" Type="http://schemas.openxmlformats.org/officeDocument/2006/relationships/hyperlink" Target="https://www.vinted.co.uk/member/146588715" TargetMode="External"/><Relationship Id="rId9" Type="http://schemas.openxmlformats.org/officeDocument/2006/relationships/hyperlink" Target="https://www.vinted.co.uk/member/198717774" TargetMode="External"/><Relationship Id="rId48" Type="http://schemas.openxmlformats.org/officeDocument/2006/relationships/hyperlink" Target="https://www.vinted.co.uk/member/252112520" TargetMode="External"/><Relationship Id="rId47" Type="http://schemas.openxmlformats.org/officeDocument/2006/relationships/hyperlink" Target="https://www.vinted.co.uk/member/252112520" TargetMode="External"/><Relationship Id="rId49" Type="http://schemas.openxmlformats.org/officeDocument/2006/relationships/hyperlink" Target="https://www.vinted.co.uk/member/3124016316" TargetMode="External"/><Relationship Id="rId5" Type="http://schemas.openxmlformats.org/officeDocument/2006/relationships/hyperlink" Target="https://www.vinted.co.uk/member/164412959" TargetMode="External"/><Relationship Id="rId6" Type="http://schemas.openxmlformats.org/officeDocument/2006/relationships/hyperlink" Target="https://www.vinted.co.uk/member/123704565" TargetMode="External"/><Relationship Id="rId7" Type="http://schemas.openxmlformats.org/officeDocument/2006/relationships/hyperlink" Target="https://www.vinted.co.uk/member/90207030" TargetMode="External"/><Relationship Id="rId8" Type="http://schemas.openxmlformats.org/officeDocument/2006/relationships/hyperlink" Target="https://www.vinted.co.uk/member/73028992" TargetMode="External"/><Relationship Id="rId31" Type="http://schemas.openxmlformats.org/officeDocument/2006/relationships/hyperlink" Target="https://www.vinted.co.uk/member/310848154" TargetMode="External"/><Relationship Id="rId30" Type="http://schemas.openxmlformats.org/officeDocument/2006/relationships/hyperlink" Target="https://www.vinted.co.uk/member/114047295" TargetMode="External"/><Relationship Id="rId33" Type="http://schemas.openxmlformats.org/officeDocument/2006/relationships/hyperlink" Target="https://www.vinted.co.uk/member/309556651" TargetMode="External"/><Relationship Id="rId32" Type="http://schemas.openxmlformats.org/officeDocument/2006/relationships/hyperlink" Target="https://www.vinted.co.uk/member/156504342" TargetMode="External"/><Relationship Id="rId35" Type="http://schemas.openxmlformats.org/officeDocument/2006/relationships/hyperlink" Target="https://www.vinted.co.uk/member/147053240" TargetMode="External"/><Relationship Id="rId34" Type="http://schemas.openxmlformats.org/officeDocument/2006/relationships/hyperlink" Target="https://www.vinted.co.uk/member/59331949" TargetMode="External"/><Relationship Id="rId70" Type="http://schemas.openxmlformats.org/officeDocument/2006/relationships/drawing" Target="../drawings/drawing6.xml"/><Relationship Id="rId37" Type="http://schemas.openxmlformats.org/officeDocument/2006/relationships/hyperlink" Target="https://www.vinted.co.uk/member/112304300" TargetMode="External"/><Relationship Id="rId36" Type="http://schemas.openxmlformats.org/officeDocument/2006/relationships/hyperlink" Target="https://www.vinted.co.uk/member/73548068" TargetMode="External"/><Relationship Id="rId39" Type="http://schemas.openxmlformats.org/officeDocument/2006/relationships/hyperlink" Target="https://www.vinted.co.uk/member/238069613" TargetMode="External"/><Relationship Id="rId38" Type="http://schemas.openxmlformats.org/officeDocument/2006/relationships/hyperlink" Target="https://www.vinted.co.uk/member/3130052995" TargetMode="External"/><Relationship Id="rId62" Type="http://schemas.openxmlformats.org/officeDocument/2006/relationships/hyperlink" Target="https://www.vinted.co.uk/member/167302123" TargetMode="External"/><Relationship Id="rId61" Type="http://schemas.openxmlformats.org/officeDocument/2006/relationships/hyperlink" Target="https://www.vinted.co.uk/member/129841129" TargetMode="External"/><Relationship Id="rId20" Type="http://schemas.openxmlformats.org/officeDocument/2006/relationships/hyperlink" Target="https://www.vinted.co.uk/member/291814335" TargetMode="External"/><Relationship Id="rId64" Type="http://schemas.openxmlformats.org/officeDocument/2006/relationships/hyperlink" Target="https://www.vinted.co.uk/member/168773250" TargetMode="External"/><Relationship Id="rId63" Type="http://schemas.openxmlformats.org/officeDocument/2006/relationships/hyperlink" Target="https://www.vinted.co.uk/member/241220744" TargetMode="External"/><Relationship Id="rId22" Type="http://schemas.openxmlformats.org/officeDocument/2006/relationships/hyperlink" Target="https://www.vinted.co.uk/member/3125981958" TargetMode="External"/><Relationship Id="rId66" Type="http://schemas.openxmlformats.org/officeDocument/2006/relationships/hyperlink" Target="https://www.vinted.co.uk/member/241995835" TargetMode="External"/><Relationship Id="rId21" Type="http://schemas.openxmlformats.org/officeDocument/2006/relationships/hyperlink" Target="https://www.vinted.co.uk/member/120261155" TargetMode="External"/><Relationship Id="rId65" Type="http://schemas.openxmlformats.org/officeDocument/2006/relationships/hyperlink" Target="https://www.vinted.co.uk/member/312375777" TargetMode="External"/><Relationship Id="rId24" Type="http://schemas.openxmlformats.org/officeDocument/2006/relationships/hyperlink" Target="https://www.vinted.co.uk/member/188290602" TargetMode="External"/><Relationship Id="rId68" Type="http://schemas.openxmlformats.org/officeDocument/2006/relationships/hyperlink" Target="https://www.vinted.co.uk/member/126372497" TargetMode="External"/><Relationship Id="rId23" Type="http://schemas.openxmlformats.org/officeDocument/2006/relationships/hyperlink" Target="https://www.vinted.co.uk/member/88043111" TargetMode="External"/><Relationship Id="rId67" Type="http://schemas.openxmlformats.org/officeDocument/2006/relationships/hyperlink" Target="https://www.vinted.co.uk/member/131347559" TargetMode="External"/><Relationship Id="rId60" Type="http://schemas.openxmlformats.org/officeDocument/2006/relationships/hyperlink" Target="https://www.vinted.co.uk/member/3129834032" TargetMode="External"/><Relationship Id="rId26" Type="http://schemas.openxmlformats.org/officeDocument/2006/relationships/hyperlink" Target="https://www.vinted.co.uk/member/247637892" TargetMode="External"/><Relationship Id="rId25" Type="http://schemas.openxmlformats.org/officeDocument/2006/relationships/hyperlink" Target="https://www.vinted.co.uk/member/219178999" TargetMode="External"/><Relationship Id="rId69" Type="http://schemas.openxmlformats.org/officeDocument/2006/relationships/hyperlink" Target="https://www.vinted.co.uk/member/314870056" TargetMode="External"/><Relationship Id="rId28" Type="http://schemas.openxmlformats.org/officeDocument/2006/relationships/hyperlink" Target="https://www.vinted.co.uk/member/3136126501" TargetMode="External"/><Relationship Id="rId27" Type="http://schemas.openxmlformats.org/officeDocument/2006/relationships/hyperlink" Target="https://www.vinted.co.uk/member/139157524" TargetMode="External"/><Relationship Id="rId29" Type="http://schemas.openxmlformats.org/officeDocument/2006/relationships/hyperlink" Target="https://www.vinted.co.uk/member/132653518" TargetMode="External"/><Relationship Id="rId51" Type="http://schemas.openxmlformats.org/officeDocument/2006/relationships/hyperlink" Target="https://www.vinted.co.uk/member/182981877" TargetMode="External"/><Relationship Id="rId50" Type="http://schemas.openxmlformats.org/officeDocument/2006/relationships/hyperlink" Target="https://www.vinted.co.uk/member/182981877" TargetMode="External"/><Relationship Id="rId53" Type="http://schemas.openxmlformats.org/officeDocument/2006/relationships/hyperlink" Target="https://www.vinted.co.uk/member/187570085" TargetMode="External"/><Relationship Id="rId52" Type="http://schemas.openxmlformats.org/officeDocument/2006/relationships/hyperlink" Target="https://www.vinted.co.uk/member/60595313" TargetMode="External"/><Relationship Id="rId11" Type="http://schemas.openxmlformats.org/officeDocument/2006/relationships/hyperlink" Target="https://www.vinted.co.uk/member/113253607" TargetMode="External"/><Relationship Id="rId55" Type="http://schemas.openxmlformats.org/officeDocument/2006/relationships/hyperlink" Target="https://www.vinted.co.uk/member/282400639" TargetMode="External"/><Relationship Id="rId10" Type="http://schemas.openxmlformats.org/officeDocument/2006/relationships/hyperlink" Target="https://www.vinted.co.uk/member/251930650" TargetMode="External"/><Relationship Id="rId54" Type="http://schemas.openxmlformats.org/officeDocument/2006/relationships/hyperlink" Target="https://www.vinted.co.uk/member/275249155" TargetMode="External"/><Relationship Id="rId13" Type="http://schemas.openxmlformats.org/officeDocument/2006/relationships/hyperlink" Target="https://www.vinted.co.uk/member/143113826" TargetMode="External"/><Relationship Id="rId57" Type="http://schemas.openxmlformats.org/officeDocument/2006/relationships/hyperlink" Target="https://www.vinted.co.uk/member/86409818" TargetMode="External"/><Relationship Id="rId12" Type="http://schemas.openxmlformats.org/officeDocument/2006/relationships/hyperlink" Target="https://www.vinted.co.uk/member/311679831" TargetMode="External"/><Relationship Id="rId56" Type="http://schemas.openxmlformats.org/officeDocument/2006/relationships/hyperlink" Target="https://www.vinted.co.uk/member/146660031" TargetMode="External"/><Relationship Id="rId15" Type="http://schemas.openxmlformats.org/officeDocument/2006/relationships/hyperlink" Target="https://www.vinted.co.uk/member/167956009" TargetMode="External"/><Relationship Id="rId59" Type="http://schemas.openxmlformats.org/officeDocument/2006/relationships/hyperlink" Target="https://www.vinted.co.uk/member/68871124" TargetMode="External"/><Relationship Id="rId14" Type="http://schemas.openxmlformats.org/officeDocument/2006/relationships/hyperlink" Target="https://www.vinted.co.uk/member/143375712" TargetMode="External"/><Relationship Id="rId58" Type="http://schemas.openxmlformats.org/officeDocument/2006/relationships/hyperlink" Target="https://www.vinted.co.uk/member/86409818" TargetMode="External"/><Relationship Id="rId17" Type="http://schemas.openxmlformats.org/officeDocument/2006/relationships/hyperlink" Target="https://www.vinted.co.uk/member/3130622290" TargetMode="External"/><Relationship Id="rId16" Type="http://schemas.openxmlformats.org/officeDocument/2006/relationships/hyperlink" Target="https://www.vinted.co.uk/member/310399266" TargetMode="External"/><Relationship Id="rId19" Type="http://schemas.openxmlformats.org/officeDocument/2006/relationships/hyperlink" Target="https://www.vinted.co.uk/member/165868578" TargetMode="External"/><Relationship Id="rId18" Type="http://schemas.openxmlformats.org/officeDocument/2006/relationships/hyperlink" Target="https://www.vinted.co.uk/member/12372201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call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63"/>
    <col customWidth="1" min="3" max="3" width="12.63"/>
    <col customWidth="1" min="4" max="5" width="15.0"/>
    <col customWidth="1" min="6" max="6" width="12.63"/>
    <col customWidth="1" min="10" max="10" width="15.25"/>
  </cols>
  <sheetData>
    <row r="1" ht="15.75" customHeight="1">
      <c r="A1" s="2" t="s">
        <v>1</v>
      </c>
      <c r="B1" s="4" t="s">
        <v>2</v>
      </c>
      <c r="C1" s="7" t="s">
        <v>3</v>
      </c>
      <c r="D1" s="7" t="s">
        <v>4</v>
      </c>
      <c r="E1" s="7" t="s">
        <v>12</v>
      </c>
      <c r="F1" s="7" t="s">
        <v>14</v>
      </c>
      <c r="G1" s="7" t="s">
        <v>5</v>
      </c>
      <c r="H1" s="2" t="s">
        <v>33</v>
      </c>
      <c r="I1" s="7" t="s">
        <v>28</v>
      </c>
      <c r="J1" s="7" t="s">
        <v>30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15.75" customHeight="1">
      <c r="A2" s="17">
        <v>1.0</v>
      </c>
      <c r="B2" s="20" t="s">
        <v>45</v>
      </c>
      <c r="C2" s="23">
        <v>32.0</v>
      </c>
      <c r="D2" s="23">
        <f t="shared" ref="D2:D30" si="1">(E2+F2+G2)</f>
        <v>35</v>
      </c>
      <c r="E2" s="23">
        <v>2.0</v>
      </c>
      <c r="F2" s="23"/>
      <c r="G2" s="23">
        <v>33.0</v>
      </c>
      <c r="H2" s="17"/>
      <c r="I2" s="23">
        <f>SUMIFS('Master UK Sales'!D:D, 'Master UK Sales'!B:B, B2, 'Master UK Sales'!C:C, C2)</f>
        <v>2</v>
      </c>
      <c r="J2" s="23">
        <f t="shared" ref="J2:J29" si="2">D2-I2</f>
        <v>33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ht="15.75" customHeight="1">
      <c r="A3" s="17">
        <v>2.0</v>
      </c>
      <c r="B3" s="20" t="s">
        <v>45</v>
      </c>
      <c r="C3" s="23">
        <v>34.0</v>
      </c>
      <c r="D3" s="23">
        <f t="shared" si="1"/>
        <v>38</v>
      </c>
      <c r="E3" s="23">
        <v>5.0</v>
      </c>
      <c r="F3" s="23"/>
      <c r="G3" s="23">
        <v>33.0</v>
      </c>
      <c r="H3" s="17"/>
      <c r="I3" s="23">
        <f>SUMIFS('Master UK Sales'!D:D, 'Master UK Sales'!B:B, B3, 'Master UK Sales'!C:C, C3)</f>
        <v>8</v>
      </c>
      <c r="J3" s="23">
        <f t="shared" si="2"/>
        <v>30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15.75" customHeight="1">
      <c r="A4" s="17">
        <v>3.0</v>
      </c>
      <c r="B4" s="20" t="s">
        <v>45</v>
      </c>
      <c r="C4" s="23">
        <v>36.0</v>
      </c>
      <c r="D4" s="23">
        <f t="shared" si="1"/>
        <v>22</v>
      </c>
      <c r="E4" s="23">
        <v>2.0</v>
      </c>
      <c r="F4" s="23"/>
      <c r="G4" s="23">
        <v>20.0</v>
      </c>
      <c r="H4" s="17"/>
      <c r="I4" s="23">
        <f>SUMIFS('Master UK Sales'!D:D, 'Master UK Sales'!B:B, B4, 'Master UK Sales'!C:C, C4)</f>
        <v>4</v>
      </c>
      <c r="J4" s="23">
        <f t="shared" si="2"/>
        <v>18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ht="15.75" customHeight="1">
      <c r="A5" s="37">
        <v>4.0</v>
      </c>
      <c r="B5" s="39" t="s">
        <v>50</v>
      </c>
      <c r="C5" s="42">
        <v>32.0</v>
      </c>
      <c r="D5" s="23">
        <f t="shared" si="1"/>
        <v>12</v>
      </c>
      <c r="E5" s="42">
        <v>3.0</v>
      </c>
      <c r="F5" s="42">
        <v>9.0</v>
      </c>
      <c r="G5" s="42"/>
      <c r="H5" s="37"/>
      <c r="I5" s="42">
        <f>SUMIFS('Master UK Sales'!D:D, 'Master UK Sales'!B:B, B5, 'Master UK Sales'!C:C, C5)</f>
        <v>11</v>
      </c>
      <c r="J5" s="23">
        <f t="shared" si="2"/>
        <v>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ht="15.75" customHeight="1">
      <c r="A6" s="37">
        <v>5.0</v>
      </c>
      <c r="B6" s="39" t="s">
        <v>50</v>
      </c>
      <c r="C6" s="42">
        <v>34.0</v>
      </c>
      <c r="D6" s="23">
        <f t="shared" si="1"/>
        <v>14</v>
      </c>
      <c r="E6" s="42">
        <v>4.0</v>
      </c>
      <c r="F6" s="42">
        <v>10.0</v>
      </c>
      <c r="G6" s="42"/>
      <c r="H6" s="37"/>
      <c r="I6" s="42">
        <f>SUMIFS('Master UK Sales'!D:D, 'Master UK Sales'!B:B, B6, 'Master UK Sales'!C:C, C6)</f>
        <v>14</v>
      </c>
      <c r="J6" s="23">
        <f t="shared" si="2"/>
        <v>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ht="15.75" customHeight="1">
      <c r="A7" s="37">
        <v>6.0</v>
      </c>
      <c r="B7" s="39" t="s">
        <v>50</v>
      </c>
      <c r="C7" s="42">
        <v>36.0</v>
      </c>
      <c r="D7" s="23">
        <f t="shared" si="1"/>
        <v>11</v>
      </c>
      <c r="E7" s="42">
        <v>2.0</v>
      </c>
      <c r="F7" s="42">
        <v>9.0</v>
      </c>
      <c r="G7" s="42"/>
      <c r="H7" s="37"/>
      <c r="I7" s="42">
        <f>SUMIFS('Master UK Sales'!D:D, 'Master UK Sales'!B:B, B7, 'Master UK Sales'!C:C, C7)</f>
        <v>9</v>
      </c>
      <c r="J7" s="23">
        <f t="shared" si="2"/>
        <v>2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ht="15.75" customHeight="1">
      <c r="A8" s="45">
        <v>7.0</v>
      </c>
      <c r="B8" s="46" t="s">
        <v>52</v>
      </c>
      <c r="C8" s="47">
        <v>32.0</v>
      </c>
      <c r="D8" s="23">
        <f t="shared" si="1"/>
        <v>26</v>
      </c>
      <c r="E8" s="47">
        <v>6.0</v>
      </c>
      <c r="F8" s="47"/>
      <c r="G8" s="47">
        <v>20.0</v>
      </c>
      <c r="H8" s="45"/>
      <c r="I8" s="47">
        <f>SUMIFS('Master UK Sales'!D:D, 'Master UK Sales'!B:B, B8, 'Master UK Sales'!C:C, C8)</f>
        <v>6</v>
      </c>
      <c r="J8" s="23">
        <f t="shared" si="2"/>
        <v>20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ht="15.75" customHeight="1">
      <c r="A9" s="45">
        <v>7.0</v>
      </c>
      <c r="B9" s="46" t="s">
        <v>52</v>
      </c>
      <c r="C9" s="47">
        <v>34.0</v>
      </c>
      <c r="D9" s="23">
        <f t="shared" si="1"/>
        <v>28</v>
      </c>
      <c r="E9" s="47">
        <v>5.0</v>
      </c>
      <c r="F9" s="47"/>
      <c r="G9" s="47">
        <v>23.0</v>
      </c>
      <c r="H9" s="45"/>
      <c r="I9" s="47">
        <f>SUMIFS('Master UK Sales'!D:D, 'Master UK Sales'!B:B, B9, 'Master UK Sales'!C:C, C9)</f>
        <v>6</v>
      </c>
      <c r="J9" s="23">
        <f t="shared" si="2"/>
        <v>22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ht="15.75" customHeight="1">
      <c r="A10" s="45">
        <v>7.0</v>
      </c>
      <c r="B10" s="46" t="s">
        <v>52</v>
      </c>
      <c r="C10" s="47">
        <v>36.0</v>
      </c>
      <c r="D10" s="23">
        <f t="shared" si="1"/>
        <v>12</v>
      </c>
      <c r="E10" s="47">
        <v>2.0</v>
      </c>
      <c r="F10" s="47"/>
      <c r="G10" s="47">
        <v>10.0</v>
      </c>
      <c r="H10" s="45"/>
      <c r="I10" s="47">
        <f>SUMIFS('Master UK Sales'!D:D, 'Master UK Sales'!B:B, B10, 'Master UK Sales'!C:C, C10)</f>
        <v>2</v>
      </c>
      <c r="J10" s="23">
        <f t="shared" si="2"/>
        <v>10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ht="15.75" customHeight="1">
      <c r="A11" s="52">
        <v>7.0</v>
      </c>
      <c r="B11" s="53" t="s">
        <v>53</v>
      </c>
      <c r="C11" s="54">
        <v>32.0</v>
      </c>
      <c r="D11" s="23">
        <f t="shared" si="1"/>
        <v>26</v>
      </c>
      <c r="E11" s="54">
        <v>1.0</v>
      </c>
      <c r="F11" s="54">
        <v>16.0</v>
      </c>
      <c r="G11" s="54">
        <v>9.0</v>
      </c>
      <c r="H11" s="52"/>
      <c r="I11" s="54">
        <f>SUMIFS('Master UK Sales'!D:D, 'Master UK Sales'!B:B, B11, 'Master UK Sales'!C:C, C11)</f>
        <v>7</v>
      </c>
      <c r="J11" s="23">
        <f t="shared" si="2"/>
        <v>19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15.75" customHeight="1">
      <c r="A12" s="52">
        <v>7.0</v>
      </c>
      <c r="B12" s="53" t="s">
        <v>53</v>
      </c>
      <c r="C12" s="54">
        <v>34.0</v>
      </c>
      <c r="D12" s="23">
        <f t="shared" si="1"/>
        <v>17</v>
      </c>
      <c r="E12" s="54">
        <v>2.0</v>
      </c>
      <c r="F12" s="54">
        <v>15.0</v>
      </c>
      <c r="G12" s="54"/>
      <c r="H12" s="52"/>
      <c r="I12" s="54">
        <f>SUMIFS('Master UK Sales'!D:D, 'Master UK Sales'!B:B, B12, 'Master UK Sales'!C:C, C12)</f>
        <v>15</v>
      </c>
      <c r="J12" s="23">
        <f t="shared" si="2"/>
        <v>2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15.75" customHeight="1">
      <c r="A13" s="52">
        <v>7.0</v>
      </c>
      <c r="B13" s="53" t="s">
        <v>53</v>
      </c>
      <c r="C13" s="54">
        <v>36.0</v>
      </c>
      <c r="D13" s="23">
        <f t="shared" si="1"/>
        <v>13</v>
      </c>
      <c r="E13" s="54">
        <v>1.0</v>
      </c>
      <c r="F13" s="54">
        <v>12.0</v>
      </c>
      <c r="G13" s="54"/>
      <c r="H13" s="52"/>
      <c r="I13" s="54">
        <f>SUMIFS('Master UK Sales'!D:D, 'Master UK Sales'!B:B, B13, 'Master UK Sales'!C:C, C13)</f>
        <v>9</v>
      </c>
      <c r="J13" s="23">
        <f t="shared" si="2"/>
        <v>4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ht="15.75" customHeight="1">
      <c r="A14" s="17">
        <v>7.0</v>
      </c>
      <c r="B14" s="20" t="s">
        <v>59</v>
      </c>
      <c r="C14" s="23">
        <v>32.0</v>
      </c>
      <c r="D14" s="23">
        <f t="shared" si="1"/>
        <v>3</v>
      </c>
      <c r="E14" s="23">
        <v>3.0</v>
      </c>
      <c r="F14" s="23"/>
      <c r="G14" s="23"/>
      <c r="H14" s="17"/>
      <c r="I14" s="23">
        <f>SUMIFS('Master UK Sales'!D:D, 'Master UK Sales'!B:B, B14, 'Master UK Sales'!C:C, C14)</f>
        <v>3</v>
      </c>
      <c r="J14" s="23">
        <f t="shared" si="2"/>
        <v>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ht="15.75" customHeight="1">
      <c r="A15" s="17">
        <v>7.0</v>
      </c>
      <c r="B15" s="20" t="s">
        <v>59</v>
      </c>
      <c r="C15" s="23">
        <v>34.0</v>
      </c>
      <c r="D15" s="23">
        <f t="shared" si="1"/>
        <v>4</v>
      </c>
      <c r="E15" s="23">
        <v>4.0</v>
      </c>
      <c r="F15" s="23"/>
      <c r="G15" s="23"/>
      <c r="H15" s="17"/>
      <c r="I15" s="23">
        <f>SUMIFS('Master UK Sales'!D:D, 'Master UK Sales'!B:B, B15, 'Master UK Sales'!C:C, C15)</f>
        <v>4</v>
      </c>
      <c r="J15" s="23">
        <f t="shared" si="2"/>
        <v>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ht="15.75" customHeight="1">
      <c r="A16" s="17">
        <v>7.0</v>
      </c>
      <c r="B16" s="20" t="s">
        <v>59</v>
      </c>
      <c r="C16" s="23">
        <v>36.0</v>
      </c>
      <c r="D16" s="23">
        <f t="shared" si="1"/>
        <v>3</v>
      </c>
      <c r="E16" s="23">
        <v>3.0</v>
      </c>
      <c r="F16" s="23"/>
      <c r="G16" s="23"/>
      <c r="H16" s="17"/>
      <c r="I16" s="23">
        <f>SUMIFS('Master UK Sales'!D:D, 'Master UK Sales'!B:B, B16, 'Master UK Sales'!C:C, C16)</f>
        <v>3</v>
      </c>
      <c r="J16" s="23">
        <f t="shared" si="2"/>
        <v>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15.75" customHeight="1">
      <c r="A17" s="37"/>
      <c r="B17" s="39" t="s">
        <v>63</v>
      </c>
      <c r="C17" s="42">
        <v>32.0</v>
      </c>
      <c r="D17" s="23">
        <f t="shared" si="1"/>
        <v>0</v>
      </c>
      <c r="E17" s="42"/>
      <c r="F17" s="42"/>
      <c r="G17" s="42"/>
      <c r="H17" s="37"/>
      <c r="I17" s="42">
        <f>SUMIFS('Master UK Sales'!D:D, 'Master UK Sales'!B:B, B17, 'Master UK Sales'!C:C, C17)</f>
        <v>0</v>
      </c>
      <c r="J17" s="23">
        <f t="shared" si="2"/>
        <v>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15.75" customHeight="1">
      <c r="A18" s="37"/>
      <c r="B18" s="39" t="s">
        <v>63</v>
      </c>
      <c r="C18" s="42">
        <v>34.0</v>
      </c>
      <c r="D18" s="23">
        <f t="shared" si="1"/>
        <v>4</v>
      </c>
      <c r="E18" s="42"/>
      <c r="F18" s="42"/>
      <c r="G18" s="42">
        <v>4.0</v>
      </c>
      <c r="H18" s="37"/>
      <c r="I18" s="42">
        <f>SUMIFS('Master UK Sales'!D:D, 'Master UK Sales'!B:B, B18, 'Master UK Sales'!C:C, C18)</f>
        <v>0</v>
      </c>
      <c r="J18" s="23">
        <f t="shared" si="2"/>
        <v>4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15.75" customHeight="1">
      <c r="A19" s="37"/>
      <c r="B19" s="39" t="s">
        <v>63</v>
      </c>
      <c r="C19" s="42">
        <v>36.0</v>
      </c>
      <c r="D19" s="23">
        <f t="shared" si="1"/>
        <v>0</v>
      </c>
      <c r="E19" s="42"/>
      <c r="F19" s="42"/>
      <c r="G19" s="42"/>
      <c r="H19" s="37"/>
      <c r="I19" s="42">
        <f>SUMIFS('Master UK Sales'!D:D, 'Master UK Sales'!B:B, B19, 'Master UK Sales'!C:C, C19)</f>
        <v>0</v>
      </c>
      <c r="J19" s="23">
        <f t="shared" si="2"/>
        <v>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15.75" customHeight="1">
      <c r="A20" s="62">
        <v>7.0</v>
      </c>
      <c r="B20" s="46" t="s">
        <v>51</v>
      </c>
      <c r="C20" s="59">
        <v>32.0</v>
      </c>
      <c r="D20" s="23">
        <f t="shared" si="1"/>
        <v>10</v>
      </c>
      <c r="E20" s="59">
        <v>4.0</v>
      </c>
      <c r="F20" s="59"/>
      <c r="G20" s="47">
        <v>6.0</v>
      </c>
      <c r="H20" s="62"/>
      <c r="I20" s="59">
        <f>SUMIFS('Master UK Sales'!D:D, 'Master UK Sales'!B:B, B20, 'Master UK Sales'!C:C, C20)</f>
        <v>6</v>
      </c>
      <c r="J20" s="23">
        <f t="shared" si="2"/>
        <v>4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15.75" customHeight="1">
      <c r="A21" s="62">
        <v>7.0</v>
      </c>
      <c r="B21" s="46" t="s">
        <v>51</v>
      </c>
      <c r="C21" s="59">
        <v>34.0</v>
      </c>
      <c r="D21" s="23">
        <f t="shared" si="1"/>
        <v>17</v>
      </c>
      <c r="E21" s="59">
        <v>5.0</v>
      </c>
      <c r="F21" s="59"/>
      <c r="G21" s="47">
        <v>12.0</v>
      </c>
      <c r="H21" s="62"/>
      <c r="I21" s="59">
        <f>SUMIFS('Master UK Sales'!D:D, 'Master UK Sales'!B:B, B21, 'Master UK Sales'!C:C, C21)</f>
        <v>7</v>
      </c>
      <c r="J21" s="23">
        <f t="shared" si="2"/>
        <v>10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5.75" customHeight="1">
      <c r="A22" s="62">
        <v>7.0</v>
      </c>
      <c r="B22" s="46" t="s">
        <v>51</v>
      </c>
      <c r="C22" s="59">
        <v>36.0</v>
      </c>
      <c r="D22" s="23">
        <f t="shared" si="1"/>
        <v>13</v>
      </c>
      <c r="E22" s="47">
        <v>5.0</v>
      </c>
      <c r="F22" s="59"/>
      <c r="G22" s="47">
        <v>8.0</v>
      </c>
      <c r="H22" s="62"/>
      <c r="I22" s="59">
        <f>SUMIFS('Master UK Sales'!D:D, 'Master UK Sales'!B:B, B22, 'Master UK Sales'!C:C, C22)</f>
        <v>5</v>
      </c>
      <c r="J22" s="23">
        <f t="shared" si="2"/>
        <v>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ht="15.75" customHeight="1">
      <c r="A23" s="69"/>
      <c r="B23" s="53" t="s">
        <v>71</v>
      </c>
      <c r="C23" s="54">
        <v>32.0</v>
      </c>
      <c r="D23" s="23">
        <f t="shared" si="1"/>
        <v>11</v>
      </c>
      <c r="E23" s="54"/>
      <c r="F23" s="71"/>
      <c r="G23" s="54">
        <v>11.0</v>
      </c>
      <c r="H23" s="69"/>
      <c r="I23" s="71">
        <f>SUMIFS('Master UK Sales'!D:D, 'Master UK Sales'!B:B, B23, 'Master UK Sales'!C:C, C23)</f>
        <v>0</v>
      </c>
      <c r="J23" s="23">
        <f t="shared" si="2"/>
        <v>11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5.75" customHeight="1">
      <c r="A24" s="69"/>
      <c r="B24" s="53" t="s">
        <v>71</v>
      </c>
      <c r="C24" s="54">
        <v>34.0</v>
      </c>
      <c r="D24" s="23">
        <f t="shared" si="1"/>
        <v>14</v>
      </c>
      <c r="E24" s="54"/>
      <c r="F24" s="71"/>
      <c r="G24" s="54">
        <v>14.0</v>
      </c>
      <c r="H24" s="69"/>
      <c r="I24" s="71">
        <f>SUMIFS('Master UK Sales'!D:D, 'Master UK Sales'!B:B, B24, 'Master UK Sales'!C:C, C24)</f>
        <v>0</v>
      </c>
      <c r="J24" s="23">
        <f t="shared" si="2"/>
        <v>14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15.75" customHeight="1">
      <c r="A25" s="69"/>
      <c r="B25" s="53" t="s">
        <v>71</v>
      </c>
      <c r="C25" s="54">
        <v>36.0</v>
      </c>
      <c r="D25" s="23">
        <f t="shared" si="1"/>
        <v>7</v>
      </c>
      <c r="E25" s="54"/>
      <c r="F25" s="71"/>
      <c r="G25" s="54">
        <v>7.0</v>
      </c>
      <c r="H25" s="69"/>
      <c r="I25" s="71">
        <f>SUMIFS('Master UK Sales'!D:D, 'Master UK Sales'!B:B, B25, 'Master UK Sales'!C:C, C25)</f>
        <v>0</v>
      </c>
      <c r="J25" s="23">
        <f t="shared" si="2"/>
        <v>7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7.25" customHeight="1">
      <c r="A26" s="73"/>
      <c r="B26" s="74" t="s">
        <v>46</v>
      </c>
      <c r="C26" s="75">
        <v>30.0</v>
      </c>
      <c r="D26" s="23">
        <f t="shared" si="1"/>
        <v>6</v>
      </c>
      <c r="E26" s="75"/>
      <c r="F26" s="75"/>
      <c r="G26" s="23">
        <v>6.0</v>
      </c>
      <c r="H26" s="73"/>
      <c r="I26" s="75">
        <f>SUMIFS('Master UK Sales'!D:D, 'Master UK Sales'!B:B, B26, 'Master UK Sales'!C:C, C26)</f>
        <v>0</v>
      </c>
      <c r="J26" s="23">
        <f t="shared" si="2"/>
        <v>6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7.25" customHeight="1">
      <c r="A27" s="73">
        <v>7.0</v>
      </c>
      <c r="B27" s="74" t="s">
        <v>46</v>
      </c>
      <c r="C27" s="75">
        <v>32.0</v>
      </c>
      <c r="D27" s="23">
        <f t="shared" si="1"/>
        <v>17</v>
      </c>
      <c r="E27" s="75">
        <v>0.0</v>
      </c>
      <c r="F27" s="75">
        <v>7.0</v>
      </c>
      <c r="G27" s="75">
        <v>10.0</v>
      </c>
      <c r="H27" s="73"/>
      <c r="I27" s="75">
        <f>SUMIFS('Master UK Sales'!D:D, 'Master UK Sales'!B:B, B27, 'Master UK Sales'!C:C, C27)</f>
        <v>3</v>
      </c>
      <c r="J27" s="23">
        <f t="shared" si="2"/>
        <v>14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5.75" customHeight="1">
      <c r="A28" s="73">
        <v>7.0</v>
      </c>
      <c r="B28" s="74" t="s">
        <v>46</v>
      </c>
      <c r="C28" s="75">
        <v>34.0</v>
      </c>
      <c r="D28" s="23">
        <f t="shared" si="1"/>
        <v>22</v>
      </c>
      <c r="E28" s="75">
        <v>1.0</v>
      </c>
      <c r="F28" s="75">
        <v>8.0</v>
      </c>
      <c r="G28" s="75">
        <v>13.0</v>
      </c>
      <c r="H28" s="73"/>
      <c r="I28" s="75">
        <f>SUMIFS('Master UK Sales'!D:D, 'Master UK Sales'!B:B, B28, 'Master UK Sales'!C:C, C28)</f>
        <v>9</v>
      </c>
      <c r="J28" s="23">
        <f t="shared" si="2"/>
        <v>13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5.75" customHeight="1">
      <c r="A29" s="73">
        <v>7.0</v>
      </c>
      <c r="B29" s="74" t="s">
        <v>46</v>
      </c>
      <c r="C29" s="75">
        <v>36.0</v>
      </c>
      <c r="D29" s="23">
        <f t="shared" si="1"/>
        <v>11</v>
      </c>
      <c r="E29" s="75">
        <v>0.0</v>
      </c>
      <c r="F29" s="75">
        <v>5.0</v>
      </c>
      <c r="G29" s="75">
        <v>6.0</v>
      </c>
      <c r="H29" s="73"/>
      <c r="I29" s="75">
        <f>SUMIFS('Master UK Sales'!D:D, 'Master UK Sales'!B:B, B29, 'Master UK Sales'!C:C, C29)</f>
        <v>1</v>
      </c>
      <c r="J29" s="23">
        <f t="shared" si="2"/>
        <v>10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5.75" customHeight="1">
      <c r="A30" s="84" t="s">
        <v>75</v>
      </c>
      <c r="B30" s="86"/>
      <c r="C30" s="88"/>
      <c r="D30" s="23">
        <f t="shared" si="1"/>
        <v>396</v>
      </c>
      <c r="E30" s="88">
        <f>(SUM(E2:E29))</f>
        <v>60</v>
      </c>
      <c r="F30" s="88">
        <f t="shared" ref="F30:G30" si="3">SUM(F2:F29)</f>
        <v>91</v>
      </c>
      <c r="G30" s="88">
        <f t="shared" si="3"/>
        <v>245</v>
      </c>
      <c r="H30" s="84"/>
      <c r="I30" s="88">
        <f t="shared" ref="I30:J30" si="4">SUM(I2:I29)</f>
        <v>134</v>
      </c>
      <c r="J30" s="88">
        <f t="shared" si="4"/>
        <v>262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5.75" customHeight="1">
      <c r="A31" s="11"/>
      <c r="B31" s="90"/>
      <c r="C31" s="91"/>
      <c r="D31" s="91"/>
      <c r="E31" s="91"/>
      <c r="F31" s="91"/>
      <c r="G31" s="91"/>
      <c r="H31" s="11"/>
      <c r="I31" s="91"/>
      <c r="J31" s="9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5.75" customHeight="1">
      <c r="A32" s="11"/>
      <c r="B32" s="90"/>
      <c r="C32" s="91"/>
      <c r="D32" s="91"/>
      <c r="E32" s="91"/>
      <c r="F32" s="91"/>
      <c r="G32" s="91"/>
      <c r="H32" s="11"/>
      <c r="I32" s="91"/>
      <c r="J32" s="9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5.75" customHeight="1">
      <c r="A33" s="11"/>
      <c r="B33" s="90"/>
      <c r="C33" s="91"/>
      <c r="D33" s="91"/>
      <c r="E33" s="91"/>
      <c r="F33" s="91"/>
      <c r="G33" s="91"/>
      <c r="H33" s="11"/>
      <c r="I33" s="91"/>
      <c r="J33" s="9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5.75" customHeight="1">
      <c r="A34" s="11"/>
      <c r="B34" s="90"/>
      <c r="C34" s="91"/>
      <c r="D34" s="91"/>
      <c r="E34" s="91"/>
      <c r="F34" s="91"/>
      <c r="G34" s="91"/>
      <c r="H34" s="11"/>
      <c r="I34" s="91"/>
      <c r="J34" s="9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5.75" customHeight="1">
      <c r="A35" s="11"/>
      <c r="B35" s="90"/>
      <c r="C35" s="91"/>
      <c r="D35" s="91"/>
      <c r="E35" s="91"/>
      <c r="F35" s="91"/>
      <c r="G35" s="91"/>
      <c r="H35" s="11"/>
      <c r="I35" s="91"/>
      <c r="J35" s="9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5.75" customHeight="1">
      <c r="A36" s="11"/>
      <c r="B36" s="90"/>
      <c r="C36" s="91"/>
      <c r="D36" s="91"/>
      <c r="E36" s="91"/>
      <c r="F36" s="91"/>
      <c r="G36" s="91"/>
      <c r="H36" s="11"/>
      <c r="I36" s="91"/>
      <c r="J36" s="9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ht="15.75" customHeight="1">
      <c r="A37" s="11"/>
      <c r="B37" s="90"/>
      <c r="C37" s="91"/>
      <c r="D37" s="91"/>
      <c r="E37" s="91"/>
      <c r="F37" s="91"/>
      <c r="G37" s="91"/>
      <c r="H37" s="11"/>
      <c r="I37" s="91"/>
      <c r="J37" s="9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ht="15.75" customHeight="1">
      <c r="A38" s="11"/>
      <c r="B38" s="90"/>
      <c r="C38" s="91"/>
      <c r="D38" s="91"/>
      <c r="E38" s="91"/>
      <c r="F38" s="91"/>
      <c r="G38" s="91"/>
      <c r="H38" s="11"/>
      <c r="I38" s="91"/>
      <c r="J38" s="9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ht="15.75" customHeight="1">
      <c r="A39" s="11"/>
      <c r="B39" s="90"/>
      <c r="C39" s="91"/>
      <c r="D39" s="91"/>
      <c r="E39" s="91"/>
      <c r="F39" s="91"/>
      <c r="G39" s="91"/>
      <c r="H39" s="11"/>
      <c r="I39" s="91"/>
      <c r="J39" s="9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5.75" customHeight="1">
      <c r="A40" s="11"/>
      <c r="B40" s="90"/>
      <c r="C40" s="91"/>
      <c r="D40" s="91"/>
      <c r="E40" s="91"/>
      <c r="F40" s="91"/>
      <c r="G40" s="91"/>
      <c r="H40" s="11"/>
      <c r="I40" s="91"/>
      <c r="J40" s="9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ht="15.75" customHeight="1">
      <c r="A41" s="11"/>
      <c r="B41" s="90"/>
      <c r="C41" s="91"/>
      <c r="D41" s="91"/>
      <c r="E41" s="91"/>
      <c r="F41" s="91"/>
      <c r="G41" s="91"/>
      <c r="H41" s="11"/>
      <c r="I41" s="91"/>
      <c r="J41" s="9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5.75" customHeight="1">
      <c r="A42" s="11"/>
      <c r="B42" s="90"/>
      <c r="C42" s="91"/>
      <c r="D42" s="91"/>
      <c r="E42" s="91"/>
      <c r="F42" s="91"/>
      <c r="G42" s="91"/>
      <c r="H42" s="11"/>
      <c r="I42" s="91"/>
      <c r="J42" s="9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5.75" customHeight="1">
      <c r="A43" s="11"/>
      <c r="B43" s="90"/>
      <c r="C43" s="91"/>
      <c r="D43" s="91"/>
      <c r="E43" s="91"/>
      <c r="F43" s="91"/>
      <c r="G43" s="91"/>
      <c r="H43" s="11"/>
      <c r="I43" s="91"/>
      <c r="J43" s="9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15.75" customHeight="1">
      <c r="A44" s="11"/>
      <c r="B44" s="90"/>
      <c r="C44" s="91"/>
      <c r="D44" s="91"/>
      <c r="E44" s="91"/>
      <c r="F44" s="91"/>
      <c r="G44" s="91"/>
      <c r="H44" s="11"/>
      <c r="I44" s="91"/>
      <c r="J44" s="9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5.75" customHeight="1">
      <c r="A45" s="11"/>
      <c r="B45" s="90"/>
      <c r="C45" s="91"/>
      <c r="D45" s="91"/>
      <c r="E45" s="91"/>
      <c r="F45" s="91"/>
      <c r="G45" s="91"/>
      <c r="H45" s="11"/>
      <c r="I45" s="91"/>
      <c r="J45" s="9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5.75" customHeight="1">
      <c r="A46" s="11"/>
      <c r="B46" s="90"/>
      <c r="C46" s="91"/>
      <c r="D46" s="91"/>
      <c r="E46" s="91"/>
      <c r="F46" s="91"/>
      <c r="G46" s="91"/>
      <c r="H46" s="11"/>
      <c r="I46" s="91"/>
      <c r="J46" s="9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5.75" customHeight="1">
      <c r="A47" s="11"/>
      <c r="B47" s="90"/>
      <c r="C47" s="91"/>
      <c r="D47" s="91"/>
      <c r="E47" s="91"/>
      <c r="F47" s="91"/>
      <c r="G47" s="91"/>
      <c r="H47" s="11"/>
      <c r="I47" s="91"/>
      <c r="J47" s="9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15.75" customHeight="1">
      <c r="A48" s="11"/>
      <c r="B48" s="90"/>
      <c r="C48" s="91"/>
      <c r="D48" s="91"/>
      <c r="E48" s="91"/>
      <c r="F48" s="91"/>
      <c r="G48" s="91"/>
      <c r="H48" s="11"/>
      <c r="I48" s="91"/>
      <c r="J48" s="9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15.75" customHeight="1">
      <c r="A49" s="11"/>
      <c r="B49" s="90"/>
      <c r="C49" s="91"/>
      <c r="D49" s="91"/>
      <c r="E49" s="91"/>
      <c r="F49" s="91"/>
      <c r="G49" s="91"/>
      <c r="H49" s="11"/>
      <c r="I49" s="91"/>
      <c r="J49" s="9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ht="15.75" customHeight="1">
      <c r="A50" s="11"/>
      <c r="B50" s="90"/>
      <c r="C50" s="91"/>
      <c r="D50" s="91"/>
      <c r="E50" s="91"/>
      <c r="F50" s="91"/>
      <c r="G50" s="91"/>
      <c r="H50" s="11"/>
      <c r="I50" s="91"/>
      <c r="J50" s="9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ht="15.75" customHeight="1">
      <c r="A51" s="11"/>
      <c r="B51" s="90"/>
      <c r="C51" s="91"/>
      <c r="D51" s="91"/>
      <c r="E51" s="91"/>
      <c r="F51" s="91"/>
      <c r="G51" s="91"/>
      <c r="H51" s="11"/>
      <c r="I51" s="91"/>
      <c r="J51" s="9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ht="15.75" customHeight="1">
      <c r="A52" s="11"/>
      <c r="B52" s="90"/>
      <c r="C52" s="91"/>
      <c r="D52" s="91"/>
      <c r="E52" s="91"/>
      <c r="F52" s="91"/>
      <c r="G52" s="91"/>
      <c r="H52" s="11"/>
      <c r="I52" s="91"/>
      <c r="J52" s="9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ht="15.75" customHeight="1">
      <c r="A53" s="11"/>
      <c r="B53" s="90"/>
      <c r="C53" s="91"/>
      <c r="D53" s="91"/>
      <c r="E53" s="91"/>
      <c r="F53" s="91"/>
      <c r="G53" s="91"/>
      <c r="H53" s="11"/>
      <c r="I53" s="91"/>
      <c r="J53" s="9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ht="15.75" customHeight="1">
      <c r="A54" s="11"/>
      <c r="B54" s="90"/>
      <c r="C54" s="91"/>
      <c r="D54" s="91"/>
      <c r="E54" s="91"/>
      <c r="F54" s="91"/>
      <c r="G54" s="91"/>
      <c r="H54" s="11"/>
      <c r="I54" s="91"/>
      <c r="J54" s="9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ht="15.75" customHeight="1">
      <c r="A55" s="11"/>
      <c r="B55" s="90"/>
      <c r="C55" s="91"/>
      <c r="D55" s="91"/>
      <c r="E55" s="91"/>
      <c r="F55" s="91"/>
      <c r="G55" s="91"/>
      <c r="H55" s="11"/>
      <c r="I55" s="91"/>
      <c r="J55" s="9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5.75" customHeight="1">
      <c r="A56" s="11"/>
      <c r="B56" s="90"/>
      <c r="C56" s="91"/>
      <c r="D56" s="91"/>
      <c r="E56" s="91"/>
      <c r="F56" s="91"/>
      <c r="G56" s="91"/>
      <c r="H56" s="11"/>
      <c r="I56" s="91"/>
      <c r="J56" s="9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ht="15.75" customHeight="1">
      <c r="A57" s="11"/>
      <c r="B57" s="90"/>
      <c r="C57" s="91"/>
      <c r="D57" s="91"/>
      <c r="E57" s="91"/>
      <c r="F57" s="91"/>
      <c r="G57" s="91"/>
      <c r="H57" s="11"/>
      <c r="I57" s="91"/>
      <c r="J57" s="9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ht="15.75" customHeight="1">
      <c r="A58" s="11"/>
      <c r="B58" s="90"/>
      <c r="C58" s="91"/>
      <c r="D58" s="91"/>
      <c r="E58" s="91"/>
      <c r="F58" s="91"/>
      <c r="G58" s="91"/>
      <c r="H58" s="11"/>
      <c r="I58" s="91"/>
      <c r="J58" s="9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ht="15.75" customHeight="1">
      <c r="A59" s="11"/>
      <c r="B59" s="90"/>
      <c r="C59" s="91"/>
      <c r="D59" s="91"/>
      <c r="E59" s="91"/>
      <c r="F59" s="91"/>
      <c r="G59" s="91"/>
      <c r="H59" s="11"/>
      <c r="I59" s="91"/>
      <c r="J59" s="9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ht="15.75" customHeight="1">
      <c r="A60" s="11"/>
      <c r="B60" s="90"/>
      <c r="C60" s="91"/>
      <c r="D60" s="91"/>
      <c r="E60" s="91"/>
      <c r="F60" s="91"/>
      <c r="G60" s="91"/>
      <c r="H60" s="11"/>
      <c r="I60" s="91"/>
      <c r="J60" s="9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ht="15.75" customHeight="1">
      <c r="A61" s="11"/>
      <c r="B61" s="90"/>
      <c r="C61" s="91"/>
      <c r="D61" s="91"/>
      <c r="E61" s="91"/>
      <c r="F61" s="91"/>
      <c r="G61" s="91"/>
      <c r="H61" s="11"/>
      <c r="I61" s="91"/>
      <c r="J61" s="9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ht="15.75" customHeight="1">
      <c r="A62" s="11"/>
      <c r="B62" s="90"/>
      <c r="C62" s="91"/>
      <c r="D62" s="91"/>
      <c r="E62" s="91"/>
      <c r="F62" s="91"/>
      <c r="G62" s="91"/>
      <c r="H62" s="11"/>
      <c r="I62" s="91"/>
      <c r="J62" s="9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5.75" customHeight="1">
      <c r="A63" s="11"/>
      <c r="B63" s="90"/>
      <c r="C63" s="91"/>
      <c r="D63" s="91"/>
      <c r="E63" s="91"/>
      <c r="F63" s="91"/>
      <c r="G63" s="91"/>
      <c r="H63" s="11"/>
      <c r="I63" s="91"/>
      <c r="J63" s="9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ht="15.75" customHeight="1">
      <c r="A64" s="11"/>
      <c r="B64" s="90"/>
      <c r="C64" s="91"/>
      <c r="D64" s="91"/>
      <c r="E64" s="91"/>
      <c r="F64" s="91"/>
      <c r="G64" s="91"/>
      <c r="H64" s="11"/>
      <c r="I64" s="91"/>
      <c r="J64" s="9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ht="15.75" customHeight="1">
      <c r="A65" s="11"/>
      <c r="B65" s="90"/>
      <c r="C65" s="91"/>
      <c r="D65" s="91"/>
      <c r="E65" s="91"/>
      <c r="F65" s="91"/>
      <c r="G65" s="91"/>
      <c r="H65" s="11"/>
      <c r="I65" s="91"/>
      <c r="J65" s="9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ht="15.75" customHeight="1">
      <c r="A66" s="11"/>
      <c r="B66" s="90"/>
      <c r="C66" s="91"/>
      <c r="D66" s="91"/>
      <c r="E66" s="91"/>
      <c r="F66" s="91"/>
      <c r="G66" s="91"/>
      <c r="H66" s="11"/>
      <c r="I66" s="91"/>
      <c r="J66" s="9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ht="15.75" customHeight="1">
      <c r="A67" s="11"/>
      <c r="B67" s="90"/>
      <c r="C67" s="91"/>
      <c r="D67" s="91"/>
      <c r="E67" s="91"/>
      <c r="F67" s="91"/>
      <c r="G67" s="91"/>
      <c r="H67" s="11"/>
      <c r="I67" s="91"/>
      <c r="J67" s="9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ht="15.75" customHeight="1">
      <c r="A68" s="11"/>
      <c r="B68" s="90"/>
      <c r="C68" s="91"/>
      <c r="D68" s="91"/>
      <c r="E68" s="91"/>
      <c r="F68" s="91"/>
      <c r="G68" s="91"/>
      <c r="H68" s="11"/>
      <c r="I68" s="91"/>
      <c r="J68" s="9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ht="15.75" customHeight="1">
      <c r="A69" s="11"/>
      <c r="B69" s="90"/>
      <c r="C69" s="91"/>
      <c r="D69" s="91"/>
      <c r="E69" s="91"/>
      <c r="F69" s="91"/>
      <c r="G69" s="91"/>
      <c r="H69" s="11"/>
      <c r="I69" s="91"/>
      <c r="J69" s="9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ht="15.75" customHeight="1">
      <c r="A70" s="11"/>
      <c r="B70" s="90"/>
      <c r="C70" s="91"/>
      <c r="D70" s="91"/>
      <c r="E70" s="91"/>
      <c r="F70" s="91"/>
      <c r="G70" s="91"/>
      <c r="H70" s="11"/>
      <c r="I70" s="91"/>
      <c r="J70" s="9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5.75" customHeight="1">
      <c r="A71" s="11"/>
      <c r="B71" s="90"/>
      <c r="C71" s="91"/>
      <c r="D71" s="91"/>
      <c r="E71" s="91"/>
      <c r="F71" s="91"/>
      <c r="G71" s="91"/>
      <c r="H71" s="11"/>
      <c r="I71" s="91"/>
      <c r="J71" s="9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ht="15.75" customHeight="1">
      <c r="A72" s="11"/>
      <c r="B72" s="90"/>
      <c r="C72" s="91"/>
      <c r="D72" s="91"/>
      <c r="E72" s="91"/>
      <c r="F72" s="91"/>
      <c r="G72" s="91"/>
      <c r="H72" s="11"/>
      <c r="I72" s="91"/>
      <c r="J72" s="9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5.75" customHeight="1">
      <c r="A73" s="11"/>
      <c r="B73" s="90"/>
      <c r="C73" s="91"/>
      <c r="D73" s="91"/>
      <c r="E73" s="91"/>
      <c r="F73" s="91"/>
      <c r="G73" s="91"/>
      <c r="H73" s="11"/>
      <c r="I73" s="91"/>
      <c r="J73" s="9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5.75" customHeight="1">
      <c r="A74" s="11"/>
      <c r="B74" s="90"/>
      <c r="C74" s="91"/>
      <c r="D74" s="91"/>
      <c r="E74" s="91"/>
      <c r="F74" s="91"/>
      <c r="G74" s="91"/>
      <c r="H74" s="11"/>
      <c r="I74" s="91"/>
      <c r="J74" s="9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ht="15.75" customHeight="1">
      <c r="A75" s="11"/>
      <c r="B75" s="90"/>
      <c r="C75" s="91"/>
      <c r="D75" s="91"/>
      <c r="E75" s="91"/>
      <c r="F75" s="91"/>
      <c r="G75" s="91"/>
      <c r="H75" s="11"/>
      <c r="I75" s="91"/>
      <c r="J75" s="9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5.75" customHeight="1">
      <c r="A76" s="11"/>
      <c r="B76" s="90"/>
      <c r="C76" s="91"/>
      <c r="D76" s="91"/>
      <c r="E76" s="91"/>
      <c r="F76" s="91"/>
      <c r="G76" s="91"/>
      <c r="H76" s="11"/>
      <c r="I76" s="91"/>
      <c r="J76" s="9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ht="15.75" customHeight="1">
      <c r="A77" s="11"/>
      <c r="B77" s="90"/>
      <c r="C77" s="91"/>
      <c r="D77" s="91"/>
      <c r="E77" s="91"/>
      <c r="F77" s="91"/>
      <c r="G77" s="91"/>
      <c r="H77" s="11"/>
      <c r="I77" s="91"/>
      <c r="J77" s="9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5.75" customHeight="1">
      <c r="A78" s="11"/>
      <c r="B78" s="90"/>
      <c r="C78" s="91"/>
      <c r="D78" s="91"/>
      <c r="E78" s="91"/>
      <c r="F78" s="91"/>
      <c r="G78" s="91"/>
      <c r="H78" s="11"/>
      <c r="I78" s="91"/>
      <c r="J78" s="9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5.75" customHeight="1">
      <c r="A79" s="11"/>
      <c r="B79" s="90"/>
      <c r="C79" s="91"/>
      <c r="D79" s="91"/>
      <c r="E79" s="91"/>
      <c r="F79" s="91"/>
      <c r="G79" s="91"/>
      <c r="H79" s="11"/>
      <c r="I79" s="91"/>
      <c r="J79" s="9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5.75" customHeight="1">
      <c r="A80" s="11"/>
      <c r="B80" s="90"/>
      <c r="C80" s="91"/>
      <c r="D80" s="91"/>
      <c r="E80" s="91"/>
      <c r="F80" s="91"/>
      <c r="G80" s="91"/>
      <c r="H80" s="11"/>
      <c r="I80" s="91"/>
      <c r="J80" s="9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5.75" customHeight="1">
      <c r="A81" s="11"/>
      <c r="B81" s="90"/>
      <c r="C81" s="91"/>
      <c r="D81" s="91"/>
      <c r="E81" s="91"/>
      <c r="F81" s="91"/>
      <c r="G81" s="91"/>
      <c r="H81" s="11"/>
      <c r="I81" s="91"/>
      <c r="J81" s="9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5.75" customHeight="1">
      <c r="A82" s="11"/>
      <c r="B82" s="90"/>
      <c r="C82" s="91"/>
      <c r="D82" s="91"/>
      <c r="E82" s="91"/>
      <c r="F82" s="91"/>
      <c r="G82" s="91"/>
      <c r="H82" s="11"/>
      <c r="I82" s="91"/>
      <c r="J82" s="9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5.75" customHeight="1">
      <c r="A83" s="11"/>
      <c r="B83" s="90"/>
      <c r="C83" s="91"/>
      <c r="D83" s="91"/>
      <c r="E83" s="91"/>
      <c r="F83" s="91"/>
      <c r="G83" s="91"/>
      <c r="H83" s="11"/>
      <c r="I83" s="91"/>
      <c r="J83" s="9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5.75" customHeight="1">
      <c r="A84" s="11"/>
      <c r="B84" s="90"/>
      <c r="C84" s="91"/>
      <c r="D84" s="91"/>
      <c r="E84" s="91"/>
      <c r="F84" s="91"/>
      <c r="G84" s="91"/>
      <c r="H84" s="11"/>
      <c r="I84" s="91"/>
      <c r="J84" s="9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5.75" customHeight="1">
      <c r="A85" s="11"/>
      <c r="B85" s="90"/>
      <c r="C85" s="91"/>
      <c r="D85" s="91"/>
      <c r="E85" s="91"/>
      <c r="F85" s="91"/>
      <c r="G85" s="91"/>
      <c r="H85" s="11"/>
      <c r="I85" s="91"/>
      <c r="J85" s="9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5.75" customHeight="1">
      <c r="A86" s="11"/>
      <c r="B86" s="90"/>
      <c r="C86" s="91"/>
      <c r="D86" s="91"/>
      <c r="E86" s="91"/>
      <c r="F86" s="91"/>
      <c r="G86" s="91"/>
      <c r="H86" s="11"/>
      <c r="I86" s="91"/>
      <c r="J86" s="9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5.75" customHeight="1">
      <c r="A87" s="11"/>
      <c r="B87" s="90"/>
      <c r="C87" s="91"/>
      <c r="D87" s="91"/>
      <c r="E87" s="91"/>
      <c r="F87" s="91"/>
      <c r="G87" s="91"/>
      <c r="H87" s="11"/>
      <c r="I87" s="91"/>
      <c r="J87" s="9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5.75" customHeight="1">
      <c r="A88" s="11"/>
      <c r="B88" s="90"/>
      <c r="C88" s="91"/>
      <c r="D88" s="91"/>
      <c r="E88" s="91"/>
      <c r="F88" s="91"/>
      <c r="G88" s="91"/>
      <c r="H88" s="11"/>
      <c r="I88" s="91"/>
      <c r="J88" s="9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5.75" customHeight="1">
      <c r="A89" s="11"/>
      <c r="B89" s="90"/>
      <c r="C89" s="91"/>
      <c r="D89" s="91"/>
      <c r="E89" s="91"/>
      <c r="F89" s="91"/>
      <c r="G89" s="91"/>
      <c r="H89" s="11"/>
      <c r="I89" s="91"/>
      <c r="J89" s="9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5.75" customHeight="1">
      <c r="A90" s="11"/>
      <c r="B90" s="90"/>
      <c r="C90" s="91"/>
      <c r="D90" s="91"/>
      <c r="E90" s="91"/>
      <c r="F90" s="91"/>
      <c r="G90" s="91"/>
      <c r="H90" s="11"/>
      <c r="I90" s="91"/>
      <c r="J90" s="9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5.75" customHeight="1">
      <c r="A91" s="11"/>
      <c r="B91" s="90"/>
      <c r="C91" s="91"/>
      <c r="D91" s="91"/>
      <c r="E91" s="91"/>
      <c r="F91" s="91"/>
      <c r="G91" s="91"/>
      <c r="H91" s="11"/>
      <c r="I91" s="91"/>
      <c r="J91" s="9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5.75" customHeight="1">
      <c r="A92" s="11"/>
      <c r="B92" s="90"/>
      <c r="C92" s="91"/>
      <c r="D92" s="91"/>
      <c r="E92" s="91"/>
      <c r="F92" s="91"/>
      <c r="G92" s="91"/>
      <c r="H92" s="11"/>
      <c r="I92" s="91"/>
      <c r="J92" s="9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5.75" customHeight="1">
      <c r="A93" s="11"/>
      <c r="B93" s="90"/>
      <c r="C93" s="91"/>
      <c r="D93" s="91"/>
      <c r="E93" s="91"/>
      <c r="F93" s="91"/>
      <c r="G93" s="91"/>
      <c r="H93" s="11"/>
      <c r="I93" s="91"/>
      <c r="J93" s="9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5.75" customHeight="1">
      <c r="A94" s="11"/>
      <c r="B94" s="90"/>
      <c r="C94" s="91"/>
      <c r="D94" s="91"/>
      <c r="E94" s="91"/>
      <c r="F94" s="91"/>
      <c r="G94" s="91"/>
      <c r="H94" s="11"/>
      <c r="I94" s="91"/>
      <c r="J94" s="9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5.75" customHeight="1">
      <c r="A95" s="11"/>
      <c r="B95" s="90"/>
      <c r="C95" s="91"/>
      <c r="D95" s="91"/>
      <c r="E95" s="91"/>
      <c r="F95" s="91"/>
      <c r="G95" s="91"/>
      <c r="H95" s="11"/>
      <c r="I95" s="91"/>
      <c r="J95" s="9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5.75" customHeight="1">
      <c r="A96" s="11"/>
      <c r="B96" s="90"/>
      <c r="C96" s="91"/>
      <c r="D96" s="91"/>
      <c r="E96" s="91"/>
      <c r="F96" s="91"/>
      <c r="G96" s="91"/>
      <c r="H96" s="11"/>
      <c r="I96" s="91"/>
      <c r="J96" s="9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5.75" customHeight="1">
      <c r="A97" s="11"/>
      <c r="B97" s="90"/>
      <c r="C97" s="91"/>
      <c r="D97" s="91"/>
      <c r="E97" s="91"/>
      <c r="F97" s="91"/>
      <c r="G97" s="91"/>
      <c r="H97" s="11"/>
      <c r="I97" s="91"/>
      <c r="J97" s="9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5.75" customHeight="1">
      <c r="A98" s="11"/>
      <c r="B98" s="90"/>
      <c r="C98" s="91"/>
      <c r="D98" s="91"/>
      <c r="E98" s="91"/>
      <c r="F98" s="91"/>
      <c r="G98" s="91"/>
      <c r="H98" s="11"/>
      <c r="I98" s="91"/>
      <c r="J98" s="9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5.75" customHeight="1">
      <c r="A99" s="11"/>
      <c r="B99" s="90"/>
      <c r="C99" s="91"/>
      <c r="D99" s="91"/>
      <c r="E99" s="91"/>
      <c r="F99" s="91"/>
      <c r="G99" s="91"/>
      <c r="H99" s="11"/>
      <c r="I99" s="91"/>
      <c r="J99" s="9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5.75" customHeight="1">
      <c r="A100" s="11"/>
      <c r="B100" s="90"/>
      <c r="C100" s="91"/>
      <c r="D100" s="91"/>
      <c r="E100" s="91"/>
      <c r="F100" s="91"/>
      <c r="G100" s="91"/>
      <c r="H100" s="11"/>
      <c r="I100" s="91"/>
      <c r="J100" s="9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5.75" customHeight="1">
      <c r="A101" s="11"/>
      <c r="B101" s="90"/>
      <c r="C101" s="91"/>
      <c r="D101" s="91"/>
      <c r="E101" s="91"/>
      <c r="F101" s="91"/>
      <c r="G101" s="91"/>
      <c r="H101" s="11"/>
      <c r="I101" s="91"/>
      <c r="J101" s="9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5.75" customHeight="1">
      <c r="A102" s="11"/>
      <c r="B102" s="90"/>
      <c r="C102" s="91"/>
      <c r="D102" s="91"/>
      <c r="E102" s="91"/>
      <c r="F102" s="91"/>
      <c r="G102" s="91"/>
      <c r="H102" s="11"/>
      <c r="I102" s="91"/>
      <c r="J102" s="9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5.75" customHeight="1">
      <c r="A103" s="11"/>
      <c r="B103" s="90"/>
      <c r="C103" s="91"/>
      <c r="D103" s="91"/>
      <c r="E103" s="91"/>
      <c r="F103" s="91"/>
      <c r="G103" s="91"/>
      <c r="H103" s="11"/>
      <c r="I103" s="91"/>
      <c r="J103" s="9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5.75" customHeight="1">
      <c r="A104" s="11"/>
      <c r="B104" s="90"/>
      <c r="C104" s="91"/>
      <c r="D104" s="91"/>
      <c r="E104" s="91"/>
      <c r="F104" s="91"/>
      <c r="G104" s="91"/>
      <c r="H104" s="11"/>
      <c r="I104" s="91"/>
      <c r="J104" s="9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5.75" customHeight="1">
      <c r="A105" s="11"/>
      <c r="B105" s="90"/>
      <c r="C105" s="91"/>
      <c r="D105" s="91"/>
      <c r="E105" s="91"/>
      <c r="F105" s="91"/>
      <c r="G105" s="91"/>
      <c r="H105" s="11"/>
      <c r="I105" s="91"/>
      <c r="J105" s="9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5.75" customHeight="1">
      <c r="A106" s="11"/>
      <c r="B106" s="90"/>
      <c r="C106" s="91"/>
      <c r="D106" s="91"/>
      <c r="E106" s="91"/>
      <c r="F106" s="91"/>
      <c r="G106" s="91"/>
      <c r="H106" s="11"/>
      <c r="I106" s="91"/>
      <c r="J106" s="9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5.75" customHeight="1">
      <c r="A107" s="11"/>
      <c r="B107" s="90"/>
      <c r="C107" s="91"/>
      <c r="D107" s="91"/>
      <c r="E107" s="91"/>
      <c r="F107" s="91"/>
      <c r="G107" s="91"/>
      <c r="H107" s="11"/>
      <c r="I107" s="91"/>
      <c r="J107" s="9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5.75" customHeight="1">
      <c r="A108" s="11"/>
      <c r="B108" s="90"/>
      <c r="C108" s="91"/>
      <c r="D108" s="91"/>
      <c r="E108" s="91"/>
      <c r="F108" s="91"/>
      <c r="G108" s="91"/>
      <c r="H108" s="11"/>
      <c r="I108" s="91"/>
      <c r="J108" s="9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5.75" customHeight="1">
      <c r="A109" s="11"/>
      <c r="B109" s="90"/>
      <c r="C109" s="91"/>
      <c r="D109" s="91"/>
      <c r="E109" s="91"/>
      <c r="F109" s="91"/>
      <c r="G109" s="91"/>
      <c r="H109" s="11"/>
      <c r="I109" s="91"/>
      <c r="J109" s="9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5.75" customHeight="1">
      <c r="A110" s="11"/>
      <c r="B110" s="90"/>
      <c r="C110" s="91"/>
      <c r="D110" s="91"/>
      <c r="E110" s="91"/>
      <c r="F110" s="91"/>
      <c r="G110" s="91"/>
      <c r="H110" s="11"/>
      <c r="I110" s="91"/>
      <c r="J110" s="9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5.75" customHeight="1">
      <c r="A111" s="11"/>
      <c r="B111" s="90"/>
      <c r="C111" s="91"/>
      <c r="D111" s="91"/>
      <c r="E111" s="91"/>
      <c r="F111" s="91"/>
      <c r="G111" s="91"/>
      <c r="H111" s="11"/>
      <c r="I111" s="91"/>
      <c r="J111" s="9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11"/>
      <c r="B112" s="90"/>
      <c r="C112" s="91"/>
      <c r="D112" s="91"/>
      <c r="E112" s="91"/>
      <c r="F112" s="91"/>
      <c r="G112" s="91"/>
      <c r="H112" s="11"/>
      <c r="I112" s="91"/>
      <c r="J112" s="9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11"/>
      <c r="B113" s="90"/>
      <c r="C113" s="91"/>
      <c r="D113" s="91"/>
      <c r="E113" s="91"/>
      <c r="F113" s="91"/>
      <c r="G113" s="91"/>
      <c r="H113" s="11"/>
      <c r="I113" s="91"/>
      <c r="J113" s="9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11"/>
      <c r="B114" s="90"/>
      <c r="C114" s="91"/>
      <c r="D114" s="91"/>
      <c r="E114" s="91"/>
      <c r="F114" s="91"/>
      <c r="G114" s="91"/>
      <c r="H114" s="11"/>
      <c r="I114" s="91"/>
      <c r="J114" s="9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11"/>
      <c r="B115" s="90"/>
      <c r="C115" s="91"/>
      <c r="D115" s="91"/>
      <c r="E115" s="91"/>
      <c r="F115" s="91"/>
      <c r="G115" s="91"/>
      <c r="H115" s="11"/>
      <c r="I115" s="91"/>
      <c r="J115" s="9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11"/>
      <c r="B116" s="90"/>
      <c r="C116" s="91"/>
      <c r="D116" s="91"/>
      <c r="E116" s="91"/>
      <c r="F116" s="91"/>
      <c r="G116" s="91"/>
      <c r="H116" s="11"/>
      <c r="I116" s="91"/>
      <c r="J116" s="9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11"/>
      <c r="B117" s="90"/>
      <c r="C117" s="91"/>
      <c r="D117" s="91"/>
      <c r="E117" s="91"/>
      <c r="F117" s="91"/>
      <c r="G117" s="91"/>
      <c r="H117" s="11"/>
      <c r="I117" s="91"/>
      <c r="J117" s="9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11"/>
      <c r="B118" s="90"/>
      <c r="C118" s="91"/>
      <c r="D118" s="91"/>
      <c r="E118" s="91"/>
      <c r="F118" s="91"/>
      <c r="G118" s="91"/>
      <c r="H118" s="11"/>
      <c r="I118" s="91"/>
      <c r="J118" s="9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11"/>
      <c r="B119" s="90"/>
      <c r="C119" s="91"/>
      <c r="D119" s="91"/>
      <c r="E119" s="91"/>
      <c r="F119" s="91"/>
      <c r="G119" s="91"/>
      <c r="H119" s="11"/>
      <c r="I119" s="91"/>
      <c r="J119" s="9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11"/>
      <c r="B120" s="90"/>
      <c r="C120" s="91"/>
      <c r="D120" s="91"/>
      <c r="E120" s="91"/>
      <c r="F120" s="91"/>
      <c r="G120" s="91"/>
      <c r="H120" s="11"/>
      <c r="I120" s="91"/>
      <c r="J120" s="9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11"/>
      <c r="B121" s="90"/>
      <c r="C121" s="91"/>
      <c r="D121" s="91"/>
      <c r="E121" s="91"/>
      <c r="F121" s="91"/>
      <c r="G121" s="91"/>
      <c r="H121" s="11"/>
      <c r="I121" s="91"/>
      <c r="J121" s="9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11"/>
      <c r="B122" s="90"/>
      <c r="C122" s="91"/>
      <c r="D122" s="91"/>
      <c r="E122" s="91"/>
      <c r="F122" s="91"/>
      <c r="G122" s="91"/>
      <c r="H122" s="11"/>
      <c r="I122" s="91"/>
      <c r="J122" s="9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5.75" customHeight="1">
      <c r="A123" s="11"/>
      <c r="B123" s="90"/>
      <c r="C123" s="91"/>
      <c r="D123" s="91"/>
      <c r="E123" s="91"/>
      <c r="F123" s="91"/>
      <c r="G123" s="91"/>
      <c r="H123" s="11"/>
      <c r="I123" s="91"/>
      <c r="J123" s="9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11"/>
      <c r="B124" s="90"/>
      <c r="C124" s="91"/>
      <c r="D124" s="91"/>
      <c r="E124" s="91"/>
      <c r="F124" s="91"/>
      <c r="G124" s="91"/>
      <c r="H124" s="11"/>
      <c r="I124" s="91"/>
      <c r="J124" s="9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11"/>
      <c r="B125" s="90"/>
      <c r="C125" s="91"/>
      <c r="D125" s="91"/>
      <c r="E125" s="91"/>
      <c r="F125" s="91"/>
      <c r="G125" s="91"/>
      <c r="H125" s="11"/>
      <c r="I125" s="91"/>
      <c r="J125" s="9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5.75" customHeight="1">
      <c r="A126" s="11"/>
      <c r="B126" s="90"/>
      <c r="C126" s="91"/>
      <c r="D126" s="91"/>
      <c r="E126" s="91"/>
      <c r="F126" s="91"/>
      <c r="G126" s="91"/>
      <c r="H126" s="11"/>
      <c r="I126" s="91"/>
      <c r="J126" s="9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11"/>
      <c r="B127" s="90"/>
      <c r="C127" s="91"/>
      <c r="D127" s="91"/>
      <c r="E127" s="91"/>
      <c r="F127" s="91"/>
      <c r="G127" s="91"/>
      <c r="H127" s="11"/>
      <c r="I127" s="91"/>
      <c r="J127" s="9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11"/>
      <c r="B128" s="90"/>
      <c r="C128" s="91"/>
      <c r="D128" s="91"/>
      <c r="E128" s="91"/>
      <c r="F128" s="91"/>
      <c r="G128" s="91"/>
      <c r="H128" s="11"/>
      <c r="I128" s="91"/>
      <c r="J128" s="9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11"/>
      <c r="B129" s="90"/>
      <c r="C129" s="91"/>
      <c r="D129" s="91"/>
      <c r="E129" s="91"/>
      <c r="F129" s="91"/>
      <c r="G129" s="91"/>
      <c r="H129" s="11"/>
      <c r="I129" s="91"/>
      <c r="J129" s="9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5.75" customHeight="1">
      <c r="A130" s="11"/>
      <c r="B130" s="90"/>
      <c r="C130" s="91"/>
      <c r="D130" s="91"/>
      <c r="E130" s="91"/>
      <c r="F130" s="91"/>
      <c r="G130" s="91"/>
      <c r="H130" s="11"/>
      <c r="I130" s="91"/>
      <c r="J130" s="9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5.75" customHeight="1">
      <c r="A131" s="11"/>
      <c r="B131" s="90"/>
      <c r="C131" s="91"/>
      <c r="D131" s="91"/>
      <c r="E131" s="91"/>
      <c r="F131" s="91"/>
      <c r="G131" s="91"/>
      <c r="H131" s="11"/>
      <c r="I131" s="91"/>
      <c r="J131" s="9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5.75" customHeight="1">
      <c r="A132" s="11"/>
      <c r="B132" s="90"/>
      <c r="C132" s="91"/>
      <c r="D132" s="91"/>
      <c r="E132" s="91"/>
      <c r="F132" s="91"/>
      <c r="G132" s="91"/>
      <c r="H132" s="11"/>
      <c r="I132" s="91"/>
      <c r="J132" s="9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5.75" customHeight="1">
      <c r="A133" s="11"/>
      <c r="B133" s="90"/>
      <c r="C133" s="91"/>
      <c r="D133" s="91"/>
      <c r="E133" s="91"/>
      <c r="F133" s="91"/>
      <c r="G133" s="91"/>
      <c r="H133" s="11"/>
      <c r="I133" s="91"/>
      <c r="J133" s="9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5.75" customHeight="1">
      <c r="A134" s="11"/>
      <c r="B134" s="90"/>
      <c r="C134" s="91"/>
      <c r="D134" s="91"/>
      <c r="E134" s="91"/>
      <c r="F134" s="91"/>
      <c r="G134" s="91"/>
      <c r="H134" s="11"/>
      <c r="I134" s="91"/>
      <c r="J134" s="9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5.75" customHeight="1">
      <c r="A135" s="11"/>
      <c r="B135" s="90"/>
      <c r="C135" s="91"/>
      <c r="D135" s="91"/>
      <c r="E135" s="91"/>
      <c r="F135" s="91"/>
      <c r="G135" s="91"/>
      <c r="H135" s="11"/>
      <c r="I135" s="91"/>
      <c r="J135" s="9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5.75" customHeight="1">
      <c r="A136" s="11"/>
      <c r="B136" s="90"/>
      <c r="C136" s="91"/>
      <c r="D136" s="91"/>
      <c r="E136" s="91"/>
      <c r="F136" s="91"/>
      <c r="G136" s="91"/>
      <c r="H136" s="11"/>
      <c r="I136" s="91"/>
      <c r="J136" s="9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5.75" customHeight="1">
      <c r="A137" s="11"/>
      <c r="B137" s="90"/>
      <c r="C137" s="91"/>
      <c r="D137" s="91"/>
      <c r="E137" s="91"/>
      <c r="F137" s="91"/>
      <c r="G137" s="91"/>
      <c r="H137" s="11"/>
      <c r="I137" s="91"/>
      <c r="J137" s="9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5.75" customHeight="1">
      <c r="A138" s="11"/>
      <c r="B138" s="90"/>
      <c r="C138" s="91"/>
      <c r="D138" s="91"/>
      <c r="E138" s="91"/>
      <c r="F138" s="91"/>
      <c r="G138" s="91"/>
      <c r="H138" s="11"/>
      <c r="I138" s="91"/>
      <c r="J138" s="9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5.75" customHeight="1">
      <c r="A139" s="11"/>
      <c r="B139" s="90"/>
      <c r="C139" s="91"/>
      <c r="D139" s="91"/>
      <c r="E139" s="91"/>
      <c r="F139" s="91"/>
      <c r="G139" s="91"/>
      <c r="H139" s="11"/>
      <c r="I139" s="91"/>
      <c r="J139" s="9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5.75" customHeight="1">
      <c r="A140" s="11"/>
      <c r="B140" s="90"/>
      <c r="C140" s="91"/>
      <c r="D140" s="91"/>
      <c r="E140" s="91"/>
      <c r="F140" s="91"/>
      <c r="G140" s="91"/>
      <c r="H140" s="11"/>
      <c r="I140" s="91"/>
      <c r="J140" s="9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5.75" customHeight="1">
      <c r="A141" s="11"/>
      <c r="B141" s="90"/>
      <c r="C141" s="91"/>
      <c r="D141" s="91"/>
      <c r="E141" s="91"/>
      <c r="F141" s="91"/>
      <c r="G141" s="91"/>
      <c r="H141" s="11"/>
      <c r="I141" s="91"/>
      <c r="J141" s="9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5.75" customHeight="1">
      <c r="A142" s="11"/>
      <c r="B142" s="90"/>
      <c r="C142" s="91"/>
      <c r="D142" s="91"/>
      <c r="E142" s="91"/>
      <c r="F142" s="91"/>
      <c r="G142" s="91"/>
      <c r="H142" s="11"/>
      <c r="I142" s="91"/>
      <c r="J142" s="9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5.75" customHeight="1">
      <c r="A143" s="11"/>
      <c r="B143" s="90"/>
      <c r="C143" s="91"/>
      <c r="D143" s="91"/>
      <c r="E143" s="91"/>
      <c r="F143" s="91"/>
      <c r="G143" s="91"/>
      <c r="H143" s="11"/>
      <c r="I143" s="91"/>
      <c r="J143" s="9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5.75" customHeight="1">
      <c r="A144" s="11"/>
      <c r="B144" s="90"/>
      <c r="C144" s="91"/>
      <c r="D144" s="91"/>
      <c r="E144" s="91"/>
      <c r="F144" s="91"/>
      <c r="G144" s="91"/>
      <c r="H144" s="11"/>
      <c r="I144" s="91"/>
      <c r="J144" s="9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5.75" customHeight="1">
      <c r="A145" s="11"/>
      <c r="B145" s="90"/>
      <c r="C145" s="91"/>
      <c r="D145" s="91"/>
      <c r="E145" s="91"/>
      <c r="F145" s="91"/>
      <c r="G145" s="91"/>
      <c r="H145" s="11"/>
      <c r="I145" s="91"/>
      <c r="J145" s="9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5.75" customHeight="1">
      <c r="A146" s="11"/>
      <c r="B146" s="90"/>
      <c r="C146" s="91"/>
      <c r="D146" s="91"/>
      <c r="E146" s="91"/>
      <c r="F146" s="91"/>
      <c r="G146" s="91"/>
      <c r="H146" s="11"/>
      <c r="I146" s="91"/>
      <c r="J146" s="9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5.75" customHeight="1">
      <c r="A147" s="11"/>
      <c r="B147" s="90"/>
      <c r="C147" s="91"/>
      <c r="D147" s="91"/>
      <c r="E147" s="91"/>
      <c r="F147" s="91"/>
      <c r="G147" s="91"/>
      <c r="H147" s="11"/>
      <c r="I147" s="91"/>
      <c r="J147" s="9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5.75" customHeight="1">
      <c r="A148" s="11"/>
      <c r="B148" s="90"/>
      <c r="C148" s="91"/>
      <c r="D148" s="91"/>
      <c r="E148" s="91"/>
      <c r="F148" s="91"/>
      <c r="G148" s="91"/>
      <c r="H148" s="11"/>
      <c r="I148" s="91"/>
      <c r="J148" s="9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5.75" customHeight="1">
      <c r="A149" s="11"/>
      <c r="B149" s="90"/>
      <c r="C149" s="91"/>
      <c r="D149" s="91"/>
      <c r="E149" s="91"/>
      <c r="F149" s="91"/>
      <c r="G149" s="91"/>
      <c r="H149" s="11"/>
      <c r="I149" s="91"/>
      <c r="J149" s="9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5.75" customHeight="1">
      <c r="A150" s="11"/>
      <c r="B150" s="90"/>
      <c r="C150" s="91"/>
      <c r="D150" s="91"/>
      <c r="E150" s="91"/>
      <c r="F150" s="91"/>
      <c r="G150" s="91"/>
      <c r="H150" s="11"/>
      <c r="I150" s="91"/>
      <c r="J150" s="9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5.75" customHeight="1">
      <c r="A151" s="11"/>
      <c r="B151" s="90"/>
      <c r="C151" s="91"/>
      <c r="D151" s="91"/>
      <c r="E151" s="91"/>
      <c r="F151" s="91"/>
      <c r="G151" s="91"/>
      <c r="H151" s="11"/>
      <c r="I151" s="91"/>
      <c r="J151" s="9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5.75" customHeight="1">
      <c r="A152" s="11"/>
      <c r="B152" s="90"/>
      <c r="C152" s="91"/>
      <c r="D152" s="91"/>
      <c r="E152" s="91"/>
      <c r="F152" s="91"/>
      <c r="G152" s="91"/>
      <c r="H152" s="11"/>
      <c r="I152" s="91"/>
      <c r="J152" s="9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5.75" customHeight="1">
      <c r="A153" s="11"/>
      <c r="B153" s="90"/>
      <c r="C153" s="91"/>
      <c r="D153" s="91"/>
      <c r="E153" s="91"/>
      <c r="F153" s="91"/>
      <c r="G153" s="91"/>
      <c r="H153" s="11"/>
      <c r="I153" s="91"/>
      <c r="J153" s="9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5.75" customHeight="1">
      <c r="A154" s="11"/>
      <c r="B154" s="90"/>
      <c r="C154" s="91"/>
      <c r="D154" s="91"/>
      <c r="E154" s="91"/>
      <c r="F154" s="91"/>
      <c r="G154" s="91"/>
      <c r="H154" s="11"/>
      <c r="I154" s="91"/>
      <c r="J154" s="9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5.75" customHeight="1">
      <c r="A155" s="11"/>
      <c r="B155" s="90"/>
      <c r="C155" s="91"/>
      <c r="D155" s="91"/>
      <c r="E155" s="91"/>
      <c r="F155" s="91"/>
      <c r="G155" s="91"/>
      <c r="H155" s="11"/>
      <c r="I155" s="91"/>
      <c r="J155" s="9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5.75" customHeight="1">
      <c r="A156" s="11"/>
      <c r="B156" s="90"/>
      <c r="C156" s="91"/>
      <c r="D156" s="91"/>
      <c r="E156" s="91"/>
      <c r="F156" s="91"/>
      <c r="G156" s="91"/>
      <c r="H156" s="11"/>
      <c r="I156" s="91"/>
      <c r="J156" s="9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5.75" customHeight="1">
      <c r="A157" s="11"/>
      <c r="B157" s="90"/>
      <c r="C157" s="91"/>
      <c r="D157" s="91"/>
      <c r="E157" s="91"/>
      <c r="F157" s="91"/>
      <c r="G157" s="91"/>
      <c r="H157" s="11"/>
      <c r="I157" s="91"/>
      <c r="J157" s="9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5.75" customHeight="1">
      <c r="A158" s="11"/>
      <c r="B158" s="90"/>
      <c r="C158" s="91"/>
      <c r="D158" s="91"/>
      <c r="E158" s="91"/>
      <c r="F158" s="91"/>
      <c r="G158" s="91"/>
      <c r="H158" s="11"/>
      <c r="I158" s="91"/>
      <c r="J158" s="9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5.75" customHeight="1">
      <c r="A159" s="11"/>
      <c r="B159" s="90"/>
      <c r="C159" s="91"/>
      <c r="D159" s="91"/>
      <c r="E159" s="91"/>
      <c r="F159" s="91"/>
      <c r="G159" s="91"/>
      <c r="H159" s="11"/>
      <c r="I159" s="91"/>
      <c r="J159" s="9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5.75" customHeight="1">
      <c r="A160" s="11"/>
      <c r="B160" s="90"/>
      <c r="C160" s="91"/>
      <c r="D160" s="91"/>
      <c r="E160" s="91"/>
      <c r="F160" s="91"/>
      <c r="G160" s="91"/>
      <c r="H160" s="11"/>
      <c r="I160" s="91"/>
      <c r="J160" s="9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5.75" customHeight="1">
      <c r="A161" s="11"/>
      <c r="B161" s="90"/>
      <c r="C161" s="91"/>
      <c r="D161" s="91"/>
      <c r="E161" s="91"/>
      <c r="F161" s="91"/>
      <c r="G161" s="91"/>
      <c r="H161" s="11"/>
      <c r="I161" s="91"/>
      <c r="J161" s="9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5.75" customHeight="1">
      <c r="A162" s="11"/>
      <c r="B162" s="90"/>
      <c r="C162" s="91"/>
      <c r="D162" s="91"/>
      <c r="E162" s="91"/>
      <c r="F162" s="91"/>
      <c r="G162" s="91"/>
      <c r="H162" s="11"/>
      <c r="I162" s="91"/>
      <c r="J162" s="9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5.75" customHeight="1">
      <c r="A163" s="11"/>
      <c r="B163" s="90"/>
      <c r="C163" s="91"/>
      <c r="D163" s="91"/>
      <c r="E163" s="91"/>
      <c r="F163" s="91"/>
      <c r="G163" s="91"/>
      <c r="H163" s="11"/>
      <c r="I163" s="91"/>
      <c r="J163" s="9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5.75" customHeight="1">
      <c r="A164" s="11"/>
      <c r="B164" s="90"/>
      <c r="C164" s="91"/>
      <c r="D164" s="91"/>
      <c r="E164" s="91"/>
      <c r="F164" s="91"/>
      <c r="G164" s="91"/>
      <c r="H164" s="11"/>
      <c r="I164" s="91"/>
      <c r="J164" s="9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5.75" customHeight="1">
      <c r="A165" s="11"/>
      <c r="B165" s="90"/>
      <c r="C165" s="91"/>
      <c r="D165" s="91"/>
      <c r="E165" s="91"/>
      <c r="F165" s="91"/>
      <c r="G165" s="91"/>
      <c r="H165" s="11"/>
      <c r="I165" s="91"/>
      <c r="J165" s="9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5.75" customHeight="1">
      <c r="A166" s="11"/>
      <c r="B166" s="90"/>
      <c r="C166" s="91"/>
      <c r="D166" s="91"/>
      <c r="E166" s="91"/>
      <c r="F166" s="91"/>
      <c r="G166" s="91"/>
      <c r="H166" s="11"/>
      <c r="I166" s="91"/>
      <c r="J166" s="9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5.75" customHeight="1">
      <c r="A167" s="11"/>
      <c r="B167" s="90"/>
      <c r="C167" s="91"/>
      <c r="D167" s="91"/>
      <c r="E167" s="91"/>
      <c r="F167" s="91"/>
      <c r="G167" s="91"/>
      <c r="H167" s="11"/>
      <c r="I167" s="91"/>
      <c r="J167" s="9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5.75" customHeight="1">
      <c r="A168" s="11"/>
      <c r="B168" s="90"/>
      <c r="C168" s="91"/>
      <c r="D168" s="91"/>
      <c r="E168" s="91"/>
      <c r="F168" s="91"/>
      <c r="G168" s="91"/>
      <c r="H168" s="11"/>
      <c r="I168" s="91"/>
      <c r="J168" s="9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5.75" customHeight="1">
      <c r="A169" s="11"/>
      <c r="B169" s="90"/>
      <c r="C169" s="91"/>
      <c r="D169" s="91"/>
      <c r="E169" s="91"/>
      <c r="F169" s="91"/>
      <c r="G169" s="91"/>
      <c r="H169" s="11"/>
      <c r="I169" s="91"/>
      <c r="J169" s="9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5.75" customHeight="1">
      <c r="A170" s="11"/>
      <c r="B170" s="90"/>
      <c r="C170" s="91"/>
      <c r="D170" s="91"/>
      <c r="E170" s="91"/>
      <c r="F170" s="91"/>
      <c r="G170" s="91"/>
      <c r="H170" s="11"/>
      <c r="I170" s="91"/>
      <c r="J170" s="9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5.75" customHeight="1">
      <c r="A171" s="11"/>
      <c r="B171" s="90"/>
      <c r="C171" s="91"/>
      <c r="D171" s="91"/>
      <c r="E171" s="91"/>
      <c r="F171" s="91"/>
      <c r="G171" s="91"/>
      <c r="H171" s="11"/>
      <c r="I171" s="91"/>
      <c r="J171" s="9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5.75" customHeight="1">
      <c r="A172" s="11"/>
      <c r="B172" s="90"/>
      <c r="C172" s="91"/>
      <c r="D172" s="91"/>
      <c r="E172" s="91"/>
      <c r="F172" s="91"/>
      <c r="G172" s="91"/>
      <c r="H172" s="11"/>
      <c r="I172" s="91"/>
      <c r="J172" s="9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5.75" customHeight="1">
      <c r="A173" s="11"/>
      <c r="B173" s="90"/>
      <c r="C173" s="91"/>
      <c r="D173" s="91"/>
      <c r="E173" s="91"/>
      <c r="F173" s="91"/>
      <c r="G173" s="91"/>
      <c r="H173" s="11"/>
      <c r="I173" s="91"/>
      <c r="J173" s="9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5.75" customHeight="1">
      <c r="A174" s="11"/>
      <c r="B174" s="90"/>
      <c r="C174" s="91"/>
      <c r="D174" s="91"/>
      <c r="E174" s="91"/>
      <c r="F174" s="91"/>
      <c r="G174" s="91"/>
      <c r="H174" s="11"/>
      <c r="I174" s="91"/>
      <c r="J174" s="9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5.75" customHeight="1">
      <c r="A175" s="11"/>
      <c r="B175" s="90"/>
      <c r="C175" s="91"/>
      <c r="D175" s="91"/>
      <c r="E175" s="91"/>
      <c r="F175" s="91"/>
      <c r="G175" s="91"/>
      <c r="H175" s="11"/>
      <c r="I175" s="91"/>
      <c r="J175" s="9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5.75" customHeight="1">
      <c r="A176" s="11"/>
      <c r="B176" s="90"/>
      <c r="C176" s="91"/>
      <c r="D176" s="91"/>
      <c r="E176" s="91"/>
      <c r="F176" s="91"/>
      <c r="G176" s="91"/>
      <c r="H176" s="11"/>
      <c r="I176" s="91"/>
      <c r="J176" s="9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5.75" customHeight="1">
      <c r="A177" s="11"/>
      <c r="B177" s="90"/>
      <c r="C177" s="91"/>
      <c r="D177" s="91"/>
      <c r="E177" s="91"/>
      <c r="F177" s="91"/>
      <c r="G177" s="91"/>
      <c r="H177" s="11"/>
      <c r="I177" s="91"/>
      <c r="J177" s="9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5.75" customHeight="1">
      <c r="A178" s="11"/>
      <c r="B178" s="90"/>
      <c r="C178" s="91"/>
      <c r="D178" s="91"/>
      <c r="E178" s="91"/>
      <c r="F178" s="91"/>
      <c r="G178" s="91"/>
      <c r="H178" s="11"/>
      <c r="I178" s="91"/>
      <c r="J178" s="9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5.75" customHeight="1">
      <c r="A179" s="11"/>
      <c r="B179" s="90"/>
      <c r="C179" s="91"/>
      <c r="D179" s="91"/>
      <c r="E179" s="91"/>
      <c r="F179" s="91"/>
      <c r="G179" s="91"/>
      <c r="H179" s="11"/>
      <c r="I179" s="91"/>
      <c r="J179" s="9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5.75" customHeight="1">
      <c r="A180" s="11"/>
      <c r="B180" s="90"/>
      <c r="C180" s="91"/>
      <c r="D180" s="91"/>
      <c r="E180" s="91"/>
      <c r="F180" s="91"/>
      <c r="G180" s="91"/>
      <c r="H180" s="11"/>
      <c r="I180" s="91"/>
      <c r="J180" s="9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5.75" customHeight="1">
      <c r="A181" s="11"/>
      <c r="B181" s="90"/>
      <c r="C181" s="91"/>
      <c r="D181" s="91"/>
      <c r="E181" s="91"/>
      <c r="F181" s="91"/>
      <c r="G181" s="91"/>
      <c r="H181" s="11"/>
      <c r="I181" s="91"/>
      <c r="J181" s="9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5.75" customHeight="1">
      <c r="A182" s="11"/>
      <c r="B182" s="90"/>
      <c r="C182" s="91"/>
      <c r="D182" s="91"/>
      <c r="E182" s="91"/>
      <c r="F182" s="91"/>
      <c r="G182" s="91"/>
      <c r="H182" s="11"/>
      <c r="I182" s="91"/>
      <c r="J182" s="9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5.75" customHeight="1">
      <c r="A183" s="11"/>
      <c r="B183" s="90"/>
      <c r="C183" s="91"/>
      <c r="D183" s="91"/>
      <c r="E183" s="91"/>
      <c r="F183" s="91"/>
      <c r="G183" s="91"/>
      <c r="H183" s="11"/>
      <c r="I183" s="91"/>
      <c r="J183" s="9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5.75" customHeight="1">
      <c r="A184" s="11"/>
      <c r="B184" s="90"/>
      <c r="C184" s="91"/>
      <c r="D184" s="91"/>
      <c r="E184" s="91"/>
      <c r="F184" s="91"/>
      <c r="G184" s="91"/>
      <c r="H184" s="11"/>
      <c r="I184" s="91"/>
      <c r="J184" s="9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5.75" customHeight="1">
      <c r="A185" s="11"/>
      <c r="B185" s="90"/>
      <c r="C185" s="91"/>
      <c r="D185" s="91"/>
      <c r="E185" s="91"/>
      <c r="F185" s="91"/>
      <c r="G185" s="91"/>
      <c r="H185" s="11"/>
      <c r="I185" s="91"/>
      <c r="J185" s="9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5.75" customHeight="1">
      <c r="A186" s="11"/>
      <c r="B186" s="90"/>
      <c r="C186" s="91"/>
      <c r="D186" s="91"/>
      <c r="E186" s="91"/>
      <c r="F186" s="91"/>
      <c r="G186" s="91"/>
      <c r="H186" s="11"/>
      <c r="I186" s="91"/>
      <c r="J186" s="9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5.75" customHeight="1">
      <c r="A187" s="11"/>
      <c r="B187" s="90"/>
      <c r="C187" s="91"/>
      <c r="D187" s="91"/>
      <c r="E187" s="91"/>
      <c r="F187" s="91"/>
      <c r="G187" s="91"/>
      <c r="H187" s="11"/>
      <c r="I187" s="91"/>
      <c r="J187" s="9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5.75" customHeight="1">
      <c r="A188" s="11"/>
      <c r="B188" s="90"/>
      <c r="C188" s="91"/>
      <c r="D188" s="91"/>
      <c r="E188" s="91"/>
      <c r="F188" s="91"/>
      <c r="G188" s="91"/>
      <c r="H188" s="11"/>
      <c r="I188" s="91"/>
      <c r="J188" s="9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5.75" customHeight="1">
      <c r="A189" s="11"/>
      <c r="B189" s="90"/>
      <c r="C189" s="91"/>
      <c r="D189" s="91"/>
      <c r="E189" s="91"/>
      <c r="F189" s="91"/>
      <c r="G189" s="91"/>
      <c r="H189" s="11"/>
      <c r="I189" s="91"/>
      <c r="J189" s="9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5.75" customHeight="1">
      <c r="A190" s="11"/>
      <c r="B190" s="90"/>
      <c r="C190" s="91"/>
      <c r="D190" s="91"/>
      <c r="E190" s="91"/>
      <c r="F190" s="91"/>
      <c r="G190" s="91"/>
      <c r="H190" s="11"/>
      <c r="I190" s="91"/>
      <c r="J190" s="9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5.75" customHeight="1">
      <c r="A191" s="11"/>
      <c r="B191" s="90"/>
      <c r="C191" s="91"/>
      <c r="D191" s="91"/>
      <c r="E191" s="91"/>
      <c r="F191" s="91"/>
      <c r="G191" s="91"/>
      <c r="H191" s="11"/>
      <c r="I191" s="91"/>
      <c r="J191" s="9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5.75" customHeight="1">
      <c r="A192" s="11"/>
      <c r="B192" s="90"/>
      <c r="C192" s="91"/>
      <c r="D192" s="91"/>
      <c r="E192" s="91"/>
      <c r="F192" s="91"/>
      <c r="G192" s="91"/>
      <c r="H192" s="11"/>
      <c r="I192" s="91"/>
      <c r="J192" s="9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5.75" customHeight="1">
      <c r="A193" s="11"/>
      <c r="B193" s="90"/>
      <c r="C193" s="91"/>
      <c r="D193" s="91"/>
      <c r="E193" s="91"/>
      <c r="F193" s="91"/>
      <c r="G193" s="91"/>
      <c r="H193" s="11"/>
      <c r="I193" s="91"/>
      <c r="J193" s="9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5.75" customHeight="1">
      <c r="A194" s="11"/>
      <c r="B194" s="90"/>
      <c r="C194" s="91"/>
      <c r="D194" s="91"/>
      <c r="E194" s="91"/>
      <c r="F194" s="91"/>
      <c r="G194" s="91"/>
      <c r="H194" s="11"/>
      <c r="I194" s="91"/>
      <c r="J194" s="9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5.75" customHeight="1">
      <c r="A195" s="11"/>
      <c r="B195" s="90"/>
      <c r="C195" s="91"/>
      <c r="D195" s="91"/>
      <c r="E195" s="91"/>
      <c r="F195" s="91"/>
      <c r="G195" s="91"/>
      <c r="H195" s="11"/>
      <c r="I195" s="91"/>
      <c r="J195" s="9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5.75" customHeight="1">
      <c r="A196" s="11"/>
      <c r="B196" s="90"/>
      <c r="C196" s="91"/>
      <c r="D196" s="91"/>
      <c r="E196" s="91"/>
      <c r="F196" s="91"/>
      <c r="G196" s="91"/>
      <c r="H196" s="11"/>
      <c r="I196" s="91"/>
      <c r="J196" s="9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5.75" customHeight="1">
      <c r="A197" s="11"/>
      <c r="B197" s="90"/>
      <c r="C197" s="91"/>
      <c r="D197" s="91"/>
      <c r="E197" s="91"/>
      <c r="F197" s="91"/>
      <c r="G197" s="91"/>
      <c r="H197" s="11"/>
      <c r="I197" s="91"/>
      <c r="J197" s="9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5.75" customHeight="1">
      <c r="A198" s="11"/>
      <c r="B198" s="90"/>
      <c r="C198" s="91"/>
      <c r="D198" s="91"/>
      <c r="E198" s="91"/>
      <c r="F198" s="91"/>
      <c r="G198" s="91"/>
      <c r="H198" s="11"/>
      <c r="I198" s="91"/>
      <c r="J198" s="9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5.75" customHeight="1">
      <c r="A199" s="11"/>
      <c r="B199" s="90"/>
      <c r="C199" s="91"/>
      <c r="D199" s="91"/>
      <c r="E199" s="91"/>
      <c r="F199" s="91"/>
      <c r="G199" s="91"/>
      <c r="H199" s="11"/>
      <c r="I199" s="91"/>
      <c r="J199" s="9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5.75" customHeight="1">
      <c r="A200" s="11"/>
      <c r="B200" s="90"/>
      <c r="C200" s="91"/>
      <c r="D200" s="91"/>
      <c r="E200" s="91"/>
      <c r="F200" s="91"/>
      <c r="G200" s="91"/>
      <c r="H200" s="11"/>
      <c r="I200" s="91"/>
      <c r="J200" s="9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5.75" customHeight="1">
      <c r="A201" s="11"/>
      <c r="B201" s="90"/>
      <c r="C201" s="91"/>
      <c r="D201" s="91"/>
      <c r="E201" s="91"/>
      <c r="F201" s="91"/>
      <c r="G201" s="91"/>
      <c r="H201" s="11"/>
      <c r="I201" s="91"/>
      <c r="J201" s="9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5.75" customHeight="1">
      <c r="A202" s="11"/>
      <c r="B202" s="90"/>
      <c r="C202" s="91"/>
      <c r="D202" s="91"/>
      <c r="E202" s="91"/>
      <c r="F202" s="91"/>
      <c r="G202" s="91"/>
      <c r="H202" s="11"/>
      <c r="I202" s="91"/>
      <c r="J202" s="9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5.75" customHeight="1">
      <c r="A203" s="11"/>
      <c r="B203" s="90"/>
      <c r="C203" s="91"/>
      <c r="D203" s="91"/>
      <c r="E203" s="91"/>
      <c r="F203" s="91"/>
      <c r="G203" s="91"/>
      <c r="H203" s="11"/>
      <c r="I203" s="91"/>
      <c r="J203" s="9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5.75" customHeight="1">
      <c r="A204" s="11"/>
      <c r="B204" s="90"/>
      <c r="C204" s="91"/>
      <c r="D204" s="91"/>
      <c r="E204" s="91"/>
      <c r="F204" s="91"/>
      <c r="G204" s="91"/>
      <c r="H204" s="11"/>
      <c r="I204" s="91"/>
      <c r="J204" s="9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5.75" customHeight="1">
      <c r="A205" s="11"/>
      <c r="B205" s="90"/>
      <c r="C205" s="91"/>
      <c r="D205" s="91"/>
      <c r="E205" s="91"/>
      <c r="F205" s="91"/>
      <c r="G205" s="91"/>
      <c r="H205" s="11"/>
      <c r="I205" s="91"/>
      <c r="J205" s="9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5.75" customHeight="1">
      <c r="A206" s="11"/>
      <c r="B206" s="90"/>
      <c r="C206" s="91"/>
      <c r="D206" s="91"/>
      <c r="E206" s="91"/>
      <c r="F206" s="91"/>
      <c r="G206" s="91"/>
      <c r="H206" s="11"/>
      <c r="I206" s="91"/>
      <c r="J206" s="9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5.75" customHeight="1">
      <c r="A207" s="11"/>
      <c r="B207" s="90"/>
      <c r="C207" s="91"/>
      <c r="D207" s="91"/>
      <c r="E207" s="91"/>
      <c r="F207" s="91"/>
      <c r="G207" s="91"/>
      <c r="H207" s="11"/>
      <c r="I207" s="91"/>
      <c r="J207" s="9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5.75" customHeight="1">
      <c r="A208" s="11"/>
      <c r="B208" s="90"/>
      <c r="C208" s="91"/>
      <c r="D208" s="91"/>
      <c r="E208" s="91"/>
      <c r="F208" s="91"/>
      <c r="G208" s="91"/>
      <c r="H208" s="11"/>
      <c r="I208" s="91"/>
      <c r="J208" s="9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5.75" customHeight="1">
      <c r="A209" s="11"/>
      <c r="B209" s="90"/>
      <c r="C209" s="91"/>
      <c r="D209" s="91"/>
      <c r="E209" s="91"/>
      <c r="F209" s="91"/>
      <c r="G209" s="91"/>
      <c r="H209" s="11"/>
      <c r="I209" s="91"/>
      <c r="J209" s="9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5.75" customHeight="1">
      <c r="A210" s="11"/>
      <c r="B210" s="90"/>
      <c r="C210" s="91"/>
      <c r="D210" s="91"/>
      <c r="E210" s="91"/>
      <c r="F210" s="91"/>
      <c r="G210" s="91"/>
      <c r="H210" s="11"/>
      <c r="I210" s="91"/>
      <c r="J210" s="9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5.75" customHeight="1">
      <c r="A211" s="11"/>
      <c r="B211" s="90"/>
      <c r="C211" s="91"/>
      <c r="D211" s="91"/>
      <c r="E211" s="91"/>
      <c r="F211" s="91"/>
      <c r="G211" s="91"/>
      <c r="H211" s="11"/>
      <c r="I211" s="91"/>
      <c r="J211" s="9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5.75" customHeight="1">
      <c r="A212" s="11"/>
      <c r="B212" s="90"/>
      <c r="C212" s="91"/>
      <c r="D212" s="91"/>
      <c r="E212" s="91"/>
      <c r="F212" s="91"/>
      <c r="G212" s="91"/>
      <c r="H212" s="11"/>
      <c r="I212" s="91"/>
      <c r="J212" s="9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5.75" customHeight="1">
      <c r="A213" s="11"/>
      <c r="B213" s="90"/>
      <c r="C213" s="91"/>
      <c r="D213" s="91"/>
      <c r="E213" s="91"/>
      <c r="F213" s="91"/>
      <c r="G213" s="91"/>
      <c r="H213" s="11"/>
      <c r="I213" s="91"/>
      <c r="J213" s="9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5.75" customHeight="1">
      <c r="A214" s="11"/>
      <c r="B214" s="90"/>
      <c r="C214" s="91"/>
      <c r="D214" s="91"/>
      <c r="E214" s="91"/>
      <c r="F214" s="91"/>
      <c r="G214" s="91"/>
      <c r="H214" s="11"/>
      <c r="I214" s="91"/>
      <c r="J214" s="9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5.75" customHeight="1">
      <c r="A215" s="11"/>
      <c r="B215" s="90"/>
      <c r="C215" s="91"/>
      <c r="D215" s="91"/>
      <c r="E215" s="91"/>
      <c r="F215" s="91"/>
      <c r="G215" s="91"/>
      <c r="H215" s="11"/>
      <c r="I215" s="91"/>
      <c r="J215" s="9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5.75" customHeight="1">
      <c r="A216" s="11"/>
      <c r="B216" s="90"/>
      <c r="C216" s="91"/>
      <c r="D216" s="91"/>
      <c r="E216" s="91"/>
      <c r="F216" s="91"/>
      <c r="G216" s="91"/>
      <c r="H216" s="11"/>
      <c r="I216" s="91"/>
      <c r="J216" s="9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5.75" customHeight="1">
      <c r="A217" s="11"/>
      <c r="B217" s="90"/>
      <c r="C217" s="91"/>
      <c r="D217" s="91"/>
      <c r="E217" s="91"/>
      <c r="F217" s="91"/>
      <c r="G217" s="91"/>
      <c r="H217" s="11"/>
      <c r="I217" s="91"/>
      <c r="J217" s="9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5.75" customHeight="1">
      <c r="A218" s="11"/>
      <c r="B218" s="90"/>
      <c r="C218" s="91"/>
      <c r="D218" s="91"/>
      <c r="E218" s="91"/>
      <c r="F218" s="91"/>
      <c r="G218" s="91"/>
      <c r="H218" s="11"/>
      <c r="I218" s="91"/>
      <c r="J218" s="9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5.75" customHeight="1">
      <c r="A219" s="11"/>
      <c r="B219" s="90"/>
      <c r="C219" s="91"/>
      <c r="D219" s="91"/>
      <c r="E219" s="91"/>
      <c r="F219" s="91"/>
      <c r="G219" s="91"/>
      <c r="H219" s="11"/>
      <c r="I219" s="91"/>
      <c r="J219" s="9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5.75" customHeight="1">
      <c r="A220" s="11"/>
      <c r="B220" s="90"/>
      <c r="C220" s="91"/>
      <c r="D220" s="91"/>
      <c r="E220" s="91"/>
      <c r="F220" s="91"/>
      <c r="G220" s="91"/>
      <c r="H220" s="11"/>
      <c r="I220" s="91"/>
      <c r="J220" s="9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5.75" customHeight="1">
      <c r="A221" s="11"/>
      <c r="B221" s="90"/>
      <c r="C221" s="91"/>
      <c r="D221" s="91"/>
      <c r="E221" s="91"/>
      <c r="F221" s="91"/>
      <c r="G221" s="91"/>
      <c r="H221" s="11"/>
      <c r="I221" s="91"/>
      <c r="J221" s="9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5.75" customHeight="1">
      <c r="A222" s="11"/>
      <c r="B222" s="90"/>
      <c r="C222" s="91"/>
      <c r="D222" s="91"/>
      <c r="E222" s="91"/>
      <c r="F222" s="91"/>
      <c r="G222" s="91"/>
      <c r="H222" s="11"/>
      <c r="I222" s="91"/>
      <c r="J222" s="9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5.75" customHeight="1">
      <c r="A223" s="11"/>
      <c r="B223" s="90"/>
      <c r="C223" s="91"/>
      <c r="D223" s="91"/>
      <c r="E223" s="91"/>
      <c r="F223" s="91"/>
      <c r="G223" s="91"/>
      <c r="H223" s="11"/>
      <c r="I223" s="91"/>
      <c r="J223" s="9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5.75" customHeight="1">
      <c r="A224" s="11"/>
      <c r="B224" s="90"/>
      <c r="C224" s="91"/>
      <c r="D224" s="91"/>
      <c r="E224" s="91"/>
      <c r="F224" s="91"/>
      <c r="G224" s="91"/>
      <c r="H224" s="11"/>
      <c r="I224" s="91"/>
      <c r="J224" s="9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5.75" customHeight="1">
      <c r="A225" s="11"/>
      <c r="B225" s="90"/>
      <c r="C225" s="91"/>
      <c r="D225" s="91"/>
      <c r="E225" s="91"/>
      <c r="F225" s="91"/>
      <c r="G225" s="91"/>
      <c r="H225" s="11"/>
      <c r="I225" s="91"/>
      <c r="J225" s="9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5.75" customHeight="1">
      <c r="A226" s="11"/>
      <c r="B226" s="90"/>
      <c r="C226" s="91"/>
      <c r="D226" s="91"/>
      <c r="E226" s="91"/>
      <c r="F226" s="91"/>
      <c r="G226" s="91"/>
      <c r="H226" s="11"/>
      <c r="I226" s="91"/>
      <c r="J226" s="9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5.75" customHeight="1">
      <c r="A227" s="11"/>
      <c r="B227" s="90"/>
      <c r="C227" s="91"/>
      <c r="D227" s="91"/>
      <c r="E227" s="91"/>
      <c r="F227" s="91"/>
      <c r="G227" s="91"/>
      <c r="H227" s="11"/>
      <c r="I227" s="91"/>
      <c r="J227" s="9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5.75" customHeight="1">
      <c r="A228" s="11"/>
      <c r="B228" s="90"/>
      <c r="C228" s="91"/>
      <c r="D228" s="91"/>
      <c r="E228" s="91"/>
      <c r="F228" s="91"/>
      <c r="G228" s="91"/>
      <c r="H228" s="11"/>
      <c r="I228" s="91"/>
      <c r="J228" s="9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5.75" customHeight="1">
      <c r="A229" s="11"/>
      <c r="B229" s="90"/>
      <c r="C229" s="91"/>
      <c r="D229" s="91"/>
      <c r="E229" s="91"/>
      <c r="F229" s="91"/>
      <c r="G229" s="91"/>
      <c r="H229" s="11"/>
      <c r="I229" s="91"/>
      <c r="J229" s="9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5.75" customHeight="1">
      <c r="A230" s="11"/>
      <c r="B230" s="90"/>
      <c r="C230" s="91"/>
      <c r="D230" s="91"/>
      <c r="E230" s="91"/>
      <c r="F230" s="91"/>
      <c r="G230" s="91"/>
      <c r="H230" s="11"/>
      <c r="I230" s="91"/>
      <c r="J230" s="9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8.25"/>
    <col customWidth="1" min="3" max="3" width="13.75"/>
    <col customWidth="1" min="4" max="6" width="12.63"/>
    <col customWidth="1" min="11" max="11" width="14.13"/>
    <col customWidth="1" min="12" max="12" width="14.25"/>
    <col customWidth="1" min="13" max="13" width="15.38"/>
  </cols>
  <sheetData>
    <row r="1" ht="15.75" customHeight="1">
      <c r="A1" s="6" t="s">
        <v>0</v>
      </c>
      <c r="B1" s="6" t="s">
        <v>2</v>
      </c>
      <c r="C1" s="6" t="s">
        <v>3</v>
      </c>
      <c r="D1" s="6" t="s">
        <v>10</v>
      </c>
      <c r="E1" s="6" t="s">
        <v>21</v>
      </c>
      <c r="F1" s="6" t="s">
        <v>23</v>
      </c>
      <c r="G1" s="6" t="s">
        <v>25</v>
      </c>
      <c r="H1" s="6" t="s">
        <v>27</v>
      </c>
      <c r="I1" s="6" t="s">
        <v>29</v>
      </c>
      <c r="J1" s="6" t="s">
        <v>31</v>
      </c>
      <c r="K1" s="6" t="s">
        <v>32</v>
      </c>
      <c r="L1" s="6" t="s">
        <v>34</v>
      </c>
      <c r="M1" s="6" t="s">
        <v>35</v>
      </c>
      <c r="N1" s="12"/>
      <c r="O1" s="13" t="s">
        <v>36</v>
      </c>
      <c r="P1" s="13" t="s">
        <v>38</v>
      </c>
      <c r="Q1" s="12"/>
      <c r="R1" s="6" t="s">
        <v>39</v>
      </c>
      <c r="S1" s="15" t="s">
        <v>40</v>
      </c>
      <c r="T1" s="15" t="s">
        <v>41</v>
      </c>
      <c r="U1" s="15" t="s">
        <v>42</v>
      </c>
      <c r="V1" s="15" t="s">
        <v>43</v>
      </c>
      <c r="W1" s="12"/>
      <c r="X1" s="12"/>
      <c r="Y1" s="12"/>
      <c r="Z1" s="12"/>
    </row>
    <row r="2" ht="15.75" customHeight="1">
      <c r="A2" s="18" t="s">
        <v>44</v>
      </c>
      <c r="B2" s="18" t="s">
        <v>46</v>
      </c>
      <c r="C2" s="18">
        <v>34.0</v>
      </c>
      <c r="D2" s="24">
        <v>1.0</v>
      </c>
      <c r="E2" s="24" t="s">
        <v>41</v>
      </c>
      <c r="H2" s="18">
        <v>42.0</v>
      </c>
      <c r="I2" s="18"/>
      <c r="J2" s="24" t="s">
        <v>47</v>
      </c>
      <c r="K2" s="24" t="s">
        <v>48</v>
      </c>
      <c r="L2" s="18" t="str">
        <f t="shared" ref="L2:L31" si="3">IF(K2="Processed", H2, "")</f>
        <v/>
      </c>
      <c r="M2" s="18" t="str">
        <f>IF(K2="Received", H2, "")</f>
        <v/>
      </c>
      <c r="O2" s="18">
        <f t="shared" ref="O2:P2" si="1">SUM(H:H)</f>
        <v>3445.58</v>
      </c>
      <c r="P2" s="24">
        <f t="shared" si="1"/>
        <v>60.11</v>
      </c>
      <c r="R2" s="31">
        <f t="shared" ref="R2:V2" si="2">COUNTIF($E:$E,R1)</f>
        <v>71</v>
      </c>
      <c r="S2" s="31">
        <f t="shared" si="2"/>
        <v>14</v>
      </c>
      <c r="T2" s="31">
        <f t="shared" si="2"/>
        <v>35</v>
      </c>
      <c r="U2" s="31">
        <f t="shared" si="2"/>
        <v>9</v>
      </c>
      <c r="V2" s="31">
        <f t="shared" si="2"/>
        <v>4</v>
      </c>
    </row>
    <row r="3" ht="15.75" customHeight="1">
      <c r="A3" s="18" t="s">
        <v>49</v>
      </c>
      <c r="B3" s="18" t="s">
        <v>50</v>
      </c>
      <c r="C3" s="18">
        <v>34.0</v>
      </c>
      <c r="D3" s="24">
        <v>1.0</v>
      </c>
      <c r="E3" s="24" t="s">
        <v>41</v>
      </c>
      <c r="H3" s="18">
        <v>28.0</v>
      </c>
      <c r="I3" s="18"/>
      <c r="J3" s="24" t="s">
        <v>47</v>
      </c>
      <c r="K3" s="24" t="s">
        <v>48</v>
      </c>
      <c r="L3" s="18" t="str">
        <f t="shared" si="3"/>
        <v/>
      </c>
      <c r="M3" s="18"/>
    </row>
    <row r="4" ht="15.75" customHeight="1">
      <c r="A4" s="18" t="s">
        <v>49</v>
      </c>
      <c r="B4" s="18" t="s">
        <v>51</v>
      </c>
      <c r="C4" s="18">
        <v>34.0</v>
      </c>
      <c r="D4" s="24">
        <v>1.0</v>
      </c>
      <c r="E4" s="24" t="s">
        <v>41</v>
      </c>
      <c r="H4" s="18">
        <v>22.5</v>
      </c>
      <c r="I4" s="18"/>
      <c r="J4" s="24"/>
      <c r="K4" s="24"/>
      <c r="L4" s="18" t="str">
        <f t="shared" si="3"/>
        <v/>
      </c>
      <c r="M4" s="18"/>
      <c r="R4" s="36"/>
    </row>
    <row r="5" ht="15.75" customHeight="1">
      <c r="A5" s="18" t="s">
        <v>49</v>
      </c>
      <c r="B5" s="18" t="s">
        <v>52</v>
      </c>
      <c r="C5" s="18">
        <v>36.0</v>
      </c>
      <c r="D5" s="24">
        <v>1.0</v>
      </c>
      <c r="E5" s="24" t="s">
        <v>41</v>
      </c>
      <c r="H5" s="18">
        <v>21.0</v>
      </c>
      <c r="I5" s="18"/>
      <c r="J5" s="24" t="s">
        <v>47</v>
      </c>
      <c r="K5" s="24" t="s">
        <v>48</v>
      </c>
      <c r="L5" s="18" t="str">
        <f t="shared" si="3"/>
        <v/>
      </c>
      <c r="M5" s="18"/>
    </row>
    <row r="6" ht="15.75" customHeight="1">
      <c r="A6" s="18" t="s">
        <v>49</v>
      </c>
      <c r="B6" s="18" t="s">
        <v>50</v>
      </c>
      <c r="C6" s="18">
        <v>34.0</v>
      </c>
      <c r="D6" s="24">
        <v>1.0</v>
      </c>
      <c r="E6" s="24" t="s">
        <v>41</v>
      </c>
      <c r="H6" s="18">
        <v>22.5</v>
      </c>
      <c r="I6" s="18"/>
      <c r="J6" s="24" t="s">
        <v>47</v>
      </c>
      <c r="K6" s="24" t="s">
        <v>48</v>
      </c>
      <c r="L6" s="18" t="str">
        <f t="shared" si="3"/>
        <v/>
      </c>
      <c r="M6" s="18"/>
    </row>
    <row r="7" ht="15.75" customHeight="1">
      <c r="A7" s="18" t="s">
        <v>49</v>
      </c>
      <c r="B7" s="18" t="s">
        <v>52</v>
      </c>
      <c r="C7" s="18">
        <v>34.0</v>
      </c>
      <c r="D7" s="24">
        <v>1.0</v>
      </c>
      <c r="E7" s="24" t="s">
        <v>41</v>
      </c>
      <c r="H7" s="18">
        <v>25.0</v>
      </c>
      <c r="I7" s="18"/>
      <c r="J7" s="24"/>
      <c r="K7" s="24"/>
      <c r="L7" s="18" t="str">
        <f t="shared" si="3"/>
        <v/>
      </c>
      <c r="M7" s="18"/>
    </row>
    <row r="8" ht="15.75" customHeight="1">
      <c r="A8" s="18" t="s">
        <v>49</v>
      </c>
      <c r="B8" s="18" t="s">
        <v>53</v>
      </c>
      <c r="C8" s="18">
        <v>34.0</v>
      </c>
      <c r="D8" s="24">
        <v>1.0</v>
      </c>
      <c r="E8" s="24" t="s">
        <v>41</v>
      </c>
      <c r="H8" s="18">
        <v>27.6</v>
      </c>
      <c r="I8" s="18"/>
      <c r="J8" s="24" t="s">
        <v>47</v>
      </c>
      <c r="K8" s="24" t="s">
        <v>48</v>
      </c>
      <c r="L8" s="18" t="str">
        <f t="shared" si="3"/>
        <v/>
      </c>
      <c r="M8" s="18"/>
    </row>
    <row r="9" ht="15.75" customHeight="1">
      <c r="A9" s="18" t="s">
        <v>49</v>
      </c>
      <c r="B9" s="18" t="s">
        <v>53</v>
      </c>
      <c r="C9" s="18">
        <v>34.0</v>
      </c>
      <c r="D9" s="24">
        <v>1.0</v>
      </c>
      <c r="E9" s="24" t="s">
        <v>41</v>
      </c>
      <c r="H9" s="18">
        <v>25.99</v>
      </c>
      <c r="I9" s="18">
        <v>1.17</v>
      </c>
      <c r="J9" s="24" t="s">
        <v>47</v>
      </c>
      <c r="K9" s="24" t="s">
        <v>48</v>
      </c>
      <c r="L9" s="18" t="str">
        <f t="shared" si="3"/>
        <v/>
      </c>
      <c r="M9" s="18"/>
    </row>
    <row r="10" ht="15.75" customHeight="1">
      <c r="A10" s="18" t="s">
        <v>49</v>
      </c>
      <c r="B10" s="18" t="s">
        <v>50</v>
      </c>
      <c r="C10" s="18">
        <v>36.0</v>
      </c>
      <c r="D10" s="24">
        <v>1.0</v>
      </c>
      <c r="E10" s="24" t="s">
        <v>41</v>
      </c>
      <c r="H10" s="18">
        <v>25.5</v>
      </c>
      <c r="I10" s="18"/>
      <c r="J10" s="24"/>
      <c r="K10" s="24"/>
      <c r="L10" s="18" t="str">
        <f t="shared" si="3"/>
        <v/>
      </c>
      <c r="M10" s="18"/>
    </row>
    <row r="11" ht="15.75" customHeight="1">
      <c r="A11" s="18" t="s">
        <v>49</v>
      </c>
      <c r="B11" s="18" t="s">
        <v>45</v>
      </c>
      <c r="C11" s="18">
        <v>34.0</v>
      </c>
      <c r="D11" s="24">
        <v>1.0</v>
      </c>
      <c r="E11" s="24" t="s">
        <v>41</v>
      </c>
      <c r="H11" s="18">
        <v>25.5</v>
      </c>
      <c r="I11" s="18"/>
      <c r="J11" s="24"/>
      <c r="K11" s="24"/>
      <c r="L11" s="18" t="str">
        <f t="shared" si="3"/>
        <v/>
      </c>
      <c r="M11" s="18"/>
    </row>
    <row r="12" ht="15.75" customHeight="1">
      <c r="A12" s="18" t="s">
        <v>54</v>
      </c>
      <c r="B12" s="18" t="s">
        <v>51</v>
      </c>
      <c r="C12" s="18">
        <v>32.0</v>
      </c>
      <c r="D12" s="24">
        <v>1.0</v>
      </c>
      <c r="E12" s="24" t="s">
        <v>41</v>
      </c>
      <c r="H12" s="18">
        <v>25.4</v>
      </c>
      <c r="I12" s="18">
        <v>2.22</v>
      </c>
      <c r="J12" s="24"/>
      <c r="K12" s="24"/>
      <c r="L12" s="18" t="str">
        <f t="shared" si="3"/>
        <v/>
      </c>
      <c r="M12" s="18"/>
    </row>
    <row r="13" ht="15.75" customHeight="1">
      <c r="A13" s="18" t="s">
        <v>54</v>
      </c>
      <c r="B13" s="18" t="s">
        <v>45</v>
      </c>
      <c r="C13" s="18">
        <v>34.0</v>
      </c>
      <c r="D13" s="24">
        <v>1.0</v>
      </c>
      <c r="E13" s="24" t="s">
        <v>41</v>
      </c>
      <c r="H13" s="18">
        <v>24.5</v>
      </c>
      <c r="I13" s="18"/>
      <c r="J13" s="24"/>
      <c r="K13" s="24"/>
      <c r="L13" s="18" t="str">
        <f t="shared" si="3"/>
        <v/>
      </c>
      <c r="M13" s="18"/>
    </row>
    <row r="14" ht="15.75" customHeight="1">
      <c r="A14" s="18" t="s">
        <v>55</v>
      </c>
      <c r="B14" s="18" t="s">
        <v>51</v>
      </c>
      <c r="C14" s="18">
        <v>32.0</v>
      </c>
      <c r="D14" s="24">
        <v>1.0</v>
      </c>
      <c r="E14" s="24" t="s">
        <v>41</v>
      </c>
      <c r="H14" s="18">
        <v>25.0</v>
      </c>
      <c r="I14" s="18"/>
      <c r="J14" s="24"/>
      <c r="K14" s="24"/>
      <c r="L14" s="18" t="str">
        <f t="shared" si="3"/>
        <v/>
      </c>
      <c r="M14" s="18"/>
    </row>
    <row r="15" ht="15.75" customHeight="1">
      <c r="A15" s="18" t="s">
        <v>55</v>
      </c>
      <c r="B15" s="18" t="s">
        <v>53</v>
      </c>
      <c r="C15" s="18">
        <v>32.0</v>
      </c>
      <c r="D15" s="24">
        <v>1.0</v>
      </c>
      <c r="E15" s="24" t="s">
        <v>41</v>
      </c>
      <c r="H15" s="18">
        <v>24.4</v>
      </c>
      <c r="I15" s="18"/>
      <c r="J15" s="24"/>
      <c r="K15" s="24"/>
      <c r="L15" s="18" t="str">
        <f t="shared" si="3"/>
        <v/>
      </c>
      <c r="M15" s="18"/>
    </row>
    <row r="16" ht="15.75" customHeight="1">
      <c r="A16" s="18" t="s">
        <v>55</v>
      </c>
      <c r="B16" s="18" t="s">
        <v>50</v>
      </c>
      <c r="C16" s="18">
        <v>34.0</v>
      </c>
      <c r="D16" s="24">
        <v>1.0</v>
      </c>
      <c r="E16" s="24" t="s">
        <v>41</v>
      </c>
      <c r="H16" s="18">
        <v>0.0</v>
      </c>
      <c r="I16" s="18">
        <v>1.23</v>
      </c>
      <c r="J16" s="24" t="s">
        <v>56</v>
      </c>
      <c r="K16" s="24"/>
      <c r="L16" s="18" t="str">
        <f t="shared" si="3"/>
        <v/>
      </c>
      <c r="M16" s="18"/>
    </row>
    <row r="17" ht="15.75" customHeight="1">
      <c r="A17" s="18" t="s">
        <v>55</v>
      </c>
      <c r="B17" s="18" t="s">
        <v>50</v>
      </c>
      <c r="C17" s="18">
        <v>36.0</v>
      </c>
      <c r="D17" s="24">
        <v>1.0</v>
      </c>
      <c r="E17" s="24" t="s">
        <v>41</v>
      </c>
      <c r="H17" s="18">
        <v>0.0</v>
      </c>
      <c r="I17" s="18"/>
      <c r="J17" s="24" t="s">
        <v>56</v>
      </c>
      <c r="K17" s="24"/>
      <c r="L17" s="18" t="str">
        <f t="shared" si="3"/>
        <v/>
      </c>
      <c r="M17" s="18"/>
    </row>
    <row r="18" ht="15.75" customHeight="1">
      <c r="A18" s="18" t="s">
        <v>58</v>
      </c>
      <c r="B18" s="18" t="s">
        <v>45</v>
      </c>
      <c r="C18" s="18">
        <v>32.0</v>
      </c>
      <c r="D18" s="24">
        <v>1.0</v>
      </c>
      <c r="E18" s="24" t="s">
        <v>41</v>
      </c>
      <c r="H18" s="18">
        <v>25.0</v>
      </c>
      <c r="I18" s="18">
        <v>1.23</v>
      </c>
      <c r="J18" s="24"/>
      <c r="K18" s="24"/>
      <c r="L18" s="18" t="str">
        <f t="shared" si="3"/>
        <v/>
      </c>
      <c r="M18" s="18"/>
    </row>
    <row r="19" ht="15.75" customHeight="1">
      <c r="A19" s="18" t="s">
        <v>58</v>
      </c>
      <c r="B19" s="18" t="s">
        <v>45</v>
      </c>
      <c r="C19" s="18">
        <v>36.0</v>
      </c>
      <c r="D19" s="24">
        <v>1.0</v>
      </c>
      <c r="E19" s="24" t="s">
        <v>41</v>
      </c>
      <c r="H19" s="18">
        <v>23.0</v>
      </c>
      <c r="I19" s="18"/>
      <c r="J19" s="24"/>
      <c r="K19" s="24"/>
      <c r="L19" s="18" t="str">
        <f t="shared" si="3"/>
        <v/>
      </c>
      <c r="M19" s="18"/>
    </row>
    <row r="20" ht="15.75" customHeight="1">
      <c r="A20" s="18" t="s">
        <v>58</v>
      </c>
      <c r="B20" s="18" t="s">
        <v>53</v>
      </c>
      <c r="C20" s="18">
        <v>36.0</v>
      </c>
      <c r="D20" s="24">
        <v>1.0</v>
      </c>
      <c r="E20" s="24" t="s">
        <v>41</v>
      </c>
      <c r="H20" s="18">
        <v>25.7</v>
      </c>
      <c r="I20" s="18"/>
      <c r="J20" s="24"/>
      <c r="K20" s="24"/>
      <c r="L20" s="18" t="str">
        <f t="shared" si="3"/>
        <v/>
      </c>
      <c r="M20" s="18"/>
    </row>
    <row r="21" ht="15.75" customHeight="1">
      <c r="A21" s="18" t="s">
        <v>58</v>
      </c>
      <c r="B21" s="18" t="s">
        <v>59</v>
      </c>
      <c r="C21" s="18">
        <v>34.0</v>
      </c>
      <c r="D21" s="24">
        <v>1.0</v>
      </c>
      <c r="E21" s="24" t="s">
        <v>41</v>
      </c>
      <c r="H21" s="18">
        <v>22.5</v>
      </c>
      <c r="I21" s="18"/>
      <c r="J21" s="24"/>
      <c r="K21" s="24"/>
      <c r="L21" s="18" t="str">
        <f t="shared" si="3"/>
        <v/>
      </c>
      <c r="M21" s="18"/>
    </row>
    <row r="22" ht="15.75" customHeight="1">
      <c r="A22" s="18" t="s">
        <v>58</v>
      </c>
      <c r="B22" s="18" t="s">
        <v>52</v>
      </c>
      <c r="C22" s="18">
        <v>32.0</v>
      </c>
      <c r="D22" s="24">
        <v>1.0</v>
      </c>
      <c r="E22" s="24" t="s">
        <v>41</v>
      </c>
      <c r="H22" s="18">
        <v>0.0</v>
      </c>
      <c r="I22" s="18"/>
      <c r="J22" s="24" t="s">
        <v>56</v>
      </c>
      <c r="K22" s="24"/>
      <c r="L22" s="18" t="str">
        <f t="shared" si="3"/>
        <v/>
      </c>
      <c r="M22" s="18"/>
    </row>
    <row r="23" ht="15.75" customHeight="1">
      <c r="A23" s="18" t="s">
        <v>58</v>
      </c>
      <c r="B23" s="18" t="s">
        <v>59</v>
      </c>
      <c r="C23" s="18">
        <v>32.0</v>
      </c>
      <c r="D23" s="24">
        <v>1.0</v>
      </c>
      <c r="E23" s="24" t="s">
        <v>41</v>
      </c>
      <c r="H23" s="18">
        <v>23.0</v>
      </c>
      <c r="I23" s="18">
        <v>2.19</v>
      </c>
      <c r="J23" s="24"/>
      <c r="K23" s="24"/>
      <c r="L23" s="18" t="str">
        <f t="shared" si="3"/>
        <v/>
      </c>
      <c r="M23" s="18"/>
    </row>
    <row r="24" ht="15.75" customHeight="1">
      <c r="A24" s="18" t="s">
        <v>60</v>
      </c>
      <c r="B24" s="18" t="s">
        <v>59</v>
      </c>
      <c r="C24" s="18">
        <v>34.0</v>
      </c>
      <c r="D24" s="24">
        <v>1.0</v>
      </c>
      <c r="E24" s="24" t="s">
        <v>41</v>
      </c>
      <c r="H24" s="18">
        <v>27.99</v>
      </c>
      <c r="I24" s="18"/>
      <c r="J24" s="24"/>
      <c r="K24" s="24"/>
      <c r="L24" s="18" t="str">
        <f t="shared" si="3"/>
        <v/>
      </c>
      <c r="M24" s="18"/>
    </row>
    <row r="25" ht="15.75" customHeight="1">
      <c r="A25" s="18" t="s">
        <v>60</v>
      </c>
      <c r="B25" s="18" t="s">
        <v>50</v>
      </c>
      <c r="C25" s="18">
        <v>32.0</v>
      </c>
      <c r="D25" s="24">
        <v>1.0</v>
      </c>
      <c r="E25" s="24" t="s">
        <v>41</v>
      </c>
      <c r="H25" s="18">
        <v>29.0</v>
      </c>
      <c r="I25" s="18">
        <v>1.23</v>
      </c>
      <c r="J25" s="24"/>
      <c r="K25" s="24"/>
      <c r="L25" s="18" t="str">
        <f t="shared" si="3"/>
        <v/>
      </c>
      <c r="M25" s="18"/>
    </row>
    <row r="26" ht="15.75" customHeight="1">
      <c r="A26" s="18" t="s">
        <v>60</v>
      </c>
      <c r="B26" s="18" t="s">
        <v>45</v>
      </c>
      <c r="C26" s="18">
        <v>34.0</v>
      </c>
      <c r="D26" s="24">
        <v>1.0</v>
      </c>
      <c r="E26" s="24" t="s">
        <v>41</v>
      </c>
      <c r="H26" s="18">
        <v>26.1</v>
      </c>
      <c r="I26" s="18"/>
      <c r="J26" s="24"/>
      <c r="K26" s="24"/>
      <c r="L26" s="18" t="str">
        <f t="shared" si="3"/>
        <v/>
      </c>
      <c r="M26" s="18"/>
    </row>
    <row r="27" ht="15.75" customHeight="1">
      <c r="A27" s="18" t="s">
        <v>60</v>
      </c>
      <c r="B27" s="18" t="s">
        <v>52</v>
      </c>
      <c r="C27" s="18">
        <v>36.0</v>
      </c>
      <c r="D27" s="24">
        <v>1.0</v>
      </c>
      <c r="E27" s="24" t="s">
        <v>41</v>
      </c>
      <c r="H27" s="18">
        <v>0.0</v>
      </c>
      <c r="I27" s="18"/>
      <c r="J27" s="24" t="s">
        <v>56</v>
      </c>
      <c r="K27" s="24"/>
      <c r="L27" s="18" t="str">
        <f t="shared" si="3"/>
        <v/>
      </c>
      <c r="M27" s="18"/>
    </row>
    <row r="28" ht="15.75" customHeight="1">
      <c r="A28" s="18" t="s">
        <v>60</v>
      </c>
      <c r="B28" s="18" t="s">
        <v>50</v>
      </c>
      <c r="C28" s="18">
        <v>32.0</v>
      </c>
      <c r="D28" s="24">
        <v>1.0</v>
      </c>
      <c r="E28" s="24" t="s">
        <v>41</v>
      </c>
      <c r="H28" s="18">
        <v>25.0</v>
      </c>
      <c r="I28" s="18"/>
      <c r="J28" s="24"/>
      <c r="K28" s="24"/>
      <c r="L28" s="18" t="str">
        <f t="shared" si="3"/>
        <v/>
      </c>
      <c r="M28" s="18"/>
    </row>
    <row r="29" ht="15.75" customHeight="1">
      <c r="A29" s="18" t="s">
        <v>60</v>
      </c>
      <c r="B29" s="18" t="s">
        <v>59</v>
      </c>
      <c r="C29" s="18">
        <v>36.0</v>
      </c>
      <c r="D29" s="24">
        <v>1.0</v>
      </c>
      <c r="E29" s="24" t="s">
        <v>41</v>
      </c>
      <c r="H29" s="18">
        <v>24.8</v>
      </c>
      <c r="I29" s="18"/>
      <c r="J29" s="24"/>
      <c r="K29" s="24"/>
      <c r="L29" s="18" t="str">
        <f t="shared" si="3"/>
        <v/>
      </c>
      <c r="M29" s="18"/>
    </row>
    <row r="30" ht="15.75" customHeight="1">
      <c r="A30" s="18" t="s">
        <v>60</v>
      </c>
      <c r="B30" s="18" t="s">
        <v>51</v>
      </c>
      <c r="C30" s="18">
        <v>36.0</v>
      </c>
      <c r="D30" s="24">
        <v>1.0</v>
      </c>
      <c r="E30" s="24" t="s">
        <v>41</v>
      </c>
      <c r="H30" s="18">
        <v>29.0</v>
      </c>
      <c r="I30" s="18"/>
      <c r="J30" s="24"/>
      <c r="K30" s="24"/>
      <c r="L30" s="18" t="str">
        <f t="shared" si="3"/>
        <v/>
      </c>
      <c r="M30" s="18"/>
    </row>
    <row r="31" ht="15.75" customHeight="1">
      <c r="A31" s="18" t="s">
        <v>61</v>
      </c>
      <c r="B31" s="18" t="s">
        <v>45</v>
      </c>
      <c r="C31" s="18">
        <v>34.0</v>
      </c>
      <c r="D31" s="24">
        <v>1.0</v>
      </c>
      <c r="E31" s="24" t="s">
        <v>41</v>
      </c>
      <c r="H31" s="18">
        <v>24.0</v>
      </c>
      <c r="I31" s="18"/>
      <c r="J31" s="24"/>
      <c r="K31" s="24"/>
      <c r="L31" s="18" t="str">
        <f t="shared" si="3"/>
        <v/>
      </c>
      <c r="M31" s="18"/>
    </row>
    <row r="32" ht="15.75" customHeight="1">
      <c r="A32" s="18" t="s">
        <v>61</v>
      </c>
      <c r="B32" s="18" t="s">
        <v>59</v>
      </c>
      <c r="C32" s="18">
        <v>36.0</v>
      </c>
      <c r="D32" s="24">
        <v>1.0</v>
      </c>
      <c r="E32" s="24" t="s">
        <v>41</v>
      </c>
      <c r="H32" s="18">
        <v>25.0</v>
      </c>
      <c r="I32" s="18"/>
      <c r="J32" s="24"/>
      <c r="K32" s="24"/>
      <c r="L32" s="18"/>
      <c r="M32" s="18"/>
    </row>
    <row r="33" ht="15.75" customHeight="1">
      <c r="A33" s="18" t="s">
        <v>61</v>
      </c>
      <c r="B33" s="18" t="s">
        <v>59</v>
      </c>
      <c r="C33" s="18">
        <v>36.0</v>
      </c>
      <c r="D33" s="24">
        <v>1.0</v>
      </c>
      <c r="E33" s="24" t="s">
        <v>41</v>
      </c>
      <c r="H33" s="18">
        <v>24.0</v>
      </c>
      <c r="I33" s="18">
        <v>1.17</v>
      </c>
      <c r="J33" s="24"/>
      <c r="K33" s="24"/>
      <c r="L33" s="18" t="str">
        <f t="shared" ref="L33:L48" si="4">IF(K33="Processed", H33, "")</f>
        <v/>
      </c>
      <c r="M33" s="18"/>
    </row>
    <row r="34" ht="15.75" customHeight="1">
      <c r="A34" s="18" t="s">
        <v>62</v>
      </c>
      <c r="B34" s="18" t="s">
        <v>50</v>
      </c>
      <c r="C34" s="18">
        <v>34.0</v>
      </c>
      <c r="D34" s="24">
        <v>1.0</v>
      </c>
      <c r="E34" s="24" t="s">
        <v>41</v>
      </c>
      <c r="H34" s="18">
        <v>29.0</v>
      </c>
      <c r="I34" s="18"/>
      <c r="J34" s="24"/>
      <c r="K34" s="24"/>
      <c r="L34" s="18" t="str">
        <f t="shared" si="4"/>
        <v/>
      </c>
      <c r="M34" s="18"/>
    </row>
    <row r="35" ht="15.75" customHeight="1">
      <c r="A35" s="18" t="s">
        <v>62</v>
      </c>
      <c r="B35" s="18" t="s">
        <v>51</v>
      </c>
      <c r="C35" s="18">
        <v>36.0</v>
      </c>
      <c r="D35" s="24">
        <v>1.0</v>
      </c>
      <c r="E35" s="24" t="s">
        <v>40</v>
      </c>
      <c r="H35" s="18">
        <v>22.0</v>
      </c>
      <c r="I35" s="18">
        <v>1.23</v>
      </c>
      <c r="J35" s="24"/>
      <c r="K35" s="24"/>
      <c r="L35" s="18" t="str">
        <f t="shared" si="4"/>
        <v/>
      </c>
      <c r="M35" s="18"/>
    </row>
    <row r="36" ht="15.75" customHeight="1">
      <c r="A36" s="18" t="s">
        <v>62</v>
      </c>
      <c r="B36" s="18" t="s">
        <v>52</v>
      </c>
      <c r="C36" s="18">
        <v>34.0</v>
      </c>
      <c r="D36" s="24">
        <v>1.0</v>
      </c>
      <c r="E36" s="24" t="s">
        <v>41</v>
      </c>
      <c r="H36" s="18">
        <v>25.0</v>
      </c>
      <c r="I36" s="18"/>
      <c r="J36" s="24"/>
      <c r="K36" s="24"/>
      <c r="L36" s="18" t="str">
        <f t="shared" si="4"/>
        <v/>
      </c>
      <c r="M36" s="18"/>
    </row>
    <row r="37" ht="15.75" customHeight="1">
      <c r="A37" s="18" t="s">
        <v>62</v>
      </c>
      <c r="B37" s="18" t="s">
        <v>45</v>
      </c>
      <c r="C37" s="18">
        <v>32.0</v>
      </c>
      <c r="D37" s="24">
        <v>1.0</v>
      </c>
      <c r="E37" s="24" t="s">
        <v>41</v>
      </c>
      <c r="H37" s="18">
        <v>25.0</v>
      </c>
      <c r="I37" s="18"/>
      <c r="J37" s="24"/>
      <c r="K37" s="24"/>
      <c r="L37" s="18" t="str">
        <f t="shared" si="4"/>
        <v/>
      </c>
      <c r="M37" s="18"/>
    </row>
    <row r="38" ht="15.75" customHeight="1">
      <c r="A38" s="18" t="s">
        <v>64</v>
      </c>
      <c r="B38" s="18" t="s">
        <v>45</v>
      </c>
      <c r="C38" s="18">
        <v>34.0</v>
      </c>
      <c r="D38" s="24">
        <v>1.0</v>
      </c>
      <c r="E38" s="24" t="s">
        <v>39</v>
      </c>
      <c r="H38" s="18">
        <v>26.0</v>
      </c>
      <c r="I38" s="18"/>
      <c r="J38" s="24"/>
      <c r="K38" s="24"/>
      <c r="L38" s="18" t="str">
        <f t="shared" si="4"/>
        <v/>
      </c>
      <c r="M38" s="18"/>
    </row>
    <row r="39" ht="15.75" customHeight="1">
      <c r="A39" s="18" t="s">
        <v>65</v>
      </c>
      <c r="B39" s="18" t="s">
        <v>51</v>
      </c>
      <c r="C39" s="18">
        <v>34.0</v>
      </c>
      <c r="D39" s="24">
        <v>1.0</v>
      </c>
      <c r="E39" s="24" t="s">
        <v>39</v>
      </c>
      <c r="H39" s="18">
        <v>29.0</v>
      </c>
      <c r="I39" s="18"/>
      <c r="J39" s="24"/>
      <c r="K39" s="24"/>
      <c r="L39" s="18" t="str">
        <f t="shared" si="4"/>
        <v/>
      </c>
      <c r="M39" s="18"/>
    </row>
    <row r="40" ht="15.75" customHeight="1">
      <c r="A40" s="18" t="s">
        <v>66</v>
      </c>
      <c r="B40" s="18" t="s">
        <v>52</v>
      </c>
      <c r="C40" s="18">
        <v>34.0</v>
      </c>
      <c r="D40" s="24">
        <v>1.0</v>
      </c>
      <c r="E40" s="24" t="s">
        <v>39</v>
      </c>
      <c r="H40" s="18">
        <v>29.0</v>
      </c>
      <c r="I40" s="18"/>
      <c r="J40" s="24"/>
      <c r="K40" s="24"/>
      <c r="L40" s="18" t="str">
        <f t="shared" si="4"/>
        <v/>
      </c>
      <c r="M40" s="18"/>
    </row>
    <row r="41" ht="15.75" customHeight="1">
      <c r="A41" s="18" t="s">
        <v>67</v>
      </c>
      <c r="B41" s="18" t="s">
        <v>52</v>
      </c>
      <c r="C41" s="18">
        <v>34.0</v>
      </c>
      <c r="D41" s="24">
        <v>1.0</v>
      </c>
      <c r="E41" s="24" t="s">
        <v>39</v>
      </c>
      <c r="H41" s="18">
        <v>0.0</v>
      </c>
      <c r="I41" s="18"/>
      <c r="J41" s="24" t="s">
        <v>56</v>
      </c>
      <c r="K41" s="24"/>
      <c r="L41" s="18" t="str">
        <f t="shared" si="4"/>
        <v/>
      </c>
      <c r="M41" s="18"/>
    </row>
    <row r="42" ht="15.75" customHeight="1">
      <c r="A42" s="18" t="s">
        <v>68</v>
      </c>
      <c r="B42" s="18" t="s">
        <v>51</v>
      </c>
      <c r="C42" s="18">
        <v>34.0</v>
      </c>
      <c r="D42" s="24">
        <v>1.0</v>
      </c>
      <c r="E42" s="24" t="s">
        <v>39</v>
      </c>
      <c r="H42" s="18">
        <v>25.0</v>
      </c>
      <c r="I42" s="18"/>
      <c r="J42" s="24"/>
      <c r="K42" s="24"/>
      <c r="L42" s="18" t="str">
        <f t="shared" si="4"/>
        <v/>
      </c>
      <c r="M42" s="18"/>
    </row>
    <row r="43" ht="15.75" customHeight="1">
      <c r="A43" s="18" t="s">
        <v>68</v>
      </c>
      <c r="B43" s="18" t="s">
        <v>51</v>
      </c>
      <c r="C43" s="18">
        <v>34.0</v>
      </c>
      <c r="D43" s="24">
        <v>1.0</v>
      </c>
      <c r="E43" s="24" t="s">
        <v>39</v>
      </c>
      <c r="H43" s="18">
        <v>25.0</v>
      </c>
      <c r="I43" s="18"/>
      <c r="J43" s="24"/>
      <c r="K43" s="24"/>
      <c r="L43" s="18" t="str">
        <f t="shared" si="4"/>
        <v/>
      </c>
      <c r="M43" s="18"/>
    </row>
    <row r="44" ht="15.75" customHeight="1">
      <c r="A44" s="18" t="s">
        <v>68</v>
      </c>
      <c r="B44" s="18" t="s">
        <v>51</v>
      </c>
      <c r="C44" s="18">
        <v>34.0</v>
      </c>
      <c r="D44" s="24">
        <v>1.0</v>
      </c>
      <c r="E44" s="24" t="s">
        <v>39</v>
      </c>
      <c r="H44" s="18">
        <v>25.0</v>
      </c>
      <c r="I44" s="18"/>
      <c r="J44" s="24"/>
      <c r="K44" s="24"/>
      <c r="L44" s="18" t="str">
        <f t="shared" si="4"/>
        <v/>
      </c>
      <c r="M44" s="18"/>
    </row>
    <row r="45" ht="15.75" customHeight="1">
      <c r="A45" s="18" t="s">
        <v>70</v>
      </c>
      <c r="B45" s="18" t="s">
        <v>52</v>
      </c>
      <c r="C45" s="18">
        <v>34.0</v>
      </c>
      <c r="D45" s="24">
        <v>1.0</v>
      </c>
      <c r="E45" s="24" t="s">
        <v>39</v>
      </c>
      <c r="H45" s="18">
        <v>26.0</v>
      </c>
      <c r="I45" s="18">
        <v>1.23</v>
      </c>
      <c r="J45" s="24"/>
      <c r="K45" s="24"/>
      <c r="L45" s="18" t="str">
        <f t="shared" si="4"/>
        <v/>
      </c>
      <c r="M45" s="18"/>
    </row>
    <row r="46" ht="15.75" customHeight="1">
      <c r="A46" s="18" t="s">
        <v>70</v>
      </c>
      <c r="B46" s="18" t="s">
        <v>51</v>
      </c>
      <c r="C46" s="18">
        <v>36.0</v>
      </c>
      <c r="D46" s="24">
        <v>1.0</v>
      </c>
      <c r="E46" s="24" t="s">
        <v>39</v>
      </c>
      <c r="H46" s="18">
        <v>24.0</v>
      </c>
      <c r="I46" s="18"/>
      <c r="J46" s="24"/>
      <c r="K46" s="24"/>
      <c r="L46" s="18" t="str">
        <f t="shared" si="4"/>
        <v/>
      </c>
      <c r="M46" s="18"/>
    </row>
    <row r="47" ht="15.75" customHeight="1">
      <c r="A47" s="18" t="s">
        <v>70</v>
      </c>
      <c r="B47" s="18" t="s">
        <v>59</v>
      </c>
      <c r="C47" s="18">
        <v>32.0</v>
      </c>
      <c r="D47" s="24">
        <v>1.0</v>
      </c>
      <c r="E47" s="24" t="s">
        <v>42</v>
      </c>
      <c r="H47" s="18">
        <v>29.0</v>
      </c>
      <c r="I47" s="18">
        <v>1.11</v>
      </c>
      <c r="J47" s="24"/>
      <c r="K47" s="24"/>
      <c r="L47" s="18" t="str">
        <f t="shared" si="4"/>
        <v/>
      </c>
      <c r="M47" s="18"/>
    </row>
    <row r="48" ht="15.75" customHeight="1">
      <c r="A48" s="18" t="s">
        <v>70</v>
      </c>
      <c r="B48" s="18" t="s">
        <v>59</v>
      </c>
      <c r="C48" s="18">
        <v>34.0</v>
      </c>
      <c r="D48" s="24">
        <v>1.0</v>
      </c>
      <c r="E48" s="24" t="s">
        <v>39</v>
      </c>
      <c r="H48" s="18">
        <v>24.0</v>
      </c>
      <c r="I48" s="18">
        <v>1.17</v>
      </c>
      <c r="J48" s="24"/>
      <c r="K48" s="24"/>
      <c r="L48" s="18" t="str">
        <f t="shared" si="4"/>
        <v/>
      </c>
      <c r="M48" s="18"/>
    </row>
    <row r="49" ht="15.75" customHeight="1">
      <c r="A49" s="18" t="s">
        <v>70</v>
      </c>
      <c r="B49" s="18" t="s">
        <v>59</v>
      </c>
      <c r="C49" s="18">
        <v>32.0</v>
      </c>
      <c r="D49" s="24">
        <v>1.0</v>
      </c>
      <c r="E49" s="24" t="s">
        <v>39</v>
      </c>
      <c r="H49" s="18">
        <v>24.0</v>
      </c>
      <c r="I49" s="18">
        <v>1.17</v>
      </c>
      <c r="J49" s="24"/>
      <c r="K49" s="24"/>
      <c r="L49" s="18" t="str">
        <f>IF(K49="Processed",#REF!, "")</f>
        <v/>
      </c>
      <c r="M49" s="18"/>
    </row>
    <row r="50" ht="15.75" customHeight="1">
      <c r="A50" s="18" t="s">
        <v>70</v>
      </c>
      <c r="B50" s="18" t="s">
        <v>52</v>
      </c>
      <c r="C50" s="18">
        <v>32.0</v>
      </c>
      <c r="D50" s="24">
        <v>1.0</v>
      </c>
      <c r="E50" s="24" t="s">
        <v>39</v>
      </c>
      <c r="H50" s="18">
        <v>25.0</v>
      </c>
      <c r="I50" s="18"/>
      <c r="J50" s="24"/>
      <c r="K50" s="24"/>
      <c r="L50" s="18" t="str">
        <f t="shared" ref="L50:L61" si="5">IF(K50="Processed", H50, "")</f>
        <v/>
      </c>
      <c r="M50" s="18"/>
    </row>
    <row r="51" ht="15.75" customHeight="1">
      <c r="A51" s="18" t="s">
        <v>70</v>
      </c>
      <c r="B51" s="18" t="s">
        <v>59</v>
      </c>
      <c r="C51" s="18">
        <v>34.0</v>
      </c>
      <c r="D51" s="24">
        <v>1.0</v>
      </c>
      <c r="E51" s="24" t="s">
        <v>39</v>
      </c>
      <c r="H51" s="18">
        <v>25.0</v>
      </c>
      <c r="I51" s="18"/>
      <c r="J51" s="24"/>
      <c r="K51" s="24"/>
      <c r="L51" s="18" t="str">
        <f t="shared" si="5"/>
        <v/>
      </c>
      <c r="M51" s="18"/>
    </row>
    <row r="52" ht="15.75" customHeight="1">
      <c r="A52" s="18" t="s">
        <v>70</v>
      </c>
      <c r="B52" s="18" t="s">
        <v>51</v>
      </c>
      <c r="C52" s="18">
        <v>32.0</v>
      </c>
      <c r="D52" s="24">
        <v>1.0</v>
      </c>
      <c r="E52" s="24" t="s">
        <v>42</v>
      </c>
      <c r="H52" s="18">
        <v>27.0</v>
      </c>
      <c r="I52" s="18">
        <v>1.11</v>
      </c>
      <c r="J52" s="24"/>
      <c r="K52" s="24"/>
      <c r="L52" s="18" t="str">
        <f t="shared" si="5"/>
        <v/>
      </c>
      <c r="M52" s="18"/>
    </row>
    <row r="53" ht="15.75" customHeight="1">
      <c r="A53" s="18" t="s">
        <v>72</v>
      </c>
      <c r="B53" s="18" t="s">
        <v>52</v>
      </c>
      <c r="C53" s="18">
        <v>32.0</v>
      </c>
      <c r="D53" s="24">
        <v>1.0</v>
      </c>
      <c r="E53" s="24" t="s">
        <v>39</v>
      </c>
      <c r="H53" s="18">
        <v>22.0</v>
      </c>
      <c r="I53" s="18"/>
      <c r="J53" s="24"/>
      <c r="K53" s="24"/>
      <c r="L53" s="18" t="str">
        <f t="shared" si="5"/>
        <v/>
      </c>
      <c r="M53" s="18"/>
    </row>
    <row r="54" ht="15.75" customHeight="1">
      <c r="A54" s="18" t="s">
        <v>72</v>
      </c>
      <c r="B54" s="18" t="s">
        <v>52</v>
      </c>
      <c r="C54" s="18">
        <v>32.0</v>
      </c>
      <c r="D54" s="24">
        <v>1.0</v>
      </c>
      <c r="E54" s="24" t="s">
        <v>39</v>
      </c>
      <c r="H54" s="18">
        <v>20.0</v>
      </c>
      <c r="I54" s="18">
        <v>1.11</v>
      </c>
      <c r="J54" s="24"/>
      <c r="K54" s="24"/>
      <c r="L54" s="18" t="str">
        <f t="shared" si="5"/>
        <v/>
      </c>
      <c r="M54" s="18"/>
    </row>
    <row r="55" ht="15.75" customHeight="1">
      <c r="A55" s="18" t="s">
        <v>72</v>
      </c>
      <c r="B55" s="18" t="s">
        <v>51</v>
      </c>
      <c r="C55" s="18">
        <v>32.0</v>
      </c>
      <c r="D55" s="24">
        <v>1.0</v>
      </c>
      <c r="E55" s="24" t="s">
        <v>39</v>
      </c>
      <c r="H55" s="18">
        <v>20.0</v>
      </c>
      <c r="I55" s="18"/>
      <c r="J55" s="24"/>
      <c r="K55" s="24"/>
      <c r="L55" s="18" t="str">
        <f t="shared" si="5"/>
        <v/>
      </c>
      <c r="M55" s="18"/>
    </row>
    <row r="56" ht="15.75" customHeight="1">
      <c r="A56" s="18" t="s">
        <v>72</v>
      </c>
      <c r="B56" s="18" t="s">
        <v>51</v>
      </c>
      <c r="C56" s="18">
        <v>36.0</v>
      </c>
      <c r="D56" s="24">
        <v>1.0</v>
      </c>
      <c r="E56" s="24" t="s">
        <v>39</v>
      </c>
      <c r="H56" s="18">
        <v>22.5</v>
      </c>
      <c r="I56" s="18">
        <v>1.11</v>
      </c>
      <c r="J56" s="24"/>
      <c r="K56" s="24"/>
      <c r="L56" s="18" t="str">
        <f t="shared" si="5"/>
        <v/>
      </c>
      <c r="M56" s="18"/>
    </row>
    <row r="57" ht="15.75" customHeight="1">
      <c r="A57" s="18" t="s">
        <v>72</v>
      </c>
      <c r="B57" s="18" t="s">
        <v>50</v>
      </c>
      <c r="C57" s="18">
        <v>32.0</v>
      </c>
      <c r="D57" s="24">
        <v>1.0</v>
      </c>
      <c r="E57" s="24" t="s">
        <v>39</v>
      </c>
      <c r="H57" s="18">
        <v>26.0</v>
      </c>
      <c r="I57" s="18"/>
      <c r="J57" s="24"/>
      <c r="K57" s="24"/>
      <c r="L57" s="18" t="str">
        <f t="shared" si="5"/>
        <v/>
      </c>
      <c r="M57" s="18"/>
    </row>
    <row r="58" ht="15.75" customHeight="1">
      <c r="A58" s="18" t="s">
        <v>72</v>
      </c>
      <c r="B58" s="18" t="s">
        <v>45</v>
      </c>
      <c r="C58" s="18">
        <v>36.0</v>
      </c>
      <c r="D58" s="24">
        <v>1.0</v>
      </c>
      <c r="E58" s="24" t="s">
        <v>39</v>
      </c>
      <c r="H58" s="18">
        <v>26.0</v>
      </c>
      <c r="I58" s="18"/>
      <c r="J58" s="24"/>
      <c r="K58" s="24"/>
      <c r="L58" s="18" t="str">
        <f t="shared" si="5"/>
        <v/>
      </c>
      <c r="M58" s="18"/>
    </row>
    <row r="59" ht="15.75" customHeight="1">
      <c r="A59" s="18" t="s">
        <v>73</v>
      </c>
      <c r="B59" s="18" t="s">
        <v>52</v>
      </c>
      <c r="C59" s="18">
        <v>32.0</v>
      </c>
      <c r="D59" s="24">
        <v>1.0</v>
      </c>
      <c r="E59" s="24" t="s">
        <v>39</v>
      </c>
      <c r="H59" s="18">
        <v>21.5</v>
      </c>
      <c r="I59" s="18"/>
      <c r="J59" s="24"/>
      <c r="K59" s="24"/>
      <c r="L59" s="18" t="str">
        <f t="shared" si="5"/>
        <v/>
      </c>
      <c r="M59" s="18"/>
    </row>
    <row r="60" ht="15.75" customHeight="1">
      <c r="A60" s="18" t="s">
        <v>73</v>
      </c>
      <c r="B60" s="18" t="s">
        <v>52</v>
      </c>
      <c r="C60" s="18">
        <v>32.0</v>
      </c>
      <c r="D60" s="24">
        <v>1.0</v>
      </c>
      <c r="E60" s="24" t="s">
        <v>39</v>
      </c>
      <c r="H60" s="18">
        <v>21.5</v>
      </c>
      <c r="I60" s="18"/>
      <c r="J60" s="24"/>
      <c r="K60" s="24"/>
      <c r="L60" s="18" t="str">
        <f t="shared" si="5"/>
        <v/>
      </c>
      <c r="M60" s="18"/>
    </row>
    <row r="61" ht="15.75" customHeight="1">
      <c r="A61" s="18" t="s">
        <v>72</v>
      </c>
      <c r="B61" s="18" t="s">
        <v>51</v>
      </c>
      <c r="C61" s="18">
        <v>36.0</v>
      </c>
      <c r="D61" s="24">
        <v>1.0</v>
      </c>
      <c r="E61" s="24" t="s">
        <v>39</v>
      </c>
      <c r="H61" s="18">
        <v>22.5</v>
      </c>
      <c r="I61" s="18">
        <v>1.13</v>
      </c>
      <c r="J61" s="24"/>
      <c r="K61" s="24"/>
      <c r="L61" s="18" t="str">
        <f t="shared" si="5"/>
        <v/>
      </c>
      <c r="M61" s="18"/>
    </row>
    <row r="62" ht="15.75" customHeight="1">
      <c r="A62" s="82" t="s">
        <v>74</v>
      </c>
      <c r="B62" s="83"/>
      <c r="C62" s="83"/>
      <c r="D62" s="83"/>
      <c r="E62" s="83"/>
      <c r="F62" s="83"/>
      <c r="G62" s="83"/>
      <c r="H62" s="83"/>
      <c r="I62" s="83"/>
      <c r="J62" s="83"/>
      <c r="K62" s="85"/>
      <c r="L62" s="85"/>
      <c r="M62" s="18"/>
    </row>
    <row r="63" ht="15.75" customHeight="1">
      <c r="A63" s="87">
        <v>45727.0</v>
      </c>
      <c r="B63" s="18" t="s">
        <v>50</v>
      </c>
      <c r="C63" s="18">
        <v>36.0</v>
      </c>
      <c r="D63" s="24">
        <v>1.0</v>
      </c>
      <c r="E63" s="24" t="s">
        <v>39</v>
      </c>
      <c r="H63" s="18">
        <v>26.1</v>
      </c>
      <c r="I63" s="18"/>
      <c r="J63" s="24"/>
      <c r="K63" s="24"/>
      <c r="L63" s="18" t="str">
        <f t="shared" ref="L63:L118" si="6">IF(K63="Processed", H63, "")</f>
        <v/>
      </c>
      <c r="M63" s="18"/>
    </row>
    <row r="64" ht="15.75" customHeight="1">
      <c r="A64" s="87">
        <v>45727.0</v>
      </c>
      <c r="B64" s="18" t="s">
        <v>53</v>
      </c>
      <c r="C64" s="18">
        <v>34.0</v>
      </c>
      <c r="D64" s="24">
        <v>1.0</v>
      </c>
      <c r="E64" s="24" t="s">
        <v>39</v>
      </c>
      <c r="G64" s="24" t="s">
        <v>76</v>
      </c>
      <c r="H64" s="18">
        <v>27.0</v>
      </c>
      <c r="I64" s="18"/>
      <c r="J64" s="24"/>
      <c r="K64" s="24" t="s">
        <v>48</v>
      </c>
      <c r="L64" s="18" t="str">
        <f t="shared" si="6"/>
        <v/>
      </c>
      <c r="M64" s="18"/>
    </row>
    <row r="65" ht="15.75" customHeight="1">
      <c r="A65" s="87">
        <v>45727.0</v>
      </c>
      <c r="B65" s="18" t="s">
        <v>53</v>
      </c>
      <c r="C65" s="18">
        <v>32.0</v>
      </c>
      <c r="D65" s="24">
        <v>1.0</v>
      </c>
      <c r="E65" s="24" t="s">
        <v>42</v>
      </c>
      <c r="H65" s="18">
        <v>25.0</v>
      </c>
      <c r="I65" s="18"/>
      <c r="J65" s="24"/>
      <c r="K65" s="24"/>
      <c r="L65" s="18" t="str">
        <f t="shared" si="6"/>
        <v/>
      </c>
      <c r="M65" s="18"/>
    </row>
    <row r="66" ht="15.75" customHeight="1">
      <c r="A66" s="87">
        <v>45727.0</v>
      </c>
      <c r="B66" s="18" t="s">
        <v>50</v>
      </c>
      <c r="C66" s="18">
        <v>36.0</v>
      </c>
      <c r="D66" s="24">
        <v>1.0</v>
      </c>
      <c r="E66" s="24" t="s">
        <v>40</v>
      </c>
      <c r="H66" s="18">
        <v>29.0</v>
      </c>
      <c r="I66" s="18">
        <v>1.23</v>
      </c>
      <c r="J66" s="24"/>
      <c r="K66" s="24"/>
      <c r="L66" s="18" t="str">
        <f t="shared" si="6"/>
        <v/>
      </c>
      <c r="M66" s="18"/>
    </row>
    <row r="67" ht="15.75" customHeight="1">
      <c r="A67" s="87">
        <v>45758.0</v>
      </c>
      <c r="B67" s="18" t="s">
        <v>53</v>
      </c>
      <c r="C67" s="18">
        <v>34.0</v>
      </c>
      <c r="D67" s="24">
        <v>1.0</v>
      </c>
      <c r="E67" s="24" t="s">
        <v>40</v>
      </c>
      <c r="H67" s="18">
        <v>25.0</v>
      </c>
      <c r="I67" s="18">
        <v>1.23</v>
      </c>
      <c r="J67" s="24"/>
      <c r="K67" s="24"/>
      <c r="L67" s="18" t="str">
        <f t="shared" si="6"/>
        <v/>
      </c>
      <c r="M67" s="18"/>
    </row>
    <row r="68" ht="15.75" customHeight="1">
      <c r="A68" s="87">
        <v>45758.0</v>
      </c>
      <c r="B68" s="18" t="s">
        <v>50</v>
      </c>
      <c r="C68" s="18">
        <v>32.0</v>
      </c>
      <c r="D68" s="24">
        <v>1.0</v>
      </c>
      <c r="E68" s="24" t="s">
        <v>40</v>
      </c>
      <c r="G68" s="24" t="s">
        <v>77</v>
      </c>
      <c r="H68" s="18">
        <v>25.0</v>
      </c>
      <c r="I68" s="18"/>
      <c r="J68" s="24"/>
      <c r="K68" s="24" t="s">
        <v>48</v>
      </c>
      <c r="L68" s="18" t="str">
        <f t="shared" si="6"/>
        <v/>
      </c>
      <c r="M68" s="18"/>
    </row>
    <row r="69" ht="15.75" customHeight="1">
      <c r="A69" s="87">
        <v>45758.0</v>
      </c>
      <c r="B69" s="18" t="s">
        <v>50</v>
      </c>
      <c r="C69" s="18">
        <v>34.0</v>
      </c>
      <c r="D69" s="24">
        <v>1.0</v>
      </c>
      <c r="E69" s="24" t="s">
        <v>39</v>
      </c>
      <c r="G69" s="24" t="s">
        <v>78</v>
      </c>
      <c r="H69" s="18">
        <v>25.0</v>
      </c>
      <c r="I69" s="18"/>
      <c r="J69" s="24"/>
      <c r="K69" s="24" t="s">
        <v>48</v>
      </c>
      <c r="L69" s="18" t="str">
        <f t="shared" si="6"/>
        <v/>
      </c>
      <c r="M69" s="18"/>
    </row>
    <row r="70" ht="15.75" customHeight="1">
      <c r="A70" s="87">
        <v>45758.0</v>
      </c>
      <c r="B70" s="18" t="s">
        <v>53</v>
      </c>
      <c r="C70" s="18">
        <v>36.0</v>
      </c>
      <c r="D70" s="24">
        <v>1.0</v>
      </c>
      <c r="E70" s="24" t="s">
        <v>42</v>
      </c>
      <c r="H70" s="18">
        <v>25.0</v>
      </c>
      <c r="I70" s="18">
        <v>1.23</v>
      </c>
      <c r="J70" s="24"/>
      <c r="K70" s="24"/>
      <c r="L70" s="18" t="str">
        <f t="shared" si="6"/>
        <v/>
      </c>
      <c r="M70" s="18"/>
    </row>
    <row r="71" ht="15.75" customHeight="1">
      <c r="A71" s="87">
        <v>45668.0</v>
      </c>
      <c r="B71" s="18" t="s">
        <v>50</v>
      </c>
      <c r="C71" s="18">
        <v>32.0</v>
      </c>
      <c r="D71" s="24">
        <v>1.0</v>
      </c>
      <c r="E71" s="24" t="s">
        <v>39</v>
      </c>
      <c r="H71" s="18">
        <v>28.0</v>
      </c>
      <c r="I71" s="18">
        <v>1.01</v>
      </c>
      <c r="J71" s="24"/>
      <c r="K71" s="24"/>
      <c r="L71" s="18" t="str">
        <f t="shared" si="6"/>
        <v/>
      </c>
      <c r="M71" s="18"/>
    </row>
    <row r="72" ht="15.75" customHeight="1">
      <c r="A72" s="87">
        <v>45758.0</v>
      </c>
      <c r="B72" s="18" t="s">
        <v>53</v>
      </c>
      <c r="C72" s="18">
        <v>34.0</v>
      </c>
      <c r="D72" s="24">
        <v>1.0</v>
      </c>
      <c r="E72" s="24" t="s">
        <v>42</v>
      </c>
      <c r="H72" s="18">
        <v>22.5</v>
      </c>
      <c r="I72" s="18"/>
      <c r="J72" s="24"/>
      <c r="K72" s="24"/>
      <c r="L72" s="18" t="str">
        <f t="shared" si="6"/>
        <v/>
      </c>
      <c r="M72" s="18"/>
    </row>
    <row r="73" ht="15.75" customHeight="1">
      <c r="A73" s="87">
        <v>45758.0</v>
      </c>
      <c r="B73" s="18" t="s">
        <v>50</v>
      </c>
      <c r="C73" s="18">
        <v>34.0</v>
      </c>
      <c r="D73" s="24">
        <v>1.0</v>
      </c>
      <c r="E73" s="24" t="s">
        <v>40</v>
      </c>
      <c r="H73" s="18">
        <v>26.0</v>
      </c>
      <c r="I73" s="18"/>
      <c r="J73" s="24"/>
      <c r="K73" s="24"/>
      <c r="L73" s="18" t="str">
        <f t="shared" si="6"/>
        <v/>
      </c>
      <c r="M73" s="18"/>
    </row>
    <row r="74" ht="15.75" customHeight="1">
      <c r="A74" s="87">
        <v>45758.0</v>
      </c>
      <c r="B74" s="18" t="s">
        <v>50</v>
      </c>
      <c r="C74" s="18">
        <v>32.0</v>
      </c>
      <c r="D74" s="24">
        <v>1.0</v>
      </c>
      <c r="E74" s="24" t="s">
        <v>40</v>
      </c>
      <c r="G74" s="24" t="s">
        <v>79</v>
      </c>
      <c r="H74" s="18">
        <v>28.0</v>
      </c>
      <c r="I74" s="18"/>
      <c r="J74" s="24"/>
      <c r="K74" s="24"/>
      <c r="L74" s="18" t="str">
        <f t="shared" si="6"/>
        <v/>
      </c>
      <c r="M74" s="18"/>
    </row>
    <row r="75" ht="15.75" customHeight="1">
      <c r="A75" s="87">
        <v>45788.0</v>
      </c>
      <c r="B75" s="18" t="s">
        <v>50</v>
      </c>
      <c r="C75" s="18">
        <v>32.0</v>
      </c>
      <c r="D75" s="24">
        <v>1.0</v>
      </c>
      <c r="E75" s="24" t="s">
        <v>39</v>
      </c>
      <c r="H75" s="18">
        <v>23.0</v>
      </c>
      <c r="I75" s="18"/>
      <c r="J75" s="24"/>
      <c r="K75" s="24"/>
      <c r="L75" s="18" t="str">
        <f t="shared" si="6"/>
        <v/>
      </c>
      <c r="M75" s="18"/>
    </row>
    <row r="76" ht="15.75" customHeight="1">
      <c r="A76" s="87">
        <v>45788.0</v>
      </c>
      <c r="B76" s="18" t="s">
        <v>50</v>
      </c>
      <c r="C76" s="18">
        <v>34.0</v>
      </c>
      <c r="D76" s="24">
        <v>1.0</v>
      </c>
      <c r="E76" s="24" t="s">
        <v>39</v>
      </c>
      <c r="H76" s="18">
        <v>27.0</v>
      </c>
      <c r="I76" s="18"/>
      <c r="J76" s="24"/>
      <c r="K76" s="24"/>
      <c r="L76" s="18" t="str">
        <f t="shared" si="6"/>
        <v/>
      </c>
      <c r="M76" s="18"/>
    </row>
    <row r="77" ht="15.75" customHeight="1">
      <c r="A77" s="87">
        <v>45788.0</v>
      </c>
      <c r="B77" s="18" t="s">
        <v>50</v>
      </c>
      <c r="C77" s="18">
        <v>32.0</v>
      </c>
      <c r="D77" s="24">
        <v>1.0</v>
      </c>
      <c r="E77" s="24" t="s">
        <v>39</v>
      </c>
      <c r="G77" s="24" t="s">
        <v>80</v>
      </c>
      <c r="H77" s="18">
        <v>28.0</v>
      </c>
      <c r="I77" s="18"/>
      <c r="J77" s="24"/>
      <c r="K77" s="24" t="s">
        <v>48</v>
      </c>
      <c r="L77" s="18" t="str">
        <f t="shared" si="6"/>
        <v/>
      </c>
      <c r="M77" s="18"/>
    </row>
    <row r="78" ht="15.75" customHeight="1">
      <c r="A78" s="87">
        <v>45788.0</v>
      </c>
      <c r="B78" s="18" t="s">
        <v>50</v>
      </c>
      <c r="C78" s="18">
        <v>32.0</v>
      </c>
      <c r="D78" s="24">
        <v>1.0</v>
      </c>
      <c r="E78" s="24" t="s">
        <v>39</v>
      </c>
      <c r="G78" s="24" t="s">
        <v>81</v>
      </c>
      <c r="H78" s="18">
        <v>29.0</v>
      </c>
      <c r="I78" s="18"/>
      <c r="J78" s="24"/>
      <c r="K78" s="24" t="s">
        <v>48</v>
      </c>
      <c r="L78" s="18" t="str">
        <f t="shared" si="6"/>
        <v/>
      </c>
      <c r="M78" s="18"/>
    </row>
    <row r="79" ht="15.75" customHeight="1">
      <c r="A79" s="87">
        <v>45788.0</v>
      </c>
      <c r="B79" s="18" t="s">
        <v>50</v>
      </c>
      <c r="C79" s="18">
        <v>32.0</v>
      </c>
      <c r="D79" s="24">
        <v>1.0</v>
      </c>
      <c r="E79" s="24" t="s">
        <v>39</v>
      </c>
      <c r="H79" s="18">
        <v>23.0</v>
      </c>
      <c r="I79" s="18"/>
      <c r="J79" s="24"/>
      <c r="K79" s="24"/>
      <c r="L79" s="18" t="str">
        <f t="shared" si="6"/>
        <v/>
      </c>
      <c r="M79" s="18"/>
    </row>
    <row r="80" ht="15.75" customHeight="1">
      <c r="A80" s="87">
        <v>45788.0</v>
      </c>
      <c r="B80" s="18" t="s">
        <v>50</v>
      </c>
      <c r="C80" s="18">
        <v>34.0</v>
      </c>
      <c r="D80" s="24">
        <v>1.0</v>
      </c>
      <c r="E80" s="24" t="s">
        <v>40</v>
      </c>
      <c r="G80" s="24" t="s">
        <v>82</v>
      </c>
      <c r="H80" s="18">
        <v>25.0</v>
      </c>
      <c r="I80" s="18"/>
      <c r="J80" s="24"/>
      <c r="K80" s="24" t="s">
        <v>48</v>
      </c>
      <c r="L80" s="18" t="str">
        <f t="shared" si="6"/>
        <v/>
      </c>
      <c r="M80" s="18"/>
    </row>
    <row r="81" ht="15.75" customHeight="1">
      <c r="A81" s="87">
        <v>45788.0</v>
      </c>
      <c r="B81" s="18" t="s">
        <v>53</v>
      </c>
      <c r="C81" s="18">
        <v>32.0</v>
      </c>
      <c r="D81" s="24">
        <v>1.0</v>
      </c>
      <c r="E81" s="24" t="s">
        <v>39</v>
      </c>
      <c r="G81" s="24" t="s">
        <v>83</v>
      </c>
      <c r="H81" s="18">
        <v>24.0</v>
      </c>
      <c r="I81" s="18"/>
      <c r="J81" s="24"/>
      <c r="K81" s="24" t="s">
        <v>48</v>
      </c>
      <c r="L81" s="18" t="str">
        <f t="shared" si="6"/>
        <v/>
      </c>
      <c r="M81" s="18"/>
    </row>
    <row r="82" ht="15.75" customHeight="1">
      <c r="A82" s="94">
        <v>45788.0</v>
      </c>
      <c r="B82" s="18" t="s">
        <v>50</v>
      </c>
      <c r="C82" s="18">
        <v>32.0</v>
      </c>
      <c r="D82" s="24">
        <v>1.0</v>
      </c>
      <c r="E82" s="24" t="s">
        <v>42</v>
      </c>
      <c r="H82" s="18">
        <v>23.5</v>
      </c>
      <c r="I82" s="18">
        <v>1.23</v>
      </c>
      <c r="J82" s="24"/>
      <c r="K82" s="24"/>
      <c r="L82" s="18" t="str">
        <f t="shared" si="6"/>
        <v/>
      </c>
      <c r="M82" s="18"/>
    </row>
    <row r="83" ht="15.75" customHeight="1">
      <c r="A83" s="87">
        <v>45819.0</v>
      </c>
      <c r="B83" s="18" t="s">
        <v>53</v>
      </c>
      <c r="C83" s="18">
        <v>34.0</v>
      </c>
      <c r="D83" s="24">
        <v>1.0</v>
      </c>
      <c r="E83" s="24" t="s">
        <v>39</v>
      </c>
      <c r="H83" s="18">
        <v>25.0</v>
      </c>
      <c r="I83" s="18"/>
      <c r="J83" s="24"/>
      <c r="K83" s="24"/>
      <c r="L83" s="18" t="str">
        <f t="shared" si="6"/>
        <v/>
      </c>
      <c r="M83" s="18"/>
    </row>
    <row r="84" ht="15.75" customHeight="1">
      <c r="A84" s="87">
        <v>45819.0</v>
      </c>
      <c r="B84" s="18" t="s">
        <v>53</v>
      </c>
      <c r="C84" s="18">
        <v>36.0</v>
      </c>
      <c r="D84" s="24">
        <v>1.0</v>
      </c>
      <c r="E84" s="24" t="s">
        <v>42</v>
      </c>
      <c r="H84" s="18">
        <v>22.0</v>
      </c>
      <c r="I84" s="18"/>
      <c r="J84" s="24"/>
      <c r="K84" s="24"/>
      <c r="L84" s="18" t="str">
        <f t="shared" si="6"/>
        <v/>
      </c>
      <c r="M84" s="18"/>
    </row>
    <row r="85" ht="15.75" customHeight="1">
      <c r="A85" s="87">
        <v>45819.0</v>
      </c>
      <c r="B85" s="18" t="s">
        <v>53</v>
      </c>
      <c r="C85" s="18">
        <v>32.0</v>
      </c>
      <c r="D85" s="24">
        <v>1.0</v>
      </c>
      <c r="E85" s="24" t="s">
        <v>42</v>
      </c>
      <c r="H85" s="18">
        <v>24.0</v>
      </c>
      <c r="I85" s="18"/>
      <c r="J85" s="24"/>
      <c r="K85" s="24"/>
      <c r="L85" s="18" t="str">
        <f t="shared" si="6"/>
        <v/>
      </c>
      <c r="M85" s="18"/>
    </row>
    <row r="86" ht="15.75" customHeight="1">
      <c r="A86" s="87">
        <v>45849.0</v>
      </c>
      <c r="B86" s="18" t="s">
        <v>53</v>
      </c>
      <c r="C86" s="18">
        <v>36.0</v>
      </c>
      <c r="D86" s="24">
        <v>1.0</v>
      </c>
      <c r="E86" s="24" t="s">
        <v>40</v>
      </c>
      <c r="H86" s="18">
        <v>27.6</v>
      </c>
      <c r="I86" s="18">
        <v>1.23</v>
      </c>
      <c r="J86" s="24"/>
      <c r="K86" s="24"/>
      <c r="L86" s="18" t="str">
        <f t="shared" si="6"/>
        <v/>
      </c>
      <c r="M86" s="18"/>
    </row>
    <row r="87" ht="15.75" customHeight="1">
      <c r="A87" s="87">
        <v>45849.0</v>
      </c>
      <c r="B87" s="18" t="s">
        <v>53</v>
      </c>
      <c r="C87" s="18">
        <v>34.0</v>
      </c>
      <c r="D87" s="24">
        <v>1.0</v>
      </c>
      <c r="E87" s="24" t="s">
        <v>39</v>
      </c>
      <c r="G87" s="24" t="s">
        <v>85</v>
      </c>
      <c r="H87" s="18">
        <v>25.0</v>
      </c>
      <c r="I87" s="18">
        <v>1.11</v>
      </c>
      <c r="J87" s="24"/>
      <c r="K87" s="24" t="s">
        <v>48</v>
      </c>
      <c r="L87" s="18" t="str">
        <f t="shared" si="6"/>
        <v/>
      </c>
      <c r="M87" s="18"/>
    </row>
    <row r="88" ht="15.75" customHeight="1">
      <c r="A88" s="87">
        <v>45849.0</v>
      </c>
      <c r="B88" s="18" t="s">
        <v>53</v>
      </c>
      <c r="C88" s="18">
        <v>36.0</v>
      </c>
      <c r="D88" s="24">
        <v>1.0</v>
      </c>
      <c r="E88" s="24" t="s">
        <v>40</v>
      </c>
      <c r="G88" s="24" t="s">
        <v>86</v>
      </c>
      <c r="H88" s="18">
        <v>28.0</v>
      </c>
      <c r="I88" s="18">
        <v>1.21</v>
      </c>
      <c r="J88" s="24"/>
      <c r="K88" s="24" t="s">
        <v>48</v>
      </c>
      <c r="L88" s="18" t="str">
        <f t="shared" si="6"/>
        <v/>
      </c>
      <c r="M88" s="18"/>
    </row>
    <row r="89" ht="15.75" customHeight="1">
      <c r="A89" s="99">
        <v>45849.0</v>
      </c>
      <c r="B89" s="100" t="s">
        <v>50</v>
      </c>
      <c r="C89" s="100">
        <v>34.0</v>
      </c>
      <c r="D89" s="101">
        <v>1.0</v>
      </c>
      <c r="E89" s="101" t="s">
        <v>39</v>
      </c>
      <c r="F89" s="101"/>
      <c r="G89" s="101" t="s">
        <v>87</v>
      </c>
      <c r="H89" s="100">
        <v>0.0</v>
      </c>
      <c r="I89" s="100"/>
      <c r="J89" s="101" t="s">
        <v>56</v>
      </c>
      <c r="K89" s="101"/>
      <c r="L89" s="18" t="str">
        <f t="shared" si="6"/>
        <v/>
      </c>
      <c r="M89" s="18"/>
    </row>
    <row r="90" ht="15.75" customHeight="1">
      <c r="A90" s="87">
        <v>45849.0</v>
      </c>
      <c r="B90" s="18" t="s">
        <v>50</v>
      </c>
      <c r="C90" s="18">
        <v>36.0</v>
      </c>
      <c r="D90" s="24">
        <v>1.0</v>
      </c>
      <c r="E90" s="24" t="s">
        <v>40</v>
      </c>
      <c r="G90" s="24" t="s">
        <v>88</v>
      </c>
      <c r="H90" s="18">
        <v>22.0</v>
      </c>
      <c r="I90" s="18">
        <v>1.23</v>
      </c>
      <c r="J90" s="24"/>
      <c r="K90" s="24" t="s">
        <v>48</v>
      </c>
      <c r="L90" s="18" t="str">
        <f t="shared" si="6"/>
        <v/>
      </c>
      <c r="M90" s="18"/>
    </row>
    <row r="91" ht="15.75" customHeight="1">
      <c r="A91" s="87">
        <v>45849.0</v>
      </c>
      <c r="B91" s="18" t="s">
        <v>53</v>
      </c>
      <c r="C91" s="18">
        <v>36.0</v>
      </c>
      <c r="D91" s="24">
        <v>1.0</v>
      </c>
      <c r="E91" s="24" t="s">
        <v>40</v>
      </c>
      <c r="G91" s="24" t="s">
        <v>89</v>
      </c>
      <c r="H91" s="18">
        <v>29.0</v>
      </c>
      <c r="I91" s="18">
        <v>1.23</v>
      </c>
      <c r="J91" s="24"/>
      <c r="K91" s="24" t="s">
        <v>48</v>
      </c>
      <c r="L91" s="18" t="str">
        <f t="shared" si="6"/>
        <v/>
      </c>
      <c r="M91" s="18"/>
    </row>
    <row r="92" ht="15.75" customHeight="1">
      <c r="A92" s="87">
        <v>45880.0</v>
      </c>
      <c r="B92" s="18" t="s">
        <v>53</v>
      </c>
      <c r="C92" s="18">
        <v>32.0</v>
      </c>
      <c r="D92" s="24">
        <v>1.0</v>
      </c>
      <c r="E92" s="24" t="s">
        <v>39</v>
      </c>
      <c r="G92" s="24" t="s">
        <v>90</v>
      </c>
      <c r="H92" s="18">
        <v>22.5</v>
      </c>
      <c r="I92" s="18">
        <v>1.12</v>
      </c>
      <c r="J92" s="24"/>
      <c r="K92" s="24" t="s">
        <v>48</v>
      </c>
      <c r="L92" s="18" t="str">
        <f t="shared" si="6"/>
        <v/>
      </c>
      <c r="M92" s="18"/>
    </row>
    <row r="93" ht="15.75" customHeight="1">
      <c r="A93" s="87">
        <v>45880.0</v>
      </c>
      <c r="B93" s="18" t="s">
        <v>50</v>
      </c>
      <c r="C93" s="18">
        <v>34.0</v>
      </c>
      <c r="D93" s="24">
        <v>1.0</v>
      </c>
      <c r="E93" s="24" t="s">
        <v>39</v>
      </c>
      <c r="G93" s="24" t="s">
        <v>91</v>
      </c>
      <c r="H93" s="18">
        <v>25.2</v>
      </c>
      <c r="I93" s="18"/>
      <c r="J93" s="24"/>
      <c r="K93" s="24"/>
      <c r="L93" s="18" t="str">
        <f t="shared" si="6"/>
        <v/>
      </c>
      <c r="M93" s="18"/>
    </row>
    <row r="94" ht="15.75" customHeight="1">
      <c r="A94" s="87">
        <v>45880.0</v>
      </c>
      <c r="B94" s="18" t="s">
        <v>53</v>
      </c>
      <c r="C94" s="18">
        <v>32.0</v>
      </c>
      <c r="D94" s="24">
        <v>1.0</v>
      </c>
      <c r="E94" s="24" t="s">
        <v>39</v>
      </c>
      <c r="G94" s="24" t="s">
        <v>91</v>
      </c>
      <c r="H94" s="18">
        <v>25.0</v>
      </c>
      <c r="I94" s="18"/>
      <c r="J94" s="24"/>
      <c r="K94" s="24"/>
      <c r="L94" s="18" t="str">
        <f t="shared" si="6"/>
        <v/>
      </c>
      <c r="M94" s="18"/>
    </row>
    <row r="95" ht="15.75" customHeight="1">
      <c r="A95" s="94">
        <v>45880.0</v>
      </c>
      <c r="B95" s="18" t="s">
        <v>46</v>
      </c>
      <c r="C95" s="18">
        <v>32.0</v>
      </c>
      <c r="D95" s="24">
        <v>1.0</v>
      </c>
      <c r="E95" s="24" t="s">
        <v>42</v>
      </c>
      <c r="H95" s="18">
        <v>50.0</v>
      </c>
      <c r="I95" s="18">
        <v>1.75</v>
      </c>
      <c r="J95" s="24"/>
      <c r="K95" s="24"/>
      <c r="L95" s="18" t="str">
        <f t="shared" si="6"/>
        <v/>
      </c>
      <c r="M95" s="18"/>
    </row>
    <row r="96" ht="15.75" customHeight="1">
      <c r="A96" s="87">
        <v>45911.0</v>
      </c>
      <c r="B96" s="18" t="s">
        <v>50</v>
      </c>
      <c r="C96" s="18">
        <v>34.0</v>
      </c>
      <c r="D96" s="24">
        <v>1.0</v>
      </c>
      <c r="E96" s="24" t="s">
        <v>39</v>
      </c>
      <c r="G96" s="24" t="s">
        <v>93</v>
      </c>
      <c r="H96" s="18">
        <v>24.0</v>
      </c>
      <c r="I96" s="18">
        <v>1.11</v>
      </c>
      <c r="J96" s="24"/>
      <c r="K96" s="24" t="s">
        <v>48</v>
      </c>
      <c r="L96" s="18" t="str">
        <f t="shared" si="6"/>
        <v/>
      </c>
      <c r="M96" s="18"/>
    </row>
    <row r="97" ht="15.75" customHeight="1">
      <c r="A97" s="87">
        <v>45911.0</v>
      </c>
      <c r="B97" s="18" t="s">
        <v>46</v>
      </c>
      <c r="C97" s="18">
        <v>34.0</v>
      </c>
      <c r="D97" s="24">
        <v>1.0</v>
      </c>
      <c r="E97" s="24" t="s">
        <v>39</v>
      </c>
      <c r="G97" s="24" t="s">
        <v>91</v>
      </c>
      <c r="H97" s="18">
        <v>49.0</v>
      </c>
      <c r="I97" s="18">
        <v>1.09</v>
      </c>
      <c r="J97" s="24"/>
      <c r="K97" s="24"/>
      <c r="L97" s="18" t="str">
        <f t="shared" si="6"/>
        <v/>
      </c>
      <c r="M97" s="18"/>
    </row>
    <row r="98" ht="15.75" customHeight="1">
      <c r="A98" s="87">
        <v>45911.0</v>
      </c>
      <c r="B98" s="18" t="s">
        <v>53</v>
      </c>
      <c r="C98" s="18">
        <v>36.0</v>
      </c>
      <c r="D98" s="24">
        <v>1.0</v>
      </c>
      <c r="E98" s="24" t="s">
        <v>43</v>
      </c>
      <c r="H98" s="18">
        <v>21.0</v>
      </c>
      <c r="I98" s="18">
        <v>1.23</v>
      </c>
      <c r="J98" s="24"/>
      <c r="K98" s="24"/>
      <c r="L98" s="18" t="str">
        <f t="shared" si="6"/>
        <v/>
      </c>
      <c r="M98" s="18"/>
    </row>
    <row r="99" ht="15.75" customHeight="1">
      <c r="A99" s="87">
        <v>45911.0</v>
      </c>
      <c r="B99" s="18" t="s">
        <v>50</v>
      </c>
      <c r="C99" s="18">
        <v>36.0</v>
      </c>
      <c r="D99" s="24">
        <v>1.0</v>
      </c>
      <c r="E99" s="24" t="s">
        <v>43</v>
      </c>
      <c r="H99" s="18">
        <v>21.0</v>
      </c>
      <c r="I99" s="18">
        <v>1.23</v>
      </c>
      <c r="J99" s="24"/>
      <c r="K99" s="24"/>
      <c r="L99" s="18" t="str">
        <f t="shared" si="6"/>
        <v/>
      </c>
      <c r="M99" s="18"/>
    </row>
    <row r="100" ht="15.75" customHeight="1">
      <c r="A100" s="87">
        <v>45911.0</v>
      </c>
      <c r="B100" s="18" t="s">
        <v>53</v>
      </c>
      <c r="C100" s="18">
        <v>36.0</v>
      </c>
      <c r="D100" s="24">
        <v>1.0</v>
      </c>
      <c r="E100" s="24" t="s">
        <v>39</v>
      </c>
      <c r="G100" s="24" t="s">
        <v>95</v>
      </c>
      <c r="H100" s="18">
        <v>25.0</v>
      </c>
      <c r="I100" s="18">
        <v>1.03</v>
      </c>
      <c r="J100" s="24"/>
      <c r="K100" s="24"/>
      <c r="L100" s="18" t="str">
        <f t="shared" si="6"/>
        <v/>
      </c>
      <c r="M100" s="18"/>
    </row>
    <row r="101" ht="15.75" customHeight="1">
      <c r="A101" s="87">
        <v>45911.0</v>
      </c>
      <c r="B101" s="18" t="s">
        <v>50</v>
      </c>
      <c r="C101" s="18">
        <v>34.0</v>
      </c>
      <c r="D101" s="24">
        <v>1.0</v>
      </c>
      <c r="E101" s="24" t="s">
        <v>39</v>
      </c>
      <c r="G101" s="24" t="s">
        <v>96</v>
      </c>
      <c r="H101" s="18">
        <v>24.0</v>
      </c>
      <c r="I101" s="18">
        <v>1.03</v>
      </c>
      <c r="J101" s="24"/>
      <c r="K101" s="24" t="s">
        <v>48</v>
      </c>
      <c r="L101" s="18" t="str">
        <f t="shared" si="6"/>
        <v/>
      </c>
      <c r="M101" s="18"/>
    </row>
    <row r="102" ht="15.75" customHeight="1">
      <c r="A102" s="87">
        <v>45911.0</v>
      </c>
      <c r="B102" s="18" t="s">
        <v>46</v>
      </c>
      <c r="C102" s="18">
        <v>34.0</v>
      </c>
      <c r="D102" s="24">
        <v>1.0</v>
      </c>
      <c r="E102" s="24" t="s">
        <v>39</v>
      </c>
      <c r="G102" s="24" t="s">
        <v>97</v>
      </c>
      <c r="H102" s="18">
        <v>45.0</v>
      </c>
      <c r="I102" s="18">
        <v>1.09</v>
      </c>
      <c r="J102" s="24"/>
      <c r="K102" s="24"/>
      <c r="L102" s="18" t="str">
        <f t="shared" si="6"/>
        <v/>
      </c>
      <c r="M102" s="18"/>
    </row>
    <row r="103" ht="15.75" customHeight="1">
      <c r="A103" s="94">
        <v>45941.0</v>
      </c>
      <c r="B103" s="18" t="s">
        <v>53</v>
      </c>
      <c r="C103" s="18">
        <v>34.0</v>
      </c>
      <c r="D103" s="24">
        <v>1.0</v>
      </c>
      <c r="E103" s="24" t="s">
        <v>39</v>
      </c>
      <c r="G103" s="24" t="s">
        <v>98</v>
      </c>
      <c r="H103" s="18">
        <v>28.0</v>
      </c>
      <c r="I103" s="18">
        <v>1.09</v>
      </c>
      <c r="J103" s="24"/>
      <c r="K103" s="24" t="s">
        <v>48</v>
      </c>
      <c r="L103" s="18" t="str">
        <f t="shared" si="6"/>
        <v/>
      </c>
      <c r="M103" s="18"/>
    </row>
    <row r="104" ht="15.75" customHeight="1">
      <c r="A104" s="94">
        <v>45941.0</v>
      </c>
      <c r="B104" s="18" t="s">
        <v>53</v>
      </c>
      <c r="C104" s="18">
        <v>34.0</v>
      </c>
      <c r="D104" s="24">
        <v>1.0</v>
      </c>
      <c r="E104" s="24" t="s">
        <v>39</v>
      </c>
      <c r="G104" s="24" t="s">
        <v>99</v>
      </c>
      <c r="H104" s="18">
        <v>24.0</v>
      </c>
      <c r="I104" s="18"/>
      <c r="J104" s="24"/>
      <c r="K104" s="24" t="s">
        <v>48</v>
      </c>
      <c r="L104" s="18" t="str">
        <f t="shared" si="6"/>
        <v/>
      </c>
      <c r="M104" s="18"/>
    </row>
    <row r="105" ht="15.75" customHeight="1">
      <c r="A105" s="94">
        <v>45941.0</v>
      </c>
      <c r="B105" s="18" t="s">
        <v>53</v>
      </c>
      <c r="C105" s="18">
        <v>36.0</v>
      </c>
      <c r="D105" s="24">
        <v>1.0</v>
      </c>
      <c r="E105" s="24" t="s">
        <v>40</v>
      </c>
      <c r="H105" s="18">
        <v>29.0</v>
      </c>
      <c r="I105" s="18">
        <v>1.23</v>
      </c>
      <c r="J105" s="24"/>
      <c r="K105" s="24"/>
      <c r="L105" s="18" t="str">
        <f t="shared" si="6"/>
        <v/>
      </c>
      <c r="M105" s="18"/>
    </row>
    <row r="106" ht="15.75" customHeight="1">
      <c r="A106" s="94">
        <v>45941.0</v>
      </c>
      <c r="B106" s="18" t="s">
        <v>46</v>
      </c>
      <c r="C106" s="18">
        <v>34.0</v>
      </c>
      <c r="D106" s="24">
        <v>1.0</v>
      </c>
      <c r="E106" s="24" t="s">
        <v>39</v>
      </c>
      <c r="G106" s="24" t="s">
        <v>100</v>
      </c>
      <c r="H106" s="18">
        <v>45.0</v>
      </c>
      <c r="I106" s="18">
        <v>1.23</v>
      </c>
      <c r="J106" s="24"/>
      <c r="K106" s="24" t="s">
        <v>48</v>
      </c>
      <c r="L106" s="18" t="str">
        <f t="shared" si="6"/>
        <v/>
      </c>
      <c r="M106" s="18"/>
    </row>
    <row r="107" ht="15.75" customHeight="1">
      <c r="A107" s="94">
        <v>45941.0</v>
      </c>
      <c r="B107" s="18" t="s">
        <v>50</v>
      </c>
      <c r="C107" s="18">
        <v>36.0</v>
      </c>
      <c r="D107" s="24">
        <v>1.0</v>
      </c>
      <c r="E107" s="24" t="s">
        <v>39</v>
      </c>
      <c r="G107" s="24" t="s">
        <v>101</v>
      </c>
      <c r="H107" s="18">
        <v>28.0</v>
      </c>
      <c r="I107" s="18">
        <v>1.21</v>
      </c>
      <c r="J107" s="24"/>
      <c r="K107" s="24" t="s">
        <v>48</v>
      </c>
      <c r="L107" s="18" t="str">
        <f t="shared" si="6"/>
        <v/>
      </c>
      <c r="M107" s="18"/>
    </row>
    <row r="108" ht="15.75" customHeight="1">
      <c r="A108" s="94">
        <v>45941.0</v>
      </c>
      <c r="B108" s="18" t="s">
        <v>50</v>
      </c>
      <c r="C108" s="18">
        <v>36.0</v>
      </c>
      <c r="D108" s="24">
        <v>1.0</v>
      </c>
      <c r="E108" s="24" t="s">
        <v>39</v>
      </c>
      <c r="G108" s="24" t="s">
        <v>102</v>
      </c>
      <c r="H108" s="18">
        <v>28.0</v>
      </c>
      <c r="I108" s="18">
        <v>1.21</v>
      </c>
      <c r="J108" s="24"/>
      <c r="K108" s="24" t="s">
        <v>48</v>
      </c>
      <c r="L108" s="18" t="str">
        <f t="shared" si="6"/>
        <v/>
      </c>
      <c r="M108" s="18"/>
    </row>
    <row r="109" ht="15.75" customHeight="1">
      <c r="A109" s="94">
        <v>45972.0</v>
      </c>
      <c r="B109" s="18" t="s">
        <v>53</v>
      </c>
      <c r="C109" s="18">
        <v>34.0</v>
      </c>
      <c r="D109" s="24">
        <v>1.0</v>
      </c>
      <c r="E109" s="24" t="s">
        <v>39</v>
      </c>
      <c r="G109" s="24" t="s">
        <v>103</v>
      </c>
      <c r="H109" s="18">
        <v>22.5</v>
      </c>
      <c r="I109" s="18">
        <v>1.03</v>
      </c>
      <c r="J109" s="24"/>
      <c r="K109" s="24"/>
      <c r="L109" s="18" t="str">
        <f t="shared" si="6"/>
        <v/>
      </c>
      <c r="M109" s="18"/>
    </row>
    <row r="110" ht="15.75" customHeight="1">
      <c r="A110" s="94">
        <v>45972.0</v>
      </c>
      <c r="B110" s="18" t="s">
        <v>46</v>
      </c>
      <c r="C110" s="18">
        <v>34.0</v>
      </c>
      <c r="D110" s="24">
        <v>1.0</v>
      </c>
      <c r="E110" s="24" t="s">
        <v>39</v>
      </c>
      <c r="G110" s="24" t="s">
        <v>104</v>
      </c>
      <c r="H110" s="18">
        <v>50.0</v>
      </c>
      <c r="I110" s="18">
        <v>1.35</v>
      </c>
      <c r="J110" s="24"/>
      <c r="K110" s="24"/>
      <c r="L110" s="18" t="str">
        <f t="shared" si="6"/>
        <v/>
      </c>
      <c r="M110" s="18"/>
    </row>
    <row r="111" ht="15.75" customHeight="1">
      <c r="A111" s="94">
        <v>45972.0</v>
      </c>
      <c r="B111" s="18" t="s">
        <v>46</v>
      </c>
      <c r="C111" s="18">
        <v>34.0</v>
      </c>
      <c r="D111" s="24">
        <v>1.0</v>
      </c>
      <c r="E111" s="24" t="s">
        <v>39</v>
      </c>
      <c r="G111" s="24" t="s">
        <v>105</v>
      </c>
      <c r="H111" s="18">
        <v>45.0</v>
      </c>
      <c r="I111" s="18">
        <v>1.35</v>
      </c>
      <c r="J111" s="24"/>
      <c r="K111" s="24"/>
      <c r="L111" s="18" t="str">
        <f t="shared" si="6"/>
        <v/>
      </c>
      <c r="M111" s="18"/>
    </row>
    <row r="112" ht="15.75" customHeight="1">
      <c r="A112" s="94">
        <v>45972.0</v>
      </c>
      <c r="B112" s="18" t="s">
        <v>50</v>
      </c>
      <c r="C112" s="18">
        <v>34.0</v>
      </c>
      <c r="D112" s="24">
        <v>1.0</v>
      </c>
      <c r="E112" s="24" t="s">
        <v>39</v>
      </c>
      <c r="G112" s="24" t="s">
        <v>106</v>
      </c>
      <c r="H112" s="18">
        <v>26.0</v>
      </c>
      <c r="I112" s="18"/>
      <c r="J112" s="24"/>
      <c r="K112" s="24"/>
      <c r="L112" s="18" t="str">
        <f t="shared" si="6"/>
        <v/>
      </c>
      <c r="M112" s="18"/>
    </row>
    <row r="113" ht="15.75" customHeight="1">
      <c r="A113" s="94">
        <v>45972.0</v>
      </c>
      <c r="B113" s="18" t="s">
        <v>46</v>
      </c>
      <c r="C113" s="18">
        <v>36.0</v>
      </c>
      <c r="D113" s="24">
        <v>1.0</v>
      </c>
      <c r="E113" s="24" t="s">
        <v>40</v>
      </c>
      <c r="G113" s="24" t="s">
        <v>108</v>
      </c>
      <c r="H113" s="18">
        <v>45.0</v>
      </c>
      <c r="I113" s="18">
        <v>1.35</v>
      </c>
      <c r="J113" s="24"/>
      <c r="K113" s="24"/>
      <c r="L113" s="18" t="str">
        <f t="shared" si="6"/>
        <v/>
      </c>
      <c r="M113" s="18"/>
    </row>
    <row r="114" ht="15.75" customHeight="1">
      <c r="A114" s="94">
        <v>46002.0</v>
      </c>
      <c r="B114" s="18" t="s">
        <v>46</v>
      </c>
      <c r="C114" s="18">
        <v>32.0</v>
      </c>
      <c r="D114" s="24">
        <v>1.0</v>
      </c>
      <c r="E114" s="24" t="s">
        <v>39</v>
      </c>
      <c r="G114" s="24" t="s">
        <v>109</v>
      </c>
      <c r="H114" s="18">
        <v>47.0</v>
      </c>
      <c r="I114" s="18"/>
      <c r="J114" s="24"/>
      <c r="K114" s="24"/>
      <c r="L114" s="18" t="str">
        <f t="shared" si="6"/>
        <v/>
      </c>
      <c r="M114" s="18"/>
    </row>
    <row r="115" ht="15.75" customHeight="1">
      <c r="A115" s="18" t="s">
        <v>110</v>
      </c>
      <c r="B115" s="18" t="s">
        <v>53</v>
      </c>
      <c r="C115" s="18">
        <v>34.0</v>
      </c>
      <c r="D115" s="24">
        <v>1.0</v>
      </c>
      <c r="E115" s="24" t="s">
        <v>39</v>
      </c>
      <c r="G115" s="24" t="s">
        <v>111</v>
      </c>
      <c r="H115" s="18">
        <v>28.0</v>
      </c>
      <c r="I115" s="18">
        <v>1.13</v>
      </c>
      <c r="J115" s="24"/>
      <c r="K115" s="24"/>
      <c r="L115" s="18" t="str">
        <f t="shared" si="6"/>
        <v/>
      </c>
      <c r="M115" s="18"/>
    </row>
    <row r="116" ht="15.75" customHeight="1">
      <c r="A116" s="18" t="s">
        <v>110</v>
      </c>
      <c r="B116" s="18" t="s">
        <v>50</v>
      </c>
      <c r="C116" s="18">
        <v>34.0</v>
      </c>
      <c r="D116" s="24">
        <v>1.0</v>
      </c>
      <c r="E116" s="24" t="s">
        <v>39</v>
      </c>
      <c r="G116" s="24" t="s">
        <v>112</v>
      </c>
      <c r="H116" s="18">
        <v>27.0</v>
      </c>
      <c r="I116" s="18"/>
      <c r="J116" s="24"/>
      <c r="K116" s="24"/>
      <c r="L116" s="18" t="str">
        <f t="shared" si="6"/>
        <v/>
      </c>
      <c r="M116" s="18"/>
    </row>
    <row r="117" ht="15.75" customHeight="1">
      <c r="A117" s="18" t="s">
        <v>110</v>
      </c>
      <c r="B117" s="18" t="s">
        <v>53</v>
      </c>
      <c r="C117" s="18">
        <v>34.0</v>
      </c>
      <c r="D117" s="24">
        <v>1.0</v>
      </c>
      <c r="E117" s="24" t="s">
        <v>39</v>
      </c>
      <c r="G117" s="24" t="s">
        <v>113</v>
      </c>
      <c r="H117" s="18">
        <v>25.0</v>
      </c>
      <c r="I117" s="18"/>
      <c r="J117" s="24"/>
      <c r="K117" s="24"/>
      <c r="L117" s="18" t="str">
        <f t="shared" si="6"/>
        <v/>
      </c>
      <c r="M117" s="18"/>
    </row>
    <row r="118" ht="15.75" customHeight="1">
      <c r="A118" s="18" t="s">
        <v>110</v>
      </c>
      <c r="B118" s="18" t="s">
        <v>45</v>
      </c>
      <c r="C118" s="18">
        <v>34.0</v>
      </c>
      <c r="D118" s="24">
        <v>1.0</v>
      </c>
      <c r="E118" s="24" t="s">
        <v>39</v>
      </c>
      <c r="G118" s="24" t="s">
        <v>114</v>
      </c>
      <c r="H118" s="18">
        <v>24.1</v>
      </c>
      <c r="I118" s="18"/>
      <c r="J118" s="24"/>
      <c r="K118" s="24"/>
      <c r="L118" s="18" t="str">
        <f t="shared" si="6"/>
        <v/>
      </c>
      <c r="M118" s="18"/>
    </row>
    <row r="119" ht="15.75" customHeight="1">
      <c r="A119" s="18" t="s">
        <v>110</v>
      </c>
      <c r="B119" s="18" t="s">
        <v>53</v>
      </c>
      <c r="C119" s="18">
        <v>34.0</v>
      </c>
      <c r="D119" s="24">
        <v>1.0</v>
      </c>
      <c r="E119" s="24" t="s">
        <v>39</v>
      </c>
      <c r="G119" s="24" t="s">
        <v>116</v>
      </c>
      <c r="H119" s="18">
        <v>24.1</v>
      </c>
      <c r="I119" s="18"/>
      <c r="J119" s="24"/>
      <c r="K119" s="24"/>
      <c r="L119" s="18"/>
      <c r="M119" s="18"/>
    </row>
    <row r="120" ht="15.75" customHeight="1">
      <c r="A120" s="18" t="s">
        <v>110</v>
      </c>
      <c r="B120" s="18" t="s">
        <v>53</v>
      </c>
      <c r="C120" s="18">
        <v>32.0</v>
      </c>
      <c r="D120" s="24">
        <v>1.0</v>
      </c>
      <c r="E120" s="24" t="s">
        <v>39</v>
      </c>
      <c r="G120" s="24" t="s">
        <v>117</v>
      </c>
      <c r="H120" s="18">
        <v>28.0</v>
      </c>
      <c r="I120" s="18"/>
      <c r="J120" s="24"/>
      <c r="K120" s="24"/>
      <c r="L120" s="18"/>
      <c r="M120" s="18"/>
    </row>
    <row r="121" ht="15.75" customHeight="1">
      <c r="A121" s="18" t="s">
        <v>110</v>
      </c>
      <c r="B121" s="18" t="s">
        <v>46</v>
      </c>
      <c r="C121" s="18">
        <v>34.0</v>
      </c>
      <c r="D121" s="24">
        <v>1.0</v>
      </c>
      <c r="E121" s="24" t="s">
        <v>39</v>
      </c>
      <c r="G121" s="24" t="s">
        <v>118</v>
      </c>
      <c r="H121" s="18">
        <v>45.0</v>
      </c>
      <c r="I121" s="18"/>
      <c r="J121" s="24"/>
      <c r="K121" s="24"/>
      <c r="L121" s="18"/>
      <c r="M121" s="18"/>
    </row>
    <row r="122" ht="15.75" customHeight="1">
      <c r="A122" s="18" t="s">
        <v>110</v>
      </c>
      <c r="B122" s="18" t="s">
        <v>45</v>
      </c>
      <c r="C122" s="18">
        <v>34.0</v>
      </c>
      <c r="D122" s="24">
        <v>1.0</v>
      </c>
      <c r="E122" s="24" t="s">
        <v>39</v>
      </c>
      <c r="G122" s="24" t="s">
        <v>119</v>
      </c>
      <c r="H122" s="18">
        <v>23.4</v>
      </c>
      <c r="I122" s="18"/>
      <c r="J122" s="24"/>
      <c r="K122" s="24"/>
      <c r="L122" s="18"/>
      <c r="M122" s="18"/>
    </row>
    <row r="123" ht="15.75" customHeight="1">
      <c r="A123" s="18" t="s">
        <v>120</v>
      </c>
      <c r="B123" s="18" t="s">
        <v>45</v>
      </c>
      <c r="C123" s="18">
        <v>34.0</v>
      </c>
      <c r="D123" s="24">
        <v>1.0</v>
      </c>
      <c r="E123" s="24" t="s">
        <v>39</v>
      </c>
      <c r="G123" s="24" t="s">
        <v>121</v>
      </c>
      <c r="H123" s="18">
        <v>26.6</v>
      </c>
      <c r="I123" s="18"/>
      <c r="J123" s="24"/>
      <c r="K123" s="24"/>
      <c r="L123" s="18"/>
      <c r="M123" s="18"/>
    </row>
    <row r="124" ht="15.75" customHeight="1">
      <c r="A124" s="18" t="s">
        <v>120</v>
      </c>
      <c r="B124" s="18" t="s">
        <v>50</v>
      </c>
      <c r="C124" s="18">
        <v>36.0</v>
      </c>
      <c r="D124" s="24">
        <v>1.0</v>
      </c>
      <c r="E124" s="24" t="s">
        <v>39</v>
      </c>
      <c r="G124" s="24" t="s">
        <v>123</v>
      </c>
      <c r="H124" s="18">
        <v>24.0</v>
      </c>
      <c r="I124" s="18">
        <v>1.09</v>
      </c>
      <c r="J124" s="24"/>
      <c r="K124" s="24"/>
      <c r="L124" s="18"/>
      <c r="M124" s="18"/>
    </row>
    <row r="125" ht="15.75" customHeight="1">
      <c r="A125" s="18" t="s">
        <v>120</v>
      </c>
      <c r="B125" s="18" t="s">
        <v>53</v>
      </c>
      <c r="C125" s="18">
        <v>34.0</v>
      </c>
      <c r="D125" s="24">
        <v>1.0</v>
      </c>
      <c r="E125" s="24" t="s">
        <v>39</v>
      </c>
      <c r="G125" s="24" t="s">
        <v>124</v>
      </c>
      <c r="H125" s="18">
        <v>23.0</v>
      </c>
      <c r="I125" s="18">
        <v>1.09</v>
      </c>
      <c r="J125" s="24"/>
      <c r="K125" s="24"/>
      <c r="L125" s="18"/>
      <c r="M125" s="18"/>
    </row>
    <row r="126" ht="15.75" customHeight="1">
      <c r="A126" s="18" t="s">
        <v>120</v>
      </c>
      <c r="B126" s="18" t="s">
        <v>52</v>
      </c>
      <c r="C126" s="18">
        <v>34.0</v>
      </c>
      <c r="D126" s="24">
        <v>1.0</v>
      </c>
      <c r="E126" s="24" t="s">
        <v>39</v>
      </c>
      <c r="G126" s="24" t="s">
        <v>126</v>
      </c>
      <c r="H126" s="18">
        <v>25.0</v>
      </c>
      <c r="I126" s="18"/>
      <c r="J126" s="24"/>
      <c r="K126" s="24"/>
      <c r="L126" s="18"/>
      <c r="M126" s="18"/>
    </row>
    <row r="127" ht="15.75" customHeight="1">
      <c r="A127" s="18" t="s">
        <v>120</v>
      </c>
      <c r="B127" s="18" t="s">
        <v>46</v>
      </c>
      <c r="C127" s="18">
        <v>34.0</v>
      </c>
      <c r="D127" s="24">
        <v>1.0</v>
      </c>
      <c r="E127" s="24" t="s">
        <v>39</v>
      </c>
      <c r="G127" s="24" t="s">
        <v>127</v>
      </c>
      <c r="H127" s="18">
        <v>45.5</v>
      </c>
      <c r="I127" s="18"/>
      <c r="J127" s="24"/>
      <c r="K127" s="24"/>
      <c r="L127" s="18"/>
      <c r="M127" s="18"/>
    </row>
    <row r="128" ht="15.75" customHeight="1">
      <c r="A128" s="18" t="s">
        <v>120</v>
      </c>
      <c r="B128" s="18" t="s">
        <v>51</v>
      </c>
      <c r="C128" s="18">
        <v>32.0</v>
      </c>
      <c r="D128" s="24">
        <v>1.0</v>
      </c>
      <c r="E128" s="24" t="s">
        <v>39</v>
      </c>
      <c r="G128" s="24" t="s">
        <v>128</v>
      </c>
      <c r="H128" s="18">
        <v>25.0</v>
      </c>
      <c r="I128" s="18"/>
      <c r="J128" s="24"/>
      <c r="K128" s="24"/>
      <c r="L128" s="18"/>
      <c r="M128" s="18"/>
    </row>
    <row r="129" ht="15.75" customHeight="1">
      <c r="A129" s="18" t="s">
        <v>120</v>
      </c>
      <c r="B129" s="18" t="s">
        <v>51</v>
      </c>
      <c r="C129" s="18">
        <v>34.0</v>
      </c>
      <c r="D129" s="24">
        <v>1.0</v>
      </c>
      <c r="E129" s="24" t="s">
        <v>39</v>
      </c>
      <c r="G129" s="24" t="s">
        <v>128</v>
      </c>
      <c r="H129" s="18">
        <v>25.0</v>
      </c>
      <c r="I129" s="18"/>
      <c r="J129" s="24"/>
      <c r="K129" s="24"/>
      <c r="L129" s="18"/>
      <c r="M129" s="18"/>
    </row>
    <row r="130" ht="15.75" customHeight="1">
      <c r="A130" s="18" t="s">
        <v>120</v>
      </c>
      <c r="B130" s="18" t="s">
        <v>51</v>
      </c>
      <c r="C130" s="18">
        <v>32.0</v>
      </c>
      <c r="D130" s="24">
        <v>1.0</v>
      </c>
      <c r="E130" s="24" t="s">
        <v>43</v>
      </c>
      <c r="G130" s="24" t="s">
        <v>129</v>
      </c>
      <c r="H130" s="18">
        <v>25.0</v>
      </c>
      <c r="I130" s="18"/>
      <c r="J130" s="24"/>
      <c r="K130" s="24"/>
      <c r="L130" s="18"/>
      <c r="M130" s="18"/>
    </row>
    <row r="131" ht="15.75" customHeight="1">
      <c r="A131" s="18" t="s">
        <v>120</v>
      </c>
      <c r="B131" s="18" t="s">
        <v>45</v>
      </c>
      <c r="C131" s="18">
        <v>36.0</v>
      </c>
      <c r="D131" s="24">
        <v>1.0</v>
      </c>
      <c r="E131" s="24" t="s">
        <v>43</v>
      </c>
      <c r="G131" s="24" t="s">
        <v>130</v>
      </c>
      <c r="H131" s="18">
        <v>29.0</v>
      </c>
      <c r="I131" s="18">
        <v>1.11</v>
      </c>
      <c r="J131" s="24"/>
      <c r="K131" s="24"/>
      <c r="L131" s="18"/>
      <c r="M131" s="18"/>
    </row>
    <row r="132" ht="15.75" customHeight="1">
      <c r="A132" s="18" t="s">
        <v>131</v>
      </c>
      <c r="B132" s="18" t="s">
        <v>51</v>
      </c>
      <c r="C132" s="18">
        <v>34.0</v>
      </c>
      <c r="D132" s="24">
        <v>1.0</v>
      </c>
      <c r="E132" s="24" t="s">
        <v>39</v>
      </c>
      <c r="G132" s="24" t="s">
        <v>132</v>
      </c>
      <c r="H132" s="18">
        <v>25.0</v>
      </c>
      <c r="I132" s="18"/>
      <c r="J132" s="24"/>
      <c r="K132" s="24"/>
      <c r="L132" s="18"/>
      <c r="M132" s="18"/>
    </row>
    <row r="133" ht="15.75" customHeight="1">
      <c r="A133" s="18" t="s">
        <v>131</v>
      </c>
      <c r="B133" s="18" t="s">
        <v>46</v>
      </c>
      <c r="C133" s="18">
        <v>34.0</v>
      </c>
      <c r="D133" s="24">
        <v>1.0</v>
      </c>
      <c r="E133" s="24" t="s">
        <v>39</v>
      </c>
      <c r="G133" s="24" t="s">
        <v>133</v>
      </c>
      <c r="H133" s="18">
        <v>50.0</v>
      </c>
      <c r="I133" s="18"/>
      <c r="J133" s="24"/>
      <c r="K133" s="24"/>
      <c r="L133" s="18"/>
      <c r="M133" s="18"/>
    </row>
    <row r="134" ht="15.75" customHeight="1">
      <c r="A134" s="18" t="s">
        <v>131</v>
      </c>
      <c r="B134" s="18" t="s">
        <v>53</v>
      </c>
      <c r="C134" s="18">
        <v>34.0</v>
      </c>
      <c r="D134" s="24">
        <v>1.0</v>
      </c>
      <c r="E134" s="24" t="s">
        <v>39</v>
      </c>
      <c r="G134" s="24" t="s">
        <v>134</v>
      </c>
      <c r="H134" s="18">
        <v>23.0</v>
      </c>
      <c r="I134" s="18"/>
      <c r="J134" s="24"/>
      <c r="K134" s="24"/>
      <c r="L134" s="18"/>
      <c r="M134" s="18"/>
    </row>
    <row r="135" ht="15.75" customHeight="1">
      <c r="A135" s="18" t="s">
        <v>131</v>
      </c>
      <c r="B135" s="18" t="s">
        <v>46</v>
      </c>
      <c r="C135" s="18">
        <v>32.0</v>
      </c>
      <c r="D135" s="24">
        <v>1.0</v>
      </c>
      <c r="E135" s="24"/>
      <c r="H135" s="18"/>
      <c r="I135" s="18"/>
      <c r="J135" s="24"/>
      <c r="K135" s="24"/>
      <c r="L135" s="18"/>
      <c r="M135" s="18"/>
    </row>
    <row r="136" ht="15.75" customHeight="1">
      <c r="A136" s="18" t="s">
        <v>131</v>
      </c>
      <c r="B136" s="18" t="s">
        <v>45</v>
      </c>
      <c r="C136" s="18">
        <v>36.0</v>
      </c>
      <c r="D136" s="24">
        <v>1.0</v>
      </c>
      <c r="E136" s="24" t="s">
        <v>40</v>
      </c>
      <c r="G136" s="24" t="s">
        <v>136</v>
      </c>
      <c r="H136" s="18">
        <v>24.0</v>
      </c>
      <c r="I136" s="18">
        <v>1.21</v>
      </c>
      <c r="J136" s="24"/>
      <c r="K136" s="24"/>
      <c r="L136" s="18"/>
      <c r="M136" s="18"/>
    </row>
    <row r="137" ht="15.75" customHeight="1">
      <c r="A137" s="18" t="s">
        <v>131</v>
      </c>
      <c r="B137" s="18"/>
      <c r="C137" s="18"/>
      <c r="E137" s="24"/>
      <c r="H137" s="18"/>
      <c r="I137" s="18"/>
      <c r="J137" s="24"/>
      <c r="K137" s="24"/>
      <c r="L137" s="18"/>
      <c r="M137" s="18"/>
    </row>
    <row r="138" ht="15.75" customHeight="1">
      <c r="A138" s="18" t="s">
        <v>131</v>
      </c>
      <c r="B138" s="18"/>
      <c r="C138" s="18"/>
      <c r="E138" s="24"/>
      <c r="H138" s="18"/>
      <c r="I138" s="18"/>
      <c r="J138" s="24"/>
      <c r="K138" s="24"/>
      <c r="L138" s="18"/>
      <c r="M138" s="18"/>
    </row>
    <row r="139" ht="15.75" customHeight="1">
      <c r="A139" s="18" t="s">
        <v>131</v>
      </c>
      <c r="B139" s="18"/>
      <c r="C139" s="18"/>
      <c r="E139" s="24"/>
      <c r="H139" s="18"/>
      <c r="I139" s="18"/>
      <c r="J139" s="24"/>
      <c r="K139" s="24"/>
      <c r="L139" s="18"/>
      <c r="M139" s="18"/>
    </row>
    <row r="140" ht="15.75" customHeight="1">
      <c r="A140" s="18" t="s">
        <v>131</v>
      </c>
      <c r="B140" s="18"/>
      <c r="C140" s="18"/>
      <c r="E140" s="24"/>
      <c r="H140" s="18"/>
      <c r="I140" s="18"/>
      <c r="J140" s="24"/>
      <c r="K140" s="24"/>
      <c r="L140" s="18"/>
      <c r="M140" s="18"/>
    </row>
    <row r="141" ht="15.75" customHeight="1">
      <c r="A141" s="18" t="s">
        <v>131</v>
      </c>
      <c r="B141" s="18"/>
      <c r="C141" s="18"/>
      <c r="E141" s="24"/>
      <c r="H141" s="18"/>
      <c r="I141" s="18"/>
      <c r="J141" s="24"/>
      <c r="K141" s="24"/>
      <c r="L141" s="18"/>
      <c r="M141" s="18"/>
    </row>
    <row r="142" ht="15.75" customHeight="1">
      <c r="A142" s="18" t="s">
        <v>131</v>
      </c>
      <c r="B142" s="18"/>
      <c r="C142" s="18"/>
      <c r="E142" s="24"/>
      <c r="H142" s="18"/>
      <c r="I142" s="18"/>
      <c r="J142" s="24"/>
      <c r="K142" s="24"/>
      <c r="L142" s="18"/>
      <c r="M142" s="18"/>
    </row>
    <row r="143" ht="15.75" customHeight="1">
      <c r="A143" s="18" t="s">
        <v>131</v>
      </c>
      <c r="B143" s="18"/>
      <c r="C143" s="18"/>
      <c r="E143" s="24"/>
      <c r="H143" s="18"/>
      <c r="I143" s="18"/>
      <c r="J143" s="24"/>
      <c r="K143" s="24"/>
      <c r="L143" s="18"/>
      <c r="M143" s="18"/>
    </row>
    <row r="144" ht="15.75" customHeight="1">
      <c r="A144" s="18" t="s">
        <v>131</v>
      </c>
      <c r="B144" s="18"/>
      <c r="C144" s="18"/>
      <c r="E144" s="24"/>
      <c r="H144" s="18"/>
      <c r="I144" s="18"/>
      <c r="J144" s="24"/>
      <c r="K144" s="24"/>
      <c r="L144" s="18"/>
      <c r="M144" s="18"/>
    </row>
    <row r="145" ht="15.75" customHeight="1">
      <c r="A145" s="18" t="s">
        <v>131</v>
      </c>
      <c r="B145" s="18"/>
      <c r="C145" s="18"/>
      <c r="E145" s="24"/>
      <c r="H145" s="18"/>
      <c r="I145" s="18"/>
      <c r="J145" s="24"/>
      <c r="K145" s="24"/>
      <c r="L145" s="18"/>
      <c r="M145" s="18"/>
    </row>
    <row r="146" ht="15.75" customHeight="1">
      <c r="A146" s="18" t="s">
        <v>131</v>
      </c>
      <c r="B146" s="18"/>
      <c r="C146" s="18"/>
      <c r="E146" s="24"/>
      <c r="H146" s="18"/>
      <c r="I146" s="18"/>
      <c r="J146" s="24"/>
      <c r="K146" s="24"/>
      <c r="L146" s="18"/>
      <c r="M146" s="18"/>
    </row>
    <row r="147" ht="15.75" customHeight="1">
      <c r="A147" s="18"/>
      <c r="B147" s="18"/>
      <c r="C147" s="18"/>
      <c r="E147" s="24"/>
      <c r="H147" s="18"/>
      <c r="I147" s="18"/>
      <c r="J147" s="24"/>
      <c r="K147" s="24"/>
      <c r="L147" s="18"/>
      <c r="M147" s="18"/>
    </row>
    <row r="148" ht="15.75" customHeight="1">
      <c r="A148" s="18"/>
      <c r="B148" s="18"/>
      <c r="C148" s="18"/>
      <c r="E148" s="24"/>
      <c r="H148" s="18"/>
      <c r="I148" s="18"/>
      <c r="J148" s="24"/>
      <c r="K148" s="24"/>
      <c r="L148" s="18"/>
      <c r="M148" s="18"/>
    </row>
    <row r="149" ht="15.75" customHeight="1">
      <c r="A149" s="18"/>
      <c r="B149" s="18"/>
      <c r="C149" s="18"/>
      <c r="E149" s="24"/>
      <c r="H149" s="18"/>
      <c r="I149" s="18"/>
      <c r="J149" s="24"/>
      <c r="K149" s="24"/>
      <c r="L149" s="18"/>
      <c r="M149" s="18"/>
    </row>
    <row r="150" ht="15.75" customHeight="1">
      <c r="A150" s="18"/>
      <c r="B150" s="18"/>
      <c r="C150" s="18"/>
      <c r="E150" s="24"/>
      <c r="H150" s="18"/>
      <c r="I150" s="18"/>
      <c r="J150" s="24"/>
      <c r="K150" s="24"/>
      <c r="L150" s="18"/>
      <c r="M150" s="18"/>
    </row>
    <row r="151" ht="15.75" customHeight="1">
      <c r="A151" s="18"/>
      <c r="B151" s="18"/>
      <c r="C151" s="18"/>
      <c r="E151" s="24"/>
      <c r="H151" s="18"/>
      <c r="I151" s="18"/>
      <c r="J151" s="24"/>
      <c r="K151" s="24"/>
      <c r="L151" s="18"/>
      <c r="M151" s="18"/>
    </row>
    <row r="152" ht="15.75" customHeight="1">
      <c r="A152" s="18"/>
      <c r="B152" s="18"/>
      <c r="C152" s="18"/>
      <c r="E152" s="24"/>
      <c r="H152" s="18"/>
      <c r="I152" s="18"/>
      <c r="J152" s="24"/>
      <c r="K152" s="24"/>
      <c r="L152" s="18"/>
      <c r="M152" s="18"/>
    </row>
    <row r="153" ht="15.75" customHeight="1">
      <c r="A153" s="18"/>
      <c r="B153" s="18"/>
      <c r="C153" s="18"/>
      <c r="E153" s="24"/>
      <c r="H153" s="18"/>
      <c r="I153" s="18"/>
      <c r="J153" s="24"/>
      <c r="K153" s="24"/>
      <c r="L153" s="18"/>
      <c r="M153" s="18"/>
    </row>
    <row r="154" ht="15.75" customHeight="1">
      <c r="A154" s="18"/>
      <c r="B154" s="18"/>
      <c r="C154" s="18"/>
      <c r="E154" s="24"/>
      <c r="H154" s="18"/>
      <c r="I154" s="18"/>
      <c r="J154" s="24"/>
      <c r="K154" s="24"/>
      <c r="L154" s="18"/>
      <c r="M154" s="18"/>
    </row>
    <row r="155" ht="15.75" customHeight="1">
      <c r="A155" s="18"/>
      <c r="B155" s="18"/>
      <c r="C155" s="18"/>
      <c r="E155" s="24"/>
      <c r="H155" s="18"/>
      <c r="I155" s="18"/>
      <c r="J155" s="24"/>
      <c r="K155" s="24"/>
      <c r="L155" s="18"/>
      <c r="M155" s="18"/>
    </row>
    <row r="156" ht="15.75" customHeight="1">
      <c r="A156" s="18"/>
      <c r="B156" s="18"/>
      <c r="C156" s="18"/>
      <c r="E156" s="24"/>
      <c r="H156" s="18"/>
      <c r="I156" s="18"/>
      <c r="J156" s="24"/>
      <c r="K156" s="24"/>
      <c r="L156" s="18"/>
      <c r="M156" s="18"/>
    </row>
    <row r="157" ht="15.75" customHeight="1">
      <c r="A157" s="18"/>
      <c r="B157" s="18"/>
      <c r="C157" s="18"/>
      <c r="E157" s="24"/>
      <c r="H157" s="18"/>
      <c r="I157" s="18"/>
      <c r="J157" s="24"/>
      <c r="K157" s="24"/>
      <c r="L157" s="18"/>
      <c r="M157" s="18"/>
    </row>
    <row r="158" ht="15.75" customHeight="1">
      <c r="A158" s="18"/>
      <c r="B158" s="18"/>
      <c r="C158" s="18"/>
      <c r="E158" s="24"/>
      <c r="H158" s="18"/>
      <c r="I158" s="18"/>
      <c r="J158" s="24"/>
      <c r="K158" s="24"/>
      <c r="L158" s="18"/>
      <c r="M158" s="18"/>
    </row>
    <row r="159" ht="15.75" customHeight="1">
      <c r="A159" s="18"/>
      <c r="B159" s="18"/>
      <c r="C159" s="18"/>
      <c r="E159" s="24"/>
      <c r="H159" s="18"/>
      <c r="I159" s="18"/>
      <c r="J159" s="24"/>
      <c r="K159" s="24"/>
      <c r="L159" s="18"/>
      <c r="M159" s="18"/>
    </row>
    <row r="160" ht="15.75" customHeight="1">
      <c r="A160" s="18"/>
      <c r="B160" s="18"/>
      <c r="C160" s="18"/>
      <c r="E160" s="24"/>
      <c r="H160" s="18"/>
      <c r="I160" s="18"/>
      <c r="J160" s="24"/>
      <c r="K160" s="24"/>
      <c r="L160" s="18"/>
      <c r="M160" s="18"/>
    </row>
    <row r="161" ht="15.75" customHeight="1">
      <c r="A161" s="18"/>
      <c r="B161" s="18"/>
      <c r="C161" s="18"/>
      <c r="E161" s="24"/>
      <c r="H161" s="18"/>
      <c r="I161" s="18"/>
      <c r="J161" s="24"/>
      <c r="K161" s="24"/>
      <c r="L161" s="18"/>
      <c r="M161" s="18"/>
    </row>
    <row r="162" ht="15.75" customHeight="1">
      <c r="A162" s="18"/>
      <c r="B162" s="18"/>
      <c r="C162" s="18"/>
      <c r="E162" s="24"/>
      <c r="H162" s="18"/>
      <c r="I162" s="18"/>
      <c r="J162" s="24"/>
      <c r="K162" s="24"/>
      <c r="L162" s="18"/>
      <c r="M162" s="18"/>
    </row>
    <row r="163" ht="15.75" customHeight="1">
      <c r="A163" s="18"/>
      <c r="B163" s="18"/>
      <c r="C163" s="18"/>
      <c r="E163" s="24"/>
      <c r="H163" s="18"/>
      <c r="I163" s="18"/>
      <c r="J163" s="24"/>
      <c r="K163" s="24"/>
      <c r="L163" s="18"/>
      <c r="M163" s="18"/>
    </row>
    <row r="164" ht="15.75" customHeight="1">
      <c r="A164" s="18"/>
      <c r="B164" s="18"/>
      <c r="C164" s="18"/>
      <c r="E164" s="24"/>
      <c r="H164" s="18"/>
      <c r="I164" s="18"/>
      <c r="J164" s="24"/>
      <c r="K164" s="24"/>
      <c r="L164" s="18"/>
      <c r="M164" s="18"/>
    </row>
    <row r="165" ht="15.75" customHeight="1">
      <c r="A165" s="18"/>
      <c r="B165" s="18"/>
      <c r="C165" s="18"/>
      <c r="E165" s="24"/>
      <c r="H165" s="18"/>
      <c r="I165" s="18"/>
      <c r="J165" s="24"/>
      <c r="K165" s="24"/>
      <c r="L165" s="18"/>
      <c r="M165" s="18"/>
    </row>
    <row r="166" ht="15.75" customHeight="1">
      <c r="A166" s="18"/>
      <c r="B166" s="18"/>
      <c r="C166" s="18"/>
      <c r="E166" s="24"/>
      <c r="H166" s="18"/>
      <c r="I166" s="18"/>
      <c r="J166" s="24"/>
      <c r="K166" s="24"/>
      <c r="L166" s="18"/>
      <c r="M166" s="18"/>
    </row>
    <row r="167" ht="15.75" customHeight="1">
      <c r="A167" s="18"/>
      <c r="B167" s="18"/>
      <c r="C167" s="18"/>
      <c r="E167" s="24"/>
      <c r="H167" s="18"/>
      <c r="I167" s="18"/>
      <c r="J167" s="24"/>
      <c r="K167" s="24"/>
      <c r="L167" s="18"/>
      <c r="M167" s="18"/>
    </row>
    <row r="168" ht="15.75" customHeight="1">
      <c r="A168" s="18"/>
      <c r="B168" s="18"/>
      <c r="C168" s="18"/>
      <c r="E168" s="24"/>
      <c r="H168" s="18"/>
      <c r="I168" s="18"/>
      <c r="J168" s="24"/>
      <c r="K168" s="24"/>
      <c r="L168" s="18"/>
      <c r="M168" s="18"/>
    </row>
    <row r="169" ht="15.75" customHeight="1">
      <c r="A169" s="18"/>
      <c r="B169" s="18"/>
      <c r="C169" s="18"/>
      <c r="E169" s="24"/>
      <c r="H169" s="18"/>
      <c r="I169" s="18"/>
      <c r="J169" s="24"/>
      <c r="K169" s="24"/>
      <c r="L169" s="18"/>
      <c r="M169" s="18"/>
    </row>
    <row r="170" ht="15.75" customHeight="1">
      <c r="A170" s="18"/>
      <c r="B170" s="18"/>
      <c r="C170" s="18"/>
      <c r="E170" s="24"/>
      <c r="H170" s="18"/>
      <c r="I170" s="18"/>
      <c r="J170" s="24"/>
      <c r="K170" s="24"/>
      <c r="L170" s="18"/>
      <c r="M170" s="18"/>
    </row>
    <row r="171" ht="15.75" customHeight="1">
      <c r="A171" s="18"/>
      <c r="B171" s="18"/>
      <c r="C171" s="18"/>
      <c r="E171" s="24"/>
      <c r="H171" s="18"/>
      <c r="I171" s="18"/>
      <c r="J171" s="24"/>
      <c r="K171" s="24"/>
      <c r="L171" s="18"/>
      <c r="M171" s="18"/>
    </row>
    <row r="172" ht="15.75" customHeight="1">
      <c r="A172" s="18"/>
      <c r="B172" s="18"/>
      <c r="C172" s="18"/>
      <c r="E172" s="24"/>
      <c r="H172" s="18"/>
      <c r="I172" s="18"/>
      <c r="J172" s="24"/>
      <c r="K172" s="24"/>
      <c r="L172" s="18"/>
      <c r="M172" s="18"/>
    </row>
    <row r="173" ht="15.75" customHeight="1">
      <c r="A173" s="18"/>
      <c r="B173" s="18"/>
      <c r="C173" s="18"/>
      <c r="E173" s="24"/>
      <c r="H173" s="18"/>
      <c r="I173" s="18"/>
      <c r="J173" s="24"/>
      <c r="K173" s="24"/>
      <c r="L173" s="18"/>
      <c r="M173" s="18"/>
    </row>
    <row r="174" ht="15.75" customHeight="1">
      <c r="A174" s="18"/>
      <c r="B174" s="18"/>
      <c r="C174" s="18"/>
      <c r="E174" s="24"/>
      <c r="H174" s="18"/>
      <c r="I174" s="18"/>
      <c r="J174" s="24"/>
      <c r="K174" s="24"/>
      <c r="L174" s="18"/>
      <c r="M174" s="18"/>
    </row>
    <row r="175" ht="15.75" customHeight="1">
      <c r="A175" s="18"/>
      <c r="B175" s="18"/>
      <c r="C175" s="18"/>
      <c r="E175" s="24"/>
      <c r="H175" s="18"/>
      <c r="I175" s="18"/>
      <c r="J175" s="24"/>
      <c r="K175" s="24"/>
      <c r="L175" s="18"/>
      <c r="M175" s="18"/>
    </row>
    <row r="176" ht="15.75" customHeight="1">
      <c r="A176" s="18"/>
      <c r="B176" s="18"/>
      <c r="C176" s="18"/>
      <c r="E176" s="24"/>
      <c r="H176" s="18"/>
      <c r="I176" s="18"/>
      <c r="J176" s="24"/>
      <c r="K176" s="24"/>
      <c r="L176" s="18"/>
      <c r="M176" s="18"/>
    </row>
    <row r="177" ht="15.75" customHeight="1">
      <c r="A177" s="18"/>
      <c r="B177" s="18"/>
      <c r="C177" s="18"/>
      <c r="E177" s="24"/>
      <c r="H177" s="18"/>
      <c r="I177" s="18"/>
      <c r="J177" s="24"/>
      <c r="K177" s="24"/>
      <c r="L177" s="18"/>
      <c r="M177" s="18"/>
    </row>
    <row r="178" ht="15.75" customHeight="1">
      <c r="A178" s="18"/>
      <c r="B178" s="18"/>
      <c r="C178" s="18"/>
      <c r="E178" s="24"/>
      <c r="H178" s="18"/>
      <c r="I178" s="18"/>
      <c r="J178" s="24"/>
      <c r="K178" s="24"/>
      <c r="L178" s="18"/>
      <c r="M178" s="18"/>
    </row>
    <row r="179" ht="15.75" customHeight="1">
      <c r="A179" s="18"/>
      <c r="B179" s="18"/>
      <c r="C179" s="18"/>
      <c r="E179" s="24"/>
      <c r="H179" s="18"/>
      <c r="I179" s="18"/>
      <c r="J179" s="24"/>
      <c r="K179" s="24"/>
      <c r="L179" s="18"/>
      <c r="M179" s="18"/>
    </row>
    <row r="180" ht="15.75" customHeight="1">
      <c r="A180" s="18"/>
      <c r="B180" s="18"/>
      <c r="C180" s="18"/>
      <c r="E180" s="24"/>
      <c r="H180" s="18"/>
      <c r="I180" s="18"/>
      <c r="J180" s="24"/>
      <c r="K180" s="24"/>
      <c r="L180" s="18"/>
      <c r="M180" s="18"/>
    </row>
    <row r="181" ht="15.75" customHeight="1">
      <c r="A181" s="18"/>
      <c r="B181" s="18"/>
      <c r="C181" s="18"/>
      <c r="E181" s="24"/>
      <c r="H181" s="18"/>
      <c r="I181" s="18"/>
      <c r="J181" s="24"/>
      <c r="K181" s="24"/>
      <c r="L181" s="18"/>
      <c r="M181" s="18"/>
    </row>
    <row r="182" ht="15.75" customHeight="1">
      <c r="A182" s="18"/>
      <c r="B182" s="18"/>
      <c r="C182" s="18"/>
      <c r="E182" s="24"/>
      <c r="H182" s="18"/>
      <c r="I182" s="18"/>
      <c r="J182" s="24"/>
      <c r="K182" s="24"/>
      <c r="L182" s="18"/>
      <c r="M182" s="18"/>
    </row>
    <row r="183" ht="15.75" customHeight="1">
      <c r="A183" s="18"/>
      <c r="B183" s="18"/>
      <c r="C183" s="18"/>
      <c r="E183" s="24"/>
      <c r="H183" s="18"/>
      <c r="I183" s="18"/>
      <c r="J183" s="24"/>
      <c r="K183" s="24"/>
      <c r="L183" s="18"/>
      <c r="M183" s="18"/>
    </row>
    <row r="184" ht="15.75" customHeight="1">
      <c r="A184" s="18"/>
      <c r="B184" s="18"/>
      <c r="C184" s="18"/>
      <c r="E184" s="24"/>
      <c r="H184" s="18"/>
      <c r="I184" s="18"/>
      <c r="J184" s="24"/>
      <c r="K184" s="24"/>
      <c r="L184" s="18"/>
      <c r="M184" s="18"/>
    </row>
    <row r="185" ht="15.75" customHeight="1">
      <c r="A185" s="18"/>
      <c r="B185" s="18"/>
      <c r="C185" s="18"/>
      <c r="E185" s="24"/>
      <c r="H185" s="18"/>
      <c r="I185" s="18"/>
      <c r="J185" s="24"/>
      <c r="K185" s="24"/>
      <c r="L185" s="18"/>
      <c r="M185" s="18"/>
    </row>
    <row r="186" ht="15.75" customHeight="1">
      <c r="A186" s="18"/>
      <c r="B186" s="18"/>
      <c r="C186" s="18"/>
      <c r="E186" s="24"/>
      <c r="H186" s="18"/>
      <c r="I186" s="18"/>
      <c r="J186" s="24"/>
      <c r="K186" s="24"/>
      <c r="L186" s="18"/>
      <c r="M186" s="18"/>
    </row>
    <row r="187" ht="15.75" customHeight="1">
      <c r="A187" s="18"/>
      <c r="B187" s="18"/>
      <c r="C187" s="18"/>
      <c r="E187" s="24"/>
      <c r="H187" s="18"/>
      <c r="I187" s="18"/>
      <c r="J187" s="24"/>
      <c r="K187" s="24"/>
      <c r="L187" s="18"/>
      <c r="M187" s="18"/>
    </row>
    <row r="188" ht="15.75" customHeight="1">
      <c r="A188" s="18"/>
      <c r="B188" s="18"/>
      <c r="C188" s="18"/>
      <c r="E188" s="24"/>
      <c r="H188" s="18"/>
      <c r="I188" s="18"/>
      <c r="J188" s="24"/>
      <c r="K188" s="24"/>
      <c r="L188" s="18"/>
      <c r="M188" s="18"/>
    </row>
    <row r="189" ht="15.75" customHeight="1">
      <c r="A189" s="18"/>
      <c r="B189" s="18"/>
      <c r="C189" s="18"/>
      <c r="E189" s="24"/>
      <c r="H189" s="18"/>
      <c r="I189" s="18"/>
      <c r="J189" s="24"/>
      <c r="K189" s="24"/>
      <c r="L189" s="18"/>
      <c r="M189" s="18"/>
    </row>
    <row r="190" ht="15.75" customHeight="1">
      <c r="A190" s="18"/>
      <c r="B190" s="18"/>
      <c r="C190" s="18"/>
      <c r="E190" s="24"/>
      <c r="H190" s="18"/>
      <c r="I190" s="18"/>
      <c r="J190" s="24"/>
      <c r="K190" s="24"/>
      <c r="L190" s="18"/>
      <c r="M190" s="18"/>
    </row>
    <row r="191" ht="15.75" customHeight="1">
      <c r="A191" s="18"/>
      <c r="B191" s="18"/>
      <c r="C191" s="18"/>
      <c r="E191" s="24"/>
      <c r="H191" s="18"/>
      <c r="I191" s="18"/>
      <c r="J191" s="24"/>
      <c r="K191" s="24"/>
      <c r="L191" s="18"/>
      <c r="M191" s="18"/>
    </row>
    <row r="192" ht="15.75" customHeight="1">
      <c r="A192" s="18"/>
      <c r="B192" s="18"/>
      <c r="C192" s="18"/>
      <c r="E192" s="24"/>
      <c r="H192" s="18"/>
      <c r="I192" s="18"/>
      <c r="J192" s="24"/>
      <c r="K192" s="24"/>
      <c r="L192" s="18"/>
      <c r="M192" s="18"/>
    </row>
    <row r="193" ht="15.75" customHeight="1">
      <c r="A193" s="18"/>
      <c r="B193" s="18"/>
      <c r="C193" s="18"/>
      <c r="E193" s="24"/>
      <c r="H193" s="18"/>
      <c r="I193" s="18"/>
      <c r="J193" s="24"/>
      <c r="K193" s="24"/>
      <c r="L193" s="18"/>
      <c r="M193" s="18"/>
    </row>
    <row r="194" ht="15.75" customHeight="1">
      <c r="A194" s="18"/>
      <c r="B194" s="18"/>
      <c r="C194" s="18"/>
      <c r="E194" s="24"/>
      <c r="H194" s="18"/>
      <c r="I194" s="18"/>
      <c r="J194" s="24"/>
      <c r="K194" s="24"/>
      <c r="L194" s="18"/>
      <c r="M194" s="18"/>
    </row>
    <row r="195" ht="15.75" customHeight="1">
      <c r="A195" s="18"/>
      <c r="B195" s="18"/>
      <c r="C195" s="18"/>
      <c r="E195" s="24"/>
      <c r="H195" s="18"/>
      <c r="I195" s="18"/>
      <c r="J195" s="24"/>
      <c r="K195" s="24"/>
      <c r="L195" s="18"/>
      <c r="M195" s="18"/>
    </row>
    <row r="196" ht="15.75" customHeight="1">
      <c r="A196" s="18"/>
      <c r="B196" s="18"/>
      <c r="C196" s="18"/>
      <c r="E196" s="24"/>
      <c r="H196" s="18"/>
      <c r="I196" s="18"/>
      <c r="J196" s="24"/>
      <c r="K196" s="24"/>
      <c r="L196" s="18"/>
      <c r="M196" s="18"/>
    </row>
    <row r="197" ht="15.75" customHeight="1">
      <c r="A197" s="18"/>
      <c r="B197" s="18"/>
      <c r="C197" s="18"/>
      <c r="E197" s="24"/>
      <c r="H197" s="18"/>
      <c r="I197" s="18"/>
      <c r="J197" s="24"/>
      <c r="K197" s="24"/>
      <c r="L197" s="18"/>
      <c r="M197" s="18"/>
    </row>
    <row r="198" ht="15.75" customHeight="1">
      <c r="A198" s="18"/>
      <c r="B198" s="18"/>
      <c r="C198" s="18"/>
      <c r="E198" s="24"/>
      <c r="H198" s="18"/>
      <c r="I198" s="18"/>
      <c r="J198" s="24"/>
      <c r="K198" s="24"/>
      <c r="L198" s="18"/>
      <c r="M198" s="18"/>
    </row>
    <row r="199" ht="15.75" customHeight="1">
      <c r="A199" s="18"/>
      <c r="B199" s="18"/>
      <c r="C199" s="18"/>
      <c r="E199" s="24"/>
      <c r="H199" s="18"/>
      <c r="I199" s="18"/>
      <c r="J199" s="24"/>
      <c r="K199" s="24"/>
      <c r="L199" s="18"/>
      <c r="M199" s="18"/>
    </row>
    <row r="200" ht="15.75" customHeight="1">
      <c r="A200" s="18"/>
      <c r="B200" s="18"/>
      <c r="C200" s="18"/>
      <c r="E200" s="24"/>
      <c r="H200" s="18"/>
      <c r="I200" s="18"/>
      <c r="J200" s="24"/>
      <c r="K200" s="24"/>
      <c r="L200" s="18"/>
      <c r="M200" s="18"/>
    </row>
    <row r="201" ht="15.75" customHeight="1">
      <c r="A201" s="18"/>
      <c r="B201" s="18"/>
      <c r="C201" s="18"/>
      <c r="E201" s="24"/>
      <c r="H201" s="18"/>
      <c r="I201" s="18"/>
      <c r="J201" s="24"/>
      <c r="K201" s="24"/>
      <c r="L201" s="18"/>
      <c r="M201" s="18"/>
    </row>
    <row r="202" ht="15.75" customHeight="1">
      <c r="A202" s="18"/>
      <c r="B202" s="18"/>
      <c r="C202" s="18"/>
      <c r="E202" s="24"/>
      <c r="H202" s="18"/>
      <c r="I202" s="18"/>
      <c r="J202" s="24"/>
      <c r="K202" s="24"/>
      <c r="L202" s="18"/>
      <c r="M202" s="18"/>
    </row>
    <row r="203" ht="15.75" customHeight="1">
      <c r="A203" s="18"/>
      <c r="B203" s="18"/>
      <c r="C203" s="18"/>
      <c r="E203" s="24"/>
      <c r="H203" s="18"/>
      <c r="I203" s="18"/>
      <c r="J203" s="24"/>
      <c r="K203" s="24"/>
      <c r="L203" s="18"/>
      <c r="M203" s="18"/>
    </row>
    <row r="204" ht="15.75" customHeight="1">
      <c r="A204" s="18"/>
      <c r="B204" s="18"/>
      <c r="C204" s="18"/>
      <c r="E204" s="24"/>
      <c r="H204" s="18"/>
      <c r="I204" s="18"/>
      <c r="J204" s="24"/>
      <c r="K204" s="24"/>
      <c r="L204" s="18"/>
      <c r="M204" s="18"/>
    </row>
    <row r="205" ht="15.75" customHeight="1">
      <c r="A205" s="18"/>
      <c r="B205" s="18"/>
      <c r="C205" s="18"/>
      <c r="E205" s="24"/>
      <c r="H205" s="18"/>
      <c r="I205" s="18"/>
      <c r="J205" s="24"/>
      <c r="K205" s="24"/>
      <c r="L205" s="18"/>
      <c r="M205" s="18"/>
    </row>
    <row r="206" ht="15.75" customHeight="1">
      <c r="A206" s="18"/>
      <c r="B206" s="18"/>
      <c r="C206" s="18"/>
      <c r="E206" s="24"/>
      <c r="H206" s="18"/>
      <c r="I206" s="18"/>
      <c r="J206" s="24"/>
      <c r="K206" s="24"/>
      <c r="L206" s="18"/>
      <c r="M206" s="18"/>
    </row>
    <row r="207" ht="15.75" customHeight="1">
      <c r="A207" s="18"/>
      <c r="B207" s="18"/>
      <c r="C207" s="18"/>
      <c r="E207" s="24"/>
      <c r="H207" s="18"/>
      <c r="I207" s="18"/>
      <c r="J207" s="24"/>
      <c r="K207" s="24"/>
      <c r="L207" s="18"/>
      <c r="M207" s="18"/>
    </row>
    <row r="208" ht="15.75" customHeight="1">
      <c r="A208" s="18"/>
      <c r="B208" s="18"/>
      <c r="C208" s="18"/>
      <c r="E208" s="24"/>
      <c r="H208" s="18"/>
      <c r="I208" s="18"/>
      <c r="J208" s="24"/>
      <c r="K208" s="24"/>
      <c r="L208" s="18"/>
      <c r="M208" s="18"/>
    </row>
    <row r="209" ht="15.75" customHeight="1">
      <c r="A209" s="18"/>
      <c r="B209" s="18"/>
      <c r="C209" s="18"/>
      <c r="E209" s="24"/>
      <c r="H209" s="18"/>
      <c r="I209" s="18"/>
      <c r="J209" s="24"/>
      <c r="K209" s="24"/>
      <c r="L209" s="18"/>
      <c r="M209" s="18"/>
    </row>
    <row r="210" ht="15.75" customHeight="1">
      <c r="A210" s="18"/>
      <c r="B210" s="18"/>
      <c r="C210" s="18"/>
      <c r="E210" s="24"/>
      <c r="H210" s="18"/>
      <c r="I210" s="18"/>
      <c r="J210" s="24"/>
      <c r="K210" s="24"/>
      <c r="L210" s="18"/>
      <c r="M210" s="18"/>
    </row>
    <row r="211" ht="15.75" customHeight="1">
      <c r="A211" s="18"/>
      <c r="B211" s="18"/>
      <c r="C211" s="18"/>
      <c r="E211" s="24"/>
      <c r="H211" s="18"/>
      <c r="I211" s="18"/>
      <c r="J211" s="24"/>
      <c r="K211" s="24"/>
      <c r="L211" s="18"/>
      <c r="M211" s="18"/>
    </row>
    <row r="212" ht="15.75" customHeight="1">
      <c r="A212" s="18"/>
      <c r="B212" s="18"/>
      <c r="C212" s="18"/>
      <c r="E212" s="24"/>
      <c r="H212" s="18"/>
      <c r="I212" s="18"/>
      <c r="J212" s="24"/>
      <c r="K212" s="24"/>
      <c r="L212" s="18"/>
      <c r="M212" s="18"/>
    </row>
    <row r="213" ht="15.75" customHeight="1">
      <c r="A213" s="18"/>
      <c r="B213" s="18"/>
      <c r="C213" s="18"/>
      <c r="E213" s="24"/>
      <c r="H213" s="18"/>
      <c r="I213" s="18"/>
      <c r="J213" s="24"/>
      <c r="K213" s="24"/>
      <c r="L213" s="18"/>
      <c r="M213" s="18"/>
    </row>
    <row r="214" ht="15.75" customHeight="1">
      <c r="A214" s="18"/>
      <c r="B214" s="18"/>
      <c r="C214" s="18"/>
      <c r="E214" s="24"/>
      <c r="H214" s="18"/>
      <c r="I214" s="18"/>
      <c r="J214" s="24"/>
      <c r="K214" s="24"/>
      <c r="L214" s="18"/>
      <c r="M214" s="18"/>
    </row>
    <row r="215" ht="15.75" customHeight="1">
      <c r="A215" s="18"/>
      <c r="B215" s="18"/>
      <c r="C215" s="18"/>
      <c r="E215" s="24"/>
      <c r="H215" s="18"/>
      <c r="I215" s="18"/>
      <c r="J215" s="24"/>
      <c r="K215" s="24"/>
      <c r="L215" s="18"/>
      <c r="M215" s="18"/>
    </row>
    <row r="216" ht="15.75" customHeight="1">
      <c r="A216" s="18"/>
      <c r="B216" s="18"/>
      <c r="C216" s="18"/>
      <c r="E216" s="24"/>
      <c r="H216" s="18"/>
      <c r="I216" s="18"/>
      <c r="J216" s="24"/>
      <c r="K216" s="24"/>
      <c r="L216" s="18"/>
      <c r="M216" s="18"/>
    </row>
    <row r="217" ht="15.75" customHeight="1">
      <c r="A217" s="18"/>
      <c r="B217" s="18"/>
      <c r="C217" s="18"/>
      <c r="E217" s="24"/>
      <c r="H217" s="18"/>
      <c r="I217" s="18"/>
      <c r="J217" s="24"/>
      <c r="K217" s="24"/>
      <c r="L217" s="18"/>
      <c r="M217" s="18"/>
    </row>
    <row r="218" ht="15.75" customHeight="1">
      <c r="A218" s="18"/>
      <c r="B218" s="18"/>
      <c r="C218" s="18"/>
      <c r="E218" s="24"/>
      <c r="H218" s="18"/>
      <c r="I218" s="18"/>
      <c r="J218" s="24"/>
      <c r="K218" s="24"/>
      <c r="L218" s="18"/>
      <c r="M218" s="18"/>
    </row>
    <row r="219" ht="15.75" customHeight="1">
      <c r="A219" s="18"/>
      <c r="B219" s="18"/>
      <c r="C219" s="18"/>
      <c r="E219" s="24"/>
      <c r="H219" s="18"/>
      <c r="I219" s="18"/>
      <c r="J219" s="24"/>
      <c r="K219" s="24"/>
      <c r="L219" s="18"/>
      <c r="M219" s="18"/>
    </row>
    <row r="220" ht="15.75" customHeight="1">
      <c r="A220" s="18"/>
      <c r="B220" s="18"/>
      <c r="C220" s="18"/>
      <c r="E220" s="24"/>
      <c r="H220" s="18"/>
      <c r="I220" s="18"/>
      <c r="J220" s="24"/>
      <c r="K220" s="24"/>
      <c r="L220" s="18"/>
      <c r="M220" s="18"/>
    </row>
    <row r="221" ht="15.75" customHeight="1">
      <c r="A221" s="18"/>
      <c r="B221" s="18"/>
      <c r="C221" s="18"/>
      <c r="E221" s="24"/>
      <c r="H221" s="18"/>
      <c r="I221" s="18"/>
      <c r="J221" s="24"/>
      <c r="K221" s="24"/>
      <c r="L221" s="18"/>
      <c r="M221" s="18"/>
    </row>
    <row r="222" ht="15.75" customHeight="1">
      <c r="A222" s="18"/>
      <c r="B222" s="18"/>
      <c r="C222" s="18"/>
      <c r="E222" s="24"/>
      <c r="H222" s="18"/>
      <c r="I222" s="18"/>
      <c r="J222" s="24"/>
      <c r="K222" s="24"/>
      <c r="L222" s="18"/>
      <c r="M222" s="18"/>
    </row>
    <row r="223" ht="15.75" customHeight="1">
      <c r="A223" s="18"/>
      <c r="B223" s="18"/>
      <c r="C223" s="18"/>
      <c r="E223" s="24"/>
      <c r="H223" s="18"/>
      <c r="I223" s="18"/>
      <c r="J223" s="24"/>
      <c r="K223" s="24"/>
      <c r="L223" s="18"/>
      <c r="M223" s="18"/>
    </row>
    <row r="224" ht="15.75" customHeight="1">
      <c r="A224" s="18"/>
      <c r="B224" s="18"/>
      <c r="C224" s="18"/>
      <c r="E224" s="24"/>
      <c r="H224" s="18"/>
      <c r="I224" s="18"/>
      <c r="J224" s="24"/>
      <c r="K224" s="24"/>
      <c r="L224" s="18"/>
      <c r="M224" s="18"/>
    </row>
    <row r="225" ht="15.75" customHeight="1">
      <c r="A225" s="18"/>
      <c r="B225" s="18"/>
      <c r="C225" s="18"/>
      <c r="E225" s="24"/>
      <c r="H225" s="18"/>
      <c r="I225" s="18"/>
      <c r="J225" s="24"/>
      <c r="K225" s="24"/>
      <c r="L225" s="18"/>
      <c r="M225" s="18"/>
    </row>
    <row r="226" ht="15.75" customHeight="1">
      <c r="A226" s="18"/>
      <c r="B226" s="18"/>
      <c r="C226" s="18"/>
      <c r="E226" s="24"/>
      <c r="H226" s="18"/>
      <c r="I226" s="18"/>
      <c r="J226" s="24"/>
      <c r="K226" s="24"/>
      <c r="L226" s="18"/>
      <c r="M226" s="18"/>
    </row>
    <row r="227" ht="15.75" customHeight="1">
      <c r="A227" s="18"/>
      <c r="B227" s="18"/>
      <c r="C227" s="18"/>
      <c r="E227" s="24"/>
      <c r="H227" s="18"/>
      <c r="I227" s="18"/>
      <c r="J227" s="24"/>
      <c r="K227" s="24"/>
      <c r="L227" s="18"/>
      <c r="M227" s="18"/>
    </row>
    <row r="228" ht="15.75" customHeight="1">
      <c r="A228" s="18"/>
      <c r="B228" s="18"/>
      <c r="C228" s="18"/>
      <c r="E228" s="24"/>
      <c r="H228" s="18"/>
      <c r="I228" s="18"/>
      <c r="J228" s="24"/>
      <c r="K228" s="24"/>
      <c r="L228" s="18"/>
      <c r="M228" s="18"/>
    </row>
    <row r="229" ht="15.75" customHeight="1">
      <c r="A229" s="18"/>
      <c r="B229" s="18"/>
      <c r="C229" s="18"/>
      <c r="E229" s="24"/>
      <c r="H229" s="18"/>
      <c r="I229" s="18"/>
      <c r="J229" s="24"/>
      <c r="K229" s="24"/>
      <c r="L229" s="18"/>
      <c r="M229" s="18"/>
    </row>
    <row r="230" ht="15.75" customHeight="1">
      <c r="A230" s="18"/>
      <c r="B230" s="18"/>
      <c r="C230" s="18"/>
      <c r="E230" s="24"/>
      <c r="H230" s="18"/>
      <c r="I230" s="18"/>
      <c r="J230" s="24"/>
      <c r="K230" s="24"/>
      <c r="L230" s="18"/>
      <c r="M230" s="18"/>
    </row>
    <row r="231" ht="15.75" customHeight="1">
      <c r="A231" s="18"/>
      <c r="B231" s="18"/>
      <c r="C231" s="18"/>
      <c r="E231" s="24"/>
      <c r="H231" s="18"/>
      <c r="I231" s="18"/>
      <c r="J231" s="24"/>
      <c r="K231" s="24"/>
      <c r="L231" s="18"/>
      <c r="M231" s="18"/>
    </row>
    <row r="232" ht="15.75" customHeight="1">
      <c r="A232" s="18"/>
      <c r="B232" s="18"/>
      <c r="C232" s="18"/>
      <c r="E232" s="24"/>
      <c r="H232" s="18"/>
      <c r="I232" s="18"/>
      <c r="J232" s="24"/>
      <c r="K232" s="24"/>
      <c r="L232" s="18"/>
      <c r="M232" s="18"/>
    </row>
    <row r="233" ht="15.75" customHeight="1">
      <c r="A233" s="18"/>
      <c r="B233" s="18"/>
      <c r="C233" s="18"/>
      <c r="E233" s="24"/>
      <c r="H233" s="18"/>
      <c r="I233" s="18"/>
      <c r="J233" s="24"/>
      <c r="K233" s="24"/>
      <c r="L233" s="18"/>
      <c r="M233" s="18"/>
    </row>
    <row r="234" ht="15.75" customHeight="1">
      <c r="A234" s="18"/>
      <c r="B234" s="18"/>
      <c r="C234" s="18"/>
      <c r="E234" s="24"/>
      <c r="H234" s="18"/>
      <c r="I234" s="18"/>
      <c r="J234" s="24"/>
      <c r="K234" s="24"/>
      <c r="L234" s="18"/>
      <c r="M234" s="18"/>
    </row>
    <row r="235" ht="15.75" customHeight="1">
      <c r="A235" s="18"/>
      <c r="B235" s="18"/>
      <c r="C235" s="18"/>
      <c r="E235" s="24"/>
      <c r="H235" s="18"/>
      <c r="I235" s="18"/>
      <c r="J235" s="24"/>
      <c r="K235" s="24"/>
      <c r="L235" s="18"/>
      <c r="M235" s="18"/>
    </row>
    <row r="236" ht="15.75" customHeight="1">
      <c r="A236" s="18"/>
      <c r="B236" s="18"/>
      <c r="C236" s="18"/>
      <c r="E236" s="24"/>
      <c r="H236" s="18"/>
      <c r="I236" s="18"/>
      <c r="J236" s="24"/>
      <c r="K236" s="24"/>
      <c r="L236" s="18"/>
      <c r="M236" s="18"/>
    </row>
    <row r="237" ht="15.75" customHeight="1">
      <c r="A237" s="18"/>
      <c r="B237" s="18"/>
      <c r="C237" s="18"/>
      <c r="E237" s="24"/>
      <c r="H237" s="18"/>
      <c r="I237" s="18"/>
      <c r="J237" s="24"/>
      <c r="K237" s="24"/>
      <c r="L237" s="18"/>
      <c r="M237" s="18"/>
    </row>
    <row r="238" ht="15.75" customHeight="1">
      <c r="A238" s="18"/>
      <c r="B238" s="18"/>
      <c r="C238" s="18"/>
      <c r="E238" s="24"/>
      <c r="H238" s="18"/>
      <c r="I238" s="18"/>
      <c r="J238" s="24"/>
      <c r="K238" s="24"/>
      <c r="L238" s="18"/>
      <c r="M238" s="18"/>
    </row>
    <row r="239" ht="15.75" customHeight="1">
      <c r="A239" s="18"/>
      <c r="B239" s="18"/>
      <c r="C239" s="18"/>
      <c r="E239" s="24"/>
      <c r="H239" s="18"/>
      <c r="I239" s="18"/>
      <c r="J239" s="24"/>
      <c r="K239" s="24"/>
      <c r="L239" s="18"/>
      <c r="M239" s="18"/>
    </row>
    <row r="240" ht="15.75" customHeight="1">
      <c r="A240" s="18"/>
      <c r="B240" s="18"/>
      <c r="C240" s="18"/>
      <c r="E240" s="24"/>
      <c r="H240" s="18"/>
      <c r="I240" s="18"/>
      <c r="J240" s="24"/>
      <c r="K240" s="24"/>
      <c r="L240" s="18"/>
      <c r="M240" s="18"/>
    </row>
    <row r="241" ht="15.75" customHeight="1">
      <c r="A241" s="18"/>
      <c r="B241" s="18"/>
      <c r="C241" s="18"/>
      <c r="E241" s="24"/>
      <c r="H241" s="18"/>
      <c r="I241" s="18"/>
      <c r="J241" s="24"/>
      <c r="K241" s="24"/>
      <c r="L241" s="18"/>
      <c r="M241" s="18"/>
    </row>
    <row r="242" ht="15.75" customHeight="1">
      <c r="A242" s="18"/>
      <c r="B242" s="18"/>
      <c r="C242" s="18"/>
      <c r="E242" s="24"/>
      <c r="H242" s="18"/>
      <c r="I242" s="18"/>
      <c r="J242" s="24"/>
      <c r="K242" s="24"/>
      <c r="L242" s="18"/>
      <c r="M242" s="18"/>
    </row>
    <row r="243" ht="15.75" customHeight="1">
      <c r="A243" s="18"/>
      <c r="B243" s="18"/>
      <c r="C243" s="18"/>
      <c r="E243" s="24"/>
      <c r="H243" s="18"/>
      <c r="I243" s="18"/>
      <c r="J243" s="24"/>
      <c r="K243" s="24"/>
      <c r="L243" s="18"/>
      <c r="M243" s="18"/>
    </row>
    <row r="244" ht="15.75" customHeight="1">
      <c r="A244" s="18"/>
      <c r="B244" s="18"/>
      <c r="C244" s="18"/>
      <c r="E244" s="24"/>
      <c r="H244" s="18"/>
      <c r="I244" s="18"/>
      <c r="J244" s="24"/>
      <c r="K244" s="24"/>
      <c r="L244" s="18"/>
      <c r="M244" s="18"/>
    </row>
    <row r="245" ht="15.75" customHeight="1">
      <c r="A245" s="18"/>
      <c r="B245" s="18"/>
      <c r="C245" s="18"/>
      <c r="E245" s="24"/>
      <c r="H245" s="18"/>
      <c r="I245" s="18"/>
      <c r="J245" s="24"/>
      <c r="K245" s="24"/>
      <c r="L245" s="18"/>
      <c r="M245" s="18"/>
    </row>
    <row r="246" ht="15.75" customHeight="1">
      <c r="A246" s="18"/>
      <c r="B246" s="18"/>
      <c r="C246" s="18"/>
      <c r="E246" s="24"/>
      <c r="H246" s="18"/>
      <c r="I246" s="18"/>
      <c r="J246" s="24"/>
      <c r="K246" s="24"/>
      <c r="L246" s="18"/>
      <c r="M246" s="18"/>
    </row>
    <row r="247" ht="15.75" customHeight="1">
      <c r="A247" s="18"/>
      <c r="B247" s="18"/>
      <c r="C247" s="18"/>
      <c r="E247" s="24"/>
      <c r="H247" s="18"/>
      <c r="I247" s="18"/>
      <c r="J247" s="24"/>
      <c r="K247" s="24"/>
      <c r="L247" s="18"/>
      <c r="M247" s="18"/>
    </row>
    <row r="248" ht="15.75" customHeight="1">
      <c r="A248" s="18"/>
      <c r="B248" s="18"/>
      <c r="C248" s="18"/>
      <c r="E248" s="24"/>
      <c r="H248" s="18"/>
      <c r="I248" s="18"/>
      <c r="J248" s="24"/>
      <c r="K248" s="24"/>
      <c r="L248" s="18"/>
      <c r="M248" s="18"/>
    </row>
    <row r="249" ht="15.75" customHeight="1">
      <c r="A249" s="18"/>
      <c r="B249" s="18"/>
      <c r="C249" s="18"/>
      <c r="E249" s="24"/>
      <c r="H249" s="18"/>
      <c r="I249" s="18"/>
      <c r="J249" s="24"/>
      <c r="K249" s="24"/>
      <c r="L249" s="18"/>
      <c r="M249" s="18"/>
    </row>
    <row r="250" ht="15.75" customHeight="1">
      <c r="A250" s="18"/>
      <c r="B250" s="18"/>
      <c r="C250" s="18"/>
      <c r="E250" s="24"/>
      <c r="H250" s="18"/>
      <c r="I250" s="18"/>
      <c r="J250" s="24"/>
      <c r="K250" s="24"/>
      <c r="L250" s="18"/>
      <c r="M250" s="18"/>
    </row>
    <row r="251" ht="15.75" customHeight="1">
      <c r="A251" s="18"/>
      <c r="B251" s="18"/>
      <c r="C251" s="18"/>
      <c r="E251" s="24"/>
      <c r="H251" s="18"/>
      <c r="I251" s="18"/>
      <c r="J251" s="24"/>
      <c r="K251" s="24"/>
      <c r="L251" s="18"/>
      <c r="M251" s="18"/>
    </row>
    <row r="252" ht="15.75" customHeight="1">
      <c r="A252" s="18"/>
      <c r="B252" s="18"/>
      <c r="C252" s="18"/>
      <c r="E252" s="24"/>
      <c r="H252" s="18"/>
      <c r="I252" s="18"/>
      <c r="J252" s="24"/>
      <c r="K252" s="24"/>
      <c r="L252" s="18"/>
      <c r="M252" s="18"/>
    </row>
    <row r="253" ht="15.75" customHeight="1">
      <c r="A253" s="18"/>
      <c r="B253" s="18"/>
      <c r="C253" s="18"/>
      <c r="E253" s="24"/>
      <c r="H253" s="18"/>
      <c r="I253" s="18"/>
      <c r="J253" s="24"/>
      <c r="K253" s="24"/>
      <c r="L253" s="18"/>
      <c r="M253" s="18"/>
    </row>
    <row r="254" ht="15.75" customHeight="1">
      <c r="A254" s="18"/>
      <c r="B254" s="18"/>
      <c r="C254" s="18"/>
      <c r="E254" s="24"/>
      <c r="H254" s="18"/>
      <c r="I254" s="18"/>
      <c r="J254" s="24"/>
      <c r="K254" s="24"/>
      <c r="L254" s="18"/>
      <c r="M254" s="18"/>
    </row>
    <row r="255" ht="15.75" customHeight="1">
      <c r="A255" s="18"/>
      <c r="B255" s="18"/>
      <c r="C255" s="18"/>
      <c r="E255" s="24"/>
      <c r="H255" s="18"/>
      <c r="I255" s="18"/>
      <c r="J255" s="24"/>
      <c r="K255" s="24"/>
      <c r="L255" s="18"/>
      <c r="M255" s="18"/>
    </row>
    <row r="256" ht="15.75" customHeight="1">
      <c r="A256" s="18"/>
      <c r="B256" s="18"/>
      <c r="C256" s="18"/>
      <c r="E256" s="24"/>
      <c r="H256" s="18"/>
      <c r="I256" s="18"/>
      <c r="J256" s="24"/>
      <c r="K256" s="24"/>
      <c r="L256" s="18"/>
      <c r="M256" s="18"/>
    </row>
    <row r="257" ht="15.75" customHeight="1">
      <c r="A257" s="18"/>
      <c r="B257" s="18"/>
      <c r="C257" s="18"/>
      <c r="E257" s="24"/>
      <c r="H257" s="18"/>
      <c r="I257" s="18"/>
      <c r="J257" s="24"/>
      <c r="K257" s="24"/>
      <c r="L257" s="18"/>
      <c r="M257" s="18"/>
    </row>
    <row r="258" ht="15.75" customHeight="1">
      <c r="A258" s="18"/>
      <c r="B258" s="18"/>
      <c r="C258" s="18"/>
      <c r="E258" s="24"/>
      <c r="H258" s="18"/>
      <c r="I258" s="18"/>
      <c r="J258" s="24"/>
      <c r="K258" s="24"/>
      <c r="L258" s="18"/>
      <c r="M258" s="18"/>
    </row>
    <row r="259" ht="15.75" customHeight="1">
      <c r="A259" s="18"/>
      <c r="B259" s="18"/>
      <c r="C259" s="18"/>
      <c r="E259" s="24"/>
      <c r="H259" s="18"/>
      <c r="I259" s="18"/>
      <c r="J259" s="24"/>
      <c r="K259" s="24"/>
      <c r="L259" s="18"/>
      <c r="M259" s="18"/>
    </row>
    <row r="260" ht="15.75" customHeight="1">
      <c r="A260" s="18"/>
      <c r="B260" s="18"/>
      <c r="C260" s="18"/>
      <c r="E260" s="24"/>
      <c r="H260" s="18"/>
      <c r="I260" s="18"/>
      <c r="J260" s="24"/>
      <c r="K260" s="24"/>
      <c r="L260" s="18"/>
      <c r="M260" s="18"/>
    </row>
    <row r="261" ht="15.75" customHeight="1">
      <c r="A261" s="18"/>
      <c r="B261" s="18"/>
      <c r="C261" s="18"/>
      <c r="E261" s="24"/>
      <c r="H261" s="18"/>
      <c r="I261" s="18"/>
      <c r="J261" s="24"/>
      <c r="K261" s="24"/>
      <c r="L261" s="18"/>
      <c r="M261" s="18"/>
    </row>
    <row r="262" ht="15.75" customHeight="1">
      <c r="A262" s="18"/>
      <c r="B262" s="18"/>
      <c r="C262" s="18"/>
      <c r="E262" s="24"/>
      <c r="H262" s="18"/>
      <c r="I262" s="18"/>
      <c r="J262" s="24"/>
      <c r="K262" s="24"/>
      <c r="L262" s="18"/>
      <c r="M262" s="18"/>
    </row>
    <row r="263" ht="15.75" customHeight="1">
      <c r="A263" s="18"/>
      <c r="B263" s="18"/>
      <c r="C263" s="18"/>
      <c r="E263" s="24"/>
      <c r="H263" s="18"/>
      <c r="I263" s="18"/>
      <c r="J263" s="24"/>
      <c r="K263" s="24"/>
      <c r="L263" s="18"/>
      <c r="M263" s="18"/>
    </row>
    <row r="264" ht="15.75" customHeight="1">
      <c r="A264" s="18"/>
      <c r="B264" s="18"/>
      <c r="C264" s="18"/>
      <c r="E264" s="24"/>
      <c r="H264" s="18"/>
      <c r="I264" s="18"/>
      <c r="J264" s="24"/>
      <c r="K264" s="24"/>
      <c r="L264" s="18"/>
      <c r="M264" s="18"/>
    </row>
    <row r="265" ht="15.75" customHeight="1">
      <c r="A265" s="18"/>
      <c r="B265" s="18"/>
      <c r="C265" s="18"/>
      <c r="E265" s="24"/>
      <c r="H265" s="18"/>
      <c r="I265" s="18"/>
      <c r="J265" s="24"/>
      <c r="K265" s="24"/>
      <c r="L265" s="18"/>
      <c r="M265" s="18"/>
    </row>
    <row r="266" ht="15.75" customHeight="1">
      <c r="A266" s="18"/>
      <c r="B266" s="18"/>
      <c r="C266" s="18"/>
      <c r="E266" s="24"/>
      <c r="H266" s="18"/>
      <c r="I266" s="18"/>
      <c r="J266" s="24"/>
      <c r="K266" s="24"/>
      <c r="L266" s="18"/>
      <c r="M266" s="18"/>
    </row>
    <row r="267" ht="15.75" customHeight="1">
      <c r="A267" s="18"/>
      <c r="B267" s="18"/>
      <c r="C267" s="18"/>
      <c r="E267" s="24"/>
      <c r="H267" s="18"/>
      <c r="I267" s="18"/>
      <c r="J267" s="24"/>
      <c r="K267" s="24"/>
      <c r="L267" s="18"/>
      <c r="M267" s="18"/>
    </row>
    <row r="268" ht="15.75" customHeight="1">
      <c r="A268" s="18"/>
      <c r="B268" s="18"/>
      <c r="C268" s="18"/>
      <c r="E268" s="24"/>
      <c r="H268" s="18"/>
      <c r="I268" s="18"/>
      <c r="J268" s="24"/>
      <c r="K268" s="24"/>
      <c r="L268" s="18"/>
      <c r="M268" s="18"/>
    </row>
    <row r="269" ht="15.75" customHeight="1">
      <c r="A269" s="18"/>
      <c r="B269" s="18"/>
      <c r="C269" s="18"/>
      <c r="E269" s="24"/>
      <c r="H269" s="18"/>
      <c r="I269" s="18"/>
      <c r="J269" s="24"/>
      <c r="K269" s="24"/>
      <c r="L269" s="18"/>
      <c r="M269" s="18"/>
    </row>
    <row r="270" ht="15.75" customHeight="1">
      <c r="A270" s="18"/>
      <c r="B270" s="18"/>
      <c r="C270" s="18"/>
      <c r="E270" s="24"/>
      <c r="H270" s="18"/>
      <c r="I270" s="18"/>
      <c r="J270" s="24"/>
      <c r="K270" s="24"/>
      <c r="L270" s="18"/>
      <c r="M270" s="18"/>
    </row>
    <row r="271" ht="15.75" customHeight="1">
      <c r="A271" s="18"/>
      <c r="B271" s="18"/>
      <c r="C271" s="18"/>
      <c r="E271" s="24"/>
      <c r="H271" s="18"/>
      <c r="I271" s="18"/>
      <c r="J271" s="24"/>
      <c r="K271" s="24"/>
      <c r="L271" s="18"/>
      <c r="M271" s="18"/>
    </row>
    <row r="272" ht="15.75" customHeight="1">
      <c r="A272" s="18"/>
      <c r="B272" s="18"/>
      <c r="C272" s="18"/>
      <c r="E272" s="24"/>
      <c r="H272" s="18"/>
      <c r="I272" s="18"/>
      <c r="J272" s="24"/>
      <c r="K272" s="24"/>
      <c r="L272" s="18"/>
      <c r="M272" s="18"/>
    </row>
    <row r="273" ht="15.75" customHeight="1">
      <c r="A273" s="18"/>
      <c r="B273" s="18"/>
      <c r="C273" s="18"/>
      <c r="E273" s="24"/>
      <c r="H273" s="18"/>
      <c r="I273" s="18"/>
      <c r="J273" s="24"/>
      <c r="K273" s="24"/>
      <c r="L273" s="18"/>
      <c r="M273" s="18"/>
    </row>
    <row r="274" ht="15.75" customHeight="1">
      <c r="A274" s="18"/>
      <c r="B274" s="18"/>
      <c r="C274" s="18"/>
      <c r="E274" s="24"/>
      <c r="H274" s="18"/>
      <c r="I274" s="18"/>
      <c r="J274" s="24"/>
      <c r="K274" s="24"/>
      <c r="L274" s="18"/>
      <c r="M274" s="18"/>
    </row>
    <row r="275" ht="15.75" customHeight="1">
      <c r="A275" s="18"/>
      <c r="B275" s="18"/>
      <c r="C275" s="18"/>
      <c r="E275" s="24"/>
      <c r="H275" s="18"/>
      <c r="I275" s="18"/>
      <c r="J275" s="24"/>
      <c r="K275" s="24"/>
      <c r="L275" s="18"/>
      <c r="M275" s="18"/>
    </row>
    <row r="276" ht="15.75" customHeight="1">
      <c r="A276" s="18"/>
      <c r="B276" s="18"/>
      <c r="C276" s="18"/>
      <c r="E276" s="24"/>
      <c r="H276" s="18"/>
      <c r="I276" s="18"/>
      <c r="J276" s="24"/>
      <c r="K276" s="24"/>
      <c r="L276" s="18"/>
      <c r="M276" s="18"/>
    </row>
    <row r="277" ht="15.75" customHeight="1">
      <c r="A277" s="18"/>
      <c r="B277" s="18"/>
      <c r="C277" s="18"/>
      <c r="E277" s="24"/>
      <c r="H277" s="18"/>
      <c r="I277" s="18"/>
      <c r="J277" s="24"/>
      <c r="K277" s="24"/>
      <c r="L277" s="18"/>
      <c r="M277" s="18"/>
    </row>
    <row r="278" ht="15.75" customHeight="1">
      <c r="A278" s="18"/>
      <c r="B278" s="18"/>
      <c r="C278" s="18"/>
      <c r="E278" s="24"/>
      <c r="H278" s="18"/>
      <c r="I278" s="18"/>
      <c r="J278" s="24"/>
      <c r="K278" s="24"/>
      <c r="L278" s="18"/>
      <c r="M278" s="18"/>
    </row>
    <row r="279" ht="15.75" customHeight="1">
      <c r="A279" s="18"/>
      <c r="B279" s="18"/>
      <c r="C279" s="18"/>
      <c r="E279" s="24"/>
      <c r="H279" s="18"/>
      <c r="I279" s="18"/>
      <c r="J279" s="24"/>
      <c r="K279" s="24"/>
      <c r="L279" s="18"/>
      <c r="M279" s="18"/>
    </row>
    <row r="280" ht="15.75" customHeight="1">
      <c r="A280" s="18"/>
      <c r="B280" s="18"/>
      <c r="C280" s="18"/>
      <c r="E280" s="24"/>
      <c r="H280" s="18"/>
      <c r="I280" s="18"/>
      <c r="J280" s="24"/>
      <c r="K280" s="24"/>
      <c r="L280" s="18"/>
      <c r="M280" s="18"/>
    </row>
    <row r="281" ht="15.75" customHeight="1">
      <c r="A281" s="18"/>
      <c r="B281" s="18"/>
      <c r="C281" s="18"/>
      <c r="E281" s="24"/>
      <c r="H281" s="18"/>
      <c r="I281" s="18"/>
      <c r="J281" s="24"/>
      <c r="K281" s="24"/>
      <c r="L281" s="18"/>
      <c r="M281" s="18"/>
    </row>
    <row r="282" ht="15.75" customHeight="1">
      <c r="A282" s="18"/>
      <c r="B282" s="18"/>
      <c r="C282" s="18"/>
      <c r="E282" s="24"/>
      <c r="H282" s="18"/>
      <c r="I282" s="18"/>
      <c r="J282" s="24"/>
      <c r="K282" s="24"/>
      <c r="L282" s="18"/>
      <c r="M282" s="18"/>
    </row>
    <row r="283" ht="15.75" customHeight="1">
      <c r="A283" s="18"/>
      <c r="B283" s="18"/>
      <c r="C283" s="18"/>
      <c r="E283" s="24"/>
      <c r="H283" s="18"/>
      <c r="I283" s="18"/>
      <c r="J283" s="24"/>
      <c r="K283" s="24"/>
      <c r="L283" s="18"/>
      <c r="M283" s="18"/>
    </row>
    <row r="284" ht="15.75" customHeight="1">
      <c r="A284" s="18"/>
      <c r="B284" s="18"/>
      <c r="C284" s="18"/>
      <c r="E284" s="24"/>
      <c r="H284" s="18"/>
      <c r="I284" s="18"/>
      <c r="J284" s="24"/>
      <c r="K284" s="24"/>
      <c r="L284" s="18"/>
      <c r="M284" s="18"/>
    </row>
    <row r="285" ht="15.75" customHeight="1">
      <c r="A285" s="18"/>
      <c r="B285" s="18"/>
      <c r="C285" s="18"/>
      <c r="E285" s="24"/>
      <c r="H285" s="18"/>
      <c r="I285" s="18"/>
      <c r="J285" s="24"/>
      <c r="K285" s="24"/>
      <c r="L285" s="18"/>
      <c r="M285" s="18"/>
    </row>
    <row r="286" ht="15.75" customHeight="1">
      <c r="A286" s="18"/>
      <c r="B286" s="18"/>
      <c r="C286" s="18"/>
      <c r="E286" s="24"/>
      <c r="H286" s="18"/>
      <c r="I286" s="18"/>
      <c r="J286" s="24"/>
      <c r="K286" s="24"/>
      <c r="L286" s="18"/>
      <c r="M286" s="18"/>
    </row>
    <row r="287" ht="15.75" customHeight="1">
      <c r="A287" s="18"/>
      <c r="B287" s="18"/>
      <c r="C287" s="18"/>
      <c r="E287" s="24"/>
      <c r="H287" s="18"/>
      <c r="I287" s="18"/>
      <c r="J287" s="24"/>
      <c r="K287" s="24"/>
      <c r="L287" s="18"/>
      <c r="M287" s="18"/>
    </row>
    <row r="288" ht="15.75" customHeight="1">
      <c r="A288" s="18"/>
      <c r="B288" s="18"/>
      <c r="C288" s="18"/>
      <c r="E288" s="24"/>
      <c r="H288" s="18"/>
      <c r="I288" s="18"/>
      <c r="J288" s="24"/>
      <c r="K288" s="24"/>
      <c r="L288" s="18"/>
      <c r="M288" s="18"/>
    </row>
    <row r="289" ht="15.75" customHeight="1">
      <c r="A289" s="18"/>
      <c r="B289" s="18"/>
      <c r="C289" s="18"/>
      <c r="E289" s="24"/>
      <c r="H289" s="18"/>
      <c r="I289" s="18"/>
      <c r="J289" s="24"/>
      <c r="K289" s="24"/>
      <c r="L289" s="18"/>
      <c r="M289" s="18"/>
    </row>
    <row r="290" ht="15.75" customHeight="1">
      <c r="A290" s="18"/>
      <c r="B290" s="18"/>
      <c r="C290" s="18"/>
      <c r="E290" s="24"/>
      <c r="H290" s="18"/>
      <c r="I290" s="18"/>
      <c r="J290" s="24"/>
      <c r="K290" s="24"/>
      <c r="L290" s="18"/>
      <c r="M290" s="18"/>
    </row>
    <row r="291" ht="15.75" customHeight="1">
      <c r="A291" s="18"/>
      <c r="B291" s="18"/>
      <c r="C291" s="18"/>
      <c r="E291" s="24"/>
      <c r="H291" s="18"/>
      <c r="I291" s="18"/>
      <c r="J291" s="24"/>
      <c r="K291" s="24"/>
      <c r="L291" s="18"/>
      <c r="M291" s="18"/>
    </row>
    <row r="292" ht="15.75" customHeight="1">
      <c r="A292" s="18"/>
      <c r="B292" s="18"/>
      <c r="C292" s="18"/>
      <c r="E292" s="24"/>
      <c r="H292" s="18"/>
      <c r="I292" s="18"/>
      <c r="J292" s="24"/>
      <c r="K292" s="24"/>
      <c r="L292" s="18"/>
      <c r="M292" s="18"/>
    </row>
    <row r="293" ht="15.75" customHeight="1">
      <c r="A293" s="18"/>
      <c r="B293" s="18"/>
      <c r="C293" s="18"/>
      <c r="E293" s="24"/>
      <c r="H293" s="18"/>
      <c r="I293" s="18"/>
      <c r="J293" s="24"/>
      <c r="K293" s="24"/>
      <c r="L293" s="18"/>
      <c r="M293" s="18"/>
    </row>
    <row r="294" ht="15.75" customHeight="1">
      <c r="A294" s="18"/>
      <c r="B294" s="18"/>
      <c r="C294" s="18"/>
      <c r="E294" s="24"/>
      <c r="H294" s="18"/>
      <c r="I294" s="18"/>
      <c r="J294" s="24"/>
      <c r="K294" s="24"/>
      <c r="L294" s="18"/>
      <c r="M294" s="18"/>
    </row>
    <row r="295" ht="15.75" customHeight="1">
      <c r="A295" s="18"/>
      <c r="B295" s="18"/>
      <c r="C295" s="18"/>
      <c r="E295" s="24"/>
      <c r="H295" s="18"/>
      <c r="I295" s="18"/>
      <c r="J295" s="24"/>
      <c r="K295" s="24"/>
      <c r="L295" s="18"/>
      <c r="M295" s="18"/>
    </row>
    <row r="296" ht="15.75" customHeight="1">
      <c r="A296" s="18"/>
      <c r="B296" s="18"/>
      <c r="C296" s="18"/>
      <c r="E296" s="24"/>
      <c r="H296" s="18"/>
      <c r="I296" s="18"/>
      <c r="J296" s="24"/>
      <c r="K296" s="24"/>
      <c r="L296" s="18"/>
      <c r="M296" s="18"/>
    </row>
    <row r="297" ht="15.75" customHeight="1">
      <c r="A297" s="18"/>
      <c r="B297" s="18"/>
      <c r="C297" s="18"/>
      <c r="E297" s="24"/>
      <c r="H297" s="18"/>
      <c r="I297" s="18"/>
      <c r="J297" s="24"/>
      <c r="K297" s="24"/>
      <c r="L297" s="18"/>
      <c r="M297" s="18"/>
    </row>
    <row r="298" ht="15.75" customHeight="1">
      <c r="A298" s="18"/>
      <c r="B298" s="18"/>
      <c r="C298" s="18"/>
      <c r="E298" s="24"/>
      <c r="H298" s="18"/>
      <c r="I298" s="18"/>
      <c r="J298" s="24"/>
      <c r="K298" s="24"/>
      <c r="L298" s="18"/>
      <c r="M298" s="18"/>
    </row>
    <row r="299" ht="15.75" customHeight="1">
      <c r="A299" s="18"/>
      <c r="B299" s="18"/>
      <c r="C299" s="18"/>
      <c r="E299" s="24"/>
      <c r="H299" s="18"/>
      <c r="I299" s="18"/>
      <c r="J299" s="24"/>
      <c r="K299" s="24"/>
      <c r="L299" s="18"/>
      <c r="M299" s="18"/>
    </row>
    <row r="300" ht="15.75" customHeight="1">
      <c r="A300" s="18"/>
      <c r="B300" s="18"/>
      <c r="C300" s="18"/>
      <c r="E300" s="24"/>
      <c r="H300" s="18"/>
      <c r="I300" s="18"/>
      <c r="J300" s="24"/>
      <c r="K300" s="24"/>
      <c r="L300" s="18"/>
      <c r="M300" s="18"/>
    </row>
    <row r="301" ht="15.75" customHeight="1">
      <c r="A301" s="18"/>
      <c r="B301" s="18"/>
      <c r="C301" s="18"/>
      <c r="E301" s="24"/>
      <c r="H301" s="18"/>
      <c r="I301" s="18"/>
      <c r="J301" s="24"/>
      <c r="K301" s="24"/>
      <c r="L301" s="18"/>
      <c r="M301" s="18"/>
    </row>
    <row r="302" ht="15.75" customHeight="1">
      <c r="A302" s="18"/>
      <c r="B302" s="18"/>
      <c r="C302" s="18"/>
      <c r="E302" s="24"/>
      <c r="H302" s="18"/>
      <c r="I302" s="18"/>
      <c r="J302" s="24"/>
      <c r="K302" s="24"/>
      <c r="L302" s="18"/>
      <c r="M302" s="18"/>
    </row>
    <row r="303" ht="15.75" customHeight="1">
      <c r="A303" s="18"/>
      <c r="B303" s="18"/>
      <c r="C303" s="18"/>
      <c r="E303" s="24"/>
      <c r="H303" s="18"/>
      <c r="I303" s="18"/>
      <c r="J303" s="24"/>
      <c r="K303" s="24"/>
      <c r="L303" s="18"/>
      <c r="M303" s="18"/>
    </row>
    <row r="304" ht="15.75" customHeight="1">
      <c r="A304" s="18"/>
      <c r="B304" s="18"/>
      <c r="C304" s="18"/>
      <c r="E304" s="24"/>
      <c r="H304" s="18"/>
      <c r="I304" s="18"/>
      <c r="J304" s="24"/>
      <c r="K304" s="24"/>
      <c r="L304" s="18"/>
      <c r="M304" s="18"/>
    </row>
    <row r="305" ht="15.75" customHeight="1">
      <c r="A305" s="18"/>
      <c r="B305" s="18"/>
      <c r="C305" s="18"/>
      <c r="E305" s="24"/>
      <c r="H305" s="18"/>
      <c r="I305" s="18"/>
      <c r="J305" s="24"/>
      <c r="K305" s="24"/>
      <c r="L305" s="18"/>
      <c r="M305" s="18"/>
    </row>
    <row r="306" ht="15.75" customHeight="1">
      <c r="A306" s="18"/>
      <c r="B306" s="18"/>
      <c r="C306" s="18"/>
      <c r="E306" s="24"/>
      <c r="H306" s="18"/>
      <c r="I306" s="18"/>
      <c r="J306" s="24"/>
      <c r="K306" s="24"/>
      <c r="L306" s="18"/>
      <c r="M306" s="18"/>
    </row>
    <row r="307" ht="15.75" customHeight="1">
      <c r="A307" s="18"/>
      <c r="B307" s="18"/>
      <c r="C307" s="18"/>
      <c r="E307" s="24"/>
      <c r="H307" s="18"/>
      <c r="I307" s="18"/>
      <c r="J307" s="24"/>
      <c r="K307" s="24"/>
      <c r="L307" s="18"/>
      <c r="M307" s="18"/>
    </row>
    <row r="308" ht="15.75" customHeight="1">
      <c r="A308" s="18"/>
      <c r="B308" s="18"/>
      <c r="C308" s="18"/>
      <c r="E308" s="24"/>
      <c r="H308" s="18"/>
      <c r="I308" s="18"/>
      <c r="J308" s="24"/>
      <c r="K308" s="24"/>
      <c r="L308" s="18"/>
      <c r="M308" s="18"/>
    </row>
    <row r="309" ht="15.75" customHeight="1">
      <c r="A309" s="18"/>
      <c r="B309" s="18"/>
      <c r="C309" s="18"/>
      <c r="E309" s="24"/>
      <c r="H309" s="18"/>
      <c r="I309" s="18"/>
      <c r="J309" s="24"/>
      <c r="K309" s="24"/>
      <c r="L309" s="18"/>
      <c r="M309" s="18"/>
    </row>
    <row r="310" ht="15.75" customHeight="1">
      <c r="A310" s="18"/>
      <c r="B310" s="18"/>
      <c r="C310" s="18"/>
      <c r="E310" s="24"/>
      <c r="H310" s="18"/>
      <c r="I310" s="18"/>
      <c r="J310" s="24"/>
      <c r="K310" s="24"/>
      <c r="L310" s="18"/>
      <c r="M310" s="18"/>
    </row>
    <row r="311" ht="15.75" customHeight="1">
      <c r="A311" s="18"/>
      <c r="B311" s="18"/>
      <c r="C311" s="18"/>
      <c r="E311" s="24"/>
      <c r="H311" s="18"/>
      <c r="I311" s="18"/>
      <c r="J311" s="24"/>
      <c r="K311" s="24"/>
      <c r="L311" s="18"/>
      <c r="M311" s="18"/>
    </row>
    <row r="312" ht="15.75" customHeight="1">
      <c r="A312" s="18"/>
      <c r="B312" s="18"/>
      <c r="C312" s="18"/>
      <c r="E312" s="24"/>
      <c r="H312" s="18"/>
      <c r="I312" s="18"/>
      <c r="J312" s="24"/>
      <c r="K312" s="24"/>
      <c r="L312" s="18"/>
      <c r="M312" s="18"/>
    </row>
    <row r="313" ht="15.75" customHeight="1">
      <c r="A313" s="18"/>
      <c r="B313" s="18"/>
      <c r="C313" s="18"/>
      <c r="E313" s="24"/>
      <c r="H313" s="18"/>
      <c r="I313" s="18"/>
      <c r="J313" s="24"/>
      <c r="K313" s="24"/>
      <c r="L313" s="18"/>
      <c r="M313" s="18"/>
    </row>
    <row r="314" ht="15.75" customHeight="1">
      <c r="A314" s="18"/>
      <c r="B314" s="18"/>
      <c r="C314" s="18"/>
      <c r="E314" s="24"/>
      <c r="H314" s="18"/>
      <c r="I314" s="18"/>
      <c r="J314" s="24"/>
      <c r="K314" s="24"/>
      <c r="L314" s="18"/>
      <c r="M314" s="18"/>
    </row>
    <row r="315" ht="15.75" customHeight="1">
      <c r="A315" s="18"/>
      <c r="B315" s="18"/>
      <c r="C315" s="18"/>
      <c r="E315" s="24"/>
      <c r="H315" s="18"/>
      <c r="I315" s="18"/>
      <c r="J315" s="24"/>
      <c r="K315" s="24"/>
      <c r="L315" s="18"/>
      <c r="M315" s="18"/>
    </row>
    <row r="316" ht="15.75" customHeight="1">
      <c r="A316" s="18"/>
      <c r="B316" s="18"/>
      <c r="C316" s="18"/>
      <c r="E316" s="24"/>
      <c r="H316" s="18"/>
      <c r="I316" s="18"/>
      <c r="J316" s="24"/>
      <c r="K316" s="24"/>
      <c r="L316" s="18"/>
      <c r="M316" s="18"/>
    </row>
    <row r="317" ht="15.75" customHeight="1">
      <c r="A317" s="18"/>
      <c r="B317" s="18"/>
      <c r="C317" s="18"/>
      <c r="E317" s="24"/>
      <c r="H317" s="18"/>
      <c r="I317" s="18"/>
      <c r="J317" s="24"/>
      <c r="K317" s="24"/>
      <c r="L317" s="18"/>
      <c r="M317" s="18"/>
    </row>
    <row r="318" ht="15.75" customHeight="1">
      <c r="A318" s="18"/>
      <c r="B318" s="18"/>
      <c r="C318" s="18"/>
      <c r="E318" s="24"/>
      <c r="H318" s="18"/>
      <c r="I318" s="18"/>
      <c r="J318" s="24"/>
      <c r="K318" s="24"/>
      <c r="L318" s="18"/>
      <c r="M318" s="18"/>
    </row>
    <row r="319" ht="15.75" customHeight="1">
      <c r="A319" s="18"/>
      <c r="B319" s="18"/>
      <c r="C319" s="18"/>
      <c r="E319" s="24"/>
      <c r="H319" s="18"/>
      <c r="I319" s="18"/>
      <c r="J319" s="24"/>
      <c r="K319" s="24"/>
      <c r="L319" s="18"/>
      <c r="M319" s="18"/>
    </row>
    <row r="320" ht="15.75" customHeight="1">
      <c r="A320" s="18"/>
      <c r="B320" s="18"/>
      <c r="C320" s="18"/>
      <c r="E320" s="24"/>
      <c r="H320" s="18"/>
      <c r="I320" s="18"/>
      <c r="J320" s="24"/>
      <c r="K320" s="24"/>
      <c r="L320" s="18"/>
      <c r="M320" s="18"/>
    </row>
    <row r="321" ht="15.75" customHeight="1">
      <c r="A321" s="18"/>
      <c r="B321" s="18"/>
      <c r="C321" s="18"/>
      <c r="E321" s="24"/>
      <c r="H321" s="18"/>
      <c r="I321" s="18"/>
      <c r="J321" s="24"/>
      <c r="K321" s="24"/>
      <c r="L321" s="18"/>
      <c r="M321" s="18"/>
    </row>
    <row r="322" ht="15.75" customHeight="1">
      <c r="A322" s="18"/>
      <c r="B322" s="18"/>
      <c r="C322" s="18"/>
      <c r="E322" s="24"/>
      <c r="H322" s="18"/>
      <c r="I322" s="18"/>
      <c r="J322" s="24"/>
      <c r="K322" s="24"/>
      <c r="L322" s="18"/>
      <c r="M322" s="18"/>
    </row>
    <row r="323" ht="15.75" customHeight="1">
      <c r="A323" s="18"/>
      <c r="B323" s="18"/>
      <c r="C323" s="18"/>
      <c r="E323" s="24"/>
      <c r="H323" s="18"/>
      <c r="I323" s="18"/>
      <c r="J323" s="24"/>
      <c r="K323" s="24"/>
      <c r="L323" s="18"/>
      <c r="M323" s="18"/>
    </row>
    <row r="324" ht="15.75" customHeight="1">
      <c r="A324" s="18"/>
      <c r="B324" s="18"/>
      <c r="C324" s="18"/>
      <c r="E324" s="24"/>
      <c r="H324" s="18"/>
      <c r="I324" s="18"/>
      <c r="J324" s="24"/>
      <c r="K324" s="24"/>
      <c r="L324" s="18"/>
      <c r="M324" s="18"/>
    </row>
    <row r="325" ht="15.75" customHeight="1">
      <c r="A325" s="18"/>
      <c r="B325" s="18"/>
      <c r="C325" s="18"/>
      <c r="E325" s="24"/>
      <c r="H325" s="18"/>
      <c r="I325" s="18"/>
      <c r="J325" s="24"/>
      <c r="K325" s="24"/>
      <c r="L325" s="18"/>
      <c r="M325" s="18"/>
    </row>
    <row r="326" ht="15.75" customHeight="1">
      <c r="A326" s="18"/>
      <c r="B326" s="18"/>
      <c r="C326" s="18"/>
      <c r="E326" s="24"/>
      <c r="H326" s="18"/>
      <c r="I326" s="18"/>
      <c r="J326" s="24"/>
      <c r="K326" s="24"/>
      <c r="L326" s="18"/>
      <c r="M326" s="18"/>
    </row>
    <row r="327" ht="15.75" customHeight="1">
      <c r="A327" s="18"/>
      <c r="B327" s="18"/>
      <c r="C327" s="18"/>
      <c r="E327" s="24"/>
      <c r="H327" s="18"/>
      <c r="I327" s="18"/>
      <c r="J327" s="24"/>
      <c r="K327" s="24"/>
      <c r="L327" s="18"/>
      <c r="M327" s="18"/>
    </row>
    <row r="328" ht="15.75" customHeight="1">
      <c r="A328" s="18"/>
      <c r="B328" s="18"/>
      <c r="C328" s="18"/>
      <c r="E328" s="24"/>
      <c r="H328" s="18"/>
      <c r="I328" s="18"/>
      <c r="J328" s="24"/>
      <c r="K328" s="24"/>
      <c r="L328" s="18"/>
      <c r="M328" s="18"/>
    </row>
    <row r="329" ht="15.75" customHeight="1">
      <c r="A329" s="18"/>
      <c r="B329" s="18"/>
      <c r="C329" s="18"/>
      <c r="E329" s="24"/>
      <c r="H329" s="18"/>
      <c r="I329" s="18"/>
      <c r="J329" s="24"/>
      <c r="K329" s="24"/>
      <c r="L329" s="18"/>
      <c r="M329" s="18"/>
    </row>
    <row r="330" ht="15.75" customHeight="1">
      <c r="A330" s="18"/>
      <c r="B330" s="18"/>
      <c r="C330" s="18"/>
      <c r="E330" s="24"/>
      <c r="H330" s="18"/>
      <c r="I330" s="18"/>
      <c r="J330" s="24"/>
      <c r="K330" s="24"/>
      <c r="L330" s="18"/>
      <c r="M330" s="18"/>
    </row>
    <row r="331" ht="15.75" customHeight="1">
      <c r="A331" s="18"/>
      <c r="B331" s="18"/>
      <c r="C331" s="18"/>
      <c r="E331" s="24"/>
      <c r="H331" s="18"/>
      <c r="I331" s="18"/>
      <c r="J331" s="24"/>
      <c r="K331" s="24"/>
      <c r="L331" s="18"/>
      <c r="M331" s="18"/>
    </row>
    <row r="332" ht="15.75" customHeight="1">
      <c r="A332" s="18"/>
      <c r="B332" s="18"/>
      <c r="C332" s="18"/>
      <c r="E332" s="24"/>
      <c r="H332" s="18"/>
      <c r="I332" s="18"/>
      <c r="J332" s="24"/>
      <c r="K332" s="24"/>
      <c r="L332" s="18"/>
      <c r="M332" s="18"/>
    </row>
    <row r="333" ht="15.75" customHeight="1">
      <c r="A333" s="18"/>
      <c r="B333" s="18"/>
      <c r="C333" s="18"/>
      <c r="E333" s="24"/>
      <c r="H333" s="18"/>
      <c r="I333" s="18"/>
      <c r="J333" s="24"/>
      <c r="K333" s="24"/>
      <c r="L333" s="18"/>
      <c r="M333" s="18"/>
    </row>
    <row r="334" ht="15.75" customHeight="1">
      <c r="A334" s="18"/>
      <c r="B334" s="18"/>
      <c r="C334" s="18"/>
      <c r="E334" s="24"/>
      <c r="H334" s="18"/>
      <c r="I334" s="18"/>
      <c r="J334" s="24"/>
      <c r="K334" s="24"/>
      <c r="L334" s="18"/>
      <c r="M334" s="18"/>
    </row>
    <row r="335" ht="15.75" customHeight="1">
      <c r="A335" s="18"/>
      <c r="B335" s="18"/>
      <c r="C335" s="18"/>
      <c r="E335" s="24"/>
      <c r="H335" s="18"/>
      <c r="I335" s="18"/>
      <c r="J335" s="24"/>
      <c r="K335" s="24"/>
      <c r="L335" s="18"/>
      <c r="M335" s="18"/>
    </row>
    <row r="336" ht="15.75" customHeight="1">
      <c r="A336" s="18"/>
      <c r="B336" s="18"/>
      <c r="C336" s="18"/>
      <c r="E336" s="24"/>
      <c r="H336" s="18"/>
      <c r="I336" s="18"/>
      <c r="J336" s="24"/>
      <c r="K336" s="24"/>
      <c r="L336" s="18"/>
      <c r="M336" s="18"/>
    </row>
    <row r="337" ht="15.75" customHeight="1">
      <c r="A337" s="18"/>
      <c r="B337" s="18"/>
      <c r="C337" s="18"/>
      <c r="E337" s="24"/>
      <c r="H337" s="18"/>
      <c r="I337" s="18"/>
      <c r="J337" s="24"/>
      <c r="K337" s="24"/>
      <c r="L337" s="18"/>
      <c r="M337" s="18"/>
    </row>
    <row r="338" ht="15.75" customHeight="1">
      <c r="A338" s="18"/>
      <c r="B338" s="18"/>
      <c r="C338" s="18"/>
      <c r="E338" s="24"/>
      <c r="H338" s="18"/>
      <c r="I338" s="18"/>
      <c r="J338" s="24"/>
      <c r="K338" s="24"/>
      <c r="L338" s="18"/>
      <c r="M338" s="18"/>
    </row>
    <row r="339" ht="15.75" customHeight="1">
      <c r="A339" s="18"/>
      <c r="B339" s="18"/>
      <c r="C339" s="18"/>
      <c r="E339" s="24"/>
      <c r="H339" s="18"/>
      <c r="I339" s="18"/>
      <c r="J339" s="24"/>
      <c r="K339" s="24"/>
      <c r="L339" s="18"/>
      <c r="M339" s="18"/>
    </row>
    <row r="340" ht="15.75" customHeight="1">
      <c r="A340" s="18"/>
      <c r="B340" s="18"/>
      <c r="C340" s="18"/>
      <c r="E340" s="24"/>
      <c r="H340" s="18"/>
      <c r="I340" s="18"/>
      <c r="J340" s="24"/>
      <c r="K340" s="24"/>
      <c r="L340" s="18"/>
      <c r="M340" s="18"/>
    </row>
    <row r="341" ht="15.75" customHeight="1">
      <c r="A341" s="18"/>
      <c r="B341" s="18"/>
      <c r="C341" s="18"/>
      <c r="E341" s="24"/>
      <c r="H341" s="18"/>
      <c r="I341" s="18"/>
      <c r="J341" s="24"/>
      <c r="K341" s="24"/>
      <c r="L341" s="18"/>
      <c r="M341" s="18"/>
    </row>
    <row r="342" ht="15.75" customHeight="1">
      <c r="A342" s="18"/>
      <c r="B342" s="18"/>
      <c r="C342" s="18"/>
      <c r="E342" s="24"/>
      <c r="H342" s="18"/>
      <c r="I342" s="18"/>
      <c r="J342" s="24"/>
      <c r="K342" s="24"/>
      <c r="L342" s="18"/>
      <c r="M342" s="18"/>
    </row>
    <row r="343" ht="15.75" customHeight="1">
      <c r="A343" s="18"/>
      <c r="B343" s="18"/>
      <c r="C343" s="18"/>
      <c r="E343" s="24"/>
      <c r="H343" s="18"/>
      <c r="I343" s="18"/>
      <c r="J343" s="24"/>
      <c r="K343" s="24"/>
      <c r="L343" s="18"/>
      <c r="M343" s="18"/>
    </row>
    <row r="344" ht="15.75" customHeight="1">
      <c r="A344" s="18"/>
      <c r="B344" s="18"/>
      <c r="C344" s="18"/>
      <c r="E344" s="24"/>
      <c r="H344" s="18"/>
      <c r="I344" s="18"/>
      <c r="J344" s="24"/>
      <c r="K344" s="24"/>
      <c r="L344" s="18"/>
      <c r="M344" s="18"/>
    </row>
    <row r="345" ht="15.75" customHeight="1">
      <c r="A345" s="18"/>
      <c r="B345" s="18"/>
      <c r="C345" s="18"/>
      <c r="E345" s="24"/>
      <c r="H345" s="18"/>
      <c r="I345" s="18"/>
      <c r="J345" s="24"/>
      <c r="K345" s="24"/>
      <c r="L345" s="18"/>
      <c r="M345" s="18"/>
    </row>
    <row r="346" ht="15.75" customHeight="1">
      <c r="A346" s="18"/>
      <c r="B346" s="18"/>
      <c r="C346" s="18"/>
      <c r="E346" s="24"/>
      <c r="H346" s="18"/>
      <c r="I346" s="18"/>
      <c r="J346" s="24"/>
      <c r="K346" s="24"/>
      <c r="L346" s="18"/>
      <c r="M346" s="18"/>
    </row>
    <row r="347" ht="15.75" customHeight="1">
      <c r="B347" s="31"/>
      <c r="C347" s="31"/>
      <c r="E347" s="31"/>
      <c r="J347" s="31"/>
      <c r="K347" s="31"/>
    </row>
    <row r="348" ht="15.75" customHeight="1">
      <c r="B348" s="31"/>
      <c r="C348" s="31"/>
      <c r="E348" s="31"/>
      <c r="J348" s="31"/>
      <c r="K348" s="31"/>
    </row>
    <row r="349" ht="15.75" customHeight="1">
      <c r="B349" s="31"/>
      <c r="C349" s="31"/>
      <c r="E349" s="31"/>
      <c r="J349" s="31"/>
      <c r="K349" s="31"/>
    </row>
    <row r="350" ht="15.75" customHeight="1">
      <c r="B350" s="31"/>
      <c r="C350" s="31"/>
      <c r="E350" s="31"/>
      <c r="J350" s="31"/>
      <c r="K350" s="31"/>
    </row>
    <row r="351" ht="15.75" customHeight="1">
      <c r="B351" s="31"/>
      <c r="C351" s="31"/>
      <c r="E351" s="31"/>
      <c r="J351" s="31"/>
      <c r="K351" s="31"/>
    </row>
    <row r="352" ht="15.75" customHeight="1">
      <c r="B352" s="31"/>
      <c r="C352" s="31"/>
      <c r="E352" s="31"/>
      <c r="J352" s="31"/>
      <c r="K352" s="31"/>
    </row>
    <row r="353" ht="15.75" customHeight="1">
      <c r="B353" s="31"/>
      <c r="C353" s="31"/>
      <c r="E353" s="31"/>
      <c r="J353" s="31"/>
      <c r="K353" s="31"/>
    </row>
    <row r="354" ht="15.75" customHeight="1">
      <c r="B354" s="31"/>
      <c r="C354" s="31"/>
      <c r="E354" s="31"/>
      <c r="J354" s="31"/>
      <c r="K354" s="31"/>
    </row>
    <row r="355" ht="15.75" customHeight="1">
      <c r="B355" s="31"/>
      <c r="C355" s="31"/>
      <c r="E355" s="31"/>
      <c r="J355" s="31"/>
      <c r="K355" s="31"/>
    </row>
    <row r="356" ht="15.75" customHeight="1">
      <c r="B356" s="31"/>
      <c r="C356" s="31"/>
      <c r="E356" s="31"/>
      <c r="J356" s="31"/>
      <c r="K356" s="31"/>
    </row>
    <row r="357" ht="15.75" customHeight="1">
      <c r="B357" s="31"/>
      <c r="C357" s="31"/>
      <c r="E357" s="31"/>
      <c r="J357" s="31"/>
      <c r="K357" s="31"/>
    </row>
    <row r="358" ht="15.75" customHeight="1">
      <c r="B358" s="31"/>
      <c r="C358" s="31"/>
      <c r="E358" s="31"/>
      <c r="J358" s="31"/>
      <c r="K358" s="31"/>
    </row>
    <row r="359" ht="15.75" customHeight="1">
      <c r="B359" s="31"/>
      <c r="C359" s="31"/>
      <c r="E359" s="31"/>
      <c r="J359" s="31"/>
      <c r="K359" s="31"/>
    </row>
    <row r="360" ht="15.75" customHeight="1">
      <c r="B360" s="31"/>
      <c r="C360" s="31"/>
      <c r="E360" s="31"/>
      <c r="J360" s="31"/>
      <c r="K360" s="31"/>
    </row>
    <row r="361" ht="15.75" customHeight="1">
      <c r="B361" s="31"/>
      <c r="C361" s="31"/>
      <c r="E361" s="31"/>
      <c r="J361" s="31"/>
      <c r="K361" s="31"/>
    </row>
    <row r="362" ht="15.75" customHeight="1">
      <c r="B362" s="31"/>
      <c r="C362" s="31"/>
      <c r="E362" s="31"/>
      <c r="J362" s="31"/>
      <c r="K362" s="31"/>
    </row>
    <row r="363" ht="15.75" customHeight="1">
      <c r="B363" s="31"/>
      <c r="C363" s="31"/>
      <c r="E363" s="31"/>
      <c r="J363" s="31"/>
      <c r="K363" s="31"/>
    </row>
    <row r="364" ht="15.75" customHeight="1">
      <c r="B364" s="31"/>
      <c r="C364" s="31"/>
      <c r="E364" s="31"/>
      <c r="J364" s="31"/>
      <c r="K364" s="31"/>
    </row>
    <row r="365" ht="15.75" customHeight="1">
      <c r="B365" s="31"/>
      <c r="C365" s="31"/>
      <c r="E365" s="31"/>
      <c r="J365" s="31"/>
      <c r="K365" s="31"/>
    </row>
    <row r="366" ht="15.75" customHeight="1">
      <c r="B366" s="31"/>
      <c r="C366" s="31"/>
      <c r="E366" s="31"/>
      <c r="J366" s="31"/>
      <c r="K366" s="31"/>
    </row>
    <row r="367" ht="15.75" customHeight="1">
      <c r="B367" s="31"/>
      <c r="C367" s="31"/>
      <c r="E367" s="31"/>
      <c r="J367" s="31"/>
      <c r="K367" s="31"/>
    </row>
    <row r="368" ht="15.75" customHeight="1">
      <c r="B368" s="31"/>
      <c r="C368" s="31"/>
      <c r="E368" s="31"/>
      <c r="J368" s="31"/>
      <c r="K368" s="31"/>
    </row>
    <row r="369" ht="15.75" customHeight="1">
      <c r="B369" s="31"/>
      <c r="C369" s="31"/>
      <c r="E369" s="31"/>
      <c r="J369" s="31"/>
      <c r="K369" s="31"/>
    </row>
    <row r="370" ht="15.75" customHeight="1">
      <c r="B370" s="31"/>
      <c r="C370" s="31"/>
      <c r="E370" s="31"/>
      <c r="J370" s="31"/>
      <c r="K370" s="31"/>
    </row>
    <row r="371" ht="15.75" customHeight="1">
      <c r="B371" s="31"/>
      <c r="C371" s="31"/>
      <c r="E371" s="31"/>
      <c r="J371" s="31"/>
      <c r="K371" s="31"/>
    </row>
    <row r="372" ht="15.75" customHeight="1">
      <c r="B372" s="31"/>
      <c r="C372" s="31"/>
      <c r="E372" s="31"/>
      <c r="J372" s="31"/>
      <c r="K372" s="31"/>
    </row>
    <row r="373" ht="15.75" customHeight="1">
      <c r="B373" s="31"/>
      <c r="C373" s="31"/>
      <c r="E373" s="31"/>
      <c r="J373" s="31"/>
      <c r="K373" s="31"/>
    </row>
    <row r="374" ht="15.75" customHeight="1">
      <c r="B374" s="31"/>
      <c r="C374" s="31"/>
      <c r="E374" s="31"/>
      <c r="J374" s="31"/>
      <c r="K374" s="31"/>
    </row>
    <row r="375" ht="15.75" customHeight="1">
      <c r="B375" s="31"/>
      <c r="C375" s="31"/>
      <c r="E375" s="31"/>
      <c r="J375" s="31"/>
      <c r="K375" s="31"/>
    </row>
    <row r="376" ht="15.75" customHeight="1">
      <c r="B376" s="31"/>
      <c r="C376" s="31"/>
      <c r="E376" s="31"/>
      <c r="J376" s="31"/>
      <c r="K376" s="31"/>
    </row>
    <row r="377" ht="15.75" customHeight="1">
      <c r="B377" s="31"/>
      <c r="C377" s="31"/>
      <c r="E377" s="31"/>
      <c r="J377" s="31"/>
      <c r="K377" s="31"/>
    </row>
    <row r="378" ht="15.75" customHeight="1">
      <c r="B378" s="31"/>
      <c r="C378" s="31"/>
      <c r="E378" s="31"/>
      <c r="J378" s="31"/>
      <c r="K378" s="31"/>
    </row>
    <row r="379" ht="15.75" customHeight="1">
      <c r="B379" s="31"/>
      <c r="C379" s="31"/>
      <c r="E379" s="31"/>
      <c r="J379" s="31"/>
      <c r="K379" s="31"/>
    </row>
    <row r="380" ht="15.75" customHeight="1">
      <c r="B380" s="31"/>
      <c r="C380" s="31"/>
      <c r="E380" s="31"/>
      <c r="J380" s="31"/>
      <c r="K380" s="31"/>
    </row>
    <row r="381" ht="15.75" customHeight="1">
      <c r="B381" s="31"/>
      <c r="C381" s="31"/>
      <c r="E381" s="31"/>
      <c r="J381" s="31"/>
      <c r="K381" s="31"/>
    </row>
    <row r="382" ht="15.75" customHeight="1">
      <c r="B382" s="31"/>
      <c r="C382" s="31"/>
      <c r="E382" s="31"/>
      <c r="J382" s="31"/>
      <c r="K382" s="31"/>
    </row>
    <row r="383" ht="15.75" customHeight="1">
      <c r="B383" s="31"/>
      <c r="C383" s="31"/>
      <c r="E383" s="31"/>
      <c r="J383" s="31"/>
      <c r="K383" s="31"/>
    </row>
    <row r="384" ht="15.75" customHeight="1">
      <c r="B384" s="31"/>
      <c r="C384" s="31"/>
      <c r="E384" s="31"/>
      <c r="J384" s="31"/>
      <c r="K384" s="31"/>
    </row>
    <row r="385" ht="15.75" customHeight="1">
      <c r="B385" s="31"/>
      <c r="C385" s="31"/>
      <c r="E385" s="31"/>
      <c r="J385" s="31"/>
      <c r="K385" s="31"/>
    </row>
    <row r="386" ht="15.75" customHeight="1">
      <c r="B386" s="31"/>
      <c r="C386" s="31"/>
      <c r="E386" s="31"/>
      <c r="J386" s="31"/>
      <c r="K386" s="31"/>
    </row>
    <row r="387" ht="15.75" customHeight="1">
      <c r="B387" s="31"/>
      <c r="C387" s="31"/>
      <c r="E387" s="31"/>
      <c r="J387" s="31"/>
      <c r="K387" s="31"/>
    </row>
    <row r="388" ht="15.75" customHeight="1">
      <c r="B388" s="31"/>
      <c r="C388" s="31"/>
      <c r="E388" s="31"/>
      <c r="J388" s="31"/>
      <c r="K388" s="31"/>
    </row>
    <row r="389" ht="15.75" customHeight="1">
      <c r="B389" s="31"/>
      <c r="C389" s="31"/>
      <c r="E389" s="31"/>
      <c r="J389" s="31"/>
      <c r="K389" s="31"/>
    </row>
    <row r="390" ht="15.75" customHeight="1">
      <c r="B390" s="31"/>
      <c r="C390" s="31"/>
      <c r="E390" s="31"/>
      <c r="J390" s="31"/>
      <c r="K390" s="31"/>
    </row>
    <row r="391" ht="15.75" customHeight="1">
      <c r="B391" s="31"/>
      <c r="C391" s="31"/>
      <c r="E391" s="31"/>
      <c r="J391" s="31"/>
      <c r="K391" s="31"/>
    </row>
    <row r="392" ht="15.75" customHeight="1">
      <c r="B392" s="31"/>
      <c r="C392" s="31"/>
      <c r="E392" s="31"/>
      <c r="J392" s="31"/>
      <c r="K392" s="31"/>
    </row>
    <row r="393" ht="15.75" customHeight="1">
      <c r="B393" s="31"/>
      <c r="C393" s="31"/>
      <c r="E393" s="31"/>
      <c r="J393" s="31"/>
      <c r="K393" s="31"/>
    </row>
    <row r="394" ht="15.75" customHeight="1">
      <c r="B394" s="31"/>
      <c r="C394" s="31"/>
      <c r="E394" s="31"/>
      <c r="J394" s="31"/>
      <c r="K394" s="31"/>
    </row>
    <row r="395" ht="15.75" customHeight="1">
      <c r="B395" s="31"/>
      <c r="C395" s="31"/>
      <c r="E395" s="31"/>
      <c r="J395" s="31"/>
      <c r="K395" s="31"/>
    </row>
    <row r="396" ht="15.75" customHeight="1">
      <c r="B396" s="31"/>
      <c r="C396" s="31"/>
      <c r="E396" s="31"/>
      <c r="J396" s="31"/>
      <c r="K396" s="31"/>
    </row>
    <row r="397" ht="15.75" customHeight="1">
      <c r="B397" s="31"/>
      <c r="C397" s="31"/>
      <c r="E397" s="31"/>
      <c r="J397" s="31"/>
      <c r="K397" s="31"/>
    </row>
    <row r="398" ht="15.75" customHeight="1">
      <c r="B398" s="31"/>
      <c r="C398" s="31"/>
      <c r="E398" s="31"/>
      <c r="J398" s="31"/>
      <c r="K398" s="31"/>
    </row>
    <row r="399" ht="15.75" customHeight="1">
      <c r="B399" s="31"/>
      <c r="C399" s="31"/>
      <c r="E399" s="31"/>
      <c r="J399" s="31"/>
      <c r="K399" s="31"/>
    </row>
    <row r="400" ht="15.75" customHeight="1">
      <c r="B400" s="31"/>
      <c r="C400" s="31"/>
      <c r="E400" s="31"/>
      <c r="J400" s="31"/>
      <c r="K400" s="31"/>
    </row>
    <row r="401" ht="15.75" customHeight="1">
      <c r="B401" s="31"/>
      <c r="C401" s="31"/>
      <c r="E401" s="31"/>
      <c r="J401" s="31"/>
      <c r="K401" s="31"/>
    </row>
    <row r="402" ht="15.75" customHeight="1">
      <c r="B402" s="31"/>
      <c r="C402" s="31"/>
      <c r="E402" s="31"/>
      <c r="J402" s="31"/>
      <c r="K402" s="31"/>
    </row>
    <row r="403" ht="15.75" customHeight="1">
      <c r="B403" s="31"/>
      <c r="C403" s="31"/>
      <c r="E403" s="31"/>
      <c r="J403" s="31"/>
      <c r="K403" s="31"/>
    </row>
    <row r="404" ht="15.75" customHeight="1">
      <c r="B404" s="31"/>
      <c r="C404" s="31"/>
      <c r="E404" s="31"/>
      <c r="J404" s="31"/>
      <c r="K404" s="31"/>
    </row>
    <row r="405" ht="15.75" customHeight="1">
      <c r="B405" s="31"/>
      <c r="C405" s="31"/>
      <c r="E405" s="31"/>
      <c r="J405" s="31"/>
      <c r="K405" s="31"/>
    </row>
    <row r="406" ht="15.75" customHeight="1">
      <c r="B406" s="31"/>
      <c r="C406" s="31"/>
      <c r="E406" s="31"/>
      <c r="J406" s="31"/>
      <c r="K406" s="31"/>
    </row>
    <row r="407" ht="15.75" customHeight="1">
      <c r="B407" s="31"/>
      <c r="C407" s="31"/>
      <c r="E407" s="31"/>
      <c r="J407" s="31"/>
      <c r="K407" s="31"/>
    </row>
    <row r="408" ht="15.75" customHeight="1">
      <c r="B408" s="31"/>
      <c r="C408" s="31"/>
      <c r="E408" s="31"/>
      <c r="J408" s="31"/>
      <c r="K408" s="31"/>
    </row>
    <row r="409" ht="15.75" customHeight="1">
      <c r="B409" s="31"/>
      <c r="C409" s="31"/>
      <c r="E409" s="31"/>
      <c r="J409" s="31"/>
      <c r="K409" s="31"/>
    </row>
    <row r="410" ht="15.75" customHeight="1">
      <c r="B410" s="31"/>
      <c r="C410" s="31"/>
      <c r="E410" s="31"/>
      <c r="J410" s="31"/>
      <c r="K410" s="31"/>
    </row>
    <row r="411" ht="15.75" customHeight="1">
      <c r="B411" s="31"/>
      <c r="C411" s="31"/>
      <c r="E411" s="31"/>
      <c r="J411" s="31"/>
      <c r="K411" s="31"/>
    </row>
    <row r="412" ht="15.75" customHeight="1">
      <c r="B412" s="31"/>
      <c r="C412" s="31"/>
      <c r="E412" s="31"/>
      <c r="J412" s="31"/>
      <c r="K412" s="31"/>
    </row>
    <row r="413" ht="15.75" customHeight="1">
      <c r="B413" s="31"/>
      <c r="C413" s="31"/>
      <c r="E413" s="31"/>
      <c r="J413" s="31"/>
      <c r="K413" s="31"/>
    </row>
    <row r="414" ht="15.75" customHeight="1">
      <c r="B414" s="31"/>
      <c r="C414" s="31"/>
      <c r="E414" s="31"/>
      <c r="J414" s="31"/>
      <c r="K414" s="31"/>
    </row>
    <row r="415" ht="15.75" customHeight="1">
      <c r="B415" s="31"/>
      <c r="C415" s="31"/>
      <c r="E415" s="31"/>
      <c r="J415" s="31"/>
      <c r="K415" s="31"/>
    </row>
    <row r="416" ht="15.75" customHeight="1">
      <c r="B416" s="31"/>
      <c r="C416" s="31"/>
      <c r="E416" s="31"/>
      <c r="J416" s="31"/>
      <c r="K416" s="31"/>
    </row>
    <row r="417" ht="15.75" customHeight="1">
      <c r="B417" s="31"/>
      <c r="C417" s="31"/>
      <c r="E417" s="31"/>
      <c r="J417" s="31"/>
      <c r="K417" s="31"/>
    </row>
    <row r="418" ht="15.75" customHeight="1">
      <c r="B418" s="31"/>
      <c r="C418" s="31"/>
      <c r="E418" s="31"/>
      <c r="J418" s="31"/>
      <c r="K418" s="31"/>
    </row>
    <row r="419" ht="15.75" customHeight="1">
      <c r="B419" s="31"/>
      <c r="C419" s="31"/>
      <c r="E419" s="31"/>
      <c r="J419" s="31"/>
      <c r="K419" s="31"/>
    </row>
    <row r="420" ht="15.75" customHeight="1">
      <c r="B420" s="31"/>
      <c r="C420" s="31"/>
      <c r="E420" s="31"/>
      <c r="J420" s="31"/>
      <c r="K420" s="31"/>
    </row>
    <row r="421" ht="15.75" customHeight="1">
      <c r="B421" s="31"/>
      <c r="C421" s="31"/>
      <c r="E421" s="31"/>
      <c r="J421" s="31"/>
      <c r="K421" s="31"/>
    </row>
    <row r="422" ht="15.75" customHeight="1">
      <c r="B422" s="31"/>
      <c r="C422" s="31"/>
      <c r="E422" s="31"/>
      <c r="J422" s="31"/>
      <c r="K422" s="31"/>
    </row>
    <row r="423" ht="15.75" customHeight="1">
      <c r="B423" s="31"/>
      <c r="C423" s="31"/>
      <c r="E423" s="31"/>
      <c r="J423" s="31"/>
      <c r="K423" s="31"/>
    </row>
    <row r="424" ht="15.75" customHeight="1">
      <c r="B424" s="31"/>
      <c r="C424" s="31"/>
      <c r="E424" s="31"/>
      <c r="J424" s="31"/>
      <c r="K424" s="31"/>
    </row>
    <row r="425" ht="15.75" customHeight="1">
      <c r="B425" s="31"/>
      <c r="C425" s="31"/>
      <c r="E425" s="31"/>
      <c r="J425" s="31"/>
      <c r="K425" s="31"/>
    </row>
    <row r="426" ht="15.75" customHeight="1">
      <c r="B426" s="31"/>
      <c r="C426" s="31"/>
      <c r="E426" s="31"/>
      <c r="J426" s="31"/>
      <c r="K426" s="31"/>
    </row>
    <row r="427" ht="15.75" customHeight="1">
      <c r="B427" s="31"/>
      <c r="C427" s="31"/>
      <c r="E427" s="31"/>
      <c r="J427" s="31"/>
      <c r="K427" s="31"/>
    </row>
    <row r="428" ht="15.75" customHeight="1">
      <c r="B428" s="31"/>
      <c r="C428" s="31"/>
      <c r="E428" s="31"/>
      <c r="J428" s="31"/>
      <c r="K428" s="31"/>
    </row>
    <row r="429" ht="15.75" customHeight="1">
      <c r="B429" s="31"/>
      <c r="C429" s="31"/>
      <c r="E429" s="31"/>
      <c r="J429" s="31"/>
      <c r="K429" s="31"/>
    </row>
    <row r="430" ht="15.75" customHeight="1">
      <c r="B430" s="31"/>
      <c r="C430" s="31"/>
      <c r="E430" s="31"/>
      <c r="J430" s="31"/>
      <c r="K430" s="31"/>
    </row>
    <row r="431" ht="15.75" customHeight="1">
      <c r="B431" s="31"/>
      <c r="C431" s="31"/>
      <c r="E431" s="31"/>
      <c r="J431" s="31"/>
      <c r="K431" s="31"/>
    </row>
    <row r="432" ht="15.75" customHeight="1">
      <c r="B432" s="31"/>
      <c r="C432" s="31"/>
      <c r="E432" s="31"/>
      <c r="J432" s="31"/>
      <c r="K432" s="31"/>
    </row>
    <row r="433" ht="15.75" customHeight="1">
      <c r="B433" s="31"/>
      <c r="C433" s="31"/>
      <c r="E433" s="31"/>
      <c r="J433" s="31"/>
      <c r="K433" s="31"/>
    </row>
    <row r="434" ht="15.75" customHeight="1">
      <c r="B434" s="31"/>
      <c r="C434" s="31"/>
      <c r="E434" s="31"/>
      <c r="J434" s="31"/>
      <c r="K434" s="31"/>
    </row>
    <row r="435" ht="15.75" customHeight="1">
      <c r="B435" s="31"/>
      <c r="C435" s="31"/>
      <c r="E435" s="31"/>
      <c r="J435" s="31"/>
      <c r="K435" s="31"/>
    </row>
    <row r="436" ht="15.75" customHeight="1">
      <c r="B436" s="31"/>
      <c r="C436" s="31"/>
      <c r="E436" s="31"/>
      <c r="J436" s="31"/>
      <c r="K436" s="31"/>
    </row>
    <row r="437" ht="15.75" customHeight="1">
      <c r="B437" s="31"/>
      <c r="C437" s="31"/>
      <c r="E437" s="31"/>
      <c r="J437" s="31"/>
      <c r="K437" s="31"/>
    </row>
    <row r="438" ht="15.75" customHeight="1">
      <c r="B438" s="31"/>
      <c r="C438" s="31"/>
      <c r="E438" s="31"/>
      <c r="J438" s="31"/>
      <c r="K438" s="31"/>
    </row>
    <row r="439" ht="15.75" customHeight="1">
      <c r="B439" s="31"/>
      <c r="C439" s="31"/>
      <c r="E439" s="31"/>
      <c r="J439" s="31"/>
      <c r="K439" s="31"/>
    </row>
    <row r="440" ht="15.75" customHeight="1">
      <c r="B440" s="31"/>
      <c r="C440" s="31"/>
      <c r="E440" s="31"/>
      <c r="J440" s="31"/>
      <c r="K440" s="31"/>
    </row>
    <row r="441" ht="15.75" customHeight="1">
      <c r="B441" s="31"/>
      <c r="C441" s="31"/>
      <c r="E441" s="31"/>
      <c r="J441" s="31"/>
      <c r="K441" s="31"/>
    </row>
    <row r="442" ht="15.75" customHeight="1">
      <c r="B442" s="31"/>
      <c r="C442" s="31"/>
      <c r="E442" s="31"/>
      <c r="J442" s="31"/>
      <c r="K442" s="31"/>
    </row>
    <row r="443" ht="15.75" customHeight="1">
      <c r="B443" s="31"/>
      <c r="C443" s="31"/>
      <c r="E443" s="31"/>
      <c r="J443" s="31"/>
      <c r="K443" s="31"/>
    </row>
    <row r="444" ht="15.75" customHeight="1">
      <c r="B444" s="31"/>
      <c r="C444" s="31"/>
      <c r="E444" s="31"/>
      <c r="J444" s="31"/>
      <c r="K444" s="31"/>
    </row>
    <row r="445" ht="15.75" customHeight="1">
      <c r="B445" s="31"/>
      <c r="C445" s="31"/>
      <c r="E445" s="31"/>
      <c r="J445" s="31"/>
      <c r="K445" s="31"/>
    </row>
    <row r="446" ht="15.75" customHeight="1">
      <c r="B446" s="31"/>
      <c r="C446" s="31"/>
      <c r="E446" s="31"/>
      <c r="J446" s="31"/>
      <c r="K446" s="31"/>
    </row>
    <row r="447" ht="15.75" customHeight="1">
      <c r="B447" s="31"/>
      <c r="C447" s="31"/>
      <c r="E447" s="31"/>
      <c r="J447" s="31"/>
      <c r="K447" s="31"/>
    </row>
    <row r="448" ht="15.75" customHeight="1">
      <c r="B448" s="31"/>
      <c r="C448" s="31"/>
      <c r="E448" s="31"/>
      <c r="J448" s="31"/>
      <c r="K448" s="31"/>
    </row>
    <row r="449" ht="15.75" customHeight="1">
      <c r="B449" s="31"/>
      <c r="C449" s="31"/>
      <c r="E449" s="31"/>
      <c r="J449" s="31"/>
      <c r="K449" s="31"/>
    </row>
    <row r="450" ht="15.75" customHeight="1">
      <c r="B450" s="31"/>
      <c r="C450" s="31"/>
      <c r="E450" s="31"/>
      <c r="J450" s="31"/>
      <c r="K450" s="31"/>
    </row>
    <row r="451" ht="15.75" customHeight="1">
      <c r="B451" s="31"/>
      <c r="C451" s="31"/>
      <c r="E451" s="31"/>
      <c r="J451" s="31"/>
      <c r="K451" s="31"/>
    </row>
    <row r="452" ht="15.75" customHeight="1">
      <c r="B452" s="31"/>
      <c r="C452" s="31"/>
      <c r="E452" s="31"/>
      <c r="J452" s="31"/>
      <c r="K452" s="31"/>
    </row>
    <row r="453" ht="15.75" customHeight="1">
      <c r="B453" s="31"/>
      <c r="C453" s="31"/>
      <c r="E453" s="31"/>
      <c r="J453" s="31"/>
      <c r="K453" s="31"/>
    </row>
    <row r="454" ht="15.75" customHeight="1">
      <c r="B454" s="31"/>
      <c r="C454" s="31"/>
      <c r="E454" s="31"/>
      <c r="J454" s="31"/>
      <c r="K454" s="31"/>
    </row>
    <row r="455" ht="15.75" customHeight="1">
      <c r="B455" s="31"/>
      <c r="C455" s="31"/>
      <c r="E455" s="31"/>
      <c r="J455" s="31"/>
      <c r="K455" s="31"/>
    </row>
    <row r="456" ht="15.75" customHeight="1">
      <c r="B456" s="31"/>
      <c r="C456" s="31"/>
      <c r="E456" s="31"/>
      <c r="J456" s="31"/>
      <c r="K456" s="31"/>
    </row>
    <row r="457" ht="15.75" customHeight="1">
      <c r="B457" s="31"/>
      <c r="C457" s="31"/>
      <c r="E457" s="31"/>
      <c r="J457" s="31"/>
      <c r="K457" s="31"/>
    </row>
    <row r="458" ht="15.75" customHeight="1">
      <c r="B458" s="31"/>
      <c r="C458" s="31"/>
      <c r="E458" s="31"/>
      <c r="J458" s="31"/>
      <c r="K458" s="31"/>
    </row>
    <row r="459" ht="15.75" customHeight="1">
      <c r="B459" s="31"/>
      <c r="C459" s="31"/>
      <c r="E459" s="31"/>
      <c r="J459" s="31"/>
      <c r="K459" s="31"/>
    </row>
    <row r="460" ht="15.75" customHeight="1">
      <c r="B460" s="31"/>
      <c r="C460" s="31"/>
      <c r="E460" s="31"/>
      <c r="J460" s="31"/>
      <c r="K460" s="31"/>
    </row>
    <row r="461" ht="15.75" customHeight="1">
      <c r="B461" s="31"/>
      <c r="C461" s="31"/>
      <c r="E461" s="31"/>
      <c r="J461" s="31"/>
      <c r="K461" s="31"/>
    </row>
    <row r="462" ht="15.75" customHeight="1">
      <c r="B462" s="31"/>
      <c r="C462" s="31"/>
      <c r="E462" s="31"/>
      <c r="J462" s="31"/>
      <c r="K462" s="31"/>
    </row>
    <row r="463" ht="15.75" customHeight="1">
      <c r="B463" s="31"/>
      <c r="C463" s="31"/>
      <c r="E463" s="31"/>
      <c r="J463" s="31"/>
      <c r="K463" s="31"/>
    </row>
    <row r="464" ht="15.75" customHeight="1">
      <c r="B464" s="31"/>
      <c r="C464" s="31"/>
      <c r="E464" s="31"/>
      <c r="J464" s="31"/>
      <c r="K464" s="31"/>
    </row>
    <row r="465" ht="15.75" customHeight="1">
      <c r="B465" s="31"/>
      <c r="C465" s="31"/>
      <c r="E465" s="31"/>
      <c r="J465" s="31"/>
      <c r="K465" s="31"/>
    </row>
    <row r="466" ht="15.75" customHeight="1">
      <c r="B466" s="31"/>
      <c r="C466" s="31"/>
      <c r="E466" s="31"/>
      <c r="J466" s="31"/>
      <c r="K466" s="31"/>
    </row>
    <row r="467" ht="15.75" customHeight="1">
      <c r="B467" s="31"/>
      <c r="C467" s="31"/>
      <c r="E467" s="31"/>
      <c r="J467" s="31"/>
      <c r="K467" s="31"/>
    </row>
    <row r="468" ht="15.75" customHeight="1">
      <c r="B468" s="31"/>
      <c r="C468" s="31"/>
      <c r="E468" s="31"/>
      <c r="J468" s="31"/>
      <c r="K468" s="31"/>
    </row>
    <row r="469" ht="15.75" customHeight="1">
      <c r="B469" s="31"/>
      <c r="C469" s="31"/>
      <c r="E469" s="31"/>
      <c r="J469" s="31"/>
      <c r="K469" s="31"/>
    </row>
    <row r="470" ht="15.75" customHeight="1">
      <c r="B470" s="31"/>
      <c r="C470" s="31"/>
      <c r="E470" s="31"/>
      <c r="J470" s="31"/>
      <c r="K470" s="31"/>
    </row>
    <row r="471" ht="15.75" customHeight="1">
      <c r="B471" s="31"/>
      <c r="C471" s="31"/>
      <c r="E471" s="31"/>
      <c r="J471" s="31"/>
      <c r="K471" s="31"/>
    </row>
    <row r="472" ht="15.75" customHeight="1">
      <c r="B472" s="31"/>
      <c r="C472" s="31"/>
      <c r="E472" s="31"/>
      <c r="J472" s="31"/>
      <c r="K472" s="31"/>
    </row>
    <row r="473" ht="15.75" customHeight="1">
      <c r="B473" s="31"/>
      <c r="C473" s="31"/>
      <c r="E473" s="31"/>
      <c r="J473" s="31"/>
      <c r="K473" s="31"/>
    </row>
    <row r="474" ht="15.75" customHeight="1">
      <c r="B474" s="31"/>
      <c r="C474" s="31"/>
      <c r="E474" s="31"/>
      <c r="J474" s="31"/>
      <c r="K474" s="31"/>
    </row>
    <row r="475" ht="15.75" customHeight="1">
      <c r="B475" s="31"/>
      <c r="C475" s="31"/>
      <c r="E475" s="31"/>
      <c r="J475" s="31"/>
      <c r="K475" s="31"/>
    </row>
    <row r="476" ht="15.75" customHeight="1">
      <c r="B476" s="31"/>
      <c r="C476" s="31"/>
      <c r="E476" s="31"/>
      <c r="J476" s="31"/>
      <c r="K476" s="31"/>
    </row>
    <row r="477" ht="15.75" customHeight="1">
      <c r="B477" s="31"/>
      <c r="C477" s="31"/>
      <c r="E477" s="31"/>
      <c r="J477" s="31"/>
      <c r="K477" s="31"/>
    </row>
    <row r="478" ht="15.75" customHeight="1">
      <c r="B478" s="31"/>
      <c r="C478" s="31"/>
      <c r="E478" s="31"/>
      <c r="J478" s="31"/>
      <c r="K478" s="31"/>
    </row>
    <row r="479" ht="15.75" customHeight="1">
      <c r="B479" s="31"/>
      <c r="C479" s="31"/>
      <c r="E479" s="31"/>
      <c r="J479" s="31"/>
      <c r="K479" s="31"/>
    </row>
    <row r="480" ht="15.75" customHeight="1">
      <c r="B480" s="31"/>
      <c r="C480" s="31"/>
      <c r="E480" s="31"/>
      <c r="J480" s="31"/>
      <c r="K480" s="31"/>
    </row>
    <row r="481" ht="15.75" customHeight="1">
      <c r="B481" s="31"/>
      <c r="C481" s="31"/>
      <c r="E481" s="31"/>
      <c r="J481" s="31"/>
      <c r="K481" s="31"/>
    </row>
    <row r="482" ht="15.75" customHeight="1">
      <c r="B482" s="31"/>
      <c r="C482" s="31"/>
      <c r="E482" s="31"/>
      <c r="J482" s="31"/>
      <c r="K482" s="31"/>
    </row>
    <row r="483" ht="15.75" customHeight="1">
      <c r="B483" s="31"/>
      <c r="C483" s="31"/>
      <c r="E483" s="31"/>
      <c r="J483" s="31"/>
      <c r="K483" s="31"/>
    </row>
    <row r="484" ht="15.75" customHeight="1">
      <c r="B484" s="31"/>
      <c r="C484" s="31"/>
      <c r="E484" s="31"/>
      <c r="J484" s="31"/>
      <c r="K484" s="31"/>
    </row>
    <row r="485" ht="15.75" customHeight="1">
      <c r="B485" s="31"/>
      <c r="C485" s="31"/>
      <c r="E485" s="31"/>
      <c r="J485" s="31"/>
      <c r="K485" s="31"/>
    </row>
    <row r="486" ht="15.75" customHeight="1">
      <c r="B486" s="31"/>
      <c r="C486" s="31"/>
      <c r="E486" s="31"/>
      <c r="J486" s="31"/>
      <c r="K486" s="31"/>
    </row>
    <row r="487" ht="15.75" customHeight="1">
      <c r="B487" s="31"/>
      <c r="C487" s="31"/>
      <c r="E487" s="31"/>
      <c r="J487" s="31"/>
      <c r="K487" s="31"/>
    </row>
    <row r="488" ht="15.75" customHeight="1">
      <c r="B488" s="31"/>
      <c r="C488" s="31"/>
      <c r="E488" s="31"/>
      <c r="J488" s="31"/>
      <c r="K488" s="31"/>
    </row>
    <row r="489" ht="15.75" customHeight="1">
      <c r="B489" s="31"/>
      <c r="C489" s="31"/>
      <c r="E489" s="31"/>
      <c r="J489" s="31"/>
      <c r="K489" s="31"/>
    </row>
    <row r="490" ht="15.75" customHeight="1">
      <c r="B490" s="31"/>
      <c r="C490" s="31"/>
      <c r="E490" s="31"/>
      <c r="J490" s="31"/>
      <c r="K490" s="31"/>
    </row>
    <row r="491" ht="15.75" customHeight="1">
      <c r="B491" s="31"/>
      <c r="C491" s="31"/>
      <c r="E491" s="31"/>
      <c r="J491" s="31"/>
      <c r="K491" s="31"/>
    </row>
    <row r="492" ht="15.75" customHeight="1">
      <c r="B492" s="31"/>
      <c r="C492" s="31"/>
      <c r="E492" s="31"/>
      <c r="J492" s="31"/>
      <c r="K492" s="31"/>
    </row>
    <row r="493" ht="15.75" customHeight="1">
      <c r="B493" s="31"/>
      <c r="C493" s="31"/>
      <c r="E493" s="31"/>
      <c r="J493" s="31"/>
      <c r="K493" s="31"/>
    </row>
    <row r="494" ht="15.75" customHeight="1">
      <c r="B494" s="31"/>
      <c r="C494" s="31"/>
      <c r="E494" s="31"/>
      <c r="J494" s="31"/>
      <c r="K494" s="31"/>
    </row>
    <row r="495" ht="15.75" customHeight="1">
      <c r="B495" s="31"/>
      <c r="C495" s="31"/>
      <c r="E495" s="31"/>
      <c r="J495" s="31"/>
      <c r="K495" s="31"/>
    </row>
    <row r="496" ht="15.75" customHeight="1">
      <c r="B496" s="31"/>
      <c r="C496" s="31"/>
      <c r="E496" s="31"/>
      <c r="J496" s="31"/>
      <c r="K496" s="31"/>
    </row>
    <row r="497" ht="15.75" customHeight="1">
      <c r="B497" s="31"/>
      <c r="C497" s="31"/>
      <c r="E497" s="31"/>
      <c r="J497" s="31"/>
      <c r="K497" s="31"/>
    </row>
    <row r="498" ht="15.75" customHeight="1">
      <c r="B498" s="31"/>
      <c r="C498" s="31"/>
      <c r="E498" s="31"/>
      <c r="J498" s="31"/>
      <c r="K498" s="31"/>
    </row>
    <row r="499" ht="15.75" customHeight="1">
      <c r="B499" s="31"/>
      <c r="C499" s="31"/>
      <c r="E499" s="31"/>
      <c r="J499" s="31"/>
      <c r="K499" s="31"/>
    </row>
    <row r="500" ht="15.75" customHeight="1">
      <c r="B500" s="31"/>
      <c r="C500" s="31"/>
      <c r="E500" s="31"/>
      <c r="J500" s="31"/>
      <c r="K500" s="31"/>
    </row>
    <row r="501" ht="15.75" customHeight="1">
      <c r="B501" s="31"/>
      <c r="C501" s="31"/>
      <c r="E501" s="31"/>
      <c r="J501" s="31"/>
      <c r="K501" s="31"/>
    </row>
    <row r="502" ht="15.75" customHeight="1">
      <c r="B502" s="31"/>
      <c r="C502" s="31"/>
      <c r="E502" s="31"/>
      <c r="J502" s="31"/>
      <c r="K502" s="31"/>
    </row>
    <row r="503" ht="15.75" customHeight="1">
      <c r="B503" s="31"/>
      <c r="C503" s="31"/>
      <c r="E503" s="31"/>
      <c r="J503" s="31"/>
      <c r="K503" s="31"/>
    </row>
    <row r="504" ht="15.75" customHeight="1">
      <c r="B504" s="31"/>
      <c r="C504" s="31"/>
      <c r="E504" s="31"/>
      <c r="J504" s="31"/>
      <c r="K504" s="31"/>
    </row>
    <row r="505" ht="15.75" customHeight="1">
      <c r="B505" s="31"/>
      <c r="C505" s="31"/>
      <c r="E505" s="31"/>
      <c r="J505" s="31"/>
      <c r="K505" s="31"/>
    </row>
    <row r="506" ht="15.75" customHeight="1">
      <c r="B506" s="31"/>
      <c r="C506" s="31"/>
      <c r="E506" s="31"/>
      <c r="J506" s="31"/>
      <c r="K506" s="31"/>
    </row>
    <row r="507" ht="15.75" customHeight="1">
      <c r="B507" s="31"/>
      <c r="C507" s="31"/>
      <c r="E507" s="31"/>
      <c r="J507" s="31"/>
      <c r="K507" s="31"/>
    </row>
    <row r="508" ht="15.75" customHeight="1">
      <c r="B508" s="31"/>
      <c r="C508" s="31"/>
      <c r="E508" s="31"/>
      <c r="J508" s="31"/>
      <c r="K508" s="31"/>
    </row>
    <row r="509" ht="15.75" customHeight="1">
      <c r="B509" s="31"/>
      <c r="C509" s="31"/>
      <c r="E509" s="31"/>
      <c r="J509" s="31"/>
      <c r="K509" s="31"/>
    </row>
    <row r="510" ht="15.75" customHeight="1">
      <c r="B510" s="31"/>
      <c r="C510" s="31"/>
      <c r="E510" s="31"/>
      <c r="J510" s="31"/>
      <c r="K510" s="31"/>
    </row>
    <row r="511" ht="15.75" customHeight="1">
      <c r="B511" s="31"/>
      <c r="C511" s="31"/>
      <c r="E511" s="31"/>
      <c r="J511" s="31"/>
      <c r="K511" s="31"/>
    </row>
    <row r="512" ht="15.75" customHeight="1">
      <c r="B512" s="31"/>
      <c r="C512" s="31"/>
      <c r="E512" s="31"/>
      <c r="J512" s="31"/>
      <c r="K512" s="31"/>
    </row>
    <row r="513" ht="15.75" customHeight="1">
      <c r="B513" s="31"/>
      <c r="C513" s="31"/>
      <c r="E513" s="31"/>
      <c r="J513" s="31"/>
      <c r="K513" s="31"/>
    </row>
    <row r="514" ht="15.75" customHeight="1">
      <c r="B514" s="31"/>
      <c r="C514" s="31"/>
      <c r="E514" s="31"/>
      <c r="J514" s="31"/>
      <c r="K514" s="31"/>
    </row>
    <row r="515" ht="15.75" customHeight="1">
      <c r="B515" s="31"/>
      <c r="C515" s="31"/>
      <c r="E515" s="31"/>
      <c r="J515" s="31"/>
      <c r="K515" s="31"/>
    </row>
    <row r="516" ht="15.75" customHeight="1">
      <c r="B516" s="31"/>
      <c r="C516" s="31"/>
      <c r="E516" s="31"/>
      <c r="J516" s="31"/>
      <c r="K516" s="31"/>
    </row>
    <row r="517" ht="15.75" customHeight="1">
      <c r="B517" s="31"/>
      <c r="C517" s="31"/>
      <c r="E517" s="31"/>
      <c r="J517" s="31"/>
      <c r="K517" s="31"/>
    </row>
    <row r="518" ht="15.75" customHeight="1">
      <c r="B518" s="31"/>
      <c r="C518" s="31"/>
      <c r="E518" s="31"/>
      <c r="J518" s="31"/>
      <c r="K518" s="31"/>
    </row>
    <row r="519" ht="15.75" customHeight="1">
      <c r="B519" s="31"/>
      <c r="C519" s="31"/>
      <c r="E519" s="31"/>
      <c r="J519" s="31"/>
      <c r="K519" s="31"/>
    </row>
    <row r="520" ht="15.75" customHeight="1">
      <c r="B520" s="31"/>
      <c r="C520" s="31"/>
      <c r="E520" s="31"/>
      <c r="J520" s="31"/>
      <c r="K520" s="31"/>
    </row>
    <row r="521" ht="15.75" customHeight="1">
      <c r="B521" s="31"/>
      <c r="C521" s="31"/>
      <c r="E521" s="31"/>
      <c r="J521" s="31"/>
      <c r="K521" s="31"/>
    </row>
    <row r="522" ht="15.75" customHeight="1">
      <c r="B522" s="31"/>
      <c r="C522" s="31"/>
      <c r="E522" s="31"/>
      <c r="J522" s="31"/>
      <c r="K522" s="31"/>
    </row>
    <row r="523" ht="15.75" customHeight="1">
      <c r="B523" s="31"/>
      <c r="C523" s="31"/>
      <c r="E523" s="31"/>
      <c r="J523" s="31"/>
      <c r="K523" s="31"/>
    </row>
    <row r="524" ht="15.75" customHeight="1">
      <c r="B524" s="31"/>
      <c r="C524" s="31"/>
      <c r="E524" s="31"/>
      <c r="J524" s="31"/>
      <c r="K524" s="31"/>
    </row>
    <row r="525" ht="15.75" customHeight="1">
      <c r="B525" s="31"/>
      <c r="C525" s="31"/>
      <c r="E525" s="31"/>
      <c r="J525" s="31"/>
      <c r="K525" s="31"/>
    </row>
    <row r="526" ht="15.75" customHeight="1">
      <c r="B526" s="31"/>
      <c r="C526" s="31"/>
      <c r="E526" s="31"/>
      <c r="J526" s="31"/>
      <c r="K526" s="31"/>
    </row>
    <row r="527" ht="15.75" customHeight="1">
      <c r="B527" s="31"/>
      <c r="C527" s="31"/>
      <c r="E527" s="31"/>
      <c r="J527" s="31"/>
      <c r="K527" s="31"/>
    </row>
    <row r="528" ht="15.75" customHeight="1">
      <c r="B528" s="31"/>
      <c r="C528" s="31"/>
      <c r="E528" s="31"/>
      <c r="J528" s="31"/>
      <c r="K528" s="31"/>
    </row>
    <row r="529" ht="15.75" customHeight="1">
      <c r="B529" s="31"/>
      <c r="C529" s="31"/>
      <c r="E529" s="31"/>
      <c r="J529" s="31"/>
      <c r="K529" s="31"/>
    </row>
    <row r="530" ht="15.75" customHeight="1">
      <c r="B530" s="31"/>
      <c r="C530" s="31"/>
      <c r="E530" s="31"/>
      <c r="J530" s="31"/>
      <c r="K530" s="31"/>
    </row>
    <row r="531" ht="15.75" customHeight="1">
      <c r="B531" s="31"/>
      <c r="C531" s="31"/>
      <c r="E531" s="31"/>
      <c r="J531" s="31"/>
      <c r="K531" s="31"/>
    </row>
    <row r="532" ht="15.75" customHeight="1">
      <c r="B532" s="31"/>
      <c r="C532" s="31"/>
      <c r="E532" s="31"/>
      <c r="J532" s="31"/>
      <c r="K532" s="31"/>
    </row>
    <row r="533" ht="15.75" customHeight="1">
      <c r="B533" s="31"/>
      <c r="C533" s="31"/>
      <c r="E533" s="31"/>
      <c r="J533" s="31"/>
      <c r="K533" s="31"/>
    </row>
    <row r="534" ht="15.75" customHeight="1">
      <c r="B534" s="31"/>
      <c r="C534" s="31"/>
      <c r="E534" s="31"/>
      <c r="J534" s="31"/>
      <c r="K534" s="31"/>
    </row>
    <row r="535" ht="15.75" customHeight="1">
      <c r="B535" s="31"/>
      <c r="C535" s="31"/>
      <c r="E535" s="31"/>
      <c r="J535" s="31"/>
      <c r="K535" s="31"/>
    </row>
    <row r="536" ht="15.75" customHeight="1">
      <c r="B536" s="31"/>
      <c r="C536" s="31"/>
      <c r="E536" s="31"/>
      <c r="J536" s="31"/>
      <c r="K536" s="31"/>
    </row>
    <row r="537" ht="15.75" customHeight="1">
      <c r="B537" s="31"/>
      <c r="C537" s="31"/>
      <c r="E537" s="31"/>
      <c r="J537" s="31"/>
      <c r="K537" s="31"/>
    </row>
    <row r="538" ht="15.75" customHeight="1">
      <c r="B538" s="31"/>
      <c r="C538" s="31"/>
      <c r="E538" s="31"/>
      <c r="J538" s="31"/>
      <c r="K538" s="31"/>
    </row>
    <row r="539" ht="15.75" customHeight="1">
      <c r="B539" s="31"/>
      <c r="C539" s="31"/>
      <c r="E539" s="31"/>
      <c r="J539" s="31"/>
      <c r="K539" s="31"/>
    </row>
    <row r="540" ht="15.75" customHeight="1">
      <c r="B540" s="31"/>
      <c r="C540" s="31"/>
      <c r="E540" s="31"/>
      <c r="J540" s="31"/>
      <c r="K540" s="31"/>
    </row>
    <row r="541" ht="15.75" customHeight="1">
      <c r="B541" s="31"/>
      <c r="C541" s="31"/>
      <c r="E541" s="31"/>
      <c r="J541" s="31"/>
      <c r="K541" s="31"/>
    </row>
    <row r="542" ht="15.75" customHeight="1">
      <c r="B542" s="31"/>
      <c r="C542" s="31"/>
      <c r="E542" s="31"/>
      <c r="J542" s="31"/>
      <c r="K542" s="31"/>
    </row>
    <row r="543" ht="15.75" customHeight="1">
      <c r="B543" s="31"/>
      <c r="C543" s="31"/>
      <c r="E543" s="31"/>
      <c r="J543" s="31"/>
      <c r="K543" s="31"/>
    </row>
    <row r="544" ht="15.75" customHeight="1">
      <c r="B544" s="31"/>
      <c r="C544" s="31"/>
      <c r="E544" s="31"/>
      <c r="J544" s="31"/>
      <c r="K544" s="31"/>
    </row>
    <row r="545" ht="15.75" customHeight="1">
      <c r="B545" s="31"/>
      <c r="C545" s="31"/>
      <c r="E545" s="31"/>
      <c r="J545" s="31"/>
      <c r="K545" s="31"/>
    </row>
    <row r="546" ht="15.75" customHeight="1">
      <c r="B546" s="31"/>
      <c r="C546" s="31"/>
      <c r="E546" s="31"/>
      <c r="J546" s="31"/>
      <c r="K546" s="31"/>
    </row>
    <row r="547" ht="15.75" customHeight="1">
      <c r="B547" s="31"/>
      <c r="C547" s="31"/>
      <c r="E547" s="31"/>
      <c r="J547" s="31"/>
      <c r="K547" s="31"/>
    </row>
    <row r="548" ht="15.75" customHeight="1">
      <c r="B548" s="31"/>
      <c r="C548" s="31"/>
      <c r="E548" s="31"/>
      <c r="J548" s="31"/>
      <c r="K548" s="31"/>
    </row>
    <row r="549" ht="15.75" customHeight="1">
      <c r="B549" s="31"/>
      <c r="C549" s="31"/>
      <c r="E549" s="31"/>
      <c r="J549" s="31"/>
      <c r="K549" s="31"/>
    </row>
    <row r="550" ht="15.75" customHeight="1">
      <c r="B550" s="31"/>
      <c r="C550" s="31"/>
      <c r="E550" s="31"/>
      <c r="J550" s="31"/>
      <c r="K550" s="31"/>
    </row>
    <row r="551" ht="15.75" customHeight="1">
      <c r="B551" s="31"/>
      <c r="C551" s="31"/>
      <c r="E551" s="31"/>
      <c r="J551" s="31"/>
      <c r="K551" s="31"/>
    </row>
    <row r="552" ht="15.75" customHeight="1">
      <c r="B552" s="31"/>
      <c r="C552" s="31"/>
      <c r="E552" s="31"/>
      <c r="J552" s="31"/>
      <c r="K552" s="31"/>
    </row>
    <row r="553" ht="15.75" customHeight="1">
      <c r="B553" s="31"/>
      <c r="C553" s="31"/>
      <c r="E553" s="31"/>
      <c r="J553" s="31"/>
      <c r="K553" s="31"/>
    </row>
    <row r="554" ht="15.75" customHeight="1">
      <c r="B554" s="31"/>
      <c r="C554" s="31"/>
      <c r="E554" s="31"/>
      <c r="J554" s="31"/>
      <c r="K554" s="31"/>
    </row>
    <row r="555" ht="15.75" customHeight="1">
      <c r="B555" s="31"/>
      <c r="C555" s="31"/>
      <c r="E555" s="31"/>
      <c r="J555" s="31"/>
      <c r="K555" s="31"/>
    </row>
    <row r="556" ht="15.75" customHeight="1">
      <c r="B556" s="31"/>
      <c r="C556" s="31"/>
      <c r="E556" s="31"/>
      <c r="J556" s="31"/>
      <c r="K556" s="31"/>
    </row>
    <row r="557" ht="15.75" customHeight="1">
      <c r="B557" s="31"/>
      <c r="C557" s="31"/>
      <c r="E557" s="31"/>
      <c r="J557" s="31"/>
      <c r="K557" s="31"/>
    </row>
    <row r="558" ht="15.75" customHeight="1">
      <c r="B558" s="31"/>
      <c r="C558" s="31"/>
      <c r="E558" s="31"/>
      <c r="J558" s="31"/>
      <c r="K558" s="31"/>
    </row>
    <row r="559" ht="15.75" customHeight="1">
      <c r="B559" s="31"/>
      <c r="C559" s="31"/>
      <c r="E559" s="31"/>
      <c r="J559" s="31"/>
      <c r="K559" s="31"/>
    </row>
    <row r="560" ht="15.75" customHeight="1">
      <c r="B560" s="31"/>
      <c r="C560" s="31"/>
      <c r="E560" s="31"/>
      <c r="J560" s="31"/>
      <c r="K560" s="31"/>
    </row>
    <row r="561" ht="15.75" customHeight="1">
      <c r="B561" s="31"/>
      <c r="C561" s="31"/>
      <c r="E561" s="31"/>
      <c r="J561" s="31"/>
      <c r="K561" s="31"/>
    </row>
    <row r="562" ht="15.75" customHeight="1">
      <c r="B562" s="31"/>
      <c r="C562" s="31"/>
      <c r="E562" s="31"/>
      <c r="J562" s="31"/>
      <c r="K562" s="31"/>
    </row>
    <row r="563" ht="15.75" customHeight="1">
      <c r="B563" s="31"/>
      <c r="C563" s="31"/>
      <c r="E563" s="31"/>
      <c r="J563" s="31"/>
      <c r="K563" s="31"/>
    </row>
    <row r="564" ht="15.75" customHeight="1">
      <c r="B564" s="31"/>
      <c r="C564" s="31"/>
      <c r="E564" s="31"/>
      <c r="J564" s="31"/>
      <c r="K564" s="31"/>
    </row>
    <row r="565" ht="15.75" customHeight="1">
      <c r="B565" s="31"/>
      <c r="C565" s="31"/>
      <c r="E565" s="31"/>
      <c r="J565" s="31"/>
      <c r="K565" s="31"/>
    </row>
    <row r="566" ht="15.75" customHeight="1">
      <c r="B566" s="31"/>
      <c r="C566" s="31"/>
      <c r="E566" s="31"/>
      <c r="J566" s="31"/>
      <c r="K566" s="31"/>
    </row>
    <row r="567" ht="15.75" customHeight="1">
      <c r="B567" s="31"/>
      <c r="C567" s="31"/>
      <c r="E567" s="31"/>
      <c r="J567" s="31"/>
      <c r="K567" s="31"/>
    </row>
    <row r="568" ht="15.75" customHeight="1">
      <c r="B568" s="31"/>
      <c r="C568" s="31"/>
      <c r="E568" s="31"/>
      <c r="J568" s="31"/>
      <c r="K568" s="31"/>
    </row>
    <row r="569" ht="15.75" customHeight="1">
      <c r="B569" s="31"/>
      <c r="C569" s="31"/>
      <c r="E569" s="31"/>
      <c r="J569" s="31"/>
      <c r="K569" s="31"/>
    </row>
    <row r="570" ht="15.75" customHeight="1">
      <c r="B570" s="31"/>
      <c r="C570" s="31"/>
      <c r="E570" s="31"/>
      <c r="J570" s="31"/>
      <c r="K570" s="31"/>
    </row>
    <row r="571" ht="15.75" customHeight="1">
      <c r="B571" s="31"/>
      <c r="C571" s="31"/>
      <c r="E571" s="31"/>
      <c r="J571" s="31"/>
      <c r="K571" s="31"/>
    </row>
    <row r="572" ht="15.75" customHeight="1">
      <c r="B572" s="31"/>
      <c r="C572" s="31"/>
      <c r="E572" s="31"/>
      <c r="J572" s="31"/>
      <c r="K572" s="31"/>
    </row>
    <row r="573" ht="15.75" customHeight="1">
      <c r="B573" s="31"/>
      <c r="C573" s="31"/>
      <c r="E573" s="31"/>
      <c r="J573" s="31"/>
      <c r="K573" s="31"/>
    </row>
    <row r="574" ht="15.75" customHeight="1">
      <c r="B574" s="31"/>
      <c r="C574" s="31"/>
      <c r="E574" s="31"/>
      <c r="J574" s="31"/>
      <c r="K574" s="31"/>
    </row>
    <row r="575" ht="15.75" customHeight="1">
      <c r="B575" s="31"/>
      <c r="C575" s="31"/>
      <c r="E575" s="31"/>
      <c r="J575" s="31"/>
      <c r="K575" s="31"/>
    </row>
    <row r="576" ht="15.75" customHeight="1">
      <c r="B576" s="31"/>
      <c r="C576" s="31"/>
      <c r="E576" s="31"/>
      <c r="J576" s="31"/>
      <c r="K576" s="31"/>
    </row>
    <row r="577" ht="15.75" customHeight="1">
      <c r="B577" s="31"/>
      <c r="C577" s="31"/>
      <c r="E577" s="31"/>
      <c r="J577" s="31"/>
      <c r="K577" s="31"/>
    </row>
    <row r="578" ht="15.75" customHeight="1">
      <c r="B578" s="31"/>
      <c r="C578" s="31"/>
      <c r="E578" s="31"/>
      <c r="J578" s="31"/>
      <c r="K578" s="31"/>
    </row>
    <row r="579" ht="15.75" customHeight="1">
      <c r="B579" s="31"/>
      <c r="C579" s="31"/>
      <c r="E579" s="31"/>
      <c r="J579" s="31"/>
      <c r="K579" s="31"/>
    </row>
    <row r="580" ht="15.75" customHeight="1">
      <c r="B580" s="31"/>
      <c r="C580" s="31"/>
      <c r="E580" s="31"/>
      <c r="J580" s="31"/>
      <c r="K580" s="31"/>
    </row>
    <row r="581" ht="15.75" customHeight="1">
      <c r="B581" s="31"/>
      <c r="C581" s="31"/>
      <c r="E581" s="31"/>
      <c r="J581" s="31"/>
      <c r="K581" s="31"/>
    </row>
    <row r="582" ht="15.75" customHeight="1">
      <c r="B582" s="31"/>
      <c r="C582" s="31"/>
      <c r="E582" s="31"/>
      <c r="J582" s="31"/>
      <c r="K582" s="31"/>
    </row>
    <row r="583" ht="15.75" customHeight="1">
      <c r="B583" s="31"/>
      <c r="C583" s="31"/>
      <c r="E583" s="31"/>
      <c r="J583" s="31"/>
      <c r="K583" s="31"/>
    </row>
    <row r="584" ht="15.75" customHeight="1">
      <c r="B584" s="31"/>
      <c r="C584" s="31"/>
      <c r="E584" s="31"/>
      <c r="J584" s="31"/>
      <c r="K584" s="31"/>
    </row>
    <row r="585" ht="15.75" customHeight="1">
      <c r="B585" s="31"/>
      <c r="C585" s="31"/>
      <c r="E585" s="31"/>
      <c r="J585" s="31"/>
      <c r="K585" s="31"/>
    </row>
    <row r="586" ht="15.75" customHeight="1">
      <c r="B586" s="31"/>
      <c r="C586" s="31"/>
      <c r="E586" s="31"/>
      <c r="J586" s="31"/>
      <c r="K586" s="31"/>
    </row>
    <row r="587" ht="15.75" customHeight="1">
      <c r="B587" s="31"/>
      <c r="C587" s="31"/>
      <c r="E587" s="31"/>
      <c r="J587" s="31"/>
      <c r="K587" s="31"/>
    </row>
    <row r="588" ht="15.75" customHeight="1">
      <c r="B588" s="31"/>
      <c r="C588" s="31"/>
      <c r="E588" s="31"/>
      <c r="J588" s="31"/>
      <c r="K588" s="31"/>
    </row>
    <row r="589" ht="15.75" customHeight="1">
      <c r="B589" s="31"/>
      <c r="C589" s="31"/>
      <c r="E589" s="31"/>
      <c r="J589" s="31"/>
      <c r="K589" s="31"/>
    </row>
    <row r="590" ht="15.75" customHeight="1">
      <c r="B590" s="31"/>
      <c r="C590" s="31"/>
      <c r="E590" s="31"/>
      <c r="J590" s="31"/>
      <c r="K590" s="31"/>
    </row>
    <row r="591" ht="15.75" customHeight="1">
      <c r="B591" s="31"/>
      <c r="C591" s="31"/>
      <c r="E591" s="31"/>
      <c r="J591" s="31"/>
      <c r="K591" s="31"/>
    </row>
    <row r="592" ht="15.75" customHeight="1">
      <c r="B592" s="31"/>
      <c r="C592" s="31"/>
      <c r="E592" s="31"/>
      <c r="J592" s="31"/>
      <c r="K592" s="31"/>
    </row>
    <row r="593" ht="15.75" customHeight="1">
      <c r="B593" s="31"/>
      <c r="C593" s="31"/>
      <c r="E593" s="31"/>
      <c r="J593" s="31"/>
      <c r="K593" s="31"/>
    </row>
    <row r="594" ht="15.75" customHeight="1">
      <c r="B594" s="31"/>
      <c r="C594" s="31"/>
      <c r="E594" s="31"/>
      <c r="J594" s="31"/>
      <c r="K594" s="31"/>
    </row>
    <row r="595" ht="15.75" customHeight="1">
      <c r="B595" s="31"/>
      <c r="C595" s="31"/>
      <c r="E595" s="31"/>
      <c r="J595" s="31"/>
      <c r="K595" s="31"/>
    </row>
    <row r="596" ht="15.75" customHeight="1">
      <c r="B596" s="31"/>
      <c r="C596" s="31"/>
      <c r="E596" s="31"/>
      <c r="J596" s="31"/>
      <c r="K596" s="31"/>
    </row>
    <row r="597" ht="15.75" customHeight="1">
      <c r="B597" s="31"/>
      <c r="C597" s="31"/>
      <c r="E597" s="31"/>
      <c r="J597" s="31"/>
      <c r="K597" s="31"/>
    </row>
    <row r="598" ht="15.75" customHeight="1">
      <c r="B598" s="31"/>
      <c r="C598" s="31"/>
      <c r="E598" s="31"/>
      <c r="J598" s="31"/>
      <c r="K598" s="31"/>
    </row>
    <row r="599" ht="15.75" customHeight="1">
      <c r="B599" s="31"/>
      <c r="C599" s="31"/>
      <c r="E599" s="31"/>
      <c r="J599" s="31"/>
      <c r="K599" s="31"/>
    </row>
    <row r="600" ht="15.75" customHeight="1">
      <c r="B600" s="31"/>
      <c r="C600" s="31"/>
      <c r="E600" s="31"/>
      <c r="J600" s="31"/>
      <c r="K600" s="31"/>
    </row>
    <row r="601" ht="15.75" customHeight="1">
      <c r="B601" s="31"/>
      <c r="C601" s="31"/>
      <c r="E601" s="31"/>
      <c r="J601" s="31"/>
      <c r="K601" s="31"/>
    </row>
    <row r="602" ht="15.75" customHeight="1">
      <c r="B602" s="31"/>
      <c r="C602" s="31"/>
      <c r="E602" s="31"/>
      <c r="J602" s="31"/>
      <c r="K602" s="31"/>
    </row>
    <row r="603" ht="15.75" customHeight="1">
      <c r="B603" s="31"/>
      <c r="C603" s="31"/>
      <c r="E603" s="31"/>
      <c r="J603" s="31"/>
      <c r="K603" s="31"/>
    </row>
    <row r="604" ht="15.75" customHeight="1">
      <c r="B604" s="31"/>
      <c r="C604" s="31"/>
      <c r="E604" s="31"/>
      <c r="J604" s="31"/>
      <c r="K604" s="31"/>
    </row>
    <row r="605" ht="15.75" customHeight="1">
      <c r="B605" s="31"/>
      <c r="C605" s="31"/>
      <c r="E605" s="31"/>
      <c r="J605" s="31"/>
      <c r="K605" s="31"/>
    </row>
    <row r="606" ht="15.75" customHeight="1">
      <c r="B606" s="31"/>
      <c r="C606" s="31"/>
      <c r="E606" s="31"/>
      <c r="J606" s="31"/>
      <c r="K606" s="31"/>
    </row>
    <row r="607" ht="15.75" customHeight="1">
      <c r="B607" s="31"/>
      <c r="C607" s="31"/>
      <c r="E607" s="31"/>
      <c r="J607" s="31"/>
      <c r="K607" s="31"/>
    </row>
    <row r="608" ht="15.75" customHeight="1">
      <c r="B608" s="31"/>
      <c r="C608" s="31"/>
      <c r="E608" s="31"/>
      <c r="J608" s="31"/>
      <c r="K608" s="31"/>
    </row>
    <row r="609" ht="15.75" customHeight="1">
      <c r="B609" s="31"/>
      <c r="C609" s="31"/>
      <c r="E609" s="31"/>
      <c r="J609" s="31"/>
      <c r="K609" s="31"/>
    </row>
    <row r="610" ht="15.75" customHeight="1">
      <c r="B610" s="31"/>
      <c r="C610" s="31"/>
      <c r="E610" s="31"/>
      <c r="J610" s="31"/>
      <c r="K610" s="31"/>
    </row>
    <row r="611" ht="15.75" customHeight="1">
      <c r="B611" s="31"/>
      <c r="C611" s="31"/>
      <c r="E611" s="31"/>
      <c r="J611" s="31"/>
      <c r="K611" s="31"/>
    </row>
    <row r="612" ht="15.75" customHeight="1">
      <c r="B612" s="31"/>
      <c r="C612" s="31"/>
      <c r="E612" s="31"/>
      <c r="J612" s="31"/>
      <c r="K612" s="31"/>
    </row>
    <row r="613" ht="15.75" customHeight="1">
      <c r="B613" s="31"/>
      <c r="C613" s="31"/>
      <c r="E613" s="31"/>
      <c r="J613" s="31"/>
      <c r="K613" s="31"/>
    </row>
    <row r="614" ht="15.75" customHeight="1">
      <c r="B614" s="31"/>
      <c r="C614" s="31"/>
      <c r="E614" s="31"/>
      <c r="J614" s="31"/>
      <c r="K614" s="31"/>
    </row>
    <row r="615" ht="15.75" customHeight="1">
      <c r="B615" s="31"/>
      <c r="C615" s="31"/>
      <c r="E615" s="31"/>
      <c r="J615" s="31"/>
      <c r="K615" s="31"/>
    </row>
    <row r="616" ht="15.75" customHeight="1">
      <c r="B616" s="31"/>
      <c r="C616" s="31"/>
      <c r="E616" s="31"/>
      <c r="J616" s="31"/>
      <c r="K616" s="31"/>
    </row>
    <row r="617" ht="15.75" customHeight="1">
      <c r="B617" s="31"/>
      <c r="C617" s="31"/>
      <c r="E617" s="31"/>
      <c r="J617" s="31"/>
      <c r="K617" s="31"/>
    </row>
    <row r="618" ht="15.75" customHeight="1">
      <c r="B618" s="31"/>
      <c r="C618" s="31"/>
      <c r="E618" s="31"/>
      <c r="J618" s="31"/>
      <c r="K618" s="31"/>
    </row>
    <row r="619" ht="15.75" customHeight="1">
      <c r="B619" s="31"/>
      <c r="C619" s="31"/>
      <c r="E619" s="31"/>
      <c r="J619" s="31"/>
      <c r="K619" s="31"/>
    </row>
    <row r="620" ht="15.75" customHeight="1">
      <c r="B620" s="31"/>
      <c r="C620" s="31"/>
      <c r="E620" s="31"/>
      <c r="J620" s="31"/>
      <c r="K620" s="31"/>
    </row>
    <row r="621" ht="15.75" customHeight="1">
      <c r="B621" s="31"/>
      <c r="C621" s="31"/>
      <c r="E621" s="31"/>
      <c r="J621" s="31"/>
      <c r="K621" s="31"/>
    </row>
    <row r="622" ht="15.75" customHeight="1">
      <c r="B622" s="31"/>
      <c r="C622" s="31"/>
      <c r="E622" s="31"/>
      <c r="J622" s="31"/>
      <c r="K622" s="31"/>
    </row>
    <row r="623" ht="15.75" customHeight="1">
      <c r="B623" s="31"/>
      <c r="C623" s="31"/>
      <c r="E623" s="31"/>
      <c r="J623" s="31"/>
      <c r="K623" s="31"/>
    </row>
    <row r="624" ht="15.75" customHeight="1">
      <c r="B624" s="31"/>
      <c r="C624" s="31"/>
      <c r="E624" s="31"/>
      <c r="J624" s="31"/>
      <c r="K624" s="31"/>
    </row>
    <row r="625" ht="15.75" customHeight="1">
      <c r="B625" s="31"/>
      <c r="C625" s="31"/>
      <c r="E625" s="31"/>
      <c r="J625" s="31"/>
      <c r="K625" s="31"/>
    </row>
    <row r="626" ht="15.75" customHeight="1">
      <c r="B626" s="31"/>
      <c r="C626" s="31"/>
      <c r="E626" s="31"/>
      <c r="J626" s="31"/>
      <c r="K626" s="31"/>
    </row>
    <row r="627" ht="15.75" customHeight="1">
      <c r="B627" s="31"/>
      <c r="C627" s="31"/>
      <c r="E627" s="31"/>
      <c r="J627" s="31"/>
      <c r="K627" s="31"/>
    </row>
    <row r="628" ht="15.75" customHeight="1">
      <c r="B628" s="31"/>
      <c r="C628" s="31"/>
      <c r="E628" s="31"/>
      <c r="J628" s="31"/>
      <c r="K628" s="31"/>
    </row>
    <row r="629" ht="15.75" customHeight="1">
      <c r="B629" s="31"/>
      <c r="C629" s="31"/>
      <c r="E629" s="31"/>
      <c r="J629" s="31"/>
      <c r="K629" s="31"/>
    </row>
    <row r="630" ht="15.75" customHeight="1">
      <c r="B630" s="31"/>
      <c r="C630" s="31"/>
      <c r="E630" s="31"/>
      <c r="J630" s="31"/>
      <c r="K630" s="31"/>
    </row>
    <row r="631" ht="15.75" customHeight="1">
      <c r="B631" s="31"/>
      <c r="C631" s="31"/>
      <c r="E631" s="31"/>
      <c r="J631" s="31"/>
      <c r="K631" s="31"/>
    </row>
    <row r="632" ht="15.75" customHeight="1">
      <c r="B632" s="31"/>
      <c r="C632" s="31"/>
      <c r="E632" s="31"/>
      <c r="J632" s="31"/>
      <c r="K632" s="31"/>
    </row>
    <row r="633" ht="15.75" customHeight="1">
      <c r="B633" s="31"/>
      <c r="C633" s="31"/>
      <c r="E633" s="31"/>
      <c r="J633" s="31"/>
      <c r="K633" s="31"/>
    </row>
    <row r="634" ht="15.75" customHeight="1">
      <c r="B634" s="31"/>
      <c r="C634" s="31"/>
      <c r="E634" s="31"/>
      <c r="J634" s="31"/>
      <c r="K634" s="31"/>
    </row>
    <row r="635" ht="15.75" customHeight="1">
      <c r="B635" s="31"/>
      <c r="C635" s="31"/>
      <c r="E635" s="31"/>
      <c r="J635" s="31"/>
      <c r="K635" s="31"/>
    </row>
    <row r="636" ht="15.75" customHeight="1">
      <c r="B636" s="31"/>
      <c r="C636" s="31"/>
      <c r="E636" s="31"/>
      <c r="J636" s="31"/>
      <c r="K636" s="31"/>
    </row>
    <row r="637" ht="15.75" customHeight="1">
      <c r="B637" s="31"/>
      <c r="C637" s="31"/>
      <c r="E637" s="31"/>
      <c r="J637" s="31"/>
      <c r="K637" s="31"/>
    </row>
    <row r="638" ht="15.75" customHeight="1">
      <c r="B638" s="31"/>
      <c r="C638" s="31"/>
      <c r="E638" s="31"/>
      <c r="J638" s="31"/>
      <c r="K638" s="31"/>
    </row>
    <row r="639" ht="15.75" customHeight="1">
      <c r="B639" s="31"/>
      <c r="C639" s="31"/>
      <c r="E639" s="31"/>
      <c r="J639" s="31"/>
      <c r="K639" s="31"/>
    </row>
    <row r="640" ht="15.75" customHeight="1">
      <c r="B640" s="31"/>
      <c r="C640" s="31"/>
      <c r="E640" s="31"/>
      <c r="J640" s="31"/>
      <c r="K640" s="31"/>
    </row>
    <row r="641" ht="15.75" customHeight="1">
      <c r="B641" s="31"/>
      <c r="C641" s="31"/>
      <c r="E641" s="31"/>
      <c r="J641" s="31"/>
      <c r="K641" s="31"/>
    </row>
    <row r="642" ht="15.75" customHeight="1">
      <c r="B642" s="31"/>
      <c r="C642" s="31"/>
      <c r="E642" s="31"/>
      <c r="J642" s="31"/>
      <c r="K642" s="31"/>
    </row>
    <row r="643" ht="15.75" customHeight="1">
      <c r="B643" s="31"/>
      <c r="C643" s="31"/>
      <c r="E643" s="31"/>
      <c r="J643" s="31"/>
      <c r="K643" s="31"/>
    </row>
    <row r="644" ht="15.75" customHeight="1">
      <c r="B644" s="31"/>
      <c r="C644" s="31"/>
      <c r="E644" s="31"/>
      <c r="J644" s="31"/>
      <c r="K644" s="31"/>
    </row>
    <row r="645" ht="15.75" customHeight="1">
      <c r="B645" s="31"/>
      <c r="C645" s="31"/>
      <c r="E645" s="31"/>
      <c r="J645" s="31"/>
      <c r="K645" s="31"/>
    </row>
    <row r="646" ht="15.75" customHeight="1">
      <c r="B646" s="31"/>
      <c r="C646" s="31"/>
      <c r="E646" s="31"/>
      <c r="J646" s="31"/>
      <c r="K646" s="31"/>
    </row>
    <row r="647" ht="15.75" customHeight="1">
      <c r="B647" s="31"/>
      <c r="C647" s="31"/>
      <c r="E647" s="31"/>
      <c r="J647" s="31"/>
      <c r="K647" s="31"/>
    </row>
    <row r="648" ht="15.75" customHeight="1">
      <c r="B648" s="31"/>
      <c r="C648" s="31"/>
      <c r="E648" s="31"/>
      <c r="J648" s="31"/>
      <c r="K648" s="31"/>
    </row>
    <row r="649" ht="15.75" customHeight="1">
      <c r="B649" s="31"/>
      <c r="C649" s="31"/>
      <c r="E649" s="31"/>
      <c r="J649" s="31"/>
      <c r="K649" s="31"/>
    </row>
    <row r="650" ht="15.75" customHeight="1">
      <c r="B650" s="31"/>
      <c r="C650" s="31"/>
      <c r="E650" s="31"/>
      <c r="J650" s="31"/>
      <c r="K650" s="31"/>
    </row>
    <row r="651" ht="15.75" customHeight="1">
      <c r="B651" s="31"/>
      <c r="C651" s="31"/>
      <c r="E651" s="31"/>
      <c r="J651" s="31"/>
      <c r="K651" s="31"/>
    </row>
    <row r="652" ht="15.75" customHeight="1">
      <c r="B652" s="31"/>
      <c r="C652" s="31"/>
      <c r="E652" s="31"/>
      <c r="J652" s="31"/>
      <c r="K652" s="31"/>
    </row>
    <row r="653" ht="15.75" customHeight="1">
      <c r="B653" s="31"/>
      <c r="C653" s="31"/>
      <c r="E653" s="31"/>
      <c r="J653" s="31"/>
      <c r="K653" s="31"/>
    </row>
    <row r="654" ht="15.75" customHeight="1">
      <c r="B654" s="31"/>
      <c r="C654" s="31"/>
      <c r="E654" s="31"/>
      <c r="J654" s="31"/>
      <c r="K654" s="31"/>
    </row>
    <row r="655" ht="15.75" customHeight="1">
      <c r="B655" s="31"/>
      <c r="C655" s="31"/>
      <c r="E655" s="31"/>
      <c r="J655" s="31"/>
      <c r="K655" s="31"/>
    </row>
    <row r="656" ht="15.75" customHeight="1">
      <c r="B656" s="31"/>
      <c r="C656" s="31"/>
      <c r="E656" s="31"/>
      <c r="J656" s="31"/>
      <c r="K656" s="31"/>
    </row>
    <row r="657" ht="15.75" customHeight="1">
      <c r="B657" s="31"/>
      <c r="C657" s="31"/>
      <c r="E657" s="31"/>
      <c r="J657" s="31"/>
      <c r="K657" s="31"/>
    </row>
    <row r="658" ht="15.75" customHeight="1">
      <c r="B658" s="31"/>
      <c r="C658" s="31"/>
      <c r="E658" s="31"/>
      <c r="J658" s="31"/>
      <c r="K658" s="31"/>
    </row>
    <row r="659" ht="15.75" customHeight="1">
      <c r="B659" s="31"/>
      <c r="C659" s="31"/>
      <c r="E659" s="31"/>
      <c r="J659" s="31"/>
      <c r="K659" s="31"/>
    </row>
    <row r="660" ht="15.75" customHeight="1">
      <c r="B660" s="31"/>
      <c r="C660" s="31"/>
      <c r="E660" s="31"/>
      <c r="J660" s="31"/>
      <c r="K660" s="31"/>
    </row>
    <row r="661" ht="15.75" customHeight="1">
      <c r="B661" s="31"/>
      <c r="C661" s="31"/>
      <c r="E661" s="31"/>
      <c r="J661" s="31"/>
      <c r="K661" s="31"/>
    </row>
    <row r="662" ht="15.75" customHeight="1">
      <c r="B662" s="31"/>
      <c r="C662" s="31"/>
      <c r="E662" s="31"/>
      <c r="J662" s="31"/>
      <c r="K662" s="31"/>
    </row>
    <row r="663" ht="15.75" customHeight="1">
      <c r="B663" s="31"/>
      <c r="C663" s="31"/>
      <c r="E663" s="31"/>
      <c r="J663" s="31"/>
      <c r="K663" s="31"/>
    </row>
    <row r="664" ht="15.75" customHeight="1">
      <c r="B664" s="31"/>
      <c r="C664" s="31"/>
      <c r="E664" s="31"/>
      <c r="J664" s="31"/>
      <c r="K664" s="31"/>
    </row>
    <row r="665" ht="15.75" customHeight="1">
      <c r="B665" s="31"/>
      <c r="C665" s="31"/>
      <c r="E665" s="31"/>
      <c r="J665" s="31"/>
      <c r="K665" s="31"/>
    </row>
    <row r="666" ht="15.75" customHeight="1">
      <c r="B666" s="31"/>
      <c r="C666" s="31"/>
      <c r="E666" s="31"/>
      <c r="J666" s="31"/>
      <c r="K666" s="31"/>
    </row>
    <row r="667" ht="15.75" customHeight="1">
      <c r="B667" s="31"/>
      <c r="C667" s="31"/>
      <c r="E667" s="31"/>
      <c r="J667" s="31"/>
      <c r="K667" s="31"/>
    </row>
    <row r="668" ht="15.75" customHeight="1">
      <c r="B668" s="31"/>
      <c r="C668" s="31"/>
      <c r="E668" s="31"/>
      <c r="J668" s="31"/>
      <c r="K668" s="31"/>
    </row>
    <row r="669" ht="15.75" customHeight="1">
      <c r="B669" s="31"/>
      <c r="C669" s="31"/>
      <c r="E669" s="31"/>
      <c r="J669" s="31"/>
      <c r="K669" s="31"/>
    </row>
    <row r="670" ht="15.75" customHeight="1">
      <c r="B670" s="31"/>
      <c r="C670" s="31"/>
      <c r="E670" s="31"/>
      <c r="J670" s="31"/>
      <c r="K670" s="31"/>
    </row>
    <row r="671" ht="15.75" customHeight="1">
      <c r="B671" s="31"/>
      <c r="C671" s="31"/>
      <c r="E671" s="31"/>
      <c r="J671" s="31"/>
      <c r="K671" s="31"/>
    </row>
    <row r="672" ht="15.75" customHeight="1">
      <c r="B672" s="31"/>
      <c r="C672" s="31"/>
      <c r="E672" s="31"/>
      <c r="J672" s="31"/>
      <c r="K672" s="31"/>
    </row>
    <row r="673" ht="15.75" customHeight="1">
      <c r="B673" s="31"/>
      <c r="C673" s="31"/>
      <c r="E673" s="31"/>
      <c r="J673" s="31"/>
      <c r="K673" s="31"/>
    </row>
    <row r="674" ht="15.75" customHeight="1">
      <c r="B674" s="31"/>
      <c r="C674" s="31"/>
      <c r="E674" s="31"/>
      <c r="J674" s="31"/>
      <c r="K674" s="31"/>
    </row>
    <row r="675" ht="15.75" customHeight="1">
      <c r="B675" s="31"/>
      <c r="C675" s="31"/>
      <c r="E675" s="31"/>
      <c r="J675" s="31"/>
      <c r="K675" s="31"/>
    </row>
    <row r="676" ht="15.75" customHeight="1">
      <c r="B676" s="31"/>
      <c r="C676" s="31"/>
      <c r="E676" s="31"/>
      <c r="J676" s="31"/>
      <c r="K676" s="31"/>
    </row>
    <row r="677" ht="15.75" customHeight="1">
      <c r="B677" s="31"/>
      <c r="C677" s="31"/>
      <c r="E677" s="31"/>
      <c r="J677" s="31"/>
      <c r="K677" s="31"/>
    </row>
    <row r="678" ht="15.75" customHeight="1">
      <c r="B678" s="31"/>
      <c r="C678" s="31"/>
      <c r="E678" s="31"/>
      <c r="J678" s="31"/>
      <c r="K678" s="31"/>
    </row>
    <row r="679" ht="15.75" customHeight="1">
      <c r="B679" s="31"/>
      <c r="C679" s="31"/>
      <c r="E679" s="31"/>
      <c r="J679" s="31"/>
      <c r="K679" s="31"/>
    </row>
    <row r="680" ht="15.75" customHeight="1">
      <c r="B680" s="31"/>
      <c r="C680" s="31"/>
      <c r="E680" s="31"/>
      <c r="J680" s="31"/>
      <c r="K680" s="31"/>
    </row>
    <row r="681" ht="15.75" customHeight="1">
      <c r="B681" s="31"/>
      <c r="C681" s="31"/>
      <c r="E681" s="31"/>
      <c r="J681" s="31"/>
      <c r="K681" s="31"/>
    </row>
    <row r="682" ht="15.75" customHeight="1">
      <c r="B682" s="31"/>
      <c r="C682" s="31"/>
      <c r="E682" s="31"/>
      <c r="J682" s="31"/>
      <c r="K682" s="31"/>
    </row>
    <row r="683" ht="15.75" customHeight="1">
      <c r="B683" s="31"/>
      <c r="C683" s="31"/>
      <c r="E683" s="31"/>
      <c r="J683" s="31"/>
      <c r="K683" s="31"/>
    </row>
    <row r="684" ht="15.75" customHeight="1">
      <c r="B684" s="31"/>
      <c r="C684" s="31"/>
      <c r="E684" s="31"/>
      <c r="J684" s="31"/>
      <c r="K684" s="31"/>
    </row>
    <row r="685" ht="15.75" customHeight="1">
      <c r="B685" s="31"/>
      <c r="C685" s="31"/>
      <c r="E685" s="31"/>
      <c r="J685" s="31"/>
      <c r="K685" s="31"/>
    </row>
    <row r="686" ht="15.75" customHeight="1">
      <c r="B686" s="31"/>
      <c r="C686" s="31"/>
      <c r="E686" s="31"/>
      <c r="J686" s="31"/>
      <c r="K686" s="31"/>
    </row>
    <row r="687" ht="15.75" customHeight="1">
      <c r="B687" s="31"/>
      <c r="C687" s="31"/>
      <c r="E687" s="31"/>
      <c r="J687" s="31"/>
      <c r="K687" s="31"/>
    </row>
    <row r="688" ht="15.75" customHeight="1">
      <c r="B688" s="31"/>
      <c r="C688" s="31"/>
      <c r="E688" s="31"/>
      <c r="J688" s="31"/>
      <c r="K688" s="31"/>
    </row>
    <row r="689" ht="15.75" customHeight="1">
      <c r="B689" s="31"/>
      <c r="C689" s="31"/>
      <c r="E689" s="31"/>
      <c r="J689" s="31"/>
      <c r="K689" s="31"/>
    </row>
    <row r="690" ht="15.75" customHeight="1">
      <c r="B690" s="31"/>
      <c r="C690" s="31"/>
      <c r="E690" s="31"/>
      <c r="J690" s="31"/>
      <c r="K690" s="31"/>
    </row>
    <row r="691" ht="15.75" customHeight="1">
      <c r="B691" s="31"/>
      <c r="C691" s="31"/>
      <c r="E691" s="31"/>
      <c r="J691" s="31"/>
      <c r="K691" s="31"/>
    </row>
    <row r="692" ht="15.75" customHeight="1">
      <c r="B692" s="31"/>
      <c r="C692" s="31"/>
      <c r="E692" s="31"/>
      <c r="J692" s="31"/>
      <c r="K692" s="31"/>
    </row>
    <row r="693" ht="15.75" customHeight="1">
      <c r="B693" s="31"/>
      <c r="C693" s="31"/>
      <c r="E693" s="31"/>
      <c r="J693" s="31"/>
      <c r="K693" s="31"/>
    </row>
    <row r="694" ht="15.75" customHeight="1">
      <c r="B694" s="31"/>
      <c r="C694" s="31"/>
      <c r="E694" s="31"/>
      <c r="J694" s="31"/>
      <c r="K694" s="31"/>
    </row>
    <row r="695" ht="15.75" customHeight="1">
      <c r="B695" s="31"/>
      <c r="C695" s="31"/>
      <c r="E695" s="31"/>
      <c r="J695" s="31"/>
      <c r="K695" s="31"/>
    </row>
    <row r="696" ht="15.75" customHeight="1">
      <c r="B696" s="31"/>
      <c r="C696" s="31"/>
      <c r="E696" s="31"/>
      <c r="J696" s="31"/>
      <c r="K696" s="31"/>
    </row>
    <row r="697" ht="15.75" customHeight="1">
      <c r="B697" s="31"/>
      <c r="C697" s="31"/>
      <c r="E697" s="31"/>
      <c r="J697" s="31"/>
      <c r="K697" s="31"/>
    </row>
    <row r="698" ht="15.75" customHeight="1">
      <c r="B698" s="31"/>
      <c r="C698" s="31"/>
      <c r="E698" s="31"/>
      <c r="J698" s="31"/>
      <c r="K698" s="31"/>
    </row>
    <row r="699" ht="15.75" customHeight="1">
      <c r="B699" s="31"/>
      <c r="C699" s="31"/>
      <c r="E699" s="31"/>
      <c r="J699" s="31"/>
      <c r="K699" s="31"/>
    </row>
    <row r="700" ht="15.75" customHeight="1">
      <c r="B700" s="31"/>
      <c r="C700" s="31"/>
      <c r="E700" s="31"/>
      <c r="J700" s="31"/>
      <c r="K700" s="31"/>
    </row>
    <row r="701" ht="15.75" customHeight="1">
      <c r="B701" s="31"/>
      <c r="C701" s="31"/>
      <c r="E701" s="31"/>
      <c r="J701" s="31"/>
      <c r="K701" s="31"/>
    </row>
    <row r="702" ht="15.75" customHeight="1">
      <c r="B702" s="31"/>
      <c r="C702" s="31"/>
      <c r="E702" s="31"/>
      <c r="J702" s="31"/>
      <c r="K702" s="31"/>
    </row>
    <row r="703" ht="15.75" customHeight="1">
      <c r="B703" s="31"/>
      <c r="C703" s="31"/>
      <c r="E703" s="31"/>
      <c r="J703" s="31"/>
      <c r="K703" s="31"/>
    </row>
    <row r="704" ht="15.75" customHeight="1">
      <c r="B704" s="31"/>
      <c r="C704" s="31"/>
      <c r="E704" s="31"/>
      <c r="J704" s="31"/>
      <c r="K704" s="31"/>
    </row>
    <row r="705" ht="15.75" customHeight="1">
      <c r="B705" s="31"/>
      <c r="C705" s="31"/>
      <c r="E705" s="31"/>
      <c r="J705" s="31"/>
      <c r="K705" s="31"/>
    </row>
    <row r="706" ht="15.75" customHeight="1">
      <c r="B706" s="31"/>
      <c r="C706" s="31"/>
      <c r="E706" s="31"/>
      <c r="J706" s="31"/>
      <c r="K706" s="31"/>
    </row>
    <row r="707" ht="15.75" customHeight="1">
      <c r="B707" s="31"/>
      <c r="C707" s="31"/>
      <c r="E707" s="31"/>
      <c r="J707" s="31"/>
      <c r="K707" s="31"/>
    </row>
    <row r="708" ht="15.75" customHeight="1">
      <c r="B708" s="31"/>
      <c r="C708" s="31"/>
      <c r="E708" s="31"/>
      <c r="J708" s="31"/>
      <c r="K708" s="31"/>
    </row>
    <row r="709" ht="15.75" customHeight="1">
      <c r="B709" s="31"/>
      <c r="C709" s="31"/>
      <c r="E709" s="31"/>
      <c r="J709" s="31"/>
      <c r="K709" s="31"/>
    </row>
    <row r="710" ht="15.75" customHeight="1">
      <c r="B710" s="31"/>
      <c r="C710" s="31"/>
      <c r="E710" s="31"/>
      <c r="J710" s="31"/>
      <c r="K710" s="31"/>
    </row>
    <row r="711" ht="15.75" customHeight="1">
      <c r="B711" s="31"/>
      <c r="C711" s="31"/>
      <c r="E711" s="31"/>
      <c r="J711" s="31"/>
      <c r="K711" s="31"/>
    </row>
    <row r="712" ht="15.75" customHeight="1">
      <c r="B712" s="31"/>
      <c r="C712" s="31"/>
      <c r="E712" s="31"/>
      <c r="J712" s="31"/>
      <c r="K712" s="31"/>
    </row>
    <row r="713" ht="15.75" customHeight="1">
      <c r="B713" s="31"/>
      <c r="C713" s="31"/>
      <c r="E713" s="31"/>
      <c r="J713" s="31"/>
      <c r="K713" s="31"/>
    </row>
    <row r="714" ht="15.75" customHeight="1">
      <c r="B714" s="31"/>
      <c r="C714" s="31"/>
      <c r="E714" s="31"/>
      <c r="J714" s="31"/>
      <c r="K714" s="31"/>
    </row>
    <row r="715" ht="15.75" customHeight="1">
      <c r="B715" s="31"/>
      <c r="C715" s="31"/>
      <c r="E715" s="31"/>
      <c r="J715" s="31"/>
      <c r="K715" s="31"/>
    </row>
    <row r="716" ht="15.75" customHeight="1">
      <c r="B716" s="31"/>
      <c r="C716" s="31"/>
      <c r="E716" s="31"/>
      <c r="J716" s="31"/>
      <c r="K716" s="31"/>
    </row>
    <row r="717" ht="15.75" customHeight="1">
      <c r="B717" s="31"/>
      <c r="C717" s="31"/>
      <c r="E717" s="31"/>
      <c r="J717" s="31"/>
      <c r="K717" s="31"/>
    </row>
    <row r="718" ht="15.75" customHeight="1">
      <c r="B718" s="31"/>
      <c r="C718" s="31"/>
      <c r="E718" s="31"/>
      <c r="J718" s="31"/>
      <c r="K718" s="31"/>
    </row>
    <row r="719" ht="15.75" customHeight="1">
      <c r="B719" s="31"/>
      <c r="C719" s="31"/>
      <c r="E719" s="31"/>
      <c r="J719" s="31"/>
      <c r="K719" s="31"/>
    </row>
    <row r="720" ht="15.75" customHeight="1">
      <c r="B720" s="31"/>
      <c r="C720" s="31"/>
      <c r="E720" s="31"/>
      <c r="J720" s="31"/>
      <c r="K720" s="31"/>
    </row>
    <row r="721" ht="15.75" customHeight="1">
      <c r="B721" s="31"/>
      <c r="C721" s="31"/>
      <c r="E721" s="31"/>
      <c r="J721" s="31"/>
      <c r="K721" s="31"/>
    </row>
    <row r="722" ht="15.75" customHeight="1">
      <c r="B722" s="31"/>
      <c r="C722" s="31"/>
      <c r="E722" s="31"/>
      <c r="J722" s="31"/>
      <c r="K722" s="31"/>
    </row>
    <row r="723" ht="15.75" customHeight="1">
      <c r="B723" s="31"/>
      <c r="C723" s="31"/>
      <c r="E723" s="31"/>
      <c r="J723" s="31"/>
      <c r="K723" s="31"/>
    </row>
    <row r="724" ht="15.75" customHeight="1">
      <c r="B724" s="31"/>
      <c r="C724" s="31"/>
      <c r="E724" s="31"/>
      <c r="J724" s="31"/>
      <c r="K724" s="31"/>
    </row>
    <row r="725" ht="15.75" customHeight="1">
      <c r="B725" s="31"/>
      <c r="C725" s="31"/>
      <c r="E725" s="31"/>
      <c r="J725" s="31"/>
      <c r="K725" s="31"/>
    </row>
    <row r="726" ht="15.75" customHeight="1">
      <c r="B726" s="31"/>
      <c r="C726" s="31"/>
      <c r="E726" s="31"/>
      <c r="J726" s="31"/>
      <c r="K726" s="31"/>
    </row>
    <row r="727" ht="15.75" customHeight="1">
      <c r="B727" s="31"/>
      <c r="C727" s="31"/>
      <c r="E727" s="31"/>
      <c r="J727" s="31"/>
      <c r="K727" s="31"/>
    </row>
    <row r="728" ht="15.75" customHeight="1">
      <c r="B728" s="31"/>
      <c r="C728" s="31"/>
      <c r="E728" s="31"/>
      <c r="J728" s="31"/>
      <c r="K728" s="31"/>
    </row>
    <row r="729" ht="15.75" customHeight="1">
      <c r="B729" s="31"/>
      <c r="C729" s="31"/>
      <c r="E729" s="31"/>
      <c r="J729" s="31"/>
      <c r="K729" s="31"/>
    </row>
    <row r="730" ht="15.75" customHeight="1">
      <c r="B730" s="31"/>
      <c r="C730" s="31"/>
      <c r="E730" s="31"/>
      <c r="J730" s="31"/>
      <c r="K730" s="31"/>
    </row>
    <row r="731" ht="15.75" customHeight="1">
      <c r="B731" s="31"/>
      <c r="C731" s="31"/>
      <c r="E731" s="31"/>
      <c r="J731" s="31"/>
      <c r="K731" s="31"/>
    </row>
    <row r="732" ht="15.75" customHeight="1">
      <c r="B732" s="31"/>
      <c r="C732" s="31"/>
      <c r="E732" s="31"/>
      <c r="J732" s="31"/>
      <c r="K732" s="31"/>
    </row>
    <row r="733" ht="15.75" customHeight="1">
      <c r="B733" s="31"/>
      <c r="C733" s="31"/>
      <c r="E733" s="31"/>
      <c r="J733" s="31"/>
      <c r="K733" s="31"/>
    </row>
    <row r="734" ht="15.75" customHeight="1">
      <c r="B734" s="31"/>
      <c r="C734" s="31"/>
      <c r="E734" s="31"/>
      <c r="J734" s="31"/>
      <c r="K734" s="31"/>
    </row>
    <row r="735" ht="15.75" customHeight="1">
      <c r="B735" s="31"/>
      <c r="C735" s="31"/>
      <c r="E735" s="31"/>
      <c r="J735" s="31"/>
      <c r="K735" s="31"/>
    </row>
    <row r="736" ht="15.75" customHeight="1">
      <c r="B736" s="31"/>
      <c r="C736" s="31"/>
      <c r="E736" s="31"/>
      <c r="J736" s="31"/>
      <c r="K736" s="31"/>
    </row>
    <row r="737" ht="15.75" customHeight="1">
      <c r="B737" s="31"/>
      <c r="C737" s="31"/>
      <c r="E737" s="31"/>
      <c r="J737" s="31"/>
      <c r="K737" s="31"/>
    </row>
    <row r="738" ht="15.75" customHeight="1">
      <c r="B738" s="31"/>
      <c r="C738" s="31"/>
      <c r="E738" s="31"/>
      <c r="J738" s="31"/>
      <c r="K738" s="31"/>
    </row>
    <row r="739" ht="15.75" customHeight="1">
      <c r="B739" s="31"/>
      <c r="C739" s="31"/>
      <c r="E739" s="31"/>
      <c r="J739" s="31"/>
      <c r="K739" s="31"/>
    </row>
    <row r="740" ht="15.75" customHeight="1">
      <c r="B740" s="31"/>
      <c r="C740" s="31"/>
      <c r="E740" s="31"/>
      <c r="J740" s="31"/>
      <c r="K740" s="31"/>
    </row>
    <row r="741" ht="15.75" customHeight="1">
      <c r="B741" s="31"/>
      <c r="C741" s="31"/>
      <c r="E741" s="31"/>
      <c r="J741" s="31"/>
      <c r="K741" s="31"/>
    </row>
    <row r="742" ht="15.75" customHeight="1">
      <c r="B742" s="31"/>
      <c r="C742" s="31"/>
      <c r="E742" s="31"/>
      <c r="J742" s="31"/>
      <c r="K742" s="31"/>
    </row>
    <row r="743" ht="15.75" customHeight="1">
      <c r="B743" s="31"/>
      <c r="C743" s="31"/>
      <c r="E743" s="31"/>
      <c r="J743" s="31"/>
      <c r="K743" s="31"/>
    </row>
    <row r="744" ht="15.75" customHeight="1">
      <c r="B744" s="31"/>
      <c r="C744" s="31"/>
      <c r="E744" s="31"/>
      <c r="J744" s="31"/>
      <c r="K744" s="31"/>
    </row>
    <row r="745" ht="15.75" customHeight="1">
      <c r="B745" s="31"/>
      <c r="C745" s="31"/>
      <c r="E745" s="31"/>
      <c r="J745" s="31"/>
      <c r="K745" s="31"/>
    </row>
    <row r="746" ht="15.75" customHeight="1">
      <c r="B746" s="31"/>
      <c r="C746" s="31"/>
      <c r="E746" s="31"/>
      <c r="J746" s="31"/>
      <c r="K746" s="31"/>
    </row>
    <row r="747" ht="15.75" customHeight="1">
      <c r="B747" s="31"/>
      <c r="C747" s="31"/>
      <c r="E747" s="31"/>
      <c r="J747" s="31"/>
      <c r="K747" s="31"/>
    </row>
    <row r="748" ht="15.75" customHeight="1">
      <c r="B748" s="31"/>
      <c r="C748" s="31"/>
      <c r="E748" s="31"/>
      <c r="J748" s="31"/>
      <c r="K748" s="31"/>
    </row>
    <row r="749" ht="15.75" customHeight="1">
      <c r="B749" s="31"/>
      <c r="C749" s="31"/>
      <c r="E749" s="31"/>
      <c r="J749" s="31"/>
      <c r="K749" s="31"/>
    </row>
    <row r="750" ht="15.75" customHeight="1">
      <c r="B750" s="31"/>
      <c r="C750" s="31"/>
      <c r="E750" s="31"/>
      <c r="J750" s="31"/>
      <c r="K750" s="31"/>
    </row>
    <row r="751" ht="15.75" customHeight="1">
      <c r="B751" s="31"/>
      <c r="C751" s="31"/>
      <c r="E751" s="31"/>
      <c r="J751" s="31"/>
      <c r="K751" s="31"/>
    </row>
    <row r="752" ht="15.75" customHeight="1">
      <c r="B752" s="31"/>
      <c r="C752" s="31"/>
      <c r="E752" s="31"/>
      <c r="J752" s="31"/>
      <c r="K752" s="31"/>
    </row>
    <row r="753" ht="15.75" customHeight="1">
      <c r="B753" s="31"/>
      <c r="C753" s="31"/>
      <c r="E753" s="31"/>
      <c r="J753" s="31"/>
      <c r="K753" s="31"/>
    </row>
    <row r="754" ht="15.75" customHeight="1">
      <c r="B754" s="31"/>
      <c r="C754" s="31"/>
      <c r="E754" s="31"/>
      <c r="J754" s="31"/>
      <c r="K754" s="31"/>
    </row>
    <row r="755" ht="15.75" customHeight="1">
      <c r="B755" s="31"/>
      <c r="C755" s="31"/>
      <c r="E755" s="31"/>
      <c r="J755" s="31"/>
      <c r="K755" s="31"/>
    </row>
    <row r="756" ht="15.75" customHeight="1">
      <c r="B756" s="31"/>
      <c r="C756" s="31"/>
      <c r="E756" s="31"/>
      <c r="J756" s="31"/>
      <c r="K756" s="31"/>
    </row>
    <row r="757" ht="15.75" customHeight="1">
      <c r="B757" s="31"/>
      <c r="C757" s="31"/>
      <c r="E757" s="31"/>
      <c r="J757" s="31"/>
      <c r="K757" s="31"/>
    </row>
    <row r="758" ht="15.75" customHeight="1">
      <c r="B758" s="31"/>
      <c r="C758" s="31"/>
      <c r="E758" s="31"/>
      <c r="J758" s="31"/>
      <c r="K758" s="31"/>
    </row>
    <row r="759" ht="15.75" customHeight="1">
      <c r="B759" s="31"/>
      <c r="C759" s="31"/>
      <c r="E759" s="31"/>
      <c r="J759" s="31"/>
      <c r="K759" s="31"/>
    </row>
    <row r="760" ht="15.75" customHeight="1">
      <c r="B760" s="31"/>
      <c r="C760" s="31"/>
      <c r="E760" s="31"/>
      <c r="J760" s="31"/>
      <c r="K760" s="31"/>
    </row>
    <row r="761" ht="15.75" customHeight="1">
      <c r="B761" s="31"/>
      <c r="C761" s="31"/>
      <c r="E761" s="31"/>
      <c r="J761" s="31"/>
      <c r="K761" s="31"/>
    </row>
    <row r="762" ht="15.75" customHeight="1">
      <c r="B762" s="31"/>
      <c r="C762" s="31"/>
      <c r="E762" s="31"/>
      <c r="J762" s="31"/>
      <c r="K762" s="31"/>
    </row>
    <row r="763" ht="15.75" customHeight="1">
      <c r="B763" s="31"/>
      <c r="C763" s="31"/>
      <c r="E763" s="31"/>
      <c r="J763" s="31"/>
      <c r="K763" s="31"/>
    </row>
    <row r="764" ht="15.75" customHeight="1">
      <c r="B764" s="31"/>
      <c r="C764" s="31"/>
      <c r="E764" s="31"/>
      <c r="J764" s="31"/>
      <c r="K764" s="31"/>
    </row>
    <row r="765" ht="15.75" customHeight="1">
      <c r="B765" s="31"/>
      <c r="C765" s="31"/>
      <c r="E765" s="31"/>
      <c r="J765" s="31"/>
      <c r="K765" s="31"/>
    </row>
    <row r="766" ht="15.75" customHeight="1">
      <c r="B766" s="31"/>
      <c r="C766" s="31"/>
      <c r="E766" s="31"/>
      <c r="J766" s="31"/>
      <c r="K766" s="31"/>
    </row>
    <row r="767" ht="15.75" customHeight="1">
      <c r="B767" s="31"/>
      <c r="C767" s="31"/>
      <c r="E767" s="31"/>
      <c r="J767" s="31"/>
      <c r="K767" s="31"/>
    </row>
    <row r="768" ht="15.75" customHeight="1">
      <c r="B768" s="31"/>
      <c r="C768" s="31"/>
      <c r="E768" s="31"/>
      <c r="J768" s="31"/>
      <c r="K768" s="31"/>
    </row>
    <row r="769" ht="15.75" customHeight="1">
      <c r="B769" s="31"/>
      <c r="C769" s="31"/>
      <c r="E769" s="31"/>
      <c r="J769" s="31"/>
      <c r="K769" s="31"/>
    </row>
    <row r="770" ht="15.75" customHeight="1">
      <c r="B770" s="31"/>
      <c r="C770" s="31"/>
      <c r="E770" s="31"/>
      <c r="J770" s="31"/>
      <c r="K770" s="31"/>
    </row>
    <row r="771" ht="15.75" customHeight="1">
      <c r="B771" s="31"/>
      <c r="C771" s="31"/>
      <c r="E771" s="31"/>
      <c r="J771" s="31"/>
      <c r="K771" s="31"/>
    </row>
    <row r="772" ht="15.75" customHeight="1">
      <c r="B772" s="31"/>
      <c r="C772" s="31"/>
      <c r="E772" s="31"/>
      <c r="J772" s="31"/>
      <c r="K772" s="31"/>
    </row>
    <row r="773" ht="15.75" customHeight="1">
      <c r="B773" s="31"/>
      <c r="C773" s="31"/>
      <c r="E773" s="31"/>
      <c r="J773" s="31"/>
      <c r="K773" s="31"/>
    </row>
    <row r="774" ht="15.75" customHeight="1">
      <c r="B774" s="31"/>
      <c r="C774" s="31"/>
      <c r="E774" s="31"/>
      <c r="J774" s="31"/>
      <c r="K774" s="31"/>
    </row>
    <row r="775" ht="15.75" customHeight="1">
      <c r="B775" s="31"/>
      <c r="C775" s="31"/>
      <c r="E775" s="31"/>
      <c r="J775" s="31"/>
      <c r="K775" s="31"/>
    </row>
    <row r="776" ht="15.75" customHeight="1">
      <c r="B776" s="31"/>
      <c r="C776" s="31"/>
      <c r="E776" s="31"/>
      <c r="J776" s="31"/>
      <c r="K776" s="31"/>
    </row>
    <row r="777" ht="15.75" customHeight="1">
      <c r="B777" s="31"/>
      <c r="C777" s="31"/>
      <c r="E777" s="31"/>
      <c r="J777" s="31"/>
      <c r="K777" s="31"/>
    </row>
    <row r="778" ht="15.75" customHeight="1">
      <c r="B778" s="31"/>
      <c r="C778" s="31"/>
      <c r="E778" s="31"/>
      <c r="J778" s="31"/>
      <c r="K778" s="31"/>
    </row>
    <row r="779" ht="15.75" customHeight="1">
      <c r="B779" s="31"/>
      <c r="C779" s="31"/>
      <c r="E779" s="31"/>
      <c r="J779" s="31"/>
      <c r="K779" s="31"/>
    </row>
    <row r="780" ht="15.75" customHeight="1">
      <c r="B780" s="31"/>
      <c r="C780" s="31"/>
      <c r="E780" s="31"/>
      <c r="J780" s="31"/>
      <c r="K780" s="31"/>
    </row>
    <row r="781" ht="15.75" customHeight="1">
      <c r="B781" s="31"/>
      <c r="C781" s="31"/>
      <c r="E781" s="31"/>
      <c r="J781" s="31"/>
      <c r="K781" s="31"/>
    </row>
    <row r="782" ht="15.75" customHeight="1">
      <c r="B782" s="31"/>
      <c r="C782" s="31"/>
      <c r="E782" s="31"/>
      <c r="J782" s="31"/>
      <c r="K782" s="31"/>
    </row>
    <row r="783" ht="15.75" customHeight="1">
      <c r="B783" s="31"/>
      <c r="C783" s="31"/>
      <c r="E783" s="31"/>
      <c r="J783" s="31"/>
      <c r="K783" s="31"/>
    </row>
    <row r="784" ht="15.75" customHeight="1">
      <c r="B784" s="31"/>
      <c r="C784" s="31"/>
      <c r="E784" s="31"/>
      <c r="J784" s="31"/>
      <c r="K784" s="31"/>
    </row>
    <row r="785" ht="15.75" customHeight="1">
      <c r="B785" s="31"/>
      <c r="C785" s="31"/>
      <c r="E785" s="31"/>
      <c r="J785" s="31"/>
      <c r="K785" s="31"/>
    </row>
    <row r="786" ht="15.75" customHeight="1">
      <c r="B786" s="31"/>
      <c r="C786" s="31"/>
      <c r="E786" s="31"/>
      <c r="J786" s="31"/>
      <c r="K786" s="31"/>
    </row>
    <row r="787" ht="15.75" customHeight="1">
      <c r="B787" s="31"/>
      <c r="C787" s="31"/>
      <c r="E787" s="31"/>
      <c r="J787" s="31"/>
      <c r="K787" s="31"/>
    </row>
    <row r="788" ht="15.75" customHeight="1">
      <c r="B788" s="31"/>
      <c r="C788" s="31"/>
      <c r="E788" s="31"/>
      <c r="J788" s="31"/>
      <c r="K788" s="31"/>
    </row>
    <row r="789" ht="15.75" customHeight="1">
      <c r="B789" s="31"/>
      <c r="C789" s="31"/>
      <c r="E789" s="31"/>
      <c r="J789" s="31"/>
      <c r="K789" s="31"/>
    </row>
    <row r="790" ht="15.75" customHeight="1">
      <c r="B790" s="31"/>
      <c r="C790" s="31"/>
      <c r="E790" s="31"/>
      <c r="J790" s="31"/>
      <c r="K790" s="31"/>
    </row>
    <row r="791" ht="15.75" customHeight="1">
      <c r="B791" s="31"/>
      <c r="C791" s="31"/>
      <c r="E791" s="31"/>
      <c r="J791" s="31"/>
      <c r="K791" s="31"/>
    </row>
    <row r="792" ht="15.75" customHeight="1">
      <c r="B792" s="31"/>
      <c r="C792" s="31"/>
      <c r="E792" s="31"/>
      <c r="J792" s="31"/>
      <c r="K792" s="31"/>
    </row>
    <row r="793" ht="15.75" customHeight="1">
      <c r="B793" s="31"/>
      <c r="C793" s="31"/>
      <c r="E793" s="31"/>
      <c r="J793" s="31"/>
      <c r="K793" s="31"/>
    </row>
    <row r="794" ht="15.75" customHeight="1">
      <c r="B794" s="31"/>
      <c r="C794" s="31"/>
      <c r="E794" s="31"/>
      <c r="J794" s="31"/>
      <c r="K794" s="31"/>
    </row>
    <row r="795" ht="15.75" customHeight="1">
      <c r="B795" s="31"/>
      <c r="C795" s="31"/>
      <c r="E795" s="31"/>
      <c r="J795" s="31"/>
      <c r="K795" s="31"/>
    </row>
    <row r="796" ht="15.75" customHeight="1">
      <c r="B796" s="31"/>
      <c r="C796" s="31"/>
      <c r="E796" s="31"/>
      <c r="J796" s="31"/>
      <c r="K796" s="31"/>
    </row>
    <row r="797" ht="15.75" customHeight="1">
      <c r="B797" s="31"/>
      <c r="C797" s="31"/>
      <c r="E797" s="31"/>
      <c r="J797" s="31"/>
      <c r="K797" s="31"/>
    </row>
    <row r="798" ht="15.75" customHeight="1">
      <c r="B798" s="31"/>
      <c r="C798" s="31"/>
      <c r="E798" s="31"/>
      <c r="J798" s="31"/>
      <c r="K798" s="31"/>
    </row>
    <row r="799" ht="15.75" customHeight="1">
      <c r="B799" s="31"/>
      <c r="C799" s="31"/>
      <c r="E799" s="31"/>
      <c r="J799" s="31"/>
      <c r="K799" s="31"/>
    </row>
    <row r="800" ht="15.75" customHeight="1">
      <c r="B800" s="31"/>
      <c r="C800" s="31"/>
      <c r="E800" s="31"/>
      <c r="J800" s="31"/>
      <c r="K800" s="31"/>
    </row>
    <row r="801" ht="15.75" customHeight="1">
      <c r="B801" s="31"/>
      <c r="C801" s="31"/>
      <c r="E801" s="31"/>
      <c r="J801" s="31"/>
      <c r="K801" s="31"/>
    </row>
    <row r="802" ht="15.75" customHeight="1">
      <c r="B802" s="31"/>
      <c r="C802" s="31"/>
      <c r="E802" s="31"/>
      <c r="J802" s="31"/>
      <c r="K802" s="31"/>
    </row>
    <row r="803" ht="15.75" customHeight="1">
      <c r="B803" s="31"/>
      <c r="C803" s="31"/>
      <c r="E803" s="31"/>
      <c r="J803" s="31"/>
      <c r="K803" s="31"/>
    </row>
    <row r="804" ht="15.75" customHeight="1">
      <c r="B804" s="31"/>
      <c r="C804" s="31"/>
      <c r="E804" s="31"/>
      <c r="J804" s="31"/>
      <c r="K804" s="31"/>
    </row>
    <row r="805" ht="15.75" customHeight="1">
      <c r="B805" s="31"/>
      <c r="C805" s="31"/>
      <c r="E805" s="31"/>
      <c r="J805" s="31"/>
      <c r="K805" s="31"/>
    </row>
    <row r="806" ht="15.75" customHeight="1">
      <c r="B806" s="31"/>
      <c r="C806" s="31"/>
      <c r="E806" s="31"/>
      <c r="J806" s="31"/>
      <c r="K806" s="31"/>
    </row>
    <row r="807" ht="15.75" customHeight="1">
      <c r="B807" s="31"/>
      <c r="C807" s="31"/>
      <c r="E807" s="31"/>
      <c r="J807" s="31"/>
      <c r="K807" s="31"/>
    </row>
    <row r="808" ht="15.75" customHeight="1">
      <c r="B808" s="31"/>
      <c r="C808" s="31"/>
      <c r="E808" s="31"/>
      <c r="J808" s="31"/>
      <c r="K808" s="31"/>
    </row>
    <row r="809" ht="15.75" customHeight="1">
      <c r="B809" s="31"/>
      <c r="C809" s="31"/>
      <c r="E809" s="31"/>
      <c r="J809" s="31"/>
      <c r="K809" s="31"/>
    </row>
    <row r="810" ht="15.75" customHeight="1">
      <c r="B810" s="31"/>
      <c r="C810" s="31"/>
      <c r="E810" s="31"/>
      <c r="J810" s="31"/>
      <c r="K810" s="31"/>
    </row>
    <row r="811" ht="15.75" customHeight="1">
      <c r="B811" s="31"/>
      <c r="C811" s="31"/>
      <c r="E811" s="31"/>
      <c r="J811" s="31"/>
      <c r="K811" s="31"/>
    </row>
    <row r="812" ht="15.75" customHeight="1">
      <c r="B812" s="31"/>
      <c r="C812" s="31"/>
      <c r="E812" s="31"/>
      <c r="J812" s="31"/>
      <c r="K812" s="31"/>
    </row>
    <row r="813" ht="15.75" customHeight="1">
      <c r="B813" s="31"/>
      <c r="C813" s="31"/>
      <c r="E813" s="31"/>
      <c r="J813" s="31"/>
      <c r="K813" s="31"/>
    </row>
    <row r="814" ht="15.75" customHeight="1">
      <c r="B814" s="31"/>
      <c r="C814" s="31"/>
      <c r="E814" s="31"/>
      <c r="J814" s="31"/>
      <c r="K814" s="31"/>
    </row>
    <row r="815" ht="15.75" customHeight="1">
      <c r="B815" s="31"/>
      <c r="C815" s="31"/>
      <c r="E815" s="31"/>
      <c r="J815" s="31"/>
      <c r="K815" s="31"/>
    </row>
    <row r="816" ht="15.75" customHeight="1">
      <c r="B816" s="31"/>
      <c r="C816" s="31"/>
      <c r="E816" s="31"/>
      <c r="J816" s="31"/>
      <c r="K816" s="31"/>
    </row>
    <row r="817" ht="15.75" customHeight="1">
      <c r="B817" s="31"/>
      <c r="C817" s="31"/>
      <c r="E817" s="31"/>
      <c r="J817" s="31"/>
      <c r="K817" s="31"/>
    </row>
    <row r="818" ht="15.75" customHeight="1">
      <c r="B818" s="31"/>
      <c r="C818" s="31"/>
      <c r="E818" s="31"/>
      <c r="J818" s="31"/>
      <c r="K818" s="31"/>
    </row>
    <row r="819" ht="15.75" customHeight="1">
      <c r="B819" s="31"/>
      <c r="C819" s="31"/>
      <c r="E819" s="31"/>
      <c r="J819" s="31"/>
      <c r="K819" s="31"/>
    </row>
    <row r="820" ht="15.75" customHeight="1">
      <c r="B820" s="31"/>
      <c r="C820" s="31"/>
      <c r="E820" s="31"/>
      <c r="J820" s="31"/>
      <c r="K820" s="31"/>
    </row>
    <row r="821" ht="15.75" customHeight="1">
      <c r="B821" s="31"/>
      <c r="C821" s="31"/>
      <c r="E821" s="31"/>
      <c r="J821" s="31"/>
      <c r="K821" s="31"/>
    </row>
    <row r="822" ht="15.75" customHeight="1">
      <c r="B822" s="31"/>
      <c r="C822" s="31"/>
      <c r="E822" s="31"/>
      <c r="J822" s="31"/>
      <c r="K822" s="31"/>
    </row>
    <row r="823" ht="15.75" customHeight="1">
      <c r="B823" s="31"/>
      <c r="C823" s="31"/>
      <c r="E823" s="31"/>
      <c r="J823" s="31"/>
      <c r="K823" s="31"/>
    </row>
    <row r="824" ht="15.75" customHeight="1">
      <c r="B824" s="31"/>
      <c r="C824" s="31"/>
      <c r="E824" s="31"/>
      <c r="J824" s="31"/>
      <c r="K824" s="31"/>
    </row>
    <row r="825" ht="15.75" customHeight="1">
      <c r="B825" s="31"/>
      <c r="C825" s="31"/>
      <c r="E825" s="31"/>
      <c r="J825" s="31"/>
      <c r="K825" s="31"/>
    </row>
    <row r="826" ht="15.75" customHeight="1">
      <c r="B826" s="31"/>
      <c r="C826" s="31"/>
      <c r="E826" s="31"/>
      <c r="J826" s="31"/>
      <c r="K826" s="31"/>
    </row>
    <row r="827" ht="15.75" customHeight="1">
      <c r="B827" s="31"/>
      <c r="C827" s="31"/>
      <c r="E827" s="31"/>
      <c r="J827" s="31"/>
      <c r="K827" s="31"/>
    </row>
    <row r="828" ht="15.75" customHeight="1">
      <c r="B828" s="31"/>
      <c r="C828" s="31"/>
      <c r="E828" s="31"/>
      <c r="J828" s="31"/>
      <c r="K828" s="31"/>
    </row>
    <row r="829" ht="15.75" customHeight="1">
      <c r="B829" s="31"/>
      <c r="C829" s="31"/>
      <c r="E829" s="31"/>
      <c r="J829" s="31"/>
      <c r="K829" s="31"/>
    </row>
    <row r="830" ht="15.75" customHeight="1">
      <c r="B830" s="31"/>
      <c r="C830" s="31"/>
      <c r="E830" s="31"/>
      <c r="J830" s="31"/>
      <c r="K830" s="31"/>
    </row>
    <row r="831" ht="15.75" customHeight="1">
      <c r="B831" s="31"/>
      <c r="C831" s="31"/>
      <c r="E831" s="31"/>
      <c r="J831" s="31"/>
      <c r="K831" s="31"/>
    </row>
    <row r="832" ht="15.75" customHeight="1">
      <c r="B832" s="31"/>
      <c r="C832" s="31"/>
      <c r="E832" s="31"/>
      <c r="J832" s="31"/>
      <c r="K832" s="31"/>
    </row>
    <row r="833" ht="15.75" customHeight="1">
      <c r="B833" s="31"/>
      <c r="C833" s="31"/>
      <c r="E833" s="31"/>
      <c r="J833" s="31"/>
      <c r="K833" s="31"/>
    </row>
    <row r="834" ht="15.75" customHeight="1">
      <c r="B834" s="31"/>
      <c r="C834" s="31"/>
      <c r="E834" s="31"/>
      <c r="J834" s="31"/>
      <c r="K834" s="31"/>
    </row>
    <row r="835" ht="15.75" customHeight="1">
      <c r="B835" s="31"/>
      <c r="C835" s="31"/>
      <c r="E835" s="31"/>
      <c r="J835" s="31"/>
      <c r="K835" s="31"/>
    </row>
    <row r="836" ht="15.75" customHeight="1">
      <c r="B836" s="31"/>
      <c r="C836" s="31"/>
      <c r="E836" s="31"/>
      <c r="J836" s="31"/>
      <c r="K836" s="31"/>
    </row>
    <row r="837" ht="15.75" customHeight="1">
      <c r="B837" s="31"/>
      <c r="C837" s="31"/>
      <c r="E837" s="31"/>
      <c r="J837" s="31"/>
      <c r="K837" s="31"/>
    </row>
    <row r="838" ht="15.75" customHeight="1">
      <c r="B838" s="31"/>
      <c r="C838" s="31"/>
      <c r="E838" s="31"/>
      <c r="J838" s="31"/>
      <c r="K838" s="31"/>
    </row>
    <row r="839" ht="15.75" customHeight="1">
      <c r="B839" s="31"/>
      <c r="C839" s="31"/>
      <c r="E839" s="31"/>
      <c r="J839" s="31"/>
      <c r="K839" s="31"/>
    </row>
    <row r="840" ht="15.75" customHeight="1">
      <c r="B840" s="31"/>
      <c r="C840" s="31"/>
      <c r="E840" s="31"/>
      <c r="J840" s="31"/>
      <c r="K840" s="31"/>
    </row>
    <row r="841" ht="15.75" customHeight="1">
      <c r="B841" s="31"/>
      <c r="C841" s="31"/>
      <c r="E841" s="31"/>
      <c r="J841" s="31"/>
      <c r="K841" s="31"/>
    </row>
    <row r="842" ht="15.75" customHeight="1">
      <c r="B842" s="31"/>
      <c r="C842" s="31"/>
      <c r="E842" s="31"/>
      <c r="J842" s="31"/>
      <c r="K842" s="31"/>
    </row>
    <row r="843" ht="15.75" customHeight="1">
      <c r="B843" s="31"/>
      <c r="C843" s="31"/>
      <c r="E843" s="31"/>
      <c r="J843" s="31"/>
      <c r="K843" s="31"/>
    </row>
    <row r="844" ht="15.75" customHeight="1">
      <c r="B844" s="31"/>
      <c r="C844" s="31"/>
      <c r="E844" s="31"/>
      <c r="J844" s="31"/>
      <c r="K844" s="31"/>
    </row>
    <row r="845" ht="15.75" customHeight="1">
      <c r="B845" s="31"/>
      <c r="C845" s="31"/>
      <c r="E845" s="31"/>
      <c r="J845" s="31"/>
      <c r="K845" s="31"/>
    </row>
    <row r="846" ht="15.75" customHeight="1">
      <c r="B846" s="31"/>
      <c r="C846" s="31"/>
      <c r="E846" s="31"/>
      <c r="J846" s="31"/>
      <c r="K846" s="31"/>
    </row>
    <row r="847" ht="15.75" customHeight="1">
      <c r="B847" s="31"/>
      <c r="C847" s="31"/>
      <c r="E847" s="31"/>
      <c r="J847" s="31"/>
      <c r="K847" s="31"/>
    </row>
    <row r="848" ht="15.75" customHeight="1">
      <c r="B848" s="31"/>
      <c r="C848" s="31"/>
      <c r="E848" s="31"/>
      <c r="J848" s="31"/>
      <c r="K848" s="31"/>
    </row>
    <row r="849" ht="15.75" customHeight="1">
      <c r="B849" s="31"/>
      <c r="C849" s="31"/>
      <c r="E849" s="31"/>
      <c r="J849" s="31"/>
      <c r="K849" s="31"/>
    </row>
    <row r="850" ht="15.75" customHeight="1">
      <c r="B850" s="31"/>
      <c r="C850" s="31"/>
      <c r="E850" s="31"/>
      <c r="J850" s="31"/>
      <c r="K850" s="31"/>
    </row>
    <row r="851" ht="15.75" customHeight="1">
      <c r="B851" s="31"/>
      <c r="C851" s="31"/>
      <c r="E851" s="31"/>
      <c r="J851" s="31"/>
      <c r="K851" s="31"/>
    </row>
    <row r="852" ht="15.75" customHeight="1">
      <c r="B852" s="31"/>
      <c r="C852" s="31"/>
      <c r="E852" s="31"/>
      <c r="J852" s="31"/>
      <c r="K852" s="31"/>
    </row>
    <row r="853" ht="15.75" customHeight="1">
      <c r="B853" s="31"/>
      <c r="C853" s="31"/>
      <c r="E853" s="31"/>
      <c r="J853" s="31"/>
      <c r="K853" s="31"/>
    </row>
    <row r="854" ht="15.75" customHeight="1">
      <c r="B854" s="31"/>
      <c r="C854" s="31"/>
      <c r="E854" s="31"/>
      <c r="J854" s="31"/>
      <c r="K854" s="31"/>
    </row>
    <row r="855" ht="15.75" customHeight="1">
      <c r="B855" s="31"/>
      <c r="C855" s="31"/>
      <c r="E855" s="31"/>
      <c r="J855" s="31"/>
      <c r="K855" s="31"/>
    </row>
    <row r="856" ht="15.75" customHeight="1">
      <c r="B856" s="31"/>
      <c r="C856" s="31"/>
      <c r="E856" s="31"/>
      <c r="J856" s="31"/>
      <c r="K856" s="31"/>
    </row>
    <row r="857" ht="15.75" customHeight="1">
      <c r="B857" s="31"/>
      <c r="C857" s="31"/>
      <c r="E857" s="31"/>
      <c r="J857" s="31"/>
      <c r="K857" s="31"/>
    </row>
    <row r="858" ht="15.75" customHeight="1">
      <c r="B858" s="31"/>
      <c r="C858" s="31"/>
      <c r="E858" s="31"/>
      <c r="J858" s="31"/>
      <c r="K858" s="31"/>
    </row>
    <row r="859" ht="15.75" customHeight="1">
      <c r="B859" s="31"/>
      <c r="C859" s="31"/>
      <c r="E859" s="31"/>
      <c r="J859" s="31"/>
      <c r="K859" s="31"/>
    </row>
    <row r="860" ht="15.75" customHeight="1">
      <c r="B860" s="31"/>
      <c r="C860" s="31"/>
      <c r="E860" s="31"/>
      <c r="J860" s="31"/>
      <c r="K860" s="31"/>
    </row>
    <row r="861" ht="15.75" customHeight="1">
      <c r="B861" s="31"/>
      <c r="C861" s="31"/>
      <c r="E861" s="31"/>
      <c r="J861" s="31"/>
      <c r="K861" s="31"/>
    </row>
    <row r="862" ht="15.75" customHeight="1">
      <c r="B862" s="31"/>
      <c r="C862" s="31"/>
      <c r="E862" s="31"/>
      <c r="J862" s="31"/>
      <c r="K862" s="31"/>
    </row>
    <row r="863" ht="15.75" customHeight="1">
      <c r="B863" s="31"/>
      <c r="C863" s="31"/>
      <c r="E863" s="31"/>
      <c r="J863" s="31"/>
      <c r="K863" s="31"/>
    </row>
    <row r="864" ht="15.75" customHeight="1">
      <c r="B864" s="31"/>
      <c r="C864" s="31"/>
      <c r="E864" s="31"/>
      <c r="J864" s="31"/>
      <c r="K864" s="31"/>
    </row>
    <row r="865" ht="15.75" customHeight="1">
      <c r="B865" s="31"/>
      <c r="C865" s="31"/>
      <c r="E865" s="31"/>
      <c r="J865" s="31"/>
      <c r="K865" s="31"/>
    </row>
    <row r="866" ht="15.75" customHeight="1">
      <c r="B866" s="31"/>
      <c r="C866" s="31"/>
      <c r="E866" s="31"/>
      <c r="J866" s="31"/>
      <c r="K866" s="31"/>
    </row>
    <row r="867" ht="15.75" customHeight="1">
      <c r="B867" s="31"/>
      <c r="C867" s="31"/>
      <c r="E867" s="31"/>
      <c r="J867" s="31"/>
      <c r="K867" s="31"/>
    </row>
    <row r="868" ht="15.75" customHeight="1">
      <c r="B868" s="31"/>
      <c r="C868" s="31"/>
      <c r="E868" s="31"/>
      <c r="J868" s="31"/>
      <c r="K868" s="31"/>
    </row>
    <row r="869" ht="15.75" customHeight="1">
      <c r="B869" s="31"/>
      <c r="C869" s="31"/>
      <c r="E869" s="31"/>
      <c r="J869" s="31"/>
      <c r="K869" s="31"/>
    </row>
    <row r="870" ht="15.75" customHeight="1">
      <c r="B870" s="31"/>
      <c r="C870" s="31"/>
      <c r="E870" s="31"/>
      <c r="J870" s="31"/>
      <c r="K870" s="31"/>
    </row>
    <row r="871" ht="15.75" customHeight="1">
      <c r="B871" s="31"/>
      <c r="C871" s="31"/>
      <c r="E871" s="31"/>
      <c r="J871" s="31"/>
      <c r="K871" s="31"/>
    </row>
    <row r="872" ht="15.75" customHeight="1">
      <c r="B872" s="31"/>
      <c r="C872" s="31"/>
      <c r="E872" s="31"/>
      <c r="J872" s="31"/>
      <c r="K872" s="31"/>
    </row>
    <row r="873" ht="15.75" customHeight="1">
      <c r="B873" s="31"/>
      <c r="C873" s="31"/>
      <c r="E873" s="31"/>
      <c r="J873" s="31"/>
      <c r="K873" s="31"/>
    </row>
    <row r="874" ht="15.75" customHeight="1">
      <c r="B874" s="31"/>
      <c r="C874" s="31"/>
      <c r="E874" s="31"/>
      <c r="J874" s="31"/>
      <c r="K874" s="31"/>
    </row>
    <row r="875" ht="15.75" customHeight="1">
      <c r="B875" s="31"/>
      <c r="C875" s="31"/>
      <c r="E875" s="31"/>
      <c r="J875" s="31"/>
      <c r="K875" s="31"/>
    </row>
    <row r="876" ht="15.75" customHeight="1">
      <c r="B876" s="31"/>
      <c r="C876" s="31"/>
      <c r="E876" s="31"/>
      <c r="J876" s="31"/>
      <c r="K876" s="31"/>
    </row>
    <row r="877" ht="15.75" customHeight="1">
      <c r="B877" s="31"/>
      <c r="C877" s="31"/>
      <c r="E877" s="31"/>
      <c r="J877" s="31"/>
      <c r="K877" s="31"/>
    </row>
    <row r="878" ht="15.75" customHeight="1">
      <c r="B878" s="31"/>
      <c r="C878" s="31"/>
      <c r="E878" s="31"/>
      <c r="J878" s="31"/>
      <c r="K878" s="31"/>
    </row>
    <row r="879" ht="15.75" customHeight="1">
      <c r="B879" s="31"/>
      <c r="C879" s="31"/>
      <c r="E879" s="31"/>
      <c r="J879" s="31"/>
      <c r="K879" s="31"/>
    </row>
    <row r="880" ht="15.75" customHeight="1">
      <c r="B880" s="31"/>
      <c r="C880" s="31"/>
      <c r="E880" s="31"/>
      <c r="J880" s="31"/>
      <c r="K880" s="31"/>
    </row>
    <row r="881" ht="15.75" customHeight="1">
      <c r="B881" s="31"/>
      <c r="C881" s="31"/>
      <c r="E881" s="31"/>
      <c r="J881" s="31"/>
      <c r="K881" s="31"/>
    </row>
    <row r="882" ht="15.75" customHeight="1">
      <c r="B882" s="31"/>
      <c r="C882" s="31"/>
      <c r="E882" s="31"/>
      <c r="J882" s="31"/>
      <c r="K882" s="31"/>
    </row>
    <row r="883" ht="15.75" customHeight="1">
      <c r="B883" s="31"/>
      <c r="C883" s="31"/>
      <c r="E883" s="31"/>
      <c r="J883" s="31"/>
      <c r="K883" s="31"/>
    </row>
    <row r="884" ht="15.75" customHeight="1">
      <c r="B884" s="31"/>
      <c r="C884" s="31"/>
      <c r="E884" s="31"/>
      <c r="J884" s="31"/>
      <c r="K884" s="31"/>
    </row>
    <row r="885" ht="15.75" customHeight="1">
      <c r="B885" s="31"/>
      <c r="C885" s="31"/>
      <c r="E885" s="31"/>
      <c r="J885" s="31"/>
      <c r="K885" s="31"/>
    </row>
    <row r="886" ht="15.75" customHeight="1">
      <c r="B886" s="31"/>
      <c r="C886" s="31"/>
      <c r="E886" s="31"/>
      <c r="J886" s="31"/>
      <c r="K886" s="31"/>
    </row>
    <row r="887" ht="15.75" customHeight="1">
      <c r="B887" s="31"/>
      <c r="C887" s="31"/>
      <c r="E887" s="31"/>
      <c r="J887" s="31"/>
      <c r="K887" s="31"/>
    </row>
    <row r="888" ht="15.75" customHeight="1">
      <c r="B888" s="31"/>
      <c r="C888" s="31"/>
      <c r="E888" s="31"/>
      <c r="J888" s="31"/>
      <c r="K888" s="31"/>
    </row>
    <row r="889" ht="15.75" customHeight="1">
      <c r="B889" s="31"/>
      <c r="C889" s="31"/>
      <c r="E889" s="31"/>
      <c r="J889" s="31"/>
      <c r="K889" s="31"/>
    </row>
    <row r="890" ht="15.75" customHeight="1">
      <c r="B890" s="31"/>
      <c r="C890" s="31"/>
      <c r="E890" s="31"/>
      <c r="J890" s="31"/>
      <c r="K890" s="31"/>
    </row>
    <row r="891" ht="15.75" customHeight="1">
      <c r="B891" s="31"/>
      <c r="C891" s="31"/>
      <c r="E891" s="31"/>
      <c r="J891" s="31"/>
      <c r="K891" s="31"/>
    </row>
    <row r="892" ht="15.75" customHeight="1">
      <c r="B892" s="31"/>
      <c r="C892" s="31"/>
      <c r="E892" s="31"/>
      <c r="J892" s="31"/>
      <c r="K892" s="31"/>
    </row>
    <row r="893" ht="15.75" customHeight="1">
      <c r="B893" s="31"/>
      <c r="C893" s="31"/>
      <c r="E893" s="31"/>
      <c r="J893" s="31"/>
      <c r="K893" s="31"/>
    </row>
    <row r="894" ht="15.75" customHeight="1">
      <c r="B894" s="31"/>
      <c r="C894" s="31"/>
      <c r="E894" s="31"/>
      <c r="J894" s="31"/>
      <c r="K894" s="31"/>
    </row>
    <row r="895" ht="15.75" customHeight="1">
      <c r="B895" s="31"/>
      <c r="C895" s="31"/>
      <c r="E895" s="31"/>
      <c r="J895" s="31"/>
      <c r="K895" s="31"/>
    </row>
    <row r="896" ht="15.75" customHeight="1">
      <c r="B896" s="31"/>
      <c r="C896" s="31"/>
      <c r="E896" s="31"/>
      <c r="J896" s="31"/>
      <c r="K896" s="31"/>
    </row>
    <row r="897" ht="15.75" customHeight="1">
      <c r="B897" s="31"/>
      <c r="C897" s="31"/>
      <c r="E897" s="31"/>
      <c r="J897" s="31"/>
      <c r="K897" s="31"/>
    </row>
    <row r="898" ht="15.75" customHeight="1">
      <c r="B898" s="31"/>
      <c r="C898" s="31"/>
      <c r="E898" s="31"/>
      <c r="J898" s="31"/>
      <c r="K898" s="31"/>
    </row>
    <row r="899" ht="15.75" customHeight="1">
      <c r="B899" s="31"/>
      <c r="C899" s="31"/>
      <c r="E899" s="31"/>
      <c r="J899" s="31"/>
      <c r="K899" s="31"/>
    </row>
    <row r="900" ht="15.75" customHeight="1">
      <c r="B900" s="31"/>
      <c r="C900" s="31"/>
      <c r="E900" s="31"/>
      <c r="J900" s="31"/>
      <c r="K900" s="31"/>
    </row>
    <row r="901" ht="15.75" customHeight="1">
      <c r="B901" s="31"/>
      <c r="C901" s="31"/>
      <c r="E901" s="31"/>
      <c r="J901" s="31"/>
      <c r="K901" s="31"/>
    </row>
    <row r="902" ht="15.75" customHeight="1">
      <c r="B902" s="31"/>
      <c r="C902" s="31"/>
      <c r="E902" s="31"/>
      <c r="J902" s="31"/>
      <c r="K902" s="31"/>
    </row>
    <row r="903" ht="15.75" customHeight="1">
      <c r="B903" s="31"/>
      <c r="C903" s="31"/>
      <c r="E903" s="31"/>
      <c r="J903" s="31"/>
      <c r="K903" s="31"/>
    </row>
    <row r="904" ht="15.75" customHeight="1">
      <c r="B904" s="31"/>
      <c r="C904" s="31"/>
      <c r="E904" s="31"/>
      <c r="J904" s="31"/>
      <c r="K904" s="31"/>
    </row>
    <row r="905" ht="15.75" customHeight="1">
      <c r="B905" s="31"/>
      <c r="C905" s="31"/>
      <c r="E905" s="31"/>
      <c r="J905" s="31"/>
      <c r="K905" s="31"/>
    </row>
    <row r="906" ht="15.75" customHeight="1">
      <c r="B906" s="31"/>
      <c r="C906" s="31"/>
      <c r="E906" s="31"/>
      <c r="J906" s="31"/>
      <c r="K906" s="31"/>
    </row>
    <row r="907" ht="15.75" customHeight="1">
      <c r="B907" s="31"/>
      <c r="C907" s="31"/>
      <c r="E907" s="31"/>
      <c r="J907" s="31"/>
      <c r="K907" s="31"/>
    </row>
    <row r="908" ht="15.75" customHeight="1">
      <c r="B908" s="31"/>
      <c r="C908" s="31"/>
      <c r="E908" s="31"/>
      <c r="J908" s="31"/>
      <c r="K908" s="31"/>
    </row>
    <row r="909" ht="15.75" customHeight="1">
      <c r="B909" s="31"/>
      <c r="C909" s="31"/>
      <c r="E909" s="31"/>
      <c r="J909" s="31"/>
      <c r="K909" s="31"/>
    </row>
    <row r="910" ht="15.75" customHeight="1">
      <c r="B910" s="31"/>
      <c r="C910" s="31"/>
      <c r="E910" s="31"/>
      <c r="J910" s="31"/>
      <c r="K910" s="31"/>
    </row>
    <row r="911" ht="15.75" customHeight="1">
      <c r="B911" s="31"/>
      <c r="C911" s="31"/>
      <c r="E911" s="31"/>
      <c r="J911" s="31"/>
      <c r="K911" s="31"/>
    </row>
    <row r="912" ht="15.75" customHeight="1">
      <c r="B912" s="31"/>
      <c r="C912" s="31"/>
      <c r="E912" s="31"/>
      <c r="J912" s="31"/>
      <c r="K912" s="31"/>
    </row>
    <row r="913" ht="15.75" customHeight="1">
      <c r="B913" s="31"/>
      <c r="C913" s="31"/>
      <c r="E913" s="31"/>
      <c r="J913" s="31"/>
      <c r="K913" s="31"/>
    </row>
    <row r="914" ht="15.75" customHeight="1">
      <c r="B914" s="31"/>
      <c r="C914" s="31"/>
      <c r="E914" s="31"/>
      <c r="J914" s="31"/>
      <c r="K914" s="31"/>
    </row>
    <row r="915" ht="15.75" customHeight="1">
      <c r="B915" s="31"/>
      <c r="C915" s="31"/>
      <c r="E915" s="31"/>
      <c r="J915" s="31"/>
      <c r="K915" s="31"/>
    </row>
    <row r="916" ht="15.75" customHeight="1">
      <c r="B916" s="31"/>
      <c r="C916" s="31"/>
      <c r="E916" s="31"/>
      <c r="J916" s="31"/>
      <c r="K916" s="31"/>
    </row>
    <row r="917" ht="15.75" customHeight="1">
      <c r="B917" s="31"/>
      <c r="C917" s="31"/>
      <c r="E917" s="31"/>
      <c r="J917" s="31"/>
      <c r="K917" s="31"/>
    </row>
    <row r="918" ht="15.75" customHeight="1">
      <c r="B918" s="31"/>
      <c r="C918" s="31"/>
      <c r="E918" s="31"/>
      <c r="J918" s="31"/>
      <c r="K918" s="31"/>
    </row>
    <row r="919" ht="15.75" customHeight="1">
      <c r="B919" s="31"/>
      <c r="C919" s="31"/>
      <c r="E919" s="31"/>
      <c r="J919" s="31"/>
      <c r="K919" s="31"/>
    </row>
    <row r="920" ht="15.75" customHeight="1">
      <c r="B920" s="31"/>
      <c r="C920" s="31"/>
      <c r="E920" s="31"/>
      <c r="J920" s="31"/>
      <c r="K920" s="31"/>
    </row>
    <row r="921" ht="15.75" customHeight="1">
      <c r="B921" s="31"/>
      <c r="C921" s="31"/>
      <c r="E921" s="31"/>
      <c r="J921" s="31"/>
      <c r="K921" s="31"/>
    </row>
    <row r="922" ht="15.75" customHeight="1">
      <c r="B922" s="31"/>
      <c r="C922" s="31"/>
      <c r="E922" s="31"/>
      <c r="J922" s="31"/>
      <c r="K922" s="31"/>
    </row>
    <row r="923" ht="15.75" customHeight="1">
      <c r="B923" s="31"/>
      <c r="C923" s="31"/>
      <c r="E923" s="31"/>
      <c r="J923" s="31"/>
      <c r="K923" s="31"/>
    </row>
    <row r="924" ht="15.75" customHeight="1">
      <c r="B924" s="31"/>
      <c r="C924" s="31"/>
      <c r="E924" s="31"/>
      <c r="J924" s="31"/>
      <c r="K924" s="31"/>
    </row>
    <row r="925" ht="15.75" customHeight="1">
      <c r="B925" s="31"/>
      <c r="C925" s="31"/>
      <c r="E925" s="31"/>
      <c r="J925" s="31"/>
      <c r="K925" s="31"/>
    </row>
    <row r="926" ht="15.75" customHeight="1">
      <c r="B926" s="31"/>
      <c r="C926" s="31"/>
      <c r="E926" s="31"/>
      <c r="J926" s="31"/>
      <c r="K926" s="31"/>
    </row>
    <row r="927" ht="15.75" customHeight="1">
      <c r="B927" s="31"/>
      <c r="C927" s="31"/>
      <c r="E927" s="31"/>
      <c r="J927" s="31"/>
      <c r="K927" s="31"/>
    </row>
    <row r="928" ht="15.75" customHeight="1">
      <c r="B928" s="31"/>
      <c r="C928" s="31"/>
      <c r="E928" s="31"/>
      <c r="J928" s="31"/>
      <c r="K928" s="31"/>
    </row>
    <row r="929" ht="15.75" customHeight="1">
      <c r="B929" s="31"/>
      <c r="C929" s="31"/>
      <c r="E929" s="31"/>
      <c r="J929" s="31"/>
      <c r="K929" s="31"/>
    </row>
    <row r="930" ht="15.75" customHeight="1">
      <c r="B930" s="31"/>
      <c r="C930" s="31"/>
      <c r="E930" s="31"/>
      <c r="J930" s="31"/>
      <c r="K930" s="31"/>
    </row>
    <row r="931" ht="15.75" customHeight="1">
      <c r="B931" s="31"/>
      <c r="C931" s="31"/>
      <c r="E931" s="31"/>
      <c r="J931" s="31"/>
      <c r="K931" s="31"/>
    </row>
    <row r="932" ht="15.75" customHeight="1">
      <c r="B932" s="31"/>
      <c r="C932" s="31"/>
      <c r="E932" s="31"/>
      <c r="J932" s="31"/>
      <c r="K932" s="31"/>
    </row>
    <row r="933" ht="15.75" customHeight="1">
      <c r="B933" s="31"/>
      <c r="C933" s="31"/>
      <c r="E933" s="31"/>
      <c r="J933" s="31"/>
      <c r="K933" s="31"/>
    </row>
    <row r="934" ht="15.75" customHeight="1">
      <c r="B934" s="31"/>
      <c r="C934" s="31"/>
      <c r="E934" s="31"/>
      <c r="J934" s="31"/>
      <c r="K934" s="31"/>
    </row>
    <row r="935" ht="15.75" customHeight="1">
      <c r="B935" s="31"/>
      <c r="C935" s="31"/>
      <c r="E935" s="31"/>
      <c r="J935" s="31"/>
      <c r="K935" s="31"/>
    </row>
    <row r="936" ht="15.75" customHeight="1">
      <c r="B936" s="31"/>
      <c r="C936" s="31"/>
      <c r="E936" s="31"/>
      <c r="J936" s="31"/>
      <c r="K936" s="31"/>
    </row>
    <row r="937" ht="15.75" customHeight="1">
      <c r="B937" s="31"/>
      <c r="C937" s="31"/>
      <c r="E937" s="31"/>
      <c r="J937" s="31"/>
      <c r="K937" s="31"/>
    </row>
    <row r="938" ht="15.75" customHeight="1">
      <c r="B938" s="31"/>
      <c r="C938" s="31"/>
      <c r="E938" s="31"/>
      <c r="J938" s="31"/>
      <c r="K938" s="31"/>
    </row>
    <row r="939" ht="15.75" customHeight="1">
      <c r="B939" s="31"/>
      <c r="C939" s="31"/>
      <c r="E939" s="31"/>
      <c r="J939" s="31"/>
      <c r="K939" s="31"/>
    </row>
    <row r="940" ht="15.75" customHeight="1">
      <c r="B940" s="31"/>
      <c r="C940" s="31"/>
      <c r="E940" s="31"/>
      <c r="J940" s="31"/>
      <c r="K940" s="31"/>
    </row>
    <row r="941" ht="15.75" customHeight="1">
      <c r="B941" s="31"/>
      <c r="C941" s="31"/>
      <c r="E941" s="31"/>
      <c r="J941" s="31"/>
      <c r="K941" s="31"/>
    </row>
    <row r="942" ht="15.75" customHeight="1">
      <c r="B942" s="31"/>
      <c r="C942" s="31"/>
      <c r="E942" s="31"/>
      <c r="J942" s="31"/>
      <c r="K942" s="31"/>
    </row>
    <row r="943" ht="15.75" customHeight="1">
      <c r="B943" s="31"/>
      <c r="C943" s="31"/>
      <c r="E943" s="31"/>
      <c r="J943" s="31"/>
      <c r="K943" s="31"/>
    </row>
    <row r="944" ht="15.75" customHeight="1">
      <c r="B944" s="31"/>
      <c r="C944" s="31"/>
      <c r="E944" s="31"/>
      <c r="J944" s="31"/>
      <c r="K944" s="31"/>
    </row>
    <row r="945" ht="15.75" customHeight="1">
      <c r="B945" s="31"/>
      <c r="C945" s="31"/>
      <c r="E945" s="31"/>
      <c r="J945" s="31"/>
      <c r="K945" s="31"/>
    </row>
    <row r="946" ht="15.75" customHeight="1">
      <c r="B946" s="31"/>
      <c r="C946" s="31"/>
      <c r="E946" s="31"/>
      <c r="J946" s="31"/>
      <c r="K946" s="31"/>
    </row>
    <row r="947" ht="15.75" customHeight="1">
      <c r="B947" s="31"/>
      <c r="C947" s="31"/>
      <c r="E947" s="31"/>
      <c r="J947" s="31"/>
      <c r="K947" s="31"/>
    </row>
    <row r="948" ht="15.75" customHeight="1">
      <c r="B948" s="31"/>
      <c r="C948" s="31"/>
      <c r="E948" s="31"/>
      <c r="J948" s="31"/>
      <c r="K948" s="31"/>
    </row>
    <row r="949" ht="15.75" customHeight="1">
      <c r="B949" s="31"/>
      <c r="C949" s="31"/>
      <c r="E949" s="31"/>
      <c r="J949" s="31"/>
      <c r="K949" s="31"/>
    </row>
    <row r="950" ht="15.75" customHeight="1">
      <c r="B950" s="31"/>
      <c r="C950" s="31"/>
      <c r="E950" s="31"/>
      <c r="J950" s="31"/>
      <c r="K950" s="31"/>
    </row>
    <row r="951" ht="15.75" customHeight="1">
      <c r="B951" s="31"/>
      <c r="C951" s="31"/>
      <c r="E951" s="31"/>
      <c r="J951" s="31"/>
      <c r="K951" s="31"/>
    </row>
    <row r="952" ht="15.75" customHeight="1">
      <c r="B952" s="31"/>
      <c r="C952" s="31"/>
      <c r="E952" s="31"/>
      <c r="J952" s="31"/>
      <c r="K952" s="31"/>
    </row>
    <row r="953" ht="15.75" customHeight="1">
      <c r="B953" s="31"/>
      <c r="C953" s="31"/>
      <c r="E953" s="31"/>
      <c r="J953" s="31"/>
      <c r="K953" s="31"/>
    </row>
    <row r="954" ht="15.75" customHeight="1">
      <c r="B954" s="31"/>
      <c r="C954" s="31"/>
      <c r="E954" s="31"/>
      <c r="J954" s="31"/>
      <c r="K954" s="31"/>
    </row>
    <row r="955" ht="15.75" customHeight="1">
      <c r="B955" s="31"/>
      <c r="C955" s="31"/>
      <c r="E955" s="31"/>
      <c r="J955" s="31"/>
      <c r="K955" s="31"/>
    </row>
    <row r="956" ht="15.75" customHeight="1">
      <c r="B956" s="31"/>
      <c r="C956" s="31"/>
      <c r="E956" s="31"/>
      <c r="J956" s="31"/>
      <c r="K956" s="31"/>
    </row>
    <row r="957" ht="15.75" customHeight="1">
      <c r="B957" s="31"/>
      <c r="C957" s="31"/>
      <c r="E957" s="31"/>
      <c r="J957" s="31"/>
      <c r="K957" s="31"/>
    </row>
    <row r="958" ht="15.75" customHeight="1">
      <c r="B958" s="31"/>
      <c r="C958" s="31"/>
      <c r="E958" s="31"/>
      <c r="J958" s="31"/>
      <c r="K958" s="31"/>
    </row>
    <row r="959" ht="15.75" customHeight="1">
      <c r="B959" s="31"/>
      <c r="C959" s="31"/>
      <c r="E959" s="31"/>
      <c r="J959" s="31"/>
      <c r="K959" s="31"/>
    </row>
    <row r="960" ht="15.75" customHeight="1">
      <c r="B960" s="31"/>
      <c r="C960" s="31"/>
      <c r="E960" s="31"/>
      <c r="J960" s="31"/>
      <c r="K960" s="31"/>
    </row>
    <row r="961" ht="15.75" customHeight="1">
      <c r="B961" s="31"/>
      <c r="C961" s="31"/>
      <c r="E961" s="31"/>
      <c r="J961" s="31"/>
      <c r="K961" s="31"/>
    </row>
    <row r="962" ht="15.75" customHeight="1">
      <c r="B962" s="31"/>
      <c r="C962" s="31"/>
      <c r="E962" s="31"/>
      <c r="J962" s="31"/>
      <c r="K962" s="31"/>
    </row>
    <row r="963" ht="15.75" customHeight="1">
      <c r="B963" s="31"/>
      <c r="C963" s="31"/>
      <c r="E963" s="31"/>
      <c r="J963" s="31"/>
      <c r="K963" s="31"/>
    </row>
    <row r="964" ht="15.75" customHeight="1">
      <c r="B964" s="31"/>
      <c r="C964" s="31"/>
      <c r="E964" s="31"/>
      <c r="J964" s="31"/>
      <c r="K964" s="31"/>
    </row>
    <row r="965" ht="15.75" customHeight="1">
      <c r="B965" s="31"/>
      <c r="C965" s="31"/>
      <c r="E965" s="31"/>
      <c r="J965" s="31"/>
      <c r="K965" s="31"/>
    </row>
    <row r="966" ht="15.75" customHeight="1">
      <c r="B966" s="31"/>
      <c r="C966" s="31"/>
      <c r="E966" s="31"/>
      <c r="J966" s="31"/>
      <c r="K966" s="31"/>
    </row>
    <row r="967" ht="15.75" customHeight="1">
      <c r="B967" s="31"/>
      <c r="C967" s="31"/>
      <c r="E967" s="31"/>
      <c r="J967" s="31"/>
      <c r="K967" s="31"/>
    </row>
    <row r="968" ht="15.75" customHeight="1">
      <c r="B968" s="31"/>
      <c r="C968" s="31"/>
      <c r="E968" s="31"/>
      <c r="J968" s="31"/>
      <c r="K968" s="31"/>
    </row>
    <row r="969" ht="15.75" customHeight="1">
      <c r="B969" s="31"/>
      <c r="C969" s="31"/>
      <c r="E969" s="31"/>
      <c r="J969" s="31"/>
      <c r="K969" s="31"/>
    </row>
    <row r="970" ht="15.75" customHeight="1">
      <c r="B970" s="31"/>
      <c r="C970" s="31"/>
      <c r="E970" s="31"/>
      <c r="J970" s="31"/>
      <c r="K970" s="31"/>
    </row>
    <row r="971" ht="15.75" customHeight="1">
      <c r="B971" s="31"/>
      <c r="C971" s="31"/>
      <c r="E971" s="31"/>
      <c r="J971" s="31"/>
      <c r="K971" s="31"/>
    </row>
    <row r="972" ht="15.75" customHeight="1">
      <c r="B972" s="31"/>
      <c r="C972" s="31"/>
      <c r="E972" s="31"/>
      <c r="J972" s="31"/>
      <c r="K972" s="31"/>
    </row>
    <row r="973" ht="15.75" customHeight="1">
      <c r="B973" s="31"/>
      <c r="C973" s="31"/>
      <c r="E973" s="31"/>
      <c r="J973" s="31"/>
      <c r="K973" s="31"/>
    </row>
    <row r="974" ht="15.75" customHeight="1">
      <c r="B974" s="31"/>
      <c r="C974" s="31"/>
      <c r="E974" s="31"/>
      <c r="J974" s="31"/>
      <c r="K974" s="31"/>
    </row>
    <row r="975" ht="15.75" customHeight="1">
      <c r="B975" s="31"/>
      <c r="C975" s="31"/>
      <c r="E975" s="31"/>
      <c r="J975" s="31"/>
      <c r="K975" s="31"/>
    </row>
    <row r="976" ht="15.75" customHeight="1">
      <c r="B976" s="31"/>
      <c r="C976" s="31"/>
      <c r="E976" s="31"/>
      <c r="J976" s="31"/>
      <c r="K976" s="31"/>
    </row>
    <row r="977" ht="15.75" customHeight="1">
      <c r="B977" s="31"/>
      <c r="C977" s="31"/>
      <c r="E977" s="31"/>
      <c r="J977" s="31"/>
      <c r="K977" s="31"/>
    </row>
    <row r="978" ht="15.75" customHeight="1">
      <c r="B978" s="31"/>
      <c r="C978" s="31"/>
      <c r="E978" s="31"/>
      <c r="J978" s="31"/>
      <c r="K978" s="31"/>
    </row>
    <row r="979" ht="15.75" customHeight="1">
      <c r="B979" s="31"/>
      <c r="C979" s="31"/>
      <c r="E979" s="31"/>
      <c r="J979" s="31"/>
      <c r="K979" s="31"/>
    </row>
    <row r="980" ht="15.75" customHeight="1">
      <c r="B980" s="31"/>
      <c r="C980" s="31"/>
      <c r="E980" s="31"/>
      <c r="J980" s="31"/>
      <c r="K980" s="31"/>
    </row>
    <row r="981" ht="15.75" customHeight="1">
      <c r="B981" s="31"/>
      <c r="C981" s="31"/>
      <c r="E981" s="31"/>
      <c r="J981" s="31"/>
      <c r="K981" s="31"/>
    </row>
    <row r="982" ht="15.75" customHeight="1">
      <c r="B982" s="31"/>
      <c r="C982" s="31"/>
      <c r="E982" s="31"/>
      <c r="J982" s="31"/>
      <c r="K982" s="31"/>
    </row>
    <row r="983" ht="15.75" customHeight="1">
      <c r="B983" s="31"/>
      <c r="C983" s="31"/>
      <c r="E983" s="31"/>
      <c r="J983" s="31"/>
      <c r="K983" s="31"/>
    </row>
    <row r="984" ht="15.75" customHeight="1">
      <c r="B984" s="31"/>
      <c r="C984" s="31"/>
      <c r="E984" s="31"/>
      <c r="J984" s="31"/>
      <c r="K984" s="31"/>
    </row>
    <row r="985" ht="15.75" customHeight="1">
      <c r="B985" s="31"/>
      <c r="C985" s="31"/>
      <c r="E985" s="31"/>
      <c r="J985" s="31"/>
      <c r="K985" s="31"/>
    </row>
    <row r="986" ht="15.75" customHeight="1">
      <c r="B986" s="31"/>
      <c r="C986" s="31"/>
      <c r="E986" s="31"/>
      <c r="J986" s="31"/>
      <c r="K986" s="31"/>
    </row>
    <row r="987" ht="15.75" customHeight="1">
      <c r="B987" s="31"/>
      <c r="C987" s="31"/>
      <c r="E987" s="31"/>
      <c r="J987" s="31"/>
      <c r="K987" s="31"/>
    </row>
    <row r="988" ht="15.75" customHeight="1">
      <c r="B988" s="31"/>
      <c r="C988" s="31"/>
      <c r="E988" s="31"/>
      <c r="J988" s="31"/>
      <c r="K988" s="31"/>
    </row>
    <row r="989" ht="15.75" customHeight="1">
      <c r="B989" s="31"/>
      <c r="C989" s="31"/>
      <c r="E989" s="31"/>
      <c r="J989" s="31"/>
      <c r="K989" s="31"/>
    </row>
    <row r="990" ht="15.75" customHeight="1">
      <c r="B990" s="31"/>
      <c r="C990" s="31"/>
      <c r="E990" s="31"/>
      <c r="J990" s="31"/>
      <c r="K990" s="31"/>
    </row>
    <row r="991" ht="15.75" customHeight="1">
      <c r="B991" s="31"/>
      <c r="C991" s="31"/>
      <c r="E991" s="31"/>
      <c r="J991" s="31"/>
      <c r="K991" s="31"/>
    </row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1:E61 E63:E97 E100:E129 E132:E991">
      <formula1>"Safie,Abbas,Ammar,abdullah,Name"</formula1>
    </dataValidation>
    <dataValidation type="list" allowBlank="1" showErrorMessage="1" sqref="J1:J61 J63:J991">
      <formula1>"Yes,No"</formula1>
    </dataValidation>
    <dataValidation type="list" allowBlank="1" showErrorMessage="1" sqref="B2:B61 B63:B991">
      <formula1>"501 Selvedge,501 Light Blue,501 Mid Blue,501 Navy Blue,501 Black,511 Light Blue,511 Navy Blue"</formula1>
    </dataValidation>
    <dataValidation type="list" allowBlank="1" showErrorMessage="1" sqref="E98:E99 E130:E131">
      <formula1>"Safie,Abbas,Ammar,abdullah,Hamza"</formula1>
    </dataValidation>
    <dataValidation type="list" allowBlank="1" showErrorMessage="1" sqref="C2:C61 C63:C991">
      <formula1>"32,34,36"</formula1>
    </dataValidation>
    <dataValidation type="list" allowBlank="1" showErrorMessage="1" sqref="K2:K991">
      <formula1>"Complete,In Process"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0.63"/>
    <col customWidth="1" min="3" max="3" width="12.63"/>
    <col customWidth="1" min="4" max="4" width="15.0"/>
    <col customWidth="1" hidden="1" min="5" max="17" width="12.63"/>
    <col customWidth="1" min="18" max="19" width="12.63"/>
    <col customWidth="1" min="21" max="21" width="15.25"/>
    <col customWidth="1" min="22" max="22" width="20.13"/>
    <col customWidth="1" min="24" max="24" width="14.63"/>
  </cols>
  <sheetData>
    <row r="1" ht="15.75" customHeight="1">
      <c r="A1" s="1">
        <v>0.0</v>
      </c>
      <c r="B1" s="3" t="s">
        <v>2</v>
      </c>
      <c r="C1" s="5" t="s">
        <v>3</v>
      </c>
      <c r="D1" s="5" t="s">
        <v>4</v>
      </c>
      <c r="E1" s="5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11</v>
      </c>
      <c r="K1" s="8" t="s">
        <v>13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22</v>
      </c>
      <c r="S1" s="8" t="s">
        <v>24</v>
      </c>
      <c r="T1" s="5" t="s">
        <v>28</v>
      </c>
      <c r="U1" s="5" t="s">
        <v>30</v>
      </c>
      <c r="V1" s="9" t="s">
        <v>37</v>
      </c>
      <c r="W1" s="10"/>
      <c r="X1" s="10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ht="15.75" customHeight="1">
      <c r="A2" s="14">
        <v>501.0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9"/>
      <c r="V2" s="21"/>
      <c r="W2" s="22"/>
      <c r="X2" s="22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ht="15.75" customHeight="1">
      <c r="A3" s="25">
        <v>1.0</v>
      </c>
      <c r="B3" s="20" t="s">
        <v>45</v>
      </c>
      <c r="C3" s="26">
        <v>30.0</v>
      </c>
      <c r="D3" s="23">
        <f t="shared" ref="D3:D21" si="1">(E3+F3+G3+H3+I3+J3+K3+L3+M3+N3+O3+P3+Q3+R3+S3)</f>
        <v>5</v>
      </c>
      <c r="E3" s="26"/>
      <c r="F3" s="26"/>
      <c r="G3" s="26"/>
      <c r="H3" s="26"/>
      <c r="I3" s="26">
        <v>5.0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3">
        <f>SUMIFS('UK London sales'!D:D, 'UK London sales'!B:B, B3, 'UK London sales'!C:C, C3)</f>
        <v>4</v>
      </c>
      <c r="U3" s="23">
        <f t="shared" ref="U3:U21" si="2">D3-T3</f>
        <v>1</v>
      </c>
      <c r="V3" s="27">
        <v>0.0</v>
      </c>
      <c r="W3" s="28"/>
      <c r="X3" s="29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ht="15.75" customHeight="1">
      <c r="A4" s="30">
        <v>2.0</v>
      </c>
      <c r="B4" s="20" t="s">
        <v>45</v>
      </c>
      <c r="C4" s="23">
        <v>32.0</v>
      </c>
      <c r="D4" s="23">
        <f t="shared" si="1"/>
        <v>100</v>
      </c>
      <c r="E4" s="23">
        <v>33.0</v>
      </c>
      <c r="F4" s="26">
        <v>8.0</v>
      </c>
      <c r="G4" s="26"/>
      <c r="H4" s="26"/>
      <c r="I4" s="26">
        <v>10.0</v>
      </c>
      <c r="J4" s="26">
        <v>10.0</v>
      </c>
      <c r="K4" s="26">
        <v>12.0</v>
      </c>
      <c r="L4" s="26">
        <v>13.0</v>
      </c>
      <c r="M4" s="26">
        <v>2.0</v>
      </c>
      <c r="N4" s="26"/>
      <c r="O4" s="26">
        <v>12.0</v>
      </c>
      <c r="P4" s="26"/>
      <c r="Q4" s="26"/>
      <c r="R4" s="26"/>
      <c r="S4" s="26"/>
      <c r="T4" s="23">
        <f>SUMIFS('UK London sales'!D:D, 'UK London sales'!B:B, B4, 'UK London sales'!C:C, C4)</f>
        <v>100</v>
      </c>
      <c r="U4" s="23">
        <f t="shared" si="2"/>
        <v>0</v>
      </c>
      <c r="V4" s="34"/>
      <c r="W4" s="28"/>
      <c r="X4" s="35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ht="15.75" customHeight="1">
      <c r="A5" s="30">
        <v>3.0</v>
      </c>
      <c r="B5" s="20" t="s">
        <v>45</v>
      </c>
      <c r="C5" s="23">
        <v>34.0</v>
      </c>
      <c r="D5" s="23">
        <f t="shared" si="1"/>
        <v>107</v>
      </c>
      <c r="E5" s="23">
        <v>33.0</v>
      </c>
      <c r="F5" s="26">
        <v>17.0</v>
      </c>
      <c r="G5" s="26"/>
      <c r="H5" s="26"/>
      <c r="I5" s="26">
        <v>10.0</v>
      </c>
      <c r="J5" s="26">
        <v>10.0</v>
      </c>
      <c r="K5" s="26">
        <v>9.0</v>
      </c>
      <c r="L5" s="26">
        <v>13.0</v>
      </c>
      <c r="M5" s="26"/>
      <c r="N5" s="26"/>
      <c r="O5" s="26">
        <v>12.0</v>
      </c>
      <c r="P5" s="26"/>
      <c r="Q5" s="26">
        <v>3.0</v>
      </c>
      <c r="R5" s="26"/>
      <c r="S5" s="26"/>
      <c r="T5" s="23">
        <f>SUMIFS('UK London sales'!D:D, 'UK London sales'!B:B, B5, 'UK London sales'!C:C, C5)</f>
        <v>107</v>
      </c>
      <c r="U5" s="23">
        <f t="shared" si="2"/>
        <v>0</v>
      </c>
      <c r="V5" s="34"/>
      <c r="W5" s="28"/>
      <c r="X5" s="35"/>
      <c r="Y5" s="11"/>
      <c r="Z5" s="41"/>
      <c r="AA5" s="4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ht="15.75" customHeight="1">
      <c r="A6" s="30">
        <v>4.0</v>
      </c>
      <c r="B6" s="20" t="s">
        <v>45</v>
      </c>
      <c r="C6" s="23">
        <v>36.0</v>
      </c>
      <c r="D6" s="23">
        <f t="shared" si="1"/>
        <v>81</v>
      </c>
      <c r="E6" s="23">
        <v>20.0</v>
      </c>
      <c r="F6" s="26">
        <v>8.0</v>
      </c>
      <c r="G6" s="26"/>
      <c r="H6" s="26"/>
      <c r="I6" s="26">
        <v>9.0</v>
      </c>
      <c r="J6" s="26">
        <v>13.0</v>
      </c>
      <c r="K6" s="26">
        <v>9.0</v>
      </c>
      <c r="L6" s="26">
        <v>6.0</v>
      </c>
      <c r="M6" s="26">
        <v>3.0</v>
      </c>
      <c r="N6" s="26"/>
      <c r="O6" s="26">
        <v>12.0</v>
      </c>
      <c r="P6" s="26"/>
      <c r="Q6" s="26">
        <v>1.0</v>
      </c>
      <c r="R6" s="26"/>
      <c r="S6" s="26"/>
      <c r="T6" s="23">
        <f>SUMIFS('UK London sales'!D:D, 'UK London sales'!B:B, B6, 'UK London sales'!C:C, C6)</f>
        <v>81</v>
      </c>
      <c r="U6" s="23">
        <f t="shared" si="2"/>
        <v>0</v>
      </c>
      <c r="V6" s="34"/>
      <c r="W6" s="28"/>
      <c r="X6" s="35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ht="15.75" customHeight="1">
      <c r="A7" s="43">
        <v>6.0</v>
      </c>
      <c r="B7" s="39" t="s">
        <v>50</v>
      </c>
      <c r="C7" s="44">
        <v>30.0</v>
      </c>
      <c r="D7" s="42">
        <f t="shared" si="1"/>
        <v>5</v>
      </c>
      <c r="E7" s="42"/>
      <c r="F7" s="42"/>
      <c r="G7" s="44"/>
      <c r="H7" s="44"/>
      <c r="I7" s="44">
        <v>5.0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2">
        <f>SUMIFS('UK London sales'!D:D, 'UK London sales'!B:B, B7, 'UK London sales'!C:C, C7)</f>
        <v>5</v>
      </c>
      <c r="U7" s="42">
        <f t="shared" si="2"/>
        <v>0</v>
      </c>
      <c r="V7" s="34"/>
      <c r="W7" s="28"/>
      <c r="X7" s="35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ht="15.75" customHeight="1">
      <c r="A8" s="43">
        <v>5.0</v>
      </c>
      <c r="B8" s="48" t="s">
        <v>57</v>
      </c>
      <c r="C8" s="44">
        <v>32.0</v>
      </c>
      <c r="D8" s="42">
        <f t="shared" si="1"/>
        <v>10</v>
      </c>
      <c r="E8" s="42"/>
      <c r="F8" s="42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>
        <v>10.0</v>
      </c>
      <c r="T8" s="42">
        <f>SUMIFS('UK London sales'!D:D, 'UK London sales'!B:B, B8, 'UK London sales'!C:C, C8)</f>
        <v>8</v>
      </c>
      <c r="U8" s="42">
        <f t="shared" si="2"/>
        <v>2</v>
      </c>
      <c r="V8" s="50">
        <v>10.0</v>
      </c>
      <c r="W8" s="28"/>
      <c r="X8" s="5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ht="15.75" customHeight="1">
      <c r="A9" s="43">
        <v>7.0</v>
      </c>
      <c r="B9" s="39" t="s">
        <v>50</v>
      </c>
      <c r="C9" s="42">
        <v>32.0</v>
      </c>
      <c r="D9" s="42">
        <f t="shared" si="1"/>
        <v>40</v>
      </c>
      <c r="E9" s="42"/>
      <c r="F9" s="42"/>
      <c r="G9" s="44">
        <v>3.0</v>
      </c>
      <c r="H9" s="44">
        <v>10.0</v>
      </c>
      <c r="I9" s="44">
        <v>5.0</v>
      </c>
      <c r="J9" s="44"/>
      <c r="K9" s="44"/>
      <c r="L9" s="44"/>
      <c r="M9" s="44"/>
      <c r="N9" s="44">
        <v>12.0</v>
      </c>
      <c r="O9" s="44"/>
      <c r="P9" s="44"/>
      <c r="Q9" s="44"/>
      <c r="R9" s="44">
        <v>10.0</v>
      </c>
      <c r="S9" s="44"/>
      <c r="T9" s="42">
        <f>SUMIFS('UK London sales'!D:D, 'UK London sales'!B:B, B9, 'UK London sales'!C:C, C9)</f>
        <v>40</v>
      </c>
      <c r="U9" s="42">
        <f t="shared" si="2"/>
        <v>0</v>
      </c>
      <c r="V9" s="50">
        <v>0.0</v>
      </c>
      <c r="W9" s="28"/>
      <c r="X9" s="35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ht="15.75" customHeight="1">
      <c r="A10" s="43">
        <v>8.0</v>
      </c>
      <c r="B10" s="39" t="s">
        <v>50</v>
      </c>
      <c r="C10" s="42">
        <v>34.0</v>
      </c>
      <c r="D10" s="42">
        <f t="shared" si="1"/>
        <v>72</v>
      </c>
      <c r="E10" s="42"/>
      <c r="F10" s="42"/>
      <c r="G10" s="44">
        <v>19.0</v>
      </c>
      <c r="H10" s="44">
        <v>10.0</v>
      </c>
      <c r="I10" s="44">
        <v>9.0</v>
      </c>
      <c r="J10" s="44"/>
      <c r="K10" s="44"/>
      <c r="L10" s="44"/>
      <c r="M10" s="44">
        <v>1.0</v>
      </c>
      <c r="N10" s="44">
        <v>13.0</v>
      </c>
      <c r="O10" s="44"/>
      <c r="P10" s="44"/>
      <c r="Q10" s="44"/>
      <c r="R10" s="44">
        <v>10.0</v>
      </c>
      <c r="S10" s="44">
        <v>10.0</v>
      </c>
      <c r="T10" s="42">
        <f>SUMIFS('UK London sales'!D:D, 'UK London sales'!B:B, B10, 'UK London sales'!C:C, C10)</f>
        <v>72</v>
      </c>
      <c r="U10" s="42">
        <f t="shared" si="2"/>
        <v>0</v>
      </c>
      <c r="X10" s="55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ht="15.75" customHeight="1">
      <c r="A11" s="43">
        <v>9.0</v>
      </c>
      <c r="B11" s="39" t="s">
        <v>50</v>
      </c>
      <c r="C11" s="42">
        <v>36.0</v>
      </c>
      <c r="D11" s="42">
        <f t="shared" si="1"/>
        <v>59</v>
      </c>
      <c r="E11" s="42"/>
      <c r="F11" s="42"/>
      <c r="G11" s="44">
        <v>11.0</v>
      </c>
      <c r="H11" s="44">
        <v>10.0</v>
      </c>
      <c r="I11" s="44">
        <v>11.0</v>
      </c>
      <c r="J11" s="44"/>
      <c r="K11" s="44"/>
      <c r="L11" s="44"/>
      <c r="M11" s="44"/>
      <c r="N11" s="44">
        <v>5.0</v>
      </c>
      <c r="O11" s="44"/>
      <c r="P11" s="44"/>
      <c r="Q11" s="44">
        <v>2.0</v>
      </c>
      <c r="R11" s="44">
        <v>10.0</v>
      </c>
      <c r="S11" s="44">
        <v>10.0</v>
      </c>
      <c r="T11" s="42">
        <f>SUMIFS('UK London sales'!D:D, 'UK London sales'!B:B, B11, 'UK London sales'!C:C, C11)</f>
        <v>54</v>
      </c>
      <c r="U11" s="42">
        <f t="shared" si="2"/>
        <v>5</v>
      </c>
      <c r="V11" s="50">
        <v>10.0</v>
      </c>
      <c r="W11" s="28"/>
      <c r="X11" s="5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ht="15.75" customHeight="1">
      <c r="A12" s="56">
        <v>10.0</v>
      </c>
      <c r="B12" s="57" t="s">
        <v>52</v>
      </c>
      <c r="C12" s="58">
        <v>30.0</v>
      </c>
      <c r="D12" s="47">
        <f t="shared" si="1"/>
        <v>5</v>
      </c>
      <c r="E12" s="58"/>
      <c r="F12" s="58"/>
      <c r="G12" s="58"/>
      <c r="H12" s="58"/>
      <c r="I12" s="58">
        <v>5.0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9">
        <f>SUMIFS('UK London sales'!D:D, 'UK London sales'!B:B, B12, 'UK London sales'!C:C, C12)</f>
        <v>8</v>
      </c>
      <c r="U12" s="59">
        <f t="shared" si="2"/>
        <v>-3</v>
      </c>
      <c r="V12" s="60"/>
      <c r="W12" s="28"/>
      <c r="X12" s="35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ht="15.75" customHeight="1">
      <c r="A13" s="56">
        <v>11.0</v>
      </c>
      <c r="B13" s="57" t="s">
        <v>52</v>
      </c>
      <c r="C13" s="59">
        <v>32.0</v>
      </c>
      <c r="D13" s="47">
        <f t="shared" si="1"/>
        <v>83</v>
      </c>
      <c r="E13" s="58">
        <v>21.0</v>
      </c>
      <c r="F13" s="58">
        <v>10.0</v>
      </c>
      <c r="G13" s="58">
        <v>10.0</v>
      </c>
      <c r="H13" s="58">
        <v>10.0</v>
      </c>
      <c r="I13" s="58">
        <v>11.0</v>
      </c>
      <c r="J13" s="58"/>
      <c r="K13" s="58"/>
      <c r="L13" s="58"/>
      <c r="M13" s="61">
        <v>10.0</v>
      </c>
      <c r="N13" s="61"/>
      <c r="O13" s="61"/>
      <c r="P13" s="61"/>
      <c r="Q13" s="61">
        <v>11.0</v>
      </c>
      <c r="R13" s="61"/>
      <c r="S13" s="61"/>
      <c r="T13" s="59">
        <f>SUMIFS('UK London sales'!D:D, 'UK London sales'!B:B, B13, 'UK London sales'!C:C, C13)</f>
        <v>89</v>
      </c>
      <c r="U13" s="59">
        <f t="shared" si="2"/>
        <v>-6</v>
      </c>
      <c r="V13" s="60"/>
      <c r="W13" s="28"/>
      <c r="X13" s="35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ht="15.75" customHeight="1">
      <c r="A14" s="56">
        <v>12.0</v>
      </c>
      <c r="B14" s="57" t="s">
        <v>52</v>
      </c>
      <c r="C14" s="59">
        <v>34.0</v>
      </c>
      <c r="D14" s="47">
        <f t="shared" si="1"/>
        <v>91</v>
      </c>
      <c r="E14" s="59">
        <v>23.0</v>
      </c>
      <c r="F14" s="58">
        <v>10.0</v>
      </c>
      <c r="G14" s="58">
        <v>10.0</v>
      </c>
      <c r="H14" s="58">
        <v>10.0</v>
      </c>
      <c r="I14" s="58">
        <v>11.0</v>
      </c>
      <c r="J14" s="58"/>
      <c r="K14" s="58"/>
      <c r="L14" s="58"/>
      <c r="M14" s="58"/>
      <c r="N14" s="61">
        <v>15.0</v>
      </c>
      <c r="O14" s="61"/>
      <c r="P14" s="61"/>
      <c r="Q14" s="61">
        <v>12.0</v>
      </c>
      <c r="R14" s="61"/>
      <c r="S14" s="61"/>
      <c r="T14" s="59">
        <f>SUMIFS('UK London sales'!D:D, 'UK London sales'!B:B, B14, 'UK London sales'!C:C, C14)</f>
        <v>97</v>
      </c>
      <c r="U14" s="59">
        <f t="shared" si="2"/>
        <v>-6</v>
      </c>
      <c r="V14" s="60"/>
      <c r="W14" s="28"/>
      <c r="X14" s="35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ht="15.75" customHeight="1">
      <c r="A15" s="56">
        <v>13.0</v>
      </c>
      <c r="B15" s="57" t="s">
        <v>52</v>
      </c>
      <c r="C15" s="59">
        <v>36.0</v>
      </c>
      <c r="D15" s="47">
        <f t="shared" si="1"/>
        <v>54</v>
      </c>
      <c r="E15" s="58">
        <v>8.0</v>
      </c>
      <c r="F15" s="58">
        <v>10.0</v>
      </c>
      <c r="G15" s="58">
        <v>10.0</v>
      </c>
      <c r="H15" s="58">
        <v>10.0</v>
      </c>
      <c r="I15" s="58">
        <v>5.0</v>
      </c>
      <c r="J15" s="58"/>
      <c r="K15" s="58"/>
      <c r="L15" s="58"/>
      <c r="M15" s="58"/>
      <c r="N15" s="58"/>
      <c r="O15" s="58"/>
      <c r="P15" s="58"/>
      <c r="Q15" s="61">
        <v>11.0</v>
      </c>
      <c r="R15" s="61"/>
      <c r="S15" s="61"/>
      <c r="T15" s="59">
        <f>SUMIFS('UK London sales'!D:D, 'UK London sales'!B:B, B15, 'UK London sales'!C:C, C15)</f>
        <v>59</v>
      </c>
      <c r="U15" s="59">
        <f t="shared" si="2"/>
        <v>-5</v>
      </c>
      <c r="V15" s="60"/>
      <c r="W15" s="63"/>
      <c r="X15" s="35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ht="15.75" customHeight="1">
      <c r="A16" s="64">
        <v>17.0</v>
      </c>
      <c r="B16" s="65" t="s">
        <v>69</v>
      </c>
      <c r="C16" s="66">
        <v>32.0</v>
      </c>
      <c r="D16" s="67">
        <f t="shared" si="1"/>
        <v>20</v>
      </c>
      <c r="E16" s="68"/>
      <c r="F16" s="68"/>
      <c r="G16" s="68"/>
      <c r="H16" s="68"/>
      <c r="I16" s="68"/>
      <c r="J16" s="66"/>
      <c r="K16" s="66"/>
      <c r="L16" s="66"/>
      <c r="M16" s="66"/>
      <c r="N16" s="66"/>
      <c r="O16" s="66"/>
      <c r="P16" s="66">
        <v>11.0</v>
      </c>
      <c r="Q16" s="66">
        <v>9.0</v>
      </c>
      <c r="R16" s="66"/>
      <c r="S16" s="66"/>
      <c r="T16" s="68">
        <f>SUMIFS('UK London sales'!D:D, 'UK London sales'!B:B, B16, 'UK London sales'!C:C, C16)</f>
        <v>20</v>
      </c>
      <c r="U16" s="68">
        <f t="shared" si="2"/>
        <v>0</v>
      </c>
      <c r="V16" s="27">
        <v>0.0</v>
      </c>
      <c r="W16" s="70"/>
      <c r="X16" s="29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ht="15.75" customHeight="1">
      <c r="A17" s="64">
        <v>18.0</v>
      </c>
      <c r="B17" s="65" t="s">
        <v>69</v>
      </c>
      <c r="C17" s="66">
        <v>34.0</v>
      </c>
      <c r="D17" s="67">
        <f t="shared" si="1"/>
        <v>21</v>
      </c>
      <c r="E17" s="68"/>
      <c r="F17" s="68"/>
      <c r="G17" s="68"/>
      <c r="H17" s="68"/>
      <c r="I17" s="68"/>
      <c r="J17" s="66"/>
      <c r="K17" s="66"/>
      <c r="L17" s="66"/>
      <c r="M17" s="66"/>
      <c r="N17" s="66"/>
      <c r="O17" s="66"/>
      <c r="P17" s="66">
        <v>11.0</v>
      </c>
      <c r="Q17" s="66">
        <v>10.0</v>
      </c>
      <c r="R17" s="66"/>
      <c r="S17" s="66"/>
      <c r="T17" s="68">
        <f>SUMIFS('UK London sales'!D:D, 'UK London sales'!B:B, B17, 'UK London sales'!C:C, C17)</f>
        <v>26</v>
      </c>
      <c r="U17" s="68">
        <f t="shared" si="2"/>
        <v>-5</v>
      </c>
      <c r="V17" s="72"/>
      <c r="W17" s="70"/>
      <c r="X17" s="35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ht="15.75" customHeight="1">
      <c r="A18" s="64">
        <v>19.0</v>
      </c>
      <c r="B18" s="65" t="s">
        <v>69</v>
      </c>
      <c r="C18" s="66">
        <v>36.0</v>
      </c>
      <c r="D18" s="67">
        <f t="shared" si="1"/>
        <v>22</v>
      </c>
      <c r="E18" s="68"/>
      <c r="F18" s="68"/>
      <c r="G18" s="68"/>
      <c r="H18" s="68"/>
      <c r="I18" s="68"/>
      <c r="J18" s="66"/>
      <c r="K18" s="66"/>
      <c r="L18" s="66"/>
      <c r="M18" s="66"/>
      <c r="N18" s="66"/>
      <c r="O18" s="66"/>
      <c r="P18" s="66">
        <v>11.0</v>
      </c>
      <c r="Q18" s="66">
        <v>11.0</v>
      </c>
      <c r="R18" s="66"/>
      <c r="S18" s="66"/>
      <c r="T18" s="68">
        <f>SUMIFS('UK London sales'!D:D, 'UK London sales'!B:B, B18, 'UK London sales'!C:C, C18)</f>
        <v>25</v>
      </c>
      <c r="U18" s="68">
        <f t="shared" si="2"/>
        <v>-3</v>
      </c>
      <c r="V18" s="72"/>
      <c r="W18" s="70"/>
      <c r="X18" s="35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ht="15.75" customHeight="1">
      <c r="A19" s="76">
        <v>14.0</v>
      </c>
      <c r="B19" s="77" t="s">
        <v>53</v>
      </c>
      <c r="C19" s="78">
        <v>32.0</v>
      </c>
      <c r="D19" s="78">
        <f t="shared" si="1"/>
        <v>38</v>
      </c>
      <c r="E19" s="78">
        <v>9.0</v>
      </c>
      <c r="F19" s="78"/>
      <c r="G19" s="78"/>
      <c r="H19" s="78"/>
      <c r="I19" s="78"/>
      <c r="J19" s="79">
        <v>10.0</v>
      </c>
      <c r="K19" s="79">
        <v>13.0</v>
      </c>
      <c r="L19" s="79"/>
      <c r="M19" s="79">
        <v>1.0</v>
      </c>
      <c r="N19" s="79"/>
      <c r="O19" s="79"/>
      <c r="P19" s="79">
        <v>3.0</v>
      </c>
      <c r="Q19" s="79">
        <v>2.0</v>
      </c>
      <c r="R19" s="79"/>
      <c r="S19" s="80"/>
      <c r="T19" s="78">
        <f>SUMIFS('UK London sales'!D:D, 'UK London sales'!B:B, B19, 'UK London sales'!C:C, C19)</f>
        <v>37</v>
      </c>
      <c r="U19" s="78">
        <f t="shared" si="2"/>
        <v>1</v>
      </c>
      <c r="V19" s="34"/>
      <c r="W19" s="81"/>
      <c r="X19" s="29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ht="15.75" customHeight="1">
      <c r="A20" s="76">
        <v>15.0</v>
      </c>
      <c r="B20" s="77" t="s">
        <v>53</v>
      </c>
      <c r="C20" s="78">
        <v>34.0</v>
      </c>
      <c r="D20" s="78">
        <f t="shared" si="1"/>
        <v>27</v>
      </c>
      <c r="E20" s="78"/>
      <c r="F20" s="78"/>
      <c r="G20" s="78"/>
      <c r="H20" s="78"/>
      <c r="I20" s="78"/>
      <c r="J20" s="79">
        <v>10.0</v>
      </c>
      <c r="K20" s="79">
        <v>14.0</v>
      </c>
      <c r="L20" s="79"/>
      <c r="M20" s="79"/>
      <c r="N20" s="79"/>
      <c r="O20" s="79"/>
      <c r="P20" s="79">
        <v>3.0</v>
      </c>
      <c r="Q20" s="79"/>
      <c r="R20" s="79"/>
      <c r="S20" s="80"/>
      <c r="T20" s="78">
        <f>SUMIFS('UK London sales'!D:D, 'UK London sales'!B:B, B20, 'UK London sales'!C:C, C20)</f>
        <v>27</v>
      </c>
      <c r="U20" s="78">
        <f t="shared" si="2"/>
        <v>0</v>
      </c>
      <c r="V20" s="34"/>
      <c r="W20" s="63"/>
      <c r="X20" s="35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ht="15.75" customHeight="1">
      <c r="A21" s="76">
        <v>16.0</v>
      </c>
      <c r="B21" s="77" t="s">
        <v>53</v>
      </c>
      <c r="C21" s="78">
        <v>36.0</v>
      </c>
      <c r="D21" s="78">
        <f t="shared" si="1"/>
        <v>19</v>
      </c>
      <c r="E21" s="78"/>
      <c r="F21" s="78"/>
      <c r="G21" s="78"/>
      <c r="H21" s="78"/>
      <c r="I21" s="78"/>
      <c r="J21" s="79">
        <v>9.0</v>
      </c>
      <c r="K21" s="79">
        <v>7.0</v>
      </c>
      <c r="L21" s="79"/>
      <c r="M21" s="79"/>
      <c r="N21" s="79"/>
      <c r="O21" s="79"/>
      <c r="P21" s="79">
        <v>3.0</v>
      </c>
      <c r="Q21" s="79"/>
      <c r="R21" s="79"/>
      <c r="S21" s="80"/>
      <c r="T21" s="78">
        <f>SUMIFS('UK London sales'!D:D, 'UK London sales'!B:B, B21, 'UK London sales'!C:C, C21)</f>
        <v>19</v>
      </c>
      <c r="U21" s="78">
        <f t="shared" si="2"/>
        <v>0</v>
      </c>
      <c r="V21" s="34"/>
      <c r="W21" s="63"/>
      <c r="X21" s="35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ht="15.75" customHeight="1">
      <c r="A22" s="14">
        <v>511.0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9"/>
      <c r="V22" s="34"/>
      <c r="W22" s="89"/>
      <c r="X22" s="22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</row>
    <row r="23" ht="15.75" customHeight="1">
      <c r="A23" s="30">
        <v>22.0</v>
      </c>
      <c r="B23" s="20" t="s">
        <v>59</v>
      </c>
      <c r="C23" s="23">
        <v>32.0</v>
      </c>
      <c r="D23" s="23">
        <f t="shared" ref="D23:D44" si="3">(E23+F23+G23+H23+I23+J23+K23+L23+M23+N23+O23+P23+Q23+R23+S23)</f>
        <v>33</v>
      </c>
      <c r="E23" s="23"/>
      <c r="F23" s="23"/>
      <c r="G23" s="23"/>
      <c r="H23" s="23"/>
      <c r="I23" s="23"/>
      <c r="J23" s="23"/>
      <c r="K23" s="26">
        <v>15.0</v>
      </c>
      <c r="L23" s="23"/>
      <c r="M23" s="23"/>
      <c r="N23" s="23"/>
      <c r="O23" s="26">
        <v>18.0</v>
      </c>
      <c r="P23" s="26"/>
      <c r="Q23" s="26"/>
      <c r="R23" s="26"/>
      <c r="S23" s="26"/>
      <c r="T23" s="23">
        <f>SUMIFS('UK London sales'!D:D, 'UK London sales'!B:B, B23, 'UK London sales'!C:C, C23)</f>
        <v>33</v>
      </c>
      <c r="U23" s="23">
        <f t="shared" ref="U23:U44" si="4">D23-T23</f>
        <v>0</v>
      </c>
      <c r="V23" s="34"/>
      <c r="W23" s="28"/>
      <c r="X23" s="35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</row>
    <row r="24" ht="15.75" customHeight="1">
      <c r="A24" s="30">
        <v>23.0</v>
      </c>
      <c r="B24" s="20" t="s">
        <v>59</v>
      </c>
      <c r="C24" s="23">
        <v>34.0</v>
      </c>
      <c r="D24" s="23">
        <f t="shared" si="3"/>
        <v>34</v>
      </c>
      <c r="E24" s="23"/>
      <c r="F24" s="23"/>
      <c r="G24" s="23"/>
      <c r="H24" s="23"/>
      <c r="I24" s="23"/>
      <c r="J24" s="23"/>
      <c r="K24" s="26">
        <v>16.0</v>
      </c>
      <c r="L24" s="23"/>
      <c r="M24" s="23"/>
      <c r="N24" s="23"/>
      <c r="O24" s="26">
        <v>18.0</v>
      </c>
      <c r="P24" s="26"/>
      <c r="Q24" s="26"/>
      <c r="R24" s="26"/>
      <c r="S24" s="26"/>
      <c r="T24" s="23">
        <f>SUMIFS('UK London sales'!D:D, 'UK London sales'!B:B, B24, 'UK London sales'!C:C, C24)</f>
        <v>34</v>
      </c>
      <c r="U24" s="23">
        <f t="shared" si="4"/>
        <v>0</v>
      </c>
      <c r="V24" s="34"/>
      <c r="W24" s="28"/>
      <c r="X24" s="35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</row>
    <row r="25" ht="15.75" customHeight="1">
      <c r="A25" s="30">
        <v>24.0</v>
      </c>
      <c r="B25" s="20" t="s">
        <v>59</v>
      </c>
      <c r="C25" s="23">
        <v>36.0</v>
      </c>
      <c r="D25" s="23">
        <f t="shared" si="3"/>
        <v>0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>
        <f>SUMIFS('UK London sales'!D:D, 'UK London sales'!B:B, B25, 'UK London sales'!C:C, C25)</f>
        <v>0</v>
      </c>
      <c r="U25" s="23">
        <f t="shared" si="4"/>
        <v>0</v>
      </c>
      <c r="V25" s="34"/>
      <c r="W25" s="28"/>
      <c r="X25" s="35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ht="15.75" customHeight="1">
      <c r="A26" s="43">
        <v>25.0</v>
      </c>
      <c r="B26" s="39" t="s">
        <v>63</v>
      </c>
      <c r="C26" s="42">
        <v>32.0</v>
      </c>
      <c r="D26" s="42">
        <f t="shared" si="3"/>
        <v>37</v>
      </c>
      <c r="E26" s="42"/>
      <c r="F26" s="42"/>
      <c r="G26" s="44">
        <v>12.0</v>
      </c>
      <c r="H26" s="44"/>
      <c r="I26" s="44"/>
      <c r="J26" s="44"/>
      <c r="K26" s="44"/>
      <c r="L26" s="44"/>
      <c r="M26" s="44">
        <v>5.0</v>
      </c>
      <c r="N26" s="44">
        <v>10.0</v>
      </c>
      <c r="O26" s="44"/>
      <c r="P26" s="44"/>
      <c r="Q26" s="44"/>
      <c r="R26" s="44">
        <v>10.0</v>
      </c>
      <c r="S26" s="44"/>
      <c r="T26" s="42">
        <f>SUMIFS('UK London sales'!D:D, 'UK London sales'!B:B, B26, 'UK London sales'!C:C, C26)</f>
        <v>34</v>
      </c>
      <c r="U26" s="42">
        <f t="shared" si="4"/>
        <v>3</v>
      </c>
      <c r="V26" s="34"/>
      <c r="W26" s="28"/>
      <c r="X26" s="29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 ht="15.75" customHeight="1">
      <c r="A27" s="43">
        <v>26.0</v>
      </c>
      <c r="B27" s="39" t="s">
        <v>63</v>
      </c>
      <c r="C27" s="42">
        <v>34.0</v>
      </c>
      <c r="D27" s="42">
        <f t="shared" si="3"/>
        <v>42</v>
      </c>
      <c r="E27" s="42">
        <v>4.0</v>
      </c>
      <c r="F27" s="42"/>
      <c r="G27" s="44">
        <v>10.0</v>
      </c>
      <c r="H27" s="44"/>
      <c r="I27" s="44"/>
      <c r="J27" s="44"/>
      <c r="K27" s="44"/>
      <c r="L27" s="44"/>
      <c r="M27" s="44">
        <v>7.0</v>
      </c>
      <c r="N27" s="44">
        <v>10.0</v>
      </c>
      <c r="O27" s="44"/>
      <c r="P27" s="44"/>
      <c r="Q27" s="44">
        <v>1.0</v>
      </c>
      <c r="R27" s="44">
        <v>10.0</v>
      </c>
      <c r="S27" s="44"/>
      <c r="T27" s="42">
        <f>SUMIFS('UK London sales'!D:D, 'UK London sales'!B:B, B27, 'UK London sales'!C:C, C27)</f>
        <v>42</v>
      </c>
      <c r="U27" s="42">
        <f t="shared" si="4"/>
        <v>0</v>
      </c>
      <c r="V27" s="34"/>
      <c r="W27" s="28"/>
      <c r="X27" s="29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ht="15.75" customHeight="1">
      <c r="A28" s="43">
        <v>27.0</v>
      </c>
      <c r="B28" s="39" t="s">
        <v>63</v>
      </c>
      <c r="C28" s="42">
        <v>36.0</v>
      </c>
      <c r="D28" s="42">
        <f t="shared" si="3"/>
        <v>28</v>
      </c>
      <c r="E28" s="42"/>
      <c r="F28" s="42"/>
      <c r="G28" s="44">
        <v>11.0</v>
      </c>
      <c r="H28" s="44"/>
      <c r="I28" s="44"/>
      <c r="J28" s="44"/>
      <c r="K28" s="44"/>
      <c r="L28" s="44"/>
      <c r="M28" s="44">
        <v>12.0</v>
      </c>
      <c r="N28" s="44"/>
      <c r="O28" s="44"/>
      <c r="P28" s="44"/>
      <c r="Q28" s="44"/>
      <c r="R28" s="44">
        <v>5.0</v>
      </c>
      <c r="S28" s="44"/>
      <c r="T28" s="42">
        <f>SUMIFS('UK London sales'!D:D, 'UK London sales'!B:B, B28, 'UK London sales'!C:C, C28)</f>
        <v>29</v>
      </c>
      <c r="U28" s="42">
        <f t="shared" si="4"/>
        <v>-1</v>
      </c>
      <c r="V28" s="34"/>
      <c r="W28" s="28"/>
      <c r="X28" s="29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 ht="15.75" customHeight="1">
      <c r="A29" s="56">
        <v>28.0</v>
      </c>
      <c r="B29" s="57" t="s">
        <v>51</v>
      </c>
      <c r="C29" s="59">
        <v>32.0</v>
      </c>
      <c r="D29" s="102">
        <f t="shared" si="3"/>
        <v>72</v>
      </c>
      <c r="E29" s="59">
        <v>6.0</v>
      </c>
      <c r="F29" s="58">
        <v>8.0</v>
      </c>
      <c r="G29" s="58">
        <v>16.0</v>
      </c>
      <c r="H29" s="58">
        <v>17.0</v>
      </c>
      <c r="I29" s="58"/>
      <c r="J29" s="58"/>
      <c r="K29" s="58"/>
      <c r="L29" s="58"/>
      <c r="M29" s="58"/>
      <c r="N29" s="61">
        <v>10.0</v>
      </c>
      <c r="O29" s="61"/>
      <c r="P29" s="61"/>
      <c r="Q29" s="61">
        <v>5.0</v>
      </c>
      <c r="R29" s="61"/>
      <c r="S29" s="61">
        <v>10.0</v>
      </c>
      <c r="T29" s="59">
        <f>SUMIFS('UK London sales'!D:D, 'UK London sales'!B:B, B29, 'UK London sales'!C:C, C29)</f>
        <v>72</v>
      </c>
      <c r="U29" s="59">
        <f t="shared" si="4"/>
        <v>0</v>
      </c>
      <c r="V29" s="27">
        <v>7.0</v>
      </c>
      <c r="W29" s="28"/>
      <c r="X29" s="29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ht="15.75" customHeight="1">
      <c r="A30" s="56">
        <v>29.0</v>
      </c>
      <c r="B30" s="57" t="s">
        <v>51</v>
      </c>
      <c r="C30" s="59">
        <v>34.0</v>
      </c>
      <c r="D30" s="102">
        <f t="shared" si="3"/>
        <v>90</v>
      </c>
      <c r="E30" s="59">
        <v>12.0</v>
      </c>
      <c r="F30" s="58">
        <v>15.0</v>
      </c>
      <c r="G30" s="58">
        <v>12.0</v>
      </c>
      <c r="H30" s="58">
        <v>18.0</v>
      </c>
      <c r="I30" s="58"/>
      <c r="J30" s="58"/>
      <c r="K30" s="58"/>
      <c r="L30" s="58"/>
      <c r="M30" s="58"/>
      <c r="N30" s="61">
        <v>10.0</v>
      </c>
      <c r="O30" s="61"/>
      <c r="P30" s="61"/>
      <c r="Q30" s="61">
        <v>13.0</v>
      </c>
      <c r="R30" s="61"/>
      <c r="S30" s="61">
        <v>10.0</v>
      </c>
      <c r="T30" s="59">
        <f>SUMIFS('UK London sales'!D:D, 'UK London sales'!B:B, B30, 'UK London sales'!C:C, C30)</f>
        <v>90</v>
      </c>
      <c r="U30" s="59">
        <f t="shared" si="4"/>
        <v>0</v>
      </c>
      <c r="V30" s="50">
        <v>3.0</v>
      </c>
      <c r="W30" s="28"/>
      <c r="X30" s="55"/>
      <c r="Y30" s="11"/>
      <c r="Z30" s="41"/>
      <c r="AA30" s="4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</row>
    <row r="31" ht="15.75" customHeight="1">
      <c r="A31" s="56">
        <v>30.0</v>
      </c>
      <c r="B31" s="57" t="s">
        <v>51</v>
      </c>
      <c r="C31" s="59">
        <v>36.0</v>
      </c>
      <c r="D31" s="102">
        <f t="shared" si="3"/>
        <v>47</v>
      </c>
      <c r="E31" s="59">
        <v>8.0</v>
      </c>
      <c r="F31" s="58">
        <v>9.0</v>
      </c>
      <c r="G31" s="58"/>
      <c r="H31" s="58"/>
      <c r="I31" s="58"/>
      <c r="J31" s="58"/>
      <c r="K31" s="58"/>
      <c r="L31" s="58"/>
      <c r="M31" s="61">
        <v>6.0</v>
      </c>
      <c r="N31" s="61">
        <v>10.0</v>
      </c>
      <c r="O31" s="61"/>
      <c r="P31" s="61"/>
      <c r="Q31" s="61">
        <v>4.0</v>
      </c>
      <c r="R31" s="61"/>
      <c r="S31" s="61">
        <v>10.0</v>
      </c>
      <c r="T31" s="59">
        <f>SUMIFS('UK London sales'!D:D, 'UK London sales'!B:B, B31, 'UK London sales'!C:C, C31)</f>
        <v>47</v>
      </c>
      <c r="U31" s="59">
        <f t="shared" si="4"/>
        <v>0</v>
      </c>
      <c r="V31" s="34"/>
      <c r="W31" s="28"/>
      <c r="X31" s="29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ht="15.75" customHeight="1">
      <c r="A32" s="64">
        <v>37.0</v>
      </c>
      <c r="B32" s="65" t="s">
        <v>94</v>
      </c>
      <c r="C32" s="66">
        <v>30.0</v>
      </c>
      <c r="D32" s="67">
        <f t="shared" si="3"/>
        <v>14</v>
      </c>
      <c r="E32" s="68"/>
      <c r="F32" s="68"/>
      <c r="G32" s="68"/>
      <c r="H32" s="68"/>
      <c r="I32" s="68"/>
      <c r="J32" s="66">
        <v>6.0</v>
      </c>
      <c r="K32" s="66">
        <v>5.0</v>
      </c>
      <c r="L32" s="66"/>
      <c r="M32" s="66"/>
      <c r="N32" s="66"/>
      <c r="O32" s="66"/>
      <c r="P32" s="66"/>
      <c r="Q32" s="66">
        <v>1.0</v>
      </c>
      <c r="R32" s="66"/>
      <c r="S32" s="66">
        <v>2.0</v>
      </c>
      <c r="T32" s="68">
        <f>SUMIFS('UK London sales'!D:D, 'UK London sales'!B:B, B32, 'UK London sales'!C:C, C32)</f>
        <v>12</v>
      </c>
      <c r="U32" s="68">
        <f t="shared" si="4"/>
        <v>2</v>
      </c>
      <c r="V32" s="34"/>
      <c r="W32" s="28"/>
      <c r="X32" s="29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</row>
    <row r="33" ht="15.75" customHeight="1">
      <c r="A33" s="64">
        <v>38.0</v>
      </c>
      <c r="B33" s="65" t="s">
        <v>94</v>
      </c>
      <c r="C33" s="66">
        <v>32.0</v>
      </c>
      <c r="D33" s="67">
        <f t="shared" si="3"/>
        <v>63</v>
      </c>
      <c r="E33" s="68"/>
      <c r="F33" s="68"/>
      <c r="G33" s="68"/>
      <c r="H33" s="68"/>
      <c r="I33" s="68"/>
      <c r="J33" s="66">
        <v>10.0</v>
      </c>
      <c r="K33" s="66">
        <v>10.0</v>
      </c>
      <c r="L33" s="66">
        <v>12.0</v>
      </c>
      <c r="M33" s="66"/>
      <c r="N33" s="66">
        <v>11.0</v>
      </c>
      <c r="O33" s="66"/>
      <c r="P33" s="66">
        <v>12.0</v>
      </c>
      <c r="Q33" s="66"/>
      <c r="R33" s="66"/>
      <c r="S33" s="66">
        <v>8.0</v>
      </c>
      <c r="T33" s="68">
        <f>SUMIFS('UK London sales'!D:D, 'UK London sales'!B:B, B33, 'UK London sales'!C:C, C33)</f>
        <v>63</v>
      </c>
      <c r="U33" s="68">
        <f t="shared" si="4"/>
        <v>0</v>
      </c>
      <c r="V33" s="34"/>
      <c r="W33" s="28"/>
      <c r="X33" s="29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ht="15.75" customHeight="1">
      <c r="A34" s="64">
        <v>39.0</v>
      </c>
      <c r="B34" s="65" t="s">
        <v>94</v>
      </c>
      <c r="C34" s="66">
        <v>34.0</v>
      </c>
      <c r="D34" s="67">
        <f t="shared" si="3"/>
        <v>85</v>
      </c>
      <c r="E34" s="68"/>
      <c r="F34" s="68"/>
      <c r="G34" s="68"/>
      <c r="H34" s="68"/>
      <c r="I34" s="68"/>
      <c r="J34" s="66">
        <v>10.0</v>
      </c>
      <c r="K34" s="66">
        <v>10.0</v>
      </c>
      <c r="L34" s="66">
        <v>14.0</v>
      </c>
      <c r="M34" s="66"/>
      <c r="N34" s="66">
        <v>37.0</v>
      </c>
      <c r="O34" s="66"/>
      <c r="P34" s="66">
        <v>5.0</v>
      </c>
      <c r="Q34" s="66">
        <v>2.0</v>
      </c>
      <c r="R34" s="66"/>
      <c r="S34" s="66">
        <v>7.0</v>
      </c>
      <c r="T34" s="68">
        <f>SUMIFS('UK London sales'!D:D, 'UK London sales'!B:B, B34, 'UK London sales'!C:C, C34)</f>
        <v>84</v>
      </c>
      <c r="U34" s="68">
        <f t="shared" si="4"/>
        <v>1</v>
      </c>
      <c r="V34" s="34"/>
      <c r="W34" s="28"/>
      <c r="X34" s="29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</row>
    <row r="35" ht="15.75" customHeight="1">
      <c r="A35" s="64">
        <v>40.0</v>
      </c>
      <c r="B35" s="65" t="s">
        <v>94</v>
      </c>
      <c r="C35" s="66">
        <v>36.0</v>
      </c>
      <c r="D35" s="67">
        <f t="shared" si="3"/>
        <v>28</v>
      </c>
      <c r="E35" s="68"/>
      <c r="F35" s="68"/>
      <c r="G35" s="68"/>
      <c r="H35" s="68"/>
      <c r="I35" s="68"/>
      <c r="J35" s="66">
        <v>10.0</v>
      </c>
      <c r="K35" s="66">
        <v>5.0</v>
      </c>
      <c r="L35" s="66">
        <v>5.0</v>
      </c>
      <c r="M35" s="66"/>
      <c r="N35" s="66"/>
      <c r="O35" s="66"/>
      <c r="P35" s="66"/>
      <c r="Q35" s="66"/>
      <c r="R35" s="66"/>
      <c r="S35" s="66">
        <v>8.0</v>
      </c>
      <c r="T35" s="68">
        <f>SUMIFS('UK London sales'!D:D, 'UK London sales'!B:B, B35, 'UK London sales'!C:C, C35)</f>
        <v>28</v>
      </c>
      <c r="U35" s="68">
        <f t="shared" si="4"/>
        <v>0</v>
      </c>
      <c r="V35" s="34"/>
      <c r="W35" s="28"/>
      <c r="X35" s="29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ht="15.75" customHeight="1">
      <c r="A36" s="64">
        <v>41.0</v>
      </c>
      <c r="B36" s="65" t="s">
        <v>94</v>
      </c>
      <c r="C36" s="66">
        <v>38.0</v>
      </c>
      <c r="D36" s="67">
        <f t="shared" si="3"/>
        <v>2</v>
      </c>
      <c r="E36" s="68"/>
      <c r="F36" s="68"/>
      <c r="G36" s="68"/>
      <c r="H36" s="68"/>
      <c r="I36" s="68"/>
      <c r="J36" s="66"/>
      <c r="K36" s="66"/>
      <c r="L36" s="66"/>
      <c r="M36" s="66"/>
      <c r="N36" s="66"/>
      <c r="O36" s="66"/>
      <c r="P36" s="66"/>
      <c r="Q36" s="66"/>
      <c r="R36" s="66"/>
      <c r="S36" s="66">
        <v>2.0</v>
      </c>
      <c r="T36" s="68">
        <f>SUMIFS('UK London sales'!D:D, 'UK London sales'!B:B, B36, 'UK London sales'!C:C, C36)</f>
        <v>2</v>
      </c>
      <c r="U36" s="68">
        <f t="shared" si="4"/>
        <v>0</v>
      </c>
      <c r="V36" s="34"/>
      <c r="W36" s="28"/>
      <c r="X36" s="35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</row>
    <row r="37" ht="15.75" customHeight="1">
      <c r="A37" s="76">
        <v>31.0</v>
      </c>
      <c r="B37" s="108" t="s">
        <v>71</v>
      </c>
      <c r="C37" s="80">
        <v>32.0</v>
      </c>
      <c r="D37" s="109">
        <f t="shared" si="3"/>
        <v>48</v>
      </c>
      <c r="E37" s="109">
        <v>11.0</v>
      </c>
      <c r="F37" s="109"/>
      <c r="G37" s="109"/>
      <c r="H37" s="109"/>
      <c r="I37" s="80">
        <v>12.0</v>
      </c>
      <c r="J37" s="80">
        <v>11.0</v>
      </c>
      <c r="K37" s="80"/>
      <c r="L37" s="80"/>
      <c r="M37" s="80">
        <v>2.0</v>
      </c>
      <c r="N37" s="80">
        <v>12.0</v>
      </c>
      <c r="O37" s="80"/>
      <c r="P37" s="80"/>
      <c r="Q37" s="80"/>
      <c r="R37" s="80"/>
      <c r="S37" s="80"/>
      <c r="T37" s="78">
        <f>SUMIFS('UK London sales'!D:D, 'UK London sales'!B:B, B37, 'UK London sales'!C:C, C37)</f>
        <v>48</v>
      </c>
      <c r="U37" s="78">
        <f t="shared" si="4"/>
        <v>0</v>
      </c>
      <c r="V37" s="34"/>
      <c r="W37" s="28"/>
      <c r="X37" s="35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ht="15.75" customHeight="1">
      <c r="A38" s="76">
        <v>32.0</v>
      </c>
      <c r="B38" s="108" t="s">
        <v>71</v>
      </c>
      <c r="C38" s="109">
        <v>34.0</v>
      </c>
      <c r="D38" s="109">
        <f t="shared" si="3"/>
        <v>47</v>
      </c>
      <c r="E38" s="109">
        <v>14.0</v>
      </c>
      <c r="F38" s="109"/>
      <c r="G38" s="109"/>
      <c r="H38" s="109"/>
      <c r="I38" s="80">
        <v>12.0</v>
      </c>
      <c r="J38" s="80">
        <v>12.0</v>
      </c>
      <c r="K38" s="80"/>
      <c r="L38" s="80"/>
      <c r="M38" s="80"/>
      <c r="N38" s="80"/>
      <c r="O38" s="80"/>
      <c r="P38" s="80"/>
      <c r="Q38" s="80">
        <v>9.0</v>
      </c>
      <c r="R38" s="80"/>
      <c r="S38" s="80"/>
      <c r="T38" s="78">
        <f>SUMIFS('UK London sales'!D:D, 'UK London sales'!B:B, B38, 'UK London sales'!C:C, C38)</f>
        <v>47</v>
      </c>
      <c r="U38" s="78">
        <f t="shared" si="4"/>
        <v>0</v>
      </c>
      <c r="V38" s="34"/>
      <c r="W38" s="28"/>
      <c r="X38" s="35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</row>
    <row r="39" ht="15.75" customHeight="1">
      <c r="A39" s="76">
        <v>33.0</v>
      </c>
      <c r="B39" s="108" t="s">
        <v>71</v>
      </c>
      <c r="C39" s="109">
        <v>36.0</v>
      </c>
      <c r="D39" s="109">
        <f t="shared" si="3"/>
        <v>42</v>
      </c>
      <c r="E39" s="109">
        <v>7.0</v>
      </c>
      <c r="F39" s="109"/>
      <c r="G39" s="109"/>
      <c r="H39" s="109"/>
      <c r="I39" s="80">
        <v>12.0</v>
      </c>
      <c r="J39" s="80">
        <v>12.0</v>
      </c>
      <c r="K39" s="80"/>
      <c r="L39" s="80"/>
      <c r="M39" s="80"/>
      <c r="N39" s="80">
        <v>3.0</v>
      </c>
      <c r="O39" s="80"/>
      <c r="P39" s="80"/>
      <c r="Q39" s="80">
        <v>8.0</v>
      </c>
      <c r="R39" s="80"/>
      <c r="S39" s="80"/>
      <c r="T39" s="78">
        <f>SUMIFS('UK London sales'!D:D, 'UK London sales'!B:B, B39, 'UK London sales'!C:C, C39)</f>
        <v>42</v>
      </c>
      <c r="U39" s="78">
        <f t="shared" si="4"/>
        <v>0</v>
      </c>
      <c r="V39" s="34"/>
      <c r="W39" s="28"/>
      <c r="X39" s="35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ht="15.75" customHeight="1">
      <c r="A40" s="110">
        <v>34.0</v>
      </c>
      <c r="B40" s="111" t="s">
        <v>107</v>
      </c>
      <c r="C40" s="112">
        <v>32.0</v>
      </c>
      <c r="D40" s="113">
        <f t="shared" si="3"/>
        <v>11</v>
      </c>
      <c r="E40" s="114"/>
      <c r="F40" s="114"/>
      <c r="G40" s="114"/>
      <c r="H40" s="114"/>
      <c r="I40" s="112"/>
      <c r="J40" s="112"/>
      <c r="K40" s="112"/>
      <c r="L40" s="112"/>
      <c r="M40" s="112"/>
      <c r="N40" s="112"/>
      <c r="O40" s="112"/>
      <c r="P40" s="112"/>
      <c r="Q40" s="112"/>
      <c r="R40" s="112">
        <v>11.0</v>
      </c>
      <c r="S40" s="112"/>
      <c r="T40" s="115">
        <f>SUMIFS('UK London sales'!D:D, 'UK London sales'!B:B, B40, 'UK London sales'!C:C, C40)</f>
        <v>3</v>
      </c>
      <c r="U40" s="115">
        <f t="shared" si="4"/>
        <v>8</v>
      </c>
      <c r="V40" s="34"/>
      <c r="W40" s="28"/>
      <c r="X40" s="29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</row>
    <row r="41" ht="15.75" customHeight="1">
      <c r="A41" s="110">
        <v>35.0</v>
      </c>
      <c r="B41" s="111" t="s">
        <v>107</v>
      </c>
      <c r="C41" s="112">
        <v>34.0</v>
      </c>
      <c r="D41" s="113">
        <f t="shared" si="3"/>
        <v>10</v>
      </c>
      <c r="E41" s="114"/>
      <c r="F41" s="114"/>
      <c r="G41" s="114"/>
      <c r="H41" s="114"/>
      <c r="I41" s="112"/>
      <c r="J41" s="112"/>
      <c r="K41" s="112"/>
      <c r="L41" s="112"/>
      <c r="M41" s="112"/>
      <c r="N41" s="112"/>
      <c r="O41" s="112"/>
      <c r="P41" s="112"/>
      <c r="Q41" s="112"/>
      <c r="R41" s="112">
        <v>10.0</v>
      </c>
      <c r="S41" s="112"/>
      <c r="T41" s="115">
        <f>SUMIFS('UK London sales'!D:D, 'UK London sales'!B:B, B41, 'UK London sales'!C:C, C41)</f>
        <v>5</v>
      </c>
      <c r="U41" s="115">
        <f t="shared" si="4"/>
        <v>5</v>
      </c>
      <c r="V41" s="34"/>
      <c r="W41" s="28"/>
      <c r="X41" s="29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 ht="15.75" customHeight="1">
      <c r="A42" s="110">
        <v>36.0</v>
      </c>
      <c r="B42" s="111" t="s">
        <v>107</v>
      </c>
      <c r="C42" s="112">
        <v>36.0</v>
      </c>
      <c r="D42" s="113">
        <f t="shared" si="3"/>
        <v>9</v>
      </c>
      <c r="E42" s="114"/>
      <c r="F42" s="114"/>
      <c r="G42" s="114"/>
      <c r="H42" s="114"/>
      <c r="I42" s="112"/>
      <c r="J42" s="112"/>
      <c r="K42" s="112"/>
      <c r="L42" s="112"/>
      <c r="M42" s="112"/>
      <c r="N42" s="112"/>
      <c r="O42" s="112"/>
      <c r="P42" s="112"/>
      <c r="Q42" s="112"/>
      <c r="R42" s="112">
        <v>9.0</v>
      </c>
      <c r="S42" s="112"/>
      <c r="T42" s="115">
        <f>SUMIFS('UK London sales'!D:D, 'UK London sales'!B:B, B42, 'UK London sales'!C:C, C42)</f>
        <v>8</v>
      </c>
      <c r="U42" s="115">
        <f t="shared" si="4"/>
        <v>1</v>
      </c>
      <c r="V42" s="34"/>
      <c r="W42" s="28"/>
      <c r="X42" s="29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</row>
    <row r="43" ht="15.75" customHeight="1">
      <c r="A43" s="116">
        <v>20.0</v>
      </c>
      <c r="B43" s="117" t="s">
        <v>115</v>
      </c>
      <c r="C43" s="118">
        <v>32.0</v>
      </c>
      <c r="D43" s="54">
        <f t="shared" si="3"/>
        <v>6</v>
      </c>
      <c r="E43" s="54"/>
      <c r="F43" s="54"/>
      <c r="G43" s="54"/>
      <c r="H43" s="54"/>
      <c r="I43" s="54"/>
      <c r="J43" s="54"/>
      <c r="K43" s="118"/>
      <c r="L43" s="54"/>
      <c r="M43" s="54"/>
      <c r="N43" s="54"/>
      <c r="O43" s="118"/>
      <c r="P43" s="118"/>
      <c r="Q43" s="118"/>
      <c r="R43" s="118"/>
      <c r="S43" s="118">
        <v>6.0</v>
      </c>
      <c r="T43" s="54">
        <f>SUMIFS('UK London sales'!D:D, 'UK London sales'!B:B, B43, 'UK London sales'!C:C, C43)</f>
        <v>5</v>
      </c>
      <c r="U43" s="54">
        <f t="shared" si="4"/>
        <v>1</v>
      </c>
      <c r="V43" s="27">
        <v>5.0</v>
      </c>
      <c r="W43" s="63"/>
      <c r="X43" s="29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ht="15.75" customHeight="1">
      <c r="A44" s="116">
        <v>21.0</v>
      </c>
      <c r="B44" s="117" t="s">
        <v>115</v>
      </c>
      <c r="C44" s="118">
        <v>34.0</v>
      </c>
      <c r="D44" s="54">
        <f t="shared" si="3"/>
        <v>26</v>
      </c>
      <c r="E44" s="54"/>
      <c r="F44" s="54"/>
      <c r="G44" s="54"/>
      <c r="H44" s="54"/>
      <c r="I44" s="54"/>
      <c r="J44" s="54"/>
      <c r="K44" s="118"/>
      <c r="L44" s="54"/>
      <c r="M44" s="54"/>
      <c r="N44" s="54"/>
      <c r="O44" s="118"/>
      <c r="P44" s="118"/>
      <c r="Q44" s="118"/>
      <c r="R44" s="118"/>
      <c r="S44" s="118">
        <v>26.0</v>
      </c>
      <c r="T44" s="54">
        <f>SUMIFS('UK London sales'!D:D, 'UK London sales'!B:B, B44, 'UK London sales'!C:C, C44)</f>
        <v>26</v>
      </c>
      <c r="U44" s="54">
        <f t="shared" si="4"/>
        <v>0</v>
      </c>
      <c r="V44" s="49">
        <v>7.0</v>
      </c>
      <c r="W44" s="28"/>
      <c r="X44" s="5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</row>
    <row r="45">
      <c r="A45" s="14" t="s">
        <v>122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9"/>
      <c r="V45" s="119"/>
      <c r="W45" s="120"/>
      <c r="X45" s="22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>
      <c r="A46" s="121">
        <v>42.0</v>
      </c>
      <c r="B46" s="122" t="s">
        <v>125</v>
      </c>
      <c r="C46" s="123">
        <v>32.0</v>
      </c>
      <c r="D46" s="124">
        <f t="shared" ref="D46:D54" si="5">(E46+F46+G46+H46+I46+J46+K46+L46+M46+N46+O46+P46+Q46+R46+S46)</f>
        <v>6</v>
      </c>
      <c r="E46" s="124"/>
      <c r="F46" s="124"/>
      <c r="G46" s="124"/>
      <c r="H46" s="124"/>
      <c r="I46" s="124"/>
      <c r="J46" s="123"/>
      <c r="K46" s="123"/>
      <c r="L46" s="123"/>
      <c r="M46" s="123"/>
      <c r="N46" s="123"/>
      <c r="O46" s="123"/>
      <c r="P46" s="123"/>
      <c r="Q46" s="123"/>
      <c r="R46" s="123">
        <v>6.0</v>
      </c>
      <c r="S46" s="123"/>
      <c r="T46" s="124">
        <f>SUMIFS('UK London sales'!D:D, 'UK London sales'!B:B, B46, 'UK London sales'!C:C, C46)</f>
        <v>6</v>
      </c>
      <c r="U46" s="124">
        <f t="shared" ref="U46:U54" si="6">D46-T46</f>
        <v>0</v>
      </c>
      <c r="V46" s="119"/>
      <c r="W46" s="28"/>
      <c r="X46" s="35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</row>
    <row r="47">
      <c r="A47" s="121">
        <v>43.0</v>
      </c>
      <c r="B47" s="122" t="s">
        <v>125</v>
      </c>
      <c r="C47" s="123">
        <v>33.0</v>
      </c>
      <c r="D47" s="124">
        <f t="shared" si="5"/>
        <v>15</v>
      </c>
      <c r="E47" s="124"/>
      <c r="F47" s="124"/>
      <c r="G47" s="124"/>
      <c r="H47" s="124"/>
      <c r="I47" s="124"/>
      <c r="J47" s="123"/>
      <c r="K47" s="123"/>
      <c r="L47" s="123"/>
      <c r="M47" s="123"/>
      <c r="N47" s="123"/>
      <c r="O47" s="123"/>
      <c r="P47" s="123"/>
      <c r="Q47" s="123"/>
      <c r="R47" s="123">
        <v>15.0</v>
      </c>
      <c r="S47" s="123"/>
      <c r="T47" s="124">
        <f>SUMIFS('UK London sales'!D:D, 'UK London sales'!B:B, B47, 'UK London sales'!C:C, C47)</f>
        <v>17</v>
      </c>
      <c r="U47" s="124">
        <f t="shared" si="6"/>
        <v>-2</v>
      </c>
      <c r="V47" s="119"/>
      <c r="W47" s="28"/>
      <c r="X47" s="55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>
      <c r="A48" s="121">
        <v>44.0</v>
      </c>
      <c r="B48" s="122" t="s">
        <v>125</v>
      </c>
      <c r="C48" s="123">
        <v>34.0</v>
      </c>
      <c r="D48" s="124">
        <f t="shared" si="5"/>
        <v>11</v>
      </c>
      <c r="E48" s="124"/>
      <c r="F48" s="124"/>
      <c r="G48" s="124"/>
      <c r="H48" s="124"/>
      <c r="I48" s="124"/>
      <c r="J48" s="123"/>
      <c r="K48" s="123"/>
      <c r="L48" s="123"/>
      <c r="M48" s="123"/>
      <c r="N48" s="123"/>
      <c r="O48" s="123"/>
      <c r="P48" s="123"/>
      <c r="Q48" s="123"/>
      <c r="R48" s="123">
        <v>11.0</v>
      </c>
      <c r="S48" s="123"/>
      <c r="T48" s="124">
        <f>SUMIFS('UK London sales'!D:D, 'UK London sales'!B:B, B48, 'UK London sales'!C:C, C48)</f>
        <v>11</v>
      </c>
      <c r="U48" s="124">
        <f t="shared" si="6"/>
        <v>0</v>
      </c>
      <c r="V48" s="119"/>
      <c r="W48" s="28"/>
      <c r="X48" s="35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</row>
    <row r="49">
      <c r="A49" s="125">
        <v>45.0</v>
      </c>
      <c r="B49" s="126" t="s">
        <v>135</v>
      </c>
      <c r="C49" s="127">
        <v>32.0</v>
      </c>
      <c r="D49" s="128">
        <f t="shared" si="5"/>
        <v>4</v>
      </c>
      <c r="E49" s="128"/>
      <c r="F49" s="128"/>
      <c r="G49" s="128"/>
      <c r="H49" s="128"/>
      <c r="I49" s="128"/>
      <c r="J49" s="127"/>
      <c r="K49" s="127"/>
      <c r="L49" s="127"/>
      <c r="M49" s="127"/>
      <c r="N49" s="127"/>
      <c r="O49" s="127"/>
      <c r="P49" s="127"/>
      <c r="Q49" s="127"/>
      <c r="R49" s="127">
        <v>4.0</v>
      </c>
      <c r="S49" s="127"/>
      <c r="T49" s="128">
        <f>SUMIFS('UK London sales'!D:D, 'UK London sales'!B:B, B49, 'UK London sales'!C:C, C49)</f>
        <v>5</v>
      </c>
      <c r="U49" s="128">
        <f t="shared" si="6"/>
        <v>-1</v>
      </c>
      <c r="V49" s="119"/>
      <c r="W49" s="28"/>
      <c r="X49" s="55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 ht="15.75" customHeight="1">
      <c r="A50" s="125">
        <v>46.0</v>
      </c>
      <c r="B50" s="126" t="s">
        <v>135</v>
      </c>
      <c r="C50" s="127">
        <v>34.0</v>
      </c>
      <c r="D50" s="128">
        <f t="shared" si="5"/>
        <v>5</v>
      </c>
      <c r="E50" s="128"/>
      <c r="F50" s="128"/>
      <c r="G50" s="128"/>
      <c r="H50" s="128"/>
      <c r="I50" s="128"/>
      <c r="J50" s="127"/>
      <c r="K50" s="127"/>
      <c r="L50" s="127"/>
      <c r="M50" s="127"/>
      <c r="N50" s="127"/>
      <c r="O50" s="127"/>
      <c r="P50" s="127"/>
      <c r="Q50" s="127"/>
      <c r="R50" s="127">
        <v>5.0</v>
      </c>
      <c r="S50" s="127"/>
      <c r="T50" s="128">
        <f>SUMIFS('UK London sales'!D:D, 'UK London sales'!B:B, B50, 'UK London sales'!C:C, C50)</f>
        <v>5</v>
      </c>
      <c r="U50" s="128">
        <f t="shared" si="6"/>
        <v>0</v>
      </c>
      <c r="V50" s="119"/>
      <c r="W50" s="28"/>
      <c r="X50" s="35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</row>
    <row r="51" ht="17.25" customHeight="1">
      <c r="A51" s="129">
        <v>47.0</v>
      </c>
      <c r="B51" s="130" t="s">
        <v>46</v>
      </c>
      <c r="C51" s="131">
        <v>30.0</v>
      </c>
      <c r="D51" s="75">
        <f t="shared" si="5"/>
        <v>6</v>
      </c>
      <c r="E51" s="131">
        <v>6.0</v>
      </c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>
        <f>SUMIFS('UK London sales'!D:D, 'UK London sales'!B:B, B51, 'UK London sales'!C:C, C51)</f>
        <v>5</v>
      </c>
      <c r="U51" s="131">
        <f t="shared" si="6"/>
        <v>1</v>
      </c>
      <c r="V51" s="119"/>
      <c r="W51" s="28"/>
      <c r="X51" s="29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ht="17.25" customHeight="1">
      <c r="A52" s="129">
        <v>48.0</v>
      </c>
      <c r="B52" s="130" t="s">
        <v>46</v>
      </c>
      <c r="C52" s="131">
        <v>32.0</v>
      </c>
      <c r="D52" s="75">
        <f t="shared" si="5"/>
        <v>10</v>
      </c>
      <c r="E52" s="131">
        <v>10.0</v>
      </c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>
        <f>SUMIFS('UK London sales'!D:D, 'UK London sales'!B:B, B52, 'UK London sales'!C:C, C52)</f>
        <v>10</v>
      </c>
      <c r="U52" s="131">
        <f t="shared" si="6"/>
        <v>0</v>
      </c>
      <c r="V52" s="119"/>
      <c r="W52" s="28"/>
      <c r="X52" s="35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</row>
    <row r="53" ht="15.75" customHeight="1">
      <c r="A53" s="129">
        <v>49.0</v>
      </c>
      <c r="B53" s="130" t="s">
        <v>46</v>
      </c>
      <c r="C53" s="131">
        <v>34.0</v>
      </c>
      <c r="D53" s="75">
        <f t="shared" si="5"/>
        <v>14</v>
      </c>
      <c r="E53" s="131">
        <v>13.0</v>
      </c>
      <c r="F53" s="131"/>
      <c r="G53" s="131"/>
      <c r="H53" s="131"/>
      <c r="I53" s="131"/>
      <c r="J53" s="131"/>
      <c r="K53" s="131"/>
      <c r="L53" s="131"/>
      <c r="M53" s="132">
        <v>1.0</v>
      </c>
      <c r="N53" s="132"/>
      <c r="O53" s="132"/>
      <c r="P53" s="132"/>
      <c r="Q53" s="132"/>
      <c r="R53" s="132"/>
      <c r="S53" s="132"/>
      <c r="T53" s="131">
        <f>SUMIFS('UK London sales'!D:D, 'UK London sales'!B:B, B53, 'UK London sales'!C:C, C53)</f>
        <v>13</v>
      </c>
      <c r="U53" s="131">
        <f t="shared" si="6"/>
        <v>1</v>
      </c>
      <c r="V53" s="119"/>
      <c r="W53" s="28"/>
      <c r="X53" s="29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ht="15.75" customHeight="1">
      <c r="A54" s="129">
        <v>50.0</v>
      </c>
      <c r="B54" s="130" t="s">
        <v>46</v>
      </c>
      <c r="C54" s="131">
        <v>36.0</v>
      </c>
      <c r="D54" s="75">
        <f t="shared" si="5"/>
        <v>6</v>
      </c>
      <c r="E54" s="131">
        <v>6.0</v>
      </c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>
        <f>SUMIFS('UK London sales'!D:D, 'UK London sales'!B:B, B54, 'UK London sales'!C:C, C54)</f>
        <v>5</v>
      </c>
      <c r="U54" s="131">
        <f t="shared" si="6"/>
        <v>1</v>
      </c>
      <c r="V54" s="119"/>
      <c r="W54" s="28"/>
      <c r="X54" s="29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</row>
    <row r="55" ht="15.75" customHeight="1">
      <c r="A55" s="133" t="s">
        <v>137</v>
      </c>
      <c r="B55" s="134"/>
      <c r="C55" s="135"/>
      <c r="D55" s="135">
        <f>SUM(D3:D54)</f>
        <v>1710</v>
      </c>
      <c r="E55" s="135">
        <f t="shared" ref="E55:G55" si="7">SUM(E4:E54)</f>
        <v>244</v>
      </c>
      <c r="F55" s="135">
        <f t="shared" si="7"/>
        <v>95</v>
      </c>
      <c r="G55" s="135">
        <f t="shared" si="7"/>
        <v>124</v>
      </c>
      <c r="H55" s="135">
        <f t="shared" ref="H55:I55" si="8">SUM(H3:H54)</f>
        <v>95</v>
      </c>
      <c r="I55" s="135">
        <f t="shared" si="8"/>
        <v>132</v>
      </c>
      <c r="J55" s="135">
        <f t="shared" ref="J55:Q55" si="9">SUM(J3:J50)</f>
        <v>133</v>
      </c>
      <c r="K55" s="135">
        <f t="shared" si="9"/>
        <v>125</v>
      </c>
      <c r="L55" s="135">
        <f t="shared" si="9"/>
        <v>63</v>
      </c>
      <c r="M55" s="135">
        <f t="shared" si="9"/>
        <v>49</v>
      </c>
      <c r="N55" s="135">
        <f t="shared" si="9"/>
        <v>158</v>
      </c>
      <c r="O55" s="135">
        <f t="shared" si="9"/>
        <v>72</v>
      </c>
      <c r="P55" s="135">
        <f t="shared" si="9"/>
        <v>59</v>
      </c>
      <c r="Q55" s="135">
        <f t="shared" si="9"/>
        <v>115</v>
      </c>
      <c r="R55" s="135">
        <f t="shared" ref="R55:S55" si="10">SUM(R3:R54)</f>
        <v>126</v>
      </c>
      <c r="S55" s="135">
        <f t="shared" si="10"/>
        <v>119</v>
      </c>
      <c r="T55" s="135">
        <f>SUM(T4:T50)</f>
        <v>1672</v>
      </c>
      <c r="U55" s="135">
        <f>SUM(U3:U54)</f>
        <v>1</v>
      </c>
      <c r="V55" s="136"/>
      <c r="W55" s="22"/>
      <c r="X55" s="22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  <row r="56" ht="15.75" customHeight="1">
      <c r="A56" s="11"/>
      <c r="B56" s="90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137"/>
      <c r="V56" s="90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</row>
    <row r="57" ht="15.75" customHeight="1">
      <c r="A57" s="11"/>
      <c r="B57" s="90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137"/>
      <c r="S57" s="91"/>
      <c r="T57" s="137"/>
      <c r="U57" s="91"/>
      <c r="V57" s="90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</row>
    <row r="58" ht="15.75" customHeight="1">
      <c r="A58" s="11"/>
      <c r="B58" s="90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137"/>
      <c r="U58" s="91"/>
      <c r="V58" s="90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</row>
    <row r="59" ht="15.75" customHeight="1">
      <c r="A59" s="11"/>
      <c r="B59" s="90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0"/>
      <c r="W59" s="11"/>
      <c r="X59" s="11"/>
      <c r="Y59" s="11"/>
      <c r="Z59" s="41"/>
      <c r="AA59" s="4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</row>
    <row r="60" ht="15.75" customHeight="1">
      <c r="A60" s="11"/>
      <c r="B60" s="90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0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</row>
    <row r="61" ht="15.75" customHeight="1">
      <c r="A61" s="11"/>
      <c r="B61" s="90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138"/>
      <c r="U61" s="91"/>
      <c r="V61" s="90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</row>
    <row r="62" ht="15.75" customHeight="1">
      <c r="A62" s="11"/>
      <c r="B62" s="90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0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</row>
    <row r="63" ht="15.75" customHeight="1">
      <c r="A63" s="11"/>
      <c r="B63" s="90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0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</row>
    <row r="64" ht="15.75" customHeight="1">
      <c r="A64" s="11"/>
      <c r="B64" s="90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0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</row>
    <row r="65" ht="15.75" customHeight="1">
      <c r="A65" s="11"/>
      <c r="B65" s="90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0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</row>
    <row r="66" ht="15.75" customHeight="1">
      <c r="A66" s="11"/>
      <c r="B66" s="90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0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</row>
    <row r="67" ht="15.75" customHeight="1">
      <c r="A67" s="11"/>
      <c r="B67" s="90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0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</row>
    <row r="68" ht="15.75" customHeight="1">
      <c r="A68" s="11"/>
      <c r="B68" s="90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0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</row>
    <row r="69" ht="15.75" customHeight="1">
      <c r="A69" s="11"/>
      <c r="B69" s="90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0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</row>
    <row r="70" ht="15.75" customHeight="1">
      <c r="A70" s="11"/>
      <c r="B70" s="90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0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</row>
    <row r="71" ht="15.75" customHeight="1">
      <c r="A71" s="11"/>
      <c r="B71" s="90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0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</row>
    <row r="72" ht="15.75" customHeight="1">
      <c r="A72" s="11"/>
      <c r="B72" s="90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0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</row>
    <row r="73" ht="15.75" customHeight="1">
      <c r="A73" s="11"/>
      <c r="B73" s="90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0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</row>
    <row r="74" ht="15.75" customHeight="1">
      <c r="A74" s="11"/>
      <c r="B74" s="90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0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</row>
    <row r="75" ht="15.75" customHeight="1">
      <c r="A75" s="11"/>
      <c r="B75" s="90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0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</row>
    <row r="76" ht="15.75" customHeight="1">
      <c r="A76" s="11"/>
      <c r="B76" s="90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0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</row>
    <row r="77" ht="15.75" customHeight="1">
      <c r="A77" s="11"/>
      <c r="B77" s="90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0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</row>
    <row r="78" ht="15.75" customHeight="1">
      <c r="A78" s="11"/>
      <c r="B78" s="90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0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</row>
    <row r="79" ht="15.75" customHeight="1">
      <c r="A79" s="11"/>
      <c r="B79" s="90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0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</row>
    <row r="80" ht="15.75" customHeight="1">
      <c r="A80" s="11"/>
      <c r="B80" s="90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0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</row>
    <row r="81" ht="15.75" customHeight="1">
      <c r="A81" s="11"/>
      <c r="B81" s="90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0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</row>
    <row r="82" ht="15.75" customHeight="1">
      <c r="A82" s="11"/>
      <c r="B82" s="90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0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</row>
    <row r="83" ht="15.75" customHeight="1">
      <c r="A83" s="11"/>
      <c r="B83" s="90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0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</row>
    <row r="84" ht="15.75" customHeight="1">
      <c r="A84" s="11"/>
      <c r="B84" s="90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0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</row>
    <row r="85" ht="15.75" customHeight="1">
      <c r="A85" s="11"/>
      <c r="B85" s="90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0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</row>
    <row r="86" ht="15.75" customHeight="1">
      <c r="A86" s="11"/>
      <c r="B86" s="90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0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 ht="15.75" customHeight="1">
      <c r="A87" s="11"/>
      <c r="B87" s="90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0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 ht="15.75" customHeight="1">
      <c r="A88" s="11"/>
      <c r="B88" s="90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0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</row>
    <row r="89" ht="15.75" customHeight="1">
      <c r="A89" s="11"/>
      <c r="B89" s="90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0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ht="15.75" customHeight="1">
      <c r="A90" s="11"/>
      <c r="B90" s="90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0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</row>
    <row r="91" ht="15.75" customHeight="1">
      <c r="A91" s="11"/>
      <c r="B91" s="90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0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ht="15.75" customHeight="1">
      <c r="A92" s="11"/>
      <c r="B92" s="90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0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</row>
    <row r="93" ht="15.75" customHeight="1">
      <c r="A93" s="11"/>
      <c r="B93" s="90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0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</row>
    <row r="94" ht="15.75" customHeight="1">
      <c r="A94" s="11"/>
      <c r="B94" s="90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0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ht="15.75" customHeight="1">
      <c r="A95" s="11"/>
      <c r="B95" s="90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0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</row>
    <row r="96" ht="15.75" customHeight="1">
      <c r="A96" s="11"/>
      <c r="B96" s="90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0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ht="15.75" customHeight="1">
      <c r="A97" s="11"/>
      <c r="B97" s="90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0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</row>
    <row r="98" ht="15.75" customHeight="1">
      <c r="A98" s="11"/>
      <c r="B98" s="90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0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 ht="15.75" customHeight="1">
      <c r="A99" s="11"/>
      <c r="B99" s="90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0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ht="15.75" customHeight="1">
      <c r="A100" s="11"/>
      <c r="B100" s="90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0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</row>
    <row r="101" ht="15.75" customHeight="1">
      <c r="A101" s="11"/>
      <c r="B101" s="90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0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ht="15.75" customHeight="1">
      <c r="A102" s="11"/>
      <c r="B102" s="90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0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</row>
    <row r="103" ht="15.75" customHeight="1">
      <c r="A103" s="11"/>
      <c r="B103" s="90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0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</row>
    <row r="104" ht="15.75" customHeight="1">
      <c r="A104" s="11"/>
      <c r="B104" s="90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0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</row>
    <row r="105" ht="15.75" customHeight="1">
      <c r="A105" s="11"/>
      <c r="B105" s="90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0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</row>
    <row r="106" ht="15.75" customHeight="1">
      <c r="A106" s="11"/>
      <c r="B106" s="90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0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</row>
    <row r="107" ht="15.75" customHeight="1">
      <c r="A107" s="11"/>
      <c r="B107" s="90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0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</row>
    <row r="108" ht="15.75" customHeight="1">
      <c r="A108" s="11"/>
      <c r="B108" s="90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0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</row>
    <row r="109" ht="15.75" customHeight="1">
      <c r="A109" s="11"/>
      <c r="B109" s="90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0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</row>
    <row r="110" ht="15.75" customHeight="1">
      <c r="A110" s="11"/>
      <c r="B110" s="90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0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</row>
    <row r="111" ht="15.75" customHeight="1">
      <c r="A111" s="11"/>
      <c r="B111" s="90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0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</row>
    <row r="112" ht="15.75" customHeight="1">
      <c r="A112" s="11"/>
      <c r="B112" s="90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0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</row>
    <row r="113" ht="15.75" customHeight="1">
      <c r="A113" s="11"/>
      <c r="B113" s="90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0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</row>
    <row r="114" ht="15.75" customHeight="1">
      <c r="A114" s="11"/>
      <c r="B114" s="90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0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</row>
    <row r="115" ht="15.75" customHeight="1">
      <c r="A115" s="11"/>
      <c r="B115" s="90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0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</row>
    <row r="116" ht="15.75" customHeight="1">
      <c r="A116" s="11"/>
      <c r="B116" s="90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0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</row>
    <row r="117" ht="15.75" customHeight="1">
      <c r="A117" s="11"/>
      <c r="B117" s="90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0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</row>
    <row r="118" ht="15.75" customHeight="1">
      <c r="A118" s="11"/>
      <c r="B118" s="90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0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</row>
    <row r="119" ht="15.75" customHeight="1">
      <c r="A119" s="11"/>
      <c r="B119" s="90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0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</row>
    <row r="120" ht="15.75" customHeight="1">
      <c r="A120" s="11"/>
      <c r="B120" s="90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0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</row>
    <row r="121" ht="15.75" customHeight="1">
      <c r="A121" s="11"/>
      <c r="B121" s="90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0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</row>
    <row r="122" ht="15.75" customHeight="1">
      <c r="A122" s="11"/>
      <c r="B122" s="90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0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</row>
    <row r="123" ht="15.75" customHeight="1">
      <c r="A123" s="11"/>
      <c r="B123" s="90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0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</row>
    <row r="124" ht="15.75" customHeight="1">
      <c r="A124" s="11"/>
      <c r="B124" s="90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0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</row>
    <row r="125" ht="15.75" customHeight="1">
      <c r="A125" s="11"/>
      <c r="B125" s="90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0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</row>
    <row r="126" ht="15.75" customHeight="1">
      <c r="A126" s="11"/>
      <c r="B126" s="90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0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</row>
    <row r="127" ht="15.75" customHeight="1">
      <c r="A127" s="11"/>
      <c r="B127" s="90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0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</row>
    <row r="128" ht="15.75" customHeight="1">
      <c r="A128" s="11"/>
      <c r="B128" s="90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0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</row>
    <row r="129" ht="15.75" customHeight="1">
      <c r="A129" s="11"/>
      <c r="B129" s="90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0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</row>
    <row r="130" ht="15.75" customHeight="1">
      <c r="A130" s="11"/>
      <c r="B130" s="90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0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</row>
    <row r="131" ht="15.75" customHeight="1">
      <c r="A131" s="11"/>
      <c r="B131" s="90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0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</row>
    <row r="132" ht="15.75" customHeight="1">
      <c r="A132" s="11"/>
      <c r="B132" s="90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0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</row>
    <row r="133" ht="15.75" customHeight="1">
      <c r="A133" s="11"/>
      <c r="B133" s="90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0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</row>
    <row r="134" ht="15.75" customHeight="1">
      <c r="A134" s="11"/>
      <c r="B134" s="90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0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</row>
    <row r="135" ht="15.75" customHeight="1">
      <c r="A135" s="11"/>
      <c r="B135" s="90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0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</row>
    <row r="136" ht="15.75" customHeight="1">
      <c r="A136" s="11"/>
      <c r="B136" s="90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0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</row>
    <row r="137" ht="15.75" customHeight="1">
      <c r="A137" s="11"/>
      <c r="B137" s="90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0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</row>
    <row r="138" ht="15.75" customHeight="1">
      <c r="A138" s="11"/>
      <c r="B138" s="90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0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</row>
    <row r="139" ht="15.75" customHeight="1">
      <c r="A139" s="11"/>
      <c r="B139" s="90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0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</row>
    <row r="140" ht="15.75" customHeight="1">
      <c r="A140" s="11"/>
      <c r="B140" s="90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0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</row>
    <row r="141" ht="15.75" customHeight="1">
      <c r="A141" s="11"/>
      <c r="B141" s="90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0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</row>
    <row r="142" ht="15.75" customHeight="1">
      <c r="A142" s="11"/>
      <c r="B142" s="90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0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</row>
    <row r="143" ht="15.75" customHeight="1">
      <c r="A143" s="11"/>
      <c r="B143" s="90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0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</row>
    <row r="144" ht="15.75" customHeight="1">
      <c r="A144" s="11"/>
      <c r="B144" s="90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0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</row>
    <row r="145" ht="15.75" customHeight="1">
      <c r="A145" s="11"/>
      <c r="B145" s="90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0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</row>
    <row r="146" ht="15.75" customHeight="1">
      <c r="A146" s="11"/>
      <c r="B146" s="90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0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</row>
    <row r="147" ht="15.75" customHeight="1">
      <c r="A147" s="11"/>
      <c r="B147" s="90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0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</row>
    <row r="148" ht="15.75" customHeight="1">
      <c r="A148" s="11"/>
      <c r="B148" s="90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0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</row>
    <row r="149" ht="15.75" customHeight="1">
      <c r="A149" s="11"/>
      <c r="B149" s="90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0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</row>
    <row r="150" ht="15.75" customHeight="1">
      <c r="A150" s="11"/>
      <c r="B150" s="90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0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</row>
    <row r="151" ht="15.75" customHeight="1">
      <c r="A151" s="11"/>
      <c r="B151" s="90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0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</row>
    <row r="152" ht="15.75" customHeight="1">
      <c r="A152" s="11"/>
      <c r="B152" s="90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0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</row>
    <row r="153" ht="15.75" customHeight="1">
      <c r="A153" s="11"/>
      <c r="B153" s="90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0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</row>
    <row r="154" ht="15.75" customHeight="1">
      <c r="A154" s="11"/>
      <c r="B154" s="90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0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</row>
    <row r="155" ht="15.75" customHeight="1">
      <c r="A155" s="11"/>
      <c r="B155" s="90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0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</row>
    <row r="156" ht="15.75" customHeight="1">
      <c r="A156" s="11"/>
      <c r="B156" s="90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0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</row>
    <row r="157" ht="15.75" customHeight="1">
      <c r="A157" s="11"/>
      <c r="B157" s="90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0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</row>
    <row r="158" ht="15.75" customHeight="1">
      <c r="A158" s="11"/>
      <c r="B158" s="90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0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</row>
    <row r="159" ht="15.75" customHeight="1">
      <c r="A159" s="11"/>
      <c r="B159" s="90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0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</row>
    <row r="160" ht="15.75" customHeight="1">
      <c r="A160" s="11"/>
      <c r="B160" s="90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0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</row>
    <row r="161" ht="15.75" customHeight="1">
      <c r="A161" s="11"/>
      <c r="B161" s="90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0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</row>
    <row r="162" ht="15.75" customHeight="1">
      <c r="A162" s="11"/>
      <c r="B162" s="90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0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</row>
    <row r="163" ht="15.75" customHeight="1">
      <c r="A163" s="11"/>
      <c r="B163" s="90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0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</row>
    <row r="164" ht="15.75" customHeight="1">
      <c r="A164" s="11"/>
      <c r="B164" s="90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0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</row>
    <row r="165" ht="15.75" customHeight="1">
      <c r="A165" s="11"/>
      <c r="B165" s="90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0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</row>
    <row r="166" ht="15.75" customHeight="1">
      <c r="A166" s="11"/>
      <c r="B166" s="90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0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</row>
    <row r="167" ht="15.75" customHeight="1">
      <c r="A167" s="11"/>
      <c r="B167" s="90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0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</row>
    <row r="168" ht="15.75" customHeight="1">
      <c r="A168" s="11"/>
      <c r="B168" s="90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0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</row>
    <row r="169" ht="15.75" customHeight="1">
      <c r="A169" s="11"/>
      <c r="B169" s="90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0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</row>
    <row r="170" ht="15.75" customHeight="1">
      <c r="A170" s="11"/>
      <c r="B170" s="90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0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</row>
    <row r="171" ht="15.75" customHeight="1">
      <c r="A171" s="11"/>
      <c r="B171" s="90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0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</row>
    <row r="172" ht="15.75" customHeight="1">
      <c r="A172" s="11"/>
      <c r="B172" s="90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0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</row>
    <row r="173" ht="15.75" customHeight="1">
      <c r="A173" s="11"/>
      <c r="B173" s="90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0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</row>
    <row r="174" ht="15.75" customHeight="1">
      <c r="A174" s="11"/>
      <c r="B174" s="90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0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</row>
    <row r="175" ht="15.75" customHeight="1">
      <c r="A175" s="11"/>
      <c r="B175" s="90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0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</row>
    <row r="176" ht="15.75" customHeight="1">
      <c r="A176" s="11"/>
      <c r="B176" s="90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0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</row>
    <row r="177" ht="15.75" customHeight="1">
      <c r="A177" s="11"/>
      <c r="B177" s="90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0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</row>
    <row r="178" ht="15.75" customHeight="1">
      <c r="A178" s="11"/>
      <c r="B178" s="90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0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</row>
    <row r="179" ht="15.75" customHeight="1">
      <c r="A179" s="11"/>
      <c r="B179" s="90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0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</row>
    <row r="180" ht="15.75" customHeight="1">
      <c r="A180" s="11"/>
      <c r="B180" s="90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0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</row>
    <row r="181" ht="15.75" customHeight="1">
      <c r="A181" s="11"/>
      <c r="B181" s="90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0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</row>
    <row r="182" ht="15.75" customHeight="1">
      <c r="A182" s="11"/>
      <c r="B182" s="90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0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</row>
    <row r="183" ht="15.75" customHeight="1">
      <c r="A183" s="11"/>
      <c r="B183" s="90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0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</row>
    <row r="184" ht="15.75" customHeight="1">
      <c r="A184" s="11"/>
      <c r="B184" s="90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0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</row>
    <row r="185" ht="15.75" customHeight="1">
      <c r="A185" s="11"/>
      <c r="B185" s="90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0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</row>
    <row r="186" ht="15.75" customHeight="1">
      <c r="A186" s="11"/>
      <c r="B186" s="90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0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</row>
    <row r="187" ht="15.75" customHeight="1">
      <c r="A187" s="11"/>
      <c r="B187" s="90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0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</row>
    <row r="188" ht="15.75" customHeight="1">
      <c r="A188" s="11"/>
      <c r="B188" s="90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0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</row>
    <row r="189" ht="15.75" customHeight="1">
      <c r="A189" s="11"/>
      <c r="B189" s="90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0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</row>
    <row r="190" ht="15.75" customHeight="1">
      <c r="A190" s="11"/>
      <c r="B190" s="90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0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ht="15.75" customHeight="1">
      <c r="A191" s="11"/>
      <c r="B191" s="90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0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</row>
    <row r="192" ht="15.75" customHeight="1">
      <c r="A192" s="11"/>
      <c r="B192" s="90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0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</row>
    <row r="193" ht="15.75" customHeight="1">
      <c r="A193" s="11"/>
      <c r="B193" s="90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0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</row>
    <row r="194" ht="15.75" customHeight="1">
      <c r="A194" s="11"/>
      <c r="B194" s="90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0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</row>
    <row r="195" ht="15.75" customHeight="1">
      <c r="A195" s="11"/>
      <c r="B195" s="90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0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</row>
    <row r="196" ht="15.75" customHeight="1">
      <c r="A196" s="11"/>
      <c r="B196" s="90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0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</row>
    <row r="197" ht="15.75" customHeight="1">
      <c r="A197" s="11"/>
      <c r="B197" s="90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0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</row>
    <row r="198" ht="15.75" customHeight="1">
      <c r="A198" s="11"/>
      <c r="B198" s="90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0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</row>
    <row r="199" ht="15.75" customHeight="1">
      <c r="A199" s="11"/>
      <c r="B199" s="90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0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</row>
    <row r="200" ht="15.75" customHeight="1">
      <c r="A200" s="11"/>
      <c r="B200" s="90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0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</row>
    <row r="201" ht="15.75" customHeight="1">
      <c r="A201" s="11"/>
      <c r="B201" s="90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0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</row>
    <row r="202" ht="15.75" customHeight="1">
      <c r="A202" s="11"/>
      <c r="B202" s="90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0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</row>
    <row r="203" ht="15.75" customHeight="1">
      <c r="A203" s="11"/>
      <c r="B203" s="90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0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</row>
    <row r="204" ht="15.75" customHeight="1">
      <c r="A204" s="11"/>
      <c r="B204" s="90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0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</row>
    <row r="205" ht="15.75" customHeight="1">
      <c r="A205" s="11"/>
      <c r="B205" s="90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0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</row>
    <row r="206" ht="15.75" customHeight="1">
      <c r="A206" s="11"/>
      <c r="B206" s="90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0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</row>
    <row r="207" ht="15.75" customHeight="1">
      <c r="A207" s="11"/>
      <c r="B207" s="90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0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</row>
    <row r="208" ht="15.75" customHeight="1">
      <c r="A208" s="11"/>
      <c r="B208" s="90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0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</row>
    <row r="209" ht="15.75" customHeight="1">
      <c r="A209" s="11"/>
      <c r="B209" s="90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0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</row>
    <row r="210" ht="15.75" customHeight="1">
      <c r="A210" s="11"/>
      <c r="B210" s="90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0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</row>
    <row r="211" ht="15.75" customHeight="1">
      <c r="A211" s="11"/>
      <c r="B211" s="90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0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</row>
    <row r="212" ht="15.75" customHeight="1">
      <c r="A212" s="11"/>
      <c r="B212" s="90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0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</row>
    <row r="213" ht="15.75" customHeight="1">
      <c r="A213" s="11"/>
      <c r="B213" s="90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0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</row>
    <row r="214" ht="15.75" customHeight="1">
      <c r="A214" s="11"/>
      <c r="B214" s="90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0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</row>
    <row r="215" ht="15.75" customHeight="1">
      <c r="A215" s="11"/>
      <c r="B215" s="90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0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</row>
    <row r="216" ht="15.75" customHeight="1">
      <c r="A216" s="11"/>
      <c r="B216" s="90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0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</row>
    <row r="217" ht="15.75" customHeight="1">
      <c r="A217" s="11"/>
      <c r="B217" s="90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0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</row>
    <row r="218" ht="15.75" customHeight="1">
      <c r="A218" s="11"/>
      <c r="B218" s="90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0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</row>
    <row r="219" ht="15.75" customHeight="1">
      <c r="A219" s="11"/>
      <c r="B219" s="90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0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</row>
    <row r="220" ht="15.75" customHeight="1">
      <c r="A220" s="11"/>
      <c r="B220" s="90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0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</row>
    <row r="221" ht="15.75" customHeight="1">
      <c r="A221" s="11"/>
      <c r="B221" s="90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0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</row>
    <row r="222" ht="15.75" customHeight="1">
      <c r="A222" s="11"/>
      <c r="B222" s="90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0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</row>
    <row r="223" ht="15.75" customHeight="1">
      <c r="A223" s="11"/>
      <c r="B223" s="90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0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</row>
    <row r="224" ht="15.75" customHeight="1">
      <c r="A224" s="11"/>
      <c r="B224" s="90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0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</row>
    <row r="225" ht="15.75" customHeight="1">
      <c r="A225" s="11"/>
      <c r="B225" s="90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0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</row>
    <row r="226" ht="15.75" customHeight="1">
      <c r="A226" s="11"/>
      <c r="B226" s="90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0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</row>
    <row r="227" ht="15.75" customHeight="1">
      <c r="A227" s="11"/>
      <c r="B227" s="90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0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</row>
    <row r="228" ht="15.75" customHeight="1">
      <c r="A228" s="11"/>
      <c r="B228" s="90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0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</row>
    <row r="229" ht="15.75" customHeight="1">
      <c r="A229" s="11"/>
      <c r="B229" s="90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0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</row>
    <row r="230" ht="15.75" customHeight="1">
      <c r="A230" s="11"/>
      <c r="B230" s="90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0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</row>
    <row r="231" ht="15.75" customHeight="1">
      <c r="A231" s="11"/>
      <c r="B231" s="90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0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</row>
    <row r="232" ht="15.75" customHeight="1">
      <c r="A232" s="11"/>
      <c r="B232" s="90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0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</row>
    <row r="233" ht="15.75" customHeight="1">
      <c r="A233" s="11"/>
      <c r="B233" s="90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0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</row>
    <row r="234" ht="15.75" customHeight="1">
      <c r="A234" s="11"/>
      <c r="B234" s="90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0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</row>
    <row r="235" ht="15.75" customHeight="1">
      <c r="A235" s="11"/>
      <c r="B235" s="90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0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</row>
    <row r="236" ht="15.75" customHeight="1">
      <c r="A236" s="11"/>
      <c r="B236" s="90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0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</row>
    <row r="237" ht="15.75" customHeight="1">
      <c r="A237" s="11"/>
      <c r="B237" s="90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0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</row>
    <row r="238" ht="15.75" customHeight="1">
      <c r="A238" s="11"/>
      <c r="B238" s="90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0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</row>
    <row r="239" ht="15.75" customHeight="1">
      <c r="A239" s="11"/>
      <c r="B239" s="90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0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</row>
    <row r="240" ht="15.75" customHeight="1">
      <c r="A240" s="11"/>
      <c r="B240" s="90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0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</row>
    <row r="241" ht="15.75" customHeight="1">
      <c r="A241" s="11"/>
      <c r="B241" s="90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0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</row>
    <row r="242" ht="15.75" customHeight="1">
      <c r="A242" s="11"/>
      <c r="B242" s="90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0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</row>
    <row r="243" ht="15.75" customHeight="1">
      <c r="A243" s="11"/>
      <c r="B243" s="90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0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</row>
    <row r="244" ht="15.75" customHeight="1">
      <c r="A244" s="11"/>
      <c r="B244" s="90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0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</row>
    <row r="245" ht="15.75" customHeight="1">
      <c r="A245" s="11"/>
      <c r="B245" s="90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0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</row>
    <row r="246" ht="15.75" customHeight="1">
      <c r="A246" s="11"/>
      <c r="B246" s="90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0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</row>
    <row r="247" ht="15.75" customHeight="1">
      <c r="A247" s="11"/>
      <c r="B247" s="90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0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</row>
    <row r="248" ht="15.75" customHeight="1">
      <c r="A248" s="11"/>
      <c r="B248" s="90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0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</row>
    <row r="249" ht="15.75" customHeight="1">
      <c r="A249" s="11"/>
      <c r="B249" s="90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0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</row>
    <row r="250" ht="15.75" customHeight="1">
      <c r="A250" s="11"/>
      <c r="B250" s="90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0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</row>
    <row r="251" ht="15.75" customHeight="1">
      <c r="A251" s="11"/>
      <c r="B251" s="90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0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</row>
    <row r="252" ht="15.75" customHeight="1">
      <c r="A252" s="11"/>
      <c r="B252" s="90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0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</row>
    <row r="253" ht="15.75" customHeight="1">
      <c r="A253" s="11"/>
      <c r="B253" s="90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0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</row>
    <row r="254" ht="15.75" customHeight="1">
      <c r="A254" s="11"/>
      <c r="B254" s="90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0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</row>
    <row r="255" ht="15.75" customHeight="1">
      <c r="A255" s="11"/>
      <c r="B255" s="90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0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</row>
    <row r="256" ht="15.75" customHeight="1"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V256" s="162"/>
    </row>
    <row r="257" ht="15.75" customHeight="1"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V257" s="162"/>
    </row>
    <row r="258" ht="15.75" customHeight="1"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V258" s="162"/>
    </row>
    <row r="259" ht="15.75" customHeight="1"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V259" s="162"/>
    </row>
    <row r="260" ht="15.75" customHeight="1"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V260" s="162"/>
    </row>
    <row r="261" ht="15.75" customHeight="1"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V261" s="162"/>
    </row>
    <row r="262" ht="15.75" customHeight="1"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V262" s="162"/>
    </row>
    <row r="263" ht="15.75" customHeight="1"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V263" s="162"/>
    </row>
    <row r="264" ht="15.75" customHeight="1"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V264" s="162"/>
    </row>
    <row r="265" ht="15.75" customHeight="1"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V265" s="162"/>
    </row>
    <row r="266" ht="15.75" customHeight="1"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V266" s="162"/>
    </row>
    <row r="267" ht="15.75" customHeight="1"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V267" s="162"/>
    </row>
    <row r="268" ht="15.75" customHeight="1"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V268" s="162"/>
    </row>
    <row r="269" ht="15.75" customHeight="1"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V269" s="162"/>
    </row>
    <row r="270" ht="15.75" customHeight="1"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V270" s="162"/>
    </row>
    <row r="271" ht="15.75" customHeight="1"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V271" s="162"/>
    </row>
    <row r="272" ht="15.75" customHeight="1"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V272" s="162"/>
    </row>
    <row r="273" ht="15.75" customHeight="1"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V273" s="162"/>
    </row>
    <row r="274" ht="15.75" customHeight="1"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V274" s="162"/>
    </row>
    <row r="275" ht="15.75" customHeight="1"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V275" s="162"/>
    </row>
    <row r="276" ht="15.75" customHeight="1"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V276" s="162"/>
    </row>
    <row r="277" ht="15.75" customHeight="1"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V277" s="162"/>
    </row>
    <row r="278" ht="15.75" customHeight="1"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V278" s="162"/>
    </row>
    <row r="279" ht="15.75" customHeight="1"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V279" s="162"/>
    </row>
    <row r="280" ht="15.75" customHeight="1"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V280" s="162"/>
    </row>
    <row r="281" ht="15.75" customHeight="1"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V281" s="162"/>
    </row>
    <row r="282" ht="15.75" customHeight="1"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V282" s="162"/>
    </row>
    <row r="283" ht="15.75" customHeight="1"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V283" s="162"/>
    </row>
    <row r="284" ht="15.75" customHeight="1"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V284" s="162"/>
    </row>
    <row r="285" ht="15.75" customHeight="1"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V285" s="162"/>
    </row>
    <row r="286" ht="15.75" customHeight="1"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V286" s="162"/>
    </row>
    <row r="287" ht="15.75" customHeight="1"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V287" s="162"/>
    </row>
    <row r="288" ht="15.75" customHeight="1"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V288" s="162"/>
    </row>
    <row r="289" ht="15.75" customHeight="1"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V289" s="162"/>
    </row>
    <row r="290" ht="15.75" customHeight="1"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V290" s="162"/>
    </row>
    <row r="291" ht="15.75" customHeight="1"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V291" s="162"/>
    </row>
    <row r="292" ht="15.75" customHeight="1"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V292" s="162"/>
    </row>
    <row r="293" ht="15.75" customHeight="1"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V293" s="162"/>
    </row>
    <row r="294" ht="15.75" customHeight="1"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V294" s="162"/>
    </row>
    <row r="295" ht="15.75" customHeight="1"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V295" s="162"/>
    </row>
    <row r="296" ht="15.75" customHeight="1"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V296" s="162"/>
    </row>
    <row r="297" ht="15.75" customHeight="1"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V297" s="162"/>
    </row>
    <row r="298" ht="15.75" customHeight="1"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V298" s="162"/>
    </row>
    <row r="299" ht="15.75" customHeight="1"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V299" s="162"/>
    </row>
    <row r="300" ht="15.75" customHeight="1"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V300" s="162"/>
    </row>
    <row r="301" ht="15.75" customHeight="1"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V301" s="162"/>
    </row>
    <row r="302" ht="15.75" customHeight="1"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V302" s="162"/>
    </row>
    <row r="303" ht="15.75" customHeight="1"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V303" s="162"/>
    </row>
    <row r="304" ht="15.75" customHeight="1"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V304" s="162"/>
    </row>
    <row r="305" ht="15.75" customHeight="1"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V305" s="162"/>
    </row>
    <row r="306" ht="15.75" customHeight="1"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V306" s="162"/>
    </row>
    <row r="307" ht="15.75" customHeight="1"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V307" s="162"/>
    </row>
    <row r="308" ht="15.75" customHeight="1"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V308" s="162"/>
    </row>
    <row r="309" ht="15.75" customHeight="1"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V309" s="162"/>
    </row>
    <row r="310" ht="15.75" customHeight="1"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V310" s="162"/>
    </row>
    <row r="311" ht="15.75" customHeight="1"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V311" s="162"/>
    </row>
    <row r="312" ht="15.75" customHeight="1"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V312" s="162"/>
    </row>
    <row r="313" ht="15.75" customHeight="1"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V313" s="162"/>
    </row>
    <row r="314" ht="15.75" customHeight="1"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V314" s="162"/>
    </row>
    <row r="315" ht="15.75" customHeight="1"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V315" s="162"/>
    </row>
    <row r="316" ht="15.75" customHeight="1"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V316" s="162"/>
    </row>
    <row r="317" ht="15.75" customHeight="1"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V317" s="162"/>
    </row>
    <row r="318" ht="15.75" customHeight="1"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V318" s="162"/>
    </row>
    <row r="319" ht="15.75" customHeight="1"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V319" s="162"/>
    </row>
    <row r="320" ht="15.75" customHeight="1"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V320" s="162"/>
    </row>
    <row r="321" ht="15.75" customHeight="1"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V321" s="162"/>
    </row>
    <row r="322" ht="15.75" customHeight="1"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V322" s="162"/>
    </row>
    <row r="323" ht="15.75" customHeight="1"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V323" s="162"/>
    </row>
    <row r="324" ht="15.75" customHeight="1"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V324" s="162"/>
    </row>
    <row r="325" ht="15.75" customHeight="1"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V325" s="162"/>
    </row>
    <row r="326" ht="15.75" customHeight="1"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V326" s="162"/>
    </row>
    <row r="327" ht="15.75" customHeight="1"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V327" s="162"/>
    </row>
    <row r="328" ht="15.75" customHeight="1"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V328" s="162"/>
    </row>
    <row r="329" ht="15.75" customHeight="1"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V329" s="162"/>
    </row>
    <row r="330" ht="15.75" customHeight="1"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V330" s="162"/>
    </row>
    <row r="331" ht="15.75" customHeight="1"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V331" s="162"/>
    </row>
    <row r="332" ht="15.75" customHeight="1"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V332" s="162"/>
    </row>
    <row r="333" ht="15.75" customHeight="1"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V333" s="162"/>
    </row>
    <row r="334" ht="15.75" customHeight="1"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V334" s="162"/>
    </row>
    <row r="335" ht="15.75" customHeight="1"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V335" s="162"/>
    </row>
    <row r="336" ht="15.75" customHeight="1"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V336" s="162"/>
    </row>
    <row r="337" ht="15.75" customHeight="1"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V337" s="162"/>
    </row>
    <row r="338" ht="15.75" customHeight="1"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V338" s="162"/>
    </row>
    <row r="339" ht="15.75" customHeight="1"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V339" s="162"/>
    </row>
    <row r="340" ht="15.75" customHeight="1"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V340" s="162"/>
    </row>
    <row r="341" ht="15.75" customHeight="1"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V341" s="162"/>
    </row>
    <row r="342" ht="15.75" customHeight="1"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V342" s="162"/>
    </row>
    <row r="343" ht="15.75" customHeight="1"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V343" s="162"/>
    </row>
    <row r="344" ht="15.75" customHeight="1"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V344" s="162"/>
    </row>
    <row r="345" ht="15.75" customHeight="1"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V345" s="162"/>
    </row>
    <row r="346" ht="15.75" customHeight="1"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V346" s="162"/>
    </row>
    <row r="347" ht="15.75" customHeight="1"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V347" s="162"/>
    </row>
    <row r="348" ht="15.75" customHeight="1"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V348" s="162"/>
    </row>
    <row r="349" ht="15.75" customHeight="1"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V349" s="162"/>
    </row>
    <row r="350" ht="15.75" customHeight="1"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V350" s="162"/>
    </row>
    <row r="351" ht="15.75" customHeight="1"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V351" s="162"/>
    </row>
    <row r="352" ht="15.75" customHeight="1"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V352" s="162"/>
    </row>
    <row r="353" ht="15.75" customHeight="1"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V353" s="162"/>
    </row>
    <row r="354" ht="15.75" customHeight="1"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V354" s="162"/>
    </row>
    <row r="355" ht="15.75" customHeight="1"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V355" s="162"/>
    </row>
    <row r="356" ht="15.75" customHeight="1"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V356" s="162"/>
    </row>
    <row r="357" ht="15.75" customHeight="1"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V357" s="162"/>
    </row>
    <row r="358" ht="15.75" customHeight="1"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V358" s="162"/>
    </row>
    <row r="359" ht="15.75" customHeight="1"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V359" s="162"/>
    </row>
    <row r="360" ht="15.75" customHeight="1"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V360" s="162"/>
    </row>
    <row r="361" ht="15.75" customHeight="1"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V361" s="162"/>
    </row>
    <row r="362" ht="15.75" customHeight="1"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V362" s="162"/>
    </row>
    <row r="363" ht="15.75" customHeight="1"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V363" s="162"/>
    </row>
    <row r="364" ht="15.75" customHeight="1"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V364" s="162"/>
    </row>
    <row r="365" ht="15.75" customHeight="1"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V365" s="162"/>
    </row>
    <row r="366" ht="15.75" customHeight="1"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V366" s="162"/>
    </row>
    <row r="367" ht="15.75" customHeight="1"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V367" s="162"/>
    </row>
    <row r="368" ht="15.75" customHeight="1"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V368" s="162"/>
    </row>
    <row r="369" ht="15.75" customHeight="1"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V369" s="162"/>
    </row>
    <row r="370" ht="15.75" customHeight="1"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V370" s="162"/>
    </row>
    <row r="371" ht="15.75" customHeight="1"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V371" s="162"/>
    </row>
    <row r="372" ht="15.75" customHeight="1"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V372" s="162"/>
    </row>
    <row r="373" ht="15.75" customHeight="1"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V373" s="162"/>
    </row>
    <row r="374" ht="15.75" customHeight="1"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V374" s="162"/>
    </row>
    <row r="375" ht="15.75" customHeight="1"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V375" s="162"/>
    </row>
    <row r="376" ht="15.75" customHeight="1"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V376" s="162"/>
    </row>
    <row r="377" ht="15.75" customHeight="1"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V377" s="162"/>
    </row>
    <row r="378" ht="15.75" customHeight="1"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V378" s="162"/>
    </row>
    <row r="379" ht="15.75" customHeight="1"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V379" s="162"/>
    </row>
    <row r="380" ht="15.75" customHeight="1"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V380" s="162"/>
    </row>
    <row r="381" ht="15.75" customHeight="1"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V381" s="162"/>
    </row>
    <row r="382" ht="15.75" customHeight="1"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V382" s="162"/>
    </row>
    <row r="383" ht="15.75" customHeight="1"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V383" s="162"/>
    </row>
    <row r="384" ht="15.75" customHeight="1"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V384" s="162"/>
    </row>
    <row r="385" ht="15.75" customHeight="1"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V385" s="162"/>
    </row>
    <row r="386" ht="15.75" customHeight="1"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V386" s="162"/>
    </row>
    <row r="387" ht="15.75" customHeight="1"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V387" s="162"/>
    </row>
    <row r="388" ht="15.75" customHeight="1"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V388" s="162"/>
    </row>
    <row r="389" ht="15.75" customHeight="1"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V389" s="162"/>
    </row>
    <row r="390" ht="15.75" customHeight="1"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V390" s="162"/>
    </row>
    <row r="391" ht="15.75" customHeight="1"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V391" s="162"/>
    </row>
    <row r="392" ht="15.75" customHeight="1"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V392" s="162"/>
    </row>
    <row r="393" ht="15.75" customHeight="1"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V393" s="162"/>
    </row>
    <row r="394" ht="15.75" customHeight="1"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V394" s="162"/>
    </row>
    <row r="395" ht="15.75" customHeight="1"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V395" s="162"/>
    </row>
    <row r="396" ht="15.75" customHeight="1"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V396" s="162"/>
    </row>
    <row r="397" ht="15.75" customHeight="1"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V397" s="162"/>
    </row>
    <row r="398" ht="15.75" customHeight="1"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V398" s="162"/>
    </row>
    <row r="399" ht="15.75" customHeight="1"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V399" s="162"/>
    </row>
    <row r="400" ht="15.75" customHeight="1"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V400" s="162"/>
    </row>
    <row r="401" ht="15.75" customHeight="1"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V401" s="162"/>
    </row>
    <row r="402" ht="15.75" customHeight="1"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V402" s="162"/>
    </row>
    <row r="403" ht="15.75" customHeight="1"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V403" s="162"/>
    </row>
    <row r="404" ht="15.75" customHeight="1"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V404" s="162"/>
    </row>
    <row r="405" ht="15.75" customHeight="1"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V405" s="162"/>
    </row>
    <row r="406" ht="15.75" customHeight="1"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V406" s="162"/>
    </row>
    <row r="407" ht="15.75" customHeight="1"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V407" s="162"/>
    </row>
    <row r="408" ht="15.75" customHeight="1"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V408" s="162"/>
    </row>
    <row r="409" ht="15.75" customHeight="1"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V409" s="162"/>
    </row>
    <row r="410" ht="15.75" customHeight="1"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V410" s="162"/>
    </row>
    <row r="411" ht="15.75" customHeight="1"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V411" s="162"/>
    </row>
    <row r="412" ht="15.75" customHeight="1"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V412" s="162"/>
    </row>
    <row r="413" ht="15.75" customHeight="1"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V413" s="162"/>
    </row>
    <row r="414" ht="15.75" customHeight="1"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V414" s="162"/>
    </row>
    <row r="415" ht="15.75" customHeight="1"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V415" s="162"/>
    </row>
    <row r="416" ht="15.75" customHeight="1"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V416" s="162"/>
    </row>
    <row r="417" ht="15.75" customHeight="1"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V417" s="162"/>
    </row>
    <row r="418" ht="15.75" customHeight="1"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V418" s="162"/>
    </row>
    <row r="419" ht="15.75" customHeight="1"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V419" s="162"/>
    </row>
    <row r="420" ht="15.75" customHeight="1"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V420" s="162"/>
    </row>
    <row r="421" ht="15.75" customHeight="1"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V421" s="162"/>
    </row>
    <row r="422" ht="15.75" customHeight="1"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V422" s="162"/>
    </row>
    <row r="423" ht="15.75" customHeight="1"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V423" s="162"/>
    </row>
    <row r="424" ht="15.75" customHeight="1"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V424" s="162"/>
    </row>
    <row r="425" ht="15.75" customHeight="1"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V425" s="162"/>
    </row>
    <row r="426" ht="15.75" customHeight="1"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V426" s="162"/>
    </row>
    <row r="427" ht="15.75" customHeight="1"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V427" s="162"/>
    </row>
    <row r="428" ht="15.75" customHeight="1"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V428" s="162"/>
    </row>
    <row r="429" ht="15.75" customHeight="1"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V429" s="162"/>
    </row>
    <row r="430" ht="15.75" customHeight="1"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V430" s="162"/>
    </row>
    <row r="431" ht="15.75" customHeight="1"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V431" s="162"/>
    </row>
    <row r="432" ht="15.75" customHeight="1"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V432" s="162"/>
    </row>
    <row r="433" ht="15.75" customHeight="1"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V433" s="162"/>
    </row>
    <row r="434" ht="15.75" customHeight="1"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V434" s="162"/>
    </row>
    <row r="435" ht="15.75" customHeight="1"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V435" s="162"/>
    </row>
    <row r="436" ht="15.75" customHeight="1"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V436" s="162"/>
    </row>
    <row r="437" ht="15.75" customHeight="1"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V437" s="162"/>
    </row>
    <row r="438" ht="15.75" customHeight="1"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V438" s="162"/>
    </row>
    <row r="439" ht="15.75" customHeight="1"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V439" s="162"/>
    </row>
    <row r="440" ht="15.75" customHeight="1"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V440" s="162"/>
    </row>
    <row r="441" ht="15.75" customHeight="1"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V441" s="162"/>
    </row>
    <row r="442" ht="15.75" customHeight="1"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V442" s="162"/>
    </row>
    <row r="443" ht="15.75" customHeight="1"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V443" s="162"/>
    </row>
    <row r="444" ht="15.75" customHeight="1"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V444" s="162"/>
    </row>
    <row r="445" ht="15.75" customHeight="1"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V445" s="162"/>
    </row>
    <row r="446" ht="15.75" customHeight="1"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V446" s="162"/>
    </row>
    <row r="447" ht="15.75" customHeight="1"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V447" s="162"/>
    </row>
    <row r="448" ht="15.75" customHeight="1"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V448" s="162"/>
    </row>
    <row r="449" ht="15.75" customHeight="1"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V449" s="162"/>
    </row>
    <row r="450" ht="15.75" customHeight="1"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V450" s="162"/>
    </row>
    <row r="451" ht="15.75" customHeight="1"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V451" s="162"/>
    </row>
    <row r="452" ht="15.75" customHeight="1"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V452" s="162"/>
    </row>
    <row r="453" ht="15.75" customHeight="1"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V453" s="162"/>
    </row>
    <row r="454" ht="15.75" customHeight="1"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V454" s="162"/>
    </row>
    <row r="455" ht="15.75" customHeight="1"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V455" s="162"/>
    </row>
    <row r="456" ht="15.75" customHeight="1"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V456" s="162"/>
    </row>
    <row r="457" ht="15.75" customHeight="1"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V457" s="162"/>
    </row>
    <row r="458" ht="15.75" customHeight="1"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V458" s="162"/>
    </row>
    <row r="459" ht="15.75" customHeight="1"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V459" s="162"/>
    </row>
    <row r="460" ht="15.75" customHeight="1"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V460" s="162"/>
    </row>
    <row r="461" ht="15.75" customHeight="1"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V461" s="162"/>
    </row>
    <row r="462" ht="15.75" customHeight="1"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V462" s="162"/>
    </row>
    <row r="463" ht="15.75" customHeight="1"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V463" s="162"/>
    </row>
    <row r="464" ht="15.75" customHeight="1"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V464" s="162"/>
    </row>
    <row r="465" ht="15.75" customHeight="1"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V465" s="162"/>
    </row>
    <row r="466" ht="15.75" customHeight="1"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V466" s="162"/>
    </row>
    <row r="467" ht="15.75" customHeight="1"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V467" s="162"/>
    </row>
    <row r="468" ht="15.75" customHeight="1"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V468" s="162"/>
    </row>
    <row r="469" ht="15.75" customHeight="1"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V469" s="162"/>
    </row>
    <row r="470" ht="15.75" customHeight="1"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V470" s="162"/>
    </row>
    <row r="471" ht="15.75" customHeight="1"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V471" s="162"/>
    </row>
    <row r="472" ht="15.75" customHeight="1"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V472" s="162"/>
    </row>
    <row r="473" ht="15.75" customHeight="1"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V473" s="162"/>
    </row>
    <row r="474" ht="15.75" customHeight="1"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V474" s="162"/>
    </row>
    <row r="475" ht="15.75" customHeight="1"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V475" s="162"/>
    </row>
    <row r="476" ht="15.75" customHeight="1"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V476" s="162"/>
    </row>
    <row r="477" ht="15.75" customHeight="1"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V477" s="162"/>
    </row>
    <row r="478" ht="15.75" customHeight="1"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V478" s="162"/>
    </row>
    <row r="479" ht="15.75" customHeight="1"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V479" s="162"/>
    </row>
    <row r="480" ht="15.75" customHeight="1"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V480" s="162"/>
    </row>
    <row r="481" ht="15.75" customHeight="1"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V481" s="162"/>
    </row>
    <row r="482" ht="15.75" customHeight="1"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V482" s="162"/>
    </row>
    <row r="483" ht="15.75" customHeight="1"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V483" s="162"/>
    </row>
    <row r="484" ht="15.75" customHeight="1"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V484" s="162"/>
    </row>
    <row r="485" ht="15.75" customHeight="1"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V485" s="162"/>
    </row>
    <row r="486" ht="15.75" customHeight="1"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V486" s="162"/>
    </row>
    <row r="487" ht="15.75" customHeight="1"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V487" s="162"/>
    </row>
    <row r="488" ht="15.75" customHeight="1"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V488" s="162"/>
    </row>
    <row r="489" ht="15.75" customHeight="1"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V489" s="162"/>
    </row>
    <row r="490" ht="15.75" customHeight="1"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V490" s="162"/>
    </row>
    <row r="491" ht="15.75" customHeight="1"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V491" s="162"/>
    </row>
    <row r="492" ht="15.75" customHeight="1"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V492" s="162"/>
    </row>
    <row r="493" ht="15.75" customHeight="1"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V493" s="162"/>
    </row>
    <row r="494" ht="15.75" customHeight="1"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V494" s="162"/>
    </row>
    <row r="495" ht="15.75" customHeight="1"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V495" s="162"/>
    </row>
    <row r="496" ht="15.75" customHeight="1"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V496" s="162"/>
    </row>
    <row r="497" ht="15.75" customHeight="1"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V497" s="162"/>
    </row>
    <row r="498" ht="15.75" customHeight="1"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V498" s="162"/>
    </row>
    <row r="499" ht="15.75" customHeight="1"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V499" s="162"/>
    </row>
    <row r="500" ht="15.75" customHeight="1"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V500" s="162"/>
    </row>
    <row r="501" ht="15.75" customHeight="1"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V501" s="162"/>
    </row>
    <row r="502" ht="15.75" customHeight="1"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V502" s="162"/>
    </row>
    <row r="503" ht="15.75" customHeight="1"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V503" s="162"/>
    </row>
    <row r="504" ht="15.75" customHeight="1"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V504" s="162"/>
    </row>
    <row r="505" ht="15.75" customHeight="1"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V505" s="162"/>
    </row>
    <row r="506" ht="15.75" customHeight="1"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V506" s="162"/>
    </row>
    <row r="507" ht="15.75" customHeight="1"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V507" s="162"/>
    </row>
    <row r="508" ht="15.75" customHeight="1"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V508" s="162"/>
    </row>
    <row r="509" ht="15.75" customHeight="1"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V509" s="162"/>
    </row>
    <row r="510" ht="15.75" customHeight="1"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V510" s="162"/>
    </row>
    <row r="511" ht="15.75" customHeight="1"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V511" s="162"/>
    </row>
    <row r="512" ht="15.75" customHeight="1"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V512" s="162"/>
    </row>
    <row r="513" ht="15.75" customHeight="1"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V513" s="162"/>
    </row>
    <row r="514" ht="15.75" customHeight="1"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V514" s="162"/>
    </row>
    <row r="515" ht="15.75" customHeight="1"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V515" s="162"/>
    </row>
    <row r="516" ht="15.75" customHeight="1"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V516" s="162"/>
    </row>
    <row r="517" ht="15.75" customHeight="1"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V517" s="162"/>
    </row>
    <row r="518" ht="15.75" customHeight="1"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V518" s="162"/>
    </row>
    <row r="519" ht="15.75" customHeight="1"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V519" s="162"/>
    </row>
    <row r="520" ht="15.75" customHeight="1"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V520" s="162"/>
    </row>
    <row r="521" ht="15.75" customHeight="1"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V521" s="162"/>
    </row>
    <row r="522" ht="15.75" customHeight="1"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V522" s="162"/>
    </row>
    <row r="523" ht="15.75" customHeight="1"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V523" s="162"/>
    </row>
    <row r="524" ht="15.75" customHeight="1"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V524" s="162"/>
    </row>
    <row r="525" ht="15.75" customHeight="1"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V525" s="162"/>
    </row>
    <row r="526" ht="15.75" customHeight="1"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V526" s="162"/>
    </row>
    <row r="527" ht="15.75" customHeight="1"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V527" s="162"/>
    </row>
    <row r="528" ht="15.75" customHeight="1"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V528" s="162"/>
    </row>
    <row r="529" ht="15.75" customHeight="1"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V529" s="162"/>
    </row>
    <row r="530" ht="15.75" customHeight="1"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V530" s="162"/>
    </row>
    <row r="531" ht="15.75" customHeight="1"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V531" s="162"/>
    </row>
    <row r="532" ht="15.75" customHeight="1"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V532" s="162"/>
    </row>
    <row r="533" ht="15.75" customHeight="1"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V533" s="162"/>
    </row>
    <row r="534" ht="15.75" customHeight="1"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V534" s="162"/>
    </row>
    <row r="535" ht="15.75" customHeight="1"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V535" s="162"/>
    </row>
    <row r="536" ht="15.75" customHeight="1"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V536" s="162"/>
    </row>
    <row r="537" ht="15.75" customHeight="1"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V537" s="162"/>
    </row>
    <row r="538" ht="15.75" customHeight="1"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V538" s="162"/>
    </row>
    <row r="539" ht="15.75" customHeight="1"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V539" s="162"/>
    </row>
    <row r="540" ht="15.75" customHeight="1"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V540" s="162"/>
    </row>
    <row r="541" ht="15.75" customHeight="1"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V541" s="162"/>
    </row>
    <row r="542" ht="15.75" customHeight="1"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V542" s="162"/>
    </row>
    <row r="543" ht="15.75" customHeight="1"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V543" s="162"/>
    </row>
    <row r="544" ht="15.75" customHeight="1"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V544" s="162"/>
    </row>
    <row r="545" ht="15.75" customHeight="1"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V545" s="162"/>
    </row>
    <row r="546" ht="15.75" customHeight="1"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V546" s="162"/>
    </row>
    <row r="547" ht="15.75" customHeight="1"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V547" s="162"/>
    </row>
    <row r="548" ht="15.75" customHeight="1"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V548" s="162"/>
    </row>
    <row r="549" ht="15.75" customHeight="1"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V549" s="162"/>
    </row>
    <row r="550" ht="15.75" customHeight="1"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V550" s="162"/>
    </row>
    <row r="551" ht="15.75" customHeight="1"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V551" s="162"/>
    </row>
    <row r="552" ht="15.75" customHeight="1"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V552" s="162"/>
    </row>
    <row r="553" ht="15.75" customHeight="1"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V553" s="162"/>
    </row>
    <row r="554" ht="15.75" customHeight="1"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V554" s="162"/>
    </row>
    <row r="555" ht="15.75" customHeight="1"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V555" s="162"/>
    </row>
    <row r="556" ht="15.75" customHeight="1"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V556" s="162"/>
    </row>
    <row r="557" ht="15.75" customHeight="1"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V557" s="162"/>
    </row>
    <row r="558" ht="15.75" customHeight="1"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V558" s="162"/>
    </row>
    <row r="559" ht="15.75" customHeight="1"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V559" s="162"/>
    </row>
    <row r="560" ht="15.75" customHeight="1"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V560" s="162"/>
    </row>
    <row r="561" ht="15.75" customHeight="1"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V561" s="162"/>
    </row>
    <row r="562" ht="15.75" customHeight="1"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V562" s="162"/>
    </row>
    <row r="563" ht="15.75" customHeight="1"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V563" s="162"/>
    </row>
    <row r="564" ht="15.75" customHeight="1"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V564" s="162"/>
    </row>
    <row r="565" ht="15.75" customHeight="1"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V565" s="162"/>
    </row>
    <row r="566" ht="15.75" customHeight="1"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V566" s="162"/>
    </row>
    <row r="567" ht="15.75" customHeight="1"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V567" s="162"/>
    </row>
    <row r="568" ht="15.75" customHeight="1"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V568" s="162"/>
    </row>
    <row r="569" ht="15.75" customHeight="1"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V569" s="162"/>
    </row>
    <row r="570" ht="15.75" customHeight="1"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V570" s="162"/>
    </row>
    <row r="571" ht="15.75" customHeight="1"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V571" s="162"/>
    </row>
    <row r="572" ht="15.75" customHeight="1"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V572" s="162"/>
    </row>
    <row r="573" ht="15.75" customHeight="1"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V573" s="162"/>
    </row>
    <row r="574" ht="15.75" customHeight="1"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V574" s="162"/>
    </row>
    <row r="575" ht="15.75" customHeight="1"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V575" s="162"/>
    </row>
    <row r="576" ht="15.75" customHeight="1"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V576" s="162"/>
    </row>
    <row r="577" ht="15.75" customHeight="1"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V577" s="162"/>
    </row>
    <row r="578" ht="15.75" customHeight="1"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V578" s="162"/>
    </row>
    <row r="579" ht="15.75" customHeight="1"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V579" s="162"/>
    </row>
    <row r="580" ht="15.75" customHeight="1"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V580" s="162"/>
    </row>
    <row r="581" ht="15.75" customHeight="1"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V581" s="162"/>
    </row>
    <row r="582" ht="15.75" customHeight="1"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V582" s="162"/>
    </row>
    <row r="583" ht="15.75" customHeight="1"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V583" s="162"/>
    </row>
    <row r="584" ht="15.75" customHeight="1"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V584" s="162"/>
    </row>
    <row r="585" ht="15.75" customHeight="1"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V585" s="162"/>
    </row>
    <row r="586" ht="15.75" customHeight="1"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V586" s="162"/>
    </row>
    <row r="587" ht="15.75" customHeight="1"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V587" s="162"/>
    </row>
    <row r="588" ht="15.75" customHeight="1"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V588" s="162"/>
    </row>
    <row r="589" ht="15.75" customHeight="1"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V589" s="162"/>
    </row>
    <row r="590" ht="15.75" customHeight="1"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V590" s="162"/>
    </row>
    <row r="591" ht="15.75" customHeight="1"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V591" s="162"/>
    </row>
    <row r="592" ht="15.75" customHeight="1"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V592" s="162"/>
    </row>
    <row r="593" ht="15.75" customHeight="1"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V593" s="162"/>
    </row>
    <row r="594" ht="15.75" customHeight="1"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V594" s="162"/>
    </row>
    <row r="595" ht="15.75" customHeight="1"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V595" s="162"/>
    </row>
    <row r="596" ht="15.75" customHeight="1"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V596" s="162"/>
    </row>
    <row r="597" ht="15.75" customHeight="1"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V597" s="162"/>
    </row>
    <row r="598" ht="15.75" customHeight="1"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V598" s="162"/>
    </row>
    <row r="599" ht="15.75" customHeight="1"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V599" s="162"/>
    </row>
    <row r="600" ht="15.75" customHeight="1"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V600" s="162"/>
    </row>
    <row r="601" ht="15.75" customHeight="1"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V601" s="162"/>
    </row>
    <row r="602" ht="15.75" customHeight="1"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V602" s="162"/>
    </row>
    <row r="603" ht="15.75" customHeight="1"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V603" s="162"/>
    </row>
    <row r="604" ht="15.75" customHeight="1"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V604" s="162"/>
    </row>
    <row r="605" ht="15.75" customHeight="1"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V605" s="162"/>
    </row>
    <row r="606" ht="15.75" customHeight="1"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V606" s="162"/>
    </row>
    <row r="607" ht="15.75" customHeight="1"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V607" s="162"/>
    </row>
    <row r="608" ht="15.75" customHeight="1"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V608" s="162"/>
    </row>
    <row r="609" ht="15.75" customHeight="1"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V609" s="162"/>
    </row>
    <row r="610" ht="15.75" customHeight="1"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V610" s="162"/>
    </row>
    <row r="611" ht="15.75" customHeight="1"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V611" s="162"/>
    </row>
    <row r="612" ht="15.75" customHeight="1"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V612" s="162"/>
    </row>
    <row r="613" ht="15.75" customHeight="1"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V613" s="162"/>
    </row>
    <row r="614" ht="15.75" customHeight="1"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V614" s="162"/>
    </row>
    <row r="615" ht="15.75" customHeight="1"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V615" s="162"/>
    </row>
    <row r="616" ht="15.75" customHeight="1"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V616" s="162"/>
    </row>
    <row r="617" ht="15.75" customHeight="1"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V617" s="162"/>
    </row>
    <row r="618" ht="15.75" customHeight="1"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V618" s="162"/>
    </row>
    <row r="619" ht="15.75" customHeight="1"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V619" s="162"/>
    </row>
    <row r="620" ht="15.75" customHeight="1"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V620" s="162"/>
    </row>
    <row r="621" ht="15.75" customHeight="1"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V621" s="162"/>
    </row>
    <row r="622" ht="15.75" customHeight="1"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V622" s="162"/>
    </row>
    <row r="623" ht="15.75" customHeight="1"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V623" s="162"/>
    </row>
    <row r="624" ht="15.75" customHeight="1"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V624" s="162"/>
    </row>
    <row r="625" ht="15.75" customHeight="1"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V625" s="162"/>
    </row>
    <row r="626" ht="15.75" customHeight="1"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V626" s="162"/>
    </row>
    <row r="627" ht="15.75" customHeight="1"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V627" s="162"/>
    </row>
    <row r="628" ht="15.75" customHeight="1"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V628" s="162"/>
    </row>
    <row r="629" ht="15.75" customHeight="1"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V629" s="162"/>
    </row>
    <row r="630" ht="15.75" customHeight="1"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V630" s="162"/>
    </row>
    <row r="631" ht="15.75" customHeight="1"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V631" s="162"/>
    </row>
    <row r="632" ht="15.75" customHeight="1"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V632" s="162"/>
    </row>
    <row r="633" ht="15.75" customHeight="1"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V633" s="162"/>
    </row>
    <row r="634" ht="15.75" customHeight="1"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V634" s="162"/>
    </row>
    <row r="635" ht="15.75" customHeight="1"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V635" s="162"/>
    </row>
    <row r="636" ht="15.75" customHeight="1"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V636" s="162"/>
    </row>
    <row r="637" ht="15.75" customHeight="1"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V637" s="162"/>
    </row>
    <row r="638" ht="15.75" customHeight="1"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V638" s="162"/>
    </row>
    <row r="639" ht="15.75" customHeight="1"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V639" s="162"/>
    </row>
    <row r="640" ht="15.75" customHeight="1"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V640" s="162"/>
    </row>
    <row r="641" ht="15.75" customHeight="1"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V641" s="162"/>
    </row>
    <row r="642" ht="15.75" customHeight="1"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V642" s="162"/>
    </row>
    <row r="643" ht="15.75" customHeight="1"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V643" s="162"/>
    </row>
    <row r="644" ht="15.75" customHeight="1"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V644" s="162"/>
    </row>
    <row r="645" ht="15.75" customHeight="1"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V645" s="162"/>
    </row>
    <row r="646" ht="15.75" customHeight="1"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V646" s="162"/>
    </row>
    <row r="647" ht="15.75" customHeight="1"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V647" s="162"/>
    </row>
    <row r="648" ht="15.75" customHeight="1"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V648" s="162"/>
    </row>
    <row r="649" ht="15.75" customHeight="1"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V649" s="162"/>
    </row>
    <row r="650" ht="15.75" customHeight="1"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V650" s="162"/>
    </row>
    <row r="651" ht="15.75" customHeight="1"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V651" s="162"/>
    </row>
    <row r="652" ht="15.75" customHeight="1"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V652" s="162"/>
    </row>
    <row r="653" ht="15.75" customHeight="1"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V653" s="162"/>
    </row>
    <row r="654" ht="15.75" customHeight="1"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V654" s="162"/>
    </row>
    <row r="655" ht="15.75" customHeight="1"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V655" s="162"/>
    </row>
    <row r="656" ht="15.75" customHeight="1"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V656" s="162"/>
    </row>
    <row r="657" ht="15.75" customHeight="1"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V657" s="162"/>
    </row>
    <row r="658" ht="15.75" customHeight="1"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V658" s="162"/>
    </row>
    <row r="659" ht="15.75" customHeight="1"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V659" s="162"/>
    </row>
    <row r="660" ht="15.75" customHeight="1"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V660" s="162"/>
    </row>
    <row r="661" ht="15.75" customHeight="1"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V661" s="162"/>
    </row>
    <row r="662" ht="15.75" customHeight="1"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V662" s="162"/>
    </row>
    <row r="663" ht="15.75" customHeight="1"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V663" s="162"/>
    </row>
    <row r="664" ht="15.75" customHeight="1"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V664" s="162"/>
    </row>
    <row r="665" ht="15.75" customHeight="1"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V665" s="162"/>
    </row>
    <row r="666" ht="15.75" customHeight="1"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V666" s="162"/>
    </row>
    <row r="667" ht="15.75" customHeight="1"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V667" s="162"/>
    </row>
    <row r="668" ht="15.75" customHeight="1"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V668" s="162"/>
    </row>
    <row r="669" ht="15.75" customHeight="1"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V669" s="162"/>
    </row>
    <row r="670" ht="15.75" customHeight="1"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V670" s="162"/>
    </row>
    <row r="671" ht="15.75" customHeight="1"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V671" s="162"/>
    </row>
    <row r="672" ht="15.75" customHeight="1"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V672" s="162"/>
    </row>
    <row r="673" ht="15.75" customHeight="1"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V673" s="162"/>
    </row>
    <row r="674" ht="15.75" customHeight="1"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V674" s="162"/>
    </row>
    <row r="675" ht="15.75" customHeight="1"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V675" s="162"/>
    </row>
    <row r="676" ht="15.75" customHeight="1"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V676" s="162"/>
    </row>
    <row r="677" ht="15.75" customHeight="1"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V677" s="162"/>
    </row>
    <row r="678" ht="15.75" customHeight="1"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V678" s="162"/>
    </row>
    <row r="679" ht="15.75" customHeight="1"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V679" s="162"/>
    </row>
    <row r="680" ht="15.75" customHeight="1"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V680" s="162"/>
    </row>
    <row r="681" ht="15.75" customHeight="1"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V681" s="162"/>
    </row>
    <row r="682" ht="15.75" customHeight="1"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V682" s="162"/>
    </row>
    <row r="683" ht="15.75" customHeight="1"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V683" s="162"/>
    </row>
    <row r="684" ht="15.75" customHeight="1"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V684" s="162"/>
    </row>
    <row r="685" ht="15.75" customHeight="1"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V685" s="162"/>
    </row>
    <row r="686" ht="15.75" customHeight="1"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V686" s="162"/>
    </row>
    <row r="687" ht="15.75" customHeight="1"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V687" s="162"/>
    </row>
    <row r="688" ht="15.75" customHeight="1"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V688" s="162"/>
    </row>
    <row r="689" ht="15.75" customHeight="1"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V689" s="162"/>
    </row>
    <row r="690" ht="15.75" customHeight="1"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V690" s="162"/>
    </row>
    <row r="691" ht="15.75" customHeight="1"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V691" s="162"/>
    </row>
    <row r="692" ht="15.75" customHeight="1"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V692" s="162"/>
    </row>
    <row r="693" ht="15.75" customHeight="1"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V693" s="162"/>
    </row>
    <row r="694" ht="15.75" customHeight="1"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V694" s="162"/>
    </row>
    <row r="695" ht="15.75" customHeight="1"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V695" s="162"/>
    </row>
    <row r="696" ht="15.75" customHeight="1"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V696" s="162"/>
    </row>
    <row r="697" ht="15.75" customHeight="1"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V697" s="162"/>
    </row>
    <row r="698" ht="15.75" customHeight="1"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V698" s="162"/>
    </row>
    <row r="699" ht="15.75" customHeight="1"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V699" s="162"/>
    </row>
    <row r="700" ht="15.75" customHeight="1"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V700" s="162"/>
    </row>
    <row r="701" ht="15.75" customHeight="1"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V701" s="162"/>
    </row>
    <row r="702" ht="15.75" customHeight="1"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V702" s="162"/>
    </row>
    <row r="703" ht="15.75" customHeight="1"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V703" s="162"/>
    </row>
    <row r="704" ht="15.75" customHeight="1"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V704" s="162"/>
    </row>
    <row r="705" ht="15.75" customHeight="1"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V705" s="162"/>
    </row>
    <row r="706" ht="15.75" customHeight="1"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V706" s="162"/>
    </row>
    <row r="707" ht="15.75" customHeight="1"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V707" s="162"/>
    </row>
    <row r="708" ht="15.75" customHeight="1"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V708" s="162"/>
    </row>
    <row r="709" ht="15.75" customHeight="1"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V709" s="162"/>
    </row>
    <row r="710" ht="15.75" customHeight="1"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V710" s="162"/>
    </row>
    <row r="711" ht="15.75" customHeight="1"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V711" s="162"/>
    </row>
    <row r="712" ht="15.75" customHeight="1"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V712" s="162"/>
    </row>
    <row r="713" ht="15.75" customHeight="1"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V713" s="162"/>
    </row>
    <row r="714" ht="15.75" customHeight="1"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V714" s="162"/>
    </row>
    <row r="715" ht="15.75" customHeight="1"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V715" s="162"/>
    </row>
    <row r="716" ht="15.75" customHeight="1"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V716" s="162"/>
    </row>
    <row r="717" ht="15.75" customHeight="1"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V717" s="162"/>
    </row>
    <row r="718" ht="15.75" customHeight="1"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V718" s="162"/>
    </row>
    <row r="719" ht="15.75" customHeight="1"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V719" s="162"/>
    </row>
    <row r="720" ht="15.75" customHeight="1"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V720" s="162"/>
    </row>
    <row r="721" ht="15.75" customHeight="1"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V721" s="162"/>
    </row>
    <row r="722" ht="15.75" customHeight="1"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V722" s="162"/>
    </row>
    <row r="723" ht="15.75" customHeight="1"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V723" s="162"/>
    </row>
    <row r="724" ht="15.75" customHeight="1"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V724" s="162"/>
    </row>
    <row r="725" ht="15.75" customHeight="1"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V725" s="162"/>
    </row>
    <row r="726" ht="15.75" customHeight="1"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V726" s="162"/>
    </row>
    <row r="727" ht="15.75" customHeight="1"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V727" s="162"/>
    </row>
    <row r="728" ht="15.75" customHeight="1"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V728" s="162"/>
    </row>
    <row r="729" ht="15.75" customHeight="1"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V729" s="162"/>
    </row>
    <row r="730" ht="15.75" customHeight="1"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V730" s="162"/>
    </row>
    <row r="731" ht="15.75" customHeight="1"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V731" s="162"/>
    </row>
    <row r="732" ht="15.75" customHeight="1"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V732" s="162"/>
    </row>
    <row r="733" ht="15.75" customHeight="1"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V733" s="162"/>
    </row>
    <row r="734" ht="15.75" customHeight="1"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V734" s="162"/>
    </row>
    <row r="735" ht="15.75" customHeight="1"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V735" s="162"/>
    </row>
    <row r="736" ht="15.75" customHeight="1"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V736" s="162"/>
    </row>
    <row r="737" ht="15.75" customHeight="1"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V737" s="162"/>
    </row>
    <row r="738" ht="15.75" customHeight="1"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V738" s="162"/>
    </row>
    <row r="739" ht="15.75" customHeight="1"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V739" s="162"/>
    </row>
    <row r="740" ht="15.75" customHeight="1"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V740" s="162"/>
    </row>
    <row r="741" ht="15.75" customHeight="1"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V741" s="162"/>
    </row>
    <row r="742" ht="15.75" customHeight="1"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V742" s="162"/>
    </row>
    <row r="743" ht="15.75" customHeight="1"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V743" s="162"/>
    </row>
    <row r="744" ht="15.75" customHeight="1"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V744" s="162"/>
    </row>
    <row r="745" ht="15.75" customHeight="1"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V745" s="162"/>
    </row>
    <row r="746" ht="15.75" customHeight="1"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V746" s="162"/>
    </row>
    <row r="747" ht="15.75" customHeight="1"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V747" s="162"/>
    </row>
    <row r="748" ht="15.75" customHeight="1"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V748" s="162"/>
    </row>
    <row r="749" ht="15.75" customHeight="1"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V749" s="162"/>
    </row>
    <row r="750" ht="15.75" customHeight="1"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V750" s="162"/>
    </row>
    <row r="751" ht="15.75" customHeight="1"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V751" s="162"/>
    </row>
    <row r="752" ht="15.75" customHeight="1"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V752" s="162"/>
    </row>
    <row r="753" ht="15.75" customHeight="1"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V753" s="162"/>
    </row>
    <row r="754" ht="15.75" customHeight="1"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V754" s="162"/>
    </row>
    <row r="755" ht="15.75" customHeight="1"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V755" s="162"/>
    </row>
    <row r="756" ht="15.75" customHeight="1"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V756" s="162"/>
    </row>
    <row r="757" ht="15.75" customHeight="1"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V757" s="162"/>
    </row>
    <row r="758" ht="15.75" customHeight="1"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V758" s="162"/>
    </row>
    <row r="759" ht="15.75" customHeight="1"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V759" s="162"/>
    </row>
    <row r="760" ht="15.75" customHeight="1"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V760" s="162"/>
    </row>
    <row r="761" ht="15.75" customHeight="1"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V761" s="162"/>
    </row>
    <row r="762" ht="15.75" customHeight="1"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V762" s="162"/>
    </row>
    <row r="763" ht="15.75" customHeight="1"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V763" s="162"/>
    </row>
    <row r="764" ht="15.75" customHeight="1"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V764" s="162"/>
    </row>
    <row r="765" ht="15.75" customHeight="1"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V765" s="162"/>
    </row>
    <row r="766" ht="15.75" customHeight="1"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V766" s="162"/>
    </row>
    <row r="767" ht="15.75" customHeight="1"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V767" s="162"/>
    </row>
    <row r="768" ht="15.75" customHeight="1"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V768" s="162"/>
    </row>
    <row r="769" ht="15.75" customHeight="1"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V769" s="162"/>
    </row>
    <row r="770" ht="15.75" customHeight="1"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V770" s="162"/>
    </row>
    <row r="771" ht="15.75" customHeight="1"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V771" s="162"/>
    </row>
    <row r="772" ht="15.75" customHeight="1"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V772" s="162"/>
    </row>
    <row r="773" ht="15.75" customHeight="1"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V773" s="162"/>
    </row>
    <row r="774" ht="15.75" customHeight="1"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V774" s="162"/>
    </row>
    <row r="775" ht="15.75" customHeight="1"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V775" s="162"/>
    </row>
    <row r="776" ht="15.75" customHeight="1"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V776" s="162"/>
    </row>
    <row r="777" ht="15.75" customHeight="1"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V777" s="162"/>
    </row>
    <row r="778" ht="15.75" customHeight="1"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V778" s="162"/>
    </row>
    <row r="779" ht="15.75" customHeight="1"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V779" s="162"/>
    </row>
    <row r="780" ht="15.75" customHeight="1"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V780" s="162"/>
    </row>
    <row r="781" ht="15.75" customHeight="1"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V781" s="162"/>
    </row>
    <row r="782" ht="15.75" customHeight="1"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V782" s="162"/>
    </row>
    <row r="783" ht="15.75" customHeight="1"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V783" s="162"/>
    </row>
    <row r="784" ht="15.75" customHeight="1"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V784" s="162"/>
    </row>
    <row r="785" ht="15.75" customHeight="1"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V785" s="162"/>
    </row>
    <row r="786" ht="15.75" customHeight="1"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V786" s="162"/>
    </row>
    <row r="787" ht="15.75" customHeight="1"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V787" s="162"/>
    </row>
    <row r="788" ht="15.75" customHeight="1"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V788" s="162"/>
    </row>
    <row r="789" ht="15.75" customHeight="1"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V789" s="162"/>
    </row>
    <row r="790" ht="15.75" customHeight="1"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V790" s="162"/>
    </row>
    <row r="791" ht="15.75" customHeight="1"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V791" s="162"/>
    </row>
    <row r="792" ht="15.75" customHeight="1"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V792" s="162"/>
    </row>
    <row r="793" ht="15.75" customHeight="1"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V793" s="162"/>
    </row>
    <row r="794" ht="15.75" customHeight="1"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V794" s="162"/>
    </row>
    <row r="795" ht="15.75" customHeight="1"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V795" s="162"/>
    </row>
    <row r="796" ht="15.75" customHeight="1"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V796" s="162"/>
    </row>
    <row r="797" ht="15.75" customHeight="1"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V797" s="162"/>
    </row>
    <row r="798" ht="15.75" customHeight="1"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V798" s="162"/>
    </row>
    <row r="799" ht="15.75" customHeight="1"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V799" s="162"/>
    </row>
    <row r="800" ht="15.75" customHeight="1"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V800" s="162"/>
    </row>
    <row r="801" ht="15.75" customHeight="1"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V801" s="162"/>
    </row>
    <row r="802" ht="15.75" customHeight="1"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V802" s="162"/>
    </row>
    <row r="803" ht="15.75" customHeight="1"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V803" s="162"/>
    </row>
    <row r="804" ht="15.75" customHeight="1"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V804" s="162"/>
    </row>
    <row r="805" ht="15.75" customHeight="1"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V805" s="162"/>
    </row>
    <row r="806" ht="15.75" customHeight="1"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V806" s="162"/>
    </row>
    <row r="807" ht="15.75" customHeight="1"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V807" s="162"/>
    </row>
    <row r="808" ht="15.75" customHeight="1"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V808" s="162"/>
    </row>
    <row r="809" ht="15.75" customHeight="1"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V809" s="162"/>
    </row>
    <row r="810" ht="15.75" customHeight="1"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V810" s="162"/>
    </row>
    <row r="811" ht="15.75" customHeight="1"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V811" s="162"/>
    </row>
    <row r="812" ht="15.75" customHeight="1"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V812" s="162"/>
    </row>
    <row r="813" ht="15.75" customHeight="1"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V813" s="162"/>
    </row>
    <row r="814" ht="15.75" customHeight="1"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V814" s="162"/>
    </row>
    <row r="815" ht="15.75" customHeight="1"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V815" s="162"/>
    </row>
    <row r="816" ht="15.75" customHeight="1"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V816" s="162"/>
    </row>
    <row r="817" ht="15.75" customHeight="1"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V817" s="162"/>
    </row>
    <row r="818" ht="15.75" customHeight="1"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V818" s="162"/>
    </row>
    <row r="819" ht="15.75" customHeight="1"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V819" s="162"/>
    </row>
    <row r="820" ht="15.75" customHeight="1"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V820" s="162"/>
    </row>
    <row r="821" ht="15.75" customHeight="1"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V821" s="162"/>
    </row>
    <row r="822" ht="15.75" customHeight="1"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V822" s="162"/>
    </row>
    <row r="823" ht="15.75" customHeight="1"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V823" s="162"/>
    </row>
    <row r="824" ht="15.75" customHeight="1"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V824" s="162"/>
    </row>
    <row r="825" ht="15.75" customHeight="1"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V825" s="162"/>
    </row>
    <row r="826" ht="15.75" customHeight="1"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V826" s="162"/>
    </row>
    <row r="827" ht="15.75" customHeight="1"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V827" s="162"/>
    </row>
    <row r="828" ht="15.75" customHeight="1"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V828" s="162"/>
    </row>
    <row r="829" ht="15.75" customHeight="1"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V829" s="162"/>
    </row>
    <row r="830" ht="15.75" customHeight="1"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V830" s="162"/>
    </row>
    <row r="831" ht="15.75" customHeight="1"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V831" s="162"/>
    </row>
    <row r="832" ht="15.75" customHeight="1"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V832" s="162"/>
    </row>
    <row r="833" ht="15.75" customHeight="1"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V833" s="162"/>
    </row>
    <row r="834" ht="15.75" customHeight="1"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V834" s="162"/>
    </row>
    <row r="835" ht="15.75" customHeight="1"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V835" s="162"/>
    </row>
    <row r="836" ht="15.75" customHeight="1"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V836" s="162"/>
    </row>
    <row r="837" ht="15.75" customHeight="1"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V837" s="162"/>
    </row>
    <row r="838" ht="15.75" customHeight="1"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V838" s="162"/>
    </row>
    <row r="839" ht="15.75" customHeight="1"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V839" s="162"/>
    </row>
    <row r="840" ht="15.75" customHeight="1"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V840" s="162"/>
    </row>
    <row r="841" ht="15.75" customHeight="1"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V841" s="162"/>
    </row>
    <row r="842" ht="15.75" customHeight="1"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V842" s="162"/>
    </row>
    <row r="843" ht="15.75" customHeight="1"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V843" s="162"/>
    </row>
    <row r="844" ht="15.75" customHeight="1"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V844" s="162"/>
    </row>
    <row r="845" ht="15.75" customHeight="1"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V845" s="162"/>
    </row>
    <row r="846" ht="15.75" customHeight="1"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V846" s="162"/>
    </row>
    <row r="847" ht="15.75" customHeight="1"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V847" s="162"/>
    </row>
    <row r="848" ht="15.75" customHeight="1"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V848" s="162"/>
    </row>
    <row r="849" ht="15.75" customHeight="1"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V849" s="162"/>
    </row>
    <row r="850" ht="15.75" customHeight="1"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V850" s="162"/>
    </row>
    <row r="851" ht="15.75" customHeight="1"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V851" s="162"/>
    </row>
    <row r="852" ht="15.75" customHeight="1"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V852" s="162"/>
    </row>
    <row r="853" ht="15.75" customHeight="1"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V853" s="162"/>
    </row>
    <row r="854" ht="15.75" customHeight="1"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V854" s="162"/>
    </row>
    <row r="855" ht="15.75" customHeight="1"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V855" s="162"/>
    </row>
    <row r="856" ht="15.75" customHeight="1"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V856" s="162"/>
    </row>
    <row r="857" ht="15.75" customHeight="1"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V857" s="162"/>
    </row>
    <row r="858" ht="15.75" customHeight="1"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V858" s="162"/>
    </row>
    <row r="859" ht="15.75" customHeight="1"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V859" s="162"/>
    </row>
    <row r="860" ht="15.75" customHeight="1"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V860" s="162"/>
    </row>
    <row r="861" ht="15.75" customHeight="1"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V861" s="162"/>
    </row>
    <row r="862" ht="15.75" customHeight="1"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V862" s="162"/>
    </row>
    <row r="863" ht="15.75" customHeight="1"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V863" s="162"/>
    </row>
    <row r="864" ht="15.75" customHeight="1"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V864" s="162"/>
    </row>
    <row r="865" ht="15.75" customHeight="1"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V865" s="162"/>
    </row>
    <row r="866" ht="15.75" customHeight="1"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V866" s="162"/>
    </row>
    <row r="867" ht="15.75" customHeight="1"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V867" s="162"/>
    </row>
    <row r="868" ht="15.75" customHeight="1"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V868" s="162"/>
    </row>
    <row r="869" ht="15.75" customHeight="1"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V869" s="162"/>
    </row>
    <row r="870" ht="15.75" customHeight="1"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V870" s="162"/>
    </row>
    <row r="871" ht="15.75" customHeight="1"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V871" s="162"/>
    </row>
    <row r="872" ht="15.75" customHeight="1"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V872" s="162"/>
    </row>
    <row r="873" ht="15.75" customHeight="1"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V873" s="162"/>
    </row>
    <row r="874" ht="15.75" customHeight="1"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V874" s="162"/>
    </row>
    <row r="875" ht="15.75" customHeight="1"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V875" s="162"/>
    </row>
    <row r="876" ht="15.75" customHeight="1"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V876" s="162"/>
    </row>
    <row r="877" ht="15.75" customHeight="1"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V877" s="162"/>
    </row>
    <row r="878" ht="15.75" customHeight="1"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V878" s="162"/>
    </row>
    <row r="879" ht="15.75" customHeight="1"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V879" s="162"/>
    </row>
    <row r="880" ht="15.75" customHeight="1"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V880" s="162"/>
    </row>
    <row r="881" ht="15.75" customHeight="1"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V881" s="162"/>
    </row>
    <row r="882" ht="15.75" customHeight="1"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V882" s="162"/>
    </row>
    <row r="883" ht="15.75" customHeight="1"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V883" s="162"/>
    </row>
    <row r="884" ht="15.75" customHeight="1"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V884" s="162"/>
    </row>
    <row r="885" ht="15.75" customHeight="1"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V885" s="162"/>
    </row>
    <row r="886" ht="15.75" customHeight="1"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V886" s="162"/>
    </row>
    <row r="887" ht="15.75" customHeight="1"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V887" s="162"/>
    </row>
    <row r="888" ht="15.75" customHeight="1"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V888" s="162"/>
    </row>
    <row r="889" ht="15.75" customHeight="1"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V889" s="162"/>
    </row>
    <row r="890" ht="15.75" customHeight="1"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V890" s="162"/>
    </row>
    <row r="891" ht="15.75" customHeight="1"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V891" s="162"/>
    </row>
    <row r="892" ht="15.75" customHeight="1"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V892" s="162"/>
    </row>
    <row r="893" ht="15.75" customHeight="1"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V893" s="162"/>
    </row>
    <row r="894" ht="15.75" customHeight="1"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V894" s="162"/>
    </row>
    <row r="895" ht="15.75" customHeight="1"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V895" s="162"/>
    </row>
    <row r="896" ht="15.75" customHeight="1"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V896" s="162"/>
    </row>
    <row r="897" ht="15.75" customHeight="1"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V897" s="162"/>
    </row>
    <row r="898" ht="15.75" customHeight="1"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V898" s="162"/>
    </row>
    <row r="899" ht="15.75" customHeight="1"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V899" s="162"/>
    </row>
    <row r="900" ht="15.75" customHeight="1"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V900" s="162"/>
    </row>
    <row r="901" ht="15.75" customHeight="1"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V901" s="162"/>
    </row>
    <row r="902" ht="15.75" customHeight="1"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V902" s="162"/>
    </row>
    <row r="903" ht="15.75" customHeight="1"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V903" s="162"/>
    </row>
    <row r="904" ht="15.75" customHeight="1"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V904" s="162"/>
    </row>
    <row r="905" ht="15.75" customHeight="1"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V905" s="162"/>
    </row>
    <row r="906" ht="15.75" customHeight="1"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V906" s="162"/>
    </row>
    <row r="907" ht="15.75" customHeight="1"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V907" s="162"/>
    </row>
    <row r="908" ht="15.75" customHeight="1"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V908" s="162"/>
    </row>
    <row r="909" ht="15.75" customHeight="1"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V909" s="162"/>
    </row>
    <row r="910" ht="15.75" customHeight="1"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V910" s="162"/>
    </row>
    <row r="911" ht="15.75" customHeight="1"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V911" s="162"/>
    </row>
    <row r="912" ht="15.75" customHeight="1"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V912" s="162"/>
    </row>
    <row r="913" ht="15.75" customHeight="1"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V913" s="162"/>
    </row>
    <row r="914" ht="15.75" customHeight="1"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V914" s="162"/>
    </row>
    <row r="915" ht="15.75" customHeight="1"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V915" s="162"/>
    </row>
    <row r="916" ht="15.75" customHeight="1"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V916" s="162"/>
    </row>
    <row r="917" ht="15.75" customHeight="1"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V917" s="162"/>
    </row>
    <row r="918" ht="15.75" customHeight="1"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V918" s="162"/>
    </row>
    <row r="919" ht="15.75" customHeight="1"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V919" s="162"/>
    </row>
    <row r="920" ht="15.75" customHeight="1"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V920" s="162"/>
    </row>
    <row r="921" ht="15.75" customHeight="1"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V921" s="162"/>
    </row>
    <row r="922" ht="15.75" customHeight="1"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V922" s="162"/>
    </row>
    <row r="923" ht="15.75" customHeight="1"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V923" s="162"/>
    </row>
    <row r="924" ht="15.75" customHeight="1"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V924" s="162"/>
    </row>
    <row r="925" ht="15.75" customHeight="1"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V925" s="162"/>
    </row>
    <row r="926" ht="15.75" customHeight="1"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V926" s="162"/>
    </row>
    <row r="927" ht="15.75" customHeight="1"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V927" s="162"/>
    </row>
    <row r="928" ht="15.75" customHeight="1"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V928" s="162"/>
    </row>
    <row r="929" ht="15.75" customHeight="1"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V929" s="162"/>
    </row>
    <row r="930" ht="15.75" customHeight="1"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V930" s="162"/>
    </row>
    <row r="931" ht="15.75" customHeight="1"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V931" s="162"/>
    </row>
    <row r="932" ht="15.75" customHeight="1"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V932" s="162"/>
    </row>
    <row r="933" ht="15.75" customHeight="1"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V933" s="162"/>
    </row>
    <row r="934" ht="15.75" customHeight="1"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V934" s="162"/>
    </row>
    <row r="935" ht="15.75" customHeight="1"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V935" s="162"/>
    </row>
    <row r="936" ht="15.75" customHeight="1"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V936" s="162"/>
    </row>
    <row r="937" ht="15.75" customHeight="1"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V937" s="162"/>
    </row>
    <row r="938" ht="15.75" customHeight="1"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V938" s="162"/>
    </row>
    <row r="939" ht="15.75" customHeight="1"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V939" s="162"/>
    </row>
    <row r="940" ht="15.75" customHeight="1"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V940" s="162"/>
    </row>
    <row r="941" ht="15.75" customHeight="1"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V941" s="162"/>
    </row>
    <row r="942" ht="15.75" customHeight="1"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V942" s="162"/>
    </row>
    <row r="943" ht="15.75" customHeight="1"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V943" s="162"/>
    </row>
    <row r="944" ht="15.75" customHeight="1"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V944" s="162"/>
    </row>
    <row r="945" ht="15.75" customHeight="1"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V945" s="162"/>
    </row>
    <row r="946" ht="15.75" customHeight="1"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V946" s="162"/>
    </row>
    <row r="947" ht="15.75" customHeight="1"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V947" s="162"/>
    </row>
    <row r="948" ht="15.75" customHeight="1"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V948" s="162"/>
    </row>
    <row r="949" ht="15.75" customHeight="1"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V949" s="162"/>
    </row>
    <row r="950" ht="15.75" customHeight="1"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V950" s="162"/>
    </row>
    <row r="951" ht="15.75" customHeight="1"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V951" s="162"/>
    </row>
    <row r="952" ht="15.75" customHeight="1"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V952" s="162"/>
    </row>
    <row r="953" ht="15.75" customHeight="1"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V953" s="162"/>
    </row>
    <row r="954" ht="15.75" customHeight="1"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V954" s="162"/>
    </row>
    <row r="955" ht="15.75" customHeight="1"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V955" s="162"/>
    </row>
    <row r="956" ht="15.75" customHeight="1"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V956" s="162"/>
    </row>
    <row r="957" ht="15.75" customHeight="1"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V957" s="162"/>
    </row>
    <row r="958" ht="15.75" customHeight="1"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V958" s="162"/>
    </row>
    <row r="959" ht="15.75" customHeight="1"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V959" s="162"/>
    </row>
    <row r="960" ht="15.75" customHeight="1"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V960" s="162"/>
    </row>
    <row r="961" ht="15.75" customHeight="1"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V961" s="162"/>
    </row>
    <row r="962" ht="15.75" customHeight="1"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V962" s="162"/>
    </row>
    <row r="963" ht="15.75" customHeight="1"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V963" s="162"/>
    </row>
    <row r="964" ht="15.75" customHeight="1"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V964" s="162"/>
    </row>
    <row r="965" ht="15.75" customHeight="1"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V965" s="162"/>
    </row>
    <row r="966" ht="15.75" customHeight="1"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V966" s="162"/>
    </row>
    <row r="967" ht="15.75" customHeight="1"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V967" s="162"/>
    </row>
    <row r="968" ht="15.75" customHeight="1"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V968" s="162"/>
    </row>
    <row r="969" ht="15.75" customHeight="1"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V969" s="162"/>
    </row>
    <row r="970" ht="15.75" customHeight="1"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V970" s="162"/>
    </row>
    <row r="971" ht="15.75" customHeight="1"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V971" s="162"/>
    </row>
    <row r="972" ht="15.75" customHeight="1"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V972" s="162"/>
    </row>
    <row r="973" ht="15.75" customHeight="1"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V973" s="162"/>
    </row>
    <row r="974" ht="15.75" customHeight="1"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V974" s="162"/>
    </row>
    <row r="975" ht="15.75" customHeight="1"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V975" s="162"/>
    </row>
    <row r="976" ht="15.75" customHeight="1"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V976" s="162"/>
    </row>
    <row r="977" ht="15.75" customHeight="1"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V977" s="162"/>
    </row>
    <row r="978" ht="15.75" customHeight="1"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V978" s="162"/>
    </row>
    <row r="979" ht="15.75" customHeight="1"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V979" s="162"/>
    </row>
    <row r="980" ht="15.75" customHeight="1"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V980" s="162"/>
    </row>
    <row r="981" ht="15.75" customHeight="1"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V981" s="162"/>
    </row>
    <row r="982" ht="15.75" customHeight="1"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V982" s="162"/>
    </row>
    <row r="983" ht="15.75" customHeight="1"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V983" s="162"/>
    </row>
    <row r="984" ht="15.75" customHeight="1"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V984" s="162"/>
    </row>
    <row r="985" ht="15.75" customHeight="1"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V985" s="162"/>
    </row>
    <row r="986" ht="15.75" customHeight="1"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V986" s="162"/>
    </row>
    <row r="987" ht="15.75" customHeight="1"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V987" s="162"/>
    </row>
    <row r="988" ht="15.75" customHeight="1"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V988" s="162"/>
    </row>
    <row r="989" ht="15.75" customHeight="1"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V989" s="162"/>
    </row>
    <row r="990" ht="15.75" customHeight="1"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V990" s="162"/>
    </row>
    <row r="991" ht="15.75" customHeight="1"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V991" s="162"/>
    </row>
    <row r="992" ht="15.75" customHeight="1"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V992" s="162"/>
    </row>
    <row r="993" ht="15.75" customHeight="1"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V993" s="162"/>
    </row>
    <row r="994" ht="15.75" customHeight="1"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V994" s="162"/>
    </row>
    <row r="995" ht="15.75" customHeight="1"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V995" s="162"/>
    </row>
    <row r="996" ht="15.75" customHeight="1"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V996" s="162"/>
    </row>
    <row r="997" ht="15.75" customHeight="1"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V997" s="162"/>
    </row>
    <row r="998" ht="15.75" customHeight="1"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V998" s="162"/>
    </row>
    <row r="999" ht="15.75" customHeight="1"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V999" s="162"/>
    </row>
    <row r="1000" ht="15.75" customHeight="1"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V1000" s="162"/>
    </row>
    <row r="1001" ht="15.75" customHeight="1"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V1001" s="162"/>
    </row>
    <row r="1002" ht="15.75" customHeight="1"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V1002" s="162"/>
    </row>
    <row r="1003" ht="15.75" customHeight="1"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V1003" s="162"/>
    </row>
    <row r="1004" ht="15.75" customHeight="1"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V1004" s="162"/>
    </row>
    <row r="1005" ht="15.75" customHeight="1"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V1005" s="162"/>
    </row>
    <row r="1006" ht="15.75" customHeight="1"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V1006" s="162"/>
    </row>
    <row r="1007" ht="15.75" customHeight="1"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V1007" s="162"/>
    </row>
    <row r="1008" ht="15.75" customHeight="1"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V1008" s="162"/>
    </row>
    <row r="1009" ht="15.75" customHeight="1"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V1009" s="162"/>
    </row>
    <row r="1010" ht="15.75" customHeight="1"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V1010" s="162"/>
    </row>
    <row r="1011" ht="15.75" customHeight="1"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V1011" s="162"/>
    </row>
    <row r="1012" ht="15.75" customHeight="1"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V1012" s="162"/>
    </row>
    <row r="1013" ht="15.75" customHeight="1"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V1013" s="162"/>
    </row>
    <row r="1014" ht="15.75" customHeight="1"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V1014" s="162"/>
    </row>
    <row r="1015" ht="15.75" customHeight="1"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V1015" s="162"/>
    </row>
    <row r="1016" ht="15.75" customHeight="1"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V1016" s="162"/>
    </row>
    <row r="1017" ht="15.75" customHeight="1"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V1017" s="162"/>
    </row>
    <row r="1018" ht="15.75" customHeight="1"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V1018" s="162"/>
    </row>
    <row r="1019" ht="15.75" customHeight="1"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V1019" s="162"/>
    </row>
    <row r="1020" ht="15.75" customHeight="1"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V1020" s="162"/>
    </row>
    <row r="1021" ht="15.75" customHeight="1"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V1021" s="162"/>
    </row>
    <row r="1022" ht="15.75" customHeight="1"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V1022" s="162"/>
    </row>
    <row r="1023" ht="15.75" customHeight="1"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V1023" s="162"/>
    </row>
    <row r="1024" ht="15.75" customHeight="1"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V1024" s="162"/>
    </row>
    <row r="1025" ht="15.75" customHeight="1"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V1025" s="162"/>
    </row>
  </sheetData>
  <mergeCells count="3">
    <mergeCell ref="A2:U2"/>
    <mergeCell ref="A22:U22"/>
    <mergeCell ref="A45:U45"/>
  </mergeCells>
  <conditionalFormatting sqref="U1 U3:U21 U23:U44 U46:U1025">
    <cfRule type="cellIs" dxfId="0" priority="1" operator="equal">
      <formula>0</formula>
    </cfRule>
  </conditionalFormatting>
  <conditionalFormatting sqref="U1 U3:U21 U23:U44 U46:U1025">
    <cfRule type="cellIs" dxfId="0" priority="2" operator="lessThan">
      <formula>0</formula>
    </cfRule>
  </conditionalFormatting>
  <conditionalFormatting sqref="X2:X54">
    <cfRule type="containsText" dxfId="1" priority="3" operator="containsText" text="Pending">
      <formula>NOT(ISERROR(SEARCH(("Pending"),(X2))))</formula>
    </cfRule>
  </conditionalFormatting>
  <conditionalFormatting sqref="X2:X54">
    <cfRule type="containsText" dxfId="2" priority="4" operator="containsText" text="N/A">
      <formula>NOT(ISERROR(SEARCH(("N/A"),(X2))))</formula>
    </cfRule>
  </conditionalFormatting>
  <conditionalFormatting sqref="X2:X54">
    <cfRule type="containsText" dxfId="0" priority="5" operator="containsText" text="Done">
      <formula>NOT(ISERROR(SEARCH(("Done"),(X2))))</formula>
    </cfRule>
  </conditionalFormatting>
  <conditionalFormatting sqref="X2:X54">
    <cfRule type="containsText" dxfId="3" priority="6" operator="containsText" text="In Progress">
      <formula>NOT(ISERROR(SEARCH(("In Progress"),(X2))))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0.63"/>
    <col customWidth="1" min="3" max="3" width="12.63"/>
    <col customWidth="1" min="4" max="4" width="15.0"/>
    <col customWidth="1" hidden="1" min="5" max="17" width="12.63"/>
    <col customWidth="1" min="18" max="20" width="12.63"/>
    <col customWidth="1" min="22" max="22" width="15.25"/>
    <col customWidth="1" min="23" max="23" width="20.13"/>
    <col customWidth="1" min="25" max="25" width="14.63"/>
  </cols>
  <sheetData>
    <row r="1" ht="15.75" customHeight="1">
      <c r="A1" s="1">
        <v>0.0</v>
      </c>
      <c r="B1" s="3" t="s">
        <v>2</v>
      </c>
      <c r="C1" s="5" t="s">
        <v>3</v>
      </c>
      <c r="D1" s="5" t="s">
        <v>4</v>
      </c>
      <c r="E1" s="5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11</v>
      </c>
      <c r="K1" s="8" t="s">
        <v>13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22</v>
      </c>
      <c r="S1" s="8" t="s">
        <v>24</v>
      </c>
      <c r="T1" s="8" t="s">
        <v>26</v>
      </c>
      <c r="U1" s="5" t="s">
        <v>28</v>
      </c>
      <c r="V1" s="5" t="s">
        <v>30</v>
      </c>
      <c r="W1" s="9"/>
      <c r="X1" s="10"/>
      <c r="Y1" s="10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ht="15.75" customHeight="1">
      <c r="A2" s="14">
        <v>501.0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9"/>
      <c r="W2" s="21"/>
      <c r="X2" s="22"/>
      <c r="Y2" s="22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ht="15.75" customHeight="1">
      <c r="A3" s="25">
        <v>1.0</v>
      </c>
      <c r="B3" s="20" t="s">
        <v>45</v>
      </c>
      <c r="C3" s="26">
        <v>30.0</v>
      </c>
      <c r="D3" s="23">
        <f t="shared" ref="D3:D26" si="1">(E3+F3+G3+H3+I3+J3+K3+L3+M3+N3+O3+P3+Q3+R3+S3+T3)</f>
        <v>5</v>
      </c>
      <c r="E3" s="26"/>
      <c r="F3" s="26"/>
      <c r="G3" s="26"/>
      <c r="H3" s="26"/>
      <c r="I3" s="26">
        <v>5.0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3">
        <f>SUMIFS('UK London sales'!D:D, 'UK London sales'!B:B, B3, 'UK London sales'!C:C, C3)</f>
        <v>4</v>
      </c>
      <c r="V3" s="23">
        <f t="shared" ref="V3:V26" si="2">D3-U3</f>
        <v>1</v>
      </c>
      <c r="W3" s="32"/>
      <c r="X3" s="28"/>
      <c r="Y3" s="33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ht="15.75" customHeight="1">
      <c r="A4" s="30">
        <v>2.0</v>
      </c>
      <c r="B4" s="20" t="s">
        <v>45</v>
      </c>
      <c r="C4" s="23">
        <v>32.0</v>
      </c>
      <c r="D4" s="23">
        <f t="shared" si="1"/>
        <v>100</v>
      </c>
      <c r="E4" s="23">
        <v>33.0</v>
      </c>
      <c r="F4" s="26">
        <v>8.0</v>
      </c>
      <c r="G4" s="26"/>
      <c r="H4" s="26"/>
      <c r="I4" s="26">
        <v>10.0</v>
      </c>
      <c r="J4" s="26">
        <v>10.0</v>
      </c>
      <c r="K4" s="26">
        <v>12.0</v>
      </c>
      <c r="L4" s="26">
        <v>13.0</v>
      </c>
      <c r="M4" s="26">
        <v>2.0</v>
      </c>
      <c r="N4" s="26"/>
      <c r="O4" s="26">
        <v>12.0</v>
      </c>
      <c r="P4" s="26"/>
      <c r="Q4" s="26"/>
      <c r="R4" s="26"/>
      <c r="S4" s="26"/>
      <c r="T4" s="26"/>
      <c r="U4" s="23">
        <f>SUMIFS('UK London sales'!D:D, 'UK London sales'!B:B, B4, 'UK London sales'!C:C, C4)</f>
        <v>100</v>
      </c>
      <c r="V4" s="23">
        <f t="shared" si="2"/>
        <v>0</v>
      </c>
      <c r="W4" s="38"/>
      <c r="X4" s="28"/>
      <c r="Y4" s="40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ht="15.75" customHeight="1">
      <c r="A5" s="30">
        <v>3.0</v>
      </c>
      <c r="B5" s="20" t="s">
        <v>45</v>
      </c>
      <c r="C5" s="23">
        <v>34.0</v>
      </c>
      <c r="D5" s="23">
        <f t="shared" si="1"/>
        <v>107</v>
      </c>
      <c r="E5" s="23">
        <v>33.0</v>
      </c>
      <c r="F5" s="26">
        <v>17.0</v>
      </c>
      <c r="G5" s="26"/>
      <c r="H5" s="26"/>
      <c r="I5" s="26">
        <v>10.0</v>
      </c>
      <c r="J5" s="26">
        <v>10.0</v>
      </c>
      <c r="K5" s="26">
        <v>9.0</v>
      </c>
      <c r="L5" s="26">
        <v>13.0</v>
      </c>
      <c r="M5" s="26"/>
      <c r="N5" s="26"/>
      <c r="O5" s="26">
        <v>12.0</v>
      </c>
      <c r="P5" s="26"/>
      <c r="Q5" s="26">
        <v>3.0</v>
      </c>
      <c r="R5" s="26"/>
      <c r="S5" s="26"/>
      <c r="T5" s="26"/>
      <c r="U5" s="23">
        <f>SUMIFS('UK London sales'!D:D, 'UK London sales'!B:B, B5, 'UK London sales'!C:C, C5)</f>
        <v>107</v>
      </c>
      <c r="V5" s="23">
        <f t="shared" si="2"/>
        <v>0</v>
      </c>
      <c r="W5" s="38"/>
      <c r="X5" s="28"/>
      <c r="Y5" s="40"/>
      <c r="Z5" s="11"/>
      <c r="AA5" s="41"/>
      <c r="AB5" s="4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ht="15.75" customHeight="1">
      <c r="A6" s="30">
        <v>4.0</v>
      </c>
      <c r="B6" s="20" t="s">
        <v>45</v>
      </c>
      <c r="C6" s="23">
        <v>36.0</v>
      </c>
      <c r="D6" s="23">
        <f t="shared" si="1"/>
        <v>81</v>
      </c>
      <c r="E6" s="23">
        <v>20.0</v>
      </c>
      <c r="F6" s="26">
        <v>8.0</v>
      </c>
      <c r="G6" s="26"/>
      <c r="H6" s="26"/>
      <c r="I6" s="26">
        <v>9.0</v>
      </c>
      <c r="J6" s="26">
        <v>13.0</v>
      </c>
      <c r="K6" s="26">
        <v>9.0</v>
      </c>
      <c r="L6" s="26">
        <v>6.0</v>
      </c>
      <c r="M6" s="26">
        <v>3.0</v>
      </c>
      <c r="N6" s="26"/>
      <c r="O6" s="26">
        <v>12.0</v>
      </c>
      <c r="P6" s="26"/>
      <c r="Q6" s="26">
        <v>1.0</v>
      </c>
      <c r="R6" s="26"/>
      <c r="S6" s="26"/>
      <c r="T6" s="26"/>
      <c r="U6" s="23">
        <f>SUMIFS('UK London sales'!D:D, 'UK London sales'!B:B, B6, 'UK London sales'!C:C, C6)</f>
        <v>81</v>
      </c>
      <c r="V6" s="23">
        <f t="shared" si="2"/>
        <v>0</v>
      </c>
      <c r="W6" s="38"/>
      <c r="X6" s="28"/>
      <c r="Y6" s="40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ht="15.75" customHeight="1">
      <c r="A7" s="43">
        <v>6.0</v>
      </c>
      <c r="B7" s="39" t="s">
        <v>50</v>
      </c>
      <c r="C7" s="44">
        <v>30.0</v>
      </c>
      <c r="D7" s="23">
        <f t="shared" si="1"/>
        <v>5</v>
      </c>
      <c r="E7" s="42"/>
      <c r="F7" s="42"/>
      <c r="G7" s="44"/>
      <c r="H7" s="44"/>
      <c r="I7" s="44">
        <v>5.0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2">
        <f>SUMIFS('UK London sales'!D:D, 'UK London sales'!B:B, B7, 'UK London sales'!C:C, C7)</f>
        <v>5</v>
      </c>
      <c r="V7" s="42">
        <f t="shared" si="2"/>
        <v>0</v>
      </c>
      <c r="W7" s="34"/>
      <c r="X7" s="28"/>
      <c r="Y7" s="40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ht="15.75" customHeight="1">
      <c r="A8" s="43">
        <v>5.0</v>
      </c>
      <c r="B8" s="48" t="s">
        <v>57</v>
      </c>
      <c r="C8" s="44">
        <v>32.0</v>
      </c>
      <c r="D8" s="23">
        <f t="shared" si="1"/>
        <v>10</v>
      </c>
      <c r="E8" s="42"/>
      <c r="F8" s="42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>
        <v>10.0</v>
      </c>
      <c r="T8" s="44"/>
      <c r="U8" s="42">
        <f>SUMIFS('UK London sales'!D:D, 'UK London sales'!B:B, B8, 'UK London sales'!C:C, C8)</f>
        <v>8</v>
      </c>
      <c r="V8" s="42">
        <f t="shared" si="2"/>
        <v>2</v>
      </c>
      <c r="W8" s="49"/>
      <c r="X8" s="28"/>
      <c r="Y8" s="40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ht="15.75" customHeight="1">
      <c r="A9" s="43">
        <v>7.0</v>
      </c>
      <c r="B9" s="39" t="s">
        <v>50</v>
      </c>
      <c r="C9" s="42">
        <v>32.0</v>
      </c>
      <c r="D9" s="23">
        <f t="shared" si="1"/>
        <v>40</v>
      </c>
      <c r="E9" s="42"/>
      <c r="F9" s="42"/>
      <c r="G9" s="44">
        <v>3.0</v>
      </c>
      <c r="H9" s="44">
        <v>10.0</v>
      </c>
      <c r="I9" s="44">
        <v>5.0</v>
      </c>
      <c r="J9" s="44"/>
      <c r="K9" s="44"/>
      <c r="L9" s="44"/>
      <c r="M9" s="44"/>
      <c r="N9" s="44">
        <v>12.0</v>
      </c>
      <c r="O9" s="44"/>
      <c r="P9" s="44"/>
      <c r="Q9" s="44"/>
      <c r="R9" s="44">
        <v>10.0</v>
      </c>
      <c r="S9" s="44"/>
      <c r="T9" s="44"/>
      <c r="U9" s="42">
        <f>SUMIFS('UK London sales'!D:D, 'UK London sales'!B:B, B9, 'UK London sales'!C:C, C9)</f>
        <v>40</v>
      </c>
      <c r="V9" s="42">
        <f t="shared" si="2"/>
        <v>0</v>
      </c>
      <c r="W9" s="50"/>
      <c r="X9" s="28"/>
      <c r="Y9" s="40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</row>
    <row r="10" ht="15.75" customHeight="1">
      <c r="A10" s="43">
        <v>8.0</v>
      </c>
      <c r="B10" s="39" t="s">
        <v>50</v>
      </c>
      <c r="C10" s="42">
        <v>34.0</v>
      </c>
      <c r="D10" s="23">
        <f t="shared" si="1"/>
        <v>72</v>
      </c>
      <c r="E10" s="42"/>
      <c r="F10" s="42"/>
      <c r="G10" s="44">
        <v>19.0</v>
      </c>
      <c r="H10" s="44">
        <v>10.0</v>
      </c>
      <c r="I10" s="44">
        <v>9.0</v>
      </c>
      <c r="J10" s="44"/>
      <c r="K10" s="44"/>
      <c r="L10" s="44"/>
      <c r="M10" s="44">
        <v>1.0</v>
      </c>
      <c r="N10" s="44">
        <v>13.0</v>
      </c>
      <c r="O10" s="44"/>
      <c r="P10" s="44"/>
      <c r="Q10" s="44"/>
      <c r="R10" s="44">
        <v>10.0</v>
      </c>
      <c r="S10" s="44">
        <v>10.0</v>
      </c>
      <c r="T10" s="44"/>
      <c r="U10" s="42">
        <f>SUMIFS('UK London sales'!D:D, 'UK London sales'!B:B, B10, 'UK London sales'!C:C, C10)</f>
        <v>72</v>
      </c>
      <c r="V10" s="42">
        <f t="shared" si="2"/>
        <v>0</v>
      </c>
      <c r="W10" s="49"/>
      <c r="X10" s="28"/>
      <c r="Y10" s="40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ht="15.75" customHeight="1">
      <c r="A11" s="43">
        <v>9.0</v>
      </c>
      <c r="B11" s="39" t="s">
        <v>50</v>
      </c>
      <c r="C11" s="42">
        <v>36.0</v>
      </c>
      <c r="D11" s="23">
        <f t="shared" si="1"/>
        <v>59</v>
      </c>
      <c r="E11" s="42"/>
      <c r="F11" s="42"/>
      <c r="G11" s="44">
        <v>11.0</v>
      </c>
      <c r="H11" s="44">
        <v>10.0</v>
      </c>
      <c r="I11" s="44">
        <v>11.0</v>
      </c>
      <c r="J11" s="44"/>
      <c r="K11" s="44"/>
      <c r="L11" s="44"/>
      <c r="M11" s="44"/>
      <c r="N11" s="44">
        <v>5.0</v>
      </c>
      <c r="O11" s="44"/>
      <c r="P11" s="44"/>
      <c r="Q11" s="44">
        <v>2.0</v>
      </c>
      <c r="R11" s="44">
        <v>10.0</v>
      </c>
      <c r="S11" s="44">
        <v>10.0</v>
      </c>
      <c r="T11" s="44"/>
      <c r="U11" s="42">
        <f>SUMIFS('UK London sales'!D:D, 'UK London sales'!B:B, B11, 'UK London sales'!C:C, C11)</f>
        <v>54</v>
      </c>
      <c r="V11" s="42">
        <f t="shared" si="2"/>
        <v>5</v>
      </c>
      <c r="W11" s="49"/>
      <c r="X11" s="28"/>
      <c r="Y11" s="40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</row>
    <row r="12" ht="15.75" customHeight="1">
      <c r="A12" s="56">
        <v>10.0</v>
      </c>
      <c r="B12" s="57" t="s">
        <v>52</v>
      </c>
      <c r="C12" s="58">
        <v>30.0</v>
      </c>
      <c r="D12" s="23">
        <f t="shared" si="1"/>
        <v>8</v>
      </c>
      <c r="E12" s="58"/>
      <c r="F12" s="58"/>
      <c r="G12" s="58"/>
      <c r="H12" s="58"/>
      <c r="I12" s="58">
        <v>5.0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61">
        <v>3.0</v>
      </c>
      <c r="U12" s="59">
        <f>SUMIFS('UK London sales'!D:D, 'UK London sales'!B:B, B12, 'UK London sales'!C:C, C12)</f>
        <v>8</v>
      </c>
      <c r="V12" s="59">
        <f t="shared" si="2"/>
        <v>0</v>
      </c>
      <c r="W12" s="60"/>
      <c r="X12" s="28"/>
      <c r="Y12" s="40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ht="15.75" customHeight="1">
      <c r="A13" s="56">
        <v>11.0</v>
      </c>
      <c r="B13" s="57" t="s">
        <v>52</v>
      </c>
      <c r="C13" s="59">
        <v>32.0</v>
      </c>
      <c r="D13" s="23">
        <f t="shared" si="1"/>
        <v>88</v>
      </c>
      <c r="E13" s="58">
        <v>21.0</v>
      </c>
      <c r="F13" s="58">
        <v>10.0</v>
      </c>
      <c r="G13" s="58">
        <v>10.0</v>
      </c>
      <c r="H13" s="58">
        <v>10.0</v>
      </c>
      <c r="I13" s="58">
        <v>11.0</v>
      </c>
      <c r="J13" s="58"/>
      <c r="K13" s="58"/>
      <c r="L13" s="58"/>
      <c r="M13" s="61">
        <v>10.0</v>
      </c>
      <c r="N13" s="61"/>
      <c r="O13" s="61"/>
      <c r="P13" s="61"/>
      <c r="Q13" s="61">
        <v>11.0</v>
      </c>
      <c r="R13" s="61"/>
      <c r="S13" s="61"/>
      <c r="T13" s="61">
        <v>5.0</v>
      </c>
      <c r="U13" s="59">
        <f>SUMIFS('UK London sales'!D:D, 'UK London sales'!B:B, B13, 'UK London sales'!C:C, C13)</f>
        <v>89</v>
      </c>
      <c r="V13" s="59">
        <f t="shared" si="2"/>
        <v>-1</v>
      </c>
      <c r="W13" s="60"/>
      <c r="X13" s="28"/>
      <c r="Y13" s="40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ht="15.75" customHeight="1">
      <c r="A14" s="56">
        <v>12.0</v>
      </c>
      <c r="B14" s="57" t="s">
        <v>52</v>
      </c>
      <c r="C14" s="59">
        <v>34.0</v>
      </c>
      <c r="D14" s="23">
        <f t="shared" si="1"/>
        <v>97</v>
      </c>
      <c r="E14" s="59">
        <v>23.0</v>
      </c>
      <c r="F14" s="58">
        <v>10.0</v>
      </c>
      <c r="G14" s="58">
        <v>10.0</v>
      </c>
      <c r="H14" s="58">
        <v>10.0</v>
      </c>
      <c r="I14" s="58">
        <v>11.0</v>
      </c>
      <c r="J14" s="58"/>
      <c r="K14" s="58"/>
      <c r="L14" s="58"/>
      <c r="M14" s="58"/>
      <c r="N14" s="61">
        <v>15.0</v>
      </c>
      <c r="O14" s="61"/>
      <c r="P14" s="61"/>
      <c r="Q14" s="61">
        <v>12.0</v>
      </c>
      <c r="R14" s="61"/>
      <c r="S14" s="61"/>
      <c r="T14" s="61">
        <v>6.0</v>
      </c>
      <c r="U14" s="59">
        <f>SUMIFS('UK London sales'!D:D, 'UK London sales'!B:B, B14, 'UK London sales'!C:C, C14)</f>
        <v>97</v>
      </c>
      <c r="V14" s="59">
        <f t="shared" si="2"/>
        <v>0</v>
      </c>
      <c r="W14" s="60"/>
      <c r="X14" s="28"/>
      <c r="Y14" s="40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ht="15.75" customHeight="1">
      <c r="A15" s="56">
        <v>13.0</v>
      </c>
      <c r="B15" s="57" t="s">
        <v>52</v>
      </c>
      <c r="C15" s="59">
        <v>36.0</v>
      </c>
      <c r="D15" s="23">
        <f t="shared" si="1"/>
        <v>59</v>
      </c>
      <c r="E15" s="58">
        <v>8.0</v>
      </c>
      <c r="F15" s="58">
        <v>10.0</v>
      </c>
      <c r="G15" s="58">
        <v>10.0</v>
      </c>
      <c r="H15" s="58">
        <v>10.0</v>
      </c>
      <c r="I15" s="58">
        <v>5.0</v>
      </c>
      <c r="J15" s="58"/>
      <c r="K15" s="58"/>
      <c r="L15" s="58"/>
      <c r="M15" s="58"/>
      <c r="N15" s="58"/>
      <c r="O15" s="58"/>
      <c r="P15" s="58"/>
      <c r="Q15" s="61">
        <v>11.0</v>
      </c>
      <c r="R15" s="61"/>
      <c r="S15" s="61"/>
      <c r="T15" s="61">
        <v>5.0</v>
      </c>
      <c r="U15" s="59">
        <f>SUMIFS('UK London sales'!D:D, 'UK London sales'!B:B, B15, 'UK London sales'!C:C, C15)</f>
        <v>59</v>
      </c>
      <c r="V15" s="59">
        <f t="shared" si="2"/>
        <v>0</v>
      </c>
      <c r="W15" s="60"/>
      <c r="X15" s="63"/>
      <c r="Y15" s="40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ht="15.75" customHeight="1">
      <c r="A16" s="56">
        <v>14.0</v>
      </c>
      <c r="B16" s="57" t="s">
        <v>52</v>
      </c>
      <c r="C16" s="61">
        <v>38.0</v>
      </c>
      <c r="D16" s="23">
        <f t="shared" si="1"/>
        <v>3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61"/>
      <c r="R16" s="61"/>
      <c r="S16" s="61"/>
      <c r="T16" s="61">
        <v>3.0</v>
      </c>
      <c r="U16" s="59">
        <f>SUMIFS('UK London sales'!D:D, 'UK London sales'!B:B, B16, 'UK London sales'!C:C, C16)</f>
        <v>2</v>
      </c>
      <c r="V16" s="59">
        <f t="shared" si="2"/>
        <v>1</v>
      </c>
      <c r="W16" s="60"/>
      <c r="X16" s="63"/>
      <c r="Y16" s="40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ht="15.75" customHeight="1">
      <c r="A17" s="56">
        <v>15.0</v>
      </c>
      <c r="B17" s="57" t="s">
        <v>52</v>
      </c>
      <c r="C17" s="61">
        <v>40.0</v>
      </c>
      <c r="D17" s="23">
        <f t="shared" si="1"/>
        <v>2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61"/>
      <c r="R17" s="61"/>
      <c r="S17" s="61"/>
      <c r="T17" s="61">
        <v>2.0</v>
      </c>
      <c r="U17" s="59">
        <f>SUMIFS('UK London sales'!D:D, 'UK London sales'!B:B, B17, 'UK London sales'!C:C, C17)</f>
        <v>2</v>
      </c>
      <c r="V17" s="59">
        <f t="shared" si="2"/>
        <v>0</v>
      </c>
      <c r="W17" s="60"/>
      <c r="X17" s="63"/>
      <c r="Y17" s="40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ht="15.75" customHeight="1">
      <c r="A18" s="64">
        <v>16.0</v>
      </c>
      <c r="B18" s="65" t="s">
        <v>69</v>
      </c>
      <c r="C18" s="66">
        <v>30.0</v>
      </c>
      <c r="D18" s="23">
        <f t="shared" si="1"/>
        <v>3</v>
      </c>
      <c r="E18" s="68"/>
      <c r="F18" s="68"/>
      <c r="G18" s="68"/>
      <c r="H18" s="68"/>
      <c r="I18" s="68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>
        <v>3.0</v>
      </c>
      <c r="U18" s="68">
        <f>SUMIFS('UK London sales'!D:D, 'UK London sales'!B:B, B18, 'UK London sales'!C:C, C18)</f>
        <v>2</v>
      </c>
      <c r="V18" s="68">
        <f t="shared" si="2"/>
        <v>1</v>
      </c>
      <c r="W18" s="27"/>
      <c r="X18" s="70"/>
      <c r="Y18" s="33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ht="15.75" customHeight="1">
      <c r="A19" s="64">
        <v>17.0</v>
      </c>
      <c r="B19" s="65" t="s">
        <v>69</v>
      </c>
      <c r="C19" s="66">
        <v>32.0</v>
      </c>
      <c r="D19" s="23">
        <f t="shared" si="1"/>
        <v>25</v>
      </c>
      <c r="E19" s="68"/>
      <c r="F19" s="68"/>
      <c r="G19" s="68"/>
      <c r="H19" s="68"/>
      <c r="I19" s="68"/>
      <c r="J19" s="66"/>
      <c r="K19" s="66"/>
      <c r="L19" s="66"/>
      <c r="M19" s="66"/>
      <c r="N19" s="66"/>
      <c r="O19" s="66"/>
      <c r="P19" s="66">
        <v>11.0</v>
      </c>
      <c r="Q19" s="66">
        <v>9.0</v>
      </c>
      <c r="R19" s="66"/>
      <c r="S19" s="66"/>
      <c r="T19" s="66">
        <v>5.0</v>
      </c>
      <c r="U19" s="68">
        <f>SUMIFS('UK London sales'!D:D, 'UK London sales'!B:B, B19, 'UK London sales'!C:C, C19)</f>
        <v>20</v>
      </c>
      <c r="V19" s="68">
        <f t="shared" si="2"/>
        <v>5</v>
      </c>
      <c r="W19" s="27"/>
      <c r="X19" s="70"/>
      <c r="Y19" s="33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ht="15.75" customHeight="1">
      <c r="A20" s="64">
        <v>18.0</v>
      </c>
      <c r="B20" s="65" t="s">
        <v>69</v>
      </c>
      <c r="C20" s="66">
        <v>34.0</v>
      </c>
      <c r="D20" s="23">
        <f t="shared" si="1"/>
        <v>26</v>
      </c>
      <c r="E20" s="68"/>
      <c r="F20" s="68"/>
      <c r="G20" s="68"/>
      <c r="H20" s="68"/>
      <c r="I20" s="68"/>
      <c r="J20" s="66"/>
      <c r="K20" s="66"/>
      <c r="L20" s="66"/>
      <c r="M20" s="66"/>
      <c r="N20" s="66"/>
      <c r="O20" s="66"/>
      <c r="P20" s="66">
        <v>11.0</v>
      </c>
      <c r="Q20" s="66">
        <v>10.0</v>
      </c>
      <c r="R20" s="66"/>
      <c r="S20" s="66"/>
      <c r="T20" s="66">
        <v>5.0</v>
      </c>
      <c r="U20" s="68">
        <f>SUMIFS('UK London sales'!D:D, 'UK London sales'!B:B, B20, 'UK London sales'!C:C, C20)</f>
        <v>26</v>
      </c>
      <c r="V20" s="68">
        <f t="shared" si="2"/>
        <v>0</v>
      </c>
      <c r="W20" s="27"/>
      <c r="X20" s="70"/>
      <c r="Y20" s="40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ht="15.75" customHeight="1">
      <c r="A21" s="64">
        <v>19.0</v>
      </c>
      <c r="B21" s="65" t="s">
        <v>69</v>
      </c>
      <c r="C21" s="66">
        <v>36.0</v>
      </c>
      <c r="D21" s="23">
        <f t="shared" si="1"/>
        <v>28</v>
      </c>
      <c r="E21" s="68"/>
      <c r="F21" s="68"/>
      <c r="G21" s="68"/>
      <c r="H21" s="68"/>
      <c r="I21" s="68"/>
      <c r="J21" s="66"/>
      <c r="K21" s="66"/>
      <c r="L21" s="66"/>
      <c r="M21" s="66"/>
      <c r="N21" s="66"/>
      <c r="O21" s="66"/>
      <c r="P21" s="66">
        <v>11.0</v>
      </c>
      <c r="Q21" s="66">
        <v>11.0</v>
      </c>
      <c r="R21" s="66"/>
      <c r="S21" s="66"/>
      <c r="T21" s="66">
        <v>6.0</v>
      </c>
      <c r="U21" s="68">
        <f>SUMIFS('UK London sales'!D:D, 'UK London sales'!B:B, B21, 'UK London sales'!C:C, C21)</f>
        <v>25</v>
      </c>
      <c r="V21" s="68">
        <f t="shared" si="2"/>
        <v>3</v>
      </c>
      <c r="W21" s="27"/>
      <c r="X21" s="70"/>
      <c r="Y21" s="40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</row>
    <row r="22" ht="15.75" customHeight="1">
      <c r="A22" s="64">
        <v>20.0</v>
      </c>
      <c r="B22" s="65" t="s">
        <v>69</v>
      </c>
      <c r="C22" s="66">
        <v>38.0</v>
      </c>
      <c r="D22" s="23">
        <f t="shared" si="1"/>
        <v>2</v>
      </c>
      <c r="E22" s="68"/>
      <c r="F22" s="68"/>
      <c r="G22" s="68"/>
      <c r="H22" s="68"/>
      <c r="I22" s="68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>
        <v>2.0</v>
      </c>
      <c r="U22" s="68">
        <f>SUMIFS('UK London sales'!D:D, 'UK London sales'!B:B, B22, 'UK London sales'!C:C, C22)</f>
        <v>0</v>
      </c>
      <c r="V22" s="68">
        <f t="shared" si="2"/>
        <v>2</v>
      </c>
      <c r="W22" s="27"/>
      <c r="X22" s="70"/>
      <c r="Y22" s="40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</row>
    <row r="23" ht="15.75" customHeight="1">
      <c r="A23" s="64">
        <v>21.0</v>
      </c>
      <c r="B23" s="65" t="s">
        <v>69</v>
      </c>
      <c r="C23" s="66">
        <v>40.0</v>
      </c>
      <c r="D23" s="23">
        <f t="shared" si="1"/>
        <v>3</v>
      </c>
      <c r="E23" s="68"/>
      <c r="F23" s="68"/>
      <c r="G23" s="68"/>
      <c r="H23" s="68"/>
      <c r="I23" s="68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>
        <v>3.0</v>
      </c>
      <c r="U23" s="68">
        <f>SUMIFS('UK London sales'!D:D, 'UK London sales'!B:B, B23, 'UK London sales'!C:C, C23)</f>
        <v>3</v>
      </c>
      <c r="V23" s="68">
        <f t="shared" si="2"/>
        <v>0</v>
      </c>
      <c r="W23" s="27"/>
      <c r="X23" s="70"/>
      <c r="Y23" s="40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</row>
    <row r="24" ht="15.75" customHeight="1">
      <c r="A24" s="76">
        <v>22.0</v>
      </c>
      <c r="B24" s="77" t="s">
        <v>53</v>
      </c>
      <c r="C24" s="78">
        <v>32.0</v>
      </c>
      <c r="D24" s="23">
        <f t="shared" si="1"/>
        <v>38</v>
      </c>
      <c r="E24" s="78">
        <v>9.0</v>
      </c>
      <c r="F24" s="78"/>
      <c r="G24" s="78"/>
      <c r="H24" s="78"/>
      <c r="I24" s="78"/>
      <c r="J24" s="79">
        <v>10.0</v>
      </c>
      <c r="K24" s="79">
        <v>13.0</v>
      </c>
      <c r="L24" s="79"/>
      <c r="M24" s="79">
        <v>1.0</v>
      </c>
      <c r="N24" s="79"/>
      <c r="O24" s="79"/>
      <c r="P24" s="79">
        <v>3.0</v>
      </c>
      <c r="Q24" s="79">
        <v>2.0</v>
      </c>
      <c r="R24" s="79"/>
      <c r="S24" s="80"/>
      <c r="T24" s="80"/>
      <c r="U24" s="78">
        <f>SUMIFS('UK London sales'!D:D, 'UK London sales'!B:B, B24, 'UK London sales'!C:C, C24)</f>
        <v>37</v>
      </c>
      <c r="V24" s="78">
        <f t="shared" si="2"/>
        <v>1</v>
      </c>
      <c r="W24" s="34"/>
      <c r="X24" s="81"/>
      <c r="Y24" s="33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</row>
    <row r="25" ht="15.75" customHeight="1">
      <c r="A25" s="76">
        <v>23.0</v>
      </c>
      <c r="B25" s="77" t="s">
        <v>53</v>
      </c>
      <c r="C25" s="78">
        <v>34.0</v>
      </c>
      <c r="D25" s="23">
        <f t="shared" si="1"/>
        <v>27</v>
      </c>
      <c r="E25" s="78"/>
      <c r="F25" s="78"/>
      <c r="G25" s="78"/>
      <c r="H25" s="78"/>
      <c r="I25" s="78"/>
      <c r="J25" s="79">
        <v>10.0</v>
      </c>
      <c r="K25" s="79">
        <v>14.0</v>
      </c>
      <c r="L25" s="79"/>
      <c r="M25" s="79"/>
      <c r="N25" s="79"/>
      <c r="O25" s="79"/>
      <c r="P25" s="79">
        <v>3.0</v>
      </c>
      <c r="Q25" s="79"/>
      <c r="R25" s="79"/>
      <c r="S25" s="80"/>
      <c r="T25" s="80"/>
      <c r="U25" s="78">
        <f>SUMIFS('UK London sales'!D:D, 'UK London sales'!B:B, B25, 'UK London sales'!C:C, C25)</f>
        <v>27</v>
      </c>
      <c r="V25" s="78">
        <f t="shared" si="2"/>
        <v>0</v>
      </c>
      <c r="W25" s="34"/>
      <c r="X25" s="63"/>
      <c r="Y25" s="40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</row>
    <row r="26" ht="15.75" customHeight="1">
      <c r="A26" s="76">
        <v>24.0</v>
      </c>
      <c r="B26" s="77" t="s">
        <v>53</v>
      </c>
      <c r="C26" s="78">
        <v>36.0</v>
      </c>
      <c r="D26" s="23">
        <f t="shared" si="1"/>
        <v>19</v>
      </c>
      <c r="E26" s="78"/>
      <c r="F26" s="78"/>
      <c r="G26" s="78"/>
      <c r="H26" s="78"/>
      <c r="I26" s="78"/>
      <c r="J26" s="79">
        <v>9.0</v>
      </c>
      <c r="K26" s="79">
        <v>7.0</v>
      </c>
      <c r="L26" s="79"/>
      <c r="M26" s="79"/>
      <c r="N26" s="79"/>
      <c r="O26" s="79"/>
      <c r="P26" s="79">
        <v>3.0</v>
      </c>
      <c r="Q26" s="79"/>
      <c r="R26" s="79"/>
      <c r="S26" s="80"/>
      <c r="T26" s="80"/>
      <c r="U26" s="78">
        <f>SUMIFS('UK London sales'!D:D, 'UK London sales'!B:B, B26, 'UK London sales'!C:C, C26)</f>
        <v>19</v>
      </c>
      <c r="V26" s="78">
        <f t="shared" si="2"/>
        <v>0</v>
      </c>
      <c r="W26" s="34"/>
      <c r="X26" s="63"/>
      <c r="Y26" s="40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</row>
    <row r="27" ht="15.75" customHeight="1">
      <c r="A27" s="14">
        <v>502.0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9"/>
      <c r="W27" s="34"/>
      <c r="X27" s="89"/>
      <c r="Y27" s="92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</row>
    <row r="28" ht="15.75" customHeight="1">
      <c r="A28" s="56">
        <v>25.0</v>
      </c>
      <c r="B28" s="93" t="s">
        <v>84</v>
      </c>
      <c r="C28" s="61">
        <v>30.0</v>
      </c>
      <c r="D28" s="23">
        <f t="shared" ref="D28:D32" si="3">(E28+F28+G28+H28+I28+J28+K28+L28+M28+N28+O28+P28+Q28+R28+S28+T28)</f>
        <v>2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61"/>
      <c r="R28" s="61"/>
      <c r="S28" s="61"/>
      <c r="T28" s="61">
        <v>2.0</v>
      </c>
      <c r="U28" s="78">
        <f>SUMIFS('UK London sales'!D:D, 'UK London sales'!B:B, B28, 'UK London sales'!C:C, C28)</f>
        <v>2</v>
      </c>
      <c r="V28" s="59">
        <f t="shared" ref="V28:V37" si="4">D28-U28</f>
        <v>0</v>
      </c>
      <c r="W28" s="95"/>
      <c r="X28" s="89"/>
      <c r="Y28" s="92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</row>
    <row r="29" ht="15.75" customHeight="1">
      <c r="A29" s="96">
        <v>26.0</v>
      </c>
      <c r="B29" s="93" t="s">
        <v>84</v>
      </c>
      <c r="C29" s="97">
        <v>32.0</v>
      </c>
      <c r="D29" s="23">
        <f t="shared" si="3"/>
        <v>7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7"/>
      <c r="R29" s="97"/>
      <c r="S29" s="97"/>
      <c r="T29" s="97">
        <v>7.0</v>
      </c>
      <c r="U29" s="78">
        <f>SUMIFS('UK London sales'!D:D, 'UK London sales'!B:B, B29, 'UK London sales'!C:C, C29)</f>
        <v>7</v>
      </c>
      <c r="V29" s="59">
        <f t="shared" si="4"/>
        <v>0</v>
      </c>
      <c r="W29" s="95"/>
      <c r="X29" s="89"/>
      <c r="Y29" s="92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</row>
    <row r="30" ht="15.75" customHeight="1">
      <c r="A30" s="96">
        <v>27.0</v>
      </c>
      <c r="B30" s="93" t="s">
        <v>84</v>
      </c>
      <c r="C30" s="97">
        <v>34.0</v>
      </c>
      <c r="D30" s="23">
        <f t="shared" si="3"/>
        <v>7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7"/>
      <c r="R30" s="97"/>
      <c r="S30" s="97"/>
      <c r="T30" s="97">
        <v>7.0</v>
      </c>
      <c r="U30" s="78">
        <f>SUMIFS('UK London sales'!D:D, 'UK London sales'!B:B, B30, 'UK London sales'!C:C, C30)</f>
        <v>7</v>
      </c>
      <c r="V30" s="59">
        <f t="shared" si="4"/>
        <v>0</v>
      </c>
      <c r="W30" s="95"/>
      <c r="X30" s="89"/>
      <c r="Y30" s="92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</row>
    <row r="31" ht="15.75" customHeight="1">
      <c r="A31" s="96">
        <v>28.0</v>
      </c>
      <c r="B31" s="93" t="s">
        <v>84</v>
      </c>
      <c r="C31" s="97">
        <v>36.0</v>
      </c>
      <c r="D31" s="23">
        <f t="shared" si="3"/>
        <v>7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7"/>
      <c r="R31" s="97"/>
      <c r="S31" s="97"/>
      <c r="T31" s="97">
        <v>7.0</v>
      </c>
      <c r="U31" s="78">
        <f>SUMIFS('UK London sales'!D:D, 'UK London sales'!B:B, B31, 'UK London sales'!C:C, C31)</f>
        <v>2</v>
      </c>
      <c r="V31" s="59">
        <f t="shared" si="4"/>
        <v>5</v>
      </c>
      <c r="W31" s="95"/>
      <c r="X31" s="89"/>
      <c r="Y31" s="92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</row>
    <row r="32" ht="15.75" customHeight="1">
      <c r="A32" s="96">
        <v>29.0</v>
      </c>
      <c r="B32" s="93" t="s">
        <v>84</v>
      </c>
      <c r="C32" s="97">
        <v>38.0</v>
      </c>
      <c r="D32" s="23">
        <f t="shared" si="3"/>
        <v>2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7"/>
      <c r="R32" s="97"/>
      <c r="S32" s="97"/>
      <c r="T32" s="97">
        <v>2.0</v>
      </c>
      <c r="U32" s="78">
        <f>SUMIFS('UK London sales'!D:D, 'UK London sales'!B:B, B32, 'UK London sales'!C:C, C32)</f>
        <v>2</v>
      </c>
      <c r="V32" s="59">
        <f t="shared" si="4"/>
        <v>0</v>
      </c>
      <c r="W32" s="95"/>
      <c r="X32" s="89"/>
      <c r="Y32" s="92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</row>
    <row r="33" ht="15.75" customHeight="1">
      <c r="A33" s="76">
        <v>30.0</v>
      </c>
      <c r="B33" s="103" t="s">
        <v>92</v>
      </c>
      <c r="C33" s="80">
        <v>32.0</v>
      </c>
      <c r="D33" s="23">
        <f>(T33)</f>
        <v>6</v>
      </c>
      <c r="E33" s="78"/>
      <c r="F33" s="78"/>
      <c r="G33" s="78"/>
      <c r="H33" s="78"/>
      <c r="I33" s="78"/>
      <c r="J33" s="79">
        <v>9.0</v>
      </c>
      <c r="K33" s="79">
        <v>7.0</v>
      </c>
      <c r="L33" s="79"/>
      <c r="M33" s="79"/>
      <c r="N33" s="79"/>
      <c r="O33" s="79"/>
      <c r="P33" s="79">
        <v>3.0</v>
      </c>
      <c r="Q33" s="79"/>
      <c r="R33" s="79"/>
      <c r="S33" s="80"/>
      <c r="T33" s="80">
        <v>6.0</v>
      </c>
      <c r="U33" s="78">
        <f>SUMIFS('UK London sales'!D:D, 'UK London sales'!B:B, B33, 'UK London sales'!C:C, C33)</f>
        <v>6</v>
      </c>
      <c r="V33" s="78">
        <f t="shared" si="4"/>
        <v>0</v>
      </c>
      <c r="W33" s="95"/>
      <c r="X33" s="89"/>
      <c r="Y33" s="92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</row>
    <row r="34" ht="15.75" customHeight="1">
      <c r="A34" s="104">
        <v>31.0</v>
      </c>
      <c r="B34" s="103" t="s">
        <v>92</v>
      </c>
      <c r="C34" s="105">
        <v>34.0</v>
      </c>
      <c r="D34" s="23">
        <f t="shared" ref="D34:D37" si="5">(E34+F34+G34+H34+I34+J34+K34+L34+M34+N34+O34+P34+Q34+R34+S34+T34)</f>
        <v>5</v>
      </c>
      <c r="E34" s="106"/>
      <c r="F34" s="106"/>
      <c r="G34" s="106"/>
      <c r="H34" s="106"/>
      <c r="I34" s="106"/>
      <c r="J34" s="107"/>
      <c r="K34" s="107"/>
      <c r="L34" s="107"/>
      <c r="M34" s="107"/>
      <c r="N34" s="107"/>
      <c r="O34" s="107"/>
      <c r="P34" s="107"/>
      <c r="Q34" s="107"/>
      <c r="R34" s="107"/>
      <c r="S34" s="105"/>
      <c r="T34" s="105">
        <v>5.0</v>
      </c>
      <c r="U34" s="78">
        <f>SUMIFS('UK London sales'!D:D, 'UK London sales'!B:B, B34, 'UK London sales'!C:C, C34)</f>
        <v>5</v>
      </c>
      <c r="V34" s="78">
        <f t="shared" si="4"/>
        <v>0</v>
      </c>
      <c r="W34" s="95"/>
      <c r="X34" s="89"/>
      <c r="Y34" s="92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ht="15.75" customHeight="1">
      <c r="A35" s="104">
        <v>32.0</v>
      </c>
      <c r="B35" s="103" t="s">
        <v>92</v>
      </c>
      <c r="C35" s="105">
        <v>36.0</v>
      </c>
      <c r="D35" s="23">
        <f t="shared" si="5"/>
        <v>7</v>
      </c>
      <c r="E35" s="106"/>
      <c r="F35" s="106"/>
      <c r="G35" s="106"/>
      <c r="H35" s="106"/>
      <c r="I35" s="106"/>
      <c r="J35" s="107"/>
      <c r="K35" s="107"/>
      <c r="L35" s="107"/>
      <c r="M35" s="107"/>
      <c r="N35" s="107"/>
      <c r="O35" s="107"/>
      <c r="P35" s="107"/>
      <c r="Q35" s="107"/>
      <c r="R35" s="107"/>
      <c r="S35" s="105"/>
      <c r="T35" s="105">
        <v>7.0</v>
      </c>
      <c r="U35" s="78">
        <f>SUMIFS('UK London sales'!D:D, 'UK London sales'!B:B, B35, 'UK London sales'!C:C, C35)</f>
        <v>7</v>
      </c>
      <c r="V35" s="78">
        <f t="shared" si="4"/>
        <v>0</v>
      </c>
      <c r="W35" s="95"/>
      <c r="X35" s="89"/>
      <c r="Y35" s="92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ht="15.75" customHeight="1">
      <c r="A36" s="104">
        <v>33.0</v>
      </c>
      <c r="B36" s="103" t="s">
        <v>92</v>
      </c>
      <c r="C36" s="105">
        <v>38.0</v>
      </c>
      <c r="D36" s="23">
        <f t="shared" si="5"/>
        <v>4</v>
      </c>
      <c r="E36" s="106"/>
      <c r="F36" s="106"/>
      <c r="G36" s="106"/>
      <c r="H36" s="106"/>
      <c r="I36" s="106"/>
      <c r="J36" s="107"/>
      <c r="K36" s="107"/>
      <c r="L36" s="107"/>
      <c r="M36" s="107"/>
      <c r="N36" s="107"/>
      <c r="O36" s="107"/>
      <c r="P36" s="107"/>
      <c r="Q36" s="107"/>
      <c r="R36" s="107"/>
      <c r="S36" s="105"/>
      <c r="T36" s="105">
        <v>4.0</v>
      </c>
      <c r="U36" s="78">
        <f>SUMIFS('UK London sales'!D:D, 'UK London sales'!B:B, B36, 'UK London sales'!C:C, C36)</f>
        <v>4</v>
      </c>
      <c r="V36" s="78">
        <f t="shared" si="4"/>
        <v>0</v>
      </c>
      <c r="W36" s="95"/>
      <c r="X36" s="89"/>
      <c r="Y36" s="92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ht="15.75" customHeight="1">
      <c r="A37" s="104">
        <v>34.0</v>
      </c>
      <c r="B37" s="103" t="s">
        <v>92</v>
      </c>
      <c r="C37" s="105">
        <v>40.0</v>
      </c>
      <c r="D37" s="23">
        <f t="shared" si="5"/>
        <v>3</v>
      </c>
      <c r="E37" s="106"/>
      <c r="F37" s="106"/>
      <c r="G37" s="106"/>
      <c r="H37" s="106"/>
      <c r="I37" s="106"/>
      <c r="J37" s="107"/>
      <c r="K37" s="107"/>
      <c r="L37" s="107"/>
      <c r="M37" s="107"/>
      <c r="N37" s="107"/>
      <c r="O37" s="107"/>
      <c r="P37" s="107"/>
      <c r="Q37" s="107"/>
      <c r="R37" s="107"/>
      <c r="S37" s="105"/>
      <c r="T37" s="105">
        <v>3.0</v>
      </c>
      <c r="U37" s="78">
        <f>SUMIFS('UK London sales'!D:D, 'UK London sales'!B:B, B37, 'UK London sales'!C:C, C37)</f>
        <v>3</v>
      </c>
      <c r="V37" s="78">
        <f t="shared" si="4"/>
        <v>0</v>
      </c>
      <c r="W37" s="95"/>
      <c r="X37" s="89"/>
      <c r="Y37" s="92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</row>
    <row r="38" ht="15.75" customHeight="1">
      <c r="A38" s="14">
        <v>511.0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9"/>
      <c r="W38" s="34"/>
      <c r="X38" s="89"/>
      <c r="Y38" s="92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</row>
    <row r="39" ht="15.75" customHeight="1">
      <c r="A39" s="30">
        <v>35.0</v>
      </c>
      <c r="B39" s="20" t="s">
        <v>59</v>
      </c>
      <c r="C39" s="23">
        <v>32.0</v>
      </c>
      <c r="D39" s="23">
        <f>(E39+F39+G39+H39+I39+J39+K39+L39+M39+N39+O39+P39+Q39+R39+S39+T39)</f>
        <v>33</v>
      </c>
      <c r="E39" s="23"/>
      <c r="F39" s="23"/>
      <c r="G39" s="23"/>
      <c r="H39" s="23"/>
      <c r="I39" s="23"/>
      <c r="J39" s="23"/>
      <c r="K39" s="26">
        <v>15.0</v>
      </c>
      <c r="L39" s="23"/>
      <c r="M39" s="23"/>
      <c r="N39" s="23"/>
      <c r="O39" s="26">
        <v>18.0</v>
      </c>
      <c r="P39" s="26"/>
      <c r="Q39" s="26"/>
      <c r="R39" s="26"/>
      <c r="S39" s="26"/>
      <c r="T39" s="26"/>
      <c r="U39" s="23">
        <f>SUMIFS('UK London sales'!D:D, 'UK London sales'!B:B, B39, 'UK London sales'!C:C, C39)</f>
        <v>33</v>
      </c>
      <c r="V39" s="23">
        <f t="shared" ref="V39:V60" si="6">D39-U39</f>
        <v>0</v>
      </c>
      <c r="W39" s="34"/>
      <c r="X39" s="28"/>
      <c r="Y39" s="40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</row>
    <row r="40" ht="15.75" customHeight="1">
      <c r="A40" s="30">
        <v>36.0</v>
      </c>
      <c r="B40" s="20" t="s">
        <v>59</v>
      </c>
      <c r="C40" s="23">
        <v>34.0</v>
      </c>
      <c r="D40" s="23">
        <f t="shared" ref="D40:D60" si="7">(E40+F40+G40+H40+I40+J40+K40+L40+M40+N40+O40+P40+Q40+R40+S40)</f>
        <v>34</v>
      </c>
      <c r="E40" s="23"/>
      <c r="F40" s="23"/>
      <c r="G40" s="23"/>
      <c r="H40" s="23"/>
      <c r="I40" s="23"/>
      <c r="J40" s="23"/>
      <c r="K40" s="26">
        <v>16.0</v>
      </c>
      <c r="L40" s="23"/>
      <c r="M40" s="23"/>
      <c r="N40" s="23"/>
      <c r="O40" s="26">
        <v>18.0</v>
      </c>
      <c r="P40" s="26"/>
      <c r="Q40" s="26"/>
      <c r="R40" s="26"/>
      <c r="S40" s="26"/>
      <c r="T40" s="26"/>
      <c r="U40" s="23">
        <f>SUMIFS('UK London sales'!D:D, 'UK London sales'!B:B, B40, 'UK London sales'!C:C, C40)</f>
        <v>34</v>
      </c>
      <c r="V40" s="23">
        <f t="shared" si="6"/>
        <v>0</v>
      </c>
      <c r="W40" s="34"/>
      <c r="X40" s="28"/>
      <c r="Y40" s="40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</row>
    <row r="41" ht="15.75" customHeight="1">
      <c r="A41" s="30">
        <v>37.0</v>
      </c>
      <c r="B41" s="20" t="s">
        <v>59</v>
      </c>
      <c r="C41" s="23">
        <v>36.0</v>
      </c>
      <c r="D41" s="23">
        <f t="shared" si="7"/>
        <v>0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>
        <f>SUMIFS('UK London sales'!D:D, 'UK London sales'!B:B, B41, 'UK London sales'!C:C, C41)</f>
        <v>0</v>
      </c>
      <c r="V41" s="23">
        <f t="shared" si="6"/>
        <v>0</v>
      </c>
      <c r="W41" s="34"/>
      <c r="X41" s="28"/>
      <c r="Y41" s="40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</row>
    <row r="42" ht="15.75" customHeight="1">
      <c r="A42" s="43">
        <v>38.0</v>
      </c>
      <c r="B42" s="39" t="s">
        <v>63</v>
      </c>
      <c r="C42" s="42">
        <v>32.0</v>
      </c>
      <c r="D42" s="42">
        <f t="shared" si="7"/>
        <v>37</v>
      </c>
      <c r="E42" s="42"/>
      <c r="F42" s="42"/>
      <c r="G42" s="44">
        <v>12.0</v>
      </c>
      <c r="H42" s="44"/>
      <c r="I42" s="44"/>
      <c r="J42" s="44"/>
      <c r="K42" s="44"/>
      <c r="L42" s="44"/>
      <c r="M42" s="44">
        <v>5.0</v>
      </c>
      <c r="N42" s="44">
        <v>10.0</v>
      </c>
      <c r="O42" s="44"/>
      <c r="P42" s="44"/>
      <c r="Q42" s="44"/>
      <c r="R42" s="44">
        <v>10.0</v>
      </c>
      <c r="S42" s="44"/>
      <c r="T42" s="44"/>
      <c r="U42" s="42">
        <f>SUMIFS('UK London sales'!D:D, 'UK London sales'!B:B, B42, 'UK London sales'!C:C, C42)</f>
        <v>34</v>
      </c>
      <c r="V42" s="42">
        <f t="shared" si="6"/>
        <v>3</v>
      </c>
      <c r="W42" s="38"/>
      <c r="X42" s="28"/>
      <c r="Y42" s="33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</row>
    <row r="43" ht="15.75" customHeight="1">
      <c r="A43" s="43">
        <v>39.0</v>
      </c>
      <c r="B43" s="39" t="s">
        <v>63</v>
      </c>
      <c r="C43" s="42">
        <v>34.0</v>
      </c>
      <c r="D43" s="42">
        <f t="shared" si="7"/>
        <v>42</v>
      </c>
      <c r="E43" s="42">
        <v>4.0</v>
      </c>
      <c r="F43" s="42"/>
      <c r="G43" s="44">
        <v>10.0</v>
      </c>
      <c r="H43" s="44"/>
      <c r="I43" s="44"/>
      <c r="J43" s="44"/>
      <c r="K43" s="44"/>
      <c r="L43" s="44"/>
      <c r="M43" s="44">
        <v>7.0</v>
      </c>
      <c r="N43" s="44">
        <v>10.0</v>
      </c>
      <c r="O43" s="44"/>
      <c r="P43" s="44"/>
      <c r="Q43" s="44">
        <v>1.0</v>
      </c>
      <c r="R43" s="44">
        <v>10.0</v>
      </c>
      <c r="S43" s="44"/>
      <c r="T43" s="44"/>
      <c r="U43" s="42">
        <f>SUMIFS('UK London sales'!D:D, 'UK London sales'!B:B, B43, 'UK London sales'!C:C, C43)</f>
        <v>42</v>
      </c>
      <c r="V43" s="42">
        <f t="shared" si="6"/>
        <v>0</v>
      </c>
      <c r="W43" s="38"/>
      <c r="X43" s="28"/>
      <c r="Y43" s="33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</row>
    <row r="44" ht="15.75" customHeight="1">
      <c r="A44" s="43">
        <v>40.0</v>
      </c>
      <c r="B44" s="39" t="s">
        <v>63</v>
      </c>
      <c r="C44" s="42">
        <v>36.0</v>
      </c>
      <c r="D44" s="42">
        <f t="shared" si="7"/>
        <v>29</v>
      </c>
      <c r="E44" s="42"/>
      <c r="F44" s="42"/>
      <c r="G44" s="44">
        <v>11.0</v>
      </c>
      <c r="H44" s="44"/>
      <c r="I44" s="44"/>
      <c r="J44" s="44"/>
      <c r="K44" s="44"/>
      <c r="L44" s="44"/>
      <c r="M44" s="44">
        <v>12.0</v>
      </c>
      <c r="N44" s="44"/>
      <c r="O44" s="44"/>
      <c r="P44" s="44"/>
      <c r="Q44" s="44"/>
      <c r="R44" s="44">
        <v>6.0</v>
      </c>
      <c r="S44" s="44"/>
      <c r="T44" s="44"/>
      <c r="U44" s="42">
        <f>SUMIFS('UK London sales'!D:D, 'UK London sales'!B:B, B44, 'UK London sales'!C:C, C44)</f>
        <v>29</v>
      </c>
      <c r="V44" s="42">
        <f t="shared" si="6"/>
        <v>0</v>
      </c>
      <c r="W44" s="38"/>
      <c r="X44" s="28"/>
      <c r="Y44" s="33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</row>
    <row r="45" ht="15.75" customHeight="1">
      <c r="A45" s="56">
        <v>41.0</v>
      </c>
      <c r="B45" s="57" t="s">
        <v>51</v>
      </c>
      <c r="C45" s="59">
        <v>32.0</v>
      </c>
      <c r="D45" s="102">
        <f t="shared" si="7"/>
        <v>72</v>
      </c>
      <c r="E45" s="59">
        <v>6.0</v>
      </c>
      <c r="F45" s="58">
        <v>8.0</v>
      </c>
      <c r="G45" s="58">
        <v>16.0</v>
      </c>
      <c r="H45" s="58">
        <v>17.0</v>
      </c>
      <c r="I45" s="58"/>
      <c r="J45" s="58"/>
      <c r="K45" s="58"/>
      <c r="L45" s="58"/>
      <c r="M45" s="58"/>
      <c r="N45" s="61">
        <v>10.0</v>
      </c>
      <c r="O45" s="61"/>
      <c r="P45" s="61"/>
      <c r="Q45" s="61">
        <v>5.0</v>
      </c>
      <c r="R45" s="61"/>
      <c r="S45" s="61">
        <v>10.0</v>
      </c>
      <c r="T45" s="61"/>
      <c r="U45" s="59">
        <f>SUMIFS('UK London sales'!D:D, 'UK London sales'!B:B, B45, 'UK London sales'!C:C, C45)</f>
        <v>72</v>
      </c>
      <c r="V45" s="59">
        <f t="shared" si="6"/>
        <v>0</v>
      </c>
      <c r="W45" s="34"/>
      <c r="X45" s="28"/>
      <c r="Y45" s="33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</row>
    <row r="46" ht="15.75" customHeight="1">
      <c r="A46" s="56">
        <v>42.0</v>
      </c>
      <c r="B46" s="57" t="s">
        <v>51</v>
      </c>
      <c r="C46" s="59">
        <v>34.0</v>
      </c>
      <c r="D46" s="102">
        <f t="shared" si="7"/>
        <v>90</v>
      </c>
      <c r="E46" s="59">
        <v>12.0</v>
      </c>
      <c r="F46" s="58">
        <v>15.0</v>
      </c>
      <c r="G46" s="58">
        <v>12.0</v>
      </c>
      <c r="H46" s="58">
        <v>18.0</v>
      </c>
      <c r="I46" s="58"/>
      <c r="J46" s="58"/>
      <c r="K46" s="58"/>
      <c r="L46" s="58"/>
      <c r="M46" s="58"/>
      <c r="N46" s="61">
        <v>10.0</v>
      </c>
      <c r="O46" s="61"/>
      <c r="P46" s="61"/>
      <c r="Q46" s="61">
        <v>13.0</v>
      </c>
      <c r="R46" s="61"/>
      <c r="S46" s="61">
        <v>10.0</v>
      </c>
      <c r="T46" s="61"/>
      <c r="U46" s="59">
        <f>SUMIFS('UK London sales'!D:D, 'UK London sales'!B:B, B46, 'UK London sales'!C:C, C46)</f>
        <v>90</v>
      </c>
      <c r="V46" s="59">
        <f t="shared" si="6"/>
        <v>0</v>
      </c>
      <c r="W46" s="34"/>
      <c r="X46" s="28"/>
      <c r="Y46" s="40"/>
      <c r="Z46" s="11"/>
      <c r="AA46" s="41"/>
      <c r="AB46" s="4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</row>
    <row r="47" ht="15.75" customHeight="1">
      <c r="A47" s="56">
        <v>43.0</v>
      </c>
      <c r="B47" s="57" t="s">
        <v>51</v>
      </c>
      <c r="C47" s="59">
        <v>36.0</v>
      </c>
      <c r="D47" s="102">
        <f t="shared" si="7"/>
        <v>47</v>
      </c>
      <c r="E47" s="59">
        <v>8.0</v>
      </c>
      <c r="F47" s="58">
        <v>9.0</v>
      </c>
      <c r="G47" s="58"/>
      <c r="H47" s="58"/>
      <c r="I47" s="58"/>
      <c r="J47" s="58"/>
      <c r="K47" s="58"/>
      <c r="L47" s="58"/>
      <c r="M47" s="61">
        <v>6.0</v>
      </c>
      <c r="N47" s="61">
        <v>10.0</v>
      </c>
      <c r="O47" s="61"/>
      <c r="P47" s="61"/>
      <c r="Q47" s="61">
        <v>4.0</v>
      </c>
      <c r="R47" s="61"/>
      <c r="S47" s="61">
        <v>10.0</v>
      </c>
      <c r="T47" s="61"/>
      <c r="U47" s="59">
        <f>SUMIFS('UK London sales'!D:D, 'UK London sales'!B:B, B47, 'UK London sales'!C:C, C47)</f>
        <v>47</v>
      </c>
      <c r="V47" s="59">
        <f t="shared" si="6"/>
        <v>0</v>
      </c>
      <c r="W47" s="34"/>
      <c r="X47" s="28"/>
      <c r="Y47" s="33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</row>
    <row r="48" ht="15.75" customHeight="1">
      <c r="A48" s="64">
        <v>44.0</v>
      </c>
      <c r="B48" s="65" t="s">
        <v>94</v>
      </c>
      <c r="C48" s="66">
        <v>30.0</v>
      </c>
      <c r="D48" s="67">
        <f t="shared" si="7"/>
        <v>14</v>
      </c>
      <c r="E48" s="68"/>
      <c r="F48" s="68"/>
      <c r="G48" s="68"/>
      <c r="H48" s="68"/>
      <c r="I48" s="68"/>
      <c r="J48" s="66">
        <v>6.0</v>
      </c>
      <c r="K48" s="66">
        <v>5.0</v>
      </c>
      <c r="L48" s="66"/>
      <c r="M48" s="66"/>
      <c r="N48" s="66"/>
      <c r="O48" s="66"/>
      <c r="P48" s="66"/>
      <c r="Q48" s="66">
        <v>1.0</v>
      </c>
      <c r="R48" s="66"/>
      <c r="S48" s="66">
        <v>2.0</v>
      </c>
      <c r="T48" s="66"/>
      <c r="U48" s="68">
        <f>SUMIFS('UK London sales'!D:D, 'UK London sales'!B:B, B48, 'UK London sales'!C:C, C48)</f>
        <v>12</v>
      </c>
      <c r="V48" s="68">
        <f t="shared" si="6"/>
        <v>2</v>
      </c>
      <c r="W48" s="34"/>
      <c r="X48" s="28"/>
      <c r="Y48" s="33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</row>
    <row r="49" ht="15.75" customHeight="1">
      <c r="A49" s="64">
        <v>45.0</v>
      </c>
      <c r="B49" s="65" t="s">
        <v>94</v>
      </c>
      <c r="C49" s="66">
        <v>32.0</v>
      </c>
      <c r="D49" s="67">
        <f t="shared" si="7"/>
        <v>63</v>
      </c>
      <c r="E49" s="68"/>
      <c r="F49" s="68"/>
      <c r="G49" s="68"/>
      <c r="H49" s="68"/>
      <c r="I49" s="68"/>
      <c r="J49" s="66">
        <v>10.0</v>
      </c>
      <c r="K49" s="66">
        <v>10.0</v>
      </c>
      <c r="L49" s="66">
        <v>12.0</v>
      </c>
      <c r="M49" s="66"/>
      <c r="N49" s="66">
        <v>11.0</v>
      </c>
      <c r="O49" s="66"/>
      <c r="P49" s="66">
        <v>12.0</v>
      </c>
      <c r="Q49" s="66"/>
      <c r="R49" s="66"/>
      <c r="S49" s="66">
        <v>8.0</v>
      </c>
      <c r="T49" s="66"/>
      <c r="U49" s="68">
        <f>SUMIFS('UK London sales'!D:D, 'UK London sales'!B:B, B49, 'UK London sales'!C:C, C49)</f>
        <v>63</v>
      </c>
      <c r="V49" s="68">
        <f t="shared" si="6"/>
        <v>0</v>
      </c>
      <c r="W49" s="34"/>
      <c r="X49" s="28"/>
      <c r="Y49" s="33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</row>
    <row r="50" ht="15.75" customHeight="1">
      <c r="A50" s="64">
        <v>46.0</v>
      </c>
      <c r="B50" s="65" t="s">
        <v>94</v>
      </c>
      <c r="C50" s="66">
        <v>34.0</v>
      </c>
      <c r="D50" s="67">
        <f t="shared" si="7"/>
        <v>85</v>
      </c>
      <c r="E50" s="68"/>
      <c r="F50" s="68"/>
      <c r="G50" s="68"/>
      <c r="H50" s="68"/>
      <c r="I50" s="68"/>
      <c r="J50" s="66">
        <v>10.0</v>
      </c>
      <c r="K50" s="66">
        <v>10.0</v>
      </c>
      <c r="L50" s="66">
        <v>14.0</v>
      </c>
      <c r="M50" s="66"/>
      <c r="N50" s="66">
        <v>37.0</v>
      </c>
      <c r="O50" s="66"/>
      <c r="P50" s="66">
        <v>5.0</v>
      </c>
      <c r="Q50" s="66">
        <v>2.0</v>
      </c>
      <c r="R50" s="66"/>
      <c r="S50" s="66">
        <v>7.0</v>
      </c>
      <c r="T50" s="66"/>
      <c r="U50" s="68">
        <f>SUMIFS('UK London sales'!D:D, 'UK London sales'!B:B, B50, 'UK London sales'!C:C, C50)</f>
        <v>84</v>
      </c>
      <c r="V50" s="68">
        <f t="shared" si="6"/>
        <v>1</v>
      </c>
      <c r="W50" s="34"/>
      <c r="X50" s="28"/>
      <c r="Y50" s="33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</row>
    <row r="51" ht="15.75" customHeight="1">
      <c r="A51" s="64">
        <v>47.0</v>
      </c>
      <c r="B51" s="65" t="s">
        <v>94</v>
      </c>
      <c r="C51" s="66">
        <v>36.0</v>
      </c>
      <c r="D51" s="67">
        <f t="shared" si="7"/>
        <v>28</v>
      </c>
      <c r="E51" s="68"/>
      <c r="F51" s="68"/>
      <c r="G51" s="68"/>
      <c r="H51" s="68"/>
      <c r="I51" s="68"/>
      <c r="J51" s="66">
        <v>10.0</v>
      </c>
      <c r="K51" s="66">
        <v>5.0</v>
      </c>
      <c r="L51" s="66">
        <v>5.0</v>
      </c>
      <c r="M51" s="66"/>
      <c r="N51" s="66"/>
      <c r="O51" s="66"/>
      <c r="P51" s="66"/>
      <c r="Q51" s="66"/>
      <c r="R51" s="66"/>
      <c r="S51" s="66">
        <v>8.0</v>
      </c>
      <c r="T51" s="66"/>
      <c r="U51" s="68">
        <f>SUMIFS('UK London sales'!D:D, 'UK London sales'!B:B, B51, 'UK London sales'!C:C, C51)</f>
        <v>28</v>
      </c>
      <c r="V51" s="68">
        <f t="shared" si="6"/>
        <v>0</v>
      </c>
      <c r="W51" s="34"/>
      <c r="X51" s="28"/>
      <c r="Y51" s="33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</row>
    <row r="52" ht="15.75" customHeight="1">
      <c r="A52" s="64">
        <v>48.0</v>
      </c>
      <c r="B52" s="65" t="s">
        <v>94</v>
      </c>
      <c r="C52" s="66">
        <v>38.0</v>
      </c>
      <c r="D52" s="67">
        <f t="shared" si="7"/>
        <v>2</v>
      </c>
      <c r="E52" s="68"/>
      <c r="F52" s="68"/>
      <c r="G52" s="68"/>
      <c r="H52" s="68"/>
      <c r="I52" s="68"/>
      <c r="J52" s="66"/>
      <c r="K52" s="66"/>
      <c r="L52" s="66"/>
      <c r="M52" s="66"/>
      <c r="N52" s="66"/>
      <c r="O52" s="66"/>
      <c r="P52" s="66"/>
      <c r="Q52" s="66"/>
      <c r="R52" s="66"/>
      <c r="S52" s="66">
        <v>2.0</v>
      </c>
      <c r="T52" s="66"/>
      <c r="U52" s="68">
        <f>SUMIFS('UK London sales'!D:D, 'UK London sales'!B:B, B52, 'UK London sales'!C:C, C52)</f>
        <v>2</v>
      </c>
      <c r="V52" s="68">
        <f t="shared" si="6"/>
        <v>0</v>
      </c>
      <c r="W52" s="34"/>
      <c r="X52" s="28"/>
      <c r="Y52" s="40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  <row r="53" ht="15.75" customHeight="1">
      <c r="A53" s="76">
        <v>49.0</v>
      </c>
      <c r="B53" s="108" t="s">
        <v>71</v>
      </c>
      <c r="C53" s="80">
        <v>32.0</v>
      </c>
      <c r="D53" s="109">
        <f t="shared" si="7"/>
        <v>48</v>
      </c>
      <c r="E53" s="109">
        <v>11.0</v>
      </c>
      <c r="F53" s="109"/>
      <c r="G53" s="109"/>
      <c r="H53" s="109"/>
      <c r="I53" s="80">
        <v>12.0</v>
      </c>
      <c r="J53" s="80">
        <v>11.0</v>
      </c>
      <c r="K53" s="80"/>
      <c r="L53" s="80"/>
      <c r="M53" s="80">
        <v>2.0</v>
      </c>
      <c r="N53" s="80">
        <v>12.0</v>
      </c>
      <c r="O53" s="80"/>
      <c r="P53" s="80"/>
      <c r="Q53" s="80"/>
      <c r="R53" s="80"/>
      <c r="S53" s="80"/>
      <c r="T53" s="80"/>
      <c r="U53" s="78">
        <f>SUMIFS('UK London sales'!D:D, 'UK London sales'!B:B, B53, 'UK London sales'!C:C, C53)</f>
        <v>48</v>
      </c>
      <c r="V53" s="78">
        <f t="shared" si="6"/>
        <v>0</v>
      </c>
      <c r="W53" s="38"/>
      <c r="X53" s="28"/>
      <c r="Y53" s="40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</row>
    <row r="54" ht="15.75" customHeight="1">
      <c r="A54" s="76">
        <v>50.0</v>
      </c>
      <c r="B54" s="108" t="s">
        <v>71</v>
      </c>
      <c r="C54" s="109">
        <v>34.0</v>
      </c>
      <c r="D54" s="109">
        <f t="shared" si="7"/>
        <v>47</v>
      </c>
      <c r="E54" s="109">
        <v>14.0</v>
      </c>
      <c r="F54" s="109"/>
      <c r="G54" s="109"/>
      <c r="H54" s="109"/>
      <c r="I54" s="80">
        <v>12.0</v>
      </c>
      <c r="J54" s="80">
        <v>12.0</v>
      </c>
      <c r="K54" s="80"/>
      <c r="L54" s="80"/>
      <c r="M54" s="80"/>
      <c r="N54" s="80"/>
      <c r="O54" s="80"/>
      <c r="P54" s="80"/>
      <c r="Q54" s="80">
        <v>9.0</v>
      </c>
      <c r="R54" s="80"/>
      <c r="S54" s="80"/>
      <c r="T54" s="80"/>
      <c r="U54" s="78">
        <f>SUMIFS('UK London sales'!D:D, 'UK London sales'!B:B, B54, 'UK London sales'!C:C, C54)</f>
        <v>47</v>
      </c>
      <c r="V54" s="78">
        <f t="shared" si="6"/>
        <v>0</v>
      </c>
      <c r="W54" s="38"/>
      <c r="X54" s="28"/>
      <c r="Y54" s="40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</row>
    <row r="55" ht="15.75" customHeight="1">
      <c r="A55" s="76">
        <v>51.0</v>
      </c>
      <c r="B55" s="108" t="s">
        <v>71</v>
      </c>
      <c r="C55" s="109">
        <v>36.0</v>
      </c>
      <c r="D55" s="109">
        <f t="shared" si="7"/>
        <v>42</v>
      </c>
      <c r="E55" s="109">
        <v>7.0</v>
      </c>
      <c r="F55" s="109"/>
      <c r="G55" s="109"/>
      <c r="H55" s="109"/>
      <c r="I55" s="80">
        <v>12.0</v>
      </c>
      <c r="J55" s="80">
        <v>12.0</v>
      </c>
      <c r="K55" s="80"/>
      <c r="L55" s="80"/>
      <c r="M55" s="80"/>
      <c r="N55" s="80">
        <v>3.0</v>
      </c>
      <c r="O55" s="80"/>
      <c r="P55" s="80"/>
      <c r="Q55" s="80">
        <v>8.0</v>
      </c>
      <c r="R55" s="80"/>
      <c r="S55" s="80"/>
      <c r="T55" s="80"/>
      <c r="U55" s="78">
        <f>SUMIFS('UK London sales'!D:D, 'UK London sales'!B:B, B55, 'UK London sales'!C:C, C55)</f>
        <v>42</v>
      </c>
      <c r="V55" s="78">
        <f t="shared" si="6"/>
        <v>0</v>
      </c>
      <c r="W55" s="38"/>
      <c r="X55" s="28"/>
      <c r="Y55" s="40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  <row r="56" ht="15.75" customHeight="1">
      <c r="A56" s="110">
        <v>51.0</v>
      </c>
      <c r="B56" s="111" t="s">
        <v>107</v>
      </c>
      <c r="C56" s="112">
        <v>32.0</v>
      </c>
      <c r="D56" s="113">
        <f t="shared" si="7"/>
        <v>11</v>
      </c>
      <c r="E56" s="114"/>
      <c r="F56" s="114"/>
      <c r="G56" s="114"/>
      <c r="H56" s="114"/>
      <c r="I56" s="112"/>
      <c r="J56" s="112"/>
      <c r="K56" s="112"/>
      <c r="L56" s="112"/>
      <c r="M56" s="112"/>
      <c r="N56" s="112"/>
      <c r="O56" s="112"/>
      <c r="P56" s="112"/>
      <c r="Q56" s="112"/>
      <c r="R56" s="112">
        <v>11.0</v>
      </c>
      <c r="S56" s="112"/>
      <c r="T56" s="112"/>
      <c r="U56" s="115">
        <f>SUMIFS('UK London sales'!D:D, 'UK London sales'!B:B, B56, 'UK London sales'!C:C, C56)</f>
        <v>3</v>
      </c>
      <c r="V56" s="115">
        <f t="shared" si="6"/>
        <v>8</v>
      </c>
      <c r="W56" s="34"/>
      <c r="X56" s="28"/>
      <c r="Y56" s="33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</row>
    <row r="57" ht="15.75" customHeight="1">
      <c r="A57" s="110">
        <v>52.0</v>
      </c>
      <c r="B57" s="111" t="s">
        <v>107</v>
      </c>
      <c r="C57" s="112">
        <v>34.0</v>
      </c>
      <c r="D57" s="113">
        <f t="shared" si="7"/>
        <v>10</v>
      </c>
      <c r="E57" s="114"/>
      <c r="F57" s="114"/>
      <c r="G57" s="114"/>
      <c r="H57" s="114"/>
      <c r="I57" s="112"/>
      <c r="J57" s="112"/>
      <c r="K57" s="112"/>
      <c r="L57" s="112"/>
      <c r="M57" s="112"/>
      <c r="N57" s="112"/>
      <c r="O57" s="112"/>
      <c r="P57" s="112"/>
      <c r="Q57" s="112"/>
      <c r="R57" s="112">
        <v>10.0</v>
      </c>
      <c r="S57" s="112"/>
      <c r="T57" s="112"/>
      <c r="U57" s="115">
        <f>SUMIFS('UK London sales'!D:D, 'UK London sales'!B:B, B57, 'UK London sales'!C:C, C57)</f>
        <v>5</v>
      </c>
      <c r="V57" s="115">
        <f t="shared" si="6"/>
        <v>5</v>
      </c>
      <c r="W57" s="34"/>
      <c r="X57" s="28"/>
      <c r="Y57" s="33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</row>
    <row r="58" ht="15.75" customHeight="1">
      <c r="A58" s="110">
        <v>53.0</v>
      </c>
      <c r="B58" s="111" t="s">
        <v>107</v>
      </c>
      <c r="C58" s="112">
        <v>36.0</v>
      </c>
      <c r="D58" s="113">
        <f t="shared" si="7"/>
        <v>9</v>
      </c>
      <c r="E58" s="114"/>
      <c r="F58" s="114"/>
      <c r="G58" s="114"/>
      <c r="H58" s="114"/>
      <c r="I58" s="112"/>
      <c r="J58" s="112"/>
      <c r="K58" s="112"/>
      <c r="L58" s="112"/>
      <c r="M58" s="112"/>
      <c r="N58" s="112"/>
      <c r="O58" s="112"/>
      <c r="P58" s="112"/>
      <c r="Q58" s="112"/>
      <c r="R58" s="112">
        <v>9.0</v>
      </c>
      <c r="S58" s="112"/>
      <c r="T58" s="112"/>
      <c r="U58" s="115">
        <f>SUMIFS('UK London sales'!D:D, 'UK London sales'!B:B, B58, 'UK London sales'!C:C, C58)</f>
        <v>8</v>
      </c>
      <c r="V58" s="115">
        <f t="shared" si="6"/>
        <v>1</v>
      </c>
      <c r="W58" s="34"/>
      <c r="X58" s="28"/>
      <c r="Y58" s="33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</row>
    <row r="59" ht="15.75" customHeight="1">
      <c r="A59" s="116">
        <v>54.0</v>
      </c>
      <c r="B59" s="117" t="s">
        <v>115</v>
      </c>
      <c r="C59" s="118">
        <v>32.0</v>
      </c>
      <c r="D59" s="54">
        <f t="shared" si="7"/>
        <v>6</v>
      </c>
      <c r="E59" s="54"/>
      <c r="F59" s="54"/>
      <c r="G59" s="54"/>
      <c r="H59" s="54"/>
      <c r="I59" s="54"/>
      <c r="J59" s="54"/>
      <c r="K59" s="118"/>
      <c r="L59" s="54"/>
      <c r="M59" s="54"/>
      <c r="N59" s="54"/>
      <c r="O59" s="118"/>
      <c r="P59" s="118"/>
      <c r="Q59" s="118"/>
      <c r="R59" s="118"/>
      <c r="S59" s="118">
        <v>6.0</v>
      </c>
      <c r="T59" s="118"/>
      <c r="U59" s="54">
        <f>SUMIFS('UK London sales'!D:D, 'UK London sales'!B:B, B59, 'UK London sales'!C:C, C59)</f>
        <v>5</v>
      </c>
      <c r="V59" s="54">
        <f t="shared" si="6"/>
        <v>1</v>
      </c>
      <c r="W59" s="34"/>
      <c r="X59" s="63"/>
      <c r="Y59" s="33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</row>
    <row r="60" ht="15.75" customHeight="1">
      <c r="A60" s="116">
        <v>55.0</v>
      </c>
      <c r="B60" s="117" t="s">
        <v>115</v>
      </c>
      <c r="C60" s="118">
        <v>34.0</v>
      </c>
      <c r="D60" s="54">
        <f t="shared" si="7"/>
        <v>26</v>
      </c>
      <c r="E60" s="54"/>
      <c r="F60" s="54"/>
      <c r="G60" s="54"/>
      <c r="H60" s="54"/>
      <c r="I60" s="54"/>
      <c r="J60" s="54"/>
      <c r="K60" s="118"/>
      <c r="L60" s="54"/>
      <c r="M60" s="54"/>
      <c r="N60" s="54"/>
      <c r="O60" s="118"/>
      <c r="P60" s="118"/>
      <c r="Q60" s="118"/>
      <c r="R60" s="118"/>
      <c r="S60" s="118">
        <v>26.0</v>
      </c>
      <c r="T60" s="118"/>
      <c r="U60" s="54">
        <f>SUMIFS('UK London sales'!D:D, 'UK London sales'!B:B, B60, 'UK London sales'!C:C, C60)</f>
        <v>26</v>
      </c>
      <c r="V60" s="54">
        <f t="shared" si="6"/>
        <v>0</v>
      </c>
      <c r="W60" s="49"/>
      <c r="X60" s="28"/>
      <c r="Y60" s="4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</row>
    <row r="61">
      <c r="A61" s="14" t="s">
        <v>122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9"/>
      <c r="W61" s="119"/>
      <c r="X61" s="120"/>
      <c r="Y61" s="92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</row>
    <row r="62">
      <c r="A62" s="121">
        <v>56.0</v>
      </c>
      <c r="B62" s="122" t="s">
        <v>125</v>
      </c>
      <c r="C62" s="123">
        <v>32.0</v>
      </c>
      <c r="D62" s="124">
        <f t="shared" ref="D62:D70" si="8">(E62+F62+G62+H62+I62+J62+K62+L62+M62+N62+O62+P62+Q62+R62+S62)</f>
        <v>6</v>
      </c>
      <c r="E62" s="124"/>
      <c r="F62" s="124"/>
      <c r="G62" s="124"/>
      <c r="H62" s="124"/>
      <c r="I62" s="124"/>
      <c r="J62" s="123"/>
      <c r="K62" s="123"/>
      <c r="L62" s="123"/>
      <c r="M62" s="123"/>
      <c r="N62" s="123"/>
      <c r="O62" s="123"/>
      <c r="P62" s="123"/>
      <c r="Q62" s="123"/>
      <c r="R62" s="123">
        <v>6.0</v>
      </c>
      <c r="S62" s="123"/>
      <c r="T62" s="123"/>
      <c r="U62" s="124">
        <f>SUMIFS('UK London sales'!D:D, 'UK London sales'!B:B, B62, 'UK London sales'!C:C, C62)</f>
        <v>6</v>
      </c>
      <c r="V62" s="124">
        <f t="shared" ref="V62:V70" si="9">D62-U62</f>
        <v>0</v>
      </c>
      <c r="W62" s="119"/>
      <c r="X62" s="28"/>
      <c r="Y62" s="40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</row>
    <row r="63">
      <c r="A63" s="121">
        <v>57.0</v>
      </c>
      <c r="B63" s="122" t="s">
        <v>125</v>
      </c>
      <c r="C63" s="123">
        <v>33.0</v>
      </c>
      <c r="D63" s="124">
        <f t="shared" si="8"/>
        <v>17</v>
      </c>
      <c r="E63" s="124"/>
      <c r="F63" s="124"/>
      <c r="G63" s="124"/>
      <c r="H63" s="124"/>
      <c r="I63" s="124"/>
      <c r="J63" s="123"/>
      <c r="K63" s="123"/>
      <c r="L63" s="123"/>
      <c r="M63" s="123"/>
      <c r="N63" s="123"/>
      <c r="O63" s="123"/>
      <c r="P63" s="123"/>
      <c r="Q63" s="123"/>
      <c r="R63" s="123">
        <v>17.0</v>
      </c>
      <c r="S63" s="123"/>
      <c r="T63" s="123"/>
      <c r="U63" s="124">
        <f>SUMIFS('UK London sales'!D:D, 'UK London sales'!B:B, B63, 'UK London sales'!C:C, C63)</f>
        <v>17</v>
      </c>
      <c r="V63" s="124">
        <f t="shared" si="9"/>
        <v>0</v>
      </c>
      <c r="W63" s="119"/>
      <c r="X63" s="28"/>
      <c r="Y63" s="40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</row>
    <row r="64">
      <c r="A64" s="121">
        <v>58.0</v>
      </c>
      <c r="B64" s="122" t="s">
        <v>125</v>
      </c>
      <c r="C64" s="123">
        <v>34.0</v>
      </c>
      <c r="D64" s="124">
        <f t="shared" si="8"/>
        <v>11</v>
      </c>
      <c r="E64" s="124"/>
      <c r="F64" s="124"/>
      <c r="G64" s="124"/>
      <c r="H64" s="124"/>
      <c r="I64" s="124"/>
      <c r="J64" s="123"/>
      <c r="K64" s="123"/>
      <c r="L64" s="123"/>
      <c r="M64" s="123"/>
      <c r="N64" s="123"/>
      <c r="O64" s="123"/>
      <c r="P64" s="123"/>
      <c r="Q64" s="123"/>
      <c r="R64" s="123">
        <v>11.0</v>
      </c>
      <c r="S64" s="123"/>
      <c r="T64" s="123"/>
      <c r="U64" s="124">
        <f>SUMIFS('UK London sales'!D:D, 'UK London sales'!B:B, B64, 'UK London sales'!C:C, C64)</f>
        <v>11</v>
      </c>
      <c r="V64" s="124">
        <f t="shared" si="9"/>
        <v>0</v>
      </c>
      <c r="W64" s="119"/>
      <c r="X64" s="28"/>
      <c r="Y64" s="40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</row>
    <row r="65">
      <c r="A65" s="125">
        <v>59.0</v>
      </c>
      <c r="B65" s="126" t="s">
        <v>135</v>
      </c>
      <c r="C65" s="127">
        <v>32.0</v>
      </c>
      <c r="D65" s="128">
        <f t="shared" si="8"/>
        <v>5</v>
      </c>
      <c r="E65" s="128"/>
      <c r="F65" s="128"/>
      <c r="G65" s="128"/>
      <c r="H65" s="128"/>
      <c r="I65" s="128"/>
      <c r="J65" s="127"/>
      <c r="K65" s="127"/>
      <c r="L65" s="127"/>
      <c r="M65" s="127"/>
      <c r="N65" s="127"/>
      <c r="O65" s="127"/>
      <c r="P65" s="127"/>
      <c r="Q65" s="127"/>
      <c r="R65" s="127">
        <v>5.0</v>
      </c>
      <c r="S65" s="127"/>
      <c r="T65" s="127"/>
      <c r="U65" s="128">
        <f>SUMIFS('UK London sales'!D:D, 'UK London sales'!B:B, B65, 'UK London sales'!C:C, C65)</f>
        <v>5</v>
      </c>
      <c r="V65" s="128">
        <f t="shared" si="9"/>
        <v>0</v>
      </c>
      <c r="W65" s="119"/>
      <c r="X65" s="28"/>
      <c r="Y65" s="40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</row>
    <row r="66" ht="15.75" customHeight="1">
      <c r="A66" s="125">
        <v>60.0</v>
      </c>
      <c r="B66" s="126" t="s">
        <v>135</v>
      </c>
      <c r="C66" s="127">
        <v>34.0</v>
      </c>
      <c r="D66" s="128">
        <f t="shared" si="8"/>
        <v>5</v>
      </c>
      <c r="E66" s="128"/>
      <c r="F66" s="128"/>
      <c r="G66" s="128"/>
      <c r="H66" s="128"/>
      <c r="I66" s="128"/>
      <c r="J66" s="127"/>
      <c r="K66" s="127"/>
      <c r="L66" s="127"/>
      <c r="M66" s="127"/>
      <c r="N66" s="127"/>
      <c r="O66" s="127"/>
      <c r="P66" s="127"/>
      <c r="Q66" s="127"/>
      <c r="R66" s="127">
        <v>5.0</v>
      </c>
      <c r="S66" s="127"/>
      <c r="T66" s="127"/>
      <c r="U66" s="128">
        <f>SUMIFS('UK London sales'!D:D, 'UK London sales'!B:B, B66, 'UK London sales'!C:C, C66)</f>
        <v>5</v>
      </c>
      <c r="V66" s="128">
        <f t="shared" si="9"/>
        <v>0</v>
      </c>
      <c r="W66" s="119"/>
      <c r="X66" s="28"/>
      <c r="Y66" s="40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</row>
    <row r="67" ht="17.25" customHeight="1">
      <c r="A67" s="129">
        <v>61.0</v>
      </c>
      <c r="B67" s="130" t="s">
        <v>46</v>
      </c>
      <c r="C67" s="131">
        <v>30.0</v>
      </c>
      <c r="D67" s="75">
        <f t="shared" si="8"/>
        <v>6</v>
      </c>
      <c r="E67" s="131">
        <v>6.0</v>
      </c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>
        <f>SUMIFS('UK London sales'!D:D, 'UK London sales'!B:B, B67, 'UK London sales'!C:C, C67)</f>
        <v>5</v>
      </c>
      <c r="V67" s="131">
        <f t="shared" si="9"/>
        <v>1</v>
      </c>
      <c r="W67" s="119"/>
      <c r="X67" s="28"/>
      <c r="Y67" s="33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</row>
    <row r="68" ht="17.25" customHeight="1">
      <c r="A68" s="129">
        <v>62.0</v>
      </c>
      <c r="B68" s="130" t="s">
        <v>46</v>
      </c>
      <c r="C68" s="131">
        <v>32.0</v>
      </c>
      <c r="D68" s="75">
        <f t="shared" si="8"/>
        <v>10</v>
      </c>
      <c r="E68" s="131">
        <v>10.0</v>
      </c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>
        <f>SUMIFS('UK London sales'!D:D, 'UK London sales'!B:B, B68, 'UK London sales'!C:C, C68)</f>
        <v>10</v>
      </c>
      <c r="V68" s="131">
        <f t="shared" si="9"/>
        <v>0</v>
      </c>
      <c r="W68" s="119"/>
      <c r="X68" s="28"/>
      <c r="Y68" s="40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</row>
    <row r="69" ht="15.75" customHeight="1">
      <c r="A69" s="129">
        <v>63.0</v>
      </c>
      <c r="B69" s="130" t="s">
        <v>46</v>
      </c>
      <c r="C69" s="131">
        <v>34.0</v>
      </c>
      <c r="D69" s="75">
        <f t="shared" si="8"/>
        <v>14</v>
      </c>
      <c r="E69" s="131">
        <v>13.0</v>
      </c>
      <c r="F69" s="131"/>
      <c r="G69" s="131"/>
      <c r="H69" s="131"/>
      <c r="I69" s="131"/>
      <c r="J69" s="131"/>
      <c r="K69" s="131"/>
      <c r="L69" s="131"/>
      <c r="M69" s="132">
        <v>1.0</v>
      </c>
      <c r="N69" s="132"/>
      <c r="O69" s="132"/>
      <c r="P69" s="132"/>
      <c r="Q69" s="132"/>
      <c r="R69" s="132"/>
      <c r="S69" s="132"/>
      <c r="T69" s="132"/>
      <c r="U69" s="131">
        <f>SUMIFS('UK London sales'!D:D, 'UK London sales'!B:B, B69, 'UK London sales'!C:C, C69)</f>
        <v>13</v>
      </c>
      <c r="V69" s="131">
        <f t="shared" si="9"/>
        <v>1</v>
      </c>
      <c r="W69" s="119"/>
      <c r="X69" s="28"/>
      <c r="Y69" s="33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</row>
    <row r="70" ht="15.75" customHeight="1">
      <c r="A70" s="129">
        <v>64.0</v>
      </c>
      <c r="B70" s="130" t="s">
        <v>46</v>
      </c>
      <c r="C70" s="131">
        <v>36.0</v>
      </c>
      <c r="D70" s="75">
        <f t="shared" si="8"/>
        <v>6</v>
      </c>
      <c r="E70" s="131">
        <v>6.0</v>
      </c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>
        <f>SUMIFS('UK London sales'!D:D, 'UK London sales'!B:B, B70, 'UK London sales'!C:C, C70)</f>
        <v>5</v>
      </c>
      <c r="V70" s="131">
        <f t="shared" si="9"/>
        <v>1</v>
      </c>
      <c r="W70" s="119"/>
      <c r="X70" s="28"/>
      <c r="Y70" s="33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</row>
    <row r="71" ht="15.75" customHeight="1">
      <c r="A71" s="133" t="s">
        <v>137</v>
      </c>
      <c r="B71" s="134"/>
      <c r="C71" s="135"/>
      <c r="D71" s="135">
        <f>SUM(D3:D70)</f>
        <v>1812</v>
      </c>
      <c r="E71" s="135">
        <f t="shared" ref="E71:G71" si="10">SUM(E4:E70)</f>
        <v>244</v>
      </c>
      <c r="F71" s="135">
        <f t="shared" si="10"/>
        <v>95</v>
      </c>
      <c r="G71" s="135">
        <f t="shared" si="10"/>
        <v>124</v>
      </c>
      <c r="H71" s="135">
        <f t="shared" ref="H71:I71" si="11">SUM(H3:H70)</f>
        <v>95</v>
      </c>
      <c r="I71" s="135">
        <f t="shared" si="11"/>
        <v>132</v>
      </c>
      <c r="J71" s="135">
        <f t="shared" ref="J71:Q71" si="12">SUM(J3:J66)</f>
        <v>142</v>
      </c>
      <c r="K71" s="135">
        <f t="shared" si="12"/>
        <v>132</v>
      </c>
      <c r="L71" s="135">
        <f t="shared" si="12"/>
        <v>63</v>
      </c>
      <c r="M71" s="135">
        <f t="shared" si="12"/>
        <v>49</v>
      </c>
      <c r="N71" s="135">
        <f t="shared" si="12"/>
        <v>158</v>
      </c>
      <c r="O71" s="135">
        <f t="shared" si="12"/>
        <v>72</v>
      </c>
      <c r="P71" s="135">
        <f t="shared" si="12"/>
        <v>62</v>
      </c>
      <c r="Q71" s="135">
        <f t="shared" si="12"/>
        <v>115</v>
      </c>
      <c r="R71" s="135">
        <f t="shared" ref="R71:T71" si="13">SUM(R3:R70)</f>
        <v>130</v>
      </c>
      <c r="S71" s="135">
        <f t="shared" si="13"/>
        <v>119</v>
      </c>
      <c r="T71" s="135">
        <f t="shared" si="13"/>
        <v>98</v>
      </c>
      <c r="U71" s="135">
        <f>SUM(U4:U66)</f>
        <v>1726</v>
      </c>
      <c r="V71" s="135">
        <f>SUM(V3:V70)</f>
        <v>49</v>
      </c>
      <c r="W71" s="136"/>
      <c r="X71" s="22"/>
      <c r="Y71" s="92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</row>
    <row r="72" ht="15.75" customHeight="1">
      <c r="A72" s="11"/>
      <c r="B72" s="90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137"/>
      <c r="W72" s="90"/>
      <c r="X72" s="11"/>
      <c r="Y72" s="139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</row>
    <row r="73" ht="15.75" customHeight="1">
      <c r="A73" s="11"/>
      <c r="B73" s="90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137"/>
      <c r="S73" s="91"/>
      <c r="T73" s="91"/>
      <c r="U73" s="137"/>
      <c r="V73" s="91"/>
      <c r="W73" s="90"/>
      <c r="X73" s="11"/>
      <c r="Y73" s="139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</row>
    <row r="74" ht="15.75" customHeight="1">
      <c r="A74" s="11"/>
      <c r="B74" s="90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137"/>
      <c r="V74" s="91"/>
      <c r="W74" s="90"/>
      <c r="X74" s="11"/>
      <c r="Y74" s="139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</row>
    <row r="75" ht="15.75" customHeight="1">
      <c r="A75" s="11"/>
      <c r="B75" s="90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0"/>
      <c r="X75" s="11"/>
      <c r="Y75" s="139"/>
      <c r="Z75" s="11"/>
      <c r="AA75" s="41"/>
      <c r="AB75" s="4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</row>
    <row r="76" ht="15.75" customHeight="1">
      <c r="A76" s="11"/>
      <c r="B76" s="90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0"/>
      <c r="X76" s="11"/>
      <c r="Y76" s="139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</row>
    <row r="77" ht="15.75" customHeight="1">
      <c r="A77" s="11"/>
      <c r="B77" s="90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138"/>
      <c r="V77" s="91"/>
      <c r="W77" s="90"/>
      <c r="X77" s="11"/>
      <c r="Y77" s="139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</row>
    <row r="78" ht="15.75" customHeight="1">
      <c r="A78" s="11"/>
      <c r="B78" s="90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0"/>
      <c r="X78" s="11"/>
      <c r="Y78" s="139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</row>
    <row r="79" ht="15.75" customHeight="1">
      <c r="A79" s="11"/>
      <c r="B79" s="90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0"/>
      <c r="X79" s="11"/>
      <c r="Y79" s="139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</row>
    <row r="80" ht="15.75" customHeight="1">
      <c r="A80" s="11"/>
      <c r="B80" s="90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0"/>
      <c r="X80" s="11"/>
      <c r="Y80" s="139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</row>
    <row r="81" ht="15.75" customHeight="1">
      <c r="A81" s="11"/>
      <c r="B81" s="90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0"/>
      <c r="X81" s="11"/>
      <c r="Y81" s="139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</row>
    <row r="82" ht="15.75" customHeight="1">
      <c r="A82" s="11"/>
      <c r="B82" s="90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0"/>
      <c r="X82" s="11"/>
      <c r="Y82" s="139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</row>
    <row r="83" ht="15.75" customHeight="1">
      <c r="A83" s="11"/>
      <c r="B83" s="90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0"/>
      <c r="X83" s="11"/>
      <c r="Y83" s="139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</row>
    <row r="84" ht="15.75" customHeight="1">
      <c r="A84" s="11"/>
      <c r="B84" s="90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0"/>
      <c r="X84" s="11"/>
      <c r="Y84" s="139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</row>
    <row r="85" ht="15.75" customHeight="1">
      <c r="A85" s="11"/>
      <c r="B85" s="90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0"/>
      <c r="X85" s="11"/>
      <c r="Y85" s="139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</row>
    <row r="86" ht="15.75" customHeight="1">
      <c r="A86" s="11"/>
      <c r="B86" s="90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0"/>
      <c r="X86" s="11"/>
      <c r="Y86" s="139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</row>
    <row r="87" ht="15.75" customHeight="1">
      <c r="A87" s="11"/>
      <c r="B87" s="90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0"/>
      <c r="X87" s="11"/>
      <c r="Y87" s="139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</row>
    <row r="88" ht="15.75" customHeight="1">
      <c r="A88" s="11"/>
      <c r="B88" s="90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0"/>
      <c r="X88" s="11"/>
      <c r="Y88" s="139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</row>
    <row r="89" ht="15.75" customHeight="1">
      <c r="A89" s="11"/>
      <c r="B89" s="90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0"/>
      <c r="X89" s="11"/>
      <c r="Y89" s="139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</row>
    <row r="90" ht="15.75" customHeight="1">
      <c r="A90" s="11"/>
      <c r="B90" s="90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0"/>
      <c r="X90" s="11"/>
      <c r="Y90" s="139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</row>
    <row r="91" ht="15.75" customHeight="1">
      <c r="A91" s="11"/>
      <c r="B91" s="90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0"/>
      <c r="X91" s="11"/>
      <c r="Y91" s="139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</row>
    <row r="92" ht="15.75" customHeight="1">
      <c r="A92" s="11"/>
      <c r="B92" s="90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0"/>
      <c r="X92" s="11"/>
      <c r="Y92" s="139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</row>
    <row r="93" ht="15.75" customHeight="1">
      <c r="A93" s="11"/>
      <c r="B93" s="90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0"/>
      <c r="X93" s="11"/>
      <c r="Y93" s="139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</row>
    <row r="94" ht="15.75" customHeight="1">
      <c r="A94" s="11"/>
      <c r="B94" s="90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0"/>
      <c r="X94" s="11"/>
      <c r="Y94" s="139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</row>
    <row r="95" ht="15.75" customHeight="1">
      <c r="A95" s="11"/>
      <c r="B95" s="90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0"/>
      <c r="X95" s="11"/>
      <c r="Y95" s="139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</row>
    <row r="96" ht="15.75" customHeight="1">
      <c r="A96" s="11"/>
      <c r="B96" s="90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0"/>
      <c r="X96" s="11"/>
      <c r="Y96" s="139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</row>
    <row r="97" ht="15.75" customHeight="1">
      <c r="A97" s="11"/>
      <c r="B97" s="90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0"/>
      <c r="X97" s="11"/>
      <c r="Y97" s="139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</row>
    <row r="98" ht="15.75" customHeight="1">
      <c r="A98" s="11"/>
      <c r="B98" s="90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0"/>
      <c r="X98" s="11"/>
      <c r="Y98" s="139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</row>
    <row r="99" ht="15.75" customHeight="1">
      <c r="A99" s="11"/>
      <c r="B99" s="90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0"/>
      <c r="X99" s="11"/>
      <c r="Y99" s="139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</row>
    <row r="100" ht="15.75" customHeight="1">
      <c r="A100" s="11"/>
      <c r="B100" s="90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0"/>
      <c r="X100" s="11"/>
      <c r="Y100" s="139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ht="15.75" customHeight="1">
      <c r="A101" s="11"/>
      <c r="B101" s="90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0"/>
      <c r="X101" s="11"/>
      <c r="Y101" s="139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</row>
    <row r="102" ht="15.75" customHeight="1">
      <c r="A102" s="11"/>
      <c r="B102" s="90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0"/>
      <c r="X102" s="11"/>
      <c r="Y102" s="139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</row>
    <row r="103" ht="15.75" customHeight="1">
      <c r="A103" s="11"/>
      <c r="B103" s="90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0"/>
      <c r="X103" s="11"/>
      <c r="Y103" s="139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</row>
    <row r="104" ht="15.75" customHeight="1">
      <c r="A104" s="11"/>
      <c r="B104" s="90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0"/>
      <c r="X104" s="11"/>
      <c r="Y104" s="139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</row>
    <row r="105" ht="15.75" customHeight="1">
      <c r="A105" s="11"/>
      <c r="B105" s="90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0"/>
      <c r="X105" s="11"/>
      <c r="Y105" s="139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</row>
    <row r="106" ht="15.75" customHeight="1">
      <c r="A106" s="11"/>
      <c r="B106" s="90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0"/>
      <c r="X106" s="11"/>
      <c r="Y106" s="139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</row>
    <row r="107" ht="15.75" customHeight="1">
      <c r="A107" s="11"/>
      <c r="B107" s="90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0"/>
      <c r="X107" s="11"/>
      <c r="Y107" s="139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</row>
    <row r="108" ht="15.75" customHeight="1">
      <c r="A108" s="11"/>
      <c r="B108" s="90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0"/>
      <c r="X108" s="11"/>
      <c r="Y108" s="139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</row>
    <row r="109" ht="15.75" customHeight="1">
      <c r="A109" s="11"/>
      <c r="B109" s="90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0"/>
      <c r="X109" s="11"/>
      <c r="Y109" s="139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</row>
    <row r="110" ht="15.75" customHeight="1">
      <c r="A110" s="11"/>
      <c r="B110" s="90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0"/>
      <c r="X110" s="11"/>
      <c r="Y110" s="139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</row>
    <row r="111" ht="15.75" customHeight="1">
      <c r="A111" s="11"/>
      <c r="B111" s="90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0"/>
      <c r="X111" s="11"/>
      <c r="Y111" s="139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</row>
    <row r="112" ht="15.75" customHeight="1">
      <c r="A112" s="11"/>
      <c r="B112" s="90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0"/>
      <c r="X112" s="11"/>
      <c r="Y112" s="139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</row>
    <row r="113" ht="15.75" customHeight="1">
      <c r="A113" s="11"/>
      <c r="B113" s="90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0"/>
      <c r="X113" s="11"/>
      <c r="Y113" s="139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</row>
    <row r="114" ht="15.75" customHeight="1">
      <c r="A114" s="11"/>
      <c r="B114" s="90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0"/>
      <c r="X114" s="11"/>
      <c r="Y114" s="139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</row>
    <row r="115" ht="15.75" customHeight="1">
      <c r="A115" s="11"/>
      <c r="B115" s="90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0"/>
      <c r="X115" s="11"/>
      <c r="Y115" s="139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</row>
    <row r="116" ht="15.75" customHeight="1">
      <c r="A116" s="11"/>
      <c r="B116" s="90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0"/>
      <c r="X116" s="11"/>
      <c r="Y116" s="139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</row>
    <row r="117" ht="15.75" customHeight="1">
      <c r="A117" s="11"/>
      <c r="B117" s="90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0"/>
      <c r="X117" s="11"/>
      <c r="Y117" s="139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</row>
    <row r="118" ht="15.75" customHeight="1">
      <c r="A118" s="11"/>
      <c r="B118" s="90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0"/>
      <c r="X118" s="11"/>
      <c r="Y118" s="139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</row>
    <row r="119" ht="15.75" customHeight="1">
      <c r="A119" s="11"/>
      <c r="B119" s="90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0"/>
      <c r="X119" s="11"/>
      <c r="Y119" s="139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</row>
    <row r="120" ht="15.75" customHeight="1">
      <c r="A120" s="11"/>
      <c r="B120" s="90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0"/>
      <c r="X120" s="11"/>
      <c r="Y120" s="139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</row>
    <row r="121" ht="15.75" customHeight="1">
      <c r="A121" s="11"/>
      <c r="B121" s="90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0"/>
      <c r="X121" s="11"/>
      <c r="Y121" s="139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</row>
    <row r="122" ht="15.75" customHeight="1">
      <c r="A122" s="11"/>
      <c r="B122" s="90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0"/>
      <c r="X122" s="11"/>
      <c r="Y122" s="139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</row>
    <row r="123" ht="15.75" customHeight="1">
      <c r="A123" s="11"/>
      <c r="B123" s="90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0"/>
      <c r="X123" s="11"/>
      <c r="Y123" s="139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</row>
    <row r="124" ht="15.75" customHeight="1">
      <c r="A124" s="11"/>
      <c r="B124" s="90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0"/>
      <c r="X124" s="11"/>
      <c r="Y124" s="139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</row>
    <row r="125" ht="15.75" customHeight="1">
      <c r="A125" s="11"/>
      <c r="B125" s="90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0"/>
      <c r="X125" s="11"/>
      <c r="Y125" s="139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</row>
    <row r="126" ht="15.75" customHeight="1">
      <c r="A126" s="11"/>
      <c r="B126" s="90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0"/>
      <c r="X126" s="11"/>
      <c r="Y126" s="139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</row>
    <row r="127" ht="15.75" customHeight="1">
      <c r="A127" s="11"/>
      <c r="B127" s="90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0"/>
      <c r="X127" s="11"/>
      <c r="Y127" s="139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</row>
    <row r="128" ht="15.75" customHeight="1">
      <c r="A128" s="11"/>
      <c r="B128" s="90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0"/>
      <c r="X128" s="11"/>
      <c r="Y128" s="139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</row>
    <row r="129" ht="15.75" customHeight="1">
      <c r="A129" s="11"/>
      <c r="B129" s="90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0"/>
      <c r="X129" s="11"/>
      <c r="Y129" s="139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</row>
    <row r="130" ht="15.75" customHeight="1">
      <c r="A130" s="11"/>
      <c r="B130" s="90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0"/>
      <c r="X130" s="11"/>
      <c r="Y130" s="139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</row>
    <row r="131" ht="15.75" customHeight="1">
      <c r="A131" s="11"/>
      <c r="B131" s="90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0"/>
      <c r="X131" s="11"/>
      <c r="Y131" s="139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</row>
    <row r="132" ht="15.75" customHeight="1">
      <c r="A132" s="11"/>
      <c r="B132" s="90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0"/>
      <c r="X132" s="11"/>
      <c r="Y132" s="139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</row>
    <row r="133" ht="15.75" customHeight="1">
      <c r="A133" s="11"/>
      <c r="B133" s="90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0"/>
      <c r="X133" s="11"/>
      <c r="Y133" s="139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</row>
    <row r="134" ht="15.75" customHeight="1">
      <c r="A134" s="11"/>
      <c r="B134" s="90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0"/>
      <c r="X134" s="11"/>
      <c r="Y134" s="139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</row>
    <row r="135" ht="15.75" customHeight="1">
      <c r="A135" s="11"/>
      <c r="B135" s="90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0"/>
      <c r="X135" s="11"/>
      <c r="Y135" s="139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</row>
    <row r="136" ht="15.75" customHeight="1">
      <c r="A136" s="11"/>
      <c r="B136" s="90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0"/>
      <c r="X136" s="11"/>
      <c r="Y136" s="139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</row>
    <row r="137" ht="15.75" customHeight="1">
      <c r="A137" s="11"/>
      <c r="B137" s="90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0"/>
      <c r="X137" s="11"/>
      <c r="Y137" s="139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</row>
    <row r="138" ht="15.75" customHeight="1">
      <c r="A138" s="11"/>
      <c r="B138" s="90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0"/>
      <c r="X138" s="11"/>
      <c r="Y138" s="139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</row>
    <row r="139" ht="15.75" customHeight="1">
      <c r="A139" s="11"/>
      <c r="B139" s="90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0"/>
      <c r="X139" s="11"/>
      <c r="Y139" s="139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</row>
    <row r="140" ht="15.75" customHeight="1">
      <c r="A140" s="11"/>
      <c r="B140" s="90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0"/>
      <c r="X140" s="11"/>
      <c r="Y140" s="139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</row>
    <row r="141" ht="15.75" customHeight="1">
      <c r="A141" s="11"/>
      <c r="B141" s="90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0"/>
      <c r="X141" s="11"/>
      <c r="Y141" s="139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</row>
    <row r="142" ht="15.75" customHeight="1">
      <c r="A142" s="11"/>
      <c r="B142" s="90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0"/>
      <c r="X142" s="11"/>
      <c r="Y142" s="139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</row>
    <row r="143" ht="15.75" customHeight="1">
      <c r="A143" s="11"/>
      <c r="B143" s="90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0"/>
      <c r="X143" s="11"/>
      <c r="Y143" s="139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</row>
    <row r="144" ht="15.75" customHeight="1">
      <c r="A144" s="11"/>
      <c r="B144" s="90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0"/>
      <c r="X144" s="11"/>
      <c r="Y144" s="139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</row>
    <row r="145" ht="15.75" customHeight="1">
      <c r="A145" s="11"/>
      <c r="B145" s="90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0"/>
      <c r="X145" s="11"/>
      <c r="Y145" s="139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</row>
    <row r="146" ht="15.75" customHeight="1">
      <c r="A146" s="11"/>
      <c r="B146" s="90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0"/>
      <c r="X146" s="11"/>
      <c r="Y146" s="139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</row>
    <row r="147" ht="15.75" customHeight="1">
      <c r="A147" s="11"/>
      <c r="B147" s="90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0"/>
      <c r="X147" s="11"/>
      <c r="Y147" s="139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</row>
    <row r="148" ht="15.75" customHeight="1">
      <c r="A148" s="11"/>
      <c r="B148" s="90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0"/>
      <c r="X148" s="11"/>
      <c r="Y148" s="139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</row>
    <row r="149" ht="15.75" customHeight="1">
      <c r="A149" s="11"/>
      <c r="B149" s="90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0"/>
      <c r="X149" s="11"/>
      <c r="Y149" s="139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</row>
    <row r="150" ht="15.75" customHeight="1">
      <c r="A150" s="11"/>
      <c r="B150" s="90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0"/>
      <c r="X150" s="11"/>
      <c r="Y150" s="139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</row>
    <row r="151" ht="15.75" customHeight="1">
      <c r="A151" s="11"/>
      <c r="B151" s="90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0"/>
      <c r="X151" s="11"/>
      <c r="Y151" s="139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</row>
    <row r="152" ht="15.75" customHeight="1">
      <c r="A152" s="11"/>
      <c r="B152" s="90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0"/>
      <c r="X152" s="11"/>
      <c r="Y152" s="139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</row>
    <row r="153" ht="15.75" customHeight="1">
      <c r="A153" s="11"/>
      <c r="B153" s="90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0"/>
      <c r="X153" s="11"/>
      <c r="Y153" s="139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</row>
    <row r="154" ht="15.75" customHeight="1">
      <c r="A154" s="11"/>
      <c r="B154" s="90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0"/>
      <c r="X154" s="11"/>
      <c r="Y154" s="139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</row>
    <row r="155" ht="15.75" customHeight="1">
      <c r="A155" s="11"/>
      <c r="B155" s="90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0"/>
      <c r="X155" s="11"/>
      <c r="Y155" s="139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</row>
    <row r="156" ht="15.75" customHeight="1">
      <c r="A156" s="11"/>
      <c r="B156" s="90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0"/>
      <c r="X156" s="11"/>
      <c r="Y156" s="139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</row>
    <row r="157" ht="15.75" customHeight="1">
      <c r="A157" s="11"/>
      <c r="B157" s="90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0"/>
      <c r="X157" s="11"/>
      <c r="Y157" s="139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</row>
    <row r="158" ht="15.75" customHeight="1">
      <c r="A158" s="11"/>
      <c r="B158" s="90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0"/>
      <c r="X158" s="11"/>
      <c r="Y158" s="139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</row>
    <row r="159" ht="15.75" customHeight="1">
      <c r="A159" s="11"/>
      <c r="B159" s="90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0"/>
      <c r="X159" s="11"/>
      <c r="Y159" s="139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</row>
    <row r="160" ht="15.75" customHeight="1">
      <c r="A160" s="11"/>
      <c r="B160" s="90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0"/>
      <c r="X160" s="11"/>
      <c r="Y160" s="139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</row>
    <row r="161" ht="15.75" customHeight="1">
      <c r="A161" s="11"/>
      <c r="B161" s="90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0"/>
      <c r="X161" s="11"/>
      <c r="Y161" s="139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</row>
    <row r="162" ht="15.75" customHeight="1">
      <c r="A162" s="11"/>
      <c r="B162" s="90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0"/>
      <c r="X162" s="11"/>
      <c r="Y162" s="139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</row>
    <row r="163" ht="15.75" customHeight="1">
      <c r="A163" s="11"/>
      <c r="B163" s="90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0"/>
      <c r="X163" s="11"/>
      <c r="Y163" s="139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</row>
    <row r="164" ht="15.75" customHeight="1">
      <c r="A164" s="11"/>
      <c r="B164" s="90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0"/>
      <c r="X164" s="11"/>
      <c r="Y164" s="139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</row>
    <row r="165" ht="15.75" customHeight="1">
      <c r="A165" s="11"/>
      <c r="B165" s="90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0"/>
      <c r="X165" s="11"/>
      <c r="Y165" s="139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</row>
    <row r="166" ht="15.75" customHeight="1">
      <c r="A166" s="11"/>
      <c r="B166" s="90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0"/>
      <c r="X166" s="11"/>
      <c r="Y166" s="139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</row>
    <row r="167" ht="15.75" customHeight="1">
      <c r="A167" s="11"/>
      <c r="B167" s="90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0"/>
      <c r="X167" s="11"/>
      <c r="Y167" s="139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</row>
    <row r="168" ht="15.75" customHeight="1">
      <c r="A168" s="11"/>
      <c r="B168" s="90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0"/>
      <c r="X168" s="11"/>
      <c r="Y168" s="139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</row>
    <row r="169" ht="15.75" customHeight="1">
      <c r="A169" s="11"/>
      <c r="B169" s="90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0"/>
      <c r="X169" s="11"/>
      <c r="Y169" s="139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</row>
    <row r="170" ht="15.75" customHeight="1">
      <c r="A170" s="11"/>
      <c r="B170" s="90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0"/>
      <c r="X170" s="11"/>
      <c r="Y170" s="139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</row>
    <row r="171" ht="15.75" customHeight="1">
      <c r="A171" s="11"/>
      <c r="B171" s="90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0"/>
      <c r="X171" s="11"/>
      <c r="Y171" s="139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</row>
    <row r="172" ht="15.75" customHeight="1">
      <c r="A172" s="11"/>
      <c r="B172" s="90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0"/>
      <c r="X172" s="11"/>
      <c r="Y172" s="139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</row>
    <row r="173" ht="15.75" customHeight="1">
      <c r="A173" s="11"/>
      <c r="B173" s="90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0"/>
      <c r="X173" s="11"/>
      <c r="Y173" s="139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</row>
    <row r="174" ht="15.75" customHeight="1">
      <c r="A174" s="11"/>
      <c r="B174" s="90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0"/>
      <c r="X174" s="11"/>
      <c r="Y174" s="139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</row>
    <row r="175" ht="15.75" customHeight="1">
      <c r="A175" s="11"/>
      <c r="B175" s="90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0"/>
      <c r="X175" s="11"/>
      <c r="Y175" s="139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</row>
    <row r="176" ht="15.75" customHeight="1">
      <c r="A176" s="11"/>
      <c r="B176" s="90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0"/>
      <c r="X176" s="11"/>
      <c r="Y176" s="139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</row>
    <row r="177" ht="15.75" customHeight="1">
      <c r="A177" s="11"/>
      <c r="B177" s="90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0"/>
      <c r="X177" s="11"/>
      <c r="Y177" s="139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</row>
    <row r="178" ht="15.75" customHeight="1">
      <c r="A178" s="11"/>
      <c r="B178" s="90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0"/>
      <c r="X178" s="11"/>
      <c r="Y178" s="139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</row>
    <row r="179" ht="15.75" customHeight="1">
      <c r="A179" s="11"/>
      <c r="B179" s="90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0"/>
      <c r="X179" s="11"/>
      <c r="Y179" s="139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</row>
    <row r="180" ht="15.75" customHeight="1">
      <c r="A180" s="11"/>
      <c r="B180" s="90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0"/>
      <c r="X180" s="11"/>
      <c r="Y180" s="139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</row>
    <row r="181" ht="15.75" customHeight="1">
      <c r="A181" s="11"/>
      <c r="B181" s="90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0"/>
      <c r="X181" s="11"/>
      <c r="Y181" s="139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</row>
    <row r="182" ht="15.75" customHeight="1">
      <c r="A182" s="11"/>
      <c r="B182" s="90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0"/>
      <c r="X182" s="11"/>
      <c r="Y182" s="139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</row>
    <row r="183" ht="15.75" customHeight="1">
      <c r="A183" s="11"/>
      <c r="B183" s="90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0"/>
      <c r="X183" s="11"/>
      <c r="Y183" s="139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</row>
    <row r="184" ht="15.75" customHeight="1">
      <c r="A184" s="11"/>
      <c r="B184" s="90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0"/>
      <c r="X184" s="11"/>
      <c r="Y184" s="139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</row>
    <row r="185" ht="15.75" customHeight="1">
      <c r="A185" s="11"/>
      <c r="B185" s="90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0"/>
      <c r="X185" s="11"/>
      <c r="Y185" s="139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</row>
    <row r="186" ht="15.75" customHeight="1">
      <c r="A186" s="11"/>
      <c r="B186" s="90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0"/>
      <c r="X186" s="11"/>
      <c r="Y186" s="139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</row>
    <row r="187" ht="15.75" customHeight="1">
      <c r="A187" s="11"/>
      <c r="B187" s="90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0"/>
      <c r="X187" s="11"/>
      <c r="Y187" s="139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</row>
    <row r="188" ht="15.75" customHeight="1">
      <c r="A188" s="11"/>
      <c r="B188" s="90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0"/>
      <c r="X188" s="11"/>
      <c r="Y188" s="139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</row>
    <row r="189" ht="15.75" customHeight="1">
      <c r="A189" s="11"/>
      <c r="B189" s="90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0"/>
      <c r="X189" s="11"/>
      <c r="Y189" s="139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</row>
    <row r="190" ht="15.75" customHeight="1">
      <c r="A190" s="11"/>
      <c r="B190" s="90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0"/>
      <c r="X190" s="11"/>
      <c r="Y190" s="139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</row>
    <row r="191" ht="15.75" customHeight="1">
      <c r="A191" s="11"/>
      <c r="B191" s="90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0"/>
      <c r="X191" s="11"/>
      <c r="Y191" s="139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</row>
    <row r="192" ht="15.75" customHeight="1">
      <c r="A192" s="11"/>
      <c r="B192" s="90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0"/>
      <c r="X192" s="11"/>
      <c r="Y192" s="139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</row>
    <row r="193" ht="15.75" customHeight="1">
      <c r="A193" s="11"/>
      <c r="B193" s="90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0"/>
      <c r="X193" s="11"/>
      <c r="Y193" s="139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</row>
    <row r="194" ht="15.75" customHeight="1">
      <c r="A194" s="11"/>
      <c r="B194" s="90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0"/>
      <c r="X194" s="11"/>
      <c r="Y194" s="139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</row>
    <row r="195" ht="15.75" customHeight="1">
      <c r="A195" s="11"/>
      <c r="B195" s="90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0"/>
      <c r="X195" s="11"/>
      <c r="Y195" s="139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</row>
    <row r="196" ht="15.75" customHeight="1">
      <c r="A196" s="11"/>
      <c r="B196" s="90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0"/>
      <c r="X196" s="11"/>
      <c r="Y196" s="139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</row>
    <row r="197" ht="15.75" customHeight="1">
      <c r="A197" s="11"/>
      <c r="B197" s="90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0"/>
      <c r="X197" s="11"/>
      <c r="Y197" s="139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</row>
    <row r="198" ht="15.75" customHeight="1">
      <c r="A198" s="11"/>
      <c r="B198" s="90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0"/>
      <c r="X198" s="11"/>
      <c r="Y198" s="139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</row>
    <row r="199" ht="15.75" customHeight="1">
      <c r="A199" s="11"/>
      <c r="B199" s="90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0"/>
      <c r="X199" s="11"/>
      <c r="Y199" s="139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</row>
    <row r="200" ht="15.75" customHeight="1">
      <c r="A200" s="11"/>
      <c r="B200" s="90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0"/>
      <c r="X200" s="11"/>
      <c r="Y200" s="139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</row>
    <row r="201" ht="15.75" customHeight="1">
      <c r="A201" s="11"/>
      <c r="B201" s="90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0"/>
      <c r="X201" s="11"/>
      <c r="Y201" s="139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</row>
    <row r="202" ht="15.75" customHeight="1">
      <c r="A202" s="11"/>
      <c r="B202" s="90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0"/>
      <c r="X202" s="11"/>
      <c r="Y202" s="139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</row>
    <row r="203" ht="15.75" customHeight="1">
      <c r="A203" s="11"/>
      <c r="B203" s="90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0"/>
      <c r="X203" s="11"/>
      <c r="Y203" s="139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</row>
    <row r="204" ht="15.75" customHeight="1">
      <c r="A204" s="11"/>
      <c r="B204" s="90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0"/>
      <c r="X204" s="11"/>
      <c r="Y204" s="139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</row>
    <row r="205" ht="15.75" customHeight="1">
      <c r="A205" s="11"/>
      <c r="B205" s="90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0"/>
      <c r="X205" s="11"/>
      <c r="Y205" s="139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</row>
    <row r="206" ht="15.75" customHeight="1">
      <c r="A206" s="11"/>
      <c r="B206" s="90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0"/>
      <c r="X206" s="11"/>
      <c r="Y206" s="139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</row>
    <row r="207" ht="15.75" customHeight="1">
      <c r="A207" s="11"/>
      <c r="B207" s="90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0"/>
      <c r="X207" s="11"/>
      <c r="Y207" s="139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</row>
    <row r="208" ht="15.75" customHeight="1">
      <c r="A208" s="11"/>
      <c r="B208" s="90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0"/>
      <c r="X208" s="11"/>
      <c r="Y208" s="139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</row>
    <row r="209" ht="15.75" customHeight="1">
      <c r="A209" s="11"/>
      <c r="B209" s="90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0"/>
      <c r="X209" s="11"/>
      <c r="Y209" s="139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</row>
    <row r="210" ht="15.75" customHeight="1">
      <c r="A210" s="11"/>
      <c r="B210" s="90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0"/>
      <c r="X210" s="11"/>
      <c r="Y210" s="139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</row>
    <row r="211" ht="15.75" customHeight="1">
      <c r="A211" s="11"/>
      <c r="B211" s="90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0"/>
      <c r="X211" s="11"/>
      <c r="Y211" s="139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</row>
    <row r="212" ht="15.75" customHeight="1">
      <c r="A212" s="11"/>
      <c r="B212" s="90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0"/>
      <c r="X212" s="11"/>
      <c r="Y212" s="139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</row>
    <row r="213" ht="15.75" customHeight="1">
      <c r="A213" s="11"/>
      <c r="B213" s="90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0"/>
      <c r="X213" s="11"/>
      <c r="Y213" s="139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</row>
    <row r="214" ht="15.75" customHeight="1">
      <c r="A214" s="11"/>
      <c r="B214" s="90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0"/>
      <c r="X214" s="11"/>
      <c r="Y214" s="139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</row>
    <row r="215" ht="15.75" customHeight="1">
      <c r="A215" s="11"/>
      <c r="B215" s="90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0"/>
      <c r="X215" s="11"/>
      <c r="Y215" s="139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</row>
    <row r="216" ht="15.75" customHeight="1">
      <c r="A216" s="11"/>
      <c r="B216" s="90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0"/>
      <c r="X216" s="11"/>
      <c r="Y216" s="139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</row>
    <row r="217" ht="15.75" customHeight="1">
      <c r="A217" s="11"/>
      <c r="B217" s="90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0"/>
      <c r="X217" s="11"/>
      <c r="Y217" s="139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</row>
    <row r="218" ht="15.75" customHeight="1">
      <c r="A218" s="11"/>
      <c r="B218" s="90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0"/>
      <c r="X218" s="11"/>
      <c r="Y218" s="139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</row>
    <row r="219" ht="15.75" customHeight="1">
      <c r="A219" s="11"/>
      <c r="B219" s="90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0"/>
      <c r="X219" s="11"/>
      <c r="Y219" s="139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</row>
    <row r="220" ht="15.75" customHeight="1">
      <c r="A220" s="11"/>
      <c r="B220" s="90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0"/>
      <c r="X220" s="11"/>
      <c r="Y220" s="139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</row>
    <row r="221" ht="15.75" customHeight="1">
      <c r="A221" s="11"/>
      <c r="B221" s="90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0"/>
      <c r="X221" s="11"/>
      <c r="Y221" s="139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</row>
    <row r="222" ht="15.75" customHeight="1">
      <c r="A222" s="11"/>
      <c r="B222" s="90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0"/>
      <c r="X222" s="11"/>
      <c r="Y222" s="139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</row>
    <row r="223" ht="15.75" customHeight="1">
      <c r="A223" s="11"/>
      <c r="B223" s="90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0"/>
      <c r="X223" s="11"/>
      <c r="Y223" s="139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</row>
    <row r="224" ht="15.75" customHeight="1">
      <c r="A224" s="11"/>
      <c r="B224" s="90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0"/>
      <c r="X224" s="11"/>
      <c r="Y224" s="139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</row>
    <row r="225" ht="15.75" customHeight="1">
      <c r="A225" s="11"/>
      <c r="B225" s="90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0"/>
      <c r="X225" s="11"/>
      <c r="Y225" s="139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</row>
    <row r="226" ht="15.75" customHeight="1">
      <c r="A226" s="11"/>
      <c r="B226" s="90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0"/>
      <c r="X226" s="11"/>
      <c r="Y226" s="139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</row>
    <row r="227" ht="15.75" customHeight="1">
      <c r="A227" s="11"/>
      <c r="B227" s="90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0"/>
      <c r="X227" s="11"/>
      <c r="Y227" s="139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</row>
    <row r="228" ht="15.75" customHeight="1">
      <c r="A228" s="11"/>
      <c r="B228" s="90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0"/>
      <c r="X228" s="11"/>
      <c r="Y228" s="139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</row>
    <row r="229" ht="15.75" customHeight="1">
      <c r="A229" s="11"/>
      <c r="B229" s="90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0"/>
      <c r="X229" s="11"/>
      <c r="Y229" s="139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</row>
    <row r="230" ht="15.75" customHeight="1">
      <c r="A230" s="11"/>
      <c r="B230" s="90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0"/>
      <c r="X230" s="11"/>
      <c r="Y230" s="139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</row>
    <row r="231" ht="15.75" customHeight="1">
      <c r="A231" s="11"/>
      <c r="B231" s="90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0"/>
      <c r="X231" s="11"/>
      <c r="Y231" s="139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</row>
    <row r="232" ht="15.75" customHeight="1">
      <c r="A232" s="11"/>
      <c r="B232" s="90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0"/>
      <c r="X232" s="11"/>
      <c r="Y232" s="139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</row>
    <row r="233" ht="15.75" customHeight="1">
      <c r="A233" s="11"/>
      <c r="B233" s="90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0"/>
      <c r="X233" s="11"/>
      <c r="Y233" s="139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</row>
    <row r="234" ht="15.75" customHeight="1">
      <c r="A234" s="11"/>
      <c r="B234" s="90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0"/>
      <c r="X234" s="11"/>
      <c r="Y234" s="139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</row>
    <row r="235" ht="15.75" customHeight="1">
      <c r="A235" s="11"/>
      <c r="B235" s="90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0"/>
      <c r="X235" s="11"/>
      <c r="Y235" s="139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</row>
    <row r="236" ht="15.75" customHeight="1">
      <c r="A236" s="11"/>
      <c r="B236" s="90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0"/>
      <c r="X236" s="11"/>
      <c r="Y236" s="139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</row>
    <row r="237" ht="15.75" customHeight="1">
      <c r="A237" s="11"/>
      <c r="B237" s="90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0"/>
      <c r="X237" s="11"/>
      <c r="Y237" s="139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</row>
    <row r="238" ht="15.75" customHeight="1">
      <c r="A238" s="11"/>
      <c r="B238" s="90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0"/>
      <c r="X238" s="11"/>
      <c r="Y238" s="139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</row>
    <row r="239" ht="15.75" customHeight="1">
      <c r="A239" s="11"/>
      <c r="B239" s="90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0"/>
      <c r="X239" s="11"/>
      <c r="Y239" s="139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</row>
    <row r="240" ht="15.75" customHeight="1">
      <c r="A240" s="11"/>
      <c r="B240" s="90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0"/>
      <c r="X240" s="11"/>
      <c r="Y240" s="139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</row>
    <row r="241" ht="15.75" customHeight="1">
      <c r="A241" s="11"/>
      <c r="B241" s="90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0"/>
      <c r="X241" s="11"/>
      <c r="Y241" s="139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</row>
    <row r="242" ht="15.75" customHeight="1">
      <c r="A242" s="11"/>
      <c r="B242" s="90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0"/>
      <c r="X242" s="11"/>
      <c r="Y242" s="139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</row>
    <row r="243" ht="15.75" customHeight="1">
      <c r="A243" s="11"/>
      <c r="B243" s="90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0"/>
      <c r="X243" s="11"/>
      <c r="Y243" s="139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</row>
    <row r="244" ht="15.75" customHeight="1">
      <c r="A244" s="11"/>
      <c r="B244" s="90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0"/>
      <c r="X244" s="11"/>
      <c r="Y244" s="139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</row>
    <row r="245" ht="15.75" customHeight="1">
      <c r="A245" s="11"/>
      <c r="B245" s="90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0"/>
      <c r="X245" s="11"/>
      <c r="Y245" s="139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</row>
    <row r="246" ht="15.75" customHeight="1">
      <c r="A246" s="11"/>
      <c r="B246" s="90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0"/>
      <c r="X246" s="11"/>
      <c r="Y246" s="139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</row>
    <row r="247" ht="15.75" customHeight="1">
      <c r="A247" s="11"/>
      <c r="B247" s="90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0"/>
      <c r="X247" s="11"/>
      <c r="Y247" s="139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</row>
    <row r="248" ht="15.75" customHeight="1">
      <c r="A248" s="11"/>
      <c r="B248" s="90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0"/>
      <c r="X248" s="11"/>
      <c r="Y248" s="139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</row>
    <row r="249" ht="15.75" customHeight="1">
      <c r="A249" s="11"/>
      <c r="B249" s="90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0"/>
      <c r="X249" s="11"/>
      <c r="Y249" s="139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</row>
    <row r="250" ht="15.75" customHeight="1">
      <c r="A250" s="11"/>
      <c r="B250" s="90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0"/>
      <c r="X250" s="11"/>
      <c r="Y250" s="139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</row>
    <row r="251" ht="15.75" customHeight="1">
      <c r="A251" s="11"/>
      <c r="B251" s="90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0"/>
      <c r="X251" s="11"/>
      <c r="Y251" s="139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</row>
    <row r="252" ht="15.75" customHeight="1">
      <c r="A252" s="11"/>
      <c r="B252" s="90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0"/>
      <c r="X252" s="11"/>
      <c r="Y252" s="139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</row>
    <row r="253" ht="15.75" customHeight="1">
      <c r="A253" s="11"/>
      <c r="B253" s="90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0"/>
      <c r="X253" s="11"/>
      <c r="Y253" s="139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</row>
    <row r="254" ht="15.75" customHeight="1">
      <c r="A254" s="11"/>
      <c r="B254" s="90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0"/>
      <c r="X254" s="11"/>
      <c r="Y254" s="139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</row>
    <row r="255" ht="15.75" customHeight="1">
      <c r="A255" s="11"/>
      <c r="B255" s="90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0"/>
      <c r="X255" s="11"/>
      <c r="Y255" s="139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</row>
    <row r="256" ht="15.75" customHeight="1">
      <c r="A256" s="11"/>
      <c r="B256" s="90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0"/>
      <c r="X256" s="11"/>
      <c r="Y256" s="139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</row>
    <row r="257" ht="15.75" customHeight="1">
      <c r="A257" s="11"/>
      <c r="B257" s="90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0"/>
      <c r="X257" s="11"/>
      <c r="Y257" s="139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</row>
    <row r="258" ht="15.75" customHeight="1">
      <c r="A258" s="11"/>
      <c r="B258" s="90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0"/>
      <c r="X258" s="11"/>
      <c r="Y258" s="139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</row>
    <row r="259" ht="15.75" customHeight="1">
      <c r="A259" s="11"/>
      <c r="B259" s="90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0"/>
      <c r="X259" s="11"/>
      <c r="Y259" s="139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</row>
    <row r="260" ht="15.75" customHeight="1">
      <c r="A260" s="11"/>
      <c r="B260" s="90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0"/>
      <c r="X260" s="11"/>
      <c r="Y260" s="139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</row>
    <row r="261" ht="15.75" customHeight="1">
      <c r="A261" s="11"/>
      <c r="B261" s="90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0"/>
      <c r="X261" s="11"/>
      <c r="Y261" s="139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</row>
    <row r="262" ht="15.75" customHeight="1">
      <c r="A262" s="11"/>
      <c r="B262" s="90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0"/>
      <c r="X262" s="11"/>
      <c r="Y262" s="139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</row>
    <row r="263" ht="15.75" customHeight="1">
      <c r="A263" s="11"/>
      <c r="B263" s="90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0"/>
      <c r="X263" s="11"/>
      <c r="Y263" s="139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</row>
    <row r="264" ht="15.75" customHeight="1">
      <c r="A264" s="11"/>
      <c r="B264" s="90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0"/>
      <c r="X264" s="11"/>
      <c r="Y264" s="139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</row>
    <row r="265" ht="15.75" customHeight="1">
      <c r="A265" s="11"/>
      <c r="B265" s="90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0"/>
      <c r="X265" s="11"/>
      <c r="Y265" s="139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</row>
    <row r="266" ht="15.75" customHeight="1">
      <c r="A266" s="11"/>
      <c r="B266" s="90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0"/>
      <c r="X266" s="11"/>
      <c r="Y266" s="139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</row>
    <row r="267" ht="15.75" customHeight="1">
      <c r="A267" s="11"/>
      <c r="B267" s="90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0"/>
      <c r="X267" s="11"/>
      <c r="Y267" s="139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</row>
    <row r="268" ht="15.75" customHeight="1">
      <c r="A268" s="11"/>
      <c r="B268" s="90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0"/>
      <c r="X268" s="11"/>
      <c r="Y268" s="139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</row>
    <row r="269" ht="15.75" customHeight="1">
      <c r="A269" s="11"/>
      <c r="B269" s="90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0"/>
      <c r="X269" s="11"/>
      <c r="Y269" s="139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</row>
    <row r="270" ht="15.75" customHeight="1">
      <c r="A270" s="11"/>
      <c r="B270" s="90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0"/>
      <c r="X270" s="11"/>
      <c r="Y270" s="139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</row>
    <row r="271" ht="15.75" customHeight="1">
      <c r="A271" s="11"/>
      <c r="B271" s="90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0"/>
      <c r="X271" s="11"/>
      <c r="Y271" s="139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</row>
    <row r="272" ht="15.75" customHeight="1"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W272" s="162"/>
      <c r="Y272" s="163"/>
    </row>
    <row r="273" ht="15.75" customHeight="1"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W273" s="162"/>
      <c r="Y273" s="163"/>
    </row>
    <row r="274" ht="15.75" customHeight="1"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W274" s="162"/>
      <c r="Y274" s="163"/>
    </row>
    <row r="275" ht="15.75" customHeight="1"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W275" s="162"/>
      <c r="Y275" s="163"/>
    </row>
    <row r="276" ht="15.75" customHeight="1"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W276" s="162"/>
      <c r="Y276" s="163"/>
    </row>
    <row r="277" ht="15.75" customHeight="1"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W277" s="162"/>
      <c r="Y277" s="163"/>
    </row>
    <row r="278" ht="15.75" customHeight="1"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W278" s="162"/>
      <c r="Y278" s="163"/>
    </row>
    <row r="279" ht="15.75" customHeight="1"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W279" s="162"/>
      <c r="Y279" s="163"/>
    </row>
    <row r="280" ht="15.75" customHeight="1"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W280" s="162"/>
      <c r="Y280" s="163"/>
    </row>
    <row r="281" ht="15.75" customHeight="1"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W281" s="162"/>
      <c r="Y281" s="163"/>
    </row>
    <row r="282" ht="15.75" customHeight="1"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W282" s="162"/>
      <c r="Y282" s="163"/>
    </row>
    <row r="283" ht="15.75" customHeight="1"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W283" s="162"/>
      <c r="Y283" s="163"/>
    </row>
    <row r="284" ht="15.75" customHeight="1"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W284" s="162"/>
      <c r="Y284" s="163"/>
    </row>
    <row r="285" ht="15.75" customHeight="1"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W285" s="162"/>
      <c r="Y285" s="163"/>
    </row>
    <row r="286" ht="15.75" customHeight="1"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W286" s="162"/>
      <c r="Y286" s="163"/>
    </row>
    <row r="287" ht="15.75" customHeight="1"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W287" s="162"/>
      <c r="Y287" s="163"/>
    </row>
    <row r="288" ht="15.75" customHeight="1"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W288" s="162"/>
      <c r="Y288" s="163"/>
    </row>
    <row r="289" ht="15.75" customHeight="1"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W289" s="162"/>
      <c r="Y289" s="163"/>
    </row>
    <row r="290" ht="15.75" customHeight="1"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W290" s="162"/>
      <c r="Y290" s="163"/>
    </row>
    <row r="291" ht="15.75" customHeight="1"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W291" s="162"/>
      <c r="Y291" s="163"/>
    </row>
    <row r="292" ht="15.75" customHeight="1"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W292" s="162"/>
      <c r="Y292" s="163"/>
    </row>
    <row r="293" ht="15.75" customHeight="1"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W293" s="162"/>
      <c r="Y293" s="163"/>
    </row>
    <row r="294" ht="15.75" customHeight="1"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W294" s="162"/>
      <c r="Y294" s="163"/>
    </row>
    <row r="295" ht="15.75" customHeight="1"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W295" s="162"/>
      <c r="Y295" s="163"/>
    </row>
    <row r="296" ht="15.75" customHeight="1"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W296" s="162"/>
      <c r="Y296" s="163"/>
    </row>
    <row r="297" ht="15.75" customHeight="1"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W297" s="162"/>
      <c r="Y297" s="163"/>
    </row>
    <row r="298" ht="15.75" customHeight="1"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W298" s="162"/>
      <c r="Y298" s="163"/>
    </row>
    <row r="299" ht="15.75" customHeight="1"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W299" s="162"/>
      <c r="Y299" s="163"/>
    </row>
    <row r="300" ht="15.75" customHeight="1"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W300" s="162"/>
      <c r="Y300" s="163"/>
    </row>
    <row r="301" ht="15.75" customHeight="1"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W301" s="162"/>
      <c r="Y301" s="163"/>
    </row>
    <row r="302" ht="15.75" customHeight="1"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W302" s="162"/>
      <c r="Y302" s="163"/>
    </row>
    <row r="303" ht="15.75" customHeight="1"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W303" s="162"/>
      <c r="Y303" s="163"/>
    </row>
    <row r="304" ht="15.75" customHeight="1"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W304" s="162"/>
      <c r="Y304" s="163"/>
    </row>
    <row r="305" ht="15.75" customHeight="1"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W305" s="162"/>
      <c r="Y305" s="163"/>
    </row>
    <row r="306" ht="15.75" customHeight="1"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W306" s="162"/>
      <c r="Y306" s="163"/>
    </row>
    <row r="307" ht="15.75" customHeight="1"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W307" s="162"/>
      <c r="Y307" s="163"/>
    </row>
    <row r="308" ht="15.75" customHeight="1"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W308" s="162"/>
      <c r="Y308" s="163"/>
    </row>
    <row r="309" ht="15.75" customHeight="1"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W309" s="162"/>
      <c r="Y309" s="163"/>
    </row>
    <row r="310" ht="15.75" customHeight="1"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W310" s="162"/>
      <c r="Y310" s="163"/>
    </row>
    <row r="311" ht="15.75" customHeight="1"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W311" s="162"/>
      <c r="Y311" s="163"/>
    </row>
    <row r="312" ht="15.75" customHeight="1"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W312" s="162"/>
      <c r="Y312" s="163"/>
    </row>
    <row r="313" ht="15.75" customHeight="1"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W313" s="162"/>
      <c r="Y313" s="163"/>
    </row>
    <row r="314" ht="15.75" customHeight="1"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W314" s="162"/>
      <c r="Y314" s="163"/>
    </row>
    <row r="315" ht="15.75" customHeight="1"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W315" s="162"/>
      <c r="Y315" s="163"/>
    </row>
    <row r="316" ht="15.75" customHeight="1"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W316" s="162"/>
      <c r="Y316" s="163"/>
    </row>
    <row r="317" ht="15.75" customHeight="1"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W317" s="162"/>
      <c r="Y317" s="163"/>
    </row>
    <row r="318" ht="15.75" customHeight="1"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W318" s="162"/>
      <c r="Y318" s="163"/>
    </row>
    <row r="319" ht="15.75" customHeight="1"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W319" s="162"/>
      <c r="Y319" s="163"/>
    </row>
    <row r="320" ht="15.75" customHeight="1"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W320" s="162"/>
      <c r="Y320" s="163"/>
    </row>
    <row r="321" ht="15.75" customHeight="1"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W321" s="162"/>
      <c r="Y321" s="163"/>
    </row>
    <row r="322" ht="15.75" customHeight="1"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W322" s="162"/>
      <c r="Y322" s="163"/>
    </row>
    <row r="323" ht="15.75" customHeight="1"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W323" s="162"/>
      <c r="Y323" s="163"/>
    </row>
    <row r="324" ht="15.75" customHeight="1"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W324" s="162"/>
      <c r="Y324" s="163"/>
    </row>
    <row r="325" ht="15.75" customHeight="1"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W325" s="162"/>
      <c r="Y325" s="163"/>
    </row>
    <row r="326" ht="15.75" customHeight="1"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W326" s="162"/>
      <c r="Y326" s="163"/>
    </row>
    <row r="327" ht="15.75" customHeight="1"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W327" s="162"/>
      <c r="Y327" s="163"/>
    </row>
    <row r="328" ht="15.75" customHeight="1"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W328" s="162"/>
      <c r="Y328" s="163"/>
    </row>
    <row r="329" ht="15.75" customHeight="1"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W329" s="162"/>
      <c r="Y329" s="163"/>
    </row>
    <row r="330" ht="15.75" customHeight="1"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W330" s="162"/>
      <c r="Y330" s="163"/>
    </row>
    <row r="331" ht="15.75" customHeight="1"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W331" s="162"/>
      <c r="Y331" s="163"/>
    </row>
    <row r="332" ht="15.75" customHeight="1"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W332" s="162"/>
      <c r="Y332" s="163"/>
    </row>
    <row r="333" ht="15.75" customHeight="1"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W333" s="162"/>
      <c r="Y333" s="163"/>
    </row>
    <row r="334" ht="15.75" customHeight="1"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W334" s="162"/>
      <c r="Y334" s="163"/>
    </row>
    <row r="335" ht="15.75" customHeight="1"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W335" s="162"/>
      <c r="Y335" s="163"/>
    </row>
    <row r="336" ht="15.75" customHeight="1"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W336" s="162"/>
      <c r="Y336" s="163"/>
    </row>
    <row r="337" ht="15.75" customHeight="1"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W337" s="162"/>
      <c r="Y337" s="163"/>
    </row>
    <row r="338" ht="15.75" customHeight="1"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W338" s="162"/>
      <c r="Y338" s="163"/>
    </row>
    <row r="339" ht="15.75" customHeight="1"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W339" s="162"/>
      <c r="Y339" s="163"/>
    </row>
    <row r="340" ht="15.75" customHeight="1"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W340" s="162"/>
      <c r="Y340" s="163"/>
    </row>
    <row r="341" ht="15.75" customHeight="1"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W341" s="162"/>
      <c r="Y341" s="163"/>
    </row>
    <row r="342" ht="15.75" customHeight="1"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W342" s="162"/>
      <c r="Y342" s="163"/>
    </row>
    <row r="343" ht="15.75" customHeight="1"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W343" s="162"/>
      <c r="Y343" s="163"/>
    </row>
    <row r="344" ht="15.75" customHeight="1"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W344" s="162"/>
      <c r="Y344" s="163"/>
    </row>
    <row r="345" ht="15.75" customHeight="1"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W345" s="162"/>
      <c r="Y345" s="163"/>
    </row>
    <row r="346" ht="15.75" customHeight="1"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W346" s="162"/>
      <c r="Y346" s="163"/>
    </row>
    <row r="347" ht="15.75" customHeight="1"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W347" s="162"/>
      <c r="Y347" s="163"/>
    </row>
    <row r="348" ht="15.75" customHeight="1"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W348" s="162"/>
      <c r="Y348" s="163"/>
    </row>
    <row r="349" ht="15.75" customHeight="1"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W349" s="162"/>
      <c r="Y349" s="163"/>
    </row>
    <row r="350" ht="15.75" customHeight="1"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W350" s="162"/>
      <c r="Y350" s="163"/>
    </row>
    <row r="351" ht="15.75" customHeight="1"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W351" s="162"/>
      <c r="Y351" s="163"/>
    </row>
    <row r="352" ht="15.75" customHeight="1"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W352" s="162"/>
      <c r="Y352" s="163"/>
    </row>
    <row r="353" ht="15.75" customHeight="1"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W353" s="162"/>
      <c r="Y353" s="163"/>
    </row>
    <row r="354" ht="15.75" customHeight="1"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W354" s="162"/>
      <c r="Y354" s="163"/>
    </row>
    <row r="355" ht="15.75" customHeight="1"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W355" s="162"/>
      <c r="Y355" s="163"/>
    </row>
    <row r="356" ht="15.75" customHeight="1"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W356" s="162"/>
      <c r="Y356" s="163"/>
    </row>
    <row r="357" ht="15.75" customHeight="1"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W357" s="162"/>
      <c r="Y357" s="163"/>
    </row>
    <row r="358" ht="15.75" customHeight="1"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W358" s="162"/>
      <c r="Y358" s="163"/>
    </row>
    <row r="359" ht="15.75" customHeight="1"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W359" s="162"/>
      <c r="Y359" s="163"/>
    </row>
    <row r="360" ht="15.75" customHeight="1"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W360" s="162"/>
      <c r="Y360" s="163"/>
    </row>
    <row r="361" ht="15.75" customHeight="1"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W361" s="162"/>
      <c r="Y361" s="163"/>
    </row>
    <row r="362" ht="15.75" customHeight="1"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W362" s="162"/>
      <c r="Y362" s="163"/>
    </row>
    <row r="363" ht="15.75" customHeight="1"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W363" s="162"/>
      <c r="Y363" s="163"/>
    </row>
    <row r="364" ht="15.75" customHeight="1"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W364" s="162"/>
      <c r="Y364" s="163"/>
    </row>
    <row r="365" ht="15.75" customHeight="1"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W365" s="162"/>
      <c r="Y365" s="163"/>
    </row>
    <row r="366" ht="15.75" customHeight="1"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W366" s="162"/>
      <c r="Y366" s="163"/>
    </row>
    <row r="367" ht="15.75" customHeight="1"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W367" s="162"/>
      <c r="Y367" s="163"/>
    </row>
    <row r="368" ht="15.75" customHeight="1"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W368" s="162"/>
      <c r="Y368" s="163"/>
    </row>
    <row r="369" ht="15.75" customHeight="1"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W369" s="162"/>
      <c r="Y369" s="163"/>
    </row>
    <row r="370" ht="15.75" customHeight="1"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W370" s="162"/>
      <c r="Y370" s="163"/>
    </row>
    <row r="371" ht="15.75" customHeight="1"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W371" s="162"/>
      <c r="Y371" s="163"/>
    </row>
    <row r="372" ht="15.75" customHeight="1"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W372" s="162"/>
      <c r="Y372" s="163"/>
    </row>
    <row r="373" ht="15.75" customHeight="1"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W373" s="162"/>
      <c r="Y373" s="163"/>
    </row>
    <row r="374" ht="15.75" customHeight="1"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W374" s="162"/>
      <c r="Y374" s="163"/>
    </row>
    <row r="375" ht="15.75" customHeight="1"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W375" s="162"/>
      <c r="Y375" s="163"/>
    </row>
    <row r="376" ht="15.75" customHeight="1"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W376" s="162"/>
      <c r="Y376" s="163"/>
    </row>
    <row r="377" ht="15.75" customHeight="1"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W377" s="162"/>
      <c r="Y377" s="163"/>
    </row>
    <row r="378" ht="15.75" customHeight="1"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W378" s="162"/>
      <c r="Y378" s="163"/>
    </row>
    <row r="379" ht="15.75" customHeight="1"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W379" s="162"/>
      <c r="Y379" s="163"/>
    </row>
    <row r="380" ht="15.75" customHeight="1"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W380" s="162"/>
      <c r="Y380" s="163"/>
    </row>
    <row r="381" ht="15.75" customHeight="1"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W381" s="162"/>
      <c r="Y381" s="163"/>
    </row>
    <row r="382" ht="15.75" customHeight="1"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W382" s="162"/>
      <c r="Y382" s="163"/>
    </row>
    <row r="383" ht="15.75" customHeight="1"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W383" s="162"/>
      <c r="Y383" s="163"/>
    </row>
    <row r="384" ht="15.75" customHeight="1"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W384" s="162"/>
      <c r="Y384" s="163"/>
    </row>
    <row r="385" ht="15.75" customHeight="1"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W385" s="162"/>
      <c r="Y385" s="163"/>
    </row>
    <row r="386" ht="15.75" customHeight="1"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W386" s="162"/>
      <c r="Y386" s="163"/>
    </row>
    <row r="387" ht="15.75" customHeight="1"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W387" s="162"/>
      <c r="Y387" s="163"/>
    </row>
    <row r="388" ht="15.75" customHeight="1"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W388" s="162"/>
      <c r="Y388" s="163"/>
    </row>
    <row r="389" ht="15.75" customHeight="1"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W389" s="162"/>
      <c r="Y389" s="163"/>
    </row>
    <row r="390" ht="15.75" customHeight="1"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W390" s="162"/>
      <c r="Y390" s="163"/>
    </row>
    <row r="391" ht="15.75" customHeight="1"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W391" s="162"/>
      <c r="Y391" s="163"/>
    </row>
    <row r="392" ht="15.75" customHeight="1"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W392" s="162"/>
      <c r="Y392" s="163"/>
    </row>
    <row r="393" ht="15.75" customHeight="1"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W393" s="162"/>
      <c r="Y393" s="163"/>
    </row>
    <row r="394" ht="15.75" customHeight="1"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W394" s="162"/>
      <c r="Y394" s="163"/>
    </row>
    <row r="395" ht="15.75" customHeight="1"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W395" s="162"/>
      <c r="Y395" s="163"/>
    </row>
    <row r="396" ht="15.75" customHeight="1"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W396" s="162"/>
      <c r="Y396" s="163"/>
    </row>
    <row r="397" ht="15.75" customHeight="1"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W397" s="162"/>
      <c r="Y397" s="163"/>
    </row>
    <row r="398" ht="15.75" customHeight="1"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W398" s="162"/>
      <c r="Y398" s="163"/>
    </row>
    <row r="399" ht="15.75" customHeight="1"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W399" s="162"/>
      <c r="Y399" s="163"/>
    </row>
    <row r="400" ht="15.75" customHeight="1"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W400" s="162"/>
      <c r="Y400" s="163"/>
    </row>
    <row r="401" ht="15.75" customHeight="1"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W401" s="162"/>
      <c r="Y401" s="163"/>
    </row>
    <row r="402" ht="15.75" customHeight="1"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W402" s="162"/>
      <c r="Y402" s="163"/>
    </row>
    <row r="403" ht="15.75" customHeight="1"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W403" s="162"/>
      <c r="Y403" s="163"/>
    </row>
    <row r="404" ht="15.75" customHeight="1"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W404" s="162"/>
      <c r="Y404" s="163"/>
    </row>
    <row r="405" ht="15.75" customHeight="1"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W405" s="162"/>
      <c r="Y405" s="163"/>
    </row>
    <row r="406" ht="15.75" customHeight="1"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W406" s="162"/>
      <c r="Y406" s="163"/>
    </row>
    <row r="407" ht="15.75" customHeight="1"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W407" s="162"/>
      <c r="Y407" s="163"/>
    </row>
    <row r="408" ht="15.75" customHeight="1"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W408" s="162"/>
      <c r="Y408" s="163"/>
    </row>
    <row r="409" ht="15.75" customHeight="1"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W409" s="162"/>
      <c r="Y409" s="163"/>
    </row>
    <row r="410" ht="15.75" customHeight="1"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W410" s="162"/>
      <c r="Y410" s="163"/>
    </row>
    <row r="411" ht="15.75" customHeight="1"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W411" s="162"/>
      <c r="Y411" s="163"/>
    </row>
    <row r="412" ht="15.75" customHeight="1"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W412" s="162"/>
      <c r="Y412" s="163"/>
    </row>
    <row r="413" ht="15.75" customHeight="1"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W413" s="162"/>
      <c r="Y413" s="163"/>
    </row>
    <row r="414" ht="15.75" customHeight="1"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W414" s="162"/>
      <c r="Y414" s="163"/>
    </row>
    <row r="415" ht="15.75" customHeight="1"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W415" s="162"/>
      <c r="Y415" s="163"/>
    </row>
    <row r="416" ht="15.75" customHeight="1"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W416" s="162"/>
      <c r="Y416" s="163"/>
    </row>
    <row r="417" ht="15.75" customHeight="1"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W417" s="162"/>
      <c r="Y417" s="163"/>
    </row>
    <row r="418" ht="15.75" customHeight="1"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W418" s="162"/>
      <c r="Y418" s="163"/>
    </row>
    <row r="419" ht="15.75" customHeight="1"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W419" s="162"/>
      <c r="Y419" s="163"/>
    </row>
    <row r="420" ht="15.75" customHeight="1"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W420" s="162"/>
      <c r="Y420" s="163"/>
    </row>
    <row r="421" ht="15.75" customHeight="1"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W421" s="162"/>
      <c r="Y421" s="163"/>
    </row>
    <row r="422" ht="15.75" customHeight="1"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W422" s="162"/>
      <c r="Y422" s="163"/>
    </row>
    <row r="423" ht="15.75" customHeight="1"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W423" s="162"/>
      <c r="Y423" s="163"/>
    </row>
    <row r="424" ht="15.75" customHeight="1"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W424" s="162"/>
      <c r="Y424" s="163"/>
    </row>
    <row r="425" ht="15.75" customHeight="1"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W425" s="162"/>
      <c r="Y425" s="163"/>
    </row>
    <row r="426" ht="15.75" customHeight="1"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W426" s="162"/>
      <c r="Y426" s="163"/>
    </row>
    <row r="427" ht="15.75" customHeight="1"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W427" s="162"/>
      <c r="Y427" s="163"/>
    </row>
    <row r="428" ht="15.75" customHeight="1"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W428" s="162"/>
      <c r="Y428" s="163"/>
    </row>
    <row r="429" ht="15.75" customHeight="1"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W429" s="162"/>
      <c r="Y429" s="163"/>
    </row>
    <row r="430" ht="15.75" customHeight="1"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W430" s="162"/>
      <c r="Y430" s="163"/>
    </row>
    <row r="431" ht="15.75" customHeight="1"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W431" s="162"/>
      <c r="Y431" s="163"/>
    </row>
    <row r="432" ht="15.75" customHeight="1"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W432" s="162"/>
      <c r="Y432" s="163"/>
    </row>
    <row r="433" ht="15.75" customHeight="1"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W433" s="162"/>
      <c r="Y433" s="163"/>
    </row>
    <row r="434" ht="15.75" customHeight="1"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W434" s="162"/>
      <c r="Y434" s="163"/>
    </row>
    <row r="435" ht="15.75" customHeight="1"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W435" s="162"/>
      <c r="Y435" s="163"/>
    </row>
    <row r="436" ht="15.75" customHeight="1"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W436" s="162"/>
      <c r="Y436" s="163"/>
    </row>
    <row r="437" ht="15.75" customHeight="1"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W437" s="162"/>
      <c r="Y437" s="163"/>
    </row>
    <row r="438" ht="15.75" customHeight="1"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W438" s="162"/>
      <c r="Y438" s="163"/>
    </row>
    <row r="439" ht="15.75" customHeight="1"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W439" s="162"/>
      <c r="Y439" s="163"/>
    </row>
    <row r="440" ht="15.75" customHeight="1"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W440" s="162"/>
      <c r="Y440" s="163"/>
    </row>
    <row r="441" ht="15.75" customHeight="1"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W441" s="162"/>
      <c r="Y441" s="163"/>
    </row>
    <row r="442" ht="15.75" customHeight="1"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W442" s="162"/>
      <c r="Y442" s="163"/>
    </row>
    <row r="443" ht="15.75" customHeight="1"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W443" s="162"/>
      <c r="Y443" s="163"/>
    </row>
    <row r="444" ht="15.75" customHeight="1"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W444" s="162"/>
      <c r="Y444" s="163"/>
    </row>
    <row r="445" ht="15.75" customHeight="1"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W445" s="162"/>
      <c r="Y445" s="163"/>
    </row>
    <row r="446" ht="15.75" customHeight="1"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W446" s="162"/>
      <c r="Y446" s="163"/>
    </row>
    <row r="447" ht="15.75" customHeight="1"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W447" s="162"/>
      <c r="Y447" s="163"/>
    </row>
    <row r="448" ht="15.75" customHeight="1"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W448" s="162"/>
      <c r="Y448" s="163"/>
    </row>
    <row r="449" ht="15.75" customHeight="1"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W449" s="162"/>
      <c r="Y449" s="163"/>
    </row>
    <row r="450" ht="15.75" customHeight="1"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W450" s="162"/>
      <c r="Y450" s="163"/>
    </row>
    <row r="451" ht="15.75" customHeight="1"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W451" s="162"/>
      <c r="Y451" s="163"/>
    </row>
    <row r="452" ht="15.75" customHeight="1"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W452" s="162"/>
      <c r="Y452" s="163"/>
    </row>
    <row r="453" ht="15.75" customHeight="1"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W453" s="162"/>
      <c r="Y453" s="163"/>
    </row>
    <row r="454" ht="15.75" customHeight="1"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W454" s="162"/>
      <c r="Y454" s="163"/>
    </row>
    <row r="455" ht="15.75" customHeight="1"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W455" s="162"/>
      <c r="Y455" s="163"/>
    </row>
    <row r="456" ht="15.75" customHeight="1"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W456" s="162"/>
      <c r="Y456" s="163"/>
    </row>
    <row r="457" ht="15.75" customHeight="1"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W457" s="162"/>
      <c r="Y457" s="163"/>
    </row>
    <row r="458" ht="15.75" customHeight="1"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W458" s="162"/>
      <c r="Y458" s="163"/>
    </row>
    <row r="459" ht="15.75" customHeight="1"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W459" s="162"/>
      <c r="Y459" s="163"/>
    </row>
    <row r="460" ht="15.75" customHeight="1"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W460" s="162"/>
      <c r="Y460" s="163"/>
    </row>
    <row r="461" ht="15.75" customHeight="1"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W461" s="162"/>
      <c r="Y461" s="163"/>
    </row>
    <row r="462" ht="15.75" customHeight="1"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W462" s="162"/>
      <c r="Y462" s="163"/>
    </row>
    <row r="463" ht="15.75" customHeight="1"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W463" s="162"/>
      <c r="Y463" s="163"/>
    </row>
    <row r="464" ht="15.75" customHeight="1"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W464" s="162"/>
      <c r="Y464" s="163"/>
    </row>
    <row r="465" ht="15.75" customHeight="1"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W465" s="162"/>
      <c r="Y465" s="163"/>
    </row>
    <row r="466" ht="15.75" customHeight="1"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W466" s="162"/>
      <c r="Y466" s="163"/>
    </row>
    <row r="467" ht="15.75" customHeight="1"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W467" s="162"/>
      <c r="Y467" s="163"/>
    </row>
    <row r="468" ht="15.75" customHeight="1"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W468" s="162"/>
      <c r="Y468" s="163"/>
    </row>
    <row r="469" ht="15.75" customHeight="1"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W469" s="162"/>
      <c r="Y469" s="163"/>
    </row>
    <row r="470" ht="15.75" customHeight="1"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W470" s="162"/>
      <c r="Y470" s="163"/>
    </row>
    <row r="471" ht="15.75" customHeight="1"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W471" s="162"/>
      <c r="Y471" s="163"/>
    </row>
    <row r="472" ht="15.75" customHeight="1"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W472" s="162"/>
      <c r="Y472" s="163"/>
    </row>
    <row r="473" ht="15.75" customHeight="1"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W473" s="162"/>
      <c r="Y473" s="163"/>
    </row>
    <row r="474" ht="15.75" customHeight="1"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W474" s="162"/>
      <c r="Y474" s="163"/>
    </row>
    <row r="475" ht="15.75" customHeight="1"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W475" s="162"/>
      <c r="Y475" s="163"/>
    </row>
    <row r="476" ht="15.75" customHeight="1"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W476" s="162"/>
      <c r="Y476" s="163"/>
    </row>
    <row r="477" ht="15.75" customHeight="1"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W477" s="162"/>
      <c r="Y477" s="163"/>
    </row>
    <row r="478" ht="15.75" customHeight="1"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W478" s="162"/>
      <c r="Y478" s="163"/>
    </row>
    <row r="479" ht="15.75" customHeight="1"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W479" s="162"/>
      <c r="Y479" s="163"/>
    </row>
    <row r="480" ht="15.75" customHeight="1"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W480" s="162"/>
      <c r="Y480" s="163"/>
    </row>
    <row r="481" ht="15.75" customHeight="1"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W481" s="162"/>
      <c r="Y481" s="163"/>
    </row>
    <row r="482" ht="15.75" customHeight="1"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W482" s="162"/>
      <c r="Y482" s="163"/>
    </row>
    <row r="483" ht="15.75" customHeight="1"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W483" s="162"/>
      <c r="Y483" s="163"/>
    </row>
    <row r="484" ht="15.75" customHeight="1"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W484" s="162"/>
      <c r="Y484" s="163"/>
    </row>
    <row r="485" ht="15.75" customHeight="1"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W485" s="162"/>
      <c r="Y485" s="163"/>
    </row>
    <row r="486" ht="15.75" customHeight="1"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W486" s="162"/>
      <c r="Y486" s="163"/>
    </row>
    <row r="487" ht="15.75" customHeight="1"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W487" s="162"/>
      <c r="Y487" s="163"/>
    </row>
    <row r="488" ht="15.75" customHeight="1"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W488" s="162"/>
      <c r="Y488" s="163"/>
    </row>
    <row r="489" ht="15.75" customHeight="1"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W489" s="162"/>
      <c r="Y489" s="163"/>
    </row>
    <row r="490" ht="15.75" customHeight="1"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W490" s="162"/>
      <c r="Y490" s="163"/>
    </row>
    <row r="491" ht="15.75" customHeight="1"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W491" s="162"/>
      <c r="Y491" s="163"/>
    </row>
    <row r="492" ht="15.75" customHeight="1"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W492" s="162"/>
      <c r="Y492" s="163"/>
    </row>
    <row r="493" ht="15.75" customHeight="1"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W493" s="162"/>
      <c r="Y493" s="163"/>
    </row>
    <row r="494" ht="15.75" customHeight="1"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W494" s="162"/>
      <c r="Y494" s="163"/>
    </row>
    <row r="495" ht="15.75" customHeight="1"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W495" s="162"/>
      <c r="Y495" s="163"/>
    </row>
    <row r="496" ht="15.75" customHeight="1"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W496" s="162"/>
      <c r="Y496" s="163"/>
    </row>
    <row r="497" ht="15.75" customHeight="1"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W497" s="162"/>
      <c r="Y497" s="163"/>
    </row>
    <row r="498" ht="15.75" customHeight="1"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W498" s="162"/>
      <c r="Y498" s="163"/>
    </row>
    <row r="499" ht="15.75" customHeight="1"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W499" s="162"/>
      <c r="Y499" s="163"/>
    </row>
    <row r="500" ht="15.75" customHeight="1"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W500" s="162"/>
      <c r="Y500" s="163"/>
    </row>
    <row r="501" ht="15.75" customHeight="1"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W501" s="162"/>
      <c r="Y501" s="163"/>
    </row>
    <row r="502" ht="15.75" customHeight="1"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W502" s="162"/>
      <c r="Y502" s="163"/>
    </row>
    <row r="503" ht="15.75" customHeight="1"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W503" s="162"/>
      <c r="Y503" s="163"/>
    </row>
    <row r="504" ht="15.75" customHeight="1"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W504" s="162"/>
      <c r="Y504" s="163"/>
    </row>
    <row r="505" ht="15.75" customHeight="1"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W505" s="162"/>
      <c r="Y505" s="163"/>
    </row>
    <row r="506" ht="15.75" customHeight="1"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W506" s="162"/>
      <c r="Y506" s="163"/>
    </row>
    <row r="507" ht="15.75" customHeight="1"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W507" s="162"/>
      <c r="Y507" s="163"/>
    </row>
    <row r="508" ht="15.75" customHeight="1"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W508" s="162"/>
      <c r="Y508" s="163"/>
    </row>
    <row r="509" ht="15.75" customHeight="1"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W509" s="162"/>
      <c r="Y509" s="163"/>
    </row>
    <row r="510" ht="15.75" customHeight="1"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W510" s="162"/>
      <c r="Y510" s="163"/>
    </row>
    <row r="511" ht="15.75" customHeight="1"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W511" s="162"/>
      <c r="Y511" s="163"/>
    </row>
    <row r="512" ht="15.75" customHeight="1"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W512" s="162"/>
      <c r="Y512" s="163"/>
    </row>
    <row r="513" ht="15.75" customHeight="1"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W513" s="162"/>
      <c r="Y513" s="163"/>
    </row>
    <row r="514" ht="15.75" customHeight="1"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W514" s="162"/>
      <c r="Y514" s="163"/>
    </row>
    <row r="515" ht="15.75" customHeight="1"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W515" s="162"/>
      <c r="Y515" s="163"/>
    </row>
    <row r="516" ht="15.75" customHeight="1"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W516" s="162"/>
      <c r="Y516" s="163"/>
    </row>
    <row r="517" ht="15.75" customHeight="1"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W517" s="162"/>
      <c r="Y517" s="163"/>
    </row>
    <row r="518" ht="15.75" customHeight="1"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W518" s="162"/>
      <c r="Y518" s="163"/>
    </row>
    <row r="519" ht="15.75" customHeight="1"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W519" s="162"/>
      <c r="Y519" s="163"/>
    </row>
    <row r="520" ht="15.75" customHeight="1"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W520" s="162"/>
      <c r="Y520" s="163"/>
    </row>
    <row r="521" ht="15.75" customHeight="1"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W521" s="162"/>
      <c r="Y521" s="163"/>
    </row>
    <row r="522" ht="15.75" customHeight="1"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W522" s="162"/>
      <c r="Y522" s="163"/>
    </row>
    <row r="523" ht="15.75" customHeight="1"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W523" s="162"/>
      <c r="Y523" s="163"/>
    </row>
    <row r="524" ht="15.75" customHeight="1"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W524" s="162"/>
      <c r="Y524" s="163"/>
    </row>
    <row r="525" ht="15.75" customHeight="1"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W525" s="162"/>
      <c r="Y525" s="163"/>
    </row>
    <row r="526" ht="15.75" customHeight="1"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W526" s="162"/>
      <c r="Y526" s="163"/>
    </row>
    <row r="527" ht="15.75" customHeight="1"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W527" s="162"/>
      <c r="Y527" s="163"/>
    </row>
    <row r="528" ht="15.75" customHeight="1"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W528" s="162"/>
      <c r="Y528" s="163"/>
    </row>
    <row r="529" ht="15.75" customHeight="1"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W529" s="162"/>
      <c r="Y529" s="163"/>
    </row>
    <row r="530" ht="15.75" customHeight="1"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W530" s="162"/>
      <c r="Y530" s="163"/>
    </row>
    <row r="531" ht="15.75" customHeight="1"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W531" s="162"/>
      <c r="Y531" s="163"/>
    </row>
    <row r="532" ht="15.75" customHeight="1"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W532" s="162"/>
      <c r="Y532" s="163"/>
    </row>
    <row r="533" ht="15.75" customHeight="1"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W533" s="162"/>
      <c r="Y533" s="163"/>
    </row>
    <row r="534" ht="15.75" customHeight="1"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W534" s="162"/>
      <c r="Y534" s="163"/>
    </row>
    <row r="535" ht="15.75" customHeight="1"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W535" s="162"/>
      <c r="Y535" s="163"/>
    </row>
    <row r="536" ht="15.75" customHeight="1"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W536" s="162"/>
      <c r="Y536" s="163"/>
    </row>
    <row r="537" ht="15.75" customHeight="1"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W537" s="162"/>
      <c r="Y537" s="163"/>
    </row>
    <row r="538" ht="15.75" customHeight="1"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W538" s="162"/>
      <c r="Y538" s="163"/>
    </row>
    <row r="539" ht="15.75" customHeight="1"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W539" s="162"/>
      <c r="Y539" s="163"/>
    </row>
    <row r="540" ht="15.75" customHeight="1"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W540" s="162"/>
      <c r="Y540" s="163"/>
    </row>
    <row r="541" ht="15.75" customHeight="1"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W541" s="162"/>
      <c r="Y541" s="163"/>
    </row>
    <row r="542" ht="15.75" customHeight="1"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W542" s="162"/>
      <c r="Y542" s="163"/>
    </row>
    <row r="543" ht="15.75" customHeight="1"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W543" s="162"/>
      <c r="Y543" s="163"/>
    </row>
    <row r="544" ht="15.75" customHeight="1"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W544" s="162"/>
      <c r="Y544" s="163"/>
    </row>
    <row r="545" ht="15.75" customHeight="1"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W545" s="162"/>
      <c r="Y545" s="163"/>
    </row>
    <row r="546" ht="15.75" customHeight="1"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W546" s="162"/>
      <c r="Y546" s="163"/>
    </row>
    <row r="547" ht="15.75" customHeight="1"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W547" s="162"/>
      <c r="Y547" s="163"/>
    </row>
    <row r="548" ht="15.75" customHeight="1"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W548" s="162"/>
      <c r="Y548" s="163"/>
    </row>
    <row r="549" ht="15.75" customHeight="1"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W549" s="162"/>
      <c r="Y549" s="163"/>
    </row>
    <row r="550" ht="15.75" customHeight="1"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W550" s="162"/>
      <c r="Y550" s="163"/>
    </row>
    <row r="551" ht="15.75" customHeight="1"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W551" s="162"/>
      <c r="Y551" s="163"/>
    </row>
    <row r="552" ht="15.75" customHeight="1"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W552" s="162"/>
      <c r="Y552" s="163"/>
    </row>
    <row r="553" ht="15.75" customHeight="1"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W553" s="162"/>
      <c r="Y553" s="163"/>
    </row>
    <row r="554" ht="15.75" customHeight="1"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W554" s="162"/>
      <c r="Y554" s="163"/>
    </row>
    <row r="555" ht="15.75" customHeight="1"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W555" s="162"/>
      <c r="Y555" s="163"/>
    </row>
    <row r="556" ht="15.75" customHeight="1"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W556" s="162"/>
      <c r="Y556" s="163"/>
    </row>
    <row r="557" ht="15.75" customHeight="1"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W557" s="162"/>
      <c r="Y557" s="163"/>
    </row>
    <row r="558" ht="15.75" customHeight="1"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W558" s="162"/>
      <c r="Y558" s="163"/>
    </row>
    <row r="559" ht="15.75" customHeight="1"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W559" s="162"/>
      <c r="Y559" s="163"/>
    </row>
    <row r="560" ht="15.75" customHeight="1"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W560" s="162"/>
      <c r="Y560" s="163"/>
    </row>
    <row r="561" ht="15.75" customHeight="1"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W561" s="162"/>
      <c r="Y561" s="163"/>
    </row>
    <row r="562" ht="15.75" customHeight="1"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W562" s="162"/>
      <c r="Y562" s="163"/>
    </row>
    <row r="563" ht="15.75" customHeight="1"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W563" s="162"/>
      <c r="Y563" s="163"/>
    </row>
    <row r="564" ht="15.75" customHeight="1"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W564" s="162"/>
      <c r="Y564" s="163"/>
    </row>
    <row r="565" ht="15.75" customHeight="1"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W565" s="162"/>
      <c r="Y565" s="163"/>
    </row>
    <row r="566" ht="15.75" customHeight="1"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W566" s="162"/>
      <c r="Y566" s="163"/>
    </row>
    <row r="567" ht="15.75" customHeight="1"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W567" s="162"/>
      <c r="Y567" s="163"/>
    </row>
    <row r="568" ht="15.75" customHeight="1"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W568" s="162"/>
      <c r="Y568" s="163"/>
    </row>
    <row r="569" ht="15.75" customHeight="1"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W569" s="162"/>
      <c r="Y569" s="163"/>
    </row>
    <row r="570" ht="15.75" customHeight="1"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W570" s="162"/>
      <c r="Y570" s="163"/>
    </row>
    <row r="571" ht="15.75" customHeight="1"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W571" s="162"/>
      <c r="Y571" s="163"/>
    </row>
    <row r="572" ht="15.75" customHeight="1"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W572" s="162"/>
      <c r="Y572" s="163"/>
    </row>
    <row r="573" ht="15.75" customHeight="1"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W573" s="162"/>
      <c r="Y573" s="163"/>
    </row>
    <row r="574" ht="15.75" customHeight="1"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W574" s="162"/>
      <c r="Y574" s="163"/>
    </row>
    <row r="575" ht="15.75" customHeight="1"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W575" s="162"/>
      <c r="Y575" s="163"/>
    </row>
    <row r="576" ht="15.75" customHeight="1"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W576" s="162"/>
      <c r="Y576" s="163"/>
    </row>
    <row r="577" ht="15.75" customHeight="1"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W577" s="162"/>
      <c r="Y577" s="163"/>
    </row>
    <row r="578" ht="15.75" customHeight="1"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W578" s="162"/>
      <c r="Y578" s="163"/>
    </row>
    <row r="579" ht="15.75" customHeight="1"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W579" s="162"/>
      <c r="Y579" s="163"/>
    </row>
    <row r="580" ht="15.75" customHeight="1"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W580" s="162"/>
      <c r="Y580" s="163"/>
    </row>
    <row r="581" ht="15.75" customHeight="1"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W581" s="162"/>
      <c r="Y581" s="163"/>
    </row>
    <row r="582" ht="15.75" customHeight="1"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W582" s="162"/>
      <c r="Y582" s="163"/>
    </row>
    <row r="583" ht="15.75" customHeight="1"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W583" s="162"/>
      <c r="Y583" s="163"/>
    </row>
    <row r="584" ht="15.75" customHeight="1"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W584" s="162"/>
      <c r="Y584" s="163"/>
    </row>
    <row r="585" ht="15.75" customHeight="1"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W585" s="162"/>
      <c r="Y585" s="163"/>
    </row>
    <row r="586" ht="15.75" customHeight="1"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W586" s="162"/>
      <c r="Y586" s="163"/>
    </row>
    <row r="587" ht="15.75" customHeight="1"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W587" s="162"/>
      <c r="Y587" s="163"/>
    </row>
    <row r="588" ht="15.75" customHeight="1"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W588" s="162"/>
      <c r="Y588" s="163"/>
    </row>
    <row r="589" ht="15.75" customHeight="1"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W589" s="162"/>
      <c r="Y589" s="163"/>
    </row>
    <row r="590" ht="15.75" customHeight="1"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W590" s="162"/>
      <c r="Y590" s="163"/>
    </row>
    <row r="591" ht="15.75" customHeight="1"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W591" s="162"/>
      <c r="Y591" s="163"/>
    </row>
    <row r="592" ht="15.75" customHeight="1"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W592" s="162"/>
      <c r="Y592" s="163"/>
    </row>
    <row r="593" ht="15.75" customHeight="1"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W593" s="162"/>
      <c r="Y593" s="163"/>
    </row>
    <row r="594" ht="15.75" customHeight="1"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W594" s="162"/>
      <c r="Y594" s="163"/>
    </row>
    <row r="595" ht="15.75" customHeight="1"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W595" s="162"/>
      <c r="Y595" s="163"/>
    </row>
    <row r="596" ht="15.75" customHeight="1"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W596" s="162"/>
      <c r="Y596" s="163"/>
    </row>
    <row r="597" ht="15.75" customHeight="1"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W597" s="162"/>
      <c r="Y597" s="163"/>
    </row>
    <row r="598" ht="15.75" customHeight="1"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W598" s="162"/>
      <c r="Y598" s="163"/>
    </row>
    <row r="599" ht="15.75" customHeight="1"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W599" s="162"/>
      <c r="Y599" s="163"/>
    </row>
    <row r="600" ht="15.75" customHeight="1"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W600" s="162"/>
      <c r="Y600" s="163"/>
    </row>
    <row r="601" ht="15.75" customHeight="1"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W601" s="162"/>
      <c r="Y601" s="163"/>
    </row>
    <row r="602" ht="15.75" customHeight="1"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W602" s="162"/>
      <c r="Y602" s="163"/>
    </row>
    <row r="603" ht="15.75" customHeight="1"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W603" s="162"/>
      <c r="Y603" s="163"/>
    </row>
    <row r="604" ht="15.75" customHeight="1"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W604" s="162"/>
      <c r="Y604" s="163"/>
    </row>
    <row r="605" ht="15.75" customHeight="1"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W605" s="162"/>
      <c r="Y605" s="163"/>
    </row>
    <row r="606" ht="15.75" customHeight="1"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W606" s="162"/>
      <c r="Y606" s="163"/>
    </row>
    <row r="607" ht="15.75" customHeight="1"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W607" s="162"/>
      <c r="Y607" s="163"/>
    </row>
    <row r="608" ht="15.75" customHeight="1"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W608" s="162"/>
      <c r="Y608" s="163"/>
    </row>
    <row r="609" ht="15.75" customHeight="1"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W609" s="162"/>
      <c r="Y609" s="163"/>
    </row>
    <row r="610" ht="15.75" customHeight="1"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W610" s="162"/>
      <c r="Y610" s="163"/>
    </row>
    <row r="611" ht="15.75" customHeight="1"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W611" s="162"/>
      <c r="Y611" s="163"/>
    </row>
    <row r="612" ht="15.75" customHeight="1"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W612" s="162"/>
      <c r="Y612" s="163"/>
    </row>
    <row r="613" ht="15.75" customHeight="1"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W613" s="162"/>
      <c r="Y613" s="163"/>
    </row>
    <row r="614" ht="15.75" customHeight="1"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W614" s="162"/>
      <c r="Y614" s="163"/>
    </row>
    <row r="615" ht="15.75" customHeight="1"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W615" s="162"/>
      <c r="Y615" s="163"/>
    </row>
    <row r="616" ht="15.75" customHeight="1"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W616" s="162"/>
      <c r="Y616" s="163"/>
    </row>
    <row r="617" ht="15.75" customHeight="1"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W617" s="162"/>
      <c r="Y617" s="163"/>
    </row>
    <row r="618" ht="15.75" customHeight="1"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W618" s="162"/>
      <c r="Y618" s="163"/>
    </row>
    <row r="619" ht="15.75" customHeight="1"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W619" s="162"/>
      <c r="Y619" s="163"/>
    </row>
    <row r="620" ht="15.75" customHeight="1"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W620" s="162"/>
      <c r="Y620" s="163"/>
    </row>
    <row r="621" ht="15.75" customHeight="1"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W621" s="162"/>
      <c r="Y621" s="163"/>
    </row>
    <row r="622" ht="15.75" customHeight="1"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W622" s="162"/>
      <c r="Y622" s="163"/>
    </row>
    <row r="623" ht="15.75" customHeight="1"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W623" s="162"/>
      <c r="Y623" s="163"/>
    </row>
    <row r="624" ht="15.75" customHeight="1"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W624" s="162"/>
      <c r="Y624" s="163"/>
    </row>
    <row r="625" ht="15.75" customHeight="1"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W625" s="162"/>
      <c r="Y625" s="163"/>
    </row>
    <row r="626" ht="15.75" customHeight="1"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W626" s="162"/>
      <c r="Y626" s="163"/>
    </row>
    <row r="627" ht="15.75" customHeight="1"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W627" s="162"/>
      <c r="Y627" s="163"/>
    </row>
    <row r="628" ht="15.75" customHeight="1"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W628" s="162"/>
      <c r="Y628" s="163"/>
    </row>
    <row r="629" ht="15.75" customHeight="1"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W629" s="162"/>
      <c r="Y629" s="163"/>
    </row>
    <row r="630" ht="15.75" customHeight="1"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W630" s="162"/>
      <c r="Y630" s="163"/>
    </row>
    <row r="631" ht="15.75" customHeight="1"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W631" s="162"/>
      <c r="Y631" s="163"/>
    </row>
    <row r="632" ht="15.75" customHeight="1"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W632" s="162"/>
      <c r="Y632" s="163"/>
    </row>
    <row r="633" ht="15.75" customHeight="1"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W633" s="162"/>
      <c r="Y633" s="163"/>
    </row>
    <row r="634" ht="15.75" customHeight="1"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W634" s="162"/>
      <c r="Y634" s="163"/>
    </row>
    <row r="635" ht="15.75" customHeight="1"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W635" s="162"/>
      <c r="Y635" s="163"/>
    </row>
    <row r="636" ht="15.75" customHeight="1"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W636" s="162"/>
      <c r="Y636" s="163"/>
    </row>
    <row r="637" ht="15.75" customHeight="1"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W637" s="162"/>
      <c r="Y637" s="163"/>
    </row>
    <row r="638" ht="15.75" customHeight="1"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W638" s="162"/>
      <c r="Y638" s="163"/>
    </row>
    <row r="639" ht="15.75" customHeight="1"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W639" s="162"/>
      <c r="Y639" s="163"/>
    </row>
    <row r="640" ht="15.75" customHeight="1"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W640" s="162"/>
      <c r="Y640" s="163"/>
    </row>
    <row r="641" ht="15.75" customHeight="1"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W641" s="162"/>
      <c r="Y641" s="163"/>
    </row>
    <row r="642" ht="15.75" customHeight="1"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W642" s="162"/>
      <c r="Y642" s="163"/>
    </row>
    <row r="643" ht="15.75" customHeight="1"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W643" s="162"/>
      <c r="Y643" s="163"/>
    </row>
    <row r="644" ht="15.75" customHeight="1"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W644" s="162"/>
      <c r="Y644" s="163"/>
    </row>
    <row r="645" ht="15.75" customHeight="1"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W645" s="162"/>
      <c r="Y645" s="163"/>
    </row>
    <row r="646" ht="15.75" customHeight="1"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W646" s="162"/>
      <c r="Y646" s="163"/>
    </row>
    <row r="647" ht="15.75" customHeight="1"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W647" s="162"/>
      <c r="Y647" s="163"/>
    </row>
    <row r="648" ht="15.75" customHeight="1"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W648" s="162"/>
      <c r="Y648" s="163"/>
    </row>
    <row r="649" ht="15.75" customHeight="1"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W649" s="162"/>
      <c r="Y649" s="163"/>
    </row>
    <row r="650" ht="15.75" customHeight="1"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W650" s="162"/>
      <c r="Y650" s="163"/>
    </row>
    <row r="651" ht="15.75" customHeight="1"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W651" s="162"/>
      <c r="Y651" s="163"/>
    </row>
    <row r="652" ht="15.75" customHeight="1"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W652" s="162"/>
      <c r="Y652" s="163"/>
    </row>
    <row r="653" ht="15.75" customHeight="1"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W653" s="162"/>
      <c r="Y653" s="163"/>
    </row>
    <row r="654" ht="15.75" customHeight="1"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W654" s="162"/>
      <c r="Y654" s="163"/>
    </row>
    <row r="655" ht="15.75" customHeight="1"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W655" s="162"/>
      <c r="Y655" s="163"/>
    </row>
    <row r="656" ht="15.75" customHeight="1"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W656" s="162"/>
      <c r="Y656" s="163"/>
    </row>
    <row r="657" ht="15.75" customHeight="1"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W657" s="162"/>
      <c r="Y657" s="163"/>
    </row>
    <row r="658" ht="15.75" customHeight="1"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W658" s="162"/>
      <c r="Y658" s="163"/>
    </row>
    <row r="659" ht="15.75" customHeight="1"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W659" s="162"/>
      <c r="Y659" s="163"/>
    </row>
    <row r="660" ht="15.75" customHeight="1"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W660" s="162"/>
      <c r="Y660" s="163"/>
    </row>
    <row r="661" ht="15.75" customHeight="1"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W661" s="162"/>
      <c r="Y661" s="163"/>
    </row>
    <row r="662" ht="15.75" customHeight="1"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W662" s="162"/>
      <c r="Y662" s="163"/>
    </row>
    <row r="663" ht="15.75" customHeight="1"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W663" s="162"/>
      <c r="Y663" s="163"/>
    </row>
    <row r="664" ht="15.75" customHeight="1"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W664" s="162"/>
      <c r="Y664" s="163"/>
    </row>
    <row r="665" ht="15.75" customHeight="1"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W665" s="162"/>
      <c r="Y665" s="163"/>
    </row>
    <row r="666" ht="15.75" customHeight="1"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W666" s="162"/>
      <c r="Y666" s="163"/>
    </row>
    <row r="667" ht="15.75" customHeight="1"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W667" s="162"/>
      <c r="Y667" s="163"/>
    </row>
    <row r="668" ht="15.75" customHeight="1"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W668" s="162"/>
      <c r="Y668" s="163"/>
    </row>
    <row r="669" ht="15.75" customHeight="1"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W669" s="162"/>
      <c r="Y669" s="163"/>
    </row>
    <row r="670" ht="15.75" customHeight="1"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W670" s="162"/>
      <c r="Y670" s="163"/>
    </row>
    <row r="671" ht="15.75" customHeight="1"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W671" s="162"/>
      <c r="Y671" s="163"/>
    </row>
    <row r="672" ht="15.75" customHeight="1"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W672" s="162"/>
      <c r="Y672" s="163"/>
    </row>
    <row r="673" ht="15.75" customHeight="1"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W673" s="162"/>
      <c r="Y673" s="163"/>
    </row>
    <row r="674" ht="15.75" customHeight="1"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W674" s="162"/>
      <c r="Y674" s="163"/>
    </row>
    <row r="675" ht="15.75" customHeight="1"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W675" s="162"/>
      <c r="Y675" s="163"/>
    </row>
    <row r="676" ht="15.75" customHeight="1"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W676" s="162"/>
      <c r="Y676" s="163"/>
    </row>
    <row r="677" ht="15.75" customHeight="1"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W677" s="162"/>
      <c r="Y677" s="163"/>
    </row>
    <row r="678" ht="15.75" customHeight="1"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W678" s="162"/>
      <c r="Y678" s="163"/>
    </row>
    <row r="679" ht="15.75" customHeight="1"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W679" s="162"/>
      <c r="Y679" s="163"/>
    </row>
    <row r="680" ht="15.75" customHeight="1"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W680" s="162"/>
      <c r="Y680" s="163"/>
    </row>
    <row r="681" ht="15.75" customHeight="1"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W681" s="162"/>
      <c r="Y681" s="163"/>
    </row>
    <row r="682" ht="15.75" customHeight="1"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W682" s="162"/>
      <c r="Y682" s="163"/>
    </row>
    <row r="683" ht="15.75" customHeight="1"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W683" s="162"/>
      <c r="Y683" s="163"/>
    </row>
    <row r="684" ht="15.75" customHeight="1"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W684" s="162"/>
      <c r="Y684" s="163"/>
    </row>
    <row r="685" ht="15.75" customHeight="1"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W685" s="162"/>
      <c r="Y685" s="163"/>
    </row>
    <row r="686" ht="15.75" customHeight="1"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W686" s="162"/>
      <c r="Y686" s="163"/>
    </row>
    <row r="687" ht="15.75" customHeight="1"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W687" s="162"/>
      <c r="Y687" s="163"/>
    </row>
    <row r="688" ht="15.75" customHeight="1"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W688" s="162"/>
      <c r="Y688" s="163"/>
    </row>
    <row r="689" ht="15.75" customHeight="1"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W689" s="162"/>
      <c r="Y689" s="163"/>
    </row>
    <row r="690" ht="15.75" customHeight="1"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W690" s="162"/>
      <c r="Y690" s="163"/>
    </row>
    <row r="691" ht="15.75" customHeight="1"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W691" s="162"/>
      <c r="Y691" s="163"/>
    </row>
    <row r="692" ht="15.75" customHeight="1"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W692" s="162"/>
      <c r="Y692" s="163"/>
    </row>
    <row r="693" ht="15.75" customHeight="1"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W693" s="162"/>
      <c r="Y693" s="163"/>
    </row>
    <row r="694" ht="15.75" customHeight="1"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W694" s="162"/>
      <c r="Y694" s="163"/>
    </row>
    <row r="695" ht="15.75" customHeight="1"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W695" s="162"/>
      <c r="Y695" s="163"/>
    </row>
    <row r="696" ht="15.75" customHeight="1"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W696" s="162"/>
      <c r="Y696" s="163"/>
    </row>
    <row r="697" ht="15.75" customHeight="1"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W697" s="162"/>
      <c r="Y697" s="163"/>
    </row>
    <row r="698" ht="15.75" customHeight="1"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W698" s="162"/>
      <c r="Y698" s="163"/>
    </row>
    <row r="699" ht="15.75" customHeight="1"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W699" s="162"/>
      <c r="Y699" s="163"/>
    </row>
    <row r="700" ht="15.75" customHeight="1"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W700" s="162"/>
      <c r="Y700" s="163"/>
    </row>
    <row r="701" ht="15.75" customHeight="1"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W701" s="162"/>
      <c r="Y701" s="163"/>
    </row>
    <row r="702" ht="15.75" customHeight="1"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W702" s="162"/>
      <c r="Y702" s="163"/>
    </row>
    <row r="703" ht="15.75" customHeight="1"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W703" s="162"/>
      <c r="Y703" s="163"/>
    </row>
    <row r="704" ht="15.75" customHeight="1"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W704" s="162"/>
      <c r="Y704" s="163"/>
    </row>
    <row r="705" ht="15.75" customHeight="1"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W705" s="162"/>
      <c r="Y705" s="163"/>
    </row>
    <row r="706" ht="15.75" customHeight="1"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W706" s="162"/>
      <c r="Y706" s="163"/>
    </row>
    <row r="707" ht="15.75" customHeight="1"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W707" s="162"/>
      <c r="Y707" s="163"/>
    </row>
    <row r="708" ht="15.75" customHeight="1"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W708" s="162"/>
      <c r="Y708" s="163"/>
    </row>
    <row r="709" ht="15.75" customHeight="1"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W709" s="162"/>
      <c r="Y709" s="163"/>
    </row>
    <row r="710" ht="15.75" customHeight="1"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W710" s="162"/>
      <c r="Y710" s="163"/>
    </row>
    <row r="711" ht="15.75" customHeight="1"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W711" s="162"/>
      <c r="Y711" s="163"/>
    </row>
    <row r="712" ht="15.75" customHeight="1"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W712" s="162"/>
      <c r="Y712" s="163"/>
    </row>
    <row r="713" ht="15.75" customHeight="1"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W713" s="162"/>
      <c r="Y713" s="163"/>
    </row>
    <row r="714" ht="15.75" customHeight="1"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W714" s="162"/>
      <c r="Y714" s="163"/>
    </row>
    <row r="715" ht="15.75" customHeight="1"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W715" s="162"/>
      <c r="Y715" s="163"/>
    </row>
    <row r="716" ht="15.75" customHeight="1"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W716" s="162"/>
      <c r="Y716" s="163"/>
    </row>
    <row r="717" ht="15.75" customHeight="1"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W717" s="162"/>
      <c r="Y717" s="163"/>
    </row>
    <row r="718" ht="15.75" customHeight="1"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W718" s="162"/>
      <c r="Y718" s="163"/>
    </row>
    <row r="719" ht="15.75" customHeight="1"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W719" s="162"/>
      <c r="Y719" s="163"/>
    </row>
    <row r="720" ht="15.75" customHeight="1"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W720" s="162"/>
      <c r="Y720" s="163"/>
    </row>
    <row r="721" ht="15.75" customHeight="1"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W721" s="162"/>
      <c r="Y721" s="163"/>
    </row>
    <row r="722" ht="15.75" customHeight="1"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W722" s="162"/>
      <c r="Y722" s="163"/>
    </row>
    <row r="723" ht="15.75" customHeight="1"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W723" s="162"/>
      <c r="Y723" s="163"/>
    </row>
    <row r="724" ht="15.75" customHeight="1"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W724" s="162"/>
      <c r="Y724" s="163"/>
    </row>
    <row r="725" ht="15.75" customHeight="1"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W725" s="162"/>
      <c r="Y725" s="163"/>
    </row>
    <row r="726" ht="15.75" customHeight="1"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W726" s="162"/>
      <c r="Y726" s="163"/>
    </row>
    <row r="727" ht="15.75" customHeight="1"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W727" s="162"/>
      <c r="Y727" s="163"/>
    </row>
    <row r="728" ht="15.75" customHeight="1"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W728" s="162"/>
      <c r="Y728" s="163"/>
    </row>
    <row r="729" ht="15.75" customHeight="1"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W729" s="162"/>
      <c r="Y729" s="163"/>
    </row>
    <row r="730" ht="15.75" customHeight="1"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W730" s="162"/>
      <c r="Y730" s="163"/>
    </row>
    <row r="731" ht="15.75" customHeight="1"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W731" s="162"/>
      <c r="Y731" s="163"/>
    </row>
    <row r="732" ht="15.75" customHeight="1"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W732" s="162"/>
      <c r="Y732" s="163"/>
    </row>
    <row r="733" ht="15.75" customHeight="1"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W733" s="162"/>
      <c r="Y733" s="163"/>
    </row>
    <row r="734" ht="15.75" customHeight="1"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W734" s="162"/>
      <c r="Y734" s="163"/>
    </row>
    <row r="735" ht="15.75" customHeight="1"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W735" s="162"/>
      <c r="Y735" s="163"/>
    </row>
    <row r="736" ht="15.75" customHeight="1"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W736" s="162"/>
      <c r="Y736" s="163"/>
    </row>
    <row r="737" ht="15.75" customHeight="1"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W737" s="162"/>
      <c r="Y737" s="163"/>
    </row>
    <row r="738" ht="15.75" customHeight="1"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W738" s="162"/>
      <c r="Y738" s="163"/>
    </row>
    <row r="739" ht="15.75" customHeight="1"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W739" s="162"/>
      <c r="Y739" s="163"/>
    </row>
    <row r="740" ht="15.75" customHeight="1"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W740" s="162"/>
      <c r="Y740" s="163"/>
    </row>
    <row r="741" ht="15.75" customHeight="1"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W741" s="162"/>
      <c r="Y741" s="163"/>
    </row>
    <row r="742" ht="15.75" customHeight="1"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W742" s="162"/>
      <c r="Y742" s="163"/>
    </row>
    <row r="743" ht="15.75" customHeight="1"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W743" s="162"/>
      <c r="Y743" s="163"/>
    </row>
    <row r="744" ht="15.75" customHeight="1"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W744" s="162"/>
      <c r="Y744" s="163"/>
    </row>
    <row r="745" ht="15.75" customHeight="1"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W745" s="162"/>
      <c r="Y745" s="163"/>
    </row>
    <row r="746" ht="15.75" customHeight="1"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W746" s="162"/>
      <c r="Y746" s="163"/>
    </row>
    <row r="747" ht="15.75" customHeight="1"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W747" s="162"/>
      <c r="Y747" s="163"/>
    </row>
    <row r="748" ht="15.75" customHeight="1"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W748" s="162"/>
      <c r="Y748" s="163"/>
    </row>
    <row r="749" ht="15.75" customHeight="1"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W749" s="162"/>
      <c r="Y749" s="163"/>
    </row>
    <row r="750" ht="15.75" customHeight="1"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W750" s="162"/>
      <c r="Y750" s="163"/>
    </row>
    <row r="751" ht="15.75" customHeight="1"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W751" s="162"/>
      <c r="Y751" s="163"/>
    </row>
    <row r="752" ht="15.75" customHeight="1"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W752" s="162"/>
      <c r="Y752" s="163"/>
    </row>
    <row r="753" ht="15.75" customHeight="1"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W753" s="162"/>
      <c r="Y753" s="163"/>
    </row>
    <row r="754" ht="15.75" customHeight="1"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W754" s="162"/>
      <c r="Y754" s="163"/>
    </row>
    <row r="755" ht="15.75" customHeight="1"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W755" s="162"/>
      <c r="Y755" s="163"/>
    </row>
    <row r="756" ht="15.75" customHeight="1"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W756" s="162"/>
      <c r="Y756" s="163"/>
    </row>
    <row r="757" ht="15.75" customHeight="1"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W757" s="162"/>
      <c r="Y757" s="163"/>
    </row>
    <row r="758" ht="15.75" customHeight="1"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W758" s="162"/>
      <c r="Y758" s="163"/>
    </row>
    <row r="759" ht="15.75" customHeight="1"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W759" s="162"/>
      <c r="Y759" s="163"/>
    </row>
    <row r="760" ht="15.75" customHeight="1"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W760" s="162"/>
      <c r="Y760" s="163"/>
    </row>
    <row r="761" ht="15.75" customHeight="1"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W761" s="162"/>
      <c r="Y761" s="163"/>
    </row>
    <row r="762" ht="15.75" customHeight="1"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W762" s="162"/>
      <c r="Y762" s="163"/>
    </row>
    <row r="763" ht="15.75" customHeight="1"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W763" s="162"/>
      <c r="Y763" s="163"/>
    </row>
    <row r="764" ht="15.75" customHeight="1"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W764" s="162"/>
      <c r="Y764" s="163"/>
    </row>
    <row r="765" ht="15.75" customHeight="1"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W765" s="162"/>
      <c r="Y765" s="163"/>
    </row>
    <row r="766" ht="15.75" customHeight="1"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W766" s="162"/>
      <c r="Y766" s="163"/>
    </row>
    <row r="767" ht="15.75" customHeight="1"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W767" s="162"/>
      <c r="Y767" s="163"/>
    </row>
    <row r="768" ht="15.75" customHeight="1"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W768" s="162"/>
      <c r="Y768" s="163"/>
    </row>
    <row r="769" ht="15.75" customHeight="1"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W769" s="162"/>
      <c r="Y769" s="163"/>
    </row>
    <row r="770" ht="15.75" customHeight="1"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W770" s="162"/>
      <c r="Y770" s="163"/>
    </row>
    <row r="771" ht="15.75" customHeight="1"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W771" s="162"/>
      <c r="Y771" s="163"/>
    </row>
    <row r="772" ht="15.75" customHeight="1"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W772" s="162"/>
      <c r="Y772" s="163"/>
    </row>
    <row r="773" ht="15.75" customHeight="1"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W773" s="162"/>
      <c r="Y773" s="163"/>
    </row>
    <row r="774" ht="15.75" customHeight="1"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W774" s="162"/>
      <c r="Y774" s="163"/>
    </row>
    <row r="775" ht="15.75" customHeight="1"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W775" s="162"/>
      <c r="Y775" s="163"/>
    </row>
    <row r="776" ht="15.75" customHeight="1"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W776" s="162"/>
      <c r="Y776" s="163"/>
    </row>
    <row r="777" ht="15.75" customHeight="1"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W777" s="162"/>
      <c r="Y777" s="163"/>
    </row>
    <row r="778" ht="15.75" customHeight="1"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W778" s="162"/>
      <c r="Y778" s="163"/>
    </row>
    <row r="779" ht="15.75" customHeight="1"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W779" s="162"/>
      <c r="Y779" s="163"/>
    </row>
    <row r="780" ht="15.75" customHeight="1"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W780" s="162"/>
      <c r="Y780" s="163"/>
    </row>
    <row r="781" ht="15.75" customHeight="1"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W781" s="162"/>
      <c r="Y781" s="163"/>
    </row>
    <row r="782" ht="15.75" customHeight="1"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W782" s="162"/>
      <c r="Y782" s="163"/>
    </row>
    <row r="783" ht="15.75" customHeight="1"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W783" s="162"/>
      <c r="Y783" s="163"/>
    </row>
    <row r="784" ht="15.75" customHeight="1"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W784" s="162"/>
      <c r="Y784" s="163"/>
    </row>
    <row r="785" ht="15.75" customHeight="1"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W785" s="162"/>
      <c r="Y785" s="163"/>
    </row>
    <row r="786" ht="15.75" customHeight="1"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W786" s="162"/>
      <c r="Y786" s="163"/>
    </row>
    <row r="787" ht="15.75" customHeight="1"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W787" s="162"/>
      <c r="Y787" s="163"/>
    </row>
    <row r="788" ht="15.75" customHeight="1"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W788" s="162"/>
      <c r="Y788" s="163"/>
    </row>
    <row r="789" ht="15.75" customHeight="1"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W789" s="162"/>
      <c r="Y789" s="163"/>
    </row>
    <row r="790" ht="15.75" customHeight="1"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W790" s="162"/>
      <c r="Y790" s="163"/>
    </row>
    <row r="791" ht="15.75" customHeight="1"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W791" s="162"/>
      <c r="Y791" s="163"/>
    </row>
    <row r="792" ht="15.75" customHeight="1"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W792" s="162"/>
      <c r="Y792" s="163"/>
    </row>
    <row r="793" ht="15.75" customHeight="1"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W793" s="162"/>
      <c r="Y793" s="163"/>
    </row>
    <row r="794" ht="15.75" customHeight="1"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W794" s="162"/>
      <c r="Y794" s="163"/>
    </row>
    <row r="795" ht="15.75" customHeight="1"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W795" s="162"/>
      <c r="Y795" s="163"/>
    </row>
    <row r="796" ht="15.75" customHeight="1"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W796" s="162"/>
      <c r="Y796" s="163"/>
    </row>
    <row r="797" ht="15.75" customHeight="1"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W797" s="162"/>
      <c r="Y797" s="163"/>
    </row>
    <row r="798" ht="15.75" customHeight="1"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W798" s="162"/>
      <c r="Y798" s="163"/>
    </row>
    <row r="799" ht="15.75" customHeight="1"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W799" s="162"/>
      <c r="Y799" s="163"/>
    </row>
    <row r="800" ht="15.75" customHeight="1"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W800" s="162"/>
      <c r="Y800" s="163"/>
    </row>
    <row r="801" ht="15.75" customHeight="1"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W801" s="162"/>
      <c r="Y801" s="163"/>
    </row>
    <row r="802" ht="15.75" customHeight="1"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W802" s="162"/>
      <c r="Y802" s="163"/>
    </row>
    <row r="803" ht="15.75" customHeight="1"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W803" s="162"/>
      <c r="Y803" s="163"/>
    </row>
    <row r="804" ht="15.75" customHeight="1"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W804" s="162"/>
      <c r="Y804" s="163"/>
    </row>
    <row r="805" ht="15.75" customHeight="1"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W805" s="162"/>
      <c r="Y805" s="163"/>
    </row>
    <row r="806" ht="15.75" customHeight="1"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W806" s="162"/>
      <c r="Y806" s="163"/>
    </row>
    <row r="807" ht="15.75" customHeight="1"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W807" s="162"/>
      <c r="Y807" s="163"/>
    </row>
    <row r="808" ht="15.75" customHeight="1"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W808" s="162"/>
      <c r="Y808" s="163"/>
    </row>
    <row r="809" ht="15.75" customHeight="1"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W809" s="162"/>
      <c r="Y809" s="163"/>
    </row>
    <row r="810" ht="15.75" customHeight="1"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W810" s="162"/>
      <c r="Y810" s="163"/>
    </row>
    <row r="811" ht="15.75" customHeight="1"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W811" s="162"/>
      <c r="Y811" s="163"/>
    </row>
    <row r="812" ht="15.75" customHeight="1"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W812" s="162"/>
      <c r="Y812" s="163"/>
    </row>
    <row r="813" ht="15.75" customHeight="1"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W813" s="162"/>
      <c r="Y813" s="163"/>
    </row>
    <row r="814" ht="15.75" customHeight="1"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W814" s="162"/>
      <c r="Y814" s="163"/>
    </row>
    <row r="815" ht="15.75" customHeight="1"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W815" s="162"/>
      <c r="Y815" s="163"/>
    </row>
    <row r="816" ht="15.75" customHeight="1"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W816" s="162"/>
      <c r="Y816" s="163"/>
    </row>
    <row r="817" ht="15.75" customHeight="1"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W817" s="162"/>
      <c r="Y817" s="163"/>
    </row>
    <row r="818" ht="15.75" customHeight="1"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W818" s="162"/>
      <c r="Y818" s="163"/>
    </row>
    <row r="819" ht="15.75" customHeight="1"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W819" s="162"/>
      <c r="Y819" s="163"/>
    </row>
    <row r="820" ht="15.75" customHeight="1"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W820" s="162"/>
      <c r="Y820" s="163"/>
    </row>
    <row r="821" ht="15.75" customHeight="1"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W821" s="162"/>
      <c r="Y821" s="163"/>
    </row>
    <row r="822" ht="15.75" customHeight="1"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W822" s="162"/>
      <c r="Y822" s="163"/>
    </row>
    <row r="823" ht="15.75" customHeight="1"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W823" s="162"/>
      <c r="Y823" s="163"/>
    </row>
    <row r="824" ht="15.75" customHeight="1"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W824" s="162"/>
      <c r="Y824" s="163"/>
    </row>
    <row r="825" ht="15.75" customHeight="1"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W825" s="162"/>
      <c r="Y825" s="163"/>
    </row>
    <row r="826" ht="15.75" customHeight="1"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W826" s="162"/>
      <c r="Y826" s="163"/>
    </row>
    <row r="827" ht="15.75" customHeight="1"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W827" s="162"/>
      <c r="Y827" s="163"/>
    </row>
    <row r="828" ht="15.75" customHeight="1"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W828" s="162"/>
      <c r="Y828" s="163"/>
    </row>
    <row r="829" ht="15.75" customHeight="1"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W829" s="162"/>
      <c r="Y829" s="163"/>
    </row>
    <row r="830" ht="15.75" customHeight="1"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W830" s="162"/>
      <c r="Y830" s="163"/>
    </row>
    <row r="831" ht="15.75" customHeight="1"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W831" s="162"/>
      <c r="Y831" s="163"/>
    </row>
    <row r="832" ht="15.75" customHeight="1"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W832" s="162"/>
      <c r="Y832" s="163"/>
    </row>
    <row r="833" ht="15.75" customHeight="1"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W833" s="162"/>
      <c r="Y833" s="163"/>
    </row>
    <row r="834" ht="15.75" customHeight="1"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W834" s="162"/>
      <c r="Y834" s="163"/>
    </row>
    <row r="835" ht="15.75" customHeight="1"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W835" s="162"/>
      <c r="Y835" s="163"/>
    </row>
    <row r="836" ht="15.75" customHeight="1"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W836" s="162"/>
      <c r="Y836" s="163"/>
    </row>
    <row r="837" ht="15.75" customHeight="1"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W837" s="162"/>
      <c r="Y837" s="163"/>
    </row>
    <row r="838" ht="15.75" customHeight="1"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W838" s="162"/>
      <c r="Y838" s="163"/>
    </row>
    <row r="839" ht="15.75" customHeight="1"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W839" s="162"/>
      <c r="Y839" s="163"/>
    </row>
    <row r="840" ht="15.75" customHeight="1"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W840" s="162"/>
      <c r="Y840" s="163"/>
    </row>
    <row r="841" ht="15.75" customHeight="1"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W841" s="162"/>
      <c r="Y841" s="163"/>
    </row>
    <row r="842" ht="15.75" customHeight="1"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W842" s="162"/>
      <c r="Y842" s="163"/>
    </row>
    <row r="843" ht="15.75" customHeight="1"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W843" s="162"/>
      <c r="Y843" s="163"/>
    </row>
    <row r="844" ht="15.75" customHeight="1"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W844" s="162"/>
      <c r="Y844" s="163"/>
    </row>
    <row r="845" ht="15.75" customHeight="1"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W845" s="162"/>
      <c r="Y845" s="163"/>
    </row>
    <row r="846" ht="15.75" customHeight="1"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W846" s="162"/>
      <c r="Y846" s="163"/>
    </row>
    <row r="847" ht="15.75" customHeight="1"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W847" s="162"/>
      <c r="Y847" s="163"/>
    </row>
    <row r="848" ht="15.75" customHeight="1"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W848" s="162"/>
      <c r="Y848" s="163"/>
    </row>
    <row r="849" ht="15.75" customHeight="1"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W849" s="162"/>
      <c r="Y849" s="163"/>
    </row>
    <row r="850" ht="15.75" customHeight="1"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W850" s="162"/>
      <c r="Y850" s="163"/>
    </row>
    <row r="851" ht="15.75" customHeight="1"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W851" s="162"/>
      <c r="Y851" s="163"/>
    </row>
    <row r="852" ht="15.75" customHeight="1"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W852" s="162"/>
      <c r="Y852" s="163"/>
    </row>
    <row r="853" ht="15.75" customHeight="1"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W853" s="162"/>
      <c r="Y853" s="163"/>
    </row>
    <row r="854" ht="15.75" customHeight="1"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W854" s="162"/>
      <c r="Y854" s="163"/>
    </row>
    <row r="855" ht="15.75" customHeight="1"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W855" s="162"/>
      <c r="Y855" s="163"/>
    </row>
    <row r="856" ht="15.75" customHeight="1"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W856" s="162"/>
      <c r="Y856" s="163"/>
    </row>
    <row r="857" ht="15.75" customHeight="1"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W857" s="162"/>
      <c r="Y857" s="163"/>
    </row>
    <row r="858" ht="15.75" customHeight="1"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W858" s="162"/>
      <c r="Y858" s="163"/>
    </row>
    <row r="859" ht="15.75" customHeight="1"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W859" s="162"/>
      <c r="Y859" s="163"/>
    </row>
    <row r="860" ht="15.75" customHeight="1"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W860" s="162"/>
      <c r="Y860" s="163"/>
    </row>
    <row r="861" ht="15.75" customHeight="1"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W861" s="162"/>
      <c r="Y861" s="163"/>
    </row>
    <row r="862" ht="15.75" customHeight="1"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W862" s="162"/>
      <c r="Y862" s="163"/>
    </row>
    <row r="863" ht="15.75" customHeight="1"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W863" s="162"/>
      <c r="Y863" s="163"/>
    </row>
    <row r="864" ht="15.75" customHeight="1"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W864" s="162"/>
      <c r="Y864" s="163"/>
    </row>
    <row r="865" ht="15.75" customHeight="1"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W865" s="162"/>
      <c r="Y865" s="163"/>
    </row>
    <row r="866" ht="15.75" customHeight="1"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W866" s="162"/>
      <c r="Y866" s="163"/>
    </row>
    <row r="867" ht="15.75" customHeight="1"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W867" s="162"/>
      <c r="Y867" s="163"/>
    </row>
    <row r="868" ht="15.75" customHeight="1"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W868" s="162"/>
      <c r="Y868" s="163"/>
    </row>
    <row r="869" ht="15.75" customHeight="1"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W869" s="162"/>
      <c r="Y869" s="163"/>
    </row>
    <row r="870" ht="15.75" customHeight="1"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W870" s="162"/>
      <c r="Y870" s="163"/>
    </row>
    <row r="871" ht="15.75" customHeight="1"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W871" s="162"/>
      <c r="Y871" s="163"/>
    </row>
    <row r="872" ht="15.75" customHeight="1"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W872" s="162"/>
      <c r="Y872" s="163"/>
    </row>
    <row r="873" ht="15.75" customHeight="1"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W873" s="162"/>
      <c r="Y873" s="163"/>
    </row>
    <row r="874" ht="15.75" customHeight="1"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W874" s="162"/>
      <c r="Y874" s="163"/>
    </row>
    <row r="875" ht="15.75" customHeight="1"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W875" s="162"/>
      <c r="Y875" s="163"/>
    </row>
    <row r="876" ht="15.75" customHeight="1"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W876" s="162"/>
      <c r="Y876" s="163"/>
    </row>
    <row r="877" ht="15.75" customHeight="1"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W877" s="162"/>
      <c r="Y877" s="163"/>
    </row>
    <row r="878" ht="15.75" customHeight="1"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W878" s="162"/>
      <c r="Y878" s="163"/>
    </row>
    <row r="879" ht="15.75" customHeight="1"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W879" s="162"/>
      <c r="Y879" s="163"/>
    </row>
    <row r="880" ht="15.75" customHeight="1"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W880" s="162"/>
      <c r="Y880" s="163"/>
    </row>
    <row r="881" ht="15.75" customHeight="1"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W881" s="162"/>
      <c r="Y881" s="163"/>
    </row>
    <row r="882" ht="15.75" customHeight="1"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W882" s="162"/>
      <c r="Y882" s="163"/>
    </row>
    <row r="883" ht="15.75" customHeight="1"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W883" s="162"/>
      <c r="Y883" s="163"/>
    </row>
    <row r="884" ht="15.75" customHeight="1"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W884" s="162"/>
      <c r="Y884" s="163"/>
    </row>
    <row r="885" ht="15.75" customHeight="1"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W885" s="162"/>
      <c r="Y885" s="163"/>
    </row>
    <row r="886" ht="15.75" customHeight="1"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W886" s="162"/>
      <c r="Y886" s="163"/>
    </row>
    <row r="887" ht="15.75" customHeight="1"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W887" s="162"/>
      <c r="Y887" s="163"/>
    </row>
    <row r="888" ht="15.75" customHeight="1"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W888" s="162"/>
      <c r="Y888" s="163"/>
    </row>
    <row r="889" ht="15.75" customHeight="1"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W889" s="162"/>
      <c r="Y889" s="163"/>
    </row>
    <row r="890" ht="15.75" customHeight="1"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W890" s="162"/>
      <c r="Y890" s="163"/>
    </row>
    <row r="891" ht="15.75" customHeight="1"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W891" s="162"/>
      <c r="Y891" s="163"/>
    </row>
    <row r="892" ht="15.75" customHeight="1"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W892" s="162"/>
      <c r="Y892" s="163"/>
    </row>
    <row r="893" ht="15.75" customHeight="1"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W893" s="162"/>
      <c r="Y893" s="163"/>
    </row>
    <row r="894" ht="15.75" customHeight="1"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W894" s="162"/>
      <c r="Y894" s="163"/>
    </row>
    <row r="895" ht="15.75" customHeight="1"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W895" s="162"/>
      <c r="Y895" s="163"/>
    </row>
    <row r="896" ht="15.75" customHeight="1"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W896" s="162"/>
      <c r="Y896" s="163"/>
    </row>
    <row r="897" ht="15.75" customHeight="1"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W897" s="162"/>
      <c r="Y897" s="163"/>
    </row>
    <row r="898" ht="15.75" customHeight="1"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W898" s="162"/>
      <c r="Y898" s="163"/>
    </row>
    <row r="899" ht="15.75" customHeight="1"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W899" s="162"/>
      <c r="Y899" s="163"/>
    </row>
    <row r="900" ht="15.75" customHeight="1"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W900" s="162"/>
      <c r="Y900" s="163"/>
    </row>
    <row r="901" ht="15.75" customHeight="1"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W901" s="162"/>
      <c r="Y901" s="163"/>
    </row>
    <row r="902" ht="15.75" customHeight="1"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W902" s="162"/>
      <c r="Y902" s="163"/>
    </row>
    <row r="903" ht="15.75" customHeight="1"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W903" s="162"/>
      <c r="Y903" s="163"/>
    </row>
    <row r="904" ht="15.75" customHeight="1"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W904" s="162"/>
      <c r="Y904" s="163"/>
    </row>
    <row r="905" ht="15.75" customHeight="1"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W905" s="162"/>
      <c r="Y905" s="163"/>
    </row>
    <row r="906" ht="15.75" customHeight="1"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W906" s="162"/>
      <c r="Y906" s="163"/>
    </row>
    <row r="907" ht="15.75" customHeight="1"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W907" s="162"/>
      <c r="Y907" s="163"/>
    </row>
    <row r="908" ht="15.75" customHeight="1"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W908" s="162"/>
      <c r="Y908" s="163"/>
    </row>
    <row r="909" ht="15.75" customHeight="1"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W909" s="162"/>
      <c r="Y909" s="163"/>
    </row>
    <row r="910" ht="15.75" customHeight="1"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W910" s="162"/>
      <c r="Y910" s="163"/>
    </row>
    <row r="911" ht="15.75" customHeight="1"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W911" s="162"/>
      <c r="Y911" s="163"/>
    </row>
    <row r="912" ht="15.75" customHeight="1"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W912" s="162"/>
      <c r="Y912" s="163"/>
    </row>
    <row r="913" ht="15.75" customHeight="1"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W913" s="162"/>
      <c r="Y913" s="163"/>
    </row>
    <row r="914" ht="15.75" customHeight="1"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W914" s="162"/>
      <c r="Y914" s="163"/>
    </row>
    <row r="915" ht="15.75" customHeight="1"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W915" s="162"/>
      <c r="Y915" s="163"/>
    </row>
    <row r="916" ht="15.75" customHeight="1"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W916" s="162"/>
      <c r="Y916" s="163"/>
    </row>
    <row r="917" ht="15.75" customHeight="1"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W917" s="162"/>
      <c r="Y917" s="163"/>
    </row>
    <row r="918" ht="15.75" customHeight="1"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W918" s="162"/>
      <c r="Y918" s="163"/>
    </row>
    <row r="919" ht="15.75" customHeight="1"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W919" s="162"/>
      <c r="Y919" s="163"/>
    </row>
    <row r="920" ht="15.75" customHeight="1"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W920" s="162"/>
      <c r="Y920" s="163"/>
    </row>
    <row r="921" ht="15.75" customHeight="1"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W921" s="162"/>
      <c r="Y921" s="163"/>
    </row>
    <row r="922" ht="15.75" customHeight="1"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W922" s="162"/>
      <c r="Y922" s="163"/>
    </row>
    <row r="923" ht="15.75" customHeight="1"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W923" s="162"/>
      <c r="Y923" s="163"/>
    </row>
    <row r="924" ht="15.75" customHeight="1"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W924" s="162"/>
      <c r="Y924" s="163"/>
    </row>
    <row r="925" ht="15.75" customHeight="1"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W925" s="162"/>
      <c r="Y925" s="163"/>
    </row>
    <row r="926" ht="15.75" customHeight="1"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W926" s="162"/>
      <c r="Y926" s="163"/>
    </row>
    <row r="927" ht="15.75" customHeight="1"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W927" s="162"/>
      <c r="Y927" s="163"/>
    </row>
    <row r="928" ht="15.75" customHeight="1"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W928" s="162"/>
      <c r="Y928" s="163"/>
    </row>
    <row r="929" ht="15.75" customHeight="1"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W929" s="162"/>
      <c r="Y929" s="163"/>
    </row>
    <row r="930" ht="15.75" customHeight="1"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W930" s="162"/>
      <c r="Y930" s="163"/>
    </row>
    <row r="931" ht="15.75" customHeight="1"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W931" s="162"/>
      <c r="Y931" s="163"/>
    </row>
    <row r="932" ht="15.75" customHeight="1"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W932" s="162"/>
      <c r="Y932" s="163"/>
    </row>
    <row r="933" ht="15.75" customHeight="1"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W933" s="162"/>
      <c r="Y933" s="163"/>
    </row>
    <row r="934" ht="15.75" customHeight="1"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W934" s="162"/>
      <c r="Y934" s="163"/>
    </row>
    <row r="935" ht="15.75" customHeight="1"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W935" s="162"/>
      <c r="Y935" s="163"/>
    </row>
    <row r="936" ht="15.75" customHeight="1"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W936" s="162"/>
      <c r="Y936" s="163"/>
    </row>
    <row r="937" ht="15.75" customHeight="1"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W937" s="162"/>
      <c r="Y937" s="163"/>
    </row>
    <row r="938" ht="15.75" customHeight="1"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W938" s="162"/>
      <c r="Y938" s="163"/>
    </row>
    <row r="939" ht="15.75" customHeight="1"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W939" s="162"/>
      <c r="Y939" s="163"/>
    </row>
    <row r="940" ht="15.75" customHeight="1"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W940" s="162"/>
      <c r="Y940" s="163"/>
    </row>
    <row r="941" ht="15.75" customHeight="1"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W941" s="162"/>
      <c r="Y941" s="163"/>
    </row>
    <row r="942" ht="15.75" customHeight="1"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W942" s="162"/>
      <c r="Y942" s="163"/>
    </row>
    <row r="943" ht="15.75" customHeight="1"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W943" s="162"/>
      <c r="Y943" s="163"/>
    </row>
    <row r="944" ht="15.75" customHeight="1"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W944" s="162"/>
      <c r="Y944" s="163"/>
    </row>
    <row r="945" ht="15.75" customHeight="1"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W945" s="162"/>
      <c r="Y945" s="163"/>
    </row>
    <row r="946" ht="15.75" customHeight="1"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W946" s="162"/>
      <c r="Y946" s="163"/>
    </row>
    <row r="947" ht="15.75" customHeight="1"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W947" s="162"/>
      <c r="Y947" s="163"/>
    </row>
    <row r="948" ht="15.75" customHeight="1"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W948" s="162"/>
      <c r="Y948" s="163"/>
    </row>
    <row r="949" ht="15.75" customHeight="1"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W949" s="162"/>
      <c r="Y949" s="163"/>
    </row>
    <row r="950" ht="15.75" customHeight="1"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W950" s="162"/>
      <c r="Y950" s="163"/>
    </row>
    <row r="951" ht="15.75" customHeight="1"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W951" s="162"/>
      <c r="Y951" s="163"/>
    </row>
    <row r="952" ht="15.75" customHeight="1"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W952" s="162"/>
      <c r="Y952" s="163"/>
    </row>
    <row r="953" ht="15.75" customHeight="1"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W953" s="162"/>
      <c r="Y953" s="163"/>
    </row>
    <row r="954" ht="15.75" customHeight="1"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W954" s="162"/>
      <c r="Y954" s="163"/>
    </row>
    <row r="955" ht="15.75" customHeight="1"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W955" s="162"/>
      <c r="Y955" s="163"/>
    </row>
    <row r="956" ht="15.75" customHeight="1"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W956" s="162"/>
      <c r="Y956" s="163"/>
    </row>
    <row r="957" ht="15.75" customHeight="1"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W957" s="162"/>
      <c r="Y957" s="163"/>
    </row>
    <row r="958" ht="15.75" customHeight="1"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W958" s="162"/>
      <c r="Y958" s="163"/>
    </row>
    <row r="959" ht="15.75" customHeight="1"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W959" s="162"/>
      <c r="Y959" s="163"/>
    </row>
    <row r="960" ht="15.75" customHeight="1"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W960" s="162"/>
      <c r="Y960" s="163"/>
    </row>
    <row r="961" ht="15.75" customHeight="1"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W961" s="162"/>
      <c r="Y961" s="163"/>
    </row>
    <row r="962" ht="15.75" customHeight="1"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W962" s="162"/>
      <c r="Y962" s="163"/>
    </row>
    <row r="963" ht="15.75" customHeight="1"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W963" s="162"/>
      <c r="Y963" s="163"/>
    </row>
    <row r="964" ht="15.75" customHeight="1"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W964" s="162"/>
      <c r="Y964" s="163"/>
    </row>
    <row r="965" ht="15.75" customHeight="1"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W965" s="162"/>
      <c r="Y965" s="163"/>
    </row>
    <row r="966" ht="15.75" customHeight="1"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W966" s="162"/>
      <c r="Y966" s="163"/>
    </row>
    <row r="967" ht="15.75" customHeight="1"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W967" s="162"/>
      <c r="Y967" s="163"/>
    </row>
    <row r="968" ht="15.75" customHeight="1"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W968" s="162"/>
      <c r="Y968" s="163"/>
    </row>
    <row r="969" ht="15.75" customHeight="1"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W969" s="162"/>
      <c r="Y969" s="163"/>
    </row>
    <row r="970" ht="15.75" customHeight="1"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W970" s="162"/>
      <c r="Y970" s="163"/>
    </row>
    <row r="971" ht="15.75" customHeight="1"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W971" s="162"/>
      <c r="Y971" s="163"/>
    </row>
    <row r="972" ht="15.75" customHeight="1"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W972" s="162"/>
      <c r="Y972" s="163"/>
    </row>
    <row r="973" ht="15.75" customHeight="1"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W973" s="162"/>
      <c r="Y973" s="163"/>
    </row>
    <row r="974" ht="15.75" customHeight="1"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W974" s="162"/>
      <c r="Y974" s="163"/>
    </row>
    <row r="975" ht="15.75" customHeight="1"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W975" s="162"/>
      <c r="Y975" s="163"/>
    </row>
    <row r="976" ht="15.75" customHeight="1"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W976" s="162"/>
      <c r="Y976" s="163"/>
    </row>
    <row r="977" ht="15.75" customHeight="1"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W977" s="162"/>
      <c r="Y977" s="163"/>
    </row>
    <row r="978" ht="15.75" customHeight="1"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W978" s="162"/>
      <c r="Y978" s="163"/>
    </row>
    <row r="979" ht="15.75" customHeight="1"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W979" s="162"/>
      <c r="Y979" s="163"/>
    </row>
    <row r="980" ht="15.75" customHeight="1"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W980" s="162"/>
      <c r="Y980" s="163"/>
    </row>
    <row r="981" ht="15.75" customHeight="1"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W981" s="162"/>
      <c r="Y981" s="163"/>
    </row>
    <row r="982" ht="15.75" customHeight="1"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W982" s="162"/>
      <c r="Y982" s="163"/>
    </row>
    <row r="983" ht="15.75" customHeight="1"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W983" s="162"/>
      <c r="Y983" s="163"/>
    </row>
    <row r="984" ht="15.75" customHeight="1"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W984" s="162"/>
      <c r="Y984" s="163"/>
    </row>
    <row r="985" ht="15.75" customHeight="1"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W985" s="162"/>
      <c r="Y985" s="163"/>
    </row>
    <row r="986" ht="15.75" customHeight="1"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W986" s="162"/>
      <c r="Y986" s="163"/>
    </row>
    <row r="987" ht="15.75" customHeight="1"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W987" s="162"/>
      <c r="Y987" s="163"/>
    </row>
    <row r="988" ht="15.75" customHeight="1"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W988" s="162"/>
      <c r="Y988" s="163"/>
    </row>
    <row r="989" ht="15.75" customHeight="1"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W989" s="162"/>
      <c r="Y989" s="163"/>
    </row>
    <row r="990" ht="15.75" customHeight="1"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W990" s="162"/>
      <c r="Y990" s="163"/>
    </row>
    <row r="991" ht="15.75" customHeight="1"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W991" s="162"/>
      <c r="Y991" s="163"/>
    </row>
    <row r="992" ht="15.75" customHeight="1"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W992" s="162"/>
      <c r="Y992" s="163"/>
    </row>
    <row r="993" ht="15.75" customHeight="1"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W993" s="162"/>
      <c r="Y993" s="163"/>
    </row>
    <row r="994" ht="15.75" customHeight="1"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W994" s="162"/>
      <c r="Y994" s="163"/>
    </row>
    <row r="995" ht="15.75" customHeight="1"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W995" s="162"/>
      <c r="Y995" s="163"/>
    </row>
    <row r="996" ht="15.75" customHeight="1"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W996" s="162"/>
      <c r="Y996" s="163"/>
    </row>
    <row r="997" ht="15.75" customHeight="1"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W997" s="162"/>
      <c r="Y997" s="163"/>
    </row>
    <row r="998" ht="15.75" customHeight="1"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W998" s="162"/>
      <c r="Y998" s="163"/>
    </row>
    <row r="999" ht="15.75" customHeight="1"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W999" s="162"/>
      <c r="Y999" s="163"/>
    </row>
    <row r="1000" ht="15.75" customHeight="1"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W1000" s="162"/>
      <c r="Y1000" s="163"/>
    </row>
    <row r="1001" ht="15.75" customHeight="1"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W1001" s="162"/>
      <c r="Y1001" s="163"/>
    </row>
    <row r="1002" ht="15.75" customHeight="1"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W1002" s="162"/>
      <c r="Y1002" s="163"/>
    </row>
    <row r="1003" ht="15.75" customHeight="1"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W1003" s="162"/>
      <c r="Y1003" s="163"/>
    </row>
    <row r="1004" ht="15.75" customHeight="1"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W1004" s="162"/>
      <c r="Y1004" s="163"/>
    </row>
    <row r="1005" ht="15.75" customHeight="1"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W1005" s="162"/>
      <c r="Y1005" s="163"/>
    </row>
    <row r="1006" ht="15.75" customHeight="1"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W1006" s="162"/>
      <c r="Y1006" s="163"/>
    </row>
    <row r="1007" ht="15.75" customHeight="1"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W1007" s="162"/>
      <c r="Y1007" s="163"/>
    </row>
    <row r="1008" ht="15.75" customHeight="1"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W1008" s="162"/>
      <c r="Y1008" s="163"/>
    </row>
    <row r="1009" ht="15.75" customHeight="1"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W1009" s="162"/>
      <c r="Y1009" s="163"/>
    </row>
    <row r="1010" ht="15.75" customHeight="1"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W1010" s="162"/>
      <c r="Y1010" s="163"/>
    </row>
    <row r="1011" ht="15.75" customHeight="1"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W1011" s="162"/>
      <c r="Y1011" s="163"/>
    </row>
    <row r="1012" ht="15.75" customHeight="1"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W1012" s="162"/>
      <c r="Y1012" s="163"/>
    </row>
    <row r="1013" ht="15.75" customHeight="1"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W1013" s="162"/>
      <c r="Y1013" s="163"/>
    </row>
    <row r="1014" ht="15.75" customHeight="1"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W1014" s="162"/>
      <c r="Y1014" s="163"/>
    </row>
    <row r="1015" ht="15.75" customHeight="1"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W1015" s="162"/>
      <c r="Y1015" s="163"/>
    </row>
    <row r="1016" ht="15.75" customHeight="1"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W1016" s="162"/>
      <c r="Y1016" s="163"/>
    </row>
    <row r="1017" ht="15.75" customHeight="1"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W1017" s="162"/>
      <c r="Y1017" s="163"/>
    </row>
    <row r="1018" ht="15.75" customHeight="1"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W1018" s="162"/>
      <c r="Y1018" s="163"/>
    </row>
    <row r="1019" ht="15.75" customHeight="1"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W1019" s="162"/>
      <c r="Y1019" s="163"/>
    </row>
    <row r="1020" ht="15.75" customHeight="1"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W1020" s="162"/>
      <c r="Y1020" s="163"/>
    </row>
    <row r="1021" ht="15.75" customHeight="1"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W1021" s="162"/>
      <c r="Y1021" s="163"/>
    </row>
    <row r="1022" ht="15.75" customHeight="1"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W1022" s="162"/>
      <c r="Y1022" s="163"/>
    </row>
    <row r="1023" ht="15.75" customHeight="1"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W1023" s="162"/>
      <c r="Y1023" s="163"/>
    </row>
    <row r="1024" ht="15.75" customHeight="1"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W1024" s="162"/>
      <c r="Y1024" s="163"/>
    </row>
    <row r="1025" ht="15.75" customHeight="1"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W1025" s="162"/>
      <c r="Y1025" s="163"/>
    </row>
    <row r="1026" ht="15.75" customHeight="1"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W1026" s="162"/>
      <c r="Y1026" s="163"/>
    </row>
    <row r="1027" ht="15.75" customHeight="1"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W1027" s="162"/>
      <c r="Y1027" s="163"/>
    </row>
    <row r="1028" ht="15.75" customHeight="1"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W1028" s="162"/>
      <c r="Y1028" s="163"/>
    </row>
    <row r="1029" ht="15.75" customHeight="1"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  <c r="S1029" s="161"/>
      <c r="T1029" s="161"/>
      <c r="W1029" s="162"/>
      <c r="Y1029" s="163"/>
    </row>
    <row r="1030" ht="15.75" customHeight="1"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  <c r="S1030" s="161"/>
      <c r="T1030" s="161"/>
      <c r="W1030" s="162"/>
      <c r="Y1030" s="163"/>
    </row>
    <row r="1031" ht="15.75" customHeight="1"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  <c r="S1031" s="161"/>
      <c r="T1031" s="161"/>
      <c r="W1031" s="162"/>
      <c r="Y1031" s="163"/>
    </row>
    <row r="1032" ht="15.75" customHeight="1">
      <c r="F1032" s="161"/>
      <c r="G1032" s="161"/>
      <c r="H1032" s="161"/>
      <c r="I1032" s="161"/>
      <c r="J1032" s="161"/>
      <c r="K1032" s="161"/>
      <c r="L1032" s="161"/>
      <c r="M1032" s="161"/>
      <c r="N1032" s="161"/>
      <c r="O1032" s="161"/>
      <c r="P1032" s="161"/>
      <c r="Q1032" s="161"/>
      <c r="R1032" s="161"/>
      <c r="S1032" s="161"/>
      <c r="T1032" s="161"/>
      <c r="W1032" s="162"/>
      <c r="Y1032" s="163"/>
    </row>
    <row r="1033" ht="15.75" customHeight="1">
      <c r="F1033" s="161"/>
      <c r="G1033" s="161"/>
      <c r="H1033" s="161"/>
      <c r="I1033" s="161"/>
      <c r="J1033" s="161"/>
      <c r="K1033" s="161"/>
      <c r="L1033" s="161"/>
      <c r="M1033" s="161"/>
      <c r="N1033" s="161"/>
      <c r="O1033" s="161"/>
      <c r="P1033" s="161"/>
      <c r="Q1033" s="161"/>
      <c r="R1033" s="161"/>
      <c r="S1033" s="161"/>
      <c r="T1033" s="161"/>
      <c r="W1033" s="162"/>
      <c r="Y1033" s="163"/>
    </row>
    <row r="1034" ht="15.75" customHeight="1">
      <c r="F1034" s="161"/>
      <c r="G1034" s="161"/>
      <c r="H1034" s="161"/>
      <c r="I1034" s="161"/>
      <c r="J1034" s="161"/>
      <c r="K1034" s="161"/>
      <c r="L1034" s="161"/>
      <c r="M1034" s="161"/>
      <c r="N1034" s="161"/>
      <c r="O1034" s="161"/>
      <c r="P1034" s="161"/>
      <c r="Q1034" s="161"/>
      <c r="R1034" s="161"/>
      <c r="S1034" s="161"/>
      <c r="T1034" s="161"/>
      <c r="W1034" s="162"/>
      <c r="Y1034" s="163"/>
    </row>
    <row r="1035" ht="15.75" customHeight="1">
      <c r="F1035" s="161"/>
      <c r="G1035" s="161"/>
      <c r="H1035" s="161"/>
      <c r="I1035" s="161"/>
      <c r="J1035" s="161"/>
      <c r="K1035" s="161"/>
      <c r="L1035" s="161"/>
      <c r="M1035" s="161"/>
      <c r="N1035" s="161"/>
      <c r="O1035" s="161"/>
      <c r="P1035" s="161"/>
      <c r="Q1035" s="161"/>
      <c r="R1035" s="161"/>
      <c r="S1035" s="161"/>
      <c r="T1035" s="161"/>
      <c r="W1035" s="162"/>
      <c r="Y1035" s="163"/>
    </row>
    <row r="1036" ht="15.75" customHeight="1">
      <c r="F1036" s="161"/>
      <c r="G1036" s="161"/>
      <c r="H1036" s="161"/>
      <c r="I1036" s="161"/>
      <c r="J1036" s="161"/>
      <c r="K1036" s="161"/>
      <c r="L1036" s="161"/>
      <c r="M1036" s="161"/>
      <c r="N1036" s="161"/>
      <c r="O1036" s="161"/>
      <c r="P1036" s="161"/>
      <c r="Q1036" s="161"/>
      <c r="R1036" s="161"/>
      <c r="S1036" s="161"/>
      <c r="T1036" s="161"/>
      <c r="W1036" s="162"/>
      <c r="Y1036" s="163"/>
    </row>
    <row r="1037" ht="15.75" customHeight="1">
      <c r="F1037" s="161"/>
      <c r="G1037" s="161"/>
      <c r="H1037" s="161"/>
      <c r="I1037" s="161"/>
      <c r="J1037" s="161"/>
      <c r="K1037" s="161"/>
      <c r="L1037" s="161"/>
      <c r="M1037" s="161"/>
      <c r="N1037" s="161"/>
      <c r="O1037" s="161"/>
      <c r="P1037" s="161"/>
      <c r="Q1037" s="161"/>
      <c r="R1037" s="161"/>
      <c r="S1037" s="161"/>
      <c r="T1037" s="161"/>
      <c r="W1037" s="162"/>
      <c r="Y1037" s="163"/>
    </row>
    <row r="1038" ht="15.75" customHeight="1">
      <c r="F1038" s="161"/>
      <c r="G1038" s="161"/>
      <c r="H1038" s="161"/>
      <c r="I1038" s="161"/>
      <c r="J1038" s="161"/>
      <c r="K1038" s="161"/>
      <c r="L1038" s="161"/>
      <c r="M1038" s="161"/>
      <c r="N1038" s="161"/>
      <c r="O1038" s="161"/>
      <c r="P1038" s="161"/>
      <c r="Q1038" s="161"/>
      <c r="R1038" s="161"/>
      <c r="S1038" s="161"/>
      <c r="T1038" s="161"/>
      <c r="W1038" s="162"/>
      <c r="Y1038" s="163"/>
    </row>
    <row r="1039" ht="15.75" customHeight="1">
      <c r="F1039" s="161"/>
      <c r="G1039" s="161"/>
      <c r="H1039" s="161"/>
      <c r="I1039" s="161"/>
      <c r="J1039" s="161"/>
      <c r="K1039" s="161"/>
      <c r="L1039" s="161"/>
      <c r="M1039" s="161"/>
      <c r="N1039" s="161"/>
      <c r="O1039" s="161"/>
      <c r="P1039" s="161"/>
      <c r="Q1039" s="161"/>
      <c r="R1039" s="161"/>
      <c r="S1039" s="161"/>
      <c r="T1039" s="161"/>
      <c r="W1039" s="162"/>
      <c r="Y1039" s="163"/>
    </row>
    <row r="1040" ht="15.75" customHeight="1">
      <c r="F1040" s="161"/>
      <c r="G1040" s="161"/>
      <c r="H1040" s="161"/>
      <c r="I1040" s="161"/>
      <c r="J1040" s="161"/>
      <c r="K1040" s="161"/>
      <c r="L1040" s="161"/>
      <c r="M1040" s="161"/>
      <c r="N1040" s="161"/>
      <c r="O1040" s="161"/>
      <c r="P1040" s="161"/>
      <c r="Q1040" s="161"/>
      <c r="R1040" s="161"/>
      <c r="S1040" s="161"/>
      <c r="T1040" s="161"/>
      <c r="W1040" s="162"/>
      <c r="Y1040" s="163"/>
    </row>
    <row r="1041" ht="15.75" customHeight="1">
      <c r="F1041" s="161"/>
      <c r="G1041" s="161"/>
      <c r="H1041" s="161"/>
      <c r="I1041" s="161"/>
      <c r="J1041" s="161"/>
      <c r="K1041" s="161"/>
      <c r="L1041" s="161"/>
      <c r="M1041" s="161"/>
      <c r="N1041" s="161"/>
      <c r="O1041" s="161"/>
      <c r="P1041" s="161"/>
      <c r="Q1041" s="161"/>
      <c r="R1041" s="161"/>
      <c r="S1041" s="161"/>
      <c r="T1041" s="161"/>
      <c r="W1041" s="162"/>
      <c r="Y1041" s="163"/>
    </row>
  </sheetData>
  <mergeCells count="4">
    <mergeCell ref="A2:V2"/>
    <mergeCell ref="A27:V27"/>
    <mergeCell ref="A38:V38"/>
    <mergeCell ref="A61:V61"/>
  </mergeCells>
  <conditionalFormatting sqref="V1 V3:V26 V28:V37 V39:V60 V62:V1041">
    <cfRule type="cellIs" dxfId="0" priority="1" operator="equal">
      <formula>0</formula>
    </cfRule>
  </conditionalFormatting>
  <conditionalFormatting sqref="V1 V3:V26 V28:V37 V39:V60 V62:V1041">
    <cfRule type="cellIs" dxfId="0" priority="2" operator="lessThan">
      <formula>0</formula>
    </cfRule>
  </conditionalFormatting>
  <conditionalFormatting sqref="Y2:Y70">
    <cfRule type="containsText" dxfId="1" priority="3" operator="containsText" text="Pending">
      <formula>NOT(ISERROR(SEARCH(("Pending"),(Y2))))</formula>
    </cfRule>
  </conditionalFormatting>
  <conditionalFormatting sqref="Y2:Y70">
    <cfRule type="containsText" dxfId="2" priority="4" operator="containsText" text="N/A">
      <formula>NOT(ISERROR(SEARCH(("N/A"),(Y2))))</formula>
    </cfRule>
  </conditionalFormatting>
  <conditionalFormatting sqref="Y2:Y70">
    <cfRule type="containsText" dxfId="0" priority="5" operator="containsText" text="Done">
      <formula>NOT(ISERROR(SEARCH(("Done"),(Y2))))</formula>
    </cfRule>
  </conditionalFormatting>
  <conditionalFormatting sqref="Y2:Y70">
    <cfRule type="containsText" dxfId="3" priority="6" operator="containsText" text="In Progress">
      <formula>NOT(ISERROR(SEARCH(("In Progress"),(Y2))))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33.25"/>
    <col customWidth="1" min="3" max="3" width="12.63"/>
    <col customWidth="1" min="4" max="4" width="15.0"/>
    <col customWidth="1" hidden="1" min="5" max="17" width="12.63"/>
    <col customWidth="1" min="18" max="18" width="12.63"/>
    <col customWidth="1" min="20" max="20" width="15.25"/>
  </cols>
  <sheetData>
    <row r="1" ht="15.75" customHeight="1">
      <c r="A1" s="140" t="s">
        <v>138</v>
      </c>
      <c r="B1" s="4" t="s">
        <v>2</v>
      </c>
      <c r="C1" s="7" t="s">
        <v>3</v>
      </c>
      <c r="D1" s="7" t="s">
        <v>4</v>
      </c>
      <c r="E1" s="7" t="s">
        <v>5</v>
      </c>
      <c r="F1" s="141" t="s">
        <v>6</v>
      </c>
      <c r="G1" s="141" t="s">
        <v>7</v>
      </c>
      <c r="H1" s="141" t="s">
        <v>8</v>
      </c>
      <c r="I1" s="141" t="s">
        <v>9</v>
      </c>
      <c r="J1" s="141" t="s">
        <v>11</v>
      </c>
      <c r="K1" s="141" t="s">
        <v>13</v>
      </c>
      <c r="L1" s="141" t="s">
        <v>15</v>
      </c>
      <c r="M1" s="141" t="s">
        <v>16</v>
      </c>
      <c r="N1" s="141" t="s">
        <v>17</v>
      </c>
      <c r="O1" s="141" t="s">
        <v>18</v>
      </c>
      <c r="P1" s="141" t="s">
        <v>19</v>
      </c>
      <c r="Q1" s="141" t="s">
        <v>20</v>
      </c>
      <c r="R1" s="141" t="s">
        <v>24</v>
      </c>
      <c r="S1" s="7" t="s">
        <v>28</v>
      </c>
      <c r="T1" s="7" t="s">
        <v>30</v>
      </c>
      <c r="U1" s="90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ht="15.75" customHeight="1">
      <c r="A2" s="142" t="s">
        <v>139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9"/>
      <c r="U2" s="9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 ht="15.75" customHeight="1">
      <c r="A3" s="143">
        <v>51.0</v>
      </c>
      <c r="B3" s="144" t="s">
        <v>140</v>
      </c>
      <c r="C3" s="145" t="s">
        <v>141</v>
      </c>
      <c r="D3" s="146">
        <f t="shared" ref="D3:D14" si="1">R3</f>
        <v>1</v>
      </c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5">
        <v>1.0</v>
      </c>
      <c r="S3" s="147">
        <f>SUMIFS('UK London sales'!D:D, 'UK London sales'!B:B, B3, 'UK London sales'!C:C, C3)</f>
        <v>0</v>
      </c>
      <c r="T3" s="147">
        <f t="shared" ref="T3:T14" si="2">D3-S3</f>
        <v>1</v>
      </c>
      <c r="U3" s="90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ht="15.75" customHeight="1">
      <c r="A4" s="143">
        <v>52.0</v>
      </c>
      <c r="B4" s="144" t="s">
        <v>140</v>
      </c>
      <c r="C4" s="145" t="s">
        <v>142</v>
      </c>
      <c r="D4" s="146">
        <f t="shared" si="1"/>
        <v>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5">
        <v>2.0</v>
      </c>
      <c r="S4" s="147">
        <f>SUMIFS('UK London sales'!D:D, 'UK London sales'!B:B, B4, 'UK London sales'!C:C, C4)</f>
        <v>0</v>
      </c>
      <c r="T4" s="147">
        <f t="shared" si="2"/>
        <v>2</v>
      </c>
      <c r="U4" s="90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ht="15.75" customHeight="1">
      <c r="A5" s="143">
        <v>53.0</v>
      </c>
      <c r="B5" s="144" t="s">
        <v>140</v>
      </c>
      <c r="C5" s="145" t="s">
        <v>143</v>
      </c>
      <c r="D5" s="146">
        <f t="shared" si="1"/>
        <v>1</v>
      </c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5">
        <v>1.0</v>
      </c>
      <c r="S5" s="147">
        <f>SUMIFS('UK London sales'!D:D, 'UK London sales'!B:B, B5, 'UK London sales'!C:C, C5)</f>
        <v>0</v>
      </c>
      <c r="T5" s="147">
        <f t="shared" si="2"/>
        <v>1</v>
      </c>
      <c r="U5" s="90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ht="15.75" customHeight="1">
      <c r="A6" s="143">
        <v>54.0</v>
      </c>
      <c r="B6" s="144" t="s">
        <v>140</v>
      </c>
      <c r="C6" s="145" t="s">
        <v>144</v>
      </c>
      <c r="D6" s="146">
        <f t="shared" si="1"/>
        <v>1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5">
        <v>1.0</v>
      </c>
      <c r="S6" s="147">
        <f>SUMIFS('UK London sales'!D:D, 'UK London sales'!B:B, B6, 'UK London sales'!C:C, C6)</f>
        <v>0</v>
      </c>
      <c r="T6" s="147">
        <f t="shared" si="2"/>
        <v>1</v>
      </c>
      <c r="U6" s="90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ht="15.75" customHeight="1">
      <c r="A7" s="121">
        <v>55.0</v>
      </c>
      <c r="B7" s="122" t="s">
        <v>145</v>
      </c>
      <c r="C7" s="123" t="s">
        <v>141</v>
      </c>
      <c r="D7" s="124">
        <f t="shared" si="1"/>
        <v>1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23">
        <v>1.0</v>
      </c>
      <c r="S7" s="148">
        <f>SUMIFS('UK London sales'!D:D, 'UK London sales'!B:B, B7, 'UK London sales'!C:C, C7)</f>
        <v>0</v>
      </c>
      <c r="T7" s="148">
        <f t="shared" si="2"/>
        <v>1</v>
      </c>
      <c r="U7" s="90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ht="15.75" customHeight="1">
      <c r="A8" s="121">
        <v>56.0</v>
      </c>
      <c r="B8" s="122" t="s">
        <v>145</v>
      </c>
      <c r="C8" s="123" t="s">
        <v>142</v>
      </c>
      <c r="D8" s="124">
        <f t="shared" si="1"/>
        <v>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23">
        <v>0.0</v>
      </c>
      <c r="S8" s="148">
        <f>SUMIFS('UK London sales'!D:D, 'UK London sales'!B:B, B8, 'UK London sales'!C:C, C8)</f>
        <v>0</v>
      </c>
      <c r="T8" s="148">
        <f t="shared" si="2"/>
        <v>0</v>
      </c>
      <c r="U8" s="90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ht="15.75" customHeight="1">
      <c r="A9" s="121">
        <v>57.0</v>
      </c>
      <c r="B9" s="122" t="s">
        <v>145</v>
      </c>
      <c r="C9" s="123" t="s">
        <v>143</v>
      </c>
      <c r="D9" s="124">
        <f t="shared" si="1"/>
        <v>1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23">
        <v>1.0</v>
      </c>
      <c r="S9" s="148">
        <f>SUMIFS('UK London sales'!D:D, 'UK London sales'!B:B, B9, 'UK London sales'!C:C, C9)</f>
        <v>0</v>
      </c>
      <c r="T9" s="148">
        <f t="shared" si="2"/>
        <v>1</v>
      </c>
      <c r="U9" s="90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ht="15.75" customHeight="1">
      <c r="A10" s="121">
        <v>58.0</v>
      </c>
      <c r="B10" s="122" t="s">
        <v>145</v>
      </c>
      <c r="C10" s="123" t="s">
        <v>144</v>
      </c>
      <c r="D10" s="124">
        <f t="shared" si="1"/>
        <v>1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23">
        <v>1.0</v>
      </c>
      <c r="S10" s="148">
        <f>SUMIFS('UK London sales'!D:D, 'UK London sales'!B:B, B10, 'UK London sales'!C:C, C10)</f>
        <v>0</v>
      </c>
      <c r="T10" s="148">
        <f t="shared" si="2"/>
        <v>1</v>
      </c>
      <c r="U10" s="90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ht="15.75" customHeight="1">
      <c r="A11" s="76">
        <v>59.0</v>
      </c>
      <c r="B11" s="103" t="s">
        <v>146</v>
      </c>
      <c r="C11" s="80" t="s">
        <v>141</v>
      </c>
      <c r="D11" s="109">
        <f t="shared" si="1"/>
        <v>1</v>
      </c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80">
        <v>1.0</v>
      </c>
      <c r="S11" s="78">
        <f>SUMIFS('UK London sales'!D:D, 'UK London sales'!B:B, B11, 'UK London sales'!C:C, C11)</f>
        <v>0</v>
      </c>
      <c r="T11" s="78">
        <f t="shared" si="2"/>
        <v>1</v>
      </c>
      <c r="U11" s="90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ht="15.75" customHeight="1">
      <c r="A12" s="76">
        <v>60.0</v>
      </c>
      <c r="B12" s="103" t="s">
        <v>146</v>
      </c>
      <c r="C12" s="80" t="s">
        <v>142</v>
      </c>
      <c r="D12" s="109">
        <f t="shared" si="1"/>
        <v>0</v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80">
        <v>0.0</v>
      </c>
      <c r="S12" s="78">
        <f>SUMIFS('UK London sales'!D:D, 'UK London sales'!B:B, B12, 'UK London sales'!C:C, C12)</f>
        <v>0</v>
      </c>
      <c r="T12" s="78">
        <f t="shared" si="2"/>
        <v>0</v>
      </c>
      <c r="U12" s="9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ht="15.75" customHeight="1">
      <c r="A13" s="76">
        <v>61.0</v>
      </c>
      <c r="B13" s="103" t="s">
        <v>146</v>
      </c>
      <c r="C13" s="80" t="s">
        <v>143</v>
      </c>
      <c r="D13" s="109">
        <f t="shared" si="1"/>
        <v>2</v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80">
        <v>2.0</v>
      </c>
      <c r="S13" s="78">
        <f>SUMIFS('UK London sales'!D:D, 'UK London sales'!B:B, B13, 'UK London sales'!C:C, C13)</f>
        <v>0</v>
      </c>
      <c r="T13" s="78">
        <f t="shared" si="2"/>
        <v>2</v>
      </c>
      <c r="U13" s="9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ht="15.75" customHeight="1">
      <c r="A14" s="76">
        <v>62.0</v>
      </c>
      <c r="B14" s="103" t="s">
        <v>147</v>
      </c>
      <c r="C14" s="80" t="s">
        <v>144</v>
      </c>
      <c r="D14" s="109">
        <f t="shared" si="1"/>
        <v>1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80">
        <v>1.0</v>
      </c>
      <c r="S14" s="78">
        <f>SUMIFS('UK London sales'!D:D, 'UK London sales'!B:B, B14, 'UK London sales'!C:C, C14)</f>
        <v>0</v>
      </c>
      <c r="T14" s="78">
        <f t="shared" si="2"/>
        <v>1</v>
      </c>
      <c r="U14" s="9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ht="15.75" customHeight="1">
      <c r="A15" s="149" t="s">
        <v>148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1"/>
      <c r="U15" s="9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ht="15.75" customHeight="1">
      <c r="A16" s="152"/>
      <c r="B16" s="153" t="s">
        <v>149</v>
      </c>
      <c r="C16" s="154" t="s">
        <v>142</v>
      </c>
      <c r="D16" s="155">
        <f t="shared" ref="D16:D31" si="3">R16</f>
        <v>2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4">
        <v>2.0</v>
      </c>
      <c r="S16" s="155">
        <f>SUMIFS('UK London sales'!D:D, 'UK London sales'!B:B, B16, 'UK London sales'!C:C, C16)</f>
        <v>0</v>
      </c>
      <c r="T16" s="155">
        <f t="shared" ref="T16:T31" si="4">D16-S16</f>
        <v>2</v>
      </c>
      <c r="U16" s="90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ht="15.75" customHeight="1">
      <c r="A17" s="152"/>
      <c r="B17" s="153" t="s">
        <v>149</v>
      </c>
      <c r="C17" s="154" t="s">
        <v>143</v>
      </c>
      <c r="D17" s="155">
        <f t="shared" si="3"/>
        <v>2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4">
        <v>2.0</v>
      </c>
      <c r="S17" s="155">
        <f>SUMIFS('UK London sales'!D:D, 'UK London sales'!B:B, B17, 'UK London sales'!C:C, C17)</f>
        <v>0</v>
      </c>
      <c r="T17" s="155">
        <f t="shared" si="4"/>
        <v>2</v>
      </c>
      <c r="U17" s="90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ht="15.75" customHeight="1">
      <c r="A18" s="152"/>
      <c r="B18" s="153" t="s">
        <v>150</v>
      </c>
      <c r="C18" s="154" t="s">
        <v>142</v>
      </c>
      <c r="D18" s="155">
        <f t="shared" si="3"/>
        <v>2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4">
        <v>2.0</v>
      </c>
      <c r="S18" s="155">
        <f>SUMIFS('UK London sales'!D:D, 'UK London sales'!B:B, B18, 'UK London sales'!C:C, C18)</f>
        <v>0</v>
      </c>
      <c r="T18" s="155">
        <f t="shared" si="4"/>
        <v>2</v>
      </c>
      <c r="U18" s="90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ht="15.75" customHeight="1">
      <c r="A19" s="152"/>
      <c r="B19" s="153" t="s">
        <v>150</v>
      </c>
      <c r="C19" s="154" t="s">
        <v>143</v>
      </c>
      <c r="D19" s="155">
        <f t="shared" si="3"/>
        <v>2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4">
        <v>2.0</v>
      </c>
      <c r="S19" s="155">
        <f>SUMIFS('UK London sales'!D:D, 'UK London sales'!B:B, B19, 'UK London sales'!C:C, C19)</f>
        <v>0</v>
      </c>
      <c r="T19" s="155">
        <f t="shared" si="4"/>
        <v>2</v>
      </c>
      <c r="U19" s="90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ht="15.75" customHeight="1">
      <c r="A20" s="152"/>
      <c r="B20" s="153" t="s">
        <v>151</v>
      </c>
      <c r="C20" s="154" t="s">
        <v>142</v>
      </c>
      <c r="D20" s="155">
        <f t="shared" si="3"/>
        <v>2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4">
        <v>2.0</v>
      </c>
      <c r="S20" s="155">
        <f>SUMIFS('UK London sales'!D:D, 'UK London sales'!B:B, B20, 'UK London sales'!C:C, C20)</f>
        <v>0</v>
      </c>
      <c r="T20" s="155">
        <f t="shared" si="4"/>
        <v>2</v>
      </c>
      <c r="U20" s="90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ht="15.75" customHeight="1">
      <c r="A21" s="152"/>
      <c r="B21" s="153" t="s">
        <v>151</v>
      </c>
      <c r="C21" s="154" t="s">
        <v>143</v>
      </c>
      <c r="D21" s="155">
        <f t="shared" si="3"/>
        <v>2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4">
        <v>2.0</v>
      </c>
      <c r="S21" s="155">
        <f>SUMIFS('UK London sales'!D:D, 'UK London sales'!B:B, B21, 'UK London sales'!C:C, C21)</f>
        <v>0</v>
      </c>
      <c r="T21" s="155">
        <f t="shared" si="4"/>
        <v>2</v>
      </c>
      <c r="U21" s="90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ht="15.75" customHeight="1">
      <c r="A22" s="156"/>
      <c r="B22" s="157" t="s">
        <v>152</v>
      </c>
      <c r="C22" s="158" t="s">
        <v>142</v>
      </c>
      <c r="D22" s="159">
        <f t="shared" si="3"/>
        <v>2</v>
      </c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58">
        <v>2.0</v>
      </c>
      <c r="S22" s="159">
        <f>SUMIFS('UK London sales'!D:D, 'UK London sales'!B:B, B22, 'UK London sales'!C:C, C22)</f>
        <v>0</v>
      </c>
      <c r="T22" s="160">
        <f t="shared" si="4"/>
        <v>2</v>
      </c>
      <c r="U22" s="90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ht="15.75" customHeight="1">
      <c r="A23" s="156"/>
      <c r="B23" s="157" t="s">
        <v>152</v>
      </c>
      <c r="C23" s="158" t="s">
        <v>143</v>
      </c>
      <c r="D23" s="159">
        <f t="shared" si="3"/>
        <v>2</v>
      </c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58">
        <v>2.0</v>
      </c>
      <c r="S23" s="159">
        <f>SUMIFS('UK London sales'!D:D, 'UK London sales'!B:B, B23, 'UK London sales'!C:C, C23)</f>
        <v>0</v>
      </c>
      <c r="T23" s="160">
        <f t="shared" si="4"/>
        <v>2</v>
      </c>
      <c r="U23" s="90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ht="15.75" customHeight="1">
      <c r="A24" s="116"/>
      <c r="B24" s="117" t="s">
        <v>153</v>
      </c>
      <c r="C24" s="118" t="s">
        <v>142</v>
      </c>
      <c r="D24" s="54">
        <f t="shared" si="3"/>
        <v>4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118">
        <v>4.0</v>
      </c>
      <c r="S24" s="54">
        <f>SUMIFS('UK London sales'!D:D, 'UK London sales'!B:B, B24, 'UK London sales'!C:C, C24)</f>
        <v>0</v>
      </c>
      <c r="T24" s="54">
        <f t="shared" si="4"/>
        <v>4</v>
      </c>
      <c r="U24" s="90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ht="15.75" customHeight="1">
      <c r="A25" s="116"/>
      <c r="B25" s="117" t="s">
        <v>153</v>
      </c>
      <c r="C25" s="118" t="s">
        <v>143</v>
      </c>
      <c r="D25" s="54">
        <f t="shared" si="3"/>
        <v>0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118">
        <v>0.0</v>
      </c>
      <c r="S25" s="54">
        <f>SUMIFS('UK London sales'!D:D, 'UK London sales'!B:B, B25, 'UK London sales'!C:C, C25)</f>
        <v>0</v>
      </c>
      <c r="T25" s="54">
        <f t="shared" si="4"/>
        <v>0</v>
      </c>
      <c r="U25" s="90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ht="15.75" customHeight="1">
      <c r="A26" s="116"/>
      <c r="B26" s="117" t="s">
        <v>154</v>
      </c>
      <c r="C26" s="118" t="s">
        <v>142</v>
      </c>
      <c r="D26" s="54">
        <f t="shared" si="3"/>
        <v>2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118">
        <v>2.0</v>
      </c>
      <c r="S26" s="54">
        <f>SUMIFS('UK London sales'!D:D, 'UK London sales'!B:B, B26, 'UK London sales'!C:C, C26)</f>
        <v>0</v>
      </c>
      <c r="T26" s="54">
        <f t="shared" si="4"/>
        <v>2</v>
      </c>
      <c r="U26" s="90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ht="15.75" customHeight="1">
      <c r="A27" s="116"/>
      <c r="B27" s="117" t="s">
        <v>154</v>
      </c>
      <c r="C27" s="118" t="s">
        <v>143</v>
      </c>
      <c r="D27" s="54">
        <f t="shared" si="3"/>
        <v>2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118">
        <v>2.0</v>
      </c>
      <c r="S27" s="54">
        <f>SUMIFS('UK London sales'!D:D, 'UK London sales'!B:B, B27, 'UK London sales'!C:C, C27)</f>
        <v>0</v>
      </c>
      <c r="T27" s="54">
        <f t="shared" si="4"/>
        <v>2</v>
      </c>
      <c r="U27" s="90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ht="15.75" customHeight="1">
      <c r="A28" s="116"/>
      <c r="B28" s="117" t="s">
        <v>155</v>
      </c>
      <c r="C28" s="118" t="s">
        <v>142</v>
      </c>
      <c r="D28" s="54">
        <f t="shared" si="3"/>
        <v>2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118">
        <v>2.0</v>
      </c>
      <c r="S28" s="54">
        <f>SUMIFS('UK London sales'!D:D, 'UK London sales'!B:B, B28, 'UK London sales'!C:C, C28)</f>
        <v>0</v>
      </c>
      <c r="T28" s="54">
        <f t="shared" si="4"/>
        <v>2</v>
      </c>
      <c r="U28" s="90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ht="15.75" customHeight="1">
      <c r="A29" s="116"/>
      <c r="B29" s="117" t="s">
        <v>155</v>
      </c>
      <c r="C29" s="118" t="s">
        <v>143</v>
      </c>
      <c r="D29" s="54">
        <f t="shared" si="3"/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118">
        <v>2.0</v>
      </c>
      <c r="S29" s="54">
        <f>SUMIFS('UK London sales'!D:D, 'UK London sales'!B:B, B29, 'UK London sales'!C:C, C29)</f>
        <v>0</v>
      </c>
      <c r="T29" s="54">
        <f t="shared" si="4"/>
        <v>2</v>
      </c>
      <c r="U29" s="90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ht="15.75" customHeight="1">
      <c r="A30" s="116"/>
      <c r="B30" s="117" t="s">
        <v>156</v>
      </c>
      <c r="C30" s="118" t="s">
        <v>142</v>
      </c>
      <c r="D30" s="54">
        <f t="shared" si="3"/>
        <v>2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118">
        <v>2.0</v>
      </c>
      <c r="S30" s="54">
        <f>SUMIFS('UK London sales'!D:D, 'UK London sales'!B:B, B30, 'UK London sales'!C:C, C30)</f>
        <v>0</v>
      </c>
      <c r="T30" s="54">
        <f t="shared" si="4"/>
        <v>2</v>
      </c>
      <c r="U30" s="90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ht="15.75" customHeight="1">
      <c r="A31" s="116"/>
      <c r="B31" s="117" t="s">
        <v>156</v>
      </c>
      <c r="C31" s="118" t="s">
        <v>143</v>
      </c>
      <c r="D31" s="54">
        <f t="shared" si="3"/>
        <v>2</v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118">
        <v>2.0</v>
      </c>
      <c r="S31" s="54">
        <f>SUMIFS('UK London sales'!D:D, 'UK London sales'!B:B, B31, 'UK London sales'!C:C, C31)</f>
        <v>0</v>
      </c>
      <c r="T31" s="54">
        <f t="shared" si="4"/>
        <v>2</v>
      </c>
      <c r="U31" s="90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ht="15.75" customHeight="1">
      <c r="A32" s="149" t="s">
        <v>157</v>
      </c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1"/>
      <c r="U32" s="90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ht="15.75" customHeight="1">
      <c r="A33" s="152"/>
      <c r="B33" s="153" t="s">
        <v>158</v>
      </c>
      <c r="C33" s="154" t="s">
        <v>142</v>
      </c>
      <c r="D33" s="155">
        <f t="shared" ref="D33:D48" si="5">R33</f>
        <v>2</v>
      </c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4">
        <v>2.0</v>
      </c>
      <c r="S33" s="155">
        <f>SUMIFS('UK London sales'!D:D, 'UK London sales'!B:B, B33, 'UK London sales'!C:C, C33)</f>
        <v>0</v>
      </c>
      <c r="T33" s="155">
        <f t="shared" ref="T33:T48" si="6">D33-S33</f>
        <v>2</v>
      </c>
      <c r="U33" s="90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ht="15.0" customHeight="1">
      <c r="A34" s="152"/>
      <c r="B34" s="153" t="s">
        <v>158</v>
      </c>
      <c r="C34" s="154" t="s">
        <v>143</v>
      </c>
      <c r="D34" s="155">
        <f t="shared" si="5"/>
        <v>2</v>
      </c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4">
        <v>2.0</v>
      </c>
      <c r="S34" s="155">
        <f>SUMIFS('UK London sales'!D:D, 'UK London sales'!B:B, B34, 'UK London sales'!C:C, C34)</f>
        <v>0</v>
      </c>
      <c r="T34" s="155">
        <f t="shared" si="6"/>
        <v>2</v>
      </c>
      <c r="U34" s="90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ht="15.75" customHeight="1">
      <c r="A35" s="152"/>
      <c r="B35" s="153" t="s">
        <v>159</v>
      </c>
      <c r="C35" s="154" t="s">
        <v>142</v>
      </c>
      <c r="D35" s="155">
        <f t="shared" si="5"/>
        <v>0</v>
      </c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4">
        <v>0.0</v>
      </c>
      <c r="S35" s="155">
        <f>SUMIFS('UK London sales'!D:D, 'UK London sales'!B:B, B35, 'UK London sales'!C:C, C35)</f>
        <v>0</v>
      </c>
      <c r="T35" s="155">
        <f t="shared" si="6"/>
        <v>0</v>
      </c>
      <c r="U35" s="90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ht="15.75" customHeight="1">
      <c r="A36" s="152"/>
      <c r="B36" s="153" t="s">
        <v>159</v>
      </c>
      <c r="C36" s="154" t="s">
        <v>143</v>
      </c>
      <c r="D36" s="155">
        <f t="shared" si="5"/>
        <v>4</v>
      </c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4">
        <v>4.0</v>
      </c>
      <c r="S36" s="155">
        <f>SUMIFS('UK London sales'!D:D, 'UK London sales'!B:B, B36, 'UK London sales'!C:C, C36)</f>
        <v>0</v>
      </c>
      <c r="T36" s="155">
        <f t="shared" si="6"/>
        <v>4</v>
      </c>
      <c r="U36" s="90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ht="15.0" customHeight="1">
      <c r="A37" s="152"/>
      <c r="B37" s="153" t="s">
        <v>160</v>
      </c>
      <c r="C37" s="154" t="s">
        <v>142</v>
      </c>
      <c r="D37" s="155">
        <f t="shared" si="5"/>
        <v>2</v>
      </c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4">
        <v>2.0</v>
      </c>
      <c r="S37" s="155">
        <f>SUMIFS('UK London sales'!D:D, 'UK London sales'!B:B, B37, 'UK London sales'!C:C, C37)</f>
        <v>0</v>
      </c>
      <c r="T37" s="155">
        <f t="shared" si="6"/>
        <v>2</v>
      </c>
      <c r="U37" s="90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ht="15.0" customHeight="1">
      <c r="A38" s="152"/>
      <c r="B38" s="153" t="s">
        <v>160</v>
      </c>
      <c r="C38" s="154" t="s">
        <v>143</v>
      </c>
      <c r="D38" s="155">
        <f t="shared" si="5"/>
        <v>2</v>
      </c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4">
        <v>2.0</v>
      </c>
      <c r="S38" s="155">
        <f>SUMIFS('UK London sales'!D:D, 'UK London sales'!B:B, B38, 'UK London sales'!C:C, C38)</f>
        <v>0</v>
      </c>
      <c r="T38" s="155">
        <f t="shared" si="6"/>
        <v>2</v>
      </c>
      <c r="U38" s="90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ht="15.0" customHeight="1">
      <c r="A39" s="152"/>
      <c r="B39" s="153" t="s">
        <v>161</v>
      </c>
      <c r="C39" s="154" t="s">
        <v>142</v>
      </c>
      <c r="D39" s="155">
        <f t="shared" si="5"/>
        <v>2</v>
      </c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4">
        <v>2.0</v>
      </c>
      <c r="S39" s="155">
        <f>SUMIFS('UK London sales'!D:D, 'UK London sales'!B:B, B39, 'UK London sales'!C:C, C39)</f>
        <v>0</v>
      </c>
      <c r="T39" s="155">
        <f t="shared" si="6"/>
        <v>2</v>
      </c>
      <c r="U39" s="90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ht="15.0" customHeight="1">
      <c r="A40" s="152"/>
      <c r="B40" s="153" t="s">
        <v>161</v>
      </c>
      <c r="C40" s="154" t="s">
        <v>143</v>
      </c>
      <c r="D40" s="155">
        <f t="shared" si="5"/>
        <v>2</v>
      </c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4">
        <v>2.0</v>
      </c>
      <c r="S40" s="155">
        <f>SUMIFS('UK London sales'!D:D, 'UK London sales'!B:B, B40, 'UK London sales'!C:C, C40)</f>
        <v>0</v>
      </c>
      <c r="T40" s="155">
        <f t="shared" si="6"/>
        <v>2</v>
      </c>
      <c r="U40" s="90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ht="15.75" customHeight="1">
      <c r="A41" s="116"/>
      <c r="B41" s="117" t="s">
        <v>162</v>
      </c>
      <c r="C41" s="118" t="s">
        <v>142</v>
      </c>
      <c r="D41" s="54">
        <f t="shared" si="5"/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118">
        <v>2.0</v>
      </c>
      <c r="S41" s="54">
        <f>SUMIFS('UK London sales'!D:D, 'UK London sales'!B:B, B41, 'UK London sales'!C:C, C41)</f>
        <v>0</v>
      </c>
      <c r="T41" s="71">
        <f t="shared" si="6"/>
        <v>2</v>
      </c>
      <c r="U41" s="90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ht="15.75" customHeight="1">
      <c r="A42" s="116"/>
      <c r="B42" s="117" t="s">
        <v>162</v>
      </c>
      <c r="C42" s="118" t="s">
        <v>143</v>
      </c>
      <c r="D42" s="54">
        <f t="shared" si="5"/>
        <v>2</v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118">
        <v>2.0</v>
      </c>
      <c r="S42" s="54">
        <f>SUMIFS('UK London sales'!D:D, 'UK London sales'!B:B, B42, 'UK London sales'!C:C, C42)</f>
        <v>0</v>
      </c>
      <c r="T42" s="71">
        <f t="shared" si="6"/>
        <v>2</v>
      </c>
      <c r="U42" s="90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</row>
    <row r="43" ht="15.75" customHeight="1">
      <c r="A43" s="116"/>
      <c r="B43" s="117" t="s">
        <v>163</v>
      </c>
      <c r="C43" s="118" t="s">
        <v>142</v>
      </c>
      <c r="D43" s="54">
        <f t="shared" si="5"/>
        <v>2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118">
        <v>2.0</v>
      </c>
      <c r="S43" s="54">
        <f>SUMIFS('UK London sales'!D:D, 'UK London sales'!B:B, B43, 'UK London sales'!C:C, C43)</f>
        <v>0</v>
      </c>
      <c r="T43" s="71">
        <f t="shared" si="6"/>
        <v>2</v>
      </c>
      <c r="U43" s="90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ht="15.75" customHeight="1">
      <c r="A44" s="116"/>
      <c r="B44" s="117" t="s">
        <v>163</v>
      </c>
      <c r="C44" s="118" t="s">
        <v>143</v>
      </c>
      <c r="D44" s="54">
        <f t="shared" si="5"/>
        <v>2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118">
        <v>2.0</v>
      </c>
      <c r="S44" s="54">
        <f>SUMIFS('UK London sales'!D:D, 'UK London sales'!B:B, B44, 'UK London sales'!C:C, C44)</f>
        <v>0</v>
      </c>
      <c r="T44" s="71">
        <f t="shared" si="6"/>
        <v>2</v>
      </c>
      <c r="U44" s="90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ht="15.75" customHeight="1">
      <c r="A45" s="116"/>
      <c r="B45" s="117" t="s">
        <v>164</v>
      </c>
      <c r="C45" s="118" t="s">
        <v>142</v>
      </c>
      <c r="D45" s="54">
        <f t="shared" si="5"/>
        <v>2</v>
      </c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118">
        <v>2.0</v>
      </c>
      <c r="S45" s="54">
        <f>SUMIFS('UK London sales'!D:D, 'UK London sales'!B:B, B45, 'UK London sales'!C:C, C45)</f>
        <v>0</v>
      </c>
      <c r="T45" s="71">
        <f t="shared" si="6"/>
        <v>2</v>
      </c>
      <c r="U45" s="90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ht="15.75" customHeight="1">
      <c r="A46" s="116"/>
      <c r="B46" s="117" t="s">
        <v>164</v>
      </c>
      <c r="C46" s="118" t="s">
        <v>143</v>
      </c>
      <c r="D46" s="54">
        <f t="shared" si="5"/>
        <v>2</v>
      </c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118">
        <v>2.0</v>
      </c>
      <c r="S46" s="54">
        <f>SUMIFS('UK London sales'!D:D, 'UK London sales'!B:B, B46, 'UK London sales'!C:C, C46)</f>
        <v>0</v>
      </c>
      <c r="T46" s="71">
        <f t="shared" si="6"/>
        <v>2</v>
      </c>
      <c r="U46" s="90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ht="15.75" customHeight="1">
      <c r="A47" s="116"/>
      <c r="B47" s="117" t="s">
        <v>165</v>
      </c>
      <c r="C47" s="118" t="s">
        <v>142</v>
      </c>
      <c r="D47" s="54">
        <f t="shared" si="5"/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118">
        <v>2.0</v>
      </c>
      <c r="S47" s="54">
        <f>SUMIFS('UK London sales'!D:D, 'UK London sales'!B:B, B47, 'UK London sales'!C:C, C47)</f>
        <v>0</v>
      </c>
      <c r="T47" s="71">
        <f t="shared" si="6"/>
        <v>2</v>
      </c>
      <c r="U47" s="90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ht="15.75" customHeight="1">
      <c r="A48" s="116"/>
      <c r="B48" s="117" t="s">
        <v>165</v>
      </c>
      <c r="C48" s="118" t="s">
        <v>143</v>
      </c>
      <c r="D48" s="54">
        <f t="shared" si="5"/>
        <v>2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118">
        <v>2.0</v>
      </c>
      <c r="S48" s="54">
        <f>SUMIFS('UK London sales'!D:D, 'UK London sales'!B:B, B48, 'UK London sales'!C:C, C48)</f>
        <v>0</v>
      </c>
      <c r="T48" s="71">
        <f t="shared" si="6"/>
        <v>2</v>
      </c>
      <c r="U48" s="90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ht="15.75" customHeight="1">
      <c r="A49" s="133" t="s">
        <v>137</v>
      </c>
      <c r="B49" s="134"/>
      <c r="C49" s="135"/>
      <c r="D49" s="135">
        <f>SUM(D3:D48)</f>
        <v>76</v>
      </c>
      <c r="E49" s="135" t="str">
        <f t="shared" ref="E49:Q49" si="7">SUM(#REF!)</f>
        <v>#REF!</v>
      </c>
      <c r="F49" s="135" t="str">
        <f t="shared" si="7"/>
        <v>#REF!</v>
      </c>
      <c r="G49" s="135" t="str">
        <f t="shared" si="7"/>
        <v>#REF!</v>
      </c>
      <c r="H49" s="135" t="str">
        <f t="shared" si="7"/>
        <v>#REF!</v>
      </c>
      <c r="I49" s="135" t="str">
        <f t="shared" si="7"/>
        <v>#REF!</v>
      </c>
      <c r="J49" s="135" t="str">
        <f t="shared" si="7"/>
        <v>#REF!</v>
      </c>
      <c r="K49" s="135" t="str">
        <f t="shared" si="7"/>
        <v>#REF!</v>
      </c>
      <c r="L49" s="135" t="str">
        <f t="shared" si="7"/>
        <v>#REF!</v>
      </c>
      <c r="M49" s="135" t="str">
        <f t="shared" si="7"/>
        <v>#REF!</v>
      </c>
      <c r="N49" s="135" t="str">
        <f t="shared" si="7"/>
        <v>#REF!</v>
      </c>
      <c r="O49" s="135" t="str">
        <f t="shared" si="7"/>
        <v>#REF!</v>
      </c>
      <c r="P49" s="135" t="str">
        <f t="shared" si="7"/>
        <v>#REF!</v>
      </c>
      <c r="Q49" s="135" t="str">
        <f t="shared" si="7"/>
        <v>#REF!</v>
      </c>
      <c r="R49" s="135">
        <f t="shared" ref="R49:T49" si="8">SUM(R3:R48)</f>
        <v>76</v>
      </c>
      <c r="S49" s="135">
        <f t="shared" si="8"/>
        <v>0</v>
      </c>
      <c r="T49" s="135">
        <f t="shared" si="8"/>
        <v>76</v>
      </c>
      <c r="U49" s="90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</row>
    <row r="50" ht="15.75" customHeight="1">
      <c r="A50" s="11"/>
      <c r="B50" s="90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0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</row>
    <row r="51" ht="15.75" customHeight="1">
      <c r="A51" s="11"/>
      <c r="B51" s="90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0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</row>
    <row r="52" ht="15.75" customHeight="1">
      <c r="A52" s="11"/>
      <c r="B52" s="90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0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</row>
    <row r="53" ht="15.75" customHeight="1">
      <c r="A53" s="11"/>
      <c r="B53" s="90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0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</row>
    <row r="54" ht="15.75" customHeight="1">
      <c r="A54" s="11"/>
      <c r="B54" s="90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0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ht="15.75" customHeight="1">
      <c r="A55" s="11"/>
      <c r="B55" s="90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0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ht="15.75" customHeight="1">
      <c r="A56" s="11"/>
      <c r="B56" s="90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0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ht="15.75" customHeight="1">
      <c r="A57" s="11"/>
      <c r="B57" s="90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0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ht="15.75" customHeight="1">
      <c r="A58" s="11"/>
      <c r="B58" s="90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0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ht="15.75" customHeight="1">
      <c r="A59" s="11"/>
      <c r="B59" s="90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0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ht="15.75" customHeight="1">
      <c r="A60" s="11"/>
      <c r="B60" s="90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0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ht="15.75" customHeight="1">
      <c r="A61" s="11"/>
      <c r="B61" s="90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0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</row>
    <row r="62" ht="15.75" customHeight="1">
      <c r="A62" s="11"/>
      <c r="B62" s="90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0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</row>
    <row r="63" ht="15.75" customHeight="1">
      <c r="A63" s="11"/>
      <c r="B63" s="90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0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</row>
    <row r="64" ht="15.75" customHeight="1">
      <c r="A64" s="11"/>
      <c r="B64" s="90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0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</row>
    <row r="65" ht="15.75" customHeight="1">
      <c r="A65" s="11"/>
      <c r="B65" s="90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0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</row>
    <row r="66" ht="15.75" customHeight="1">
      <c r="A66" s="11"/>
      <c r="B66" s="90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0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</row>
    <row r="67" ht="15.75" customHeight="1">
      <c r="A67" s="11"/>
      <c r="B67" s="90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0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</row>
    <row r="68" ht="15.75" customHeight="1">
      <c r="A68" s="11"/>
      <c r="B68" s="90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0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</row>
    <row r="69" ht="15.75" customHeight="1">
      <c r="A69" s="11"/>
      <c r="B69" s="90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0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</row>
    <row r="70" ht="15.75" customHeight="1">
      <c r="A70" s="11"/>
      <c r="B70" s="90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0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</row>
    <row r="71" ht="15.75" customHeight="1">
      <c r="A71" s="11"/>
      <c r="B71" s="90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0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ht="15.75" customHeight="1">
      <c r="A72" s="11"/>
      <c r="B72" s="90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0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ht="15.75" customHeight="1">
      <c r="A73" s="11"/>
      <c r="B73" s="90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0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ht="15.75" customHeight="1">
      <c r="A74" s="11"/>
      <c r="B74" s="90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0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ht="15.75" customHeight="1">
      <c r="A75" s="11"/>
      <c r="B75" s="90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0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ht="15.75" customHeight="1">
      <c r="A76" s="11"/>
      <c r="B76" s="90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0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ht="15.75" customHeight="1">
      <c r="A77" s="11"/>
      <c r="B77" s="90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0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ht="15.75" customHeight="1">
      <c r="A78" s="11"/>
      <c r="B78" s="90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0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ht="15.75" customHeight="1">
      <c r="A79" s="11"/>
      <c r="B79" s="90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0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ht="15.75" customHeight="1">
      <c r="A80" s="11"/>
      <c r="B80" s="90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0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ht="15.75" customHeight="1">
      <c r="A81" s="11"/>
      <c r="B81" s="90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0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ht="15.75" customHeight="1">
      <c r="A82" s="11"/>
      <c r="B82" s="90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0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ht="15.75" customHeight="1">
      <c r="A83" s="11"/>
      <c r="B83" s="90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0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ht="15.75" customHeight="1">
      <c r="A84" s="11"/>
      <c r="B84" s="90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0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ht="15.75" customHeight="1">
      <c r="A85" s="11"/>
      <c r="B85" s="90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0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ht="15.75" customHeight="1">
      <c r="A86" s="11"/>
      <c r="B86" s="90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0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</row>
    <row r="87" ht="15.75" customHeight="1">
      <c r="A87" s="11"/>
      <c r="B87" s="90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0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</row>
    <row r="88" ht="15.75" customHeight="1">
      <c r="A88" s="11"/>
      <c r="B88" s="90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0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</row>
    <row r="89" ht="15.75" customHeight="1">
      <c r="A89" s="11"/>
      <c r="B89" s="90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0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</row>
    <row r="90" ht="15.75" customHeight="1">
      <c r="A90" s="11"/>
      <c r="B90" s="90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0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</row>
    <row r="91" ht="15.75" customHeight="1">
      <c r="A91" s="11"/>
      <c r="B91" s="90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0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ht="15.75" customHeight="1">
      <c r="A92" s="11"/>
      <c r="B92" s="90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0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ht="15.75" customHeight="1">
      <c r="A93" s="11"/>
      <c r="B93" s="90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0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ht="15.75" customHeight="1">
      <c r="A94" s="11"/>
      <c r="B94" s="90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0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ht="15.75" customHeight="1">
      <c r="A95" s="11"/>
      <c r="B95" s="90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0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</row>
    <row r="96" ht="15.75" customHeight="1">
      <c r="A96" s="11"/>
      <c r="B96" s="90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0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</row>
    <row r="97" ht="15.75" customHeight="1">
      <c r="A97" s="11"/>
      <c r="B97" s="90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0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</row>
    <row r="98" ht="15.75" customHeight="1">
      <c r="A98" s="11"/>
      <c r="B98" s="90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0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</row>
    <row r="99" ht="15.75" customHeight="1">
      <c r="A99" s="11"/>
      <c r="B99" s="90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0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ht="15.75" customHeight="1">
      <c r="A100" s="11"/>
      <c r="B100" s="90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0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</row>
    <row r="101" ht="15.75" customHeight="1">
      <c r="A101" s="11"/>
      <c r="B101" s="90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0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</row>
    <row r="102" ht="15.75" customHeight="1">
      <c r="A102" s="11"/>
      <c r="B102" s="90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0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</row>
    <row r="103" ht="15.75" customHeight="1">
      <c r="A103" s="11"/>
      <c r="B103" s="90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0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</row>
    <row r="104" ht="15.75" customHeight="1">
      <c r="A104" s="11"/>
      <c r="B104" s="90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0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</row>
    <row r="105" ht="15.75" customHeight="1">
      <c r="A105" s="11"/>
      <c r="B105" s="90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0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</row>
    <row r="106" ht="15.75" customHeight="1">
      <c r="A106" s="11"/>
      <c r="B106" s="90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0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</row>
    <row r="107" ht="15.75" customHeight="1">
      <c r="A107" s="11"/>
      <c r="B107" s="90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0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</row>
    <row r="108" ht="15.75" customHeight="1">
      <c r="A108" s="11"/>
      <c r="B108" s="90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0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</row>
    <row r="109" ht="15.75" customHeight="1">
      <c r="A109" s="11"/>
      <c r="B109" s="90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0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</row>
    <row r="110" ht="15.75" customHeight="1">
      <c r="A110" s="11"/>
      <c r="B110" s="90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0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</row>
    <row r="111" ht="15.75" customHeight="1">
      <c r="A111" s="11"/>
      <c r="B111" s="90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0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</row>
    <row r="112" ht="15.75" customHeight="1">
      <c r="A112" s="11"/>
      <c r="B112" s="90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0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</row>
    <row r="113" ht="15.75" customHeight="1">
      <c r="A113" s="11"/>
      <c r="B113" s="90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0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</row>
    <row r="114" ht="15.75" customHeight="1">
      <c r="A114" s="11"/>
      <c r="B114" s="90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0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</row>
    <row r="115" ht="15.75" customHeight="1">
      <c r="A115" s="11"/>
      <c r="B115" s="90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0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</row>
    <row r="116" ht="15.75" customHeight="1">
      <c r="A116" s="11"/>
      <c r="B116" s="90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0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</row>
    <row r="117" ht="15.75" customHeight="1">
      <c r="A117" s="11"/>
      <c r="B117" s="90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0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</row>
    <row r="118" ht="15.75" customHeight="1">
      <c r="A118" s="11"/>
      <c r="B118" s="90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0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</row>
    <row r="119" ht="15.75" customHeight="1">
      <c r="A119" s="11"/>
      <c r="B119" s="90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0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</row>
    <row r="120" ht="15.75" customHeight="1">
      <c r="A120" s="11"/>
      <c r="B120" s="90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0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</row>
    <row r="121" ht="15.75" customHeight="1">
      <c r="A121" s="11"/>
      <c r="B121" s="90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0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</row>
    <row r="122" ht="15.75" customHeight="1">
      <c r="A122" s="11"/>
      <c r="B122" s="90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0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</row>
    <row r="123" ht="15.75" customHeight="1">
      <c r="A123" s="11"/>
      <c r="B123" s="90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0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</row>
    <row r="124" ht="15.75" customHeight="1">
      <c r="A124" s="11"/>
      <c r="B124" s="90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0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</row>
    <row r="125" ht="15.75" customHeight="1">
      <c r="A125" s="11"/>
      <c r="B125" s="90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0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</row>
    <row r="126" ht="15.75" customHeight="1">
      <c r="A126" s="11"/>
      <c r="B126" s="90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0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</row>
    <row r="127" ht="15.75" customHeight="1">
      <c r="A127" s="11"/>
      <c r="B127" s="90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0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</row>
    <row r="128" ht="15.75" customHeight="1">
      <c r="A128" s="11"/>
      <c r="B128" s="90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0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</row>
    <row r="129" ht="15.75" customHeight="1">
      <c r="A129" s="11"/>
      <c r="B129" s="90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0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</row>
    <row r="130" ht="15.75" customHeight="1">
      <c r="A130" s="11"/>
      <c r="B130" s="90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0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</row>
    <row r="131" ht="15.75" customHeight="1">
      <c r="A131" s="11"/>
      <c r="B131" s="90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0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</row>
    <row r="132" ht="15.75" customHeight="1">
      <c r="A132" s="11"/>
      <c r="B132" s="90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0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</row>
    <row r="133" ht="15.75" customHeight="1">
      <c r="A133" s="11"/>
      <c r="B133" s="90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0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</row>
    <row r="134" ht="15.75" customHeight="1">
      <c r="A134" s="11"/>
      <c r="B134" s="90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0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</row>
    <row r="135" ht="15.75" customHeight="1">
      <c r="A135" s="11"/>
      <c r="B135" s="90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0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</row>
    <row r="136" ht="15.75" customHeight="1">
      <c r="A136" s="11"/>
      <c r="B136" s="90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0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</row>
    <row r="137" ht="15.75" customHeight="1">
      <c r="A137" s="11"/>
      <c r="B137" s="90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0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</row>
    <row r="138" ht="15.75" customHeight="1">
      <c r="A138" s="11"/>
      <c r="B138" s="90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0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</row>
    <row r="139" ht="15.75" customHeight="1">
      <c r="A139" s="11"/>
      <c r="B139" s="90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0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</row>
    <row r="140" ht="15.75" customHeight="1">
      <c r="A140" s="11"/>
      <c r="B140" s="90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0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</row>
    <row r="141" ht="15.75" customHeight="1">
      <c r="A141" s="11"/>
      <c r="B141" s="90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0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</row>
    <row r="142" ht="15.75" customHeight="1">
      <c r="A142" s="11"/>
      <c r="B142" s="90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0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</row>
    <row r="143" ht="15.75" customHeight="1">
      <c r="A143" s="11"/>
      <c r="B143" s="90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0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</row>
    <row r="144" ht="15.75" customHeight="1">
      <c r="A144" s="11"/>
      <c r="B144" s="90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0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</row>
    <row r="145" ht="15.75" customHeight="1">
      <c r="A145" s="11"/>
      <c r="B145" s="90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0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</row>
    <row r="146" ht="15.75" customHeight="1">
      <c r="A146" s="11"/>
      <c r="B146" s="90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0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</row>
    <row r="147" ht="15.75" customHeight="1">
      <c r="A147" s="11"/>
      <c r="B147" s="90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0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</row>
    <row r="148" ht="15.75" customHeight="1">
      <c r="A148" s="11"/>
      <c r="B148" s="90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0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</row>
    <row r="149" ht="15.75" customHeight="1">
      <c r="A149" s="11"/>
      <c r="B149" s="90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0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</row>
    <row r="150" ht="15.75" customHeight="1">
      <c r="A150" s="11"/>
      <c r="B150" s="90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0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</row>
    <row r="151" ht="15.75" customHeight="1">
      <c r="A151" s="11"/>
      <c r="B151" s="90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0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</row>
    <row r="152" ht="15.75" customHeight="1">
      <c r="A152" s="11"/>
      <c r="B152" s="90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0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</row>
    <row r="153" ht="15.75" customHeight="1">
      <c r="A153" s="11"/>
      <c r="B153" s="90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0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</row>
    <row r="154" ht="15.75" customHeight="1">
      <c r="A154" s="11"/>
      <c r="B154" s="90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0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</row>
    <row r="155" ht="15.75" customHeight="1">
      <c r="A155" s="11"/>
      <c r="B155" s="90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0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</row>
    <row r="156" ht="15.75" customHeight="1">
      <c r="A156" s="11"/>
      <c r="B156" s="90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0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</row>
    <row r="157" ht="15.75" customHeight="1">
      <c r="A157" s="11"/>
      <c r="B157" s="90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0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</row>
    <row r="158" ht="15.75" customHeight="1">
      <c r="A158" s="11"/>
      <c r="B158" s="90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0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</row>
    <row r="159" ht="15.75" customHeight="1">
      <c r="A159" s="11"/>
      <c r="B159" s="90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0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</row>
    <row r="160" ht="15.75" customHeight="1">
      <c r="A160" s="11"/>
      <c r="B160" s="90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0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</row>
    <row r="161" ht="15.75" customHeight="1">
      <c r="A161" s="11"/>
      <c r="B161" s="90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0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</row>
    <row r="162" ht="15.75" customHeight="1">
      <c r="A162" s="11"/>
      <c r="B162" s="90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0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</row>
    <row r="163" ht="15.75" customHeight="1">
      <c r="A163" s="11"/>
      <c r="B163" s="90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0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</row>
    <row r="164" ht="15.75" customHeight="1">
      <c r="A164" s="11"/>
      <c r="B164" s="90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0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</row>
    <row r="165" ht="15.75" customHeight="1">
      <c r="A165" s="11"/>
      <c r="B165" s="90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0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</row>
    <row r="166" ht="15.75" customHeight="1">
      <c r="A166" s="11"/>
      <c r="B166" s="90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0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ht="15.75" customHeight="1">
      <c r="A167" s="11"/>
      <c r="B167" s="90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0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ht="15.75" customHeight="1">
      <c r="A168" s="11"/>
      <c r="B168" s="90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0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</row>
    <row r="169" ht="15.75" customHeight="1">
      <c r="A169" s="11"/>
      <c r="B169" s="90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0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ht="15.75" customHeight="1">
      <c r="A170" s="11"/>
      <c r="B170" s="90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0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</row>
    <row r="171" ht="15.75" customHeight="1">
      <c r="A171" s="11"/>
      <c r="B171" s="90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0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</row>
    <row r="172" ht="15.75" customHeight="1">
      <c r="A172" s="11"/>
      <c r="B172" s="90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0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</row>
    <row r="173" ht="15.75" customHeight="1">
      <c r="A173" s="11"/>
      <c r="B173" s="90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0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</row>
    <row r="174" ht="15.75" customHeight="1">
      <c r="A174" s="11"/>
      <c r="B174" s="90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0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</row>
    <row r="175" ht="15.75" customHeight="1">
      <c r="A175" s="11"/>
      <c r="B175" s="90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0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</row>
    <row r="176" ht="15.75" customHeight="1">
      <c r="A176" s="11"/>
      <c r="B176" s="90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0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</row>
    <row r="177" ht="15.75" customHeight="1">
      <c r="A177" s="11"/>
      <c r="B177" s="90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0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</row>
    <row r="178" ht="15.75" customHeight="1">
      <c r="A178" s="11"/>
      <c r="B178" s="90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0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</row>
    <row r="179" ht="15.75" customHeight="1">
      <c r="A179" s="11"/>
      <c r="B179" s="90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0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</row>
    <row r="180" ht="15.75" customHeight="1">
      <c r="A180" s="11"/>
      <c r="B180" s="90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0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</row>
    <row r="181" ht="15.75" customHeight="1">
      <c r="A181" s="11"/>
      <c r="B181" s="90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0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</row>
    <row r="182" ht="15.75" customHeight="1">
      <c r="A182" s="11"/>
      <c r="B182" s="90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0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</row>
    <row r="183" ht="15.75" customHeight="1">
      <c r="A183" s="11"/>
      <c r="B183" s="90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0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</row>
    <row r="184" ht="15.75" customHeight="1">
      <c r="A184" s="11"/>
      <c r="B184" s="90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0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</row>
    <row r="185" ht="15.75" customHeight="1">
      <c r="A185" s="11"/>
      <c r="B185" s="90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0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</row>
    <row r="186" ht="15.75" customHeight="1">
      <c r="A186" s="11"/>
      <c r="B186" s="90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0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</row>
    <row r="187" ht="15.75" customHeight="1">
      <c r="A187" s="11"/>
      <c r="B187" s="90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0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</row>
    <row r="188" ht="15.75" customHeight="1">
      <c r="A188" s="11"/>
      <c r="B188" s="90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0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</row>
    <row r="189" ht="15.75" customHeight="1">
      <c r="A189" s="11"/>
      <c r="B189" s="90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0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</row>
    <row r="190" ht="15.75" customHeight="1">
      <c r="A190" s="11"/>
      <c r="B190" s="90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0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</row>
    <row r="191" ht="15.75" customHeight="1">
      <c r="A191" s="11"/>
      <c r="B191" s="90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0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</row>
    <row r="192" ht="15.75" customHeight="1">
      <c r="A192" s="11"/>
      <c r="B192" s="90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0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</row>
    <row r="193" ht="15.75" customHeight="1">
      <c r="A193" s="11"/>
      <c r="B193" s="90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0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</row>
    <row r="194" ht="15.75" customHeight="1">
      <c r="A194" s="11"/>
      <c r="B194" s="90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0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</row>
    <row r="195" ht="15.75" customHeight="1">
      <c r="A195" s="11"/>
      <c r="B195" s="90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0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</row>
    <row r="196" ht="15.75" customHeight="1">
      <c r="A196" s="11"/>
      <c r="B196" s="90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0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</row>
    <row r="197" ht="15.75" customHeight="1">
      <c r="A197" s="11"/>
      <c r="B197" s="90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0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</row>
    <row r="198" ht="15.75" customHeight="1">
      <c r="A198" s="11"/>
      <c r="B198" s="90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0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</row>
    <row r="199" ht="15.75" customHeight="1">
      <c r="A199" s="11"/>
      <c r="B199" s="90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0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</row>
    <row r="200" ht="15.75" customHeight="1">
      <c r="A200" s="11"/>
      <c r="B200" s="90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0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</row>
    <row r="201" ht="15.75" customHeight="1">
      <c r="A201" s="11"/>
      <c r="B201" s="90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0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</row>
    <row r="202" ht="15.75" customHeight="1">
      <c r="A202" s="11"/>
      <c r="B202" s="90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0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</row>
    <row r="203" ht="15.75" customHeight="1">
      <c r="A203" s="11"/>
      <c r="B203" s="90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0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</row>
    <row r="204" ht="15.75" customHeight="1">
      <c r="A204" s="11"/>
      <c r="B204" s="90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0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</row>
    <row r="205" ht="15.75" customHeight="1">
      <c r="A205" s="11"/>
      <c r="B205" s="90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0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</row>
    <row r="206" ht="15.75" customHeight="1">
      <c r="A206" s="11"/>
      <c r="B206" s="90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0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</row>
    <row r="207" ht="15.75" customHeight="1">
      <c r="A207" s="11"/>
      <c r="B207" s="90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0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</row>
    <row r="208" ht="15.75" customHeight="1">
      <c r="A208" s="11"/>
      <c r="B208" s="90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0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</row>
    <row r="209" ht="15.75" customHeight="1">
      <c r="A209" s="11"/>
      <c r="B209" s="90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0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</row>
    <row r="210" ht="15.75" customHeight="1">
      <c r="A210" s="11"/>
      <c r="B210" s="90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0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</row>
    <row r="211" ht="15.75" customHeight="1">
      <c r="A211" s="11"/>
      <c r="B211" s="90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0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</row>
    <row r="212" ht="15.75" customHeight="1">
      <c r="A212" s="11"/>
      <c r="B212" s="90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0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</row>
    <row r="213" ht="15.75" customHeight="1">
      <c r="A213" s="11"/>
      <c r="B213" s="90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0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</row>
    <row r="214" ht="15.75" customHeight="1">
      <c r="A214" s="11"/>
      <c r="B214" s="90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0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</row>
    <row r="215" ht="15.75" customHeight="1">
      <c r="A215" s="11"/>
      <c r="B215" s="90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0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</row>
    <row r="216" ht="15.75" customHeight="1">
      <c r="A216" s="11"/>
      <c r="B216" s="90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0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</row>
    <row r="217" ht="15.75" customHeight="1">
      <c r="A217" s="11"/>
      <c r="B217" s="90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0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</row>
    <row r="218" ht="15.75" customHeight="1">
      <c r="A218" s="11"/>
      <c r="B218" s="90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0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</row>
    <row r="219" ht="15.75" customHeight="1">
      <c r="A219" s="11"/>
      <c r="B219" s="90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0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</row>
    <row r="220" ht="15.75" customHeight="1">
      <c r="A220" s="11"/>
      <c r="B220" s="90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0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</row>
    <row r="221" ht="15.75" customHeight="1">
      <c r="A221" s="11"/>
      <c r="B221" s="90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0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</row>
    <row r="222" ht="15.75" customHeight="1">
      <c r="A222" s="11"/>
      <c r="B222" s="90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0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</row>
    <row r="223" ht="15.75" customHeight="1">
      <c r="A223" s="11"/>
      <c r="B223" s="90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0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</row>
    <row r="224" ht="15.75" customHeight="1">
      <c r="A224" s="11"/>
      <c r="B224" s="90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0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</row>
    <row r="225" ht="15.75" customHeight="1">
      <c r="A225" s="11"/>
      <c r="B225" s="90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0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</row>
    <row r="226" ht="15.75" customHeight="1">
      <c r="A226" s="11"/>
      <c r="B226" s="90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0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</row>
    <row r="227" ht="15.75" customHeight="1">
      <c r="A227" s="11"/>
      <c r="B227" s="90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0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</row>
    <row r="228" ht="15.75" customHeight="1">
      <c r="A228" s="11"/>
      <c r="B228" s="90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0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</row>
    <row r="229" ht="15.75" customHeight="1">
      <c r="A229" s="11"/>
      <c r="B229" s="90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0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</row>
    <row r="230" ht="15.75" customHeight="1">
      <c r="A230" s="11"/>
      <c r="B230" s="90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0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</row>
    <row r="231" ht="15.75" customHeight="1">
      <c r="A231" s="11"/>
      <c r="B231" s="90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0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</row>
    <row r="232" ht="15.75" customHeight="1">
      <c r="A232" s="11"/>
      <c r="B232" s="90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0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</row>
    <row r="233" ht="15.75" customHeight="1">
      <c r="A233" s="11"/>
      <c r="B233" s="90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0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</row>
    <row r="234" ht="15.75" customHeight="1">
      <c r="A234" s="11"/>
      <c r="B234" s="90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0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</row>
    <row r="235" ht="15.75" customHeight="1">
      <c r="A235" s="11"/>
      <c r="B235" s="90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0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ht="15.75" customHeight="1">
      <c r="A236" s="11"/>
      <c r="B236" s="90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0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</row>
    <row r="237" ht="15.75" customHeight="1">
      <c r="A237" s="11"/>
      <c r="B237" s="90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0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ht="15.75" customHeight="1">
      <c r="A238" s="11"/>
      <c r="B238" s="90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0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</row>
    <row r="239" ht="15.75" customHeight="1"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U239" s="162"/>
    </row>
    <row r="240" ht="15.75" customHeight="1"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U240" s="162"/>
    </row>
    <row r="241" ht="15.75" customHeight="1"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U241" s="162"/>
    </row>
    <row r="242" ht="15.75" customHeight="1"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U242" s="162"/>
    </row>
    <row r="243" ht="15.75" customHeight="1"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U243" s="162"/>
    </row>
    <row r="244" ht="15.75" customHeight="1"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U244" s="162"/>
    </row>
    <row r="245" ht="15.75" customHeight="1"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U245" s="162"/>
    </row>
    <row r="246" ht="15.75" customHeight="1"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U246" s="162"/>
    </row>
    <row r="247" ht="15.75" customHeight="1"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U247" s="162"/>
    </row>
    <row r="248" ht="15.75" customHeight="1"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U248" s="162"/>
    </row>
    <row r="249" ht="15.75" customHeight="1"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U249" s="162"/>
    </row>
    <row r="250" ht="15.75" customHeight="1"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U250" s="162"/>
    </row>
    <row r="251" ht="15.75" customHeight="1"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U251" s="162"/>
    </row>
    <row r="252" ht="15.75" customHeight="1"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U252" s="162"/>
    </row>
    <row r="253" ht="15.75" customHeight="1"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U253" s="162"/>
    </row>
    <row r="254" ht="15.75" customHeight="1"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U254" s="162"/>
    </row>
    <row r="255" ht="15.75" customHeight="1"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U255" s="162"/>
    </row>
    <row r="256" ht="15.75" customHeight="1"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U256" s="162"/>
    </row>
    <row r="257" ht="15.75" customHeight="1"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U257" s="162"/>
    </row>
    <row r="258" ht="15.75" customHeight="1"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U258" s="162"/>
    </row>
    <row r="259" ht="15.75" customHeight="1"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U259" s="162"/>
    </row>
    <row r="260" ht="15.75" customHeight="1"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U260" s="162"/>
    </row>
    <row r="261" ht="15.75" customHeight="1"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U261" s="162"/>
    </row>
    <row r="262" ht="15.75" customHeight="1"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U262" s="162"/>
    </row>
    <row r="263" ht="15.75" customHeight="1"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U263" s="162"/>
    </row>
    <row r="264" ht="15.75" customHeight="1"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U264" s="162"/>
    </row>
    <row r="265" ht="15.75" customHeight="1"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U265" s="162"/>
    </row>
    <row r="266" ht="15.75" customHeight="1"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U266" s="162"/>
    </row>
    <row r="267" ht="15.75" customHeight="1"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U267" s="162"/>
    </row>
    <row r="268" ht="15.75" customHeight="1"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U268" s="162"/>
    </row>
    <row r="269" ht="15.75" customHeight="1"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U269" s="162"/>
    </row>
    <row r="270" ht="15.75" customHeight="1"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U270" s="162"/>
    </row>
    <row r="271" ht="15.75" customHeight="1"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U271" s="162"/>
    </row>
    <row r="272" ht="15.75" customHeight="1"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U272" s="162"/>
    </row>
    <row r="273" ht="15.75" customHeight="1"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U273" s="162"/>
    </row>
    <row r="274" ht="15.75" customHeight="1"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U274" s="162"/>
    </row>
    <row r="275" ht="15.75" customHeight="1"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U275" s="162"/>
    </row>
    <row r="276" ht="15.75" customHeight="1"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U276" s="162"/>
    </row>
    <row r="277" ht="15.75" customHeight="1"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U277" s="162"/>
    </row>
    <row r="278" ht="15.75" customHeight="1"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U278" s="162"/>
    </row>
    <row r="279" ht="15.75" customHeight="1"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U279" s="162"/>
    </row>
    <row r="280" ht="15.75" customHeight="1"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U280" s="162"/>
    </row>
    <row r="281" ht="15.75" customHeight="1"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U281" s="162"/>
    </row>
    <row r="282" ht="15.75" customHeight="1"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U282" s="162"/>
    </row>
    <row r="283" ht="15.75" customHeight="1"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U283" s="162"/>
    </row>
    <row r="284" ht="15.75" customHeight="1"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U284" s="162"/>
    </row>
    <row r="285" ht="15.75" customHeight="1"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U285" s="162"/>
    </row>
    <row r="286" ht="15.75" customHeight="1"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U286" s="162"/>
    </row>
    <row r="287" ht="15.75" customHeight="1"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U287" s="162"/>
    </row>
    <row r="288" ht="15.75" customHeight="1"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U288" s="162"/>
    </row>
    <row r="289" ht="15.75" customHeight="1"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U289" s="162"/>
    </row>
    <row r="290" ht="15.75" customHeight="1"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U290" s="162"/>
    </row>
    <row r="291" ht="15.75" customHeight="1"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U291" s="162"/>
    </row>
    <row r="292" ht="15.75" customHeight="1"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U292" s="162"/>
    </row>
    <row r="293" ht="15.75" customHeight="1"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U293" s="162"/>
    </row>
    <row r="294" ht="15.75" customHeight="1"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U294" s="162"/>
    </row>
    <row r="295" ht="15.75" customHeight="1"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U295" s="162"/>
    </row>
    <row r="296" ht="15.75" customHeight="1"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U296" s="162"/>
    </row>
    <row r="297" ht="15.75" customHeight="1"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U297" s="162"/>
    </row>
    <row r="298" ht="15.75" customHeight="1"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U298" s="162"/>
    </row>
    <row r="299" ht="15.75" customHeight="1"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U299" s="162"/>
    </row>
    <row r="300" ht="15.75" customHeight="1"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U300" s="162"/>
    </row>
    <row r="301" ht="15.75" customHeight="1"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U301" s="162"/>
    </row>
    <row r="302" ht="15.75" customHeight="1"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U302" s="162"/>
    </row>
    <row r="303" ht="15.75" customHeight="1"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U303" s="162"/>
    </row>
    <row r="304" ht="15.75" customHeight="1"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U304" s="162"/>
    </row>
    <row r="305" ht="15.75" customHeight="1"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U305" s="162"/>
    </row>
    <row r="306" ht="15.75" customHeight="1"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U306" s="162"/>
    </row>
    <row r="307" ht="15.75" customHeight="1"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U307" s="162"/>
    </row>
    <row r="308" ht="15.75" customHeight="1"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U308" s="162"/>
    </row>
    <row r="309" ht="15.75" customHeight="1"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U309" s="162"/>
    </row>
    <row r="310" ht="15.75" customHeight="1"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U310" s="162"/>
    </row>
    <row r="311" ht="15.75" customHeight="1"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U311" s="162"/>
    </row>
    <row r="312" ht="15.75" customHeight="1"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U312" s="162"/>
    </row>
    <row r="313" ht="15.75" customHeight="1"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U313" s="162"/>
    </row>
    <row r="314" ht="15.75" customHeight="1"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U314" s="162"/>
    </row>
    <row r="315" ht="15.75" customHeight="1"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U315" s="162"/>
    </row>
    <row r="316" ht="15.75" customHeight="1"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U316" s="162"/>
    </row>
    <row r="317" ht="15.75" customHeight="1"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U317" s="162"/>
    </row>
    <row r="318" ht="15.75" customHeight="1"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U318" s="162"/>
    </row>
    <row r="319" ht="15.75" customHeight="1"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U319" s="162"/>
    </row>
    <row r="320" ht="15.75" customHeight="1"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U320" s="162"/>
    </row>
    <row r="321" ht="15.75" customHeight="1"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U321" s="162"/>
    </row>
    <row r="322" ht="15.75" customHeight="1"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U322" s="162"/>
    </row>
    <row r="323" ht="15.75" customHeight="1"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U323" s="162"/>
    </row>
    <row r="324" ht="15.75" customHeight="1"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U324" s="162"/>
    </row>
    <row r="325" ht="15.75" customHeight="1"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U325" s="162"/>
    </row>
    <row r="326" ht="15.75" customHeight="1"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U326" s="162"/>
    </row>
    <row r="327" ht="15.75" customHeight="1"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U327" s="162"/>
    </row>
    <row r="328" ht="15.75" customHeight="1"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U328" s="162"/>
    </row>
    <row r="329" ht="15.75" customHeight="1"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U329" s="162"/>
    </row>
    <row r="330" ht="15.75" customHeight="1"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U330" s="162"/>
    </row>
    <row r="331" ht="15.75" customHeight="1"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U331" s="162"/>
    </row>
    <row r="332" ht="15.75" customHeight="1"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U332" s="162"/>
    </row>
    <row r="333" ht="15.75" customHeight="1"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U333" s="162"/>
    </row>
    <row r="334" ht="15.75" customHeight="1"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U334" s="162"/>
    </row>
    <row r="335" ht="15.75" customHeight="1"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U335" s="162"/>
    </row>
    <row r="336" ht="15.75" customHeight="1"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U336" s="162"/>
    </row>
    <row r="337" ht="15.75" customHeight="1"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U337" s="162"/>
    </row>
    <row r="338" ht="15.75" customHeight="1"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U338" s="162"/>
    </row>
    <row r="339" ht="15.75" customHeight="1"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U339" s="162"/>
    </row>
    <row r="340" ht="15.75" customHeight="1"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U340" s="162"/>
    </row>
    <row r="341" ht="15.75" customHeight="1"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U341" s="162"/>
    </row>
    <row r="342" ht="15.75" customHeight="1"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U342" s="162"/>
    </row>
    <row r="343" ht="15.75" customHeight="1"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U343" s="162"/>
    </row>
    <row r="344" ht="15.75" customHeight="1"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U344" s="162"/>
    </row>
    <row r="345" ht="15.75" customHeight="1"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U345" s="162"/>
    </row>
    <row r="346" ht="15.75" customHeight="1"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U346" s="162"/>
    </row>
    <row r="347" ht="15.75" customHeight="1"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U347" s="162"/>
    </row>
    <row r="348" ht="15.75" customHeight="1"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U348" s="162"/>
    </row>
    <row r="349" ht="15.75" customHeight="1"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U349" s="162"/>
    </row>
    <row r="350" ht="15.75" customHeight="1"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U350" s="162"/>
    </row>
    <row r="351" ht="15.75" customHeight="1"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U351" s="162"/>
    </row>
    <row r="352" ht="15.75" customHeight="1"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U352" s="162"/>
    </row>
    <row r="353" ht="15.75" customHeight="1"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U353" s="162"/>
    </row>
    <row r="354" ht="15.75" customHeight="1"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U354" s="162"/>
    </row>
    <row r="355" ht="15.75" customHeight="1"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U355" s="162"/>
    </row>
    <row r="356" ht="15.75" customHeight="1"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U356" s="162"/>
    </row>
    <row r="357" ht="15.75" customHeight="1"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U357" s="162"/>
    </row>
    <row r="358" ht="15.75" customHeight="1"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U358" s="162"/>
    </row>
    <row r="359" ht="15.75" customHeight="1"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U359" s="162"/>
    </row>
    <row r="360" ht="15.75" customHeight="1"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U360" s="162"/>
    </row>
    <row r="361" ht="15.75" customHeight="1"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U361" s="162"/>
    </row>
    <row r="362" ht="15.75" customHeight="1"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U362" s="162"/>
    </row>
    <row r="363" ht="15.75" customHeight="1"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U363" s="162"/>
    </row>
    <row r="364" ht="15.75" customHeight="1"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U364" s="162"/>
    </row>
    <row r="365" ht="15.75" customHeight="1"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U365" s="162"/>
    </row>
    <row r="366" ht="15.75" customHeight="1"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U366" s="162"/>
    </row>
    <row r="367" ht="15.75" customHeight="1"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U367" s="162"/>
    </row>
    <row r="368" ht="15.75" customHeight="1"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U368" s="162"/>
    </row>
    <row r="369" ht="15.75" customHeight="1"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U369" s="162"/>
    </row>
    <row r="370" ht="15.75" customHeight="1"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U370" s="162"/>
    </row>
    <row r="371" ht="15.75" customHeight="1"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U371" s="162"/>
    </row>
    <row r="372" ht="15.75" customHeight="1"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U372" s="162"/>
    </row>
    <row r="373" ht="15.75" customHeight="1"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U373" s="162"/>
    </row>
    <row r="374" ht="15.75" customHeight="1"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U374" s="162"/>
    </row>
    <row r="375" ht="15.75" customHeight="1"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U375" s="162"/>
    </row>
    <row r="376" ht="15.75" customHeight="1"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U376" s="162"/>
    </row>
    <row r="377" ht="15.75" customHeight="1"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U377" s="162"/>
    </row>
    <row r="378" ht="15.75" customHeight="1"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U378" s="162"/>
    </row>
    <row r="379" ht="15.75" customHeight="1"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U379" s="162"/>
    </row>
    <row r="380" ht="15.75" customHeight="1"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U380" s="162"/>
    </row>
    <row r="381" ht="15.75" customHeight="1"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U381" s="162"/>
    </row>
    <row r="382" ht="15.75" customHeight="1"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U382" s="162"/>
    </row>
    <row r="383" ht="15.75" customHeight="1"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U383" s="162"/>
    </row>
    <row r="384" ht="15.75" customHeight="1"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U384" s="162"/>
    </row>
    <row r="385" ht="15.75" customHeight="1"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U385" s="162"/>
    </row>
    <row r="386" ht="15.75" customHeight="1"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U386" s="162"/>
    </row>
    <row r="387" ht="15.75" customHeight="1"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U387" s="162"/>
    </row>
    <row r="388" ht="15.75" customHeight="1"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U388" s="162"/>
    </row>
    <row r="389" ht="15.75" customHeight="1"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U389" s="162"/>
    </row>
    <row r="390" ht="15.75" customHeight="1"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U390" s="162"/>
    </row>
    <row r="391" ht="15.75" customHeight="1"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U391" s="162"/>
    </row>
    <row r="392" ht="15.75" customHeight="1"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U392" s="162"/>
    </row>
    <row r="393" ht="15.75" customHeight="1"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U393" s="162"/>
    </row>
    <row r="394" ht="15.75" customHeight="1"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U394" s="162"/>
    </row>
    <row r="395" ht="15.75" customHeight="1"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U395" s="162"/>
    </row>
    <row r="396" ht="15.75" customHeight="1"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U396" s="162"/>
    </row>
    <row r="397" ht="15.75" customHeight="1"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U397" s="162"/>
    </row>
    <row r="398" ht="15.75" customHeight="1"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U398" s="162"/>
    </row>
    <row r="399" ht="15.75" customHeight="1"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U399" s="162"/>
    </row>
    <row r="400" ht="15.75" customHeight="1"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U400" s="162"/>
    </row>
    <row r="401" ht="15.75" customHeight="1"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U401" s="162"/>
    </row>
    <row r="402" ht="15.75" customHeight="1"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U402" s="162"/>
    </row>
    <row r="403" ht="15.75" customHeight="1"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U403" s="162"/>
    </row>
    <row r="404" ht="15.75" customHeight="1"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U404" s="162"/>
    </row>
    <row r="405" ht="15.75" customHeight="1"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U405" s="162"/>
    </row>
    <row r="406" ht="15.75" customHeight="1"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U406" s="162"/>
    </row>
    <row r="407" ht="15.75" customHeight="1"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U407" s="162"/>
    </row>
    <row r="408" ht="15.75" customHeight="1"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U408" s="162"/>
    </row>
    <row r="409" ht="15.75" customHeight="1"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U409" s="162"/>
    </row>
    <row r="410" ht="15.75" customHeight="1"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U410" s="162"/>
    </row>
    <row r="411" ht="15.75" customHeight="1"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U411" s="162"/>
    </row>
    <row r="412" ht="15.75" customHeight="1"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U412" s="162"/>
    </row>
    <row r="413" ht="15.75" customHeight="1"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U413" s="162"/>
    </row>
    <row r="414" ht="15.75" customHeight="1"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U414" s="162"/>
    </row>
    <row r="415" ht="15.75" customHeight="1"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U415" s="162"/>
    </row>
    <row r="416" ht="15.75" customHeight="1"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U416" s="162"/>
    </row>
    <row r="417" ht="15.75" customHeight="1"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U417" s="162"/>
    </row>
    <row r="418" ht="15.75" customHeight="1"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U418" s="162"/>
    </row>
    <row r="419" ht="15.75" customHeight="1"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U419" s="162"/>
    </row>
    <row r="420" ht="15.75" customHeight="1"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U420" s="162"/>
    </row>
    <row r="421" ht="15.75" customHeight="1"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U421" s="162"/>
    </row>
    <row r="422" ht="15.75" customHeight="1"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U422" s="162"/>
    </row>
    <row r="423" ht="15.75" customHeight="1"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U423" s="162"/>
    </row>
    <row r="424" ht="15.75" customHeight="1"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U424" s="162"/>
    </row>
    <row r="425" ht="15.75" customHeight="1"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U425" s="162"/>
    </row>
    <row r="426" ht="15.75" customHeight="1"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U426" s="162"/>
    </row>
    <row r="427" ht="15.75" customHeight="1"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U427" s="162"/>
    </row>
    <row r="428" ht="15.75" customHeight="1"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U428" s="162"/>
    </row>
    <row r="429" ht="15.75" customHeight="1"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U429" s="162"/>
    </row>
    <row r="430" ht="15.75" customHeight="1"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U430" s="162"/>
    </row>
    <row r="431" ht="15.75" customHeight="1"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U431" s="162"/>
    </row>
    <row r="432" ht="15.75" customHeight="1"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U432" s="162"/>
    </row>
    <row r="433" ht="15.75" customHeight="1"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U433" s="162"/>
    </row>
    <row r="434" ht="15.75" customHeight="1"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U434" s="162"/>
    </row>
    <row r="435" ht="15.75" customHeight="1"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U435" s="162"/>
    </row>
    <row r="436" ht="15.75" customHeight="1"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U436" s="162"/>
    </row>
    <row r="437" ht="15.75" customHeight="1"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U437" s="162"/>
    </row>
    <row r="438" ht="15.75" customHeight="1"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U438" s="162"/>
    </row>
    <row r="439" ht="15.75" customHeight="1"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U439" s="162"/>
    </row>
    <row r="440" ht="15.75" customHeight="1"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U440" s="162"/>
    </row>
    <row r="441" ht="15.75" customHeight="1"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U441" s="162"/>
    </row>
    <row r="442" ht="15.75" customHeight="1"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U442" s="162"/>
    </row>
    <row r="443" ht="15.75" customHeight="1"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U443" s="162"/>
    </row>
    <row r="444" ht="15.75" customHeight="1"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U444" s="162"/>
    </row>
    <row r="445" ht="15.75" customHeight="1"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U445" s="162"/>
    </row>
    <row r="446" ht="15.75" customHeight="1"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U446" s="162"/>
    </row>
    <row r="447" ht="15.75" customHeight="1"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U447" s="162"/>
    </row>
    <row r="448" ht="15.75" customHeight="1"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U448" s="162"/>
    </row>
    <row r="449" ht="15.75" customHeight="1"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U449" s="162"/>
    </row>
    <row r="450" ht="15.75" customHeight="1"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U450" s="162"/>
    </row>
    <row r="451" ht="15.75" customHeight="1"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U451" s="162"/>
    </row>
    <row r="452" ht="15.75" customHeight="1"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U452" s="162"/>
    </row>
    <row r="453" ht="15.75" customHeight="1"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U453" s="162"/>
    </row>
    <row r="454" ht="15.75" customHeight="1"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U454" s="162"/>
    </row>
    <row r="455" ht="15.75" customHeight="1"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U455" s="162"/>
    </row>
    <row r="456" ht="15.75" customHeight="1"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U456" s="162"/>
    </row>
    <row r="457" ht="15.75" customHeight="1"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U457" s="162"/>
    </row>
    <row r="458" ht="15.75" customHeight="1"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U458" s="162"/>
    </row>
    <row r="459" ht="15.75" customHeight="1"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U459" s="162"/>
    </row>
    <row r="460" ht="15.75" customHeight="1"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U460" s="162"/>
    </row>
    <row r="461" ht="15.75" customHeight="1"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U461" s="162"/>
    </row>
    <row r="462" ht="15.75" customHeight="1"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U462" s="162"/>
    </row>
    <row r="463" ht="15.75" customHeight="1"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U463" s="162"/>
    </row>
    <row r="464" ht="15.75" customHeight="1"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U464" s="162"/>
    </row>
    <row r="465" ht="15.75" customHeight="1"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U465" s="162"/>
    </row>
    <row r="466" ht="15.75" customHeight="1"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U466" s="162"/>
    </row>
    <row r="467" ht="15.75" customHeight="1"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U467" s="162"/>
    </row>
    <row r="468" ht="15.75" customHeight="1"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U468" s="162"/>
    </row>
    <row r="469" ht="15.75" customHeight="1"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U469" s="162"/>
    </row>
    <row r="470" ht="15.75" customHeight="1"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U470" s="162"/>
    </row>
    <row r="471" ht="15.75" customHeight="1"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U471" s="162"/>
    </row>
    <row r="472" ht="15.75" customHeight="1"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U472" s="162"/>
    </row>
    <row r="473" ht="15.75" customHeight="1"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U473" s="162"/>
    </row>
    <row r="474" ht="15.75" customHeight="1"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U474" s="162"/>
    </row>
    <row r="475" ht="15.75" customHeight="1"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U475" s="162"/>
    </row>
    <row r="476" ht="15.75" customHeight="1"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U476" s="162"/>
    </row>
    <row r="477" ht="15.75" customHeight="1"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U477" s="162"/>
    </row>
    <row r="478" ht="15.75" customHeight="1"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U478" s="162"/>
    </row>
    <row r="479" ht="15.75" customHeight="1"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U479" s="162"/>
    </row>
    <row r="480" ht="15.75" customHeight="1"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U480" s="162"/>
    </row>
    <row r="481" ht="15.75" customHeight="1"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U481" s="162"/>
    </row>
    <row r="482" ht="15.75" customHeight="1"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U482" s="162"/>
    </row>
    <row r="483" ht="15.75" customHeight="1"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U483" s="162"/>
    </row>
    <row r="484" ht="15.75" customHeight="1"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U484" s="162"/>
    </row>
    <row r="485" ht="15.75" customHeight="1"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U485" s="162"/>
    </row>
    <row r="486" ht="15.75" customHeight="1"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U486" s="162"/>
    </row>
    <row r="487" ht="15.75" customHeight="1"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U487" s="162"/>
    </row>
    <row r="488" ht="15.75" customHeight="1"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U488" s="162"/>
    </row>
    <row r="489" ht="15.75" customHeight="1"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U489" s="162"/>
    </row>
    <row r="490" ht="15.75" customHeight="1"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U490" s="162"/>
    </row>
    <row r="491" ht="15.75" customHeight="1"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U491" s="162"/>
    </row>
    <row r="492" ht="15.75" customHeight="1"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U492" s="162"/>
    </row>
    <row r="493" ht="15.75" customHeight="1"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U493" s="162"/>
    </row>
    <row r="494" ht="15.75" customHeight="1"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U494" s="162"/>
    </row>
    <row r="495" ht="15.75" customHeight="1"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U495" s="162"/>
    </row>
    <row r="496" ht="15.75" customHeight="1"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U496" s="162"/>
    </row>
    <row r="497" ht="15.75" customHeight="1"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U497" s="162"/>
    </row>
    <row r="498" ht="15.75" customHeight="1"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U498" s="162"/>
    </row>
    <row r="499" ht="15.75" customHeight="1"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U499" s="162"/>
    </row>
    <row r="500" ht="15.75" customHeight="1"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U500" s="162"/>
    </row>
    <row r="501" ht="15.75" customHeight="1"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U501" s="162"/>
    </row>
    <row r="502" ht="15.75" customHeight="1"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U502" s="162"/>
    </row>
    <row r="503" ht="15.75" customHeight="1"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U503" s="162"/>
    </row>
    <row r="504" ht="15.75" customHeight="1"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U504" s="162"/>
    </row>
    <row r="505" ht="15.75" customHeight="1"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U505" s="162"/>
    </row>
    <row r="506" ht="15.75" customHeight="1"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U506" s="162"/>
    </row>
    <row r="507" ht="15.75" customHeight="1"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U507" s="162"/>
    </row>
    <row r="508" ht="15.75" customHeight="1"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U508" s="162"/>
    </row>
    <row r="509" ht="15.75" customHeight="1"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U509" s="162"/>
    </row>
    <row r="510" ht="15.75" customHeight="1"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U510" s="162"/>
    </row>
    <row r="511" ht="15.75" customHeight="1"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U511" s="162"/>
    </row>
    <row r="512" ht="15.75" customHeight="1"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U512" s="162"/>
    </row>
    <row r="513" ht="15.75" customHeight="1"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U513" s="162"/>
    </row>
    <row r="514" ht="15.75" customHeight="1"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U514" s="162"/>
    </row>
    <row r="515" ht="15.75" customHeight="1"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U515" s="162"/>
    </row>
    <row r="516" ht="15.75" customHeight="1"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U516" s="162"/>
    </row>
    <row r="517" ht="15.75" customHeight="1"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U517" s="162"/>
    </row>
    <row r="518" ht="15.75" customHeight="1"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U518" s="162"/>
    </row>
    <row r="519" ht="15.75" customHeight="1"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U519" s="162"/>
    </row>
    <row r="520" ht="15.75" customHeight="1"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U520" s="162"/>
    </row>
    <row r="521" ht="15.75" customHeight="1"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U521" s="162"/>
    </row>
    <row r="522" ht="15.75" customHeight="1"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U522" s="162"/>
    </row>
    <row r="523" ht="15.75" customHeight="1"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U523" s="162"/>
    </row>
    <row r="524" ht="15.75" customHeight="1"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U524" s="162"/>
    </row>
    <row r="525" ht="15.75" customHeight="1"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U525" s="162"/>
    </row>
    <row r="526" ht="15.75" customHeight="1"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U526" s="162"/>
    </row>
    <row r="527" ht="15.75" customHeight="1"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U527" s="162"/>
    </row>
    <row r="528" ht="15.75" customHeight="1"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U528" s="162"/>
    </row>
    <row r="529" ht="15.75" customHeight="1"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U529" s="162"/>
    </row>
    <row r="530" ht="15.75" customHeight="1"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U530" s="162"/>
    </row>
    <row r="531" ht="15.75" customHeight="1"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U531" s="162"/>
    </row>
    <row r="532" ht="15.75" customHeight="1"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U532" s="162"/>
    </row>
    <row r="533" ht="15.75" customHeight="1"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U533" s="162"/>
    </row>
    <row r="534" ht="15.75" customHeight="1"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U534" s="162"/>
    </row>
    <row r="535" ht="15.75" customHeight="1"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U535" s="162"/>
    </row>
    <row r="536" ht="15.75" customHeight="1"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U536" s="162"/>
    </row>
    <row r="537" ht="15.75" customHeight="1"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U537" s="162"/>
    </row>
    <row r="538" ht="15.75" customHeight="1"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U538" s="162"/>
    </row>
    <row r="539" ht="15.75" customHeight="1"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U539" s="162"/>
    </row>
    <row r="540" ht="15.75" customHeight="1"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U540" s="162"/>
    </row>
    <row r="541" ht="15.75" customHeight="1"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U541" s="162"/>
    </row>
    <row r="542" ht="15.75" customHeight="1"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U542" s="162"/>
    </row>
    <row r="543" ht="15.75" customHeight="1"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U543" s="162"/>
    </row>
    <row r="544" ht="15.75" customHeight="1"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U544" s="162"/>
    </row>
    <row r="545" ht="15.75" customHeight="1"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U545" s="162"/>
    </row>
    <row r="546" ht="15.75" customHeight="1"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U546" s="162"/>
    </row>
    <row r="547" ht="15.75" customHeight="1"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U547" s="162"/>
    </row>
    <row r="548" ht="15.75" customHeight="1"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U548" s="162"/>
    </row>
    <row r="549" ht="15.75" customHeight="1"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U549" s="162"/>
    </row>
    <row r="550" ht="15.75" customHeight="1"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U550" s="162"/>
    </row>
    <row r="551" ht="15.75" customHeight="1"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U551" s="162"/>
    </row>
    <row r="552" ht="15.75" customHeight="1"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U552" s="162"/>
    </row>
    <row r="553" ht="15.75" customHeight="1"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U553" s="162"/>
    </row>
    <row r="554" ht="15.75" customHeight="1"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U554" s="162"/>
    </row>
    <row r="555" ht="15.75" customHeight="1"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U555" s="162"/>
    </row>
    <row r="556" ht="15.75" customHeight="1"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U556" s="162"/>
    </row>
    <row r="557" ht="15.75" customHeight="1"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U557" s="162"/>
    </row>
    <row r="558" ht="15.75" customHeight="1"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U558" s="162"/>
    </row>
    <row r="559" ht="15.75" customHeight="1"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U559" s="162"/>
    </row>
    <row r="560" ht="15.75" customHeight="1"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U560" s="162"/>
    </row>
    <row r="561" ht="15.75" customHeight="1"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U561" s="162"/>
    </row>
    <row r="562" ht="15.75" customHeight="1"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U562" s="162"/>
    </row>
    <row r="563" ht="15.75" customHeight="1"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U563" s="162"/>
    </row>
    <row r="564" ht="15.75" customHeight="1"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U564" s="162"/>
    </row>
    <row r="565" ht="15.75" customHeight="1"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U565" s="162"/>
    </row>
    <row r="566" ht="15.75" customHeight="1"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U566" s="162"/>
    </row>
    <row r="567" ht="15.75" customHeight="1"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U567" s="162"/>
    </row>
    <row r="568" ht="15.75" customHeight="1"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U568" s="162"/>
    </row>
    <row r="569" ht="15.75" customHeight="1"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U569" s="162"/>
    </row>
    <row r="570" ht="15.75" customHeight="1"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U570" s="162"/>
    </row>
    <row r="571" ht="15.75" customHeight="1"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U571" s="162"/>
    </row>
    <row r="572" ht="15.75" customHeight="1"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U572" s="162"/>
    </row>
    <row r="573" ht="15.75" customHeight="1"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U573" s="162"/>
    </row>
    <row r="574" ht="15.75" customHeight="1"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U574" s="162"/>
    </row>
    <row r="575" ht="15.75" customHeight="1"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U575" s="162"/>
    </row>
    <row r="576" ht="15.75" customHeight="1"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U576" s="162"/>
    </row>
    <row r="577" ht="15.75" customHeight="1"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U577" s="162"/>
    </row>
    <row r="578" ht="15.75" customHeight="1"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U578" s="162"/>
    </row>
    <row r="579" ht="15.75" customHeight="1"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U579" s="162"/>
    </row>
    <row r="580" ht="15.75" customHeight="1"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U580" s="162"/>
    </row>
    <row r="581" ht="15.75" customHeight="1"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U581" s="162"/>
    </row>
    <row r="582" ht="15.75" customHeight="1"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U582" s="162"/>
    </row>
    <row r="583" ht="15.75" customHeight="1"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U583" s="162"/>
    </row>
    <row r="584" ht="15.75" customHeight="1"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U584" s="162"/>
    </row>
    <row r="585" ht="15.75" customHeight="1"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U585" s="162"/>
    </row>
    <row r="586" ht="15.75" customHeight="1"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U586" s="162"/>
    </row>
    <row r="587" ht="15.75" customHeight="1"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U587" s="162"/>
    </row>
    <row r="588" ht="15.75" customHeight="1"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U588" s="162"/>
    </row>
    <row r="589" ht="15.75" customHeight="1"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U589" s="162"/>
    </row>
    <row r="590" ht="15.75" customHeight="1"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U590" s="162"/>
    </row>
    <row r="591" ht="15.75" customHeight="1"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U591" s="162"/>
    </row>
    <row r="592" ht="15.75" customHeight="1"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U592" s="162"/>
    </row>
    <row r="593" ht="15.75" customHeight="1"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U593" s="162"/>
    </row>
    <row r="594" ht="15.75" customHeight="1"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U594" s="162"/>
    </row>
    <row r="595" ht="15.75" customHeight="1"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U595" s="162"/>
    </row>
    <row r="596" ht="15.75" customHeight="1"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U596" s="162"/>
    </row>
    <row r="597" ht="15.75" customHeight="1"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U597" s="162"/>
    </row>
    <row r="598" ht="15.75" customHeight="1"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U598" s="162"/>
    </row>
    <row r="599" ht="15.75" customHeight="1"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U599" s="162"/>
    </row>
    <row r="600" ht="15.75" customHeight="1"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U600" s="162"/>
    </row>
    <row r="601" ht="15.75" customHeight="1"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U601" s="162"/>
    </row>
    <row r="602" ht="15.75" customHeight="1"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U602" s="162"/>
    </row>
    <row r="603" ht="15.75" customHeight="1"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U603" s="162"/>
    </row>
    <row r="604" ht="15.75" customHeight="1"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U604" s="162"/>
    </row>
    <row r="605" ht="15.75" customHeight="1"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U605" s="162"/>
    </row>
    <row r="606" ht="15.75" customHeight="1"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U606" s="162"/>
    </row>
    <row r="607" ht="15.75" customHeight="1"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U607" s="162"/>
    </row>
    <row r="608" ht="15.75" customHeight="1"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U608" s="162"/>
    </row>
    <row r="609" ht="15.75" customHeight="1"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U609" s="162"/>
    </row>
    <row r="610" ht="15.75" customHeight="1"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U610" s="162"/>
    </row>
    <row r="611" ht="15.75" customHeight="1"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U611" s="162"/>
    </row>
    <row r="612" ht="15.75" customHeight="1"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U612" s="162"/>
    </row>
    <row r="613" ht="15.75" customHeight="1"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U613" s="162"/>
    </row>
    <row r="614" ht="15.75" customHeight="1"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U614" s="162"/>
    </row>
    <row r="615" ht="15.75" customHeight="1"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U615" s="162"/>
    </row>
    <row r="616" ht="15.75" customHeight="1"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U616" s="162"/>
    </row>
    <row r="617" ht="15.75" customHeight="1"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U617" s="162"/>
    </row>
    <row r="618" ht="15.75" customHeight="1"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U618" s="162"/>
    </row>
    <row r="619" ht="15.75" customHeight="1"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U619" s="162"/>
    </row>
    <row r="620" ht="15.75" customHeight="1"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U620" s="162"/>
    </row>
    <row r="621" ht="15.75" customHeight="1"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U621" s="162"/>
    </row>
    <row r="622" ht="15.75" customHeight="1"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U622" s="162"/>
    </row>
    <row r="623" ht="15.75" customHeight="1"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U623" s="162"/>
    </row>
    <row r="624" ht="15.75" customHeight="1"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U624" s="162"/>
    </row>
    <row r="625" ht="15.75" customHeight="1"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U625" s="162"/>
    </row>
    <row r="626" ht="15.75" customHeight="1"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U626" s="162"/>
    </row>
    <row r="627" ht="15.75" customHeight="1"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U627" s="162"/>
    </row>
    <row r="628" ht="15.75" customHeight="1"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U628" s="162"/>
    </row>
    <row r="629" ht="15.75" customHeight="1"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U629" s="162"/>
    </row>
    <row r="630" ht="15.75" customHeight="1"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U630" s="162"/>
    </row>
    <row r="631" ht="15.75" customHeight="1"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U631" s="162"/>
    </row>
    <row r="632" ht="15.75" customHeight="1"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U632" s="162"/>
    </row>
    <row r="633" ht="15.75" customHeight="1"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U633" s="162"/>
    </row>
    <row r="634" ht="15.75" customHeight="1"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U634" s="162"/>
    </row>
    <row r="635" ht="15.75" customHeight="1"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U635" s="162"/>
    </row>
    <row r="636" ht="15.75" customHeight="1"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U636" s="162"/>
    </row>
    <row r="637" ht="15.75" customHeight="1"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U637" s="162"/>
    </row>
    <row r="638" ht="15.75" customHeight="1"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U638" s="162"/>
    </row>
    <row r="639" ht="15.75" customHeight="1"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U639" s="162"/>
    </row>
    <row r="640" ht="15.75" customHeight="1"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U640" s="162"/>
    </row>
    <row r="641" ht="15.75" customHeight="1"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U641" s="162"/>
    </row>
    <row r="642" ht="15.75" customHeight="1"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U642" s="162"/>
    </row>
    <row r="643" ht="15.75" customHeight="1"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U643" s="162"/>
    </row>
    <row r="644" ht="15.75" customHeight="1"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U644" s="162"/>
    </row>
    <row r="645" ht="15.75" customHeight="1"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U645" s="162"/>
    </row>
    <row r="646" ht="15.75" customHeight="1"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U646" s="162"/>
    </row>
    <row r="647" ht="15.75" customHeight="1"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U647" s="162"/>
    </row>
    <row r="648" ht="15.75" customHeight="1"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U648" s="162"/>
    </row>
    <row r="649" ht="15.75" customHeight="1"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U649" s="162"/>
    </row>
    <row r="650" ht="15.75" customHeight="1"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U650" s="162"/>
    </row>
    <row r="651" ht="15.75" customHeight="1"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U651" s="162"/>
    </row>
    <row r="652" ht="15.75" customHeight="1"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U652" s="162"/>
    </row>
    <row r="653" ht="15.75" customHeight="1"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U653" s="162"/>
    </row>
    <row r="654" ht="15.75" customHeight="1"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U654" s="162"/>
    </row>
    <row r="655" ht="15.75" customHeight="1"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U655" s="162"/>
    </row>
    <row r="656" ht="15.75" customHeight="1"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U656" s="162"/>
    </row>
    <row r="657" ht="15.75" customHeight="1"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U657" s="162"/>
    </row>
    <row r="658" ht="15.75" customHeight="1"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U658" s="162"/>
    </row>
    <row r="659" ht="15.75" customHeight="1"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U659" s="162"/>
    </row>
    <row r="660" ht="15.75" customHeight="1"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U660" s="162"/>
    </row>
    <row r="661" ht="15.75" customHeight="1"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U661" s="162"/>
    </row>
    <row r="662" ht="15.75" customHeight="1"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U662" s="162"/>
    </row>
    <row r="663" ht="15.75" customHeight="1"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U663" s="162"/>
    </row>
    <row r="664" ht="15.75" customHeight="1"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U664" s="162"/>
    </row>
    <row r="665" ht="15.75" customHeight="1"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U665" s="162"/>
    </row>
    <row r="666" ht="15.75" customHeight="1"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U666" s="162"/>
    </row>
    <row r="667" ht="15.75" customHeight="1"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U667" s="162"/>
    </row>
    <row r="668" ht="15.75" customHeight="1"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U668" s="162"/>
    </row>
    <row r="669" ht="15.75" customHeight="1"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U669" s="162"/>
    </row>
    <row r="670" ht="15.75" customHeight="1"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U670" s="162"/>
    </row>
    <row r="671" ht="15.75" customHeight="1"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U671" s="162"/>
    </row>
    <row r="672" ht="15.75" customHeight="1"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U672" s="162"/>
    </row>
    <row r="673" ht="15.75" customHeight="1"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U673" s="162"/>
    </row>
    <row r="674" ht="15.75" customHeight="1"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U674" s="162"/>
    </row>
    <row r="675" ht="15.75" customHeight="1"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U675" s="162"/>
    </row>
    <row r="676" ht="15.75" customHeight="1"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U676" s="162"/>
    </row>
    <row r="677" ht="15.75" customHeight="1"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U677" s="162"/>
    </row>
    <row r="678" ht="15.75" customHeight="1"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U678" s="162"/>
    </row>
    <row r="679" ht="15.75" customHeight="1"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U679" s="162"/>
    </row>
    <row r="680" ht="15.75" customHeight="1"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U680" s="162"/>
    </row>
    <row r="681" ht="15.75" customHeight="1"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U681" s="162"/>
    </row>
    <row r="682" ht="15.75" customHeight="1"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U682" s="162"/>
    </row>
    <row r="683" ht="15.75" customHeight="1"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U683" s="162"/>
    </row>
    <row r="684" ht="15.75" customHeight="1"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U684" s="162"/>
    </row>
    <row r="685" ht="15.75" customHeight="1"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U685" s="162"/>
    </row>
    <row r="686" ht="15.75" customHeight="1"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U686" s="162"/>
    </row>
    <row r="687" ht="15.75" customHeight="1"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U687" s="162"/>
    </row>
    <row r="688" ht="15.75" customHeight="1"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U688" s="162"/>
    </row>
    <row r="689" ht="15.75" customHeight="1"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U689" s="162"/>
    </row>
    <row r="690" ht="15.75" customHeight="1"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U690" s="162"/>
    </row>
    <row r="691" ht="15.75" customHeight="1"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U691" s="162"/>
    </row>
    <row r="692" ht="15.75" customHeight="1"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U692" s="162"/>
    </row>
    <row r="693" ht="15.75" customHeight="1"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U693" s="162"/>
    </row>
    <row r="694" ht="15.75" customHeight="1"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U694" s="162"/>
    </row>
    <row r="695" ht="15.75" customHeight="1"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U695" s="162"/>
    </row>
    <row r="696" ht="15.75" customHeight="1"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U696" s="162"/>
    </row>
    <row r="697" ht="15.75" customHeight="1"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U697" s="162"/>
    </row>
    <row r="698" ht="15.75" customHeight="1"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U698" s="162"/>
    </row>
    <row r="699" ht="15.75" customHeight="1"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U699" s="162"/>
    </row>
    <row r="700" ht="15.75" customHeight="1"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U700" s="162"/>
    </row>
    <row r="701" ht="15.75" customHeight="1"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U701" s="162"/>
    </row>
    <row r="702" ht="15.75" customHeight="1"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U702" s="162"/>
    </row>
    <row r="703" ht="15.75" customHeight="1"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U703" s="162"/>
    </row>
    <row r="704" ht="15.75" customHeight="1"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U704" s="162"/>
    </row>
    <row r="705" ht="15.75" customHeight="1"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U705" s="162"/>
    </row>
    <row r="706" ht="15.75" customHeight="1"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U706" s="162"/>
    </row>
    <row r="707" ht="15.75" customHeight="1"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U707" s="162"/>
    </row>
    <row r="708" ht="15.75" customHeight="1"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U708" s="162"/>
    </row>
    <row r="709" ht="15.75" customHeight="1"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U709" s="162"/>
    </row>
    <row r="710" ht="15.75" customHeight="1"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U710" s="162"/>
    </row>
    <row r="711" ht="15.75" customHeight="1"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U711" s="162"/>
    </row>
    <row r="712" ht="15.75" customHeight="1"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U712" s="162"/>
    </row>
    <row r="713" ht="15.75" customHeight="1"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U713" s="162"/>
    </row>
    <row r="714" ht="15.75" customHeight="1"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U714" s="162"/>
    </row>
    <row r="715" ht="15.75" customHeight="1"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U715" s="162"/>
    </row>
    <row r="716" ht="15.75" customHeight="1"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U716" s="162"/>
    </row>
    <row r="717" ht="15.75" customHeight="1"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U717" s="162"/>
    </row>
    <row r="718" ht="15.75" customHeight="1"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U718" s="162"/>
    </row>
    <row r="719" ht="15.75" customHeight="1"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U719" s="162"/>
    </row>
    <row r="720" ht="15.75" customHeight="1"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U720" s="162"/>
    </row>
    <row r="721" ht="15.75" customHeight="1"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U721" s="162"/>
    </row>
    <row r="722" ht="15.75" customHeight="1"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U722" s="162"/>
    </row>
    <row r="723" ht="15.75" customHeight="1"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U723" s="162"/>
    </row>
    <row r="724" ht="15.75" customHeight="1"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U724" s="162"/>
    </row>
    <row r="725" ht="15.75" customHeight="1"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U725" s="162"/>
    </row>
    <row r="726" ht="15.75" customHeight="1"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U726" s="162"/>
    </row>
    <row r="727" ht="15.75" customHeight="1"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U727" s="162"/>
    </row>
    <row r="728" ht="15.75" customHeight="1"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U728" s="162"/>
    </row>
    <row r="729" ht="15.75" customHeight="1"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U729" s="162"/>
    </row>
    <row r="730" ht="15.75" customHeight="1"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U730" s="162"/>
    </row>
    <row r="731" ht="15.75" customHeight="1"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U731" s="162"/>
    </row>
    <row r="732" ht="15.75" customHeight="1"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U732" s="162"/>
    </row>
    <row r="733" ht="15.75" customHeight="1"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U733" s="162"/>
    </row>
    <row r="734" ht="15.75" customHeight="1"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U734" s="162"/>
    </row>
    <row r="735" ht="15.75" customHeight="1"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U735" s="162"/>
    </row>
    <row r="736" ht="15.75" customHeight="1"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U736" s="162"/>
    </row>
    <row r="737" ht="15.75" customHeight="1"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U737" s="162"/>
    </row>
    <row r="738" ht="15.75" customHeight="1"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U738" s="162"/>
    </row>
    <row r="739" ht="15.75" customHeight="1"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U739" s="162"/>
    </row>
    <row r="740" ht="15.75" customHeight="1"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U740" s="162"/>
    </row>
    <row r="741" ht="15.75" customHeight="1"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U741" s="162"/>
    </row>
    <row r="742" ht="15.75" customHeight="1"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U742" s="162"/>
    </row>
    <row r="743" ht="15.75" customHeight="1"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U743" s="162"/>
    </row>
    <row r="744" ht="15.75" customHeight="1"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U744" s="162"/>
    </row>
    <row r="745" ht="15.75" customHeight="1"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U745" s="162"/>
    </row>
    <row r="746" ht="15.75" customHeight="1"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U746" s="162"/>
    </row>
    <row r="747" ht="15.75" customHeight="1"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U747" s="162"/>
    </row>
    <row r="748" ht="15.75" customHeight="1"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U748" s="162"/>
    </row>
    <row r="749" ht="15.75" customHeight="1"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U749" s="162"/>
    </row>
    <row r="750" ht="15.75" customHeight="1"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U750" s="162"/>
    </row>
    <row r="751" ht="15.75" customHeight="1"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U751" s="162"/>
    </row>
    <row r="752" ht="15.75" customHeight="1"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U752" s="162"/>
    </row>
    <row r="753" ht="15.75" customHeight="1"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U753" s="162"/>
    </row>
    <row r="754" ht="15.75" customHeight="1"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U754" s="162"/>
    </row>
    <row r="755" ht="15.75" customHeight="1"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U755" s="162"/>
    </row>
    <row r="756" ht="15.75" customHeight="1"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U756" s="162"/>
    </row>
    <row r="757" ht="15.75" customHeight="1"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U757" s="162"/>
    </row>
    <row r="758" ht="15.75" customHeight="1"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U758" s="162"/>
    </row>
    <row r="759" ht="15.75" customHeight="1"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U759" s="162"/>
    </row>
    <row r="760" ht="15.75" customHeight="1"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U760" s="162"/>
    </row>
    <row r="761" ht="15.75" customHeight="1"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U761" s="162"/>
    </row>
    <row r="762" ht="15.75" customHeight="1"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U762" s="162"/>
    </row>
    <row r="763" ht="15.75" customHeight="1"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U763" s="162"/>
    </row>
    <row r="764" ht="15.75" customHeight="1"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U764" s="162"/>
    </row>
    <row r="765" ht="15.75" customHeight="1"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U765" s="162"/>
    </row>
    <row r="766" ht="15.75" customHeight="1"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U766" s="162"/>
    </row>
    <row r="767" ht="15.75" customHeight="1"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U767" s="162"/>
    </row>
    <row r="768" ht="15.75" customHeight="1"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U768" s="162"/>
    </row>
    <row r="769" ht="15.75" customHeight="1"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U769" s="162"/>
    </row>
    <row r="770" ht="15.75" customHeight="1"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U770" s="162"/>
    </row>
    <row r="771" ht="15.75" customHeight="1"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U771" s="162"/>
    </row>
    <row r="772" ht="15.75" customHeight="1"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U772" s="162"/>
    </row>
    <row r="773" ht="15.75" customHeight="1"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U773" s="162"/>
    </row>
    <row r="774" ht="15.75" customHeight="1"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U774" s="162"/>
    </row>
    <row r="775" ht="15.75" customHeight="1"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U775" s="162"/>
    </row>
    <row r="776" ht="15.75" customHeight="1"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U776" s="162"/>
    </row>
    <row r="777" ht="15.75" customHeight="1"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U777" s="162"/>
    </row>
    <row r="778" ht="15.75" customHeight="1"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U778" s="162"/>
    </row>
    <row r="779" ht="15.75" customHeight="1"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U779" s="162"/>
    </row>
    <row r="780" ht="15.75" customHeight="1"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U780" s="162"/>
    </row>
    <row r="781" ht="15.75" customHeight="1"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U781" s="162"/>
    </row>
    <row r="782" ht="15.75" customHeight="1"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U782" s="162"/>
    </row>
    <row r="783" ht="15.75" customHeight="1"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U783" s="162"/>
    </row>
    <row r="784" ht="15.75" customHeight="1"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U784" s="162"/>
    </row>
    <row r="785" ht="15.75" customHeight="1"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U785" s="162"/>
    </row>
    <row r="786" ht="15.75" customHeight="1"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U786" s="162"/>
    </row>
    <row r="787" ht="15.75" customHeight="1"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U787" s="162"/>
    </row>
    <row r="788" ht="15.75" customHeight="1"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U788" s="162"/>
    </row>
    <row r="789" ht="15.75" customHeight="1"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U789" s="162"/>
    </row>
    <row r="790" ht="15.75" customHeight="1"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U790" s="162"/>
    </row>
    <row r="791" ht="15.75" customHeight="1"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U791" s="162"/>
    </row>
    <row r="792" ht="15.75" customHeight="1"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U792" s="162"/>
    </row>
    <row r="793" ht="15.75" customHeight="1"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U793" s="162"/>
    </row>
    <row r="794" ht="15.75" customHeight="1"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U794" s="162"/>
    </row>
    <row r="795" ht="15.75" customHeight="1"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U795" s="162"/>
    </row>
    <row r="796" ht="15.75" customHeight="1"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U796" s="162"/>
    </row>
    <row r="797" ht="15.75" customHeight="1"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U797" s="162"/>
    </row>
    <row r="798" ht="15.75" customHeight="1"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U798" s="162"/>
    </row>
    <row r="799" ht="15.75" customHeight="1"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U799" s="162"/>
    </row>
    <row r="800" ht="15.75" customHeight="1"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U800" s="162"/>
    </row>
    <row r="801" ht="15.75" customHeight="1"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U801" s="162"/>
    </row>
    <row r="802" ht="15.75" customHeight="1"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U802" s="162"/>
    </row>
    <row r="803" ht="15.75" customHeight="1"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U803" s="162"/>
    </row>
    <row r="804" ht="15.75" customHeight="1"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U804" s="162"/>
    </row>
    <row r="805" ht="15.75" customHeight="1"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U805" s="162"/>
    </row>
    <row r="806" ht="15.75" customHeight="1"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U806" s="162"/>
    </row>
    <row r="807" ht="15.75" customHeight="1"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U807" s="162"/>
    </row>
    <row r="808" ht="15.75" customHeight="1"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U808" s="162"/>
    </row>
    <row r="809" ht="15.75" customHeight="1"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U809" s="162"/>
    </row>
    <row r="810" ht="15.75" customHeight="1"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U810" s="162"/>
    </row>
    <row r="811" ht="15.75" customHeight="1"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U811" s="162"/>
    </row>
    <row r="812" ht="15.75" customHeight="1"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U812" s="162"/>
    </row>
    <row r="813" ht="15.75" customHeight="1"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U813" s="162"/>
    </row>
    <row r="814" ht="15.75" customHeight="1"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U814" s="162"/>
    </row>
    <row r="815" ht="15.75" customHeight="1"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U815" s="162"/>
    </row>
    <row r="816" ht="15.75" customHeight="1"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U816" s="162"/>
    </row>
    <row r="817" ht="15.75" customHeight="1"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U817" s="162"/>
    </row>
    <row r="818" ht="15.75" customHeight="1"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U818" s="162"/>
    </row>
    <row r="819" ht="15.75" customHeight="1"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U819" s="162"/>
    </row>
    <row r="820" ht="15.75" customHeight="1"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U820" s="162"/>
    </row>
    <row r="821" ht="15.75" customHeight="1"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U821" s="162"/>
    </row>
    <row r="822" ht="15.75" customHeight="1"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U822" s="162"/>
    </row>
    <row r="823" ht="15.75" customHeight="1"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U823" s="162"/>
    </row>
    <row r="824" ht="15.75" customHeight="1"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U824" s="162"/>
    </row>
    <row r="825" ht="15.75" customHeight="1"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U825" s="162"/>
    </row>
    <row r="826" ht="15.75" customHeight="1"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U826" s="162"/>
    </row>
    <row r="827" ht="15.75" customHeight="1"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U827" s="162"/>
    </row>
    <row r="828" ht="15.75" customHeight="1"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U828" s="162"/>
    </row>
    <row r="829" ht="15.75" customHeight="1"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U829" s="162"/>
    </row>
    <row r="830" ht="15.75" customHeight="1"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U830" s="162"/>
    </row>
    <row r="831" ht="15.75" customHeight="1"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U831" s="162"/>
    </row>
    <row r="832" ht="15.75" customHeight="1"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U832" s="162"/>
    </row>
    <row r="833" ht="15.75" customHeight="1"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U833" s="162"/>
    </row>
    <row r="834" ht="15.75" customHeight="1"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U834" s="162"/>
    </row>
    <row r="835" ht="15.75" customHeight="1"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U835" s="162"/>
    </row>
    <row r="836" ht="15.75" customHeight="1"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U836" s="162"/>
    </row>
    <row r="837" ht="15.75" customHeight="1"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U837" s="162"/>
    </row>
    <row r="838" ht="15.75" customHeight="1"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U838" s="162"/>
    </row>
    <row r="839" ht="15.75" customHeight="1"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U839" s="162"/>
    </row>
    <row r="840" ht="15.75" customHeight="1"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U840" s="162"/>
    </row>
    <row r="841" ht="15.75" customHeight="1"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U841" s="162"/>
    </row>
    <row r="842" ht="15.75" customHeight="1"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U842" s="162"/>
    </row>
    <row r="843" ht="15.75" customHeight="1"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U843" s="162"/>
    </row>
    <row r="844" ht="15.75" customHeight="1"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U844" s="162"/>
    </row>
    <row r="845" ht="15.75" customHeight="1"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U845" s="162"/>
    </row>
    <row r="846" ht="15.75" customHeight="1"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U846" s="162"/>
    </row>
    <row r="847" ht="15.75" customHeight="1"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U847" s="162"/>
    </row>
    <row r="848" ht="15.75" customHeight="1"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U848" s="162"/>
    </row>
    <row r="849" ht="15.75" customHeight="1"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U849" s="162"/>
    </row>
    <row r="850" ht="15.75" customHeight="1"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U850" s="162"/>
    </row>
    <row r="851" ht="15.75" customHeight="1"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U851" s="162"/>
    </row>
    <row r="852" ht="15.75" customHeight="1"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U852" s="162"/>
    </row>
    <row r="853" ht="15.75" customHeight="1"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U853" s="162"/>
    </row>
    <row r="854" ht="15.75" customHeight="1"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U854" s="162"/>
    </row>
    <row r="855" ht="15.75" customHeight="1"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U855" s="162"/>
    </row>
    <row r="856" ht="15.75" customHeight="1"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U856" s="162"/>
    </row>
    <row r="857" ht="15.75" customHeight="1"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U857" s="162"/>
    </row>
    <row r="858" ht="15.75" customHeight="1"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U858" s="162"/>
    </row>
    <row r="859" ht="15.75" customHeight="1"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U859" s="162"/>
    </row>
    <row r="860" ht="15.75" customHeight="1"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U860" s="162"/>
    </row>
    <row r="861" ht="15.75" customHeight="1"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U861" s="162"/>
    </row>
    <row r="862" ht="15.75" customHeight="1"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U862" s="162"/>
    </row>
    <row r="863" ht="15.75" customHeight="1"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U863" s="162"/>
    </row>
    <row r="864" ht="15.75" customHeight="1"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U864" s="162"/>
    </row>
    <row r="865" ht="15.75" customHeight="1"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U865" s="162"/>
    </row>
    <row r="866" ht="15.75" customHeight="1"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U866" s="162"/>
    </row>
    <row r="867" ht="15.75" customHeight="1"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U867" s="162"/>
    </row>
    <row r="868" ht="15.75" customHeight="1"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U868" s="162"/>
    </row>
    <row r="869" ht="15.75" customHeight="1"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U869" s="162"/>
    </row>
    <row r="870" ht="15.75" customHeight="1"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U870" s="162"/>
    </row>
    <row r="871" ht="15.75" customHeight="1"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U871" s="162"/>
    </row>
    <row r="872" ht="15.75" customHeight="1"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U872" s="162"/>
    </row>
    <row r="873" ht="15.75" customHeight="1"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U873" s="162"/>
    </row>
    <row r="874" ht="15.75" customHeight="1"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U874" s="162"/>
    </row>
    <row r="875" ht="15.75" customHeight="1"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U875" s="162"/>
    </row>
    <row r="876" ht="15.75" customHeight="1"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U876" s="162"/>
    </row>
    <row r="877" ht="15.75" customHeight="1"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U877" s="162"/>
    </row>
    <row r="878" ht="15.75" customHeight="1"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U878" s="162"/>
    </row>
    <row r="879" ht="15.75" customHeight="1"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U879" s="162"/>
    </row>
    <row r="880" ht="15.75" customHeight="1"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U880" s="162"/>
    </row>
    <row r="881" ht="15.75" customHeight="1"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U881" s="162"/>
    </row>
    <row r="882" ht="15.75" customHeight="1"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U882" s="162"/>
    </row>
    <row r="883" ht="15.75" customHeight="1"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U883" s="162"/>
    </row>
    <row r="884" ht="15.75" customHeight="1"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U884" s="162"/>
    </row>
    <row r="885" ht="15.75" customHeight="1"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U885" s="162"/>
    </row>
    <row r="886" ht="15.75" customHeight="1"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U886" s="162"/>
    </row>
    <row r="887" ht="15.75" customHeight="1"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U887" s="162"/>
    </row>
    <row r="888" ht="15.75" customHeight="1"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U888" s="162"/>
    </row>
    <row r="889" ht="15.75" customHeight="1"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U889" s="162"/>
    </row>
    <row r="890" ht="15.75" customHeight="1"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U890" s="162"/>
    </row>
    <row r="891" ht="15.75" customHeight="1"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U891" s="162"/>
    </row>
    <row r="892" ht="15.75" customHeight="1"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U892" s="162"/>
    </row>
    <row r="893" ht="15.75" customHeight="1"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U893" s="162"/>
    </row>
    <row r="894" ht="15.75" customHeight="1"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U894" s="162"/>
    </row>
    <row r="895" ht="15.75" customHeight="1"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U895" s="162"/>
    </row>
    <row r="896" ht="15.75" customHeight="1"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U896" s="162"/>
    </row>
    <row r="897" ht="15.75" customHeight="1"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U897" s="162"/>
    </row>
    <row r="898" ht="15.75" customHeight="1"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U898" s="162"/>
    </row>
    <row r="899" ht="15.75" customHeight="1"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U899" s="162"/>
    </row>
    <row r="900" ht="15.75" customHeight="1"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U900" s="162"/>
    </row>
    <row r="901" ht="15.75" customHeight="1"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U901" s="162"/>
    </row>
    <row r="902" ht="15.75" customHeight="1"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U902" s="162"/>
    </row>
    <row r="903" ht="15.75" customHeight="1"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U903" s="162"/>
    </row>
    <row r="904" ht="15.75" customHeight="1"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U904" s="162"/>
    </row>
    <row r="905" ht="15.75" customHeight="1"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U905" s="162"/>
    </row>
    <row r="906" ht="15.75" customHeight="1"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U906" s="162"/>
    </row>
    <row r="907" ht="15.75" customHeight="1"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U907" s="162"/>
    </row>
    <row r="908" ht="15.75" customHeight="1"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U908" s="162"/>
    </row>
    <row r="909" ht="15.75" customHeight="1"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U909" s="162"/>
    </row>
    <row r="910" ht="15.75" customHeight="1"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U910" s="162"/>
    </row>
    <row r="911" ht="15.75" customHeight="1"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U911" s="162"/>
    </row>
    <row r="912" ht="15.75" customHeight="1"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U912" s="162"/>
    </row>
    <row r="913" ht="15.75" customHeight="1"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U913" s="162"/>
    </row>
    <row r="914" ht="15.75" customHeight="1"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U914" s="162"/>
    </row>
    <row r="915" ht="15.75" customHeight="1"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U915" s="162"/>
    </row>
    <row r="916" ht="15.75" customHeight="1"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U916" s="162"/>
    </row>
    <row r="917" ht="15.75" customHeight="1"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U917" s="162"/>
    </row>
    <row r="918" ht="15.75" customHeight="1"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U918" s="162"/>
    </row>
    <row r="919" ht="15.75" customHeight="1"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U919" s="162"/>
    </row>
    <row r="920" ht="15.75" customHeight="1"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U920" s="162"/>
    </row>
    <row r="921" ht="15.75" customHeight="1"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U921" s="162"/>
    </row>
    <row r="922" ht="15.75" customHeight="1"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U922" s="162"/>
    </row>
    <row r="923" ht="15.75" customHeight="1"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U923" s="162"/>
    </row>
    <row r="924" ht="15.75" customHeight="1"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U924" s="162"/>
    </row>
    <row r="925" ht="15.75" customHeight="1"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U925" s="162"/>
    </row>
    <row r="926" ht="15.75" customHeight="1"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U926" s="162"/>
    </row>
    <row r="927" ht="15.75" customHeight="1"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U927" s="162"/>
    </row>
    <row r="928" ht="15.75" customHeight="1"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U928" s="162"/>
    </row>
    <row r="929" ht="15.75" customHeight="1"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U929" s="162"/>
    </row>
    <row r="930" ht="15.75" customHeight="1"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U930" s="162"/>
    </row>
    <row r="931" ht="15.75" customHeight="1"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U931" s="162"/>
    </row>
    <row r="932" ht="15.75" customHeight="1"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U932" s="162"/>
    </row>
    <row r="933" ht="15.75" customHeight="1"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U933" s="162"/>
    </row>
    <row r="934" ht="15.75" customHeight="1"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U934" s="162"/>
    </row>
    <row r="935" ht="15.75" customHeight="1"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U935" s="162"/>
    </row>
    <row r="936" ht="15.75" customHeight="1"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U936" s="162"/>
    </row>
    <row r="937" ht="15.75" customHeight="1"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U937" s="162"/>
    </row>
    <row r="938" ht="15.75" customHeight="1"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U938" s="162"/>
    </row>
    <row r="939" ht="15.75" customHeight="1"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U939" s="162"/>
    </row>
    <row r="940" ht="15.75" customHeight="1"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U940" s="162"/>
    </row>
    <row r="941" ht="15.75" customHeight="1"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U941" s="162"/>
    </row>
    <row r="942" ht="15.75" customHeight="1"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U942" s="162"/>
    </row>
    <row r="943" ht="15.75" customHeight="1"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U943" s="162"/>
    </row>
    <row r="944" ht="15.75" customHeight="1"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U944" s="162"/>
    </row>
    <row r="945" ht="15.75" customHeight="1"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U945" s="162"/>
    </row>
    <row r="946" ht="15.75" customHeight="1"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U946" s="162"/>
    </row>
    <row r="947" ht="15.75" customHeight="1"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U947" s="162"/>
    </row>
    <row r="948" ht="15.75" customHeight="1"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U948" s="162"/>
    </row>
    <row r="949" ht="15.75" customHeight="1"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U949" s="162"/>
    </row>
    <row r="950" ht="15.75" customHeight="1"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U950" s="162"/>
    </row>
    <row r="951" ht="15.75" customHeight="1"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U951" s="162"/>
    </row>
    <row r="952" ht="15.75" customHeight="1"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U952" s="162"/>
    </row>
    <row r="953" ht="15.75" customHeight="1"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U953" s="162"/>
    </row>
    <row r="954" ht="15.75" customHeight="1"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U954" s="162"/>
    </row>
    <row r="955" ht="15.75" customHeight="1"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U955" s="162"/>
    </row>
    <row r="956" ht="15.75" customHeight="1"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U956" s="162"/>
    </row>
    <row r="957" ht="15.75" customHeight="1"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U957" s="162"/>
    </row>
    <row r="958" ht="15.75" customHeight="1"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U958" s="162"/>
    </row>
    <row r="959" ht="15.75" customHeight="1"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U959" s="162"/>
    </row>
    <row r="960" ht="15.75" customHeight="1"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U960" s="162"/>
    </row>
    <row r="961" ht="15.75" customHeight="1"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U961" s="162"/>
    </row>
    <row r="962" ht="15.75" customHeight="1"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U962" s="162"/>
    </row>
    <row r="963" ht="15.75" customHeight="1"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U963" s="162"/>
    </row>
    <row r="964" ht="15.75" customHeight="1"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U964" s="162"/>
    </row>
    <row r="965" ht="15.75" customHeight="1"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U965" s="162"/>
    </row>
    <row r="966" ht="15.75" customHeight="1"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U966" s="162"/>
    </row>
    <row r="967" ht="15.75" customHeight="1"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U967" s="162"/>
    </row>
    <row r="968" ht="15.75" customHeight="1"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U968" s="162"/>
    </row>
    <row r="969" ht="15.75" customHeight="1"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U969" s="162"/>
    </row>
    <row r="970" ht="15.75" customHeight="1"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U970" s="162"/>
    </row>
    <row r="971" ht="15.75" customHeight="1"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U971" s="162"/>
    </row>
    <row r="972" ht="15.75" customHeight="1"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U972" s="162"/>
    </row>
    <row r="973" ht="15.75" customHeight="1"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U973" s="162"/>
    </row>
    <row r="974" ht="15.75" customHeight="1"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U974" s="162"/>
    </row>
    <row r="975" ht="15.75" customHeight="1"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U975" s="162"/>
    </row>
    <row r="976" ht="15.75" customHeight="1"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U976" s="162"/>
    </row>
    <row r="977" ht="15.75" customHeight="1"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U977" s="162"/>
    </row>
    <row r="978" ht="15.75" customHeight="1"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U978" s="162"/>
    </row>
    <row r="979" ht="15.75" customHeight="1"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U979" s="162"/>
    </row>
    <row r="980" ht="15.75" customHeight="1"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U980" s="162"/>
    </row>
    <row r="981" ht="15.75" customHeight="1"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U981" s="162"/>
    </row>
    <row r="982" ht="15.75" customHeight="1"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U982" s="162"/>
    </row>
    <row r="983" ht="15.75" customHeight="1"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U983" s="162"/>
    </row>
    <row r="984" ht="15.75" customHeight="1"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U984" s="162"/>
    </row>
    <row r="985" ht="15.75" customHeight="1"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U985" s="162"/>
    </row>
    <row r="986" ht="15.75" customHeight="1"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U986" s="162"/>
    </row>
    <row r="987" ht="15.75" customHeight="1"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U987" s="162"/>
    </row>
    <row r="988" ht="15.75" customHeight="1"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U988" s="162"/>
    </row>
    <row r="989" ht="15.75" customHeight="1"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U989" s="162"/>
    </row>
    <row r="990" ht="15.75" customHeight="1"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U990" s="162"/>
    </row>
    <row r="991" ht="15.75" customHeight="1"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U991" s="162"/>
    </row>
    <row r="992" ht="15.75" customHeight="1"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U992" s="162"/>
    </row>
    <row r="993" ht="15.75" customHeight="1"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U993" s="162"/>
    </row>
    <row r="994" ht="15.75" customHeight="1"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U994" s="162"/>
    </row>
    <row r="995" ht="15.75" customHeight="1"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U995" s="162"/>
    </row>
    <row r="996" ht="15.75" customHeight="1"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U996" s="162"/>
    </row>
    <row r="997" ht="15.75" customHeight="1"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U997" s="162"/>
    </row>
    <row r="998" ht="15.75" customHeight="1"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U998" s="162"/>
    </row>
    <row r="999" ht="15.75" customHeight="1"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U999" s="162"/>
    </row>
    <row r="1000" ht="15.75" customHeight="1"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U1000" s="162"/>
    </row>
    <row r="1001" ht="15.75" customHeight="1"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U1001" s="162"/>
    </row>
    <row r="1002" ht="15.75" customHeight="1"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U1002" s="162"/>
    </row>
    <row r="1003" ht="15.75" customHeight="1"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U1003" s="162"/>
    </row>
    <row r="1004" ht="15.75" customHeight="1"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U1004" s="162"/>
    </row>
    <row r="1005" ht="15.75" customHeight="1"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U1005" s="162"/>
    </row>
    <row r="1006" ht="15.75" customHeight="1"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U1006" s="162"/>
    </row>
    <row r="1007" ht="15.75" customHeight="1"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U1007" s="162"/>
    </row>
    <row r="1008" ht="15.75" customHeight="1"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U1008" s="162"/>
    </row>
  </sheetData>
  <mergeCells count="3">
    <mergeCell ref="A2:T2"/>
    <mergeCell ref="A15:T15"/>
    <mergeCell ref="A32:T32"/>
  </mergeCells>
  <conditionalFormatting sqref="T1 T3:T14 T16:T31 T33:T1008">
    <cfRule type="cellIs" dxfId="0" priority="1" operator="equal">
      <formula>0</formula>
    </cfRule>
  </conditionalFormatting>
  <conditionalFormatting sqref="T1 T3:T14 T16:T31 T33:T1008">
    <cfRule type="cellIs" dxfId="0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0.5"/>
    <col customWidth="1" min="3" max="3" width="13.75"/>
    <col customWidth="1" min="4" max="4" width="12.63"/>
    <col customWidth="1" min="5" max="5" width="19.75"/>
    <col customWidth="1" min="6" max="7" width="18.75"/>
    <col customWidth="1" min="9" max="9" width="13.75"/>
    <col customWidth="1" min="10" max="10" width="13.5"/>
    <col customWidth="1" min="11" max="11" width="14.13"/>
    <col customWidth="1" min="12" max="12" width="14.25"/>
    <col customWidth="1" min="13" max="13" width="15.38"/>
  </cols>
  <sheetData>
    <row r="1" ht="15.75" hidden="1" customHeight="1">
      <c r="A1" s="164"/>
      <c r="B1" s="165"/>
      <c r="C1" s="6" t="s">
        <v>3</v>
      </c>
      <c r="D1" s="6" t="s">
        <v>10</v>
      </c>
      <c r="E1" s="6" t="s">
        <v>21</v>
      </c>
      <c r="F1" s="164" t="s">
        <v>166</v>
      </c>
      <c r="G1" s="166" t="s">
        <v>25</v>
      </c>
      <c r="H1" s="6" t="s">
        <v>27</v>
      </c>
      <c r="I1" s="6" t="s">
        <v>29</v>
      </c>
      <c r="J1" s="6" t="s">
        <v>31</v>
      </c>
      <c r="K1" s="6" t="s">
        <v>32</v>
      </c>
      <c r="L1" s="6" t="s">
        <v>34</v>
      </c>
      <c r="M1" s="6" t="s">
        <v>35</v>
      </c>
      <c r="O1" s="24" t="s">
        <v>36</v>
      </c>
      <c r="P1" s="24" t="s">
        <v>38</v>
      </c>
      <c r="Q1" s="24"/>
    </row>
    <row r="2" ht="15.75" hidden="1" customHeight="1">
      <c r="A2" s="18" t="s">
        <v>110</v>
      </c>
      <c r="B2" s="18" t="s">
        <v>45</v>
      </c>
      <c r="C2" s="18">
        <v>34.0</v>
      </c>
      <c r="D2" s="18">
        <v>1.0</v>
      </c>
      <c r="E2" s="18" t="s">
        <v>39</v>
      </c>
      <c r="F2" s="167"/>
      <c r="G2" s="168" t="s">
        <v>48</v>
      </c>
      <c r="H2" s="18">
        <v>24.1</v>
      </c>
      <c r="I2" s="18"/>
      <c r="J2" s="24"/>
      <c r="K2" s="168" t="s">
        <v>48</v>
      </c>
      <c r="L2" s="18" t="str">
        <f>IF(K2="Processed", H2, "")</f>
        <v/>
      </c>
      <c r="M2" s="18"/>
      <c r="O2" s="31">
        <f>(SUM(H:H))</f>
        <v>38060.61</v>
      </c>
      <c r="P2" s="31">
        <f>SUM(I:I)</f>
        <v>55.33</v>
      </c>
    </row>
    <row r="3" ht="15.75" hidden="1" customHeight="1">
      <c r="A3" s="18" t="s">
        <v>110</v>
      </c>
      <c r="B3" s="18" t="s">
        <v>45</v>
      </c>
      <c r="C3" s="18">
        <v>34.0</v>
      </c>
      <c r="D3" s="18">
        <v>1.0</v>
      </c>
      <c r="E3" s="18" t="s">
        <v>39</v>
      </c>
      <c r="F3" s="18"/>
      <c r="G3" s="24" t="s">
        <v>119</v>
      </c>
      <c r="H3" s="18">
        <v>23.4</v>
      </c>
      <c r="I3" s="18"/>
      <c r="J3" s="24"/>
      <c r="K3" s="168" t="s">
        <v>48</v>
      </c>
      <c r="L3" s="18"/>
      <c r="M3" s="18"/>
    </row>
    <row r="4" ht="15.75" hidden="1" customHeight="1">
      <c r="A4" s="18" t="s">
        <v>120</v>
      </c>
      <c r="B4" s="18" t="s">
        <v>45</v>
      </c>
      <c r="C4" s="18">
        <v>34.0</v>
      </c>
      <c r="D4" s="18">
        <v>1.0</v>
      </c>
      <c r="E4" s="18" t="s">
        <v>39</v>
      </c>
      <c r="F4" s="18"/>
      <c r="G4" s="24" t="s">
        <v>121</v>
      </c>
      <c r="H4" s="18">
        <v>26.6</v>
      </c>
      <c r="I4" s="18"/>
      <c r="J4" s="24"/>
      <c r="K4" s="168" t="s">
        <v>48</v>
      </c>
      <c r="L4" s="18"/>
      <c r="M4" s="18"/>
    </row>
    <row r="5" ht="15.75" hidden="1" customHeight="1">
      <c r="A5" s="18" t="s">
        <v>120</v>
      </c>
      <c r="B5" s="18" t="s">
        <v>52</v>
      </c>
      <c r="C5" s="18">
        <v>34.0</v>
      </c>
      <c r="D5" s="18">
        <v>1.0</v>
      </c>
      <c r="E5" s="18" t="s">
        <v>39</v>
      </c>
      <c r="F5" s="18"/>
      <c r="G5" s="24" t="s">
        <v>126</v>
      </c>
      <c r="H5" s="18">
        <v>25.0</v>
      </c>
      <c r="I5" s="18"/>
      <c r="J5" s="24"/>
      <c r="K5" s="168" t="s">
        <v>48</v>
      </c>
      <c r="L5" s="18"/>
      <c r="M5" s="18"/>
    </row>
    <row r="6" ht="15.75" hidden="1" customHeight="1">
      <c r="A6" s="18" t="s">
        <v>120</v>
      </c>
      <c r="B6" s="18" t="s">
        <v>51</v>
      </c>
      <c r="C6" s="18">
        <v>32.0</v>
      </c>
      <c r="D6" s="18">
        <v>1.0</v>
      </c>
      <c r="E6" s="18" t="s">
        <v>39</v>
      </c>
      <c r="F6" s="18"/>
      <c r="G6" s="24" t="s">
        <v>128</v>
      </c>
      <c r="H6" s="18">
        <v>25.0</v>
      </c>
      <c r="I6" s="18"/>
      <c r="J6" s="24"/>
      <c r="K6" s="168" t="s">
        <v>48</v>
      </c>
      <c r="L6" s="18"/>
      <c r="M6" s="18"/>
    </row>
    <row r="7" ht="15.75" hidden="1" customHeight="1">
      <c r="A7" s="18" t="s">
        <v>120</v>
      </c>
      <c r="B7" s="18" t="s">
        <v>51</v>
      </c>
      <c r="C7" s="18">
        <v>34.0</v>
      </c>
      <c r="D7" s="18">
        <v>1.0</v>
      </c>
      <c r="E7" s="18" t="s">
        <v>39</v>
      </c>
      <c r="F7" s="18"/>
      <c r="G7" s="24" t="s">
        <v>128</v>
      </c>
      <c r="H7" s="18">
        <v>25.0</v>
      </c>
      <c r="I7" s="18"/>
      <c r="J7" s="24"/>
      <c r="K7" s="168" t="s">
        <v>48</v>
      </c>
      <c r="L7" s="18"/>
      <c r="M7" s="18"/>
    </row>
    <row r="8" ht="15.75" hidden="1" customHeight="1">
      <c r="A8" s="18" t="s">
        <v>120</v>
      </c>
      <c r="B8" s="18" t="s">
        <v>51</v>
      </c>
      <c r="C8" s="18">
        <v>32.0</v>
      </c>
      <c r="D8" s="18">
        <v>1.0</v>
      </c>
      <c r="E8" s="18" t="s">
        <v>43</v>
      </c>
      <c r="F8" s="18"/>
      <c r="G8" s="24" t="s">
        <v>129</v>
      </c>
      <c r="H8" s="18">
        <v>25.0</v>
      </c>
      <c r="I8" s="18"/>
      <c r="J8" s="24"/>
      <c r="K8" s="168" t="s">
        <v>167</v>
      </c>
      <c r="L8" s="18"/>
      <c r="M8" s="18"/>
    </row>
    <row r="9" ht="15.75" hidden="1" customHeight="1">
      <c r="A9" s="18" t="s">
        <v>120</v>
      </c>
      <c r="B9" s="18" t="s">
        <v>45</v>
      </c>
      <c r="C9" s="18">
        <v>36.0</v>
      </c>
      <c r="D9" s="18">
        <v>1.0</v>
      </c>
      <c r="E9" s="18" t="s">
        <v>43</v>
      </c>
      <c r="F9" s="18"/>
      <c r="G9" s="24" t="s">
        <v>130</v>
      </c>
      <c r="H9" s="18">
        <v>29.0</v>
      </c>
      <c r="I9" s="18">
        <v>1.11</v>
      </c>
      <c r="J9" s="24"/>
      <c r="K9" s="168" t="s">
        <v>167</v>
      </c>
      <c r="L9" s="18"/>
      <c r="M9" s="18"/>
    </row>
    <row r="10" ht="15.75" hidden="1" customHeight="1">
      <c r="A10" s="18" t="s">
        <v>131</v>
      </c>
      <c r="B10" s="18" t="s">
        <v>51</v>
      </c>
      <c r="C10" s="18">
        <v>34.0</v>
      </c>
      <c r="D10" s="18">
        <v>1.0</v>
      </c>
      <c r="E10" s="18" t="s">
        <v>39</v>
      </c>
      <c r="F10" s="18"/>
      <c r="G10" s="24" t="s">
        <v>132</v>
      </c>
      <c r="H10" s="18">
        <v>25.0</v>
      </c>
      <c r="I10" s="18"/>
      <c r="J10" s="24"/>
      <c r="K10" s="168" t="s">
        <v>48</v>
      </c>
      <c r="L10" s="18"/>
      <c r="M10" s="18"/>
    </row>
    <row r="11" ht="15.75" hidden="1" customHeight="1">
      <c r="A11" s="18" t="s">
        <v>131</v>
      </c>
      <c r="B11" s="18" t="s">
        <v>45</v>
      </c>
      <c r="C11" s="18">
        <v>36.0</v>
      </c>
      <c r="D11" s="18">
        <v>1.0</v>
      </c>
      <c r="E11" s="18" t="s">
        <v>40</v>
      </c>
      <c r="F11" s="18"/>
      <c r="G11" s="24" t="s">
        <v>136</v>
      </c>
      <c r="H11" s="18">
        <v>24.0</v>
      </c>
      <c r="I11" s="18">
        <v>1.21</v>
      </c>
      <c r="J11" s="24"/>
      <c r="K11" s="24"/>
      <c r="L11" s="18"/>
      <c r="M11" s="18"/>
    </row>
    <row r="12" ht="15.75" hidden="1" customHeight="1">
      <c r="A12" s="120" t="s">
        <v>131</v>
      </c>
      <c r="B12" s="120" t="s">
        <v>45</v>
      </c>
      <c r="C12" s="120">
        <v>34.0</v>
      </c>
      <c r="D12" s="120">
        <v>1.0</v>
      </c>
      <c r="E12" s="120" t="s">
        <v>43</v>
      </c>
      <c r="F12" s="169"/>
      <c r="G12" s="170" t="s">
        <v>168</v>
      </c>
      <c r="H12" s="120">
        <v>23.0</v>
      </c>
      <c r="I12" s="120">
        <v>1.11</v>
      </c>
      <c r="J12" s="24"/>
      <c r="K12" s="171" t="s">
        <v>48</v>
      </c>
      <c r="L12" s="22"/>
      <c r="M12" s="22"/>
      <c r="N12" s="170"/>
      <c r="O12" s="170"/>
      <c r="P12" s="170"/>
      <c r="Q12" s="170"/>
      <c r="R12" s="170"/>
      <c r="S12" s="170"/>
    </row>
    <row r="13" ht="15.75" hidden="1" customHeight="1">
      <c r="A13" s="120" t="s">
        <v>131</v>
      </c>
      <c r="B13" s="120" t="s">
        <v>45</v>
      </c>
      <c r="C13" s="120">
        <v>36.0</v>
      </c>
      <c r="D13" s="120">
        <v>1.0</v>
      </c>
      <c r="E13" s="120" t="s">
        <v>43</v>
      </c>
      <c r="F13" s="169"/>
      <c r="G13" s="170" t="s">
        <v>169</v>
      </c>
      <c r="H13" s="120">
        <v>25.0</v>
      </c>
      <c r="I13" s="22"/>
      <c r="J13" s="24"/>
      <c r="K13" s="171" t="s">
        <v>167</v>
      </c>
      <c r="L13" s="22"/>
      <c r="M13" s="22"/>
      <c r="N13" s="170"/>
      <c r="O13" s="170"/>
      <c r="P13" s="170"/>
      <c r="Q13" s="170"/>
      <c r="R13" s="170"/>
      <c r="S13" s="170"/>
    </row>
    <row r="14" ht="15.75" hidden="1" customHeight="1">
      <c r="A14" s="120" t="s">
        <v>131</v>
      </c>
      <c r="B14" s="120" t="s">
        <v>51</v>
      </c>
      <c r="C14" s="120">
        <v>34.0</v>
      </c>
      <c r="D14" s="120">
        <v>1.0</v>
      </c>
      <c r="E14" s="120" t="s">
        <v>39</v>
      </c>
      <c r="F14" s="169"/>
      <c r="G14" s="170" t="s">
        <v>170</v>
      </c>
      <c r="H14" s="120">
        <v>23.0</v>
      </c>
      <c r="I14" s="22"/>
      <c r="J14" s="24"/>
      <c r="K14" s="171" t="s">
        <v>48</v>
      </c>
      <c r="L14" s="22"/>
      <c r="M14" s="22"/>
      <c r="N14" s="170"/>
      <c r="O14" s="170"/>
      <c r="P14" s="170"/>
      <c r="Q14" s="170"/>
      <c r="R14" s="170"/>
      <c r="S14" s="170"/>
    </row>
    <row r="15" ht="15.75" hidden="1" customHeight="1">
      <c r="A15" s="169" t="s">
        <v>131</v>
      </c>
      <c r="B15" s="169" t="s">
        <v>46</v>
      </c>
      <c r="C15" s="169">
        <v>34.0</v>
      </c>
      <c r="D15" s="120">
        <v>1.0</v>
      </c>
      <c r="E15" s="169" t="s">
        <v>39</v>
      </c>
      <c r="F15" s="169"/>
      <c r="G15" s="170" t="s">
        <v>171</v>
      </c>
      <c r="H15" s="169">
        <v>44.0</v>
      </c>
      <c r="I15" s="170"/>
      <c r="J15" s="24"/>
      <c r="K15" s="171" t="s">
        <v>48</v>
      </c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</row>
    <row r="16" ht="15.75" hidden="1" customHeight="1">
      <c r="A16" s="169" t="s">
        <v>131</v>
      </c>
      <c r="B16" s="169" t="s">
        <v>46</v>
      </c>
      <c r="C16" s="169">
        <v>34.0</v>
      </c>
      <c r="D16" s="120">
        <v>1.0</v>
      </c>
      <c r="E16" s="169" t="s">
        <v>39</v>
      </c>
      <c r="F16" s="169"/>
      <c r="G16" s="170" t="s">
        <v>172</v>
      </c>
      <c r="H16" s="169">
        <v>45.5</v>
      </c>
      <c r="I16" s="170"/>
      <c r="J16" s="24"/>
      <c r="K16" s="171" t="s">
        <v>48</v>
      </c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</row>
    <row r="17" ht="15.75" hidden="1" customHeight="1">
      <c r="A17" s="169" t="s">
        <v>173</v>
      </c>
      <c r="B17" s="169" t="s">
        <v>51</v>
      </c>
      <c r="C17" s="169">
        <v>36.0</v>
      </c>
      <c r="D17" s="120">
        <v>1.0</v>
      </c>
      <c r="E17" s="169" t="s">
        <v>40</v>
      </c>
      <c r="F17" s="169"/>
      <c r="G17" s="170" t="s">
        <v>174</v>
      </c>
      <c r="H17" s="169">
        <v>27.0</v>
      </c>
      <c r="I17" s="170"/>
      <c r="J17" s="24"/>
      <c r="K17" s="171" t="s">
        <v>48</v>
      </c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</row>
    <row r="18" ht="15.75" hidden="1" customHeight="1">
      <c r="A18" s="172" t="s">
        <v>173</v>
      </c>
      <c r="B18" s="172" t="s">
        <v>45</v>
      </c>
      <c r="C18" s="172">
        <v>32.0</v>
      </c>
      <c r="D18" s="18">
        <v>1.0</v>
      </c>
      <c r="E18" s="172" t="s">
        <v>40</v>
      </c>
      <c r="F18" s="172"/>
      <c r="G18" s="173" t="s">
        <v>175</v>
      </c>
      <c r="H18" s="172">
        <v>27.0</v>
      </c>
      <c r="J18" s="24"/>
    </row>
    <row r="19" ht="15.75" hidden="1" customHeight="1">
      <c r="A19" s="172" t="s">
        <v>173</v>
      </c>
      <c r="B19" s="172" t="s">
        <v>45</v>
      </c>
      <c r="C19" s="172">
        <v>34.0</v>
      </c>
      <c r="D19" s="18">
        <v>1.0</v>
      </c>
      <c r="E19" s="172" t="s">
        <v>39</v>
      </c>
      <c r="F19" s="172"/>
      <c r="G19" s="173" t="s">
        <v>176</v>
      </c>
      <c r="H19" s="172">
        <v>28.0</v>
      </c>
      <c r="J19" s="24"/>
      <c r="K19" s="173" t="s">
        <v>48</v>
      </c>
    </row>
    <row r="20" ht="15.75" hidden="1" customHeight="1">
      <c r="A20" s="172" t="s">
        <v>173</v>
      </c>
      <c r="B20" s="172" t="s">
        <v>45</v>
      </c>
      <c r="C20" s="172">
        <v>34.0</v>
      </c>
      <c r="D20" s="18">
        <v>1.0</v>
      </c>
      <c r="E20" s="172" t="s">
        <v>40</v>
      </c>
      <c r="F20" s="172"/>
      <c r="G20" s="173" t="s">
        <v>177</v>
      </c>
      <c r="H20" s="172">
        <v>22.0</v>
      </c>
      <c r="J20" s="24"/>
    </row>
    <row r="21" ht="15.75" hidden="1" customHeight="1">
      <c r="A21" s="172" t="s">
        <v>173</v>
      </c>
      <c r="B21" s="172" t="s">
        <v>45</v>
      </c>
      <c r="C21" s="172">
        <v>34.0</v>
      </c>
      <c r="D21" s="18">
        <v>1.0</v>
      </c>
      <c r="E21" s="120" t="s">
        <v>43</v>
      </c>
      <c r="F21" s="172"/>
      <c r="G21" s="173" t="s">
        <v>178</v>
      </c>
      <c r="H21" s="172">
        <v>25.0</v>
      </c>
      <c r="J21" s="24"/>
      <c r="K21" s="171" t="s">
        <v>48</v>
      </c>
    </row>
    <row r="22" ht="15.75" hidden="1" customHeight="1">
      <c r="A22" s="172" t="s">
        <v>173</v>
      </c>
      <c r="B22" s="172" t="s">
        <v>45</v>
      </c>
      <c r="C22" s="172">
        <v>36.0</v>
      </c>
      <c r="D22" s="18">
        <v>1.0</v>
      </c>
      <c r="E22" s="120" t="s">
        <v>43</v>
      </c>
      <c r="F22" s="172"/>
      <c r="G22" s="173" t="s">
        <v>179</v>
      </c>
      <c r="H22" s="172">
        <v>29.0</v>
      </c>
      <c r="J22" s="24"/>
      <c r="K22" s="171" t="s">
        <v>167</v>
      </c>
    </row>
    <row r="23" ht="15.75" hidden="1" customHeight="1">
      <c r="A23" s="172" t="s">
        <v>173</v>
      </c>
      <c r="B23" s="172" t="s">
        <v>45</v>
      </c>
      <c r="C23" s="172">
        <v>34.0</v>
      </c>
      <c r="D23" s="18">
        <v>1.0</v>
      </c>
      <c r="E23" s="172" t="s">
        <v>40</v>
      </c>
      <c r="F23" s="174"/>
      <c r="G23" s="175" t="s">
        <v>180</v>
      </c>
      <c r="H23" s="172">
        <v>26.0</v>
      </c>
      <c r="J23" s="24"/>
    </row>
    <row r="24" ht="15.75" hidden="1" customHeight="1">
      <c r="A24" s="172" t="s">
        <v>173</v>
      </c>
      <c r="B24" s="172" t="s">
        <v>45</v>
      </c>
      <c r="C24" s="172">
        <v>34.0</v>
      </c>
      <c r="D24" s="18">
        <v>1.0</v>
      </c>
      <c r="E24" s="172" t="s">
        <v>40</v>
      </c>
      <c r="F24" s="172"/>
      <c r="G24" s="173" t="s">
        <v>181</v>
      </c>
      <c r="H24" s="172">
        <v>26.0</v>
      </c>
      <c r="J24" s="24"/>
    </row>
    <row r="25" ht="15.75" hidden="1" customHeight="1">
      <c r="A25" s="172" t="s">
        <v>173</v>
      </c>
      <c r="B25" s="172" t="s">
        <v>51</v>
      </c>
      <c r="C25" s="172">
        <v>34.0</v>
      </c>
      <c r="D25" s="18">
        <v>1.0</v>
      </c>
      <c r="E25" s="172" t="s">
        <v>39</v>
      </c>
      <c r="F25" s="172"/>
      <c r="G25" s="173" t="s">
        <v>182</v>
      </c>
      <c r="H25" s="172">
        <v>25.0</v>
      </c>
      <c r="J25" s="24"/>
      <c r="K25" s="173" t="s">
        <v>48</v>
      </c>
    </row>
    <row r="26" ht="15.75" hidden="1" customHeight="1">
      <c r="A26" s="172" t="s">
        <v>173</v>
      </c>
      <c r="B26" s="172" t="s">
        <v>51</v>
      </c>
      <c r="C26" s="172">
        <v>34.0</v>
      </c>
      <c r="D26" s="18">
        <v>1.0</v>
      </c>
      <c r="E26" s="172" t="s">
        <v>39</v>
      </c>
      <c r="F26" s="172"/>
      <c r="G26" s="173" t="s">
        <v>183</v>
      </c>
      <c r="H26" s="172">
        <v>25.0</v>
      </c>
      <c r="J26" s="24"/>
      <c r="K26" s="173" t="s">
        <v>48</v>
      </c>
    </row>
    <row r="27" ht="15.75" hidden="1" customHeight="1">
      <c r="A27" s="172" t="s">
        <v>173</v>
      </c>
      <c r="B27" s="172" t="s">
        <v>51</v>
      </c>
      <c r="C27" s="172">
        <v>34.0</v>
      </c>
      <c r="D27" s="18">
        <v>1.0</v>
      </c>
      <c r="E27" s="172" t="s">
        <v>39</v>
      </c>
      <c r="F27" s="172"/>
      <c r="G27" s="173" t="s">
        <v>184</v>
      </c>
      <c r="H27" s="172">
        <v>25.0</v>
      </c>
      <c r="J27" s="24"/>
      <c r="K27" s="173" t="s">
        <v>48</v>
      </c>
    </row>
    <row r="28" ht="15.75" hidden="1" customHeight="1">
      <c r="A28" s="172" t="s">
        <v>173</v>
      </c>
      <c r="B28" s="172" t="s">
        <v>51</v>
      </c>
      <c r="C28" s="172">
        <v>36.0</v>
      </c>
      <c r="D28" s="18">
        <v>1.0</v>
      </c>
      <c r="E28" s="172" t="s">
        <v>39</v>
      </c>
      <c r="F28" s="172"/>
      <c r="G28" s="173" t="s">
        <v>185</v>
      </c>
      <c r="H28" s="172">
        <v>29.0</v>
      </c>
      <c r="J28" s="24"/>
      <c r="K28" s="173" t="s">
        <v>48</v>
      </c>
    </row>
    <row r="29" ht="15.75" hidden="1" customHeight="1">
      <c r="A29" s="172" t="s">
        <v>173</v>
      </c>
      <c r="B29" s="172" t="s">
        <v>45</v>
      </c>
      <c r="C29" s="172">
        <v>34.0</v>
      </c>
      <c r="D29" s="18">
        <v>1.0</v>
      </c>
      <c r="E29" s="172" t="s">
        <v>40</v>
      </c>
      <c r="F29" s="172"/>
      <c r="G29" s="173" t="s">
        <v>186</v>
      </c>
      <c r="H29" s="172">
        <v>25.0</v>
      </c>
      <c r="J29" s="24"/>
    </row>
    <row r="30" ht="15.75" hidden="1" customHeight="1">
      <c r="A30" s="172" t="s">
        <v>173</v>
      </c>
      <c r="B30" s="172" t="s">
        <v>51</v>
      </c>
      <c r="C30" s="172">
        <v>34.0</v>
      </c>
      <c r="D30" s="18">
        <v>1.0</v>
      </c>
      <c r="E30" s="172" t="s">
        <v>39</v>
      </c>
      <c r="F30" s="172"/>
      <c r="G30" s="173" t="s">
        <v>187</v>
      </c>
      <c r="H30" s="172">
        <v>28.0</v>
      </c>
      <c r="J30" s="24"/>
      <c r="K30" s="173" t="s">
        <v>48</v>
      </c>
    </row>
    <row r="31" ht="15.75" hidden="1" customHeight="1">
      <c r="A31" s="172" t="s">
        <v>188</v>
      </c>
      <c r="B31" s="172" t="s">
        <v>45</v>
      </c>
      <c r="C31" s="172">
        <v>32.0</v>
      </c>
      <c r="D31" s="18">
        <v>1.0</v>
      </c>
      <c r="E31" s="120" t="s">
        <v>43</v>
      </c>
      <c r="F31" s="172"/>
      <c r="G31" s="173" t="s">
        <v>189</v>
      </c>
      <c r="H31" s="172">
        <v>29.0</v>
      </c>
      <c r="J31" s="24"/>
      <c r="K31" s="171" t="s">
        <v>167</v>
      </c>
    </row>
    <row r="32" ht="15.75" hidden="1" customHeight="1">
      <c r="A32" s="172" t="s">
        <v>188</v>
      </c>
      <c r="B32" s="172" t="s">
        <v>45</v>
      </c>
      <c r="C32" s="172">
        <v>34.0</v>
      </c>
      <c r="D32" s="18">
        <v>1.0</v>
      </c>
      <c r="E32" s="172" t="s">
        <v>40</v>
      </c>
      <c r="F32" s="172"/>
      <c r="G32" s="173" t="s">
        <v>190</v>
      </c>
      <c r="H32" s="172">
        <v>22.0</v>
      </c>
      <c r="J32" s="24"/>
    </row>
    <row r="33" ht="15.75" hidden="1" customHeight="1">
      <c r="A33" s="172" t="s">
        <v>188</v>
      </c>
      <c r="B33" s="172" t="s">
        <v>51</v>
      </c>
      <c r="C33" s="172">
        <v>36.0</v>
      </c>
      <c r="D33" s="18">
        <v>1.0</v>
      </c>
      <c r="E33" s="172" t="s">
        <v>40</v>
      </c>
      <c r="F33" s="172"/>
      <c r="G33" s="173" t="s">
        <v>191</v>
      </c>
      <c r="H33" s="172">
        <v>23.4</v>
      </c>
      <c r="J33" s="24"/>
    </row>
    <row r="34" ht="15.75" hidden="1" customHeight="1">
      <c r="A34" s="172" t="s">
        <v>188</v>
      </c>
      <c r="B34" s="172" t="s">
        <v>51</v>
      </c>
      <c r="C34" s="172">
        <v>32.0</v>
      </c>
      <c r="D34" s="18">
        <v>1.0</v>
      </c>
      <c r="E34" s="172" t="s">
        <v>43</v>
      </c>
      <c r="F34" s="172"/>
      <c r="G34" s="173" t="s">
        <v>192</v>
      </c>
      <c r="H34" s="172">
        <v>22.75</v>
      </c>
      <c r="J34" s="24"/>
    </row>
    <row r="35" ht="15.75" hidden="1" customHeight="1">
      <c r="A35" s="176" t="s">
        <v>188</v>
      </c>
      <c r="B35" s="176" t="s">
        <v>52</v>
      </c>
      <c r="C35" s="176">
        <v>32.0</v>
      </c>
      <c r="D35" s="177">
        <v>1.0</v>
      </c>
      <c r="E35" s="176" t="s">
        <v>43</v>
      </c>
      <c r="F35" s="176"/>
      <c r="G35" s="178" t="s">
        <v>193</v>
      </c>
      <c r="H35" s="176">
        <v>25.0</v>
      </c>
      <c r="J35" s="24"/>
    </row>
    <row r="36" ht="15.75" hidden="1" customHeight="1">
      <c r="A36" s="172" t="s">
        <v>188</v>
      </c>
      <c r="B36" s="172" t="s">
        <v>52</v>
      </c>
      <c r="C36" s="172">
        <v>36.0</v>
      </c>
      <c r="D36" s="18">
        <v>1.0</v>
      </c>
      <c r="E36" s="172" t="s">
        <v>43</v>
      </c>
      <c r="F36" s="172"/>
      <c r="G36" s="173" t="s">
        <v>194</v>
      </c>
      <c r="H36" s="172">
        <v>55.1</v>
      </c>
      <c r="J36" s="24"/>
      <c r="K36" s="173" t="s">
        <v>48</v>
      </c>
    </row>
    <row r="37" ht="15.75" hidden="1" customHeight="1">
      <c r="A37" s="172" t="s">
        <v>188</v>
      </c>
      <c r="B37" s="172" t="s">
        <v>51</v>
      </c>
      <c r="C37" s="172">
        <v>36.0</v>
      </c>
      <c r="D37" s="18">
        <v>1.0</v>
      </c>
      <c r="E37" s="172" t="s">
        <v>43</v>
      </c>
      <c r="F37" s="172"/>
      <c r="G37" s="173" t="s">
        <v>194</v>
      </c>
      <c r="H37" s="172">
        <v>55.1</v>
      </c>
      <c r="J37" s="24"/>
      <c r="K37" s="173" t="s">
        <v>48</v>
      </c>
    </row>
    <row r="38" ht="15.75" hidden="1" customHeight="1">
      <c r="A38" s="172" t="s">
        <v>188</v>
      </c>
      <c r="B38" s="172" t="s">
        <v>51</v>
      </c>
      <c r="C38" s="172">
        <v>34.0</v>
      </c>
      <c r="D38" s="18">
        <v>1.0</v>
      </c>
      <c r="E38" s="172" t="s">
        <v>43</v>
      </c>
      <c r="F38" s="172"/>
      <c r="G38" s="173" t="s">
        <v>195</v>
      </c>
      <c r="H38" s="172">
        <v>21.0</v>
      </c>
      <c r="J38" s="24"/>
      <c r="K38" s="173" t="s">
        <v>48</v>
      </c>
    </row>
    <row r="39" ht="15.75" hidden="1" customHeight="1">
      <c r="A39" s="172" t="s">
        <v>188</v>
      </c>
      <c r="B39" s="172" t="s">
        <v>51</v>
      </c>
      <c r="C39" s="172">
        <v>32.0</v>
      </c>
      <c r="D39" s="18">
        <v>1.0</v>
      </c>
      <c r="E39" s="172" t="s">
        <v>39</v>
      </c>
      <c r="F39" s="172"/>
      <c r="G39" s="173" t="s">
        <v>196</v>
      </c>
      <c r="H39" s="172">
        <v>23.0</v>
      </c>
      <c r="J39" s="24"/>
      <c r="K39" s="173" t="s">
        <v>48</v>
      </c>
    </row>
    <row r="40" ht="15.75" hidden="1" customHeight="1">
      <c r="A40" s="172" t="s">
        <v>188</v>
      </c>
      <c r="B40" s="172" t="s">
        <v>52</v>
      </c>
      <c r="C40" s="172">
        <v>34.0</v>
      </c>
      <c r="D40" s="18">
        <v>1.0</v>
      </c>
      <c r="E40" s="172" t="s">
        <v>39</v>
      </c>
      <c r="F40" s="172"/>
      <c r="G40" s="173" t="s">
        <v>197</v>
      </c>
      <c r="H40" s="172">
        <v>28.0</v>
      </c>
      <c r="J40" s="24"/>
      <c r="K40" s="173" t="s">
        <v>48</v>
      </c>
    </row>
    <row r="41" ht="15.75" hidden="1" customHeight="1">
      <c r="A41" s="172" t="s">
        <v>188</v>
      </c>
      <c r="B41" s="172" t="s">
        <v>52</v>
      </c>
      <c r="C41" s="172">
        <v>34.0</v>
      </c>
      <c r="D41" s="18">
        <v>1.0</v>
      </c>
      <c r="E41" s="172" t="s">
        <v>39</v>
      </c>
      <c r="F41" s="172"/>
      <c r="G41" s="173" t="s">
        <v>198</v>
      </c>
      <c r="H41" s="172">
        <v>25.0</v>
      </c>
      <c r="J41" s="24"/>
      <c r="K41" s="173" t="s">
        <v>48</v>
      </c>
    </row>
    <row r="42" ht="15.75" hidden="1" customHeight="1">
      <c r="A42" s="172" t="s">
        <v>188</v>
      </c>
      <c r="B42" s="172" t="s">
        <v>45</v>
      </c>
      <c r="C42" s="172">
        <v>32.0</v>
      </c>
      <c r="D42" s="18">
        <v>1.0</v>
      </c>
      <c r="E42" s="172" t="s">
        <v>43</v>
      </c>
      <c r="F42" s="172"/>
      <c r="G42" s="173" t="s">
        <v>199</v>
      </c>
      <c r="H42" s="172">
        <v>22.0</v>
      </c>
      <c r="J42" s="24"/>
    </row>
    <row r="43" ht="15.75" hidden="1" customHeight="1">
      <c r="A43" s="172" t="s">
        <v>188</v>
      </c>
      <c r="B43" s="172" t="s">
        <v>51</v>
      </c>
      <c r="C43" s="172">
        <v>34.0</v>
      </c>
      <c r="D43" s="18">
        <v>1.0</v>
      </c>
      <c r="E43" s="172" t="s">
        <v>39</v>
      </c>
      <c r="F43" s="172"/>
      <c r="G43" s="173" t="s">
        <v>200</v>
      </c>
      <c r="H43" s="172">
        <v>25.0</v>
      </c>
      <c r="J43" s="24"/>
      <c r="K43" s="173" t="s">
        <v>48</v>
      </c>
    </row>
    <row r="44" ht="15.75" hidden="1" customHeight="1">
      <c r="A44" s="172" t="s">
        <v>201</v>
      </c>
      <c r="B44" s="172" t="s">
        <v>45</v>
      </c>
      <c r="C44" s="172">
        <v>32.0</v>
      </c>
      <c r="D44" s="18">
        <v>1.0</v>
      </c>
      <c r="E44" s="172" t="s">
        <v>43</v>
      </c>
      <c r="F44" s="172"/>
      <c r="G44" s="173" t="s">
        <v>202</v>
      </c>
      <c r="H44" s="172">
        <v>26.95</v>
      </c>
      <c r="J44" s="24"/>
    </row>
    <row r="45" ht="15.75" hidden="1" customHeight="1">
      <c r="A45" s="172" t="s">
        <v>201</v>
      </c>
      <c r="B45" s="172" t="s">
        <v>51</v>
      </c>
      <c r="C45" s="172">
        <v>32.0</v>
      </c>
      <c r="D45" s="18">
        <v>1.0</v>
      </c>
      <c r="E45" s="172" t="s">
        <v>39</v>
      </c>
      <c r="F45" s="172"/>
      <c r="G45" s="173" t="s">
        <v>203</v>
      </c>
      <c r="H45" s="172">
        <v>25.0</v>
      </c>
      <c r="J45" s="24"/>
      <c r="K45" s="173" t="s">
        <v>48</v>
      </c>
    </row>
    <row r="46" ht="15.75" hidden="1" customHeight="1">
      <c r="A46" s="172" t="s">
        <v>204</v>
      </c>
      <c r="B46" s="172" t="s">
        <v>45</v>
      </c>
      <c r="C46" s="172">
        <v>32.0</v>
      </c>
      <c r="D46" s="18">
        <v>1.0</v>
      </c>
      <c r="E46" s="172" t="s">
        <v>43</v>
      </c>
      <c r="F46" s="172"/>
      <c r="G46" s="173" t="s">
        <v>205</v>
      </c>
      <c r="H46" s="172">
        <v>22.0</v>
      </c>
      <c r="J46" s="24"/>
    </row>
    <row r="47" ht="15.75" hidden="1" customHeight="1">
      <c r="A47" s="172" t="s">
        <v>204</v>
      </c>
      <c r="B47" s="172" t="s">
        <v>45</v>
      </c>
      <c r="C47" s="172">
        <v>32.0</v>
      </c>
      <c r="D47" s="18">
        <v>1.0</v>
      </c>
      <c r="E47" s="172" t="s">
        <v>42</v>
      </c>
      <c r="F47" s="172"/>
      <c r="G47" s="173" t="s">
        <v>206</v>
      </c>
      <c r="H47" s="172">
        <v>21.0</v>
      </c>
      <c r="J47" s="24"/>
      <c r="K47" s="173" t="s">
        <v>207</v>
      </c>
    </row>
    <row r="48" ht="15.75" hidden="1" customHeight="1">
      <c r="A48" s="172" t="s">
        <v>188</v>
      </c>
      <c r="B48" s="172" t="s">
        <v>51</v>
      </c>
      <c r="C48" s="172">
        <v>34.0</v>
      </c>
      <c r="D48" s="18">
        <v>1.0</v>
      </c>
      <c r="E48" s="172" t="s">
        <v>39</v>
      </c>
      <c r="F48" s="172"/>
      <c r="G48" s="173" t="s">
        <v>208</v>
      </c>
      <c r="H48" s="172">
        <v>28.0</v>
      </c>
      <c r="J48" s="24"/>
      <c r="K48" s="173" t="s">
        <v>207</v>
      </c>
    </row>
    <row r="49" ht="15.75" hidden="1" customHeight="1">
      <c r="A49" s="172" t="s">
        <v>204</v>
      </c>
      <c r="B49" s="172" t="s">
        <v>45</v>
      </c>
      <c r="C49" s="172">
        <v>34.0</v>
      </c>
      <c r="D49" s="18">
        <v>1.0</v>
      </c>
      <c r="E49" s="172" t="s">
        <v>40</v>
      </c>
      <c r="F49" s="172"/>
      <c r="G49" s="173" t="s">
        <v>209</v>
      </c>
      <c r="H49" s="172">
        <v>26.0</v>
      </c>
      <c r="J49" s="24"/>
    </row>
    <row r="50" ht="15.75" hidden="1" customHeight="1">
      <c r="A50" s="172" t="s">
        <v>204</v>
      </c>
      <c r="B50" s="172" t="s">
        <v>52</v>
      </c>
      <c r="C50" s="172">
        <v>36.0</v>
      </c>
      <c r="D50" s="18">
        <v>1.0</v>
      </c>
      <c r="E50" s="172" t="s">
        <v>42</v>
      </c>
      <c r="F50" s="172"/>
      <c r="G50" s="173" t="s">
        <v>210</v>
      </c>
      <c r="H50" s="172">
        <v>21.0</v>
      </c>
      <c r="J50" s="24"/>
      <c r="K50" s="173" t="s">
        <v>207</v>
      </c>
    </row>
    <row r="51" ht="15.75" hidden="1" customHeight="1">
      <c r="A51" s="172" t="s">
        <v>204</v>
      </c>
      <c r="B51" s="172" t="s">
        <v>51</v>
      </c>
      <c r="C51" s="172">
        <v>36.0</v>
      </c>
      <c r="D51" s="18">
        <v>1.0</v>
      </c>
      <c r="E51" s="172" t="s">
        <v>43</v>
      </c>
      <c r="F51" s="172"/>
      <c r="G51" s="173" t="s">
        <v>211</v>
      </c>
      <c r="H51" s="172">
        <v>23.8</v>
      </c>
      <c r="J51" s="24"/>
    </row>
    <row r="52" ht="12.0" hidden="1" customHeight="1">
      <c r="A52" s="172" t="s">
        <v>212</v>
      </c>
      <c r="B52" s="172" t="s">
        <v>51</v>
      </c>
      <c r="C52" s="172">
        <v>36.0</v>
      </c>
      <c r="D52" s="18">
        <v>1.0</v>
      </c>
      <c r="E52" s="172" t="s">
        <v>40</v>
      </c>
      <c r="F52" s="172"/>
      <c r="G52" s="173" t="s">
        <v>213</v>
      </c>
      <c r="H52" s="172">
        <v>22.5</v>
      </c>
      <c r="J52" s="24"/>
    </row>
    <row r="53" ht="15.75" hidden="1" customHeight="1">
      <c r="A53" s="172" t="s">
        <v>212</v>
      </c>
      <c r="B53" s="172" t="s">
        <v>52</v>
      </c>
      <c r="C53" s="172">
        <v>32.0</v>
      </c>
      <c r="D53" s="18">
        <v>1.0</v>
      </c>
      <c r="E53" s="172" t="s">
        <v>42</v>
      </c>
      <c r="F53" s="172"/>
      <c r="G53" s="173" t="s">
        <v>214</v>
      </c>
      <c r="H53" s="172">
        <v>21.0</v>
      </c>
      <c r="J53" s="24"/>
      <c r="K53" s="173" t="s">
        <v>207</v>
      </c>
    </row>
    <row r="54" ht="15.75" hidden="1" customHeight="1">
      <c r="A54" s="172" t="s">
        <v>212</v>
      </c>
      <c r="B54" s="172" t="s">
        <v>51</v>
      </c>
      <c r="C54" s="172">
        <v>36.0</v>
      </c>
      <c r="D54" s="18">
        <v>1.0</v>
      </c>
      <c r="E54" s="172" t="s">
        <v>43</v>
      </c>
      <c r="F54" s="172"/>
      <c r="G54" s="173" t="s">
        <v>215</v>
      </c>
      <c r="H54" s="172"/>
      <c r="J54" s="24"/>
    </row>
    <row r="55" ht="15.75" hidden="1" customHeight="1">
      <c r="A55" s="172" t="s">
        <v>212</v>
      </c>
      <c r="B55" s="172" t="s">
        <v>45</v>
      </c>
      <c r="C55" s="172">
        <v>34.0</v>
      </c>
      <c r="D55" s="18">
        <v>1.0</v>
      </c>
      <c r="E55" s="172" t="s">
        <v>40</v>
      </c>
      <c r="F55" s="172"/>
      <c r="G55" s="173" t="s">
        <v>216</v>
      </c>
      <c r="H55" s="172">
        <v>20.0</v>
      </c>
      <c r="J55" s="24"/>
    </row>
    <row r="56" ht="15.75" hidden="1" customHeight="1">
      <c r="A56" s="172" t="s">
        <v>212</v>
      </c>
      <c r="B56" s="172" t="s">
        <v>51</v>
      </c>
      <c r="C56" s="172">
        <v>32.0</v>
      </c>
      <c r="D56" s="18">
        <v>1.0</v>
      </c>
      <c r="E56" s="172" t="s">
        <v>39</v>
      </c>
      <c r="F56" s="172"/>
      <c r="G56" s="173" t="s">
        <v>217</v>
      </c>
      <c r="H56" s="172">
        <v>23.0</v>
      </c>
      <c r="J56" s="24"/>
      <c r="K56" s="173" t="s">
        <v>207</v>
      </c>
    </row>
    <row r="57" ht="15.75" hidden="1" customHeight="1">
      <c r="A57" s="172" t="s">
        <v>212</v>
      </c>
      <c r="B57" s="172" t="s">
        <v>45</v>
      </c>
      <c r="C57" s="172">
        <v>32.0</v>
      </c>
      <c r="D57" s="18">
        <v>1.0</v>
      </c>
      <c r="E57" s="172" t="s">
        <v>42</v>
      </c>
      <c r="F57" s="172"/>
      <c r="G57" s="173" t="s">
        <v>218</v>
      </c>
      <c r="H57" s="172">
        <v>25.0</v>
      </c>
      <c r="J57" s="24"/>
      <c r="K57" s="173" t="s">
        <v>207</v>
      </c>
    </row>
    <row r="58" ht="15.75" hidden="1" customHeight="1">
      <c r="A58" s="172" t="s">
        <v>212</v>
      </c>
      <c r="B58" s="172" t="s">
        <v>51</v>
      </c>
      <c r="C58" s="172">
        <v>36.0</v>
      </c>
      <c r="D58" s="18">
        <v>1.0</v>
      </c>
      <c r="E58" s="172" t="s">
        <v>39</v>
      </c>
      <c r="F58" s="172"/>
      <c r="G58" s="173" t="s">
        <v>219</v>
      </c>
      <c r="H58" s="172">
        <v>24.2</v>
      </c>
      <c r="J58" s="24"/>
      <c r="K58" s="173" t="s">
        <v>48</v>
      </c>
    </row>
    <row r="59" ht="15.75" hidden="1" customHeight="1">
      <c r="A59" s="172" t="s">
        <v>212</v>
      </c>
      <c r="B59" s="172" t="s">
        <v>52</v>
      </c>
      <c r="C59" s="172">
        <v>34.0</v>
      </c>
      <c r="D59" s="18">
        <v>1.0</v>
      </c>
      <c r="E59" s="172" t="s">
        <v>39</v>
      </c>
      <c r="F59" s="172"/>
      <c r="G59" s="173" t="s">
        <v>220</v>
      </c>
      <c r="H59" s="172">
        <v>28.0</v>
      </c>
      <c r="J59" s="24"/>
      <c r="K59" s="173" t="s">
        <v>48</v>
      </c>
    </row>
    <row r="60" ht="15.75" hidden="1" customHeight="1">
      <c r="A60" s="172" t="s">
        <v>212</v>
      </c>
      <c r="B60" s="172" t="s">
        <v>52</v>
      </c>
      <c r="C60" s="172">
        <v>34.0</v>
      </c>
      <c r="D60" s="18">
        <v>1.0</v>
      </c>
      <c r="E60" s="172" t="s">
        <v>39</v>
      </c>
      <c r="F60" s="172"/>
      <c r="G60" s="173" t="s">
        <v>221</v>
      </c>
      <c r="H60" s="172">
        <v>28.0</v>
      </c>
      <c r="J60" s="24"/>
      <c r="K60" s="173" t="s">
        <v>48</v>
      </c>
    </row>
    <row r="61" ht="15.75" hidden="1" customHeight="1">
      <c r="A61" s="172" t="s">
        <v>212</v>
      </c>
      <c r="B61" s="172" t="s">
        <v>45</v>
      </c>
      <c r="C61" s="172">
        <v>34.0</v>
      </c>
      <c r="D61" s="18">
        <v>1.0</v>
      </c>
      <c r="E61" s="172" t="s">
        <v>39</v>
      </c>
      <c r="F61" s="172"/>
      <c r="G61" s="173" t="s">
        <v>222</v>
      </c>
      <c r="H61" s="172">
        <v>23.0</v>
      </c>
      <c r="J61" s="24"/>
      <c r="K61" s="173" t="s">
        <v>48</v>
      </c>
    </row>
    <row r="62" ht="15.75" hidden="1" customHeight="1">
      <c r="A62" s="179" t="s">
        <v>223</v>
      </c>
      <c r="B62" s="169" t="s">
        <v>45</v>
      </c>
      <c r="C62" s="169">
        <v>34.0</v>
      </c>
      <c r="D62" s="120">
        <v>1.0</v>
      </c>
      <c r="E62" s="169" t="s">
        <v>40</v>
      </c>
      <c r="F62" s="169"/>
      <c r="G62" s="170" t="s">
        <v>224</v>
      </c>
      <c r="H62" s="169">
        <v>22.0</v>
      </c>
      <c r="J62" s="24"/>
      <c r="K62" s="173" t="s">
        <v>48</v>
      </c>
    </row>
    <row r="63" ht="15.75" hidden="1" customHeight="1">
      <c r="A63" s="172" t="s">
        <v>223</v>
      </c>
      <c r="B63" s="172" t="s">
        <v>45</v>
      </c>
      <c r="C63" s="172">
        <v>34.0</v>
      </c>
      <c r="D63" s="18">
        <v>1.0</v>
      </c>
      <c r="E63" s="172" t="s">
        <v>39</v>
      </c>
      <c r="F63" s="172"/>
      <c r="G63" s="173" t="s">
        <v>225</v>
      </c>
      <c r="H63" s="172">
        <v>28.0</v>
      </c>
      <c r="J63" s="24"/>
      <c r="K63" s="173" t="s">
        <v>48</v>
      </c>
    </row>
    <row r="64" ht="15.75" hidden="1" customHeight="1">
      <c r="A64" s="172" t="s">
        <v>223</v>
      </c>
      <c r="B64" s="172" t="s">
        <v>51</v>
      </c>
      <c r="C64" s="172">
        <v>34.0</v>
      </c>
      <c r="D64" s="18">
        <v>1.0</v>
      </c>
      <c r="E64" s="172" t="s">
        <v>39</v>
      </c>
      <c r="F64" s="172"/>
      <c r="G64" s="173" t="s">
        <v>226</v>
      </c>
      <c r="H64" s="172">
        <v>24.0</v>
      </c>
      <c r="J64" s="24"/>
      <c r="K64" s="173" t="s">
        <v>48</v>
      </c>
    </row>
    <row r="65" ht="15.75" hidden="1" customHeight="1">
      <c r="A65" s="172" t="s">
        <v>223</v>
      </c>
      <c r="B65" s="172" t="s">
        <v>45</v>
      </c>
      <c r="C65" s="172">
        <v>34.0</v>
      </c>
      <c r="D65" s="18">
        <v>1.0</v>
      </c>
      <c r="E65" s="172" t="s">
        <v>40</v>
      </c>
      <c r="F65" s="172"/>
      <c r="G65" s="173" t="s">
        <v>227</v>
      </c>
      <c r="H65" s="172">
        <v>20.0</v>
      </c>
      <c r="I65" s="173">
        <v>1.13</v>
      </c>
      <c r="J65" s="24"/>
    </row>
    <row r="66" ht="15.75" hidden="1" customHeight="1">
      <c r="A66" s="172" t="s">
        <v>223</v>
      </c>
      <c r="B66" s="172" t="s">
        <v>45</v>
      </c>
      <c r="C66" s="172">
        <v>36.0</v>
      </c>
      <c r="D66" s="18">
        <v>1.0</v>
      </c>
      <c r="E66" s="172" t="s">
        <v>40</v>
      </c>
      <c r="F66" s="172"/>
      <c r="G66" s="173" t="s">
        <v>228</v>
      </c>
      <c r="H66" s="172">
        <v>20.8</v>
      </c>
      <c r="J66" s="24"/>
    </row>
    <row r="67" ht="15.75" hidden="1" customHeight="1">
      <c r="A67" s="172" t="s">
        <v>223</v>
      </c>
      <c r="B67" s="172" t="s">
        <v>51</v>
      </c>
      <c r="C67" s="172">
        <v>34.0</v>
      </c>
      <c r="D67" s="18">
        <v>1.0</v>
      </c>
      <c r="E67" s="172" t="s">
        <v>39</v>
      </c>
      <c r="F67" s="172"/>
      <c r="G67" s="173" t="s">
        <v>229</v>
      </c>
      <c r="H67" s="172">
        <v>25.2</v>
      </c>
      <c r="J67" s="24"/>
      <c r="K67" s="173" t="s">
        <v>48</v>
      </c>
    </row>
    <row r="68" ht="15.75" hidden="1" customHeight="1">
      <c r="A68" s="172" t="s">
        <v>223</v>
      </c>
      <c r="B68" s="172" t="s">
        <v>45</v>
      </c>
      <c r="C68" s="172">
        <v>34.0</v>
      </c>
      <c r="D68" s="18">
        <v>1.0</v>
      </c>
      <c r="E68" s="172" t="s">
        <v>39</v>
      </c>
      <c r="F68" s="172"/>
      <c r="G68" s="173" t="s">
        <v>230</v>
      </c>
      <c r="H68" s="172">
        <v>28.0</v>
      </c>
      <c r="J68" s="24"/>
      <c r="K68" s="173" t="s">
        <v>48</v>
      </c>
    </row>
    <row r="69" ht="15.75" hidden="1" customHeight="1">
      <c r="A69" s="172" t="s">
        <v>231</v>
      </c>
      <c r="B69" s="172" t="s">
        <v>45</v>
      </c>
      <c r="C69" s="172">
        <v>32.0</v>
      </c>
      <c r="D69" s="18">
        <v>1.0</v>
      </c>
      <c r="E69" s="172" t="s">
        <v>40</v>
      </c>
      <c r="F69" s="172"/>
      <c r="G69" s="173" t="s">
        <v>232</v>
      </c>
      <c r="H69" s="172">
        <v>20.0</v>
      </c>
      <c r="J69" s="24"/>
    </row>
    <row r="70" ht="15.75" hidden="1" customHeight="1">
      <c r="A70" s="172" t="s">
        <v>231</v>
      </c>
      <c r="B70" s="172" t="s">
        <v>52</v>
      </c>
      <c r="C70" s="172">
        <v>36.0</v>
      </c>
      <c r="D70" s="18">
        <v>1.0</v>
      </c>
      <c r="E70" s="172" t="s">
        <v>42</v>
      </c>
      <c r="F70" s="180"/>
      <c r="G70" s="181" t="s">
        <v>233</v>
      </c>
      <c r="H70" s="172">
        <v>20.0</v>
      </c>
      <c r="I70" s="173">
        <v>1.11</v>
      </c>
      <c r="J70" s="24"/>
      <c r="K70" s="173" t="s">
        <v>207</v>
      </c>
    </row>
    <row r="71" ht="15.75" hidden="1" customHeight="1">
      <c r="A71" s="172" t="s">
        <v>231</v>
      </c>
      <c r="B71" s="172" t="s">
        <v>45</v>
      </c>
      <c r="C71" s="172">
        <v>32.0</v>
      </c>
      <c r="D71" s="18">
        <v>1.0</v>
      </c>
      <c r="E71" s="172" t="s">
        <v>42</v>
      </c>
      <c r="F71" s="172"/>
      <c r="G71" s="173" t="s">
        <v>234</v>
      </c>
      <c r="H71" s="172">
        <v>22.5</v>
      </c>
      <c r="J71" s="24"/>
      <c r="K71" s="173" t="s">
        <v>207</v>
      </c>
    </row>
    <row r="72" ht="15.75" hidden="1" customHeight="1">
      <c r="A72" s="172" t="s">
        <v>231</v>
      </c>
      <c r="B72" s="172" t="s">
        <v>45</v>
      </c>
      <c r="C72" s="172">
        <v>36.0</v>
      </c>
      <c r="D72" s="18">
        <v>1.0</v>
      </c>
      <c r="E72" s="172" t="s">
        <v>42</v>
      </c>
      <c r="F72" s="172"/>
      <c r="G72" s="173" t="s">
        <v>235</v>
      </c>
      <c r="H72" s="172">
        <v>22.0</v>
      </c>
      <c r="I72" s="173">
        <v>1.09</v>
      </c>
      <c r="J72" s="24"/>
      <c r="K72" s="173" t="s">
        <v>207</v>
      </c>
    </row>
    <row r="73" ht="15.75" hidden="1" customHeight="1">
      <c r="A73" s="172" t="s">
        <v>231</v>
      </c>
      <c r="B73" s="172" t="s">
        <v>52</v>
      </c>
      <c r="C73" s="172">
        <v>36.0</v>
      </c>
      <c r="D73" s="18">
        <v>1.0</v>
      </c>
      <c r="E73" s="172" t="s">
        <v>39</v>
      </c>
      <c r="F73" s="172"/>
      <c r="G73" s="173" t="s">
        <v>236</v>
      </c>
      <c r="H73" s="172">
        <v>24.1</v>
      </c>
      <c r="J73" s="24"/>
      <c r="K73" s="173" t="s">
        <v>207</v>
      </c>
    </row>
    <row r="74" ht="15.75" hidden="1" customHeight="1">
      <c r="A74" s="182" t="s">
        <v>231</v>
      </c>
      <c r="B74" s="182" t="s">
        <v>45</v>
      </c>
      <c r="C74" s="182">
        <v>32.0</v>
      </c>
      <c r="D74" s="183">
        <v>1.0</v>
      </c>
      <c r="E74" s="182" t="s">
        <v>42</v>
      </c>
      <c r="F74" s="182"/>
      <c r="G74" s="184" t="s">
        <v>237</v>
      </c>
      <c r="H74" s="182">
        <v>0.0</v>
      </c>
      <c r="I74" s="185"/>
      <c r="J74" s="186"/>
      <c r="K74" s="185"/>
      <c r="L74" s="185"/>
      <c r="M74" s="185"/>
    </row>
    <row r="75" ht="15.75" hidden="1" customHeight="1">
      <c r="A75" s="172" t="s">
        <v>231</v>
      </c>
      <c r="B75" s="172" t="s">
        <v>45</v>
      </c>
      <c r="C75" s="172">
        <v>34.0</v>
      </c>
      <c r="D75" s="18">
        <v>1.0</v>
      </c>
      <c r="E75" s="172" t="s">
        <v>40</v>
      </c>
      <c r="F75" s="172"/>
      <c r="G75" s="173" t="s">
        <v>238</v>
      </c>
      <c r="H75" s="172">
        <v>24.5</v>
      </c>
      <c r="I75" s="173">
        <v>1.17</v>
      </c>
      <c r="J75" s="24"/>
    </row>
    <row r="76" ht="15.75" hidden="1" customHeight="1">
      <c r="A76" s="172" t="s">
        <v>231</v>
      </c>
      <c r="B76" s="172" t="s">
        <v>71</v>
      </c>
      <c r="C76" s="172">
        <v>34.0</v>
      </c>
      <c r="D76" s="18">
        <v>1.0</v>
      </c>
      <c r="E76" s="172" t="s">
        <v>43</v>
      </c>
      <c r="F76" s="172"/>
      <c r="G76" s="173" t="s">
        <v>239</v>
      </c>
      <c r="H76" s="172">
        <v>25.0</v>
      </c>
      <c r="J76" s="24"/>
      <c r="K76" s="173" t="s">
        <v>207</v>
      </c>
    </row>
    <row r="77" ht="15.75" hidden="1" customHeight="1">
      <c r="A77" s="172" t="s">
        <v>240</v>
      </c>
      <c r="B77" s="172" t="s">
        <v>45</v>
      </c>
      <c r="C77" s="172">
        <v>32.0</v>
      </c>
      <c r="D77" s="18">
        <v>1.0</v>
      </c>
      <c r="E77" s="172" t="s">
        <v>42</v>
      </c>
      <c r="F77" s="172"/>
      <c r="G77" s="173" t="s">
        <v>241</v>
      </c>
      <c r="H77" s="172">
        <v>25.0</v>
      </c>
      <c r="J77" s="24"/>
      <c r="K77" s="173" t="s">
        <v>207</v>
      </c>
    </row>
    <row r="78" ht="15.75" hidden="1" customHeight="1">
      <c r="A78" s="172" t="s">
        <v>231</v>
      </c>
      <c r="B78" s="172" t="s">
        <v>52</v>
      </c>
      <c r="C78" s="172">
        <v>34.0</v>
      </c>
      <c r="D78" s="18">
        <v>1.0</v>
      </c>
      <c r="E78" s="172" t="s">
        <v>39</v>
      </c>
      <c r="F78" s="172"/>
      <c r="G78" s="173" t="s">
        <v>242</v>
      </c>
      <c r="H78" s="172">
        <v>28.0</v>
      </c>
      <c r="J78" s="24"/>
      <c r="K78" s="173" t="s">
        <v>207</v>
      </c>
    </row>
    <row r="79" ht="15.75" hidden="1" customHeight="1">
      <c r="A79" s="172" t="s">
        <v>240</v>
      </c>
      <c r="B79" s="172" t="s">
        <v>45</v>
      </c>
      <c r="C79" s="172">
        <v>34.0</v>
      </c>
      <c r="D79" s="18">
        <v>1.0</v>
      </c>
      <c r="E79" s="172" t="s">
        <v>40</v>
      </c>
      <c r="F79" s="172"/>
      <c r="G79" s="173" t="s">
        <v>243</v>
      </c>
      <c r="H79" s="172">
        <v>23.4</v>
      </c>
      <c r="I79" s="173">
        <v>1.23</v>
      </c>
      <c r="J79" s="24"/>
      <c r="K79" s="173" t="s">
        <v>207</v>
      </c>
    </row>
    <row r="80" ht="15.75" hidden="1" customHeight="1">
      <c r="A80" s="172" t="s">
        <v>240</v>
      </c>
      <c r="B80" s="172" t="s">
        <v>45</v>
      </c>
      <c r="C80" s="172">
        <v>34.0</v>
      </c>
      <c r="D80" s="18">
        <v>1.0</v>
      </c>
      <c r="E80" s="172" t="s">
        <v>40</v>
      </c>
      <c r="F80" s="172"/>
      <c r="G80" s="173" t="s">
        <v>244</v>
      </c>
      <c r="H80" s="172">
        <v>22.0</v>
      </c>
      <c r="J80" s="24"/>
      <c r="K80" s="173" t="s">
        <v>207</v>
      </c>
    </row>
    <row r="81" ht="15.75" hidden="1" customHeight="1">
      <c r="A81" s="187" t="s">
        <v>240</v>
      </c>
      <c r="B81" s="187" t="s">
        <v>52</v>
      </c>
      <c r="C81" s="187">
        <v>34.0</v>
      </c>
      <c r="D81" s="188">
        <v>1.0</v>
      </c>
      <c r="E81" s="187" t="s">
        <v>40</v>
      </c>
      <c r="F81" s="187"/>
      <c r="G81" s="189" t="s">
        <v>245</v>
      </c>
      <c r="H81" s="187">
        <v>0.0</v>
      </c>
      <c r="I81" s="190"/>
      <c r="J81" s="191" t="s">
        <v>56</v>
      </c>
      <c r="K81" s="184" t="s">
        <v>246</v>
      </c>
    </row>
    <row r="82" ht="15.75" hidden="1" customHeight="1">
      <c r="A82" s="179" t="s">
        <v>231</v>
      </c>
      <c r="B82" s="169" t="s">
        <v>52</v>
      </c>
      <c r="C82" s="169">
        <v>32.0</v>
      </c>
      <c r="D82" s="120">
        <v>1.0</v>
      </c>
      <c r="E82" s="169" t="s">
        <v>40</v>
      </c>
      <c r="F82" s="169"/>
      <c r="G82" s="170" t="s">
        <v>247</v>
      </c>
      <c r="H82" s="169">
        <v>20.0</v>
      </c>
      <c r="J82" s="24"/>
      <c r="K82" s="173" t="s">
        <v>207</v>
      </c>
    </row>
    <row r="83" ht="15.75" hidden="1" customHeight="1">
      <c r="A83" s="182" t="s">
        <v>240</v>
      </c>
      <c r="B83" s="192" t="s">
        <v>52</v>
      </c>
      <c r="C83" s="182">
        <v>36.0</v>
      </c>
      <c r="D83" s="183">
        <v>1.0</v>
      </c>
      <c r="E83" s="182" t="s">
        <v>43</v>
      </c>
      <c r="F83" s="182"/>
      <c r="G83" s="184" t="s">
        <v>248</v>
      </c>
      <c r="H83" s="182">
        <v>0.0</v>
      </c>
      <c r="I83" s="185"/>
      <c r="J83" s="186"/>
      <c r="K83" s="185"/>
    </row>
    <row r="84" ht="15.75" hidden="1" customHeight="1">
      <c r="A84" s="172" t="s">
        <v>240</v>
      </c>
      <c r="B84" s="172" t="s">
        <v>53</v>
      </c>
      <c r="C84" s="172">
        <v>32.0</v>
      </c>
      <c r="D84" s="18">
        <v>1.0</v>
      </c>
      <c r="E84" s="172" t="s">
        <v>39</v>
      </c>
      <c r="F84" s="172"/>
      <c r="G84" s="173" t="s">
        <v>249</v>
      </c>
      <c r="H84" s="172">
        <v>28.0</v>
      </c>
      <c r="J84" s="24"/>
      <c r="K84" s="173" t="s">
        <v>48</v>
      </c>
    </row>
    <row r="85" ht="15.75" hidden="1" customHeight="1">
      <c r="A85" s="172" t="s">
        <v>240</v>
      </c>
      <c r="B85" s="169" t="s">
        <v>52</v>
      </c>
      <c r="C85" s="172">
        <v>36.0</v>
      </c>
      <c r="D85" s="18">
        <v>1.0</v>
      </c>
      <c r="E85" s="172" t="s">
        <v>43</v>
      </c>
      <c r="F85" s="172"/>
      <c r="G85" s="173" t="s">
        <v>250</v>
      </c>
      <c r="H85" s="172">
        <v>26.1</v>
      </c>
      <c r="J85" s="24"/>
      <c r="K85" s="173" t="s">
        <v>48</v>
      </c>
    </row>
    <row r="86" ht="15.75" hidden="1" customHeight="1">
      <c r="A86" s="172" t="s">
        <v>240</v>
      </c>
      <c r="B86" s="172" t="s">
        <v>52</v>
      </c>
      <c r="C86" s="172">
        <v>34.0</v>
      </c>
      <c r="D86" s="18">
        <v>1.0</v>
      </c>
      <c r="E86" s="172" t="s">
        <v>39</v>
      </c>
      <c r="F86" s="172"/>
      <c r="G86" s="173" t="s">
        <v>251</v>
      </c>
      <c r="H86" s="172">
        <v>25.0</v>
      </c>
      <c r="J86" s="24"/>
      <c r="K86" s="173" t="s">
        <v>48</v>
      </c>
    </row>
    <row r="87" ht="15.75" hidden="1" customHeight="1">
      <c r="A87" s="172" t="s">
        <v>252</v>
      </c>
      <c r="B87" s="172" t="s">
        <v>52</v>
      </c>
      <c r="C87" s="172">
        <v>34.0</v>
      </c>
      <c r="D87" s="18">
        <v>1.0</v>
      </c>
      <c r="E87" s="172" t="s">
        <v>40</v>
      </c>
      <c r="F87" s="172"/>
      <c r="G87" s="173" t="s">
        <v>253</v>
      </c>
      <c r="H87" s="172">
        <v>25.0</v>
      </c>
      <c r="J87" s="24"/>
    </row>
    <row r="88" ht="15.75" hidden="1" customHeight="1">
      <c r="A88" s="172" t="s">
        <v>240</v>
      </c>
      <c r="B88" s="172" t="s">
        <v>52</v>
      </c>
      <c r="C88" s="172">
        <v>36.0</v>
      </c>
      <c r="D88" s="18">
        <v>1.0</v>
      </c>
      <c r="E88" s="172" t="s">
        <v>42</v>
      </c>
      <c r="F88" s="172"/>
      <c r="G88" s="173" t="s">
        <v>254</v>
      </c>
      <c r="H88" s="172">
        <v>22.0</v>
      </c>
      <c r="J88" s="24"/>
      <c r="K88" s="173" t="s">
        <v>207</v>
      </c>
    </row>
    <row r="89" ht="15.75" hidden="1" customHeight="1">
      <c r="A89" s="172" t="s">
        <v>240</v>
      </c>
      <c r="B89" s="172" t="s">
        <v>71</v>
      </c>
      <c r="C89" s="172">
        <v>34.0</v>
      </c>
      <c r="D89" s="18">
        <v>1.0</v>
      </c>
      <c r="E89" s="172" t="s">
        <v>39</v>
      </c>
      <c r="F89" s="172"/>
      <c r="G89" s="173" t="s">
        <v>255</v>
      </c>
      <c r="H89" s="172">
        <v>24.0</v>
      </c>
      <c r="J89" s="24"/>
      <c r="K89" s="173" t="s">
        <v>207</v>
      </c>
    </row>
    <row r="90" ht="15.75" hidden="1" customHeight="1">
      <c r="A90" s="172" t="s">
        <v>252</v>
      </c>
      <c r="B90" s="172" t="s">
        <v>53</v>
      </c>
      <c r="C90" s="172">
        <v>32.0</v>
      </c>
      <c r="D90" s="18">
        <v>1.0</v>
      </c>
      <c r="E90" s="172" t="s">
        <v>39</v>
      </c>
      <c r="F90" s="172"/>
      <c r="G90" s="173" t="s">
        <v>256</v>
      </c>
      <c r="H90" s="172">
        <v>22.0</v>
      </c>
      <c r="J90" s="24"/>
      <c r="K90" s="173" t="s">
        <v>48</v>
      </c>
    </row>
    <row r="91" ht="15.75" hidden="1" customHeight="1">
      <c r="A91" s="187" t="s">
        <v>252</v>
      </c>
      <c r="B91" s="187" t="s">
        <v>52</v>
      </c>
      <c r="C91" s="187">
        <v>36.0</v>
      </c>
      <c r="D91" s="188">
        <v>1.0</v>
      </c>
      <c r="E91" s="187" t="s">
        <v>42</v>
      </c>
      <c r="F91" s="187"/>
      <c r="G91" s="189" t="s">
        <v>257</v>
      </c>
      <c r="H91" s="187">
        <v>0.0</v>
      </c>
      <c r="I91" s="190"/>
      <c r="J91" s="168" t="s">
        <v>56</v>
      </c>
      <c r="K91" s="184" t="s">
        <v>246</v>
      </c>
    </row>
    <row r="92" ht="15.75" hidden="1" customHeight="1">
      <c r="A92" s="172" t="s">
        <v>252</v>
      </c>
      <c r="B92" s="172" t="s">
        <v>45</v>
      </c>
      <c r="C92" s="172">
        <v>36.0</v>
      </c>
      <c r="D92" s="18">
        <v>1.0</v>
      </c>
      <c r="E92" s="172" t="s">
        <v>39</v>
      </c>
      <c r="F92" s="172"/>
      <c r="G92" s="173" t="s">
        <v>258</v>
      </c>
      <c r="H92" s="172">
        <v>23.0</v>
      </c>
      <c r="J92" s="24"/>
      <c r="K92" s="173" t="s">
        <v>48</v>
      </c>
    </row>
    <row r="93" ht="15.75" hidden="1" customHeight="1">
      <c r="A93" s="172" t="s">
        <v>252</v>
      </c>
      <c r="B93" s="172" t="s">
        <v>45</v>
      </c>
      <c r="C93" s="172">
        <v>32.0</v>
      </c>
      <c r="D93" s="18">
        <v>1.0</v>
      </c>
      <c r="E93" s="172" t="s">
        <v>42</v>
      </c>
      <c r="F93" s="172"/>
      <c r="G93" s="173" t="s">
        <v>259</v>
      </c>
      <c r="H93" s="172">
        <v>25.0</v>
      </c>
      <c r="J93" s="24"/>
      <c r="K93" s="173" t="s">
        <v>207</v>
      </c>
    </row>
    <row r="94" ht="15.75" hidden="1" customHeight="1">
      <c r="A94" s="172" t="s">
        <v>252</v>
      </c>
      <c r="B94" s="172" t="s">
        <v>45</v>
      </c>
      <c r="C94" s="172">
        <v>32.0</v>
      </c>
      <c r="D94" s="18">
        <v>1.0</v>
      </c>
      <c r="E94" s="172" t="s">
        <v>42</v>
      </c>
      <c r="F94" s="172"/>
      <c r="G94" s="173" t="s">
        <v>260</v>
      </c>
      <c r="H94" s="172">
        <v>25.0</v>
      </c>
      <c r="J94" s="24"/>
      <c r="K94" s="173" t="s">
        <v>207</v>
      </c>
    </row>
    <row r="95" ht="15.75" hidden="1" customHeight="1">
      <c r="A95" s="172" t="s">
        <v>261</v>
      </c>
      <c r="B95" s="172" t="s">
        <v>71</v>
      </c>
      <c r="C95" s="172">
        <v>32.0</v>
      </c>
      <c r="D95" s="18">
        <v>1.0</v>
      </c>
      <c r="E95" s="172" t="s">
        <v>42</v>
      </c>
      <c r="F95" s="172"/>
      <c r="G95" s="173" t="s">
        <v>262</v>
      </c>
      <c r="H95" s="172">
        <v>23.0</v>
      </c>
      <c r="J95" s="24"/>
      <c r="K95" s="173" t="s">
        <v>207</v>
      </c>
    </row>
    <row r="96" ht="15.0" hidden="1" customHeight="1">
      <c r="A96" s="172" t="s">
        <v>252</v>
      </c>
      <c r="B96" s="172" t="s">
        <v>53</v>
      </c>
      <c r="C96" s="172">
        <v>32.0</v>
      </c>
      <c r="D96" s="18">
        <v>1.0</v>
      </c>
      <c r="E96" s="172" t="s">
        <v>39</v>
      </c>
      <c r="F96" s="172"/>
      <c r="G96" s="173" t="s">
        <v>263</v>
      </c>
      <c r="H96" s="172">
        <v>28.0</v>
      </c>
      <c r="J96" s="24"/>
      <c r="K96" s="173" t="s">
        <v>48</v>
      </c>
    </row>
    <row r="97" ht="15.75" hidden="1" customHeight="1">
      <c r="A97" s="172" t="s">
        <v>252</v>
      </c>
      <c r="B97" s="172" t="s">
        <v>71</v>
      </c>
      <c r="C97" s="172">
        <v>34.0</v>
      </c>
      <c r="D97" s="18">
        <v>1.0</v>
      </c>
      <c r="E97" s="172" t="s">
        <v>39</v>
      </c>
      <c r="F97" s="172"/>
      <c r="G97" s="173" t="s">
        <v>264</v>
      </c>
      <c r="H97" s="172">
        <v>24.0</v>
      </c>
      <c r="J97" s="24"/>
      <c r="K97" s="173" t="s">
        <v>48</v>
      </c>
    </row>
    <row r="98" ht="15.75" hidden="1" customHeight="1">
      <c r="A98" s="172" t="s">
        <v>252</v>
      </c>
      <c r="B98" s="172" t="s">
        <v>45</v>
      </c>
      <c r="C98" s="172">
        <v>32.0</v>
      </c>
      <c r="D98" s="18">
        <v>1.0</v>
      </c>
      <c r="E98" s="172" t="s">
        <v>43</v>
      </c>
      <c r="F98" s="172"/>
      <c r="G98" s="173" t="s">
        <v>265</v>
      </c>
      <c r="H98" s="172">
        <v>25.0</v>
      </c>
      <c r="J98" s="24"/>
    </row>
    <row r="99" ht="15.75" hidden="1" customHeight="1">
      <c r="A99" s="172" t="s">
        <v>252</v>
      </c>
      <c r="B99" s="172" t="s">
        <v>52</v>
      </c>
      <c r="C99" s="172">
        <v>32.0</v>
      </c>
      <c r="D99" s="18">
        <v>1.0</v>
      </c>
      <c r="E99" s="172" t="s">
        <v>43</v>
      </c>
      <c r="F99" s="172"/>
      <c r="G99" s="173" t="s">
        <v>265</v>
      </c>
      <c r="H99" s="172">
        <v>25.0</v>
      </c>
      <c r="J99" s="24"/>
    </row>
    <row r="100" ht="15.75" hidden="1" customHeight="1">
      <c r="A100" s="182" t="s">
        <v>252</v>
      </c>
      <c r="B100" s="182" t="s">
        <v>53</v>
      </c>
      <c r="C100" s="182">
        <v>32.0</v>
      </c>
      <c r="D100" s="183">
        <v>1.0</v>
      </c>
      <c r="E100" s="182" t="s">
        <v>39</v>
      </c>
      <c r="F100" s="182"/>
      <c r="G100" s="184" t="s">
        <v>266</v>
      </c>
      <c r="H100" s="182">
        <v>0.0</v>
      </c>
      <c r="I100" s="185"/>
      <c r="J100" s="193" t="s">
        <v>56</v>
      </c>
      <c r="K100" s="184" t="s">
        <v>246</v>
      </c>
    </row>
    <row r="101" ht="15.75" hidden="1" customHeight="1">
      <c r="A101" s="187" t="s">
        <v>261</v>
      </c>
      <c r="B101" s="187" t="s">
        <v>52</v>
      </c>
      <c r="C101" s="187">
        <v>34.0</v>
      </c>
      <c r="D101" s="188">
        <v>1.0</v>
      </c>
      <c r="E101" s="187" t="s">
        <v>40</v>
      </c>
      <c r="F101" s="194"/>
      <c r="G101" s="195" t="s">
        <v>267</v>
      </c>
      <c r="H101" s="187">
        <v>0.0</v>
      </c>
      <c r="I101" s="190"/>
      <c r="J101" s="191" t="s">
        <v>56</v>
      </c>
      <c r="K101" s="184" t="s">
        <v>246</v>
      </c>
    </row>
    <row r="102" ht="15.75" hidden="1" customHeight="1">
      <c r="A102" s="172" t="s">
        <v>261</v>
      </c>
      <c r="B102" s="172" t="s">
        <v>71</v>
      </c>
      <c r="C102" s="172">
        <v>32.0</v>
      </c>
      <c r="D102" s="18">
        <v>1.0</v>
      </c>
      <c r="E102" s="172" t="s">
        <v>42</v>
      </c>
      <c r="F102" s="172"/>
      <c r="G102" s="173" t="s">
        <v>268</v>
      </c>
      <c r="H102" s="172">
        <v>23.0</v>
      </c>
      <c r="J102" s="24"/>
      <c r="K102" s="173" t="s">
        <v>207</v>
      </c>
    </row>
    <row r="103" ht="15.75" hidden="1" customHeight="1">
      <c r="A103" s="172" t="s">
        <v>261</v>
      </c>
      <c r="B103" s="172" t="s">
        <v>52</v>
      </c>
      <c r="C103" s="172">
        <v>32.0</v>
      </c>
      <c r="D103" s="18">
        <v>1.0</v>
      </c>
      <c r="E103" s="172" t="s">
        <v>43</v>
      </c>
      <c r="F103" s="172"/>
      <c r="G103" s="173" t="s">
        <v>269</v>
      </c>
      <c r="H103" s="172">
        <v>25.0</v>
      </c>
      <c r="J103" s="24"/>
    </row>
    <row r="104" ht="15.75" hidden="1" customHeight="1">
      <c r="A104" s="172" t="s">
        <v>261</v>
      </c>
      <c r="B104" s="172" t="s">
        <v>45</v>
      </c>
      <c r="C104" s="172">
        <v>36.0</v>
      </c>
      <c r="D104" s="18">
        <v>1.0</v>
      </c>
      <c r="E104" s="172" t="s">
        <v>43</v>
      </c>
      <c r="F104" s="172"/>
      <c r="G104" s="173" t="s">
        <v>270</v>
      </c>
      <c r="H104" s="172">
        <v>25.0</v>
      </c>
      <c r="J104" s="24"/>
    </row>
    <row r="105" ht="15.75" hidden="1" customHeight="1">
      <c r="A105" s="172" t="s">
        <v>261</v>
      </c>
      <c r="B105" s="172" t="s">
        <v>53</v>
      </c>
      <c r="C105" s="172">
        <v>32.0</v>
      </c>
      <c r="D105" s="18">
        <v>1.0</v>
      </c>
      <c r="E105" s="172" t="s">
        <v>39</v>
      </c>
      <c r="F105" s="172"/>
      <c r="G105" s="173" t="s">
        <v>271</v>
      </c>
      <c r="H105" s="172">
        <v>28.0</v>
      </c>
      <c r="J105" s="24"/>
      <c r="K105" s="173" t="s">
        <v>48</v>
      </c>
    </row>
    <row r="106" ht="15.75" hidden="1" customHeight="1">
      <c r="A106" s="172" t="s">
        <v>261</v>
      </c>
      <c r="B106" s="172" t="s">
        <v>53</v>
      </c>
      <c r="C106" s="172">
        <v>32.0</v>
      </c>
      <c r="D106" s="18">
        <v>1.0</v>
      </c>
      <c r="E106" s="172" t="s">
        <v>39</v>
      </c>
      <c r="F106" s="172"/>
      <c r="G106" s="173" t="s">
        <v>272</v>
      </c>
      <c r="H106" s="172">
        <v>23.0</v>
      </c>
      <c r="J106" s="24"/>
      <c r="K106" s="173" t="s">
        <v>48</v>
      </c>
    </row>
    <row r="107" ht="15.75" hidden="1" customHeight="1">
      <c r="A107" s="172" t="s">
        <v>261</v>
      </c>
      <c r="B107" s="172" t="s">
        <v>71</v>
      </c>
      <c r="C107" s="172">
        <v>32.0</v>
      </c>
      <c r="D107" s="18">
        <v>1.0</v>
      </c>
      <c r="E107" s="172" t="s">
        <v>42</v>
      </c>
      <c r="F107" s="172"/>
      <c r="G107" s="173" t="s">
        <v>273</v>
      </c>
      <c r="H107" s="172">
        <v>22.0</v>
      </c>
      <c r="J107" s="24"/>
      <c r="K107" s="173" t="s">
        <v>48</v>
      </c>
    </row>
    <row r="108" ht="15.75" hidden="1" customHeight="1">
      <c r="A108" s="172" t="s">
        <v>261</v>
      </c>
      <c r="B108" s="172" t="s">
        <v>45</v>
      </c>
      <c r="C108" s="172">
        <v>34.0</v>
      </c>
      <c r="D108" s="18">
        <v>1.0</v>
      </c>
      <c r="E108" s="172" t="s">
        <v>39</v>
      </c>
      <c r="F108" s="172"/>
      <c r="G108" s="173" t="s">
        <v>274</v>
      </c>
      <c r="H108" s="172">
        <v>29.0</v>
      </c>
      <c r="J108" s="24"/>
      <c r="K108" s="173" t="s">
        <v>48</v>
      </c>
    </row>
    <row r="109" ht="15.75" hidden="1" customHeight="1">
      <c r="A109" s="172" t="s">
        <v>275</v>
      </c>
      <c r="B109" s="172" t="s">
        <v>45</v>
      </c>
      <c r="C109" s="172">
        <v>36.0</v>
      </c>
      <c r="D109" s="18">
        <v>1.0</v>
      </c>
      <c r="E109" s="172" t="s">
        <v>39</v>
      </c>
      <c r="F109" s="172"/>
      <c r="G109" s="173" t="s">
        <v>276</v>
      </c>
      <c r="H109" s="172">
        <v>25.0</v>
      </c>
      <c r="J109" s="24"/>
      <c r="K109" s="173" t="s">
        <v>48</v>
      </c>
    </row>
    <row r="110" ht="15.75" hidden="1" customHeight="1">
      <c r="A110" s="172" t="s">
        <v>275</v>
      </c>
      <c r="B110" s="172" t="s">
        <v>53</v>
      </c>
      <c r="C110" s="172">
        <v>32.0</v>
      </c>
      <c r="D110" s="18">
        <v>1.0</v>
      </c>
      <c r="E110" s="172" t="s">
        <v>39</v>
      </c>
      <c r="F110" s="172"/>
      <c r="G110" s="173" t="s">
        <v>277</v>
      </c>
      <c r="H110" s="172">
        <v>28.0</v>
      </c>
      <c r="J110" s="24"/>
      <c r="K110" s="173" t="s">
        <v>48</v>
      </c>
    </row>
    <row r="111" ht="15.75" hidden="1" customHeight="1">
      <c r="A111" s="172" t="s">
        <v>275</v>
      </c>
      <c r="B111" s="172" t="s">
        <v>52</v>
      </c>
      <c r="C111" s="172">
        <v>34.0</v>
      </c>
      <c r="D111" s="167">
        <v>1.0</v>
      </c>
      <c r="E111" s="172" t="s">
        <v>41</v>
      </c>
      <c r="F111" s="172"/>
      <c r="G111" s="173" t="s">
        <v>278</v>
      </c>
      <c r="H111" s="172">
        <v>25.2</v>
      </c>
      <c r="J111" s="24"/>
      <c r="K111" s="173" t="s">
        <v>48</v>
      </c>
    </row>
    <row r="112" ht="15.75" hidden="1" customHeight="1">
      <c r="A112" s="172" t="s">
        <v>275</v>
      </c>
      <c r="B112" s="172" t="s">
        <v>71</v>
      </c>
      <c r="C112" s="172">
        <v>32.0</v>
      </c>
      <c r="D112" s="18">
        <v>1.0</v>
      </c>
      <c r="E112" s="172" t="s">
        <v>42</v>
      </c>
      <c r="F112" s="172"/>
      <c r="G112" s="173" t="s">
        <v>279</v>
      </c>
      <c r="H112" s="172">
        <v>21.0</v>
      </c>
      <c r="J112" s="24"/>
      <c r="K112" s="173" t="s">
        <v>207</v>
      </c>
    </row>
    <row r="113" ht="15.75" hidden="1" customHeight="1">
      <c r="A113" s="172" t="s">
        <v>275</v>
      </c>
      <c r="B113" s="172" t="s">
        <v>71</v>
      </c>
      <c r="C113" s="172">
        <v>32.0</v>
      </c>
      <c r="D113" s="18">
        <v>1.0</v>
      </c>
      <c r="E113" s="172" t="s">
        <v>42</v>
      </c>
      <c r="F113" s="172"/>
      <c r="G113" s="173" t="s">
        <v>280</v>
      </c>
      <c r="H113" s="172">
        <v>28.0</v>
      </c>
      <c r="J113" s="24"/>
      <c r="K113" s="173" t="s">
        <v>207</v>
      </c>
    </row>
    <row r="114" ht="15.75" hidden="1" customHeight="1">
      <c r="A114" s="172" t="s">
        <v>281</v>
      </c>
      <c r="B114" s="172" t="s">
        <v>52</v>
      </c>
      <c r="C114" s="172">
        <v>34.0</v>
      </c>
      <c r="D114" s="18">
        <v>1.0</v>
      </c>
      <c r="E114" s="172" t="s">
        <v>41</v>
      </c>
      <c r="F114" s="172"/>
      <c r="G114" s="173" t="s">
        <v>282</v>
      </c>
      <c r="H114" s="172">
        <v>23.4</v>
      </c>
      <c r="J114" s="24"/>
      <c r="K114" s="173" t="s">
        <v>207</v>
      </c>
    </row>
    <row r="115" ht="15.75" hidden="1" customHeight="1">
      <c r="A115" s="172" t="s">
        <v>281</v>
      </c>
      <c r="B115" s="172" t="s">
        <v>52</v>
      </c>
      <c r="C115" s="172">
        <v>32.0</v>
      </c>
      <c r="D115" s="167">
        <v>1.0</v>
      </c>
      <c r="E115" s="172" t="s">
        <v>41</v>
      </c>
      <c r="F115" s="172"/>
      <c r="G115" s="173" t="s">
        <v>283</v>
      </c>
      <c r="H115" s="172">
        <v>24.0</v>
      </c>
      <c r="J115" s="24"/>
      <c r="K115" s="173" t="s">
        <v>48</v>
      </c>
    </row>
    <row r="116" ht="15.75" hidden="1" customHeight="1">
      <c r="A116" s="172" t="s">
        <v>281</v>
      </c>
      <c r="B116" s="172" t="s">
        <v>53</v>
      </c>
      <c r="C116" s="172">
        <v>32.0</v>
      </c>
      <c r="D116" s="18">
        <v>1.0</v>
      </c>
      <c r="E116" s="172" t="s">
        <v>41</v>
      </c>
      <c r="F116" s="172"/>
      <c r="G116" s="173" t="s">
        <v>283</v>
      </c>
      <c r="H116" s="172">
        <v>24.0</v>
      </c>
      <c r="J116" s="24"/>
      <c r="K116" s="173" t="s">
        <v>48</v>
      </c>
    </row>
    <row r="117" ht="15.75" hidden="1" customHeight="1">
      <c r="A117" s="172" t="s">
        <v>281</v>
      </c>
      <c r="B117" s="172" t="s">
        <v>52</v>
      </c>
      <c r="C117" s="172">
        <v>34.0</v>
      </c>
      <c r="D117" s="18">
        <v>1.0</v>
      </c>
      <c r="E117" s="172" t="s">
        <v>41</v>
      </c>
      <c r="F117" s="172"/>
      <c r="G117" s="173" t="s">
        <v>284</v>
      </c>
      <c r="H117" s="172">
        <v>22.0</v>
      </c>
      <c r="J117" s="24"/>
    </row>
    <row r="118" ht="15.75" hidden="1" customHeight="1">
      <c r="A118" s="172" t="s">
        <v>281</v>
      </c>
      <c r="B118" s="172" t="s">
        <v>53</v>
      </c>
      <c r="C118" s="172">
        <v>32.0</v>
      </c>
      <c r="D118" s="18">
        <v>1.0</v>
      </c>
      <c r="E118" s="172" t="s">
        <v>41</v>
      </c>
      <c r="F118" s="172"/>
      <c r="G118" s="173" t="s">
        <v>285</v>
      </c>
      <c r="H118" s="172">
        <v>22.0</v>
      </c>
      <c r="J118" s="24"/>
      <c r="K118" s="173" t="s">
        <v>48</v>
      </c>
    </row>
    <row r="119" ht="15.75" hidden="1" customHeight="1">
      <c r="A119" s="172" t="s">
        <v>281</v>
      </c>
      <c r="B119" s="172" t="s">
        <v>52</v>
      </c>
      <c r="C119" s="172">
        <v>34.0</v>
      </c>
      <c r="D119" s="18">
        <v>1.0</v>
      </c>
      <c r="E119" s="172" t="s">
        <v>41</v>
      </c>
      <c r="F119" s="172"/>
      <c r="G119" s="173" t="s">
        <v>286</v>
      </c>
      <c r="H119" s="172">
        <v>28.0</v>
      </c>
      <c r="J119" s="24"/>
    </row>
    <row r="120" ht="15.75" hidden="1" customHeight="1">
      <c r="A120" s="172" t="s">
        <v>281</v>
      </c>
      <c r="B120" s="172" t="s">
        <v>52</v>
      </c>
      <c r="C120" s="172">
        <v>32.0</v>
      </c>
      <c r="D120" s="18">
        <v>1.0</v>
      </c>
      <c r="E120" s="172" t="s">
        <v>41</v>
      </c>
      <c r="F120" s="172"/>
      <c r="G120" s="173" t="s">
        <v>287</v>
      </c>
      <c r="H120" s="172">
        <v>28.0</v>
      </c>
      <c r="I120" s="173">
        <v>1.09</v>
      </c>
      <c r="J120" s="24"/>
    </row>
    <row r="121" ht="15.75" hidden="1" customHeight="1">
      <c r="A121" s="172" t="s">
        <v>281</v>
      </c>
      <c r="B121" s="172" t="s">
        <v>52</v>
      </c>
      <c r="C121" s="172">
        <v>32.0</v>
      </c>
      <c r="D121" s="18">
        <v>1.0</v>
      </c>
      <c r="E121" s="172" t="s">
        <v>43</v>
      </c>
      <c r="F121" s="172"/>
      <c r="G121" s="173" t="s">
        <v>288</v>
      </c>
      <c r="H121" s="172">
        <v>22.0</v>
      </c>
      <c r="J121" s="24"/>
    </row>
    <row r="122" ht="15.75" hidden="1" customHeight="1">
      <c r="A122" s="172" t="s">
        <v>281</v>
      </c>
      <c r="B122" s="172" t="s">
        <v>52</v>
      </c>
      <c r="C122" s="172">
        <v>32.0</v>
      </c>
      <c r="D122" s="18">
        <v>1.0</v>
      </c>
      <c r="E122" s="172" t="s">
        <v>41</v>
      </c>
      <c r="F122" s="172"/>
      <c r="G122" s="173" t="s">
        <v>289</v>
      </c>
      <c r="H122" s="172">
        <v>28.0</v>
      </c>
      <c r="J122" s="24"/>
    </row>
    <row r="123" ht="15.75" hidden="1" customHeight="1">
      <c r="A123" s="172" t="s">
        <v>281</v>
      </c>
      <c r="B123" s="172" t="s">
        <v>45</v>
      </c>
      <c r="C123" s="172">
        <v>36.0</v>
      </c>
      <c r="D123" s="18">
        <v>1.0</v>
      </c>
      <c r="E123" s="172" t="s">
        <v>42</v>
      </c>
      <c r="F123" s="172"/>
      <c r="G123" s="173" t="s">
        <v>290</v>
      </c>
      <c r="H123" s="172">
        <v>24.0</v>
      </c>
      <c r="J123" s="24"/>
    </row>
    <row r="124" ht="15.75" hidden="1" customHeight="1">
      <c r="A124" s="172" t="s">
        <v>281</v>
      </c>
      <c r="B124" s="172" t="s">
        <v>45</v>
      </c>
      <c r="C124" s="172">
        <v>36.0</v>
      </c>
      <c r="D124" s="18">
        <v>1.0</v>
      </c>
      <c r="E124" s="172" t="s">
        <v>41</v>
      </c>
      <c r="F124" s="172"/>
      <c r="G124" s="173" t="s">
        <v>291</v>
      </c>
      <c r="H124" s="172">
        <v>28.0</v>
      </c>
      <c r="J124" s="24"/>
      <c r="K124" s="173" t="s">
        <v>207</v>
      </c>
    </row>
    <row r="125" ht="15.75" hidden="1" customHeight="1">
      <c r="A125" s="172" t="s">
        <v>281</v>
      </c>
      <c r="B125" s="172" t="s">
        <v>45</v>
      </c>
      <c r="C125" s="172">
        <v>34.0</v>
      </c>
      <c r="D125" s="18">
        <v>1.0</v>
      </c>
      <c r="E125" s="172" t="s">
        <v>41</v>
      </c>
      <c r="F125" s="172"/>
      <c r="G125" s="173" t="s">
        <v>292</v>
      </c>
      <c r="H125" s="172">
        <v>25.0</v>
      </c>
      <c r="J125" s="24"/>
    </row>
    <row r="126" ht="15.75" hidden="1" customHeight="1">
      <c r="A126" s="172" t="s">
        <v>281</v>
      </c>
      <c r="B126" s="172" t="s">
        <v>52</v>
      </c>
      <c r="C126" s="172">
        <v>34.0</v>
      </c>
      <c r="D126" s="167">
        <v>1.0</v>
      </c>
      <c r="E126" s="172" t="s">
        <v>41</v>
      </c>
      <c r="F126" s="172"/>
      <c r="G126" s="173" t="s">
        <v>293</v>
      </c>
      <c r="H126" s="172">
        <v>24.0</v>
      </c>
      <c r="I126" s="173">
        <v>1.21</v>
      </c>
      <c r="J126" s="24"/>
    </row>
    <row r="127" ht="15.75" hidden="1" customHeight="1">
      <c r="A127" s="172" t="s">
        <v>294</v>
      </c>
      <c r="B127" s="172" t="s">
        <v>71</v>
      </c>
      <c r="C127" s="172">
        <v>32.0</v>
      </c>
      <c r="D127" s="18">
        <v>1.0</v>
      </c>
      <c r="E127" s="172" t="s">
        <v>42</v>
      </c>
      <c r="F127" s="172"/>
      <c r="G127" s="173" t="s">
        <v>295</v>
      </c>
      <c r="H127" s="172">
        <v>25.2</v>
      </c>
      <c r="J127" s="24"/>
    </row>
    <row r="128" ht="15.75" hidden="1" customHeight="1">
      <c r="A128" s="172" t="s">
        <v>294</v>
      </c>
      <c r="B128" s="172" t="s">
        <v>45</v>
      </c>
      <c r="C128" s="172">
        <v>32.0</v>
      </c>
      <c r="D128" s="18">
        <v>1.0</v>
      </c>
      <c r="E128" s="172" t="s">
        <v>41</v>
      </c>
      <c r="F128" s="172"/>
      <c r="G128" s="173" t="s">
        <v>296</v>
      </c>
      <c r="H128" s="172">
        <v>23.0</v>
      </c>
      <c r="J128" s="24"/>
    </row>
    <row r="129" ht="15.75" hidden="1" customHeight="1">
      <c r="A129" s="172" t="s">
        <v>297</v>
      </c>
      <c r="B129" s="172" t="s">
        <v>52</v>
      </c>
      <c r="C129" s="172">
        <v>32.0</v>
      </c>
      <c r="D129" s="18">
        <v>1.0</v>
      </c>
      <c r="E129" s="172" t="s">
        <v>42</v>
      </c>
      <c r="F129" s="172"/>
      <c r="G129" s="173" t="s">
        <v>298</v>
      </c>
      <c r="H129" s="172">
        <v>28.0</v>
      </c>
      <c r="J129" s="24"/>
      <c r="K129" s="173" t="s">
        <v>207</v>
      </c>
    </row>
    <row r="130" ht="15.75" hidden="1" customHeight="1">
      <c r="A130" s="172" t="s">
        <v>297</v>
      </c>
      <c r="B130" s="172" t="s">
        <v>71</v>
      </c>
      <c r="C130" s="172">
        <v>32.0</v>
      </c>
      <c r="D130" s="18">
        <v>1.0</v>
      </c>
      <c r="E130" s="172" t="s">
        <v>42</v>
      </c>
      <c r="F130" s="172"/>
      <c r="G130" s="173" t="s">
        <v>299</v>
      </c>
      <c r="H130" s="172">
        <v>22.0</v>
      </c>
      <c r="J130" s="24"/>
    </row>
    <row r="131" ht="15.75" hidden="1" customHeight="1">
      <c r="A131" s="172" t="s">
        <v>297</v>
      </c>
      <c r="B131" s="172" t="s">
        <v>52</v>
      </c>
      <c r="C131" s="172">
        <v>34.0</v>
      </c>
      <c r="D131" s="18">
        <v>1.0</v>
      </c>
      <c r="E131" s="172" t="s">
        <v>39</v>
      </c>
      <c r="F131" s="172"/>
      <c r="G131" s="173" t="s">
        <v>300</v>
      </c>
      <c r="H131" s="172">
        <v>23.0</v>
      </c>
      <c r="J131" s="24"/>
      <c r="K131" s="173" t="s">
        <v>207</v>
      </c>
    </row>
    <row r="132" ht="15.75" hidden="1" customHeight="1">
      <c r="A132" s="172" t="s">
        <v>297</v>
      </c>
      <c r="B132" s="172" t="s">
        <v>45</v>
      </c>
      <c r="C132" s="172">
        <v>32.0</v>
      </c>
      <c r="D132" s="18">
        <v>1.0</v>
      </c>
      <c r="E132" s="172" t="s">
        <v>42</v>
      </c>
      <c r="F132" s="172"/>
      <c r="G132" s="173" t="s">
        <v>301</v>
      </c>
      <c r="H132" s="172">
        <v>21.0</v>
      </c>
      <c r="J132" s="24"/>
    </row>
    <row r="133" ht="15.75" hidden="1" customHeight="1">
      <c r="A133" s="172" t="s">
        <v>297</v>
      </c>
      <c r="B133" s="172" t="s">
        <v>45</v>
      </c>
      <c r="C133" s="172">
        <v>34.0</v>
      </c>
      <c r="D133" s="18">
        <v>1.0</v>
      </c>
      <c r="E133" s="172" t="s">
        <v>39</v>
      </c>
      <c r="F133" s="172"/>
      <c r="G133" s="173" t="s">
        <v>302</v>
      </c>
      <c r="H133" s="172">
        <v>25.0</v>
      </c>
      <c r="J133" s="24"/>
      <c r="K133" s="173" t="s">
        <v>207</v>
      </c>
    </row>
    <row r="134" ht="15.75" hidden="1" customHeight="1">
      <c r="A134" s="172" t="s">
        <v>297</v>
      </c>
      <c r="B134" s="172" t="s">
        <v>52</v>
      </c>
      <c r="C134" s="172">
        <v>34.0</v>
      </c>
      <c r="D134" s="18">
        <v>1.0</v>
      </c>
      <c r="E134" s="172" t="s">
        <v>39</v>
      </c>
      <c r="F134" s="172"/>
      <c r="G134" s="173" t="s">
        <v>303</v>
      </c>
      <c r="H134" s="172">
        <v>25.2</v>
      </c>
      <c r="J134" s="24"/>
      <c r="K134" s="173" t="s">
        <v>207</v>
      </c>
    </row>
    <row r="135" ht="15.75" hidden="1" customHeight="1">
      <c r="A135" s="172" t="s">
        <v>297</v>
      </c>
      <c r="B135" s="172" t="s">
        <v>45</v>
      </c>
      <c r="C135" s="172">
        <v>32.0</v>
      </c>
      <c r="D135" s="18">
        <v>1.0</v>
      </c>
      <c r="E135" s="172" t="s">
        <v>41</v>
      </c>
      <c r="F135" s="172"/>
      <c r="G135" s="173" t="s">
        <v>304</v>
      </c>
      <c r="H135" s="172">
        <v>24.5</v>
      </c>
      <c r="J135" s="24"/>
    </row>
    <row r="136" ht="15.75" hidden="1" customHeight="1">
      <c r="A136" s="172" t="s">
        <v>297</v>
      </c>
      <c r="B136" s="172" t="s">
        <v>52</v>
      </c>
      <c r="C136" s="172">
        <v>32.0</v>
      </c>
      <c r="D136" s="18">
        <v>1.0</v>
      </c>
      <c r="E136" s="172" t="s">
        <v>42</v>
      </c>
      <c r="F136" s="172"/>
      <c r="G136" s="173" t="s">
        <v>305</v>
      </c>
      <c r="H136" s="172">
        <v>25.0</v>
      </c>
      <c r="J136" s="24"/>
      <c r="K136" s="173" t="s">
        <v>207</v>
      </c>
    </row>
    <row r="137" ht="15.75" hidden="1" customHeight="1">
      <c r="A137" s="172" t="s">
        <v>306</v>
      </c>
      <c r="B137" s="172" t="s">
        <v>52</v>
      </c>
      <c r="C137" s="172">
        <v>32.0</v>
      </c>
      <c r="D137" s="18">
        <v>1.0</v>
      </c>
      <c r="E137" s="172" t="s">
        <v>42</v>
      </c>
      <c r="F137" s="172"/>
      <c r="G137" s="173" t="s">
        <v>307</v>
      </c>
      <c r="H137" s="172">
        <v>25.2</v>
      </c>
      <c r="J137" s="24"/>
    </row>
    <row r="138" ht="15.75" hidden="1" customHeight="1">
      <c r="A138" s="172" t="s">
        <v>306</v>
      </c>
      <c r="B138" s="172" t="s">
        <v>52</v>
      </c>
      <c r="C138" s="172">
        <v>34.0</v>
      </c>
      <c r="D138" s="18">
        <v>1.0</v>
      </c>
      <c r="E138" s="172" t="s">
        <v>39</v>
      </c>
      <c r="F138" s="172"/>
      <c r="G138" s="173" t="s">
        <v>207</v>
      </c>
      <c r="H138" s="172">
        <v>25.0</v>
      </c>
      <c r="J138" s="24"/>
    </row>
    <row r="139" ht="15.75" hidden="1" customHeight="1">
      <c r="A139" s="172" t="s">
        <v>306</v>
      </c>
      <c r="B139" s="172" t="s">
        <v>71</v>
      </c>
      <c r="C139" s="172">
        <v>32.0</v>
      </c>
      <c r="D139" s="18">
        <v>1.0</v>
      </c>
      <c r="E139" s="172" t="s">
        <v>42</v>
      </c>
      <c r="F139" s="172"/>
      <c r="G139" s="173" t="s">
        <v>308</v>
      </c>
      <c r="H139" s="172">
        <v>28.0</v>
      </c>
      <c r="J139" s="24"/>
    </row>
    <row r="140" ht="15.75" hidden="1" customHeight="1">
      <c r="A140" s="172" t="s">
        <v>306</v>
      </c>
      <c r="B140" s="172" t="s">
        <v>45</v>
      </c>
      <c r="C140" s="172">
        <v>36.0</v>
      </c>
      <c r="D140" s="18">
        <v>1.0</v>
      </c>
      <c r="E140" s="172" t="s">
        <v>41</v>
      </c>
      <c r="F140" s="172"/>
      <c r="G140" s="173" t="s">
        <v>309</v>
      </c>
      <c r="H140" s="172">
        <v>22.5</v>
      </c>
      <c r="J140" s="24"/>
    </row>
    <row r="141" ht="15.75" hidden="1" customHeight="1">
      <c r="A141" s="172" t="s">
        <v>306</v>
      </c>
      <c r="B141" s="172" t="s">
        <v>71</v>
      </c>
      <c r="C141" s="172">
        <v>32.0</v>
      </c>
      <c r="D141" s="18">
        <v>1.0</v>
      </c>
      <c r="E141" s="172" t="s">
        <v>41</v>
      </c>
      <c r="F141" s="172"/>
      <c r="G141" s="173" t="s">
        <v>310</v>
      </c>
      <c r="H141" s="172">
        <v>22.0</v>
      </c>
      <c r="J141" s="24"/>
    </row>
    <row r="142" ht="15.75" hidden="1" customHeight="1">
      <c r="A142" s="172" t="s">
        <v>306</v>
      </c>
      <c r="B142" s="172" t="s">
        <v>71</v>
      </c>
      <c r="C142" s="172">
        <v>32.0</v>
      </c>
      <c r="D142" s="18">
        <v>1.0</v>
      </c>
      <c r="E142" s="172" t="s">
        <v>42</v>
      </c>
      <c r="F142" s="172"/>
      <c r="G142" s="173" t="s">
        <v>311</v>
      </c>
      <c r="H142" s="172">
        <v>20.0</v>
      </c>
      <c r="J142" s="24"/>
    </row>
    <row r="143" ht="15.75" hidden="1" customHeight="1">
      <c r="A143" s="172" t="s">
        <v>306</v>
      </c>
      <c r="B143" s="172" t="s">
        <v>52</v>
      </c>
      <c r="C143" s="172">
        <v>32.0</v>
      </c>
      <c r="D143" s="18">
        <v>1.0</v>
      </c>
      <c r="E143" s="172" t="s">
        <v>43</v>
      </c>
      <c r="F143" s="172"/>
      <c r="G143" s="173" t="s">
        <v>312</v>
      </c>
      <c r="H143" s="172">
        <v>23.0</v>
      </c>
      <c r="J143" s="24"/>
    </row>
    <row r="144" ht="15.75" hidden="1" customHeight="1">
      <c r="A144" s="172" t="s">
        <v>306</v>
      </c>
      <c r="B144" s="172" t="s">
        <v>45</v>
      </c>
      <c r="C144" s="172">
        <v>32.0</v>
      </c>
      <c r="D144" s="18">
        <v>1.0</v>
      </c>
      <c r="E144" s="172" t="s">
        <v>43</v>
      </c>
      <c r="F144" s="172"/>
      <c r="G144" s="173" t="s">
        <v>313</v>
      </c>
      <c r="H144" s="172">
        <v>22.0</v>
      </c>
      <c r="J144" s="24"/>
    </row>
    <row r="145" ht="15.75" hidden="1" customHeight="1">
      <c r="A145" s="196" t="s">
        <v>314</v>
      </c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</row>
    <row r="146" ht="15.75" hidden="1" customHeight="1">
      <c r="A146" s="197">
        <v>45992.0</v>
      </c>
      <c r="B146" s="172" t="s">
        <v>45</v>
      </c>
      <c r="C146" s="172">
        <v>32.0</v>
      </c>
      <c r="D146" s="18">
        <v>1.0</v>
      </c>
      <c r="E146" s="172" t="s">
        <v>41</v>
      </c>
      <c r="F146" s="172"/>
      <c r="G146" s="173" t="s">
        <v>315</v>
      </c>
      <c r="H146" s="172">
        <v>23.0</v>
      </c>
      <c r="J146" s="24"/>
    </row>
    <row r="147" ht="15.75" hidden="1" customHeight="1">
      <c r="A147" s="197">
        <v>45992.0</v>
      </c>
      <c r="B147" s="172" t="s">
        <v>52</v>
      </c>
      <c r="C147" s="172">
        <v>32.0</v>
      </c>
      <c r="D147" s="18">
        <v>1.0</v>
      </c>
      <c r="E147" s="172" t="s">
        <v>41</v>
      </c>
      <c r="F147" s="172"/>
      <c r="G147" s="173" t="s">
        <v>315</v>
      </c>
      <c r="H147" s="172">
        <v>23.0</v>
      </c>
      <c r="J147" s="24"/>
    </row>
    <row r="148" ht="15.75" hidden="1" customHeight="1">
      <c r="A148" s="197">
        <v>45992.0</v>
      </c>
      <c r="B148" s="172" t="s">
        <v>71</v>
      </c>
      <c r="C148" s="172">
        <v>32.0</v>
      </c>
      <c r="D148" s="18">
        <v>1.0</v>
      </c>
      <c r="E148" s="172" t="s">
        <v>41</v>
      </c>
      <c r="F148" s="172"/>
      <c r="G148" s="173" t="s">
        <v>315</v>
      </c>
      <c r="H148" s="172">
        <v>23.0</v>
      </c>
      <c r="J148" s="24"/>
    </row>
    <row r="149" ht="15.75" hidden="1" customHeight="1">
      <c r="A149" s="197">
        <v>45992.0</v>
      </c>
      <c r="B149" s="172" t="s">
        <v>45</v>
      </c>
      <c r="C149" s="172">
        <v>34.0</v>
      </c>
      <c r="D149" s="18">
        <v>1.0</v>
      </c>
      <c r="E149" s="172" t="s">
        <v>41</v>
      </c>
      <c r="F149" s="172"/>
      <c r="G149" s="173" t="s">
        <v>316</v>
      </c>
      <c r="H149" s="172">
        <v>28.0</v>
      </c>
      <c r="J149" s="24"/>
    </row>
    <row r="150" ht="15.75" hidden="1" customHeight="1">
      <c r="A150" s="197">
        <v>45992.0</v>
      </c>
      <c r="B150" s="172" t="s">
        <v>52</v>
      </c>
      <c r="C150" s="172">
        <v>34.0</v>
      </c>
      <c r="D150" s="18">
        <v>1.0</v>
      </c>
      <c r="E150" s="172" t="s">
        <v>41</v>
      </c>
      <c r="F150" s="172"/>
      <c r="G150" s="173" t="s">
        <v>317</v>
      </c>
      <c r="H150" s="172">
        <v>28.0</v>
      </c>
      <c r="J150" s="24"/>
      <c r="K150" s="173" t="s">
        <v>138</v>
      </c>
    </row>
    <row r="151" ht="15.75" hidden="1" customHeight="1">
      <c r="A151" s="197">
        <v>45992.0</v>
      </c>
      <c r="B151" s="172" t="s">
        <v>45</v>
      </c>
      <c r="C151" s="172">
        <v>32.0</v>
      </c>
      <c r="D151" s="18">
        <v>1.0</v>
      </c>
      <c r="E151" s="172" t="s">
        <v>42</v>
      </c>
      <c r="F151" s="172"/>
      <c r="G151" s="173" t="s">
        <v>318</v>
      </c>
      <c r="H151" s="172">
        <v>24.0</v>
      </c>
      <c r="J151" s="24"/>
    </row>
    <row r="152" ht="15.75" hidden="1" customHeight="1">
      <c r="A152" s="197">
        <v>45992.0</v>
      </c>
      <c r="B152" s="172" t="s">
        <v>52</v>
      </c>
      <c r="C152" s="172">
        <v>32.0</v>
      </c>
      <c r="D152" s="18">
        <v>1.0</v>
      </c>
      <c r="E152" s="172" t="s">
        <v>43</v>
      </c>
      <c r="F152" s="172"/>
      <c r="G152" s="173" t="s">
        <v>287</v>
      </c>
      <c r="H152" s="172">
        <v>29.0</v>
      </c>
      <c r="J152" s="24"/>
    </row>
    <row r="153" ht="15.75" hidden="1" customHeight="1">
      <c r="A153" s="197">
        <v>45992.0</v>
      </c>
      <c r="B153" s="172" t="s">
        <v>63</v>
      </c>
      <c r="C153" s="172">
        <v>34.0</v>
      </c>
      <c r="D153" s="18">
        <v>1.0</v>
      </c>
      <c r="E153" s="172" t="s">
        <v>39</v>
      </c>
      <c r="F153" s="172"/>
      <c r="G153" s="173" t="s">
        <v>319</v>
      </c>
      <c r="H153" s="172">
        <v>28.0</v>
      </c>
      <c r="J153" s="24"/>
      <c r="K153" s="173" t="s">
        <v>207</v>
      </c>
    </row>
    <row r="154" ht="15.75" hidden="1" customHeight="1">
      <c r="A154" s="197">
        <v>45992.0</v>
      </c>
      <c r="B154" s="172" t="s">
        <v>46</v>
      </c>
      <c r="C154" s="172">
        <v>36.0</v>
      </c>
      <c r="D154" s="18">
        <v>1.0</v>
      </c>
      <c r="E154" s="172" t="s">
        <v>39</v>
      </c>
      <c r="F154" s="172"/>
      <c r="G154" s="173" t="s">
        <v>320</v>
      </c>
      <c r="H154" s="172">
        <v>40.0</v>
      </c>
      <c r="J154" s="24"/>
    </row>
    <row r="155" ht="15.75" hidden="1" customHeight="1">
      <c r="A155" s="197">
        <v>45992.0</v>
      </c>
      <c r="B155" s="172" t="s">
        <v>45</v>
      </c>
      <c r="C155" s="172">
        <v>32.0</v>
      </c>
      <c r="D155" s="18">
        <v>1.0</v>
      </c>
      <c r="E155" s="172" t="s">
        <v>41</v>
      </c>
      <c r="F155" s="172"/>
      <c r="G155" s="173" t="s">
        <v>321</v>
      </c>
      <c r="H155" s="172">
        <v>23.0</v>
      </c>
      <c r="J155" s="24"/>
    </row>
    <row r="156" ht="15.75" hidden="1" customHeight="1">
      <c r="A156" s="197">
        <v>45992.0</v>
      </c>
      <c r="B156" s="172" t="s">
        <v>52</v>
      </c>
      <c r="C156" s="172">
        <v>32.0</v>
      </c>
      <c r="D156" s="167">
        <v>1.0</v>
      </c>
      <c r="E156" s="172" t="s">
        <v>39</v>
      </c>
      <c r="F156" s="172"/>
      <c r="G156" s="173" t="s">
        <v>322</v>
      </c>
      <c r="H156" s="172">
        <v>23.0</v>
      </c>
      <c r="J156" s="24"/>
      <c r="K156" s="173" t="s">
        <v>207</v>
      </c>
    </row>
    <row r="157" ht="15.75" hidden="1" customHeight="1">
      <c r="A157" s="197">
        <v>45992.0</v>
      </c>
      <c r="B157" s="172" t="s">
        <v>52</v>
      </c>
      <c r="C157" s="172">
        <v>32.0</v>
      </c>
      <c r="D157" s="18">
        <v>1.0</v>
      </c>
      <c r="E157" s="172" t="s">
        <v>41</v>
      </c>
      <c r="F157" s="172"/>
      <c r="G157" s="173" t="s">
        <v>321</v>
      </c>
      <c r="H157" s="172">
        <v>23.0</v>
      </c>
      <c r="J157" s="24"/>
    </row>
    <row r="158" ht="15.75" hidden="1" customHeight="1">
      <c r="A158" s="197">
        <v>45992.0</v>
      </c>
      <c r="B158" s="172" t="s">
        <v>63</v>
      </c>
      <c r="C158" s="172">
        <v>34.0</v>
      </c>
      <c r="D158" s="18">
        <v>1.0</v>
      </c>
      <c r="E158" s="172" t="s">
        <v>39</v>
      </c>
      <c r="F158" s="172"/>
      <c r="G158" s="173" t="s">
        <v>323</v>
      </c>
      <c r="H158" s="172">
        <v>22.5</v>
      </c>
      <c r="J158" s="24"/>
      <c r="K158" s="173" t="s">
        <v>48</v>
      </c>
    </row>
    <row r="159" ht="15.75" hidden="1" customHeight="1">
      <c r="A159" s="197">
        <v>45992.0</v>
      </c>
      <c r="B159" s="172" t="s">
        <v>52</v>
      </c>
      <c r="C159" s="172">
        <v>32.0</v>
      </c>
      <c r="D159" s="18">
        <v>1.0</v>
      </c>
      <c r="E159" s="172" t="s">
        <v>42</v>
      </c>
      <c r="F159" s="172"/>
      <c r="G159" s="173" t="s">
        <v>324</v>
      </c>
      <c r="H159" s="172">
        <v>28.0</v>
      </c>
      <c r="J159" s="24"/>
    </row>
    <row r="160" ht="15.75" hidden="1" customHeight="1">
      <c r="A160" s="197">
        <v>45993.0</v>
      </c>
      <c r="B160" s="172" t="s">
        <v>71</v>
      </c>
      <c r="C160" s="172">
        <v>36.0</v>
      </c>
      <c r="D160" s="167">
        <v>1.0</v>
      </c>
      <c r="E160" s="172" t="s">
        <v>42</v>
      </c>
      <c r="F160" s="172"/>
      <c r="G160" s="173" t="s">
        <v>325</v>
      </c>
      <c r="H160" s="172">
        <v>25.2</v>
      </c>
      <c r="J160" s="24"/>
    </row>
    <row r="161" ht="15.75" hidden="1" customHeight="1">
      <c r="A161" s="197">
        <v>45993.0</v>
      </c>
      <c r="B161" s="172" t="s">
        <v>71</v>
      </c>
      <c r="C161" s="172">
        <v>36.0</v>
      </c>
      <c r="D161" s="18">
        <v>1.0</v>
      </c>
      <c r="E161" s="172" t="s">
        <v>42</v>
      </c>
      <c r="F161" s="172"/>
      <c r="G161" s="173" t="s">
        <v>326</v>
      </c>
      <c r="H161" s="172">
        <v>21.0</v>
      </c>
      <c r="J161" s="24"/>
    </row>
    <row r="162" ht="15.75" hidden="1" customHeight="1">
      <c r="A162" s="197">
        <v>45993.0</v>
      </c>
      <c r="B162" s="172" t="s">
        <v>52</v>
      </c>
      <c r="C162" s="172">
        <v>32.0</v>
      </c>
      <c r="D162" s="18">
        <v>1.0</v>
      </c>
      <c r="E162" s="172" t="s">
        <v>43</v>
      </c>
      <c r="F162" s="172"/>
      <c r="G162" s="173" t="s">
        <v>327</v>
      </c>
      <c r="H162" s="172">
        <v>21.5</v>
      </c>
      <c r="J162" s="24"/>
    </row>
    <row r="163" ht="15.75" hidden="1" customHeight="1">
      <c r="A163" s="197">
        <v>45993.0</v>
      </c>
      <c r="B163" s="172" t="s">
        <v>52</v>
      </c>
      <c r="C163" s="172">
        <v>32.0</v>
      </c>
      <c r="D163" s="18">
        <v>1.0</v>
      </c>
      <c r="E163" s="172" t="s">
        <v>42</v>
      </c>
      <c r="F163" s="172"/>
      <c r="G163" s="173" t="s">
        <v>328</v>
      </c>
      <c r="H163" s="172">
        <v>25.0</v>
      </c>
      <c r="J163" s="24"/>
    </row>
    <row r="164" ht="15.75" hidden="1" customHeight="1">
      <c r="A164" s="197">
        <v>45993.0</v>
      </c>
      <c r="B164" s="172" t="s">
        <v>46</v>
      </c>
      <c r="C164" s="172">
        <v>34.0</v>
      </c>
      <c r="D164" s="18">
        <v>1.0</v>
      </c>
      <c r="E164" s="172" t="s">
        <v>39</v>
      </c>
      <c r="F164" s="172"/>
      <c r="G164" s="173" t="s">
        <v>329</v>
      </c>
      <c r="H164" s="172">
        <v>55.0</v>
      </c>
      <c r="J164" s="24"/>
      <c r="K164" s="173" t="s">
        <v>207</v>
      </c>
    </row>
    <row r="165" ht="15.75" hidden="1" customHeight="1">
      <c r="A165" s="197">
        <v>45993.0</v>
      </c>
      <c r="B165" s="172" t="s">
        <v>71</v>
      </c>
      <c r="C165" s="172">
        <v>34.0</v>
      </c>
      <c r="D165" s="18">
        <v>1.0</v>
      </c>
      <c r="E165" s="172" t="s">
        <v>42</v>
      </c>
      <c r="F165" s="172"/>
      <c r="G165" s="173" t="s">
        <v>330</v>
      </c>
      <c r="H165" s="172">
        <v>21.0</v>
      </c>
      <c r="J165" s="24"/>
    </row>
    <row r="166" ht="15.75" hidden="1" customHeight="1">
      <c r="A166" s="197">
        <v>45993.0</v>
      </c>
      <c r="B166" s="172" t="s">
        <v>45</v>
      </c>
      <c r="C166" s="172">
        <v>32.0</v>
      </c>
      <c r="D166" s="18">
        <v>1.0</v>
      </c>
      <c r="E166" s="172" t="s">
        <v>331</v>
      </c>
      <c r="F166" s="180"/>
      <c r="G166" s="181" t="s">
        <v>332</v>
      </c>
      <c r="H166" s="172">
        <v>25.0</v>
      </c>
      <c r="J166" s="24"/>
    </row>
    <row r="167" ht="15.75" hidden="1" customHeight="1">
      <c r="A167" s="197">
        <v>45994.0</v>
      </c>
      <c r="B167" s="172" t="s">
        <v>71</v>
      </c>
      <c r="C167" s="172">
        <v>34.0</v>
      </c>
      <c r="D167" s="18">
        <v>1.0</v>
      </c>
      <c r="E167" s="172" t="s">
        <v>43</v>
      </c>
      <c r="F167" s="172"/>
      <c r="G167" s="173" t="s">
        <v>333</v>
      </c>
      <c r="H167" s="172">
        <v>24.0</v>
      </c>
      <c r="J167" s="24"/>
    </row>
    <row r="168" ht="15.75" hidden="1" customHeight="1">
      <c r="A168" s="197">
        <v>45995.0</v>
      </c>
      <c r="B168" s="172" t="s">
        <v>71</v>
      </c>
      <c r="C168" s="172">
        <v>34.0</v>
      </c>
      <c r="D168" s="167">
        <v>1.0</v>
      </c>
      <c r="E168" s="172" t="s">
        <v>42</v>
      </c>
      <c r="F168" s="172"/>
      <c r="G168" s="173" t="s">
        <v>334</v>
      </c>
      <c r="H168" s="172">
        <v>28.0</v>
      </c>
      <c r="J168" s="24"/>
      <c r="K168" s="173" t="s">
        <v>207</v>
      </c>
    </row>
    <row r="169" ht="15.75" hidden="1" customHeight="1">
      <c r="A169" s="197">
        <v>45995.0</v>
      </c>
      <c r="B169" s="172" t="s">
        <v>71</v>
      </c>
      <c r="C169" s="172">
        <v>34.0</v>
      </c>
      <c r="D169" s="167">
        <v>1.0</v>
      </c>
      <c r="E169" s="172" t="s">
        <v>43</v>
      </c>
      <c r="F169" s="180"/>
      <c r="G169" s="181" t="s">
        <v>335</v>
      </c>
      <c r="H169" s="172">
        <v>21.5</v>
      </c>
      <c r="J169" s="24"/>
    </row>
    <row r="170" ht="15.75" hidden="1" customHeight="1">
      <c r="A170" s="197">
        <v>45995.0</v>
      </c>
      <c r="B170" s="172" t="s">
        <v>71</v>
      </c>
      <c r="C170" s="172">
        <v>34.0</v>
      </c>
      <c r="D170" s="167">
        <v>1.0</v>
      </c>
      <c r="E170" s="172" t="s">
        <v>39</v>
      </c>
      <c r="F170" s="172"/>
      <c r="G170" s="173" t="s">
        <v>336</v>
      </c>
      <c r="H170" s="172">
        <v>25.0</v>
      </c>
      <c r="J170" s="24"/>
    </row>
    <row r="171" ht="15.75" hidden="1" customHeight="1">
      <c r="A171" s="197">
        <v>45996.0</v>
      </c>
      <c r="B171" s="172" t="s">
        <v>71</v>
      </c>
      <c r="C171" s="172">
        <v>34.0</v>
      </c>
      <c r="D171" s="167">
        <v>1.0</v>
      </c>
      <c r="E171" s="172" t="s">
        <v>39</v>
      </c>
      <c r="F171" s="172"/>
      <c r="G171" s="173" t="s">
        <v>337</v>
      </c>
      <c r="H171" s="172">
        <v>22.0</v>
      </c>
      <c r="J171" s="24"/>
      <c r="K171" s="173" t="s">
        <v>207</v>
      </c>
    </row>
    <row r="172" ht="15.75" hidden="1" customHeight="1">
      <c r="A172" s="197">
        <v>45997.0</v>
      </c>
      <c r="B172" s="172" t="s">
        <v>71</v>
      </c>
      <c r="C172" s="172">
        <v>34.0</v>
      </c>
      <c r="D172" s="18">
        <v>1.0</v>
      </c>
      <c r="E172" s="172" t="s">
        <v>39</v>
      </c>
      <c r="F172" s="172"/>
      <c r="G172" s="173" t="s">
        <v>338</v>
      </c>
      <c r="H172" s="172">
        <v>28.0</v>
      </c>
      <c r="J172" s="24"/>
      <c r="K172" s="173" t="s">
        <v>207</v>
      </c>
    </row>
    <row r="173" ht="15.75" hidden="1" customHeight="1">
      <c r="A173" s="197">
        <v>45997.0</v>
      </c>
      <c r="B173" s="172" t="s">
        <v>63</v>
      </c>
      <c r="C173" s="172">
        <v>34.0</v>
      </c>
      <c r="D173" s="18">
        <v>1.0</v>
      </c>
      <c r="E173" s="172" t="s">
        <v>39</v>
      </c>
      <c r="F173" s="172"/>
      <c r="G173" s="173" t="s">
        <v>339</v>
      </c>
      <c r="H173" s="172">
        <v>22.5</v>
      </c>
      <c r="J173" s="24"/>
      <c r="K173" s="173" t="s">
        <v>207</v>
      </c>
    </row>
    <row r="174" ht="15.75" hidden="1" customHeight="1">
      <c r="A174" s="197">
        <v>45997.0</v>
      </c>
      <c r="B174" s="172" t="s">
        <v>71</v>
      </c>
      <c r="C174" s="172">
        <v>34.0</v>
      </c>
      <c r="D174" s="18">
        <v>1.0</v>
      </c>
      <c r="E174" s="172" t="s">
        <v>39</v>
      </c>
      <c r="F174" s="172"/>
      <c r="G174" s="173" t="s">
        <v>339</v>
      </c>
      <c r="H174" s="172">
        <v>22.5</v>
      </c>
      <c r="J174" s="24"/>
      <c r="K174" s="173" t="s">
        <v>207</v>
      </c>
    </row>
    <row r="175" ht="15.75" hidden="1" customHeight="1">
      <c r="A175" s="197">
        <v>45998.0</v>
      </c>
      <c r="B175" s="172" t="s">
        <v>71</v>
      </c>
      <c r="C175" s="172">
        <v>34.0</v>
      </c>
      <c r="D175" s="18">
        <v>1.0</v>
      </c>
      <c r="E175" s="172" t="s">
        <v>39</v>
      </c>
      <c r="F175" s="172"/>
      <c r="G175" s="173" t="s">
        <v>340</v>
      </c>
      <c r="H175" s="172">
        <v>25.0</v>
      </c>
      <c r="J175" s="24"/>
      <c r="K175" s="173" t="s">
        <v>207</v>
      </c>
    </row>
    <row r="176" ht="15.75" hidden="1" customHeight="1">
      <c r="A176" s="197">
        <v>45999.0</v>
      </c>
      <c r="B176" s="172" t="s">
        <v>63</v>
      </c>
      <c r="C176" s="172">
        <v>34.0</v>
      </c>
      <c r="D176" s="18">
        <v>1.0</v>
      </c>
      <c r="E176" s="172" t="s">
        <v>39</v>
      </c>
      <c r="F176" s="172"/>
      <c r="G176" s="173" t="s">
        <v>341</v>
      </c>
      <c r="H176" s="172">
        <v>28.0</v>
      </c>
      <c r="J176" s="24"/>
      <c r="K176" s="173" t="s">
        <v>48</v>
      </c>
    </row>
    <row r="177" ht="15.75" hidden="1" customHeight="1">
      <c r="A177" s="197">
        <v>46000.0</v>
      </c>
      <c r="B177" s="172" t="s">
        <v>71</v>
      </c>
      <c r="C177" s="172">
        <v>36.0</v>
      </c>
      <c r="D177" s="18">
        <v>1.0</v>
      </c>
      <c r="E177" s="172" t="s">
        <v>39</v>
      </c>
      <c r="F177" s="172"/>
      <c r="G177" s="173" t="s">
        <v>342</v>
      </c>
      <c r="H177" s="172">
        <v>28.0</v>
      </c>
      <c r="J177" s="24"/>
      <c r="K177" s="173" t="s">
        <v>48</v>
      </c>
    </row>
    <row r="178" ht="15.75" hidden="1" customHeight="1">
      <c r="A178" s="197">
        <v>46000.0</v>
      </c>
      <c r="B178" s="172" t="s">
        <v>45</v>
      </c>
      <c r="C178" s="172">
        <v>32.0</v>
      </c>
      <c r="D178" s="18">
        <v>1.0</v>
      </c>
      <c r="E178" s="172" t="s">
        <v>331</v>
      </c>
      <c r="F178" s="172"/>
      <c r="G178" s="198" t="s">
        <v>343</v>
      </c>
      <c r="H178" s="172">
        <v>28.0</v>
      </c>
      <c r="J178" s="24"/>
    </row>
    <row r="179" ht="15.75" hidden="1" customHeight="1">
      <c r="A179" s="199">
        <v>45998.0</v>
      </c>
      <c r="B179" s="169" t="s">
        <v>45</v>
      </c>
      <c r="C179" s="169">
        <v>32.0</v>
      </c>
      <c r="D179" s="120">
        <v>1.0</v>
      </c>
      <c r="E179" s="169" t="s">
        <v>43</v>
      </c>
      <c r="F179" s="169"/>
      <c r="G179" s="170" t="s">
        <v>344</v>
      </c>
      <c r="H179" s="169">
        <v>25.0</v>
      </c>
      <c r="I179" s="170"/>
      <c r="J179" s="22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  <c r="AF179" s="170"/>
      <c r="AG179" s="170"/>
      <c r="AH179" s="170"/>
    </row>
    <row r="180" ht="15.75" hidden="1" customHeight="1">
      <c r="A180" s="199">
        <v>45999.0</v>
      </c>
      <c r="B180" s="169" t="s">
        <v>52</v>
      </c>
      <c r="C180" s="169">
        <v>34.0</v>
      </c>
      <c r="D180" s="120">
        <v>1.0</v>
      </c>
      <c r="E180" s="169" t="s">
        <v>42</v>
      </c>
      <c r="F180" s="169"/>
      <c r="G180" s="170" t="s">
        <v>345</v>
      </c>
      <c r="H180" s="169">
        <v>22.0</v>
      </c>
      <c r="I180" s="170"/>
      <c r="J180" s="22"/>
      <c r="K180" s="171" t="s">
        <v>48</v>
      </c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  <c r="AF180" s="170"/>
      <c r="AG180" s="170"/>
      <c r="AH180" s="170"/>
    </row>
    <row r="181" ht="15.75" hidden="1" customHeight="1">
      <c r="A181" s="199">
        <v>45999.0</v>
      </c>
      <c r="B181" s="169" t="s">
        <v>45</v>
      </c>
      <c r="C181" s="169">
        <v>32.0</v>
      </c>
      <c r="D181" s="120">
        <v>1.0</v>
      </c>
      <c r="E181" s="169" t="s">
        <v>39</v>
      </c>
      <c r="F181" s="169"/>
      <c r="G181" s="170" t="s">
        <v>346</v>
      </c>
      <c r="H181" s="169">
        <v>25.0</v>
      </c>
      <c r="I181" s="170"/>
      <c r="J181" s="22"/>
      <c r="K181" s="171" t="s">
        <v>48</v>
      </c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  <c r="AF181" s="170"/>
      <c r="AG181" s="170"/>
      <c r="AH181" s="170"/>
    </row>
    <row r="182" ht="15.75" hidden="1" customHeight="1">
      <c r="A182" s="199">
        <v>45999.0</v>
      </c>
      <c r="B182" s="169" t="s">
        <v>52</v>
      </c>
      <c r="C182" s="169">
        <v>34.0</v>
      </c>
      <c r="D182" s="120">
        <v>1.0</v>
      </c>
      <c r="E182" s="169" t="s">
        <v>43</v>
      </c>
      <c r="F182" s="200"/>
      <c r="G182" s="201" t="s">
        <v>347</v>
      </c>
      <c r="H182" s="169">
        <v>23.0</v>
      </c>
      <c r="I182" s="170"/>
      <c r="J182" s="22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  <c r="AF182" s="170"/>
      <c r="AG182" s="170"/>
      <c r="AH182" s="170"/>
    </row>
    <row r="183" ht="15.75" hidden="1" customHeight="1">
      <c r="A183" s="197">
        <v>46000.0</v>
      </c>
      <c r="B183" s="169" t="s">
        <v>45</v>
      </c>
      <c r="C183" s="169">
        <v>32.0</v>
      </c>
      <c r="D183" s="120">
        <v>1.0</v>
      </c>
      <c r="E183" s="169" t="s">
        <v>43</v>
      </c>
      <c r="F183" s="172"/>
      <c r="G183" s="173" t="s">
        <v>348</v>
      </c>
      <c r="H183" s="172">
        <v>25.0</v>
      </c>
      <c r="J183" s="24"/>
    </row>
    <row r="184" ht="15.75" hidden="1" customHeight="1">
      <c r="A184" s="199">
        <v>45998.0</v>
      </c>
      <c r="B184" s="169" t="s">
        <v>52</v>
      </c>
      <c r="C184" s="169">
        <v>34.0</v>
      </c>
      <c r="D184" s="120">
        <v>1.0</v>
      </c>
      <c r="E184" s="169" t="s">
        <v>331</v>
      </c>
      <c r="F184" s="203"/>
      <c r="G184" s="204" t="s">
        <v>352</v>
      </c>
      <c r="H184" s="169">
        <v>23.0</v>
      </c>
      <c r="I184" s="170"/>
      <c r="J184" s="22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  <c r="AC184" s="170"/>
      <c r="AD184" s="170"/>
      <c r="AE184" s="170"/>
      <c r="AF184" s="170"/>
      <c r="AG184" s="170"/>
      <c r="AH184" s="170"/>
    </row>
    <row r="185" ht="15.75" hidden="1" customHeight="1">
      <c r="A185" s="199">
        <v>45997.0</v>
      </c>
      <c r="B185" s="169" t="s">
        <v>45</v>
      </c>
      <c r="C185" s="169">
        <v>32.0</v>
      </c>
      <c r="D185" s="120">
        <v>1.0</v>
      </c>
      <c r="E185" s="169" t="s">
        <v>43</v>
      </c>
      <c r="F185" s="169"/>
      <c r="G185" s="170" t="s">
        <v>371</v>
      </c>
      <c r="H185" s="169">
        <v>29.0</v>
      </c>
      <c r="I185" s="170"/>
      <c r="J185" s="22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  <c r="AF185" s="170"/>
      <c r="AG185" s="170"/>
      <c r="AH185" s="170"/>
    </row>
    <row r="186" ht="15.75" hidden="1" customHeight="1">
      <c r="A186" s="197">
        <v>46000.0</v>
      </c>
      <c r="B186" s="172" t="s">
        <v>45</v>
      </c>
      <c r="C186" s="172">
        <v>32.0</v>
      </c>
      <c r="D186" s="18">
        <v>1.0</v>
      </c>
      <c r="E186" s="172" t="s">
        <v>331</v>
      </c>
      <c r="F186" s="172"/>
      <c r="G186" s="198" t="s">
        <v>381</v>
      </c>
      <c r="H186" s="172">
        <v>28.0</v>
      </c>
      <c r="J186" s="24"/>
    </row>
    <row r="187" ht="15.75" hidden="1" customHeight="1">
      <c r="A187" s="199">
        <v>45998.0</v>
      </c>
      <c r="B187" s="169" t="s">
        <v>52</v>
      </c>
      <c r="C187" s="169">
        <v>34.0</v>
      </c>
      <c r="D187" s="120">
        <v>1.0</v>
      </c>
      <c r="E187" s="169" t="s">
        <v>39</v>
      </c>
      <c r="F187" s="169"/>
      <c r="G187" s="170" t="s">
        <v>391</v>
      </c>
      <c r="H187" s="169">
        <v>28.0</v>
      </c>
      <c r="I187" s="170"/>
      <c r="J187" s="22"/>
      <c r="K187" s="171" t="s">
        <v>48</v>
      </c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  <c r="AF187" s="170"/>
      <c r="AG187" s="170"/>
      <c r="AH187" s="170"/>
    </row>
    <row r="188" ht="15.75" hidden="1" customHeight="1">
      <c r="A188" s="197">
        <v>46000.0</v>
      </c>
      <c r="B188" s="172" t="s">
        <v>45</v>
      </c>
      <c r="C188" s="172">
        <v>32.0</v>
      </c>
      <c r="D188" s="18">
        <v>1.0</v>
      </c>
      <c r="E188" s="172" t="s">
        <v>42</v>
      </c>
      <c r="F188" s="172"/>
      <c r="G188" s="173" t="s">
        <v>402</v>
      </c>
      <c r="H188" s="172">
        <v>22.0</v>
      </c>
      <c r="J188" s="24"/>
      <c r="K188" s="173" t="s">
        <v>48</v>
      </c>
    </row>
    <row r="189" ht="15.75" hidden="1" customHeight="1">
      <c r="A189" s="206">
        <v>46001.0</v>
      </c>
      <c r="B189" s="172" t="s">
        <v>45</v>
      </c>
      <c r="C189" s="172">
        <v>32.0</v>
      </c>
      <c r="D189" s="18">
        <v>1.0</v>
      </c>
      <c r="E189" s="172" t="s">
        <v>331</v>
      </c>
      <c r="F189" s="172"/>
      <c r="G189" s="198" t="s">
        <v>409</v>
      </c>
      <c r="H189" s="172">
        <v>23.0</v>
      </c>
      <c r="J189" s="24"/>
    </row>
    <row r="190" ht="15.75" hidden="1" customHeight="1">
      <c r="A190" s="199">
        <v>46000.0</v>
      </c>
      <c r="B190" s="179" t="s">
        <v>45</v>
      </c>
      <c r="C190" s="179">
        <v>34.0</v>
      </c>
      <c r="D190" s="120">
        <v>1.0</v>
      </c>
      <c r="E190" s="169" t="s">
        <v>43</v>
      </c>
      <c r="F190" s="169"/>
      <c r="G190" s="170" t="s">
        <v>433</v>
      </c>
      <c r="H190" s="179">
        <v>25.0</v>
      </c>
      <c r="I190" s="170"/>
      <c r="J190" s="22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  <c r="AF190" s="170"/>
      <c r="AG190" s="170"/>
      <c r="AH190" s="170"/>
    </row>
    <row r="191" ht="15.75" hidden="1" customHeight="1">
      <c r="A191" s="206">
        <v>46001.0</v>
      </c>
      <c r="B191" s="172" t="s">
        <v>46</v>
      </c>
      <c r="C191" s="172">
        <v>34.0</v>
      </c>
      <c r="D191" s="18">
        <v>1.0</v>
      </c>
      <c r="E191" s="172" t="s">
        <v>39</v>
      </c>
      <c r="F191" s="172"/>
      <c r="G191" s="173" t="s">
        <v>440</v>
      </c>
      <c r="H191" s="172">
        <v>52.0</v>
      </c>
      <c r="J191" s="24"/>
      <c r="K191" s="173" t="s">
        <v>48</v>
      </c>
    </row>
    <row r="192" ht="15.75" hidden="1" customHeight="1">
      <c r="A192" s="207">
        <v>46002.0</v>
      </c>
      <c r="B192" s="172" t="s">
        <v>46</v>
      </c>
      <c r="C192" s="172">
        <v>34.0</v>
      </c>
      <c r="D192" s="18">
        <v>1.0</v>
      </c>
      <c r="E192" s="172" t="s">
        <v>39</v>
      </c>
      <c r="F192" s="172"/>
      <c r="G192" s="173" t="s">
        <v>454</v>
      </c>
      <c r="H192" s="172">
        <v>55.0</v>
      </c>
      <c r="J192" s="24"/>
      <c r="K192" s="173" t="s">
        <v>48</v>
      </c>
    </row>
    <row r="193" ht="15.75" hidden="1" customHeight="1">
      <c r="A193" s="207">
        <v>46002.0</v>
      </c>
      <c r="B193" s="172" t="s">
        <v>45</v>
      </c>
      <c r="C193" s="172">
        <v>32.0</v>
      </c>
      <c r="D193" s="18">
        <v>1.0</v>
      </c>
      <c r="E193" s="172" t="s">
        <v>43</v>
      </c>
      <c r="F193" s="172"/>
      <c r="G193" s="173" t="s">
        <v>463</v>
      </c>
      <c r="H193" s="172">
        <v>25.0</v>
      </c>
      <c r="J193" s="24"/>
    </row>
    <row r="194" ht="15.75" hidden="1" customHeight="1">
      <c r="A194" s="206">
        <v>46002.0</v>
      </c>
      <c r="B194" s="172" t="s">
        <v>45</v>
      </c>
      <c r="C194" s="172">
        <v>32.0</v>
      </c>
      <c r="D194" s="18">
        <v>1.0</v>
      </c>
      <c r="E194" s="172" t="s">
        <v>331</v>
      </c>
      <c r="F194" s="172"/>
      <c r="G194" s="198" t="s">
        <v>469</v>
      </c>
      <c r="H194" s="172">
        <v>28.0</v>
      </c>
      <c r="J194" s="24"/>
    </row>
    <row r="195" ht="15.75" hidden="1" customHeight="1">
      <c r="A195" s="206">
        <v>46002.0</v>
      </c>
      <c r="B195" s="172" t="s">
        <v>45</v>
      </c>
      <c r="C195" s="172">
        <v>34.0</v>
      </c>
      <c r="D195" s="18">
        <v>1.0</v>
      </c>
      <c r="E195" s="172" t="s">
        <v>39</v>
      </c>
      <c r="F195" s="172"/>
      <c r="G195" s="173" t="s">
        <v>492</v>
      </c>
      <c r="H195" s="172">
        <v>23.0</v>
      </c>
      <c r="J195" s="24"/>
      <c r="K195" s="173" t="s">
        <v>207</v>
      </c>
    </row>
    <row r="196" ht="15.75" hidden="1" customHeight="1">
      <c r="A196" s="206">
        <v>46002.0</v>
      </c>
      <c r="B196" s="172" t="s">
        <v>45</v>
      </c>
      <c r="C196" s="172">
        <v>32.0</v>
      </c>
      <c r="D196" s="18">
        <v>1.0</v>
      </c>
      <c r="E196" s="172" t="s">
        <v>42</v>
      </c>
      <c r="F196" s="172"/>
      <c r="G196" s="173" t="s">
        <v>499</v>
      </c>
      <c r="H196" s="172">
        <v>28.0</v>
      </c>
      <c r="J196" s="24"/>
      <c r="K196" s="173" t="s">
        <v>207</v>
      </c>
    </row>
    <row r="197" ht="15.75" hidden="1" customHeight="1">
      <c r="A197" s="206">
        <v>46002.0</v>
      </c>
      <c r="B197" s="172" t="s">
        <v>45</v>
      </c>
      <c r="C197" s="172">
        <v>34.0</v>
      </c>
      <c r="D197" s="18">
        <v>1.0</v>
      </c>
      <c r="E197" s="172" t="s">
        <v>43</v>
      </c>
      <c r="F197" s="172"/>
      <c r="G197" s="173" t="s">
        <v>507</v>
      </c>
      <c r="H197" s="172">
        <v>29.0</v>
      </c>
      <c r="J197" s="24"/>
    </row>
    <row r="198" ht="15.75" hidden="1" customHeight="1">
      <c r="A198" s="206">
        <v>46002.0</v>
      </c>
      <c r="B198" s="172" t="s">
        <v>45</v>
      </c>
      <c r="C198" s="172">
        <v>34.0</v>
      </c>
      <c r="D198" s="18">
        <v>1.0</v>
      </c>
      <c r="E198" s="172" t="s">
        <v>43</v>
      </c>
      <c r="F198" s="172"/>
      <c r="G198" s="173" t="s">
        <v>520</v>
      </c>
      <c r="H198" s="161"/>
      <c r="J198" s="24"/>
    </row>
    <row r="199" ht="15.75" hidden="1" customHeight="1">
      <c r="A199" s="206">
        <v>46002.0</v>
      </c>
      <c r="B199" s="172" t="s">
        <v>71</v>
      </c>
      <c r="C199" s="172">
        <v>34.0</v>
      </c>
      <c r="D199" s="18">
        <v>1.0</v>
      </c>
      <c r="E199" s="172" t="s">
        <v>39</v>
      </c>
      <c r="F199" s="172"/>
      <c r="G199" s="173" t="s">
        <v>533</v>
      </c>
      <c r="H199" s="172">
        <v>28.0</v>
      </c>
      <c r="J199" s="24"/>
      <c r="K199" s="173" t="s">
        <v>48</v>
      </c>
    </row>
    <row r="200" ht="15.75" hidden="1" customHeight="1">
      <c r="A200" s="206">
        <v>46003.0</v>
      </c>
      <c r="B200" s="172" t="s">
        <v>45</v>
      </c>
      <c r="C200" s="172">
        <v>34.0</v>
      </c>
      <c r="D200" s="18">
        <v>1.0</v>
      </c>
      <c r="E200" s="172" t="s">
        <v>39</v>
      </c>
      <c r="F200" s="172"/>
      <c r="G200" s="173" t="s">
        <v>543</v>
      </c>
      <c r="H200" s="172">
        <v>23.0</v>
      </c>
      <c r="J200" s="24"/>
      <c r="K200" s="173" t="s">
        <v>48</v>
      </c>
    </row>
    <row r="201" ht="15.75" hidden="1" customHeight="1">
      <c r="A201" s="206">
        <v>46003.0</v>
      </c>
      <c r="B201" s="172" t="s">
        <v>45</v>
      </c>
      <c r="C201" s="172">
        <v>34.0</v>
      </c>
      <c r="D201" s="18">
        <v>1.0</v>
      </c>
      <c r="E201" s="172" t="s">
        <v>39</v>
      </c>
      <c r="F201" s="172"/>
      <c r="G201" s="173" t="s">
        <v>544</v>
      </c>
      <c r="H201" s="172">
        <v>23.0</v>
      </c>
      <c r="J201" s="24"/>
      <c r="K201" s="173" t="s">
        <v>48</v>
      </c>
    </row>
    <row r="202" ht="15.75" hidden="1" customHeight="1">
      <c r="A202" s="206">
        <v>46003.0</v>
      </c>
      <c r="B202" s="172" t="s">
        <v>71</v>
      </c>
      <c r="C202" s="172">
        <v>34.0</v>
      </c>
      <c r="D202" s="18">
        <v>1.0</v>
      </c>
      <c r="E202" s="172" t="s">
        <v>39</v>
      </c>
      <c r="F202" s="172"/>
      <c r="G202" s="173" t="s">
        <v>545</v>
      </c>
      <c r="H202" s="172">
        <v>24.0</v>
      </c>
      <c r="J202" s="24"/>
      <c r="K202" s="173" t="s">
        <v>48</v>
      </c>
    </row>
    <row r="203" ht="15.75" hidden="1" customHeight="1">
      <c r="A203" s="206">
        <v>46003.0</v>
      </c>
      <c r="B203" s="172" t="s">
        <v>45</v>
      </c>
      <c r="C203" s="172">
        <v>36.0</v>
      </c>
      <c r="D203" s="18">
        <v>1.0</v>
      </c>
      <c r="E203" s="172" t="s">
        <v>39</v>
      </c>
      <c r="F203" s="172"/>
      <c r="G203" s="173" t="s">
        <v>546</v>
      </c>
      <c r="H203" s="172">
        <v>28.0</v>
      </c>
      <c r="J203" s="24"/>
      <c r="K203" s="173" t="s">
        <v>48</v>
      </c>
    </row>
    <row r="204" ht="15.75" hidden="1" customHeight="1">
      <c r="A204" s="206">
        <v>46003.0</v>
      </c>
      <c r="B204" s="172" t="s">
        <v>45</v>
      </c>
      <c r="C204" s="172">
        <v>34.0</v>
      </c>
      <c r="D204" s="18">
        <v>1.0</v>
      </c>
      <c r="E204" s="172" t="s">
        <v>331</v>
      </c>
      <c r="F204" s="172"/>
      <c r="G204" s="198" t="s">
        <v>547</v>
      </c>
      <c r="H204" s="172">
        <v>25.0</v>
      </c>
      <c r="J204" s="24"/>
    </row>
    <row r="205" ht="15.75" hidden="1" customHeight="1">
      <c r="A205" s="206">
        <v>46003.0</v>
      </c>
      <c r="B205" s="172" t="s">
        <v>71</v>
      </c>
      <c r="C205" s="172">
        <v>36.0</v>
      </c>
      <c r="D205" s="18">
        <v>1.0</v>
      </c>
      <c r="E205" s="172" t="s">
        <v>39</v>
      </c>
      <c r="F205" s="172"/>
      <c r="G205" s="173" t="s">
        <v>548</v>
      </c>
      <c r="H205" s="172">
        <v>23.0</v>
      </c>
      <c r="J205" s="24"/>
      <c r="K205" s="173" t="s">
        <v>48</v>
      </c>
    </row>
    <row r="206" ht="15.75" hidden="1" customHeight="1">
      <c r="A206" s="206">
        <v>46003.0</v>
      </c>
      <c r="B206" s="172" t="s">
        <v>45</v>
      </c>
      <c r="C206" s="172">
        <v>36.0</v>
      </c>
      <c r="D206" s="18">
        <v>1.0</v>
      </c>
      <c r="E206" s="172" t="s">
        <v>39</v>
      </c>
      <c r="F206" s="172"/>
      <c r="G206" s="173" t="s">
        <v>548</v>
      </c>
      <c r="H206" s="172">
        <v>23.0</v>
      </c>
      <c r="J206" s="24"/>
      <c r="K206" s="173" t="s">
        <v>48</v>
      </c>
    </row>
    <row r="207" ht="15.75" hidden="1" customHeight="1">
      <c r="A207" s="207">
        <v>46003.0</v>
      </c>
      <c r="B207" s="172" t="s">
        <v>46</v>
      </c>
      <c r="C207" s="172">
        <v>34.0</v>
      </c>
      <c r="D207" s="18">
        <v>1.0</v>
      </c>
      <c r="E207" s="172" t="s">
        <v>39</v>
      </c>
      <c r="F207" s="172"/>
      <c r="G207" s="173" t="s">
        <v>549</v>
      </c>
      <c r="H207" s="172">
        <v>46.0</v>
      </c>
      <c r="J207" s="24"/>
      <c r="K207" s="173" t="s">
        <v>48</v>
      </c>
    </row>
    <row r="208" ht="15.75" hidden="1" customHeight="1">
      <c r="A208" s="206">
        <v>46003.0</v>
      </c>
      <c r="B208" s="172" t="s">
        <v>46</v>
      </c>
      <c r="C208" s="172">
        <v>34.0</v>
      </c>
      <c r="D208" s="18">
        <v>1.0</v>
      </c>
      <c r="E208" s="172" t="s">
        <v>39</v>
      </c>
      <c r="F208" s="172"/>
      <c r="G208" s="173" t="s">
        <v>550</v>
      </c>
      <c r="H208" s="172">
        <v>40.0</v>
      </c>
      <c r="J208" s="24"/>
      <c r="K208" s="173" t="s">
        <v>48</v>
      </c>
    </row>
    <row r="209" ht="15.75" hidden="1" customHeight="1">
      <c r="A209" s="207">
        <v>46003.0</v>
      </c>
      <c r="B209" s="172" t="s">
        <v>52</v>
      </c>
      <c r="C209" s="172">
        <v>32.0</v>
      </c>
      <c r="D209" s="18">
        <v>1.0</v>
      </c>
      <c r="E209" s="172" t="s">
        <v>43</v>
      </c>
      <c r="F209" s="172"/>
      <c r="G209" s="173" t="s">
        <v>551</v>
      </c>
      <c r="H209" s="172">
        <v>24.0</v>
      </c>
      <c r="J209" s="24"/>
    </row>
    <row r="210" ht="15.75" hidden="1" customHeight="1">
      <c r="A210" s="206">
        <v>46004.0</v>
      </c>
      <c r="B210" s="172" t="s">
        <v>45</v>
      </c>
      <c r="C210" s="172">
        <v>34.0</v>
      </c>
      <c r="D210" s="18">
        <v>1.0</v>
      </c>
      <c r="E210" s="172" t="s">
        <v>39</v>
      </c>
      <c r="F210" s="172"/>
      <c r="G210" s="173" t="s">
        <v>552</v>
      </c>
      <c r="H210" s="172">
        <v>25.0</v>
      </c>
      <c r="J210" s="24"/>
      <c r="K210" s="173" t="s">
        <v>48</v>
      </c>
    </row>
    <row r="211" ht="15.75" hidden="1" customHeight="1">
      <c r="A211" s="206">
        <v>46004.0</v>
      </c>
      <c r="B211" s="172" t="s">
        <v>46</v>
      </c>
      <c r="C211" s="172">
        <v>34.0</v>
      </c>
      <c r="D211" s="18">
        <v>1.0</v>
      </c>
      <c r="E211" s="172" t="s">
        <v>39</v>
      </c>
      <c r="F211" s="172"/>
      <c r="G211" s="173" t="s">
        <v>553</v>
      </c>
      <c r="H211" s="172">
        <v>49.5</v>
      </c>
      <c r="J211" s="24"/>
      <c r="K211" s="173" t="s">
        <v>48</v>
      </c>
    </row>
    <row r="212" ht="15.75" hidden="1" customHeight="1">
      <c r="A212" s="206">
        <v>46004.0</v>
      </c>
      <c r="B212" s="172" t="s">
        <v>45</v>
      </c>
      <c r="C212" s="172">
        <v>36.0</v>
      </c>
      <c r="D212" s="18">
        <v>1.0</v>
      </c>
      <c r="E212" s="172" t="s">
        <v>39</v>
      </c>
      <c r="F212" s="172"/>
      <c r="G212" s="173" t="s">
        <v>554</v>
      </c>
      <c r="H212" s="172">
        <v>12.5</v>
      </c>
      <c r="J212" s="24"/>
      <c r="K212" s="173" t="s">
        <v>48</v>
      </c>
    </row>
    <row r="213" ht="15.75" hidden="1" customHeight="1">
      <c r="A213" s="206">
        <v>46004.0</v>
      </c>
      <c r="B213" s="172" t="s">
        <v>45</v>
      </c>
      <c r="C213" s="172">
        <v>36.0</v>
      </c>
      <c r="D213" s="18">
        <v>1.0</v>
      </c>
      <c r="E213" s="172" t="s">
        <v>39</v>
      </c>
      <c r="F213" s="172"/>
      <c r="G213" s="173" t="s">
        <v>555</v>
      </c>
      <c r="H213" s="172">
        <v>25.0</v>
      </c>
      <c r="J213" s="24"/>
      <c r="K213" s="173" t="s">
        <v>48</v>
      </c>
    </row>
    <row r="214" ht="15.75" hidden="1" customHeight="1">
      <c r="A214" s="206">
        <v>46004.0</v>
      </c>
      <c r="B214" s="172" t="s">
        <v>46</v>
      </c>
      <c r="C214" s="172">
        <v>32.0</v>
      </c>
      <c r="D214" s="18">
        <v>1.0</v>
      </c>
      <c r="E214" s="172" t="s">
        <v>39</v>
      </c>
      <c r="F214" s="172"/>
      <c r="G214" s="173" t="s">
        <v>556</v>
      </c>
      <c r="H214" s="172">
        <v>50.0</v>
      </c>
      <c r="J214" s="24"/>
      <c r="K214" s="173" t="s">
        <v>207</v>
      </c>
    </row>
    <row r="215" ht="15.75" hidden="1" customHeight="1">
      <c r="A215" s="206">
        <v>46004.0</v>
      </c>
      <c r="B215" s="172" t="s">
        <v>71</v>
      </c>
      <c r="C215" s="172">
        <v>36.0</v>
      </c>
      <c r="D215" s="18">
        <v>1.0</v>
      </c>
      <c r="E215" s="172" t="s">
        <v>42</v>
      </c>
      <c r="F215" s="172"/>
      <c r="G215" s="173" t="s">
        <v>557</v>
      </c>
      <c r="H215" s="172">
        <v>25.2</v>
      </c>
      <c r="J215" s="24"/>
      <c r="K215" s="173" t="s">
        <v>207</v>
      </c>
    </row>
    <row r="216" ht="15.75" hidden="1" customHeight="1">
      <c r="A216" s="206">
        <v>46004.0</v>
      </c>
      <c r="B216" s="172" t="s">
        <v>46</v>
      </c>
      <c r="C216" s="172">
        <v>34.0</v>
      </c>
      <c r="D216" s="18">
        <v>1.0</v>
      </c>
      <c r="E216" s="172" t="s">
        <v>39</v>
      </c>
      <c r="F216" s="172"/>
      <c r="G216" s="173" t="s">
        <v>558</v>
      </c>
      <c r="H216" s="172">
        <v>40.0</v>
      </c>
      <c r="J216" s="24"/>
      <c r="K216" s="173" t="s">
        <v>207</v>
      </c>
    </row>
    <row r="217" ht="15.75" hidden="1" customHeight="1">
      <c r="A217" s="215">
        <v>46005.0</v>
      </c>
      <c r="B217" s="182" t="s">
        <v>45</v>
      </c>
      <c r="C217" s="182">
        <v>36.0</v>
      </c>
      <c r="D217" s="183">
        <v>1.0</v>
      </c>
      <c r="E217" s="182" t="s">
        <v>39</v>
      </c>
      <c r="F217" s="182"/>
      <c r="G217" s="184" t="s">
        <v>559</v>
      </c>
      <c r="H217" s="182">
        <v>0.0</v>
      </c>
      <c r="I217" s="185"/>
      <c r="J217" s="186"/>
      <c r="K217" s="185"/>
    </row>
    <row r="218" ht="15.75" hidden="1" customHeight="1">
      <c r="A218" s="206">
        <v>46005.0</v>
      </c>
      <c r="B218" s="172" t="s">
        <v>71</v>
      </c>
      <c r="C218" s="172">
        <v>36.0</v>
      </c>
      <c r="D218" s="18">
        <v>1.0</v>
      </c>
      <c r="E218" s="172" t="s">
        <v>39</v>
      </c>
      <c r="F218" s="172"/>
      <c r="G218" s="173" t="s">
        <v>560</v>
      </c>
      <c r="H218" s="172">
        <v>28.0</v>
      </c>
      <c r="J218" s="24"/>
      <c r="K218" s="173" t="s">
        <v>207</v>
      </c>
    </row>
    <row r="219" ht="15.75" hidden="1" customHeight="1">
      <c r="A219" s="206">
        <v>46006.0</v>
      </c>
      <c r="B219" s="172" t="s">
        <v>71</v>
      </c>
      <c r="C219" s="172">
        <v>36.0</v>
      </c>
      <c r="D219" s="18">
        <v>1.0</v>
      </c>
      <c r="E219" s="172" t="s">
        <v>42</v>
      </c>
      <c r="F219" s="172"/>
      <c r="G219" s="173" t="s">
        <v>561</v>
      </c>
      <c r="H219" s="172">
        <v>22.0</v>
      </c>
      <c r="J219" s="24"/>
      <c r="K219" s="173" t="s">
        <v>207</v>
      </c>
    </row>
    <row r="220" ht="15.75" hidden="1" customHeight="1">
      <c r="A220" s="206">
        <v>46008.0</v>
      </c>
      <c r="B220" s="172" t="s">
        <v>46</v>
      </c>
      <c r="C220" s="172">
        <v>34.0</v>
      </c>
      <c r="D220" s="167">
        <v>1.0</v>
      </c>
      <c r="E220" s="172" t="s">
        <v>39</v>
      </c>
      <c r="F220" s="172"/>
      <c r="G220" s="173" t="s">
        <v>562</v>
      </c>
      <c r="H220" s="172">
        <v>50.0</v>
      </c>
      <c r="J220" s="24"/>
    </row>
    <row r="221" ht="15.75" hidden="1" customHeight="1">
      <c r="A221" s="206">
        <v>46009.0</v>
      </c>
      <c r="B221" s="172" t="s">
        <v>46</v>
      </c>
      <c r="C221" s="172">
        <v>34.0</v>
      </c>
      <c r="D221" s="18">
        <v>1.0</v>
      </c>
      <c r="E221" s="172" t="s">
        <v>39</v>
      </c>
      <c r="F221" s="172"/>
      <c r="G221" s="173" t="s">
        <v>563</v>
      </c>
      <c r="H221" s="172">
        <v>50.0</v>
      </c>
      <c r="J221" s="24"/>
      <c r="K221" s="173" t="s">
        <v>48</v>
      </c>
    </row>
    <row r="222" ht="15.75" hidden="1" customHeight="1">
      <c r="A222" s="206">
        <v>46009.0</v>
      </c>
      <c r="B222" s="172" t="s">
        <v>46</v>
      </c>
      <c r="C222" s="172">
        <v>34.0</v>
      </c>
      <c r="D222" s="18">
        <v>1.0</v>
      </c>
      <c r="E222" s="172" t="s">
        <v>39</v>
      </c>
      <c r="F222" s="172"/>
      <c r="G222" s="173" t="s">
        <v>564</v>
      </c>
      <c r="H222" s="172">
        <v>40.0</v>
      </c>
      <c r="J222" s="24"/>
      <c r="K222" s="173" t="s">
        <v>48</v>
      </c>
    </row>
    <row r="223" ht="15.75" hidden="1" customHeight="1">
      <c r="A223" s="206">
        <v>46009.0</v>
      </c>
      <c r="B223" s="172" t="s">
        <v>45</v>
      </c>
      <c r="C223" s="172">
        <v>36.0</v>
      </c>
      <c r="D223" s="18">
        <v>1.0</v>
      </c>
      <c r="E223" s="172" t="s">
        <v>42</v>
      </c>
      <c r="F223" s="172"/>
      <c r="G223" s="173" t="s">
        <v>565</v>
      </c>
      <c r="H223" s="172">
        <v>22.0</v>
      </c>
      <c r="J223" s="24"/>
      <c r="K223" s="173" t="s">
        <v>207</v>
      </c>
    </row>
    <row r="224" ht="15.75" hidden="1" customHeight="1">
      <c r="A224" s="215">
        <v>46009.0</v>
      </c>
      <c r="B224" s="182" t="s">
        <v>45</v>
      </c>
      <c r="C224" s="182">
        <v>36.0</v>
      </c>
      <c r="D224" s="183">
        <v>1.0</v>
      </c>
      <c r="E224" s="182" t="s">
        <v>42</v>
      </c>
      <c r="F224" s="182"/>
      <c r="G224" s="184" t="s">
        <v>566</v>
      </c>
      <c r="H224" s="182">
        <v>0.0</v>
      </c>
      <c r="I224" s="185"/>
      <c r="J224" s="185"/>
      <c r="K224" s="185"/>
      <c r="L224" s="185"/>
    </row>
    <row r="225" ht="15.75" hidden="1" customHeight="1">
      <c r="A225" s="206">
        <v>46009.0</v>
      </c>
      <c r="B225" s="172" t="s">
        <v>46</v>
      </c>
      <c r="C225" s="172">
        <v>34.0</v>
      </c>
      <c r="D225" s="18">
        <v>1.0</v>
      </c>
      <c r="E225" s="172" t="s">
        <v>39</v>
      </c>
      <c r="F225" s="172"/>
      <c r="G225" s="173" t="s">
        <v>567</v>
      </c>
      <c r="H225" s="172">
        <v>49.5</v>
      </c>
      <c r="J225" s="24"/>
      <c r="K225" s="173" t="s">
        <v>48</v>
      </c>
    </row>
    <row r="226" ht="15.75" hidden="1" customHeight="1">
      <c r="A226" s="206">
        <v>46010.0</v>
      </c>
      <c r="B226" s="172" t="s">
        <v>45</v>
      </c>
      <c r="C226" s="172">
        <v>36.0</v>
      </c>
      <c r="D226" s="18">
        <v>1.0</v>
      </c>
      <c r="E226" s="172" t="s">
        <v>42</v>
      </c>
      <c r="F226" s="172"/>
      <c r="G226" s="173" t="s">
        <v>568</v>
      </c>
      <c r="H226" s="172">
        <v>28.0</v>
      </c>
      <c r="J226" s="24"/>
      <c r="K226" s="173" t="s">
        <v>48</v>
      </c>
    </row>
    <row r="227" ht="15.75" hidden="1" customHeight="1">
      <c r="A227" s="206">
        <v>46016.0</v>
      </c>
      <c r="B227" s="172" t="s">
        <v>46</v>
      </c>
      <c r="C227" s="172">
        <v>36.0</v>
      </c>
      <c r="D227" s="18">
        <v>1.0</v>
      </c>
      <c r="E227" s="172" t="s">
        <v>39</v>
      </c>
      <c r="F227" s="172"/>
      <c r="G227" s="173" t="s">
        <v>569</v>
      </c>
      <c r="H227" s="172">
        <v>40.0</v>
      </c>
      <c r="J227" s="24"/>
      <c r="K227" s="173" t="s">
        <v>48</v>
      </c>
    </row>
    <row r="228" ht="15.75" hidden="1" customHeight="1">
      <c r="A228" s="206">
        <v>46019.0</v>
      </c>
      <c r="B228" s="172" t="s">
        <v>46</v>
      </c>
      <c r="C228" s="172">
        <v>32.0</v>
      </c>
      <c r="D228" s="18">
        <v>1.0</v>
      </c>
      <c r="E228" s="172" t="s">
        <v>39</v>
      </c>
      <c r="F228" s="172"/>
      <c r="G228" s="173" t="s">
        <v>109</v>
      </c>
      <c r="H228" s="172">
        <v>46.0</v>
      </c>
      <c r="J228" s="24"/>
      <c r="K228" s="173" t="s">
        <v>48</v>
      </c>
    </row>
    <row r="229" ht="15.75" hidden="1" customHeight="1">
      <c r="A229" s="206">
        <v>46019.0</v>
      </c>
      <c r="B229" s="172" t="s">
        <v>46</v>
      </c>
      <c r="C229" s="172">
        <v>30.0</v>
      </c>
      <c r="D229" s="18">
        <v>1.0</v>
      </c>
      <c r="E229" s="172" t="s">
        <v>39</v>
      </c>
      <c r="F229" s="172"/>
      <c r="G229" s="173" t="s">
        <v>570</v>
      </c>
      <c r="H229" s="172">
        <v>40.0</v>
      </c>
      <c r="J229" s="24"/>
      <c r="K229" s="173" t="s">
        <v>48</v>
      </c>
    </row>
    <row r="230" ht="15.75" hidden="1" customHeight="1">
      <c r="A230" s="206">
        <v>46019.0</v>
      </c>
      <c r="B230" s="172" t="s">
        <v>46</v>
      </c>
      <c r="C230" s="172">
        <v>32.0</v>
      </c>
      <c r="D230" s="18">
        <v>1.0</v>
      </c>
      <c r="E230" s="172" t="s">
        <v>42</v>
      </c>
      <c r="F230" s="172"/>
      <c r="G230" s="173" t="s">
        <v>571</v>
      </c>
      <c r="H230" s="172">
        <v>42.0</v>
      </c>
      <c r="J230" s="24"/>
      <c r="K230" s="173" t="s">
        <v>207</v>
      </c>
    </row>
    <row r="231" ht="15.75" hidden="1" customHeight="1">
      <c r="A231" s="206">
        <v>46020.0</v>
      </c>
      <c r="B231" s="172" t="s">
        <v>46</v>
      </c>
      <c r="C231" s="172">
        <v>32.0</v>
      </c>
      <c r="D231" s="18">
        <v>1.0</v>
      </c>
      <c r="E231" s="172" t="s">
        <v>42</v>
      </c>
      <c r="F231" s="172"/>
      <c r="G231" s="173" t="s">
        <v>572</v>
      </c>
      <c r="H231" s="172">
        <v>45.0</v>
      </c>
      <c r="J231" s="24"/>
      <c r="K231" s="173" t="s">
        <v>207</v>
      </c>
    </row>
    <row r="232" ht="15.75" hidden="1" customHeight="1">
      <c r="A232" s="197">
        <v>46023.0</v>
      </c>
      <c r="B232" s="172" t="s">
        <v>46</v>
      </c>
      <c r="C232" s="172">
        <v>32.0</v>
      </c>
      <c r="D232" s="18">
        <v>1.0</v>
      </c>
      <c r="E232" s="172" t="s">
        <v>42</v>
      </c>
      <c r="F232" s="172"/>
      <c r="G232" s="173" t="s">
        <v>573</v>
      </c>
      <c r="H232" s="172">
        <v>50.0</v>
      </c>
      <c r="J232" s="24"/>
      <c r="K232" s="173" t="s">
        <v>207</v>
      </c>
    </row>
    <row r="233" ht="15.75" hidden="1" customHeight="1">
      <c r="A233" s="197">
        <v>46024.0</v>
      </c>
      <c r="B233" s="172" t="s">
        <v>46</v>
      </c>
      <c r="C233" s="172">
        <v>32.0</v>
      </c>
      <c r="D233" s="18">
        <v>1.0</v>
      </c>
      <c r="E233" s="172" t="s">
        <v>42</v>
      </c>
      <c r="F233" s="172"/>
      <c r="G233" s="173" t="s">
        <v>574</v>
      </c>
      <c r="H233" s="172">
        <v>48.0</v>
      </c>
      <c r="J233" s="24"/>
      <c r="K233" s="173" t="s">
        <v>207</v>
      </c>
    </row>
    <row r="234" ht="15.75" hidden="1" customHeight="1">
      <c r="A234" s="216">
        <v>46025.0</v>
      </c>
      <c r="B234" s="172" t="s">
        <v>46</v>
      </c>
      <c r="C234" s="172">
        <v>32.0</v>
      </c>
      <c r="D234" s="18">
        <v>1.0</v>
      </c>
      <c r="E234" s="172" t="s">
        <v>42</v>
      </c>
      <c r="F234" s="172"/>
      <c r="G234" s="173" t="s">
        <v>575</v>
      </c>
      <c r="H234" s="172">
        <v>45.0</v>
      </c>
      <c r="J234" s="24"/>
    </row>
    <row r="235" ht="15.75" hidden="1" customHeight="1">
      <c r="A235" s="197">
        <v>46025.0</v>
      </c>
      <c r="B235" s="172" t="s">
        <v>46</v>
      </c>
      <c r="C235" s="172">
        <v>32.0</v>
      </c>
      <c r="D235" s="18">
        <v>1.0</v>
      </c>
      <c r="E235" s="172" t="s">
        <v>42</v>
      </c>
      <c r="F235" s="172"/>
      <c r="G235" s="173" t="s">
        <v>576</v>
      </c>
      <c r="H235" s="172">
        <v>40.0</v>
      </c>
      <c r="J235" s="24"/>
      <c r="K235" s="173" t="s">
        <v>207</v>
      </c>
    </row>
    <row r="236" ht="15.75" hidden="1" customHeight="1">
      <c r="A236" s="217">
        <v>46026.0</v>
      </c>
      <c r="B236" s="169" t="s">
        <v>46</v>
      </c>
      <c r="C236" s="169">
        <v>30.0</v>
      </c>
      <c r="D236" s="120">
        <v>1.0</v>
      </c>
      <c r="E236" s="169" t="s">
        <v>39</v>
      </c>
      <c r="F236" s="169"/>
      <c r="G236" s="169" t="s">
        <v>577</v>
      </c>
      <c r="H236" s="169">
        <v>46.0</v>
      </c>
      <c r="J236" s="24"/>
      <c r="K236" s="173" t="s">
        <v>207</v>
      </c>
    </row>
    <row r="237" ht="15.75" hidden="1" customHeight="1">
      <c r="A237" s="217">
        <v>46026.0</v>
      </c>
      <c r="B237" s="169" t="s">
        <v>46</v>
      </c>
      <c r="C237" s="169">
        <v>30.0</v>
      </c>
      <c r="D237" s="120">
        <v>1.0</v>
      </c>
      <c r="E237" s="169" t="s">
        <v>39</v>
      </c>
      <c r="F237" s="169"/>
      <c r="G237" s="169" t="s">
        <v>578</v>
      </c>
      <c r="H237" s="169">
        <v>41.4</v>
      </c>
      <c r="K237" s="173" t="s">
        <v>579</v>
      </c>
    </row>
    <row r="238" ht="15.75" hidden="1" customHeight="1">
      <c r="A238" s="218">
        <v>46030.0</v>
      </c>
      <c r="B238" s="171" t="s">
        <v>46</v>
      </c>
      <c r="C238" s="219">
        <v>36.0</v>
      </c>
      <c r="D238" s="219">
        <v>1.0</v>
      </c>
      <c r="E238" s="219" t="s">
        <v>39</v>
      </c>
      <c r="F238" s="219"/>
      <c r="G238" s="171" t="s">
        <v>580</v>
      </c>
      <c r="H238" s="171">
        <v>35.0</v>
      </c>
      <c r="K238" s="173" t="s">
        <v>579</v>
      </c>
    </row>
    <row r="239" ht="15.75" hidden="1" customHeight="1">
      <c r="A239" s="220">
        <v>46033.0</v>
      </c>
      <c r="B239" s="172" t="s">
        <v>46</v>
      </c>
      <c r="C239" s="172">
        <v>30.0</v>
      </c>
      <c r="D239" s="18">
        <v>1.0</v>
      </c>
      <c r="E239" s="172" t="s">
        <v>39</v>
      </c>
      <c r="F239" s="172"/>
      <c r="G239" s="173" t="s">
        <v>581</v>
      </c>
      <c r="H239" s="172">
        <v>46.0</v>
      </c>
      <c r="K239" s="173" t="s">
        <v>207</v>
      </c>
    </row>
    <row r="240" ht="15.75" hidden="1" customHeight="1">
      <c r="A240" s="217">
        <v>46032.0</v>
      </c>
      <c r="B240" s="169" t="s">
        <v>46</v>
      </c>
      <c r="C240" s="169">
        <v>30.0</v>
      </c>
      <c r="D240" s="120">
        <v>1.0</v>
      </c>
      <c r="E240" s="169" t="s">
        <v>39</v>
      </c>
      <c r="F240" s="169"/>
      <c r="G240" s="169" t="s">
        <v>582</v>
      </c>
      <c r="H240" s="169">
        <v>36.0</v>
      </c>
      <c r="I240" s="170"/>
    </row>
    <row r="241" ht="15.75" hidden="1" customHeight="1">
      <c r="A241" s="221">
        <v>46047.0</v>
      </c>
      <c r="B241" s="172" t="s">
        <v>51</v>
      </c>
      <c r="C241" s="172">
        <v>34.0</v>
      </c>
      <c r="D241" s="18">
        <v>1.0</v>
      </c>
      <c r="E241" s="172" t="s">
        <v>42</v>
      </c>
      <c r="F241" s="172"/>
      <c r="G241" s="173" t="s">
        <v>583</v>
      </c>
      <c r="H241" s="172">
        <v>20.0</v>
      </c>
    </row>
    <row r="242" ht="15.75" hidden="1" customHeight="1">
      <c r="A242" s="221">
        <v>46047.0</v>
      </c>
      <c r="B242" s="172" t="s">
        <v>51</v>
      </c>
      <c r="C242" s="172">
        <v>36.0</v>
      </c>
      <c r="D242" s="18">
        <v>1.0</v>
      </c>
      <c r="E242" s="172" t="s">
        <v>42</v>
      </c>
      <c r="F242" s="172"/>
      <c r="G242" s="173" t="s">
        <v>584</v>
      </c>
      <c r="H242" s="172">
        <v>20.0</v>
      </c>
    </row>
    <row r="243" ht="15.75" hidden="1" customHeight="1">
      <c r="A243" s="221">
        <v>46047.0</v>
      </c>
      <c r="B243" s="172" t="s">
        <v>51</v>
      </c>
      <c r="C243" s="172">
        <v>34.0</v>
      </c>
      <c r="D243" s="18">
        <v>1.0</v>
      </c>
      <c r="E243" s="172" t="s">
        <v>42</v>
      </c>
      <c r="F243" s="172"/>
      <c r="G243" s="173" t="s">
        <v>585</v>
      </c>
      <c r="H243" s="172">
        <v>24.0</v>
      </c>
    </row>
    <row r="244" ht="15.75" hidden="1" customHeight="1">
      <c r="A244" s="222">
        <v>46048.0</v>
      </c>
      <c r="B244" s="179" t="s">
        <v>45</v>
      </c>
      <c r="C244" s="179">
        <v>32.0</v>
      </c>
      <c r="D244" s="120">
        <v>1.0</v>
      </c>
      <c r="E244" s="169" t="s">
        <v>331</v>
      </c>
      <c r="F244" s="200"/>
      <c r="G244" s="201" t="s">
        <v>586</v>
      </c>
      <c r="H244" s="179">
        <v>25.0</v>
      </c>
    </row>
    <row r="245" ht="15.75" hidden="1" customHeight="1">
      <c r="A245" s="223">
        <v>46048.0</v>
      </c>
      <c r="B245" s="179" t="s">
        <v>51</v>
      </c>
      <c r="C245" s="179">
        <v>36.0</v>
      </c>
      <c r="D245" s="120">
        <v>1.0</v>
      </c>
      <c r="E245" s="169" t="s">
        <v>42</v>
      </c>
      <c r="F245" s="169"/>
      <c r="G245" s="170" t="s">
        <v>587</v>
      </c>
      <c r="H245" s="179">
        <v>23.0</v>
      </c>
    </row>
    <row r="246" ht="15.75" hidden="1" customHeight="1">
      <c r="A246" s="222">
        <v>46048.0</v>
      </c>
      <c r="B246" s="179" t="s">
        <v>51</v>
      </c>
      <c r="C246" s="179">
        <v>36.0</v>
      </c>
      <c r="D246" s="120">
        <v>1.0</v>
      </c>
      <c r="E246" s="169" t="s">
        <v>42</v>
      </c>
      <c r="F246" s="169"/>
      <c r="G246" s="170" t="s">
        <v>588</v>
      </c>
      <c r="H246" s="179">
        <v>28.0</v>
      </c>
    </row>
    <row r="247" ht="15.75" hidden="1" customHeight="1">
      <c r="A247" s="222">
        <v>46048.0</v>
      </c>
      <c r="B247" s="179" t="s">
        <v>51</v>
      </c>
      <c r="C247" s="179">
        <v>34.0</v>
      </c>
      <c r="D247" s="120">
        <v>1.0</v>
      </c>
      <c r="E247" s="169" t="s">
        <v>42</v>
      </c>
      <c r="F247" s="169"/>
      <c r="G247" s="170" t="s">
        <v>589</v>
      </c>
      <c r="H247" s="179">
        <v>20.0</v>
      </c>
    </row>
    <row r="248" ht="15.75" hidden="1" customHeight="1">
      <c r="A248" s="222">
        <v>46048.0</v>
      </c>
      <c r="B248" s="179" t="s">
        <v>51</v>
      </c>
      <c r="C248" s="179">
        <v>34.0</v>
      </c>
      <c r="D248" s="120">
        <v>1.0</v>
      </c>
      <c r="E248" s="169" t="s">
        <v>441</v>
      </c>
      <c r="F248" s="169"/>
      <c r="G248" s="170" t="s">
        <v>590</v>
      </c>
      <c r="H248" s="179">
        <v>25.2</v>
      </c>
    </row>
    <row r="249" ht="15.75" hidden="1" customHeight="1">
      <c r="A249" s="222">
        <v>46048.0</v>
      </c>
      <c r="B249" s="179" t="s">
        <v>45</v>
      </c>
      <c r="C249" s="179">
        <v>32.0</v>
      </c>
      <c r="D249" s="120">
        <v>1.0</v>
      </c>
      <c r="E249" s="169" t="s">
        <v>39</v>
      </c>
      <c r="F249" s="169"/>
      <c r="G249" s="170" t="s">
        <v>591</v>
      </c>
      <c r="H249" s="179">
        <v>25.0</v>
      </c>
    </row>
    <row r="250" ht="15.75" hidden="1" customHeight="1">
      <c r="A250" s="222">
        <v>46048.0</v>
      </c>
      <c r="B250" s="169" t="s">
        <v>51</v>
      </c>
      <c r="C250" s="169">
        <v>32.0</v>
      </c>
      <c r="D250" s="120">
        <v>1.0</v>
      </c>
      <c r="E250" s="169" t="s">
        <v>39</v>
      </c>
      <c r="F250" s="169"/>
      <c r="G250" s="170" t="s">
        <v>592</v>
      </c>
      <c r="H250" s="169">
        <v>24.0</v>
      </c>
    </row>
    <row r="251" ht="15.75" hidden="1" customHeight="1">
      <c r="A251" s="222">
        <v>46049.0</v>
      </c>
      <c r="B251" s="179" t="s">
        <v>45</v>
      </c>
      <c r="C251" s="179">
        <v>32.0</v>
      </c>
      <c r="D251" s="120">
        <v>1.0</v>
      </c>
      <c r="E251" s="169" t="s">
        <v>441</v>
      </c>
      <c r="F251" s="169"/>
      <c r="G251" s="169" t="s">
        <v>593</v>
      </c>
      <c r="H251" s="179">
        <v>20.0</v>
      </c>
    </row>
    <row r="252" ht="15.75" hidden="1" customHeight="1">
      <c r="A252" s="222">
        <v>46049.0</v>
      </c>
      <c r="B252" s="169" t="s">
        <v>45</v>
      </c>
      <c r="C252" s="169">
        <v>32.0</v>
      </c>
      <c r="D252" s="120">
        <v>1.0</v>
      </c>
      <c r="E252" s="169" t="s">
        <v>42</v>
      </c>
      <c r="F252" s="169"/>
      <c r="G252" s="170" t="s">
        <v>594</v>
      </c>
      <c r="H252" s="169">
        <v>24.0</v>
      </c>
    </row>
    <row r="253" ht="15.75" hidden="1" customHeight="1">
      <c r="A253" s="222">
        <v>46049.0</v>
      </c>
      <c r="B253" s="169" t="s">
        <v>45</v>
      </c>
      <c r="C253" s="169">
        <v>32.0</v>
      </c>
      <c r="D253" s="120">
        <v>1.0</v>
      </c>
      <c r="E253" s="169" t="s">
        <v>331</v>
      </c>
      <c r="F253" s="200"/>
      <c r="G253" s="201" t="s">
        <v>595</v>
      </c>
      <c r="H253" s="169">
        <v>20.0</v>
      </c>
    </row>
    <row r="254" ht="15.75" hidden="1" customHeight="1">
      <c r="A254" s="221">
        <v>46050.0</v>
      </c>
      <c r="B254" s="172" t="s">
        <v>45</v>
      </c>
      <c r="C254" s="172">
        <v>32.0</v>
      </c>
      <c r="D254" s="18">
        <v>1.0</v>
      </c>
      <c r="E254" s="172" t="s">
        <v>331</v>
      </c>
      <c r="F254" s="172"/>
      <c r="G254" s="198" t="s">
        <v>596</v>
      </c>
      <c r="H254" s="172">
        <v>20.0</v>
      </c>
    </row>
    <row r="255" ht="15.75" hidden="1" customHeight="1">
      <c r="A255" s="221">
        <v>46050.0</v>
      </c>
      <c r="B255" s="172" t="s">
        <v>45</v>
      </c>
      <c r="C255" s="172">
        <v>32.0</v>
      </c>
      <c r="D255" s="18">
        <v>1.0</v>
      </c>
      <c r="E255" s="172" t="s">
        <v>42</v>
      </c>
      <c r="F255" s="172"/>
      <c r="G255" s="173" t="s">
        <v>597</v>
      </c>
      <c r="H255" s="172">
        <v>22.0</v>
      </c>
    </row>
    <row r="256" ht="15.75" hidden="1" customHeight="1">
      <c r="A256" s="221">
        <v>46050.0</v>
      </c>
      <c r="B256" s="172" t="s">
        <v>45</v>
      </c>
      <c r="C256" s="172">
        <v>32.0</v>
      </c>
      <c r="D256" s="18">
        <v>1.0</v>
      </c>
      <c r="E256" s="172" t="s">
        <v>331</v>
      </c>
      <c r="F256" s="172"/>
      <c r="G256" s="198" t="s">
        <v>598</v>
      </c>
      <c r="H256" s="172">
        <v>28.0</v>
      </c>
    </row>
    <row r="257" ht="15.75" hidden="1" customHeight="1">
      <c r="A257" s="221">
        <v>46053.0</v>
      </c>
      <c r="B257" s="172" t="s">
        <v>51</v>
      </c>
      <c r="C257" s="172">
        <v>32.0</v>
      </c>
      <c r="D257" s="18">
        <v>1.0</v>
      </c>
      <c r="E257" s="172" t="s">
        <v>42</v>
      </c>
      <c r="F257" s="172"/>
      <c r="G257" s="173" t="s">
        <v>599</v>
      </c>
      <c r="H257" s="172">
        <v>22.0</v>
      </c>
    </row>
    <row r="258" ht="15.75" hidden="1" customHeight="1">
      <c r="A258" s="221">
        <v>46053.0</v>
      </c>
      <c r="B258" s="172" t="s">
        <v>45</v>
      </c>
      <c r="C258" s="172">
        <v>34.0</v>
      </c>
      <c r="D258" s="18">
        <v>1.0</v>
      </c>
      <c r="E258" s="172" t="s">
        <v>331</v>
      </c>
      <c r="F258" s="172"/>
      <c r="G258" s="198" t="s">
        <v>600</v>
      </c>
      <c r="H258" s="172">
        <v>22.5</v>
      </c>
    </row>
    <row r="259" ht="15.75" hidden="1" customHeight="1">
      <c r="A259" s="224"/>
      <c r="B259" s="225"/>
      <c r="C259" s="225"/>
      <c r="D259" s="226"/>
      <c r="E259" s="225"/>
      <c r="F259" s="225"/>
      <c r="G259" s="227"/>
      <c r="H259" s="225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</row>
    <row r="260" ht="15.75" hidden="1" customHeight="1">
      <c r="A260" s="198" t="s">
        <v>601</v>
      </c>
      <c r="B260" s="172" t="s">
        <v>45</v>
      </c>
      <c r="C260" s="172">
        <v>34.0</v>
      </c>
      <c r="D260" s="18">
        <v>1.0</v>
      </c>
      <c r="E260" s="172" t="s">
        <v>331</v>
      </c>
      <c r="F260" s="172"/>
      <c r="G260" s="198" t="s">
        <v>602</v>
      </c>
      <c r="H260" s="172">
        <v>20.0</v>
      </c>
    </row>
    <row r="261" ht="15.75" hidden="1" customHeight="1">
      <c r="A261" s="222">
        <v>46054.0</v>
      </c>
      <c r="B261" s="169" t="s">
        <v>45</v>
      </c>
      <c r="C261" s="169">
        <v>34.0</v>
      </c>
      <c r="D261" s="120">
        <v>1.0</v>
      </c>
      <c r="E261" s="169" t="s">
        <v>331</v>
      </c>
      <c r="F261" s="200"/>
      <c r="G261" s="201" t="s">
        <v>603</v>
      </c>
      <c r="H261" s="169">
        <v>25.0</v>
      </c>
    </row>
    <row r="262" ht="15.75" hidden="1" customHeight="1">
      <c r="A262" s="221">
        <v>46055.0</v>
      </c>
      <c r="B262" s="172" t="s">
        <v>45</v>
      </c>
      <c r="C262" s="172">
        <v>34.0</v>
      </c>
      <c r="D262" s="18">
        <v>1.0</v>
      </c>
      <c r="E262" s="172" t="s">
        <v>331</v>
      </c>
      <c r="F262" s="172"/>
      <c r="G262" s="198" t="s">
        <v>604</v>
      </c>
      <c r="H262" s="172">
        <v>22.0</v>
      </c>
    </row>
    <row r="263" ht="15.75" hidden="1" customHeight="1">
      <c r="A263" s="221">
        <v>46056.0</v>
      </c>
      <c r="B263" s="172" t="s">
        <v>45</v>
      </c>
      <c r="C263" s="172">
        <v>34.0</v>
      </c>
      <c r="D263" s="18">
        <v>1.0</v>
      </c>
      <c r="E263" s="172" t="s">
        <v>331</v>
      </c>
      <c r="F263" s="172"/>
      <c r="G263" s="198" t="s">
        <v>605</v>
      </c>
      <c r="H263" s="172">
        <v>25.0</v>
      </c>
    </row>
    <row r="264" ht="15.75" hidden="1" customHeight="1">
      <c r="A264" s="229">
        <v>46057.0</v>
      </c>
      <c r="B264" s="182" t="s">
        <v>45</v>
      </c>
      <c r="C264" s="182">
        <v>34.0</v>
      </c>
      <c r="D264" s="183">
        <v>1.0</v>
      </c>
      <c r="E264" s="182" t="s">
        <v>39</v>
      </c>
      <c r="F264" s="182"/>
      <c r="G264" s="184" t="s">
        <v>606</v>
      </c>
      <c r="H264" s="182">
        <v>0.0</v>
      </c>
    </row>
    <row r="265" ht="15.75" hidden="1" customHeight="1">
      <c r="A265" s="221">
        <v>46057.0</v>
      </c>
      <c r="B265" s="172" t="s">
        <v>45</v>
      </c>
      <c r="C265" s="172">
        <v>34.0</v>
      </c>
      <c r="D265" s="18">
        <v>1.0</v>
      </c>
      <c r="E265" s="172" t="s">
        <v>331</v>
      </c>
      <c r="F265" s="172"/>
      <c r="G265" s="198" t="s">
        <v>607</v>
      </c>
      <c r="H265" s="172">
        <v>20.0</v>
      </c>
    </row>
    <row r="266" ht="15.75" hidden="1" customHeight="1">
      <c r="A266" s="222">
        <v>46057.0</v>
      </c>
      <c r="B266" s="169" t="s">
        <v>51</v>
      </c>
      <c r="C266" s="169">
        <v>34.0</v>
      </c>
      <c r="D266" s="120">
        <v>1.0</v>
      </c>
      <c r="E266" s="169" t="s">
        <v>331</v>
      </c>
      <c r="F266" s="230"/>
      <c r="G266" s="231" t="s">
        <v>608</v>
      </c>
      <c r="H266" s="169">
        <v>25.0</v>
      </c>
    </row>
    <row r="267" ht="15.75" hidden="1" customHeight="1">
      <c r="A267" s="221">
        <v>46060.0</v>
      </c>
      <c r="B267" s="172" t="s">
        <v>52</v>
      </c>
      <c r="C267" s="172">
        <v>34.0</v>
      </c>
      <c r="D267" s="18">
        <v>1.0</v>
      </c>
      <c r="E267" s="172" t="s">
        <v>331</v>
      </c>
      <c r="F267" s="172"/>
      <c r="G267" s="198" t="s">
        <v>609</v>
      </c>
      <c r="H267" s="172">
        <v>20.0</v>
      </c>
    </row>
    <row r="268" ht="15.75" hidden="1" customHeight="1">
      <c r="A268" s="221">
        <v>46062.0</v>
      </c>
      <c r="B268" s="172" t="s">
        <v>51</v>
      </c>
      <c r="C268" s="172">
        <v>32.0</v>
      </c>
      <c r="D268" s="18">
        <v>1.0</v>
      </c>
      <c r="E268" s="172" t="s">
        <v>331</v>
      </c>
      <c r="F268" s="172"/>
      <c r="G268" s="198" t="s">
        <v>610</v>
      </c>
      <c r="H268" s="172">
        <v>20.0</v>
      </c>
    </row>
    <row r="269" ht="15.75" hidden="1" customHeight="1">
      <c r="A269" s="221">
        <v>46062.0</v>
      </c>
      <c r="B269" s="172" t="s">
        <v>51</v>
      </c>
      <c r="C269" s="172">
        <v>32.0</v>
      </c>
      <c r="D269" s="18">
        <v>1.0</v>
      </c>
      <c r="E269" s="172" t="s">
        <v>331</v>
      </c>
      <c r="F269" s="172"/>
      <c r="G269" s="198" t="s">
        <v>611</v>
      </c>
      <c r="H269" s="172">
        <v>28.0</v>
      </c>
    </row>
    <row r="270" ht="15.75" hidden="1" customHeight="1">
      <c r="A270" s="221">
        <v>46063.0</v>
      </c>
      <c r="B270" s="172" t="s">
        <v>51</v>
      </c>
      <c r="C270" s="172">
        <v>32.0</v>
      </c>
      <c r="D270" s="167">
        <v>1.0</v>
      </c>
      <c r="E270" s="172" t="s">
        <v>331</v>
      </c>
      <c r="F270" s="172"/>
      <c r="G270" s="198" t="s">
        <v>612</v>
      </c>
      <c r="H270" s="172">
        <v>20.0</v>
      </c>
    </row>
    <row r="271" ht="15.75" hidden="1" customHeight="1">
      <c r="A271" s="232">
        <v>46064.0</v>
      </c>
      <c r="B271" s="172" t="s">
        <v>52</v>
      </c>
      <c r="C271" s="172">
        <v>32.0</v>
      </c>
      <c r="D271" s="18">
        <v>1.0</v>
      </c>
      <c r="E271" s="172" t="s">
        <v>331</v>
      </c>
      <c r="F271" s="172"/>
      <c r="G271" s="198" t="s">
        <v>613</v>
      </c>
      <c r="H271" s="172">
        <v>20.0</v>
      </c>
    </row>
    <row r="272" ht="15.75" hidden="1" customHeight="1">
      <c r="A272" s="221">
        <v>46064.0</v>
      </c>
      <c r="B272" s="172" t="s">
        <v>50</v>
      </c>
      <c r="C272" s="172">
        <v>36.0</v>
      </c>
      <c r="D272" s="18">
        <v>1.0</v>
      </c>
      <c r="E272" s="172" t="s">
        <v>42</v>
      </c>
      <c r="F272" s="172"/>
      <c r="G272" s="173" t="s">
        <v>614</v>
      </c>
      <c r="H272" s="172">
        <v>23.0</v>
      </c>
      <c r="K272" s="173"/>
    </row>
    <row r="273" ht="15.75" hidden="1" customHeight="1">
      <c r="A273" s="221">
        <v>46064.0</v>
      </c>
      <c r="B273" s="172" t="s">
        <v>45</v>
      </c>
      <c r="C273" s="172">
        <v>34.0</v>
      </c>
      <c r="D273" s="18">
        <v>1.0</v>
      </c>
      <c r="E273" s="172" t="s">
        <v>39</v>
      </c>
      <c r="F273" s="172"/>
      <c r="G273" s="173" t="s">
        <v>615</v>
      </c>
      <c r="H273" s="172">
        <v>20.0</v>
      </c>
    </row>
    <row r="274" ht="15.75" hidden="1" customHeight="1">
      <c r="A274" s="221">
        <v>46064.0</v>
      </c>
      <c r="B274" s="172" t="s">
        <v>51</v>
      </c>
      <c r="C274" s="172">
        <v>32.0</v>
      </c>
      <c r="D274" s="18">
        <v>1.0</v>
      </c>
      <c r="E274" s="172" t="s">
        <v>39</v>
      </c>
      <c r="F274" s="172"/>
      <c r="G274" s="173" t="s">
        <v>616</v>
      </c>
      <c r="H274" s="172">
        <v>28.0</v>
      </c>
    </row>
    <row r="275" ht="15.75" hidden="1" customHeight="1">
      <c r="A275" s="221">
        <v>46064.0</v>
      </c>
      <c r="B275" s="172" t="s">
        <v>45</v>
      </c>
      <c r="C275" s="172">
        <v>36.0</v>
      </c>
      <c r="D275" s="167">
        <v>1.0</v>
      </c>
      <c r="E275" s="172" t="s">
        <v>39</v>
      </c>
      <c r="F275" s="172"/>
      <c r="G275" s="173" t="s">
        <v>617</v>
      </c>
      <c r="H275" s="172">
        <v>22.0</v>
      </c>
    </row>
    <row r="276" ht="15.75" hidden="1" customHeight="1">
      <c r="A276" s="221">
        <v>46064.0</v>
      </c>
      <c r="B276" s="172" t="s">
        <v>51</v>
      </c>
      <c r="C276" s="172">
        <v>36.0</v>
      </c>
      <c r="D276" s="18">
        <v>1.0</v>
      </c>
      <c r="E276" s="172" t="s">
        <v>42</v>
      </c>
      <c r="F276" s="172"/>
      <c r="G276" s="172" t="s">
        <v>618</v>
      </c>
      <c r="H276" s="172">
        <v>25.0</v>
      </c>
      <c r="K276" s="173" t="s">
        <v>207</v>
      </c>
    </row>
    <row r="277" ht="15.75" hidden="1" customHeight="1">
      <c r="A277" s="221">
        <v>46064.0</v>
      </c>
      <c r="B277" s="172" t="s">
        <v>71</v>
      </c>
      <c r="C277" s="172">
        <v>32.0</v>
      </c>
      <c r="D277" s="18">
        <v>1.0</v>
      </c>
      <c r="E277" s="172" t="s">
        <v>441</v>
      </c>
      <c r="F277" s="172"/>
      <c r="G277" s="173" t="s">
        <v>619</v>
      </c>
      <c r="H277" s="172">
        <v>20.0</v>
      </c>
    </row>
    <row r="278" ht="15.75" hidden="1" customHeight="1">
      <c r="A278" s="221">
        <v>46065.0</v>
      </c>
      <c r="B278" s="172" t="s">
        <v>45</v>
      </c>
      <c r="C278" s="172">
        <v>36.0</v>
      </c>
      <c r="D278" s="18">
        <v>1.0</v>
      </c>
      <c r="E278" s="172" t="s">
        <v>411</v>
      </c>
      <c r="F278" s="172"/>
      <c r="G278" s="198" t="s">
        <v>620</v>
      </c>
      <c r="H278" s="172">
        <v>24.0</v>
      </c>
      <c r="K278" s="173" t="s">
        <v>207</v>
      </c>
    </row>
    <row r="279" ht="15.75" hidden="1" customHeight="1">
      <c r="A279" s="221">
        <v>46065.0</v>
      </c>
      <c r="B279" s="172" t="s">
        <v>45</v>
      </c>
      <c r="C279" s="172">
        <v>36.0</v>
      </c>
      <c r="D279" s="18">
        <v>1.0</v>
      </c>
      <c r="E279" s="172" t="s">
        <v>441</v>
      </c>
      <c r="F279" s="172"/>
      <c r="G279" s="173" t="s">
        <v>621</v>
      </c>
      <c r="H279" s="172">
        <v>28.0</v>
      </c>
    </row>
    <row r="280" ht="15.75" hidden="1" customHeight="1">
      <c r="A280" s="221">
        <v>46065.0</v>
      </c>
      <c r="B280" s="172" t="s">
        <v>51</v>
      </c>
      <c r="C280" s="172">
        <v>32.0</v>
      </c>
      <c r="D280" s="18">
        <v>1.0</v>
      </c>
      <c r="E280" s="172" t="s">
        <v>331</v>
      </c>
      <c r="F280" s="172"/>
      <c r="G280" s="198" t="s">
        <v>622</v>
      </c>
      <c r="H280" s="172">
        <v>28.0</v>
      </c>
    </row>
    <row r="281" ht="15.75" hidden="1" customHeight="1">
      <c r="A281" s="221">
        <v>46065.0</v>
      </c>
      <c r="B281" s="172" t="s">
        <v>71</v>
      </c>
      <c r="C281" s="172">
        <v>34.0</v>
      </c>
      <c r="D281" s="18">
        <v>1.0</v>
      </c>
      <c r="E281" s="172" t="s">
        <v>441</v>
      </c>
      <c r="F281" s="172"/>
      <c r="G281" s="173" t="s">
        <v>623</v>
      </c>
      <c r="H281" s="172">
        <v>22.0</v>
      </c>
    </row>
    <row r="282" ht="15.75" hidden="1" customHeight="1">
      <c r="A282" s="229">
        <v>46065.0</v>
      </c>
      <c r="B282" s="182" t="s">
        <v>51</v>
      </c>
      <c r="C282" s="182">
        <v>32.0</v>
      </c>
      <c r="D282" s="183">
        <v>1.0</v>
      </c>
      <c r="E282" s="182" t="s">
        <v>441</v>
      </c>
      <c r="F282" s="182"/>
      <c r="G282" s="184">
        <v>0.0</v>
      </c>
      <c r="H282" s="182">
        <v>19.0</v>
      </c>
    </row>
    <row r="283" ht="15.75" hidden="1" customHeight="1">
      <c r="A283" s="229">
        <v>46065.0</v>
      </c>
      <c r="B283" s="182" t="s">
        <v>50</v>
      </c>
      <c r="C283" s="182">
        <v>32.0</v>
      </c>
      <c r="D283" s="183">
        <v>1.0</v>
      </c>
      <c r="E283" s="182" t="s">
        <v>441</v>
      </c>
      <c r="F283" s="182"/>
      <c r="G283" s="184">
        <v>0.0</v>
      </c>
      <c r="H283" s="182">
        <v>19.0</v>
      </c>
    </row>
    <row r="284" ht="15.75" hidden="1" customHeight="1">
      <c r="A284" s="232">
        <v>46066.0</v>
      </c>
      <c r="B284" s="172" t="s">
        <v>71</v>
      </c>
      <c r="C284" s="172">
        <v>34.0</v>
      </c>
      <c r="D284" s="18">
        <v>1.0</v>
      </c>
      <c r="E284" s="172" t="s">
        <v>441</v>
      </c>
      <c r="F284" s="172"/>
      <c r="G284" s="173" t="s">
        <v>624</v>
      </c>
      <c r="H284" s="172">
        <v>25.0</v>
      </c>
    </row>
    <row r="285" ht="15.75" hidden="1" customHeight="1">
      <c r="A285" s="221">
        <v>46066.0</v>
      </c>
      <c r="B285" s="172" t="s">
        <v>50</v>
      </c>
      <c r="C285" s="172">
        <v>32.0</v>
      </c>
      <c r="D285" s="172">
        <v>1.0</v>
      </c>
      <c r="E285" s="172" t="s">
        <v>441</v>
      </c>
      <c r="F285" s="172"/>
      <c r="G285" s="173" t="s">
        <v>625</v>
      </c>
      <c r="H285" s="172">
        <v>23.0</v>
      </c>
    </row>
    <row r="286" ht="15.75" hidden="1" customHeight="1">
      <c r="A286" s="221">
        <v>46066.0</v>
      </c>
      <c r="B286" s="172" t="s">
        <v>52</v>
      </c>
      <c r="C286" s="172">
        <v>36.0</v>
      </c>
      <c r="D286" s="172">
        <v>1.0</v>
      </c>
      <c r="E286" s="172" t="s">
        <v>39</v>
      </c>
      <c r="F286" s="172"/>
      <c r="G286" s="173" t="s">
        <v>626</v>
      </c>
      <c r="H286" s="172">
        <v>20.0</v>
      </c>
    </row>
    <row r="287" ht="15.75" hidden="1" customHeight="1">
      <c r="A287" s="221">
        <v>46066.0</v>
      </c>
      <c r="B287" s="172" t="s">
        <v>52</v>
      </c>
      <c r="C287" s="172">
        <v>36.0</v>
      </c>
      <c r="D287" s="172">
        <v>1.0</v>
      </c>
      <c r="E287" s="172" t="s">
        <v>39</v>
      </c>
      <c r="F287" s="172"/>
      <c r="G287" s="173" t="s">
        <v>627</v>
      </c>
      <c r="H287" s="172">
        <v>20.0</v>
      </c>
    </row>
    <row r="288" ht="15.75" hidden="1" customHeight="1">
      <c r="A288" s="221">
        <v>46066.0</v>
      </c>
      <c r="B288" s="172" t="s">
        <v>71</v>
      </c>
      <c r="C288" s="172">
        <v>36.0</v>
      </c>
      <c r="D288" s="172">
        <v>1.0</v>
      </c>
      <c r="E288" s="172" t="s">
        <v>39</v>
      </c>
      <c r="F288" s="172"/>
      <c r="G288" s="173" t="s">
        <v>628</v>
      </c>
      <c r="H288" s="172">
        <v>28.0</v>
      </c>
    </row>
    <row r="289" ht="15.75" hidden="1" customHeight="1">
      <c r="A289" s="221">
        <v>46066.0</v>
      </c>
      <c r="B289" s="172" t="s">
        <v>51</v>
      </c>
      <c r="C289" s="172">
        <v>34.0</v>
      </c>
      <c r="D289" s="172">
        <v>1.0</v>
      </c>
      <c r="E289" s="172" t="s">
        <v>39</v>
      </c>
      <c r="F289" s="172"/>
      <c r="G289" s="173" t="s">
        <v>629</v>
      </c>
      <c r="H289" s="172">
        <v>20.0</v>
      </c>
    </row>
    <row r="290" ht="15.75" hidden="1" customHeight="1">
      <c r="A290" s="221">
        <v>46066.0</v>
      </c>
      <c r="B290" s="172" t="s">
        <v>51</v>
      </c>
      <c r="C290" s="172">
        <v>34.0</v>
      </c>
      <c r="D290" s="172">
        <v>1.0</v>
      </c>
      <c r="E290" s="172" t="s">
        <v>441</v>
      </c>
      <c r="F290" s="172"/>
      <c r="G290" s="173" t="s">
        <v>630</v>
      </c>
      <c r="H290" s="172">
        <v>24.0</v>
      </c>
    </row>
    <row r="291" ht="15.75" hidden="1" customHeight="1">
      <c r="A291" s="221">
        <v>46066.0</v>
      </c>
      <c r="B291" s="172" t="s">
        <v>45</v>
      </c>
      <c r="C291" s="172">
        <v>34.0</v>
      </c>
      <c r="D291" s="172">
        <v>1.0</v>
      </c>
      <c r="E291" s="172" t="s">
        <v>331</v>
      </c>
      <c r="F291" s="172"/>
      <c r="G291" s="198" t="s">
        <v>631</v>
      </c>
      <c r="H291" s="172">
        <v>25.0</v>
      </c>
    </row>
    <row r="292" ht="15.75" hidden="1" customHeight="1">
      <c r="A292" s="221">
        <v>46066.0</v>
      </c>
      <c r="B292" s="172" t="s">
        <v>45</v>
      </c>
      <c r="C292" s="172">
        <v>34.0</v>
      </c>
      <c r="D292" s="172">
        <v>1.0</v>
      </c>
      <c r="E292" s="172" t="s">
        <v>441</v>
      </c>
      <c r="F292" s="172"/>
      <c r="G292" s="173" t="s">
        <v>632</v>
      </c>
      <c r="H292" s="172">
        <v>22.5</v>
      </c>
    </row>
    <row r="293" ht="15.75" hidden="1" customHeight="1">
      <c r="A293" s="221">
        <v>46066.0</v>
      </c>
      <c r="B293" s="172" t="s">
        <v>52</v>
      </c>
      <c r="C293" s="172">
        <v>34.0</v>
      </c>
      <c r="D293" s="172">
        <v>1.0</v>
      </c>
      <c r="E293" s="172" t="s">
        <v>441</v>
      </c>
      <c r="F293" s="172"/>
      <c r="G293" s="173" t="s">
        <v>633</v>
      </c>
      <c r="H293" s="172">
        <v>28.0</v>
      </c>
    </row>
    <row r="294" ht="15.75" hidden="1" customHeight="1">
      <c r="A294" s="232">
        <v>46067.0</v>
      </c>
      <c r="B294" s="172" t="s">
        <v>45</v>
      </c>
      <c r="C294" s="172">
        <v>36.0</v>
      </c>
      <c r="D294" s="172">
        <v>1.0</v>
      </c>
      <c r="E294" s="172" t="s">
        <v>39</v>
      </c>
      <c r="F294" s="172"/>
      <c r="G294" s="173" t="s">
        <v>634</v>
      </c>
      <c r="H294" s="172">
        <v>20.0</v>
      </c>
    </row>
    <row r="295" ht="15.75" hidden="1" customHeight="1">
      <c r="A295" s="232">
        <v>46067.0</v>
      </c>
      <c r="B295" s="172" t="s">
        <v>51</v>
      </c>
      <c r="C295" s="172">
        <v>36.0</v>
      </c>
      <c r="D295" s="172">
        <v>1.0</v>
      </c>
      <c r="E295" s="172" t="s">
        <v>411</v>
      </c>
      <c r="F295" s="172"/>
      <c r="G295" s="198" t="s">
        <v>635</v>
      </c>
      <c r="H295" s="172">
        <v>20.0</v>
      </c>
      <c r="I295" s="172"/>
    </row>
    <row r="296" ht="15.75" hidden="1" customHeight="1">
      <c r="A296" s="221">
        <v>46067.0</v>
      </c>
      <c r="B296" s="172" t="s">
        <v>45</v>
      </c>
      <c r="C296" s="172">
        <v>34.0</v>
      </c>
      <c r="D296" s="172">
        <v>1.0</v>
      </c>
      <c r="E296" s="172" t="s">
        <v>331</v>
      </c>
      <c r="F296" s="172"/>
      <c r="G296" s="198" t="s">
        <v>636</v>
      </c>
      <c r="H296" s="172">
        <v>28.0</v>
      </c>
    </row>
    <row r="297" ht="15.75" hidden="1" customHeight="1">
      <c r="A297" s="221">
        <v>46067.0</v>
      </c>
      <c r="B297" s="172" t="s">
        <v>52</v>
      </c>
      <c r="C297" s="172">
        <v>32.0</v>
      </c>
      <c r="D297" s="172">
        <v>1.0</v>
      </c>
      <c r="E297" s="172" t="s">
        <v>441</v>
      </c>
      <c r="F297" s="172"/>
      <c r="G297" s="173" t="s">
        <v>637</v>
      </c>
      <c r="H297" s="172">
        <v>20.0</v>
      </c>
    </row>
    <row r="298" ht="15.75" hidden="1" customHeight="1">
      <c r="A298" s="221">
        <v>46067.0</v>
      </c>
      <c r="B298" s="172" t="s">
        <v>52</v>
      </c>
      <c r="C298" s="172">
        <v>34.0</v>
      </c>
      <c r="D298" s="172">
        <v>1.0</v>
      </c>
      <c r="E298" s="172" t="s">
        <v>411</v>
      </c>
      <c r="F298" s="172"/>
      <c r="G298" s="198" t="s">
        <v>638</v>
      </c>
      <c r="H298" s="172">
        <v>28.0</v>
      </c>
    </row>
    <row r="299" ht="15.75" hidden="1" customHeight="1">
      <c r="A299" s="221">
        <v>46067.0</v>
      </c>
      <c r="B299" s="172" t="s">
        <v>45</v>
      </c>
      <c r="C299" s="172">
        <v>34.0</v>
      </c>
      <c r="D299" s="172">
        <v>1.0</v>
      </c>
      <c r="E299" s="172" t="s">
        <v>441</v>
      </c>
      <c r="F299" s="172"/>
      <c r="G299" s="173" t="s">
        <v>639</v>
      </c>
      <c r="H299" s="172">
        <v>28.0</v>
      </c>
    </row>
    <row r="300" ht="15.75" hidden="1" customHeight="1">
      <c r="A300" s="221">
        <v>46067.0</v>
      </c>
      <c r="B300" s="172" t="s">
        <v>52</v>
      </c>
      <c r="C300" s="172">
        <v>36.0</v>
      </c>
      <c r="D300" s="172">
        <v>1.0</v>
      </c>
      <c r="E300" s="172" t="s">
        <v>39</v>
      </c>
      <c r="F300" s="172"/>
      <c r="G300" s="173" t="s">
        <v>640</v>
      </c>
      <c r="H300" s="172">
        <v>20.0</v>
      </c>
    </row>
    <row r="301" ht="15.75" hidden="1" customHeight="1">
      <c r="A301" s="221">
        <v>46068.0</v>
      </c>
      <c r="B301" s="172" t="s">
        <v>71</v>
      </c>
      <c r="C301" s="172">
        <v>34.0</v>
      </c>
      <c r="D301" s="172">
        <v>1.0</v>
      </c>
      <c r="E301" s="172" t="s">
        <v>411</v>
      </c>
      <c r="F301" s="172"/>
      <c r="G301" s="173" t="s">
        <v>641</v>
      </c>
      <c r="H301" s="172">
        <v>28.0</v>
      </c>
      <c r="I301" s="173">
        <v>1.09</v>
      </c>
    </row>
    <row r="302" ht="15.75" hidden="1" customHeight="1">
      <c r="A302" s="221">
        <v>46068.0</v>
      </c>
      <c r="B302" s="172" t="s">
        <v>71</v>
      </c>
      <c r="C302" s="172">
        <v>32.0</v>
      </c>
      <c r="D302" s="172">
        <v>1.0</v>
      </c>
      <c r="E302" s="172" t="s">
        <v>39</v>
      </c>
      <c r="F302" s="172"/>
      <c r="G302" s="173" t="s">
        <v>642</v>
      </c>
      <c r="H302" s="172">
        <v>20.0</v>
      </c>
    </row>
    <row r="303" ht="15.75" hidden="1" customHeight="1">
      <c r="A303" s="221">
        <v>46068.0</v>
      </c>
      <c r="B303" s="172" t="s">
        <v>71</v>
      </c>
      <c r="C303" s="172">
        <v>34.0</v>
      </c>
      <c r="D303" s="172">
        <v>1.0</v>
      </c>
      <c r="E303" s="172" t="s">
        <v>39</v>
      </c>
      <c r="F303" s="172"/>
      <c r="G303" s="173" t="s">
        <v>643</v>
      </c>
      <c r="H303" s="172">
        <v>25.0</v>
      </c>
    </row>
    <row r="304" ht="15.75" hidden="1" customHeight="1">
      <c r="A304" s="221">
        <v>46068.0</v>
      </c>
      <c r="B304" s="172" t="s">
        <v>51</v>
      </c>
      <c r="C304" s="172">
        <v>34.0</v>
      </c>
      <c r="D304" s="172">
        <v>1.0</v>
      </c>
      <c r="E304" s="172" t="s">
        <v>441</v>
      </c>
      <c r="F304" s="172"/>
      <c r="G304" s="173" t="s">
        <v>644</v>
      </c>
      <c r="H304" s="172">
        <v>22.0</v>
      </c>
    </row>
    <row r="305" ht="15.75" hidden="1" customHeight="1">
      <c r="A305" s="221">
        <v>46068.0</v>
      </c>
      <c r="B305" s="172" t="s">
        <v>63</v>
      </c>
      <c r="C305" s="172">
        <v>34.0</v>
      </c>
      <c r="D305" s="172">
        <v>1.0</v>
      </c>
      <c r="E305" s="172" t="s">
        <v>411</v>
      </c>
      <c r="F305" s="172"/>
      <c r="G305" s="198" t="s">
        <v>645</v>
      </c>
      <c r="H305" s="172">
        <v>28.0</v>
      </c>
    </row>
    <row r="306" ht="15.75" hidden="1" customHeight="1">
      <c r="A306" s="233">
        <v>46069.0</v>
      </c>
      <c r="B306" s="172" t="s">
        <v>71</v>
      </c>
      <c r="C306" s="172">
        <v>32.0</v>
      </c>
      <c r="D306" s="172">
        <v>1.0</v>
      </c>
      <c r="E306" s="172" t="s">
        <v>39</v>
      </c>
      <c r="F306" s="172"/>
      <c r="G306" s="173" t="s">
        <v>646</v>
      </c>
      <c r="H306" s="172">
        <v>20.0</v>
      </c>
    </row>
    <row r="307" ht="15.75" hidden="1" customHeight="1">
      <c r="A307" s="234">
        <v>46069.0</v>
      </c>
      <c r="B307" s="172" t="s">
        <v>45</v>
      </c>
      <c r="C307" s="172">
        <v>34.0</v>
      </c>
      <c r="D307" s="172">
        <v>1.0</v>
      </c>
      <c r="E307" s="172" t="s">
        <v>411</v>
      </c>
      <c r="F307" s="172"/>
      <c r="G307" s="198" t="s">
        <v>647</v>
      </c>
      <c r="H307" s="172">
        <v>24.0</v>
      </c>
    </row>
    <row r="308" ht="15.75" hidden="1" customHeight="1">
      <c r="A308" s="234">
        <v>46069.0</v>
      </c>
      <c r="B308" s="172" t="s">
        <v>52</v>
      </c>
      <c r="C308" s="172">
        <v>34.0</v>
      </c>
      <c r="D308" s="172">
        <v>1.0</v>
      </c>
      <c r="E308" s="172" t="s">
        <v>441</v>
      </c>
      <c r="F308" s="172"/>
      <c r="G308" s="173" t="s">
        <v>648</v>
      </c>
      <c r="H308" s="172">
        <v>28.0</v>
      </c>
    </row>
    <row r="309" ht="15.75" hidden="1" customHeight="1">
      <c r="A309" s="234">
        <v>46069.0</v>
      </c>
      <c r="B309" s="172" t="s">
        <v>45</v>
      </c>
      <c r="C309" s="172">
        <v>34.0</v>
      </c>
      <c r="D309" s="172">
        <v>1.0</v>
      </c>
      <c r="E309" s="172" t="s">
        <v>411</v>
      </c>
      <c r="F309" s="172"/>
      <c r="G309" s="198" t="s">
        <v>649</v>
      </c>
      <c r="H309" s="172">
        <v>23.15</v>
      </c>
    </row>
    <row r="310" ht="15.75" hidden="1" customHeight="1">
      <c r="A310" s="234">
        <v>46069.0</v>
      </c>
      <c r="B310" s="172" t="s">
        <v>45</v>
      </c>
      <c r="C310" s="172">
        <v>34.0</v>
      </c>
      <c r="D310" s="172">
        <v>1.0</v>
      </c>
      <c r="E310" s="172" t="s">
        <v>441</v>
      </c>
      <c r="F310" s="172"/>
      <c r="G310" s="173" t="s">
        <v>650</v>
      </c>
      <c r="H310" s="172">
        <v>22.0</v>
      </c>
    </row>
    <row r="311" ht="15.75" hidden="1" customHeight="1">
      <c r="A311" s="234">
        <v>46069.0</v>
      </c>
      <c r="B311" s="172" t="s">
        <v>71</v>
      </c>
      <c r="C311" s="172">
        <v>32.0</v>
      </c>
      <c r="D311" s="172">
        <v>1.0</v>
      </c>
      <c r="E311" s="172" t="s">
        <v>441</v>
      </c>
      <c r="F311" s="172"/>
      <c r="G311" s="173" t="s">
        <v>651</v>
      </c>
      <c r="H311" s="172">
        <v>27.5</v>
      </c>
    </row>
    <row r="312" ht="15.75" hidden="1" customHeight="1">
      <c r="A312" s="235">
        <v>46069.0</v>
      </c>
      <c r="B312" s="172" t="s">
        <v>51</v>
      </c>
      <c r="C312" s="172">
        <v>34.0</v>
      </c>
      <c r="D312" s="172">
        <v>1.0</v>
      </c>
      <c r="E312" s="172" t="s">
        <v>39</v>
      </c>
      <c r="F312" s="172"/>
      <c r="G312" s="173" t="s">
        <v>652</v>
      </c>
      <c r="H312" s="172">
        <v>25.0</v>
      </c>
    </row>
    <row r="313" ht="15.75" hidden="1" customHeight="1">
      <c r="A313" s="221">
        <v>46069.0</v>
      </c>
      <c r="B313" s="172" t="s">
        <v>51</v>
      </c>
      <c r="C313" s="172">
        <v>32.0</v>
      </c>
      <c r="D313" s="172">
        <v>1.0</v>
      </c>
      <c r="E313" s="172" t="s">
        <v>39</v>
      </c>
      <c r="F313" s="172"/>
      <c r="G313" s="173" t="s">
        <v>651</v>
      </c>
      <c r="H313" s="172">
        <v>25.0</v>
      </c>
    </row>
    <row r="314" ht="15.75" hidden="1" customHeight="1">
      <c r="A314" s="221">
        <v>46069.0</v>
      </c>
      <c r="B314" s="172" t="s">
        <v>63</v>
      </c>
      <c r="C314" s="172">
        <v>34.0</v>
      </c>
      <c r="D314" s="172">
        <v>1.0</v>
      </c>
      <c r="E314" s="172" t="s">
        <v>411</v>
      </c>
      <c r="F314" s="172"/>
      <c r="G314" s="198" t="s">
        <v>653</v>
      </c>
      <c r="H314" s="172">
        <v>24.0</v>
      </c>
    </row>
    <row r="315" ht="15.75" hidden="1" customHeight="1">
      <c r="A315" s="221">
        <v>46069.0</v>
      </c>
      <c r="B315" s="172" t="s">
        <v>50</v>
      </c>
      <c r="C315" s="172">
        <v>32.0</v>
      </c>
      <c r="D315" s="172">
        <v>1.0</v>
      </c>
      <c r="E315" s="172" t="s">
        <v>411</v>
      </c>
      <c r="F315" s="172"/>
      <c r="G315" s="198" t="s">
        <v>654</v>
      </c>
      <c r="H315" s="172">
        <v>28.0</v>
      </c>
      <c r="I315" s="173">
        <v>1.09</v>
      </c>
    </row>
    <row r="316" ht="15.75" hidden="1" customHeight="1">
      <c r="A316" s="221">
        <v>46069.0</v>
      </c>
      <c r="B316" s="172" t="s">
        <v>51</v>
      </c>
      <c r="C316" s="172">
        <v>34.0</v>
      </c>
      <c r="D316" s="172">
        <v>1.0</v>
      </c>
      <c r="E316" s="172" t="s">
        <v>39</v>
      </c>
      <c r="F316" s="172"/>
      <c r="G316" s="173" t="s">
        <v>655</v>
      </c>
      <c r="H316" s="172">
        <v>20.0</v>
      </c>
    </row>
    <row r="317" ht="15.75" hidden="1" customHeight="1">
      <c r="A317" s="221">
        <v>46069.0</v>
      </c>
      <c r="B317" s="172" t="s">
        <v>51</v>
      </c>
      <c r="C317" s="172">
        <v>34.0</v>
      </c>
      <c r="D317" s="172">
        <v>1.0</v>
      </c>
      <c r="E317" s="172" t="s">
        <v>39</v>
      </c>
      <c r="F317" s="172"/>
      <c r="G317" s="173" t="s">
        <v>656</v>
      </c>
      <c r="H317" s="172">
        <v>20.0</v>
      </c>
    </row>
    <row r="318" ht="15.75" hidden="1" customHeight="1">
      <c r="A318" s="221">
        <v>46069.0</v>
      </c>
      <c r="B318" s="172" t="s">
        <v>71</v>
      </c>
      <c r="C318" s="172">
        <v>34.0</v>
      </c>
      <c r="D318" s="172">
        <v>1.0</v>
      </c>
      <c r="E318" s="172" t="s">
        <v>411</v>
      </c>
      <c r="F318" s="172"/>
      <c r="G318" s="198" t="s">
        <v>657</v>
      </c>
      <c r="H318" s="172">
        <v>20.0</v>
      </c>
    </row>
    <row r="319" ht="15.75" hidden="1" customHeight="1">
      <c r="A319" s="229">
        <v>46070.0</v>
      </c>
      <c r="B319" s="182" t="s">
        <v>45</v>
      </c>
      <c r="C319" s="182">
        <v>34.0</v>
      </c>
      <c r="D319" s="182">
        <v>1.0</v>
      </c>
      <c r="E319" s="182" t="s">
        <v>331</v>
      </c>
      <c r="F319" s="182"/>
      <c r="G319" s="236" t="s">
        <v>658</v>
      </c>
      <c r="H319" s="182">
        <v>0.0</v>
      </c>
    </row>
    <row r="320" ht="15.75" hidden="1" customHeight="1">
      <c r="A320" s="221">
        <v>46070.0</v>
      </c>
      <c r="B320" s="172" t="s">
        <v>51</v>
      </c>
      <c r="C320" s="172">
        <v>34.0</v>
      </c>
      <c r="D320" s="172">
        <v>1.0</v>
      </c>
      <c r="E320" s="172" t="s">
        <v>39</v>
      </c>
      <c r="F320" s="172"/>
      <c r="G320" s="173" t="s">
        <v>659</v>
      </c>
      <c r="H320" s="172">
        <v>20.0</v>
      </c>
    </row>
    <row r="321" ht="15.75" hidden="1" customHeight="1">
      <c r="A321" s="221">
        <v>46070.0</v>
      </c>
      <c r="B321" s="172" t="s">
        <v>50</v>
      </c>
      <c r="C321" s="172">
        <v>34.0</v>
      </c>
      <c r="D321" s="172">
        <v>1.0</v>
      </c>
      <c r="E321" s="172" t="s">
        <v>39</v>
      </c>
      <c r="F321" s="172"/>
      <c r="G321" s="173" t="s">
        <v>660</v>
      </c>
      <c r="H321" s="172">
        <v>25.0</v>
      </c>
    </row>
    <row r="322" ht="15.75" hidden="1" customHeight="1">
      <c r="A322" s="221">
        <v>46070.0</v>
      </c>
      <c r="B322" s="172" t="s">
        <v>52</v>
      </c>
      <c r="C322" s="172">
        <v>36.0</v>
      </c>
      <c r="D322" s="172">
        <v>1.0</v>
      </c>
      <c r="E322" s="172" t="s">
        <v>39</v>
      </c>
      <c r="F322" s="172"/>
      <c r="G322" s="173" t="s">
        <v>661</v>
      </c>
      <c r="H322" s="172">
        <v>25.0</v>
      </c>
    </row>
    <row r="323" ht="15.75" hidden="1" customHeight="1">
      <c r="A323" s="221">
        <v>46070.0</v>
      </c>
      <c r="B323" s="172" t="s">
        <v>51</v>
      </c>
      <c r="C323" s="172">
        <v>32.0</v>
      </c>
      <c r="D323" s="172">
        <v>1.0</v>
      </c>
      <c r="E323" s="172" t="s">
        <v>39</v>
      </c>
      <c r="F323" s="172"/>
      <c r="G323" s="173" t="s">
        <v>662</v>
      </c>
      <c r="H323" s="172">
        <v>25.0</v>
      </c>
    </row>
    <row r="324" ht="15.75" hidden="1" customHeight="1">
      <c r="A324" s="221">
        <v>46070.0</v>
      </c>
      <c r="B324" s="172" t="s">
        <v>45</v>
      </c>
      <c r="C324" s="172">
        <v>34.0</v>
      </c>
      <c r="D324" s="172">
        <v>1.0</v>
      </c>
      <c r="E324" s="172" t="s">
        <v>39</v>
      </c>
      <c r="F324" s="172"/>
      <c r="G324" s="173" t="s">
        <v>663</v>
      </c>
      <c r="H324" s="172">
        <v>26.0</v>
      </c>
    </row>
    <row r="325" ht="15.75" hidden="1" customHeight="1">
      <c r="A325" s="221">
        <v>46070.0</v>
      </c>
      <c r="B325" s="172" t="s">
        <v>51</v>
      </c>
      <c r="C325" s="172">
        <v>34.0</v>
      </c>
      <c r="D325" s="172">
        <v>1.0</v>
      </c>
      <c r="E325" s="172" t="s">
        <v>331</v>
      </c>
      <c r="F325" s="172"/>
      <c r="G325" s="198" t="s">
        <v>664</v>
      </c>
      <c r="H325" s="172">
        <v>20.7</v>
      </c>
    </row>
    <row r="326" ht="15.75" hidden="1" customHeight="1">
      <c r="A326" s="221">
        <v>46070.0</v>
      </c>
      <c r="B326" s="172" t="s">
        <v>50</v>
      </c>
      <c r="C326" s="172">
        <v>32.0</v>
      </c>
      <c r="D326" s="172">
        <v>1.0</v>
      </c>
      <c r="E326" s="172" t="s">
        <v>441</v>
      </c>
      <c r="F326" s="172"/>
      <c r="G326" s="173" t="s">
        <v>665</v>
      </c>
      <c r="H326" s="172">
        <v>23.75</v>
      </c>
    </row>
    <row r="327" ht="15.75" hidden="1" customHeight="1">
      <c r="A327" s="221">
        <v>46070.0</v>
      </c>
      <c r="B327" s="172" t="s">
        <v>52</v>
      </c>
      <c r="C327" s="172">
        <v>32.0</v>
      </c>
      <c r="D327" s="172">
        <v>1.0</v>
      </c>
      <c r="E327" s="172" t="s">
        <v>331</v>
      </c>
      <c r="F327" s="172"/>
      <c r="G327" s="198" t="s">
        <v>666</v>
      </c>
      <c r="H327" s="172">
        <v>23.0</v>
      </c>
    </row>
    <row r="328" ht="15.75" hidden="1" customHeight="1">
      <c r="A328" s="237">
        <v>46071.0</v>
      </c>
      <c r="B328" s="172" t="s">
        <v>51</v>
      </c>
      <c r="C328" s="172">
        <v>34.0</v>
      </c>
      <c r="D328" s="172">
        <v>1.0</v>
      </c>
      <c r="E328" s="172" t="s">
        <v>39</v>
      </c>
      <c r="F328" s="172"/>
      <c r="G328" s="173" t="s">
        <v>667</v>
      </c>
      <c r="H328" s="172">
        <v>20.0</v>
      </c>
    </row>
    <row r="329" ht="15.75" hidden="1" customHeight="1">
      <c r="A329" s="221">
        <v>46071.0</v>
      </c>
      <c r="B329" s="172" t="s">
        <v>71</v>
      </c>
      <c r="C329" s="172">
        <v>34.0</v>
      </c>
      <c r="D329" s="172">
        <v>1.0</v>
      </c>
      <c r="E329" s="172" t="s">
        <v>411</v>
      </c>
      <c r="F329" s="172"/>
      <c r="G329" s="198" t="s">
        <v>668</v>
      </c>
      <c r="H329" s="172">
        <v>23.0</v>
      </c>
    </row>
    <row r="330" ht="15.75" hidden="1" customHeight="1">
      <c r="A330" s="221">
        <v>46071.0</v>
      </c>
      <c r="B330" s="172" t="s">
        <v>45</v>
      </c>
      <c r="C330" s="172">
        <v>36.0</v>
      </c>
      <c r="D330" s="172">
        <v>1.0</v>
      </c>
      <c r="E330" s="172" t="s">
        <v>39</v>
      </c>
      <c r="F330" s="172"/>
      <c r="G330" s="173" t="s">
        <v>669</v>
      </c>
      <c r="H330" s="172">
        <v>20.0</v>
      </c>
    </row>
    <row r="331" ht="15.75" hidden="1" customHeight="1">
      <c r="A331" s="221">
        <v>46071.0</v>
      </c>
      <c r="B331" s="172" t="s">
        <v>45</v>
      </c>
      <c r="C331" s="172">
        <v>36.0</v>
      </c>
      <c r="D331" s="172">
        <v>1.0</v>
      </c>
      <c r="E331" s="172" t="s">
        <v>39</v>
      </c>
      <c r="F331" s="172"/>
      <c r="G331" s="173" t="s">
        <v>670</v>
      </c>
      <c r="H331" s="172">
        <v>20.0</v>
      </c>
    </row>
    <row r="332" ht="15.75" hidden="1" customHeight="1">
      <c r="A332" s="221">
        <v>46071.0</v>
      </c>
      <c r="B332" s="172" t="s">
        <v>71</v>
      </c>
      <c r="C332" s="172">
        <v>36.0</v>
      </c>
      <c r="D332" s="172">
        <v>1.0</v>
      </c>
      <c r="E332" s="172" t="s">
        <v>39</v>
      </c>
      <c r="F332" s="172"/>
      <c r="G332" s="173" t="s">
        <v>670</v>
      </c>
      <c r="H332" s="172">
        <v>20.0</v>
      </c>
    </row>
    <row r="333" ht="15.75" hidden="1" customHeight="1">
      <c r="A333" s="221">
        <v>46071.0</v>
      </c>
      <c r="B333" s="172" t="s">
        <v>45</v>
      </c>
      <c r="C333" s="172">
        <v>36.0</v>
      </c>
      <c r="D333" s="172">
        <v>1.0</v>
      </c>
      <c r="E333" s="172" t="s">
        <v>39</v>
      </c>
      <c r="F333" s="172"/>
      <c r="G333" s="173" t="s">
        <v>671</v>
      </c>
      <c r="H333" s="172">
        <v>22.5</v>
      </c>
    </row>
    <row r="334" ht="15.75" hidden="1" customHeight="1">
      <c r="A334" s="221">
        <v>46071.0</v>
      </c>
      <c r="B334" s="172" t="s">
        <v>51</v>
      </c>
      <c r="C334" s="172">
        <v>34.0</v>
      </c>
      <c r="D334" s="172">
        <v>1.0</v>
      </c>
      <c r="E334" s="172" t="s">
        <v>39</v>
      </c>
      <c r="F334" s="172"/>
      <c r="G334" s="173" t="s">
        <v>672</v>
      </c>
      <c r="H334" s="172">
        <v>20.0</v>
      </c>
    </row>
    <row r="335" ht="15.75" hidden="1" customHeight="1">
      <c r="A335" s="221">
        <v>46071.0</v>
      </c>
      <c r="B335" s="172" t="s">
        <v>63</v>
      </c>
      <c r="C335" s="172">
        <v>32.0</v>
      </c>
      <c r="D335" s="172">
        <v>1.0</v>
      </c>
      <c r="E335" s="172" t="s">
        <v>441</v>
      </c>
      <c r="F335" s="172"/>
      <c r="G335" s="173" t="s">
        <v>673</v>
      </c>
      <c r="H335" s="172">
        <v>20.0</v>
      </c>
    </row>
    <row r="336" ht="15.75" hidden="1" customHeight="1">
      <c r="A336" s="221">
        <v>46071.0</v>
      </c>
      <c r="B336" s="172" t="s">
        <v>45</v>
      </c>
      <c r="C336" s="172">
        <v>32.0</v>
      </c>
      <c r="D336" s="172">
        <v>1.0</v>
      </c>
      <c r="E336" s="172" t="s">
        <v>441</v>
      </c>
      <c r="F336" s="172"/>
      <c r="G336" s="173" t="s">
        <v>674</v>
      </c>
      <c r="H336" s="172">
        <v>22.5</v>
      </c>
    </row>
    <row r="337" ht="15.75" hidden="1" customHeight="1">
      <c r="A337" s="221">
        <v>46071.0</v>
      </c>
      <c r="B337" s="172" t="s">
        <v>51</v>
      </c>
      <c r="C337" s="172">
        <v>32.0</v>
      </c>
      <c r="D337" s="172">
        <v>1.0</v>
      </c>
      <c r="E337" s="172" t="s">
        <v>441</v>
      </c>
      <c r="F337" s="172"/>
      <c r="G337" s="173" t="s">
        <v>674</v>
      </c>
      <c r="H337" s="172">
        <v>22.5</v>
      </c>
    </row>
    <row r="338" ht="15.75" hidden="1" customHeight="1">
      <c r="A338" s="221">
        <v>46071.0</v>
      </c>
      <c r="B338" s="172" t="s">
        <v>51</v>
      </c>
      <c r="C338" s="172">
        <v>34.0</v>
      </c>
      <c r="D338" s="172">
        <v>1.0</v>
      </c>
      <c r="E338" s="172" t="s">
        <v>411</v>
      </c>
      <c r="F338" s="172"/>
      <c r="G338" s="198" t="s">
        <v>675</v>
      </c>
      <c r="H338" s="172">
        <v>22.0</v>
      </c>
    </row>
    <row r="339" ht="15.75" hidden="1" customHeight="1">
      <c r="A339" s="221">
        <v>46071.0</v>
      </c>
      <c r="B339" s="172" t="s">
        <v>51</v>
      </c>
      <c r="C339" s="172">
        <v>36.0</v>
      </c>
      <c r="D339" s="172">
        <v>1.0</v>
      </c>
      <c r="E339" s="172" t="s">
        <v>411</v>
      </c>
      <c r="F339" s="172"/>
      <c r="G339" s="198" t="s">
        <v>676</v>
      </c>
      <c r="H339" s="172">
        <v>22.0</v>
      </c>
    </row>
    <row r="340" ht="15.75" hidden="1" customHeight="1">
      <c r="A340" s="221">
        <v>46071.0</v>
      </c>
      <c r="B340" s="172" t="s">
        <v>51</v>
      </c>
      <c r="C340" s="172">
        <v>34.0</v>
      </c>
      <c r="D340" s="172">
        <v>1.0</v>
      </c>
      <c r="E340" s="172" t="s">
        <v>441</v>
      </c>
      <c r="F340" s="172"/>
      <c r="G340" s="173" t="s">
        <v>677</v>
      </c>
      <c r="H340" s="172">
        <v>28.0</v>
      </c>
    </row>
    <row r="341" ht="15.75" hidden="1" customHeight="1">
      <c r="A341" s="229">
        <v>46071.0</v>
      </c>
      <c r="B341" s="182" t="s">
        <v>45</v>
      </c>
      <c r="C341" s="182">
        <v>34.0</v>
      </c>
      <c r="D341" s="182">
        <v>1.0</v>
      </c>
      <c r="E341" s="182" t="s">
        <v>331</v>
      </c>
      <c r="F341" s="182"/>
      <c r="G341" s="184" t="s">
        <v>678</v>
      </c>
      <c r="H341" s="182">
        <v>0.0</v>
      </c>
    </row>
    <row r="342" ht="15.75" hidden="1" customHeight="1">
      <c r="A342" s="221">
        <v>46071.0</v>
      </c>
      <c r="B342" s="172" t="s">
        <v>45</v>
      </c>
      <c r="C342" s="172">
        <v>32.0</v>
      </c>
      <c r="D342" s="172">
        <v>1.0</v>
      </c>
      <c r="E342" s="172" t="s">
        <v>331</v>
      </c>
      <c r="F342" s="172"/>
      <c r="G342" s="173" t="s">
        <v>679</v>
      </c>
      <c r="H342" s="172">
        <v>23.0</v>
      </c>
    </row>
    <row r="343" ht="15.75" hidden="1" customHeight="1">
      <c r="A343" s="221">
        <v>46071.0</v>
      </c>
      <c r="B343" s="172" t="s">
        <v>50</v>
      </c>
      <c r="C343" s="172">
        <v>34.0</v>
      </c>
      <c r="D343" s="172">
        <v>1.0</v>
      </c>
      <c r="E343" s="172" t="s">
        <v>331</v>
      </c>
      <c r="F343" s="172"/>
      <c r="G343" s="173" t="s">
        <v>680</v>
      </c>
      <c r="H343" s="172">
        <v>24.0</v>
      </c>
    </row>
    <row r="344" ht="15.75" hidden="1" customHeight="1">
      <c r="A344" s="221">
        <v>46071.0</v>
      </c>
      <c r="B344" s="172" t="s">
        <v>51</v>
      </c>
      <c r="C344" s="172">
        <v>32.0</v>
      </c>
      <c r="D344" s="172">
        <v>1.0</v>
      </c>
      <c r="E344" s="172" t="s">
        <v>39</v>
      </c>
      <c r="F344" s="172"/>
      <c r="G344" s="173" t="s">
        <v>681</v>
      </c>
      <c r="H344" s="172">
        <v>20.0</v>
      </c>
    </row>
    <row r="345" ht="15.75" hidden="1" customHeight="1">
      <c r="A345" s="221">
        <v>46071.0</v>
      </c>
      <c r="B345" s="172" t="s">
        <v>51</v>
      </c>
      <c r="C345" s="172">
        <v>34.0</v>
      </c>
      <c r="D345" s="172">
        <v>1.0</v>
      </c>
      <c r="E345" s="172" t="s">
        <v>39</v>
      </c>
      <c r="F345" s="172"/>
      <c r="G345" s="173" t="s">
        <v>682</v>
      </c>
      <c r="H345" s="172">
        <v>20.0</v>
      </c>
    </row>
    <row r="346" ht="15.75" hidden="1" customHeight="1">
      <c r="A346" s="229">
        <v>46071.0</v>
      </c>
      <c r="B346" s="182" t="s">
        <v>50</v>
      </c>
      <c r="C346" s="182">
        <v>34.0</v>
      </c>
      <c r="D346" s="182">
        <v>1.0</v>
      </c>
      <c r="E346" s="182" t="s">
        <v>441</v>
      </c>
      <c r="F346" s="182"/>
      <c r="G346" s="184" t="s">
        <v>683</v>
      </c>
      <c r="H346" s="182">
        <v>0.0</v>
      </c>
      <c r="I346" s="185"/>
    </row>
    <row r="347" ht="15.75" hidden="1" customHeight="1">
      <c r="A347" s="221">
        <v>46071.0</v>
      </c>
      <c r="B347" s="172" t="s">
        <v>52</v>
      </c>
      <c r="C347" s="172">
        <v>32.0</v>
      </c>
      <c r="D347" s="172">
        <v>1.0</v>
      </c>
      <c r="E347" s="172" t="s">
        <v>441</v>
      </c>
      <c r="F347" s="172"/>
      <c r="G347" s="173" t="s">
        <v>684</v>
      </c>
      <c r="H347" s="172">
        <v>29.0</v>
      </c>
    </row>
    <row r="348" ht="15.75" hidden="1" customHeight="1">
      <c r="A348" s="221">
        <v>46071.0</v>
      </c>
      <c r="B348" s="172" t="s">
        <v>50</v>
      </c>
      <c r="C348" s="172">
        <v>32.0</v>
      </c>
      <c r="D348" s="172">
        <v>1.0</v>
      </c>
      <c r="E348" s="172" t="s">
        <v>441</v>
      </c>
      <c r="F348" s="172"/>
      <c r="G348" s="173" t="s">
        <v>684</v>
      </c>
      <c r="H348" s="172">
        <v>28.0</v>
      </c>
    </row>
    <row r="349" ht="15.75" hidden="1" customHeight="1">
      <c r="A349" s="233">
        <v>46072.0</v>
      </c>
      <c r="B349" s="172" t="s">
        <v>51</v>
      </c>
      <c r="C349" s="172">
        <v>34.0</v>
      </c>
      <c r="D349" s="172">
        <v>1.0</v>
      </c>
      <c r="E349" s="172" t="s">
        <v>39</v>
      </c>
      <c r="F349" s="172"/>
      <c r="G349" s="173" t="s">
        <v>685</v>
      </c>
      <c r="H349" s="172">
        <v>20.0</v>
      </c>
    </row>
    <row r="350" ht="15.75" hidden="1" customHeight="1">
      <c r="A350" s="221">
        <v>46072.0</v>
      </c>
      <c r="B350" s="172" t="s">
        <v>51</v>
      </c>
      <c r="C350" s="172">
        <v>34.0</v>
      </c>
      <c r="D350" s="172">
        <v>1.0</v>
      </c>
      <c r="E350" s="172" t="s">
        <v>331</v>
      </c>
      <c r="F350" s="172"/>
      <c r="G350" s="198" t="s">
        <v>686</v>
      </c>
      <c r="H350" s="172">
        <v>25.0</v>
      </c>
    </row>
    <row r="351" ht="15.75" hidden="1" customHeight="1">
      <c r="A351" s="221">
        <v>46072.0</v>
      </c>
      <c r="B351" s="172" t="s">
        <v>51</v>
      </c>
      <c r="C351" s="172">
        <v>34.0</v>
      </c>
      <c r="D351" s="172">
        <v>1.0</v>
      </c>
      <c r="E351" s="172" t="s">
        <v>441</v>
      </c>
      <c r="F351" s="172"/>
      <c r="G351" s="173" t="s">
        <v>687</v>
      </c>
      <c r="H351" s="172">
        <v>20.0</v>
      </c>
    </row>
    <row r="352" ht="15.75" hidden="1" customHeight="1">
      <c r="A352" s="221">
        <v>46072.0</v>
      </c>
      <c r="B352" s="172" t="s">
        <v>51</v>
      </c>
      <c r="C352" s="172">
        <v>34.0</v>
      </c>
      <c r="D352" s="172">
        <v>1.0</v>
      </c>
      <c r="E352" s="172" t="s">
        <v>411</v>
      </c>
      <c r="F352" s="172"/>
      <c r="G352" s="173" t="s">
        <v>688</v>
      </c>
      <c r="H352" s="172">
        <v>24.8</v>
      </c>
      <c r="I352" s="173">
        <v>1.09</v>
      </c>
    </row>
    <row r="353" ht="15.75" hidden="1" customHeight="1">
      <c r="A353" s="235">
        <v>46072.0</v>
      </c>
      <c r="B353" s="172" t="s">
        <v>71</v>
      </c>
      <c r="C353" s="172">
        <v>34.0</v>
      </c>
      <c r="D353" s="172">
        <v>1.0</v>
      </c>
      <c r="E353" s="172" t="s">
        <v>411</v>
      </c>
      <c r="F353" s="172"/>
      <c r="G353" s="173" t="s">
        <v>689</v>
      </c>
      <c r="H353" s="172">
        <v>27.0</v>
      </c>
    </row>
    <row r="354" ht="15.75" hidden="1" customHeight="1">
      <c r="A354" s="235">
        <v>46072.0</v>
      </c>
      <c r="B354" s="172" t="s">
        <v>51</v>
      </c>
      <c r="C354" s="172">
        <v>32.0</v>
      </c>
      <c r="D354" s="172">
        <v>1.0</v>
      </c>
      <c r="E354" s="172" t="s">
        <v>441</v>
      </c>
      <c r="F354" s="172"/>
      <c r="G354" s="173" t="s">
        <v>690</v>
      </c>
      <c r="H354" s="172">
        <v>20.0</v>
      </c>
    </row>
    <row r="355" ht="15.75" hidden="1" customHeight="1">
      <c r="A355" s="235">
        <v>46072.0</v>
      </c>
      <c r="B355" s="172" t="s">
        <v>52</v>
      </c>
      <c r="C355" s="172">
        <v>36.0</v>
      </c>
      <c r="D355" s="172">
        <v>1.0</v>
      </c>
      <c r="E355" s="172" t="s">
        <v>39</v>
      </c>
      <c r="F355" s="172"/>
      <c r="G355" s="173" t="s">
        <v>691</v>
      </c>
      <c r="H355" s="172">
        <v>25.0</v>
      </c>
    </row>
    <row r="356" ht="15.75" hidden="1" customHeight="1">
      <c r="A356" s="235">
        <v>46072.0</v>
      </c>
      <c r="B356" s="172" t="s">
        <v>71</v>
      </c>
      <c r="C356" s="172">
        <v>34.0</v>
      </c>
      <c r="D356" s="172">
        <v>1.0</v>
      </c>
      <c r="E356" s="172" t="s">
        <v>441</v>
      </c>
      <c r="F356" s="172"/>
      <c r="G356" s="173" t="s">
        <v>692</v>
      </c>
      <c r="H356" s="172">
        <v>27.0</v>
      </c>
    </row>
    <row r="357" ht="15.75" hidden="1" customHeight="1">
      <c r="A357" s="235">
        <v>46072.0</v>
      </c>
      <c r="B357" s="172" t="s">
        <v>50</v>
      </c>
      <c r="C357" s="172">
        <v>34.0</v>
      </c>
      <c r="D357" s="172">
        <v>1.0</v>
      </c>
      <c r="E357" s="172" t="s">
        <v>411</v>
      </c>
      <c r="F357" s="172"/>
      <c r="G357" s="198" t="s">
        <v>693</v>
      </c>
      <c r="H357" s="172">
        <v>28.5</v>
      </c>
    </row>
    <row r="358" ht="15.75" hidden="1" customHeight="1">
      <c r="A358" s="233">
        <v>46073.0</v>
      </c>
      <c r="B358" s="172" t="s">
        <v>71</v>
      </c>
      <c r="C358" s="172">
        <v>34.0</v>
      </c>
      <c r="D358" s="172">
        <v>1.0</v>
      </c>
      <c r="E358" s="172" t="s">
        <v>441</v>
      </c>
      <c r="F358" s="172"/>
      <c r="G358" s="173" t="s">
        <v>694</v>
      </c>
      <c r="H358" s="172">
        <v>27.0</v>
      </c>
    </row>
    <row r="359" ht="15.75" hidden="1" customHeight="1">
      <c r="A359" s="235">
        <v>46073.0</v>
      </c>
      <c r="B359" s="172" t="s">
        <v>51</v>
      </c>
      <c r="C359" s="172">
        <v>34.0</v>
      </c>
      <c r="D359" s="172">
        <v>1.0</v>
      </c>
      <c r="E359" s="172" t="s">
        <v>441</v>
      </c>
      <c r="F359" s="172"/>
      <c r="G359" s="173" t="s">
        <v>695</v>
      </c>
      <c r="H359" s="172">
        <v>21.0</v>
      </c>
    </row>
    <row r="360" ht="15.75" hidden="1" customHeight="1">
      <c r="A360" s="235">
        <v>46073.0</v>
      </c>
      <c r="B360" s="172" t="s">
        <v>71</v>
      </c>
      <c r="C360" s="172">
        <v>34.0</v>
      </c>
      <c r="D360" s="172">
        <v>1.0</v>
      </c>
      <c r="E360" s="172" t="s">
        <v>39</v>
      </c>
      <c r="F360" s="172"/>
      <c r="G360" s="173" t="s">
        <v>695</v>
      </c>
      <c r="H360" s="172">
        <v>22.0</v>
      </c>
    </row>
    <row r="361" ht="15.75" hidden="1" customHeight="1">
      <c r="A361" s="235">
        <v>46073.0</v>
      </c>
      <c r="B361" s="172" t="s">
        <v>51</v>
      </c>
      <c r="C361" s="172">
        <v>34.0</v>
      </c>
      <c r="D361" s="172">
        <v>1.0</v>
      </c>
      <c r="E361" s="172" t="s">
        <v>441</v>
      </c>
      <c r="F361" s="172"/>
      <c r="G361" s="173" t="s">
        <v>696</v>
      </c>
      <c r="H361" s="172">
        <v>27.0</v>
      </c>
    </row>
    <row r="362" ht="15.75" hidden="1" customHeight="1">
      <c r="A362" s="235">
        <v>46073.0</v>
      </c>
      <c r="B362" s="172" t="s">
        <v>51</v>
      </c>
      <c r="C362" s="172">
        <v>32.0</v>
      </c>
      <c r="D362" s="172">
        <v>1.0</v>
      </c>
      <c r="E362" s="172" t="s">
        <v>441</v>
      </c>
      <c r="F362" s="172"/>
      <c r="G362" s="173" t="s">
        <v>697</v>
      </c>
      <c r="H362" s="172">
        <v>27.0</v>
      </c>
    </row>
    <row r="363" ht="15.75" hidden="1" customHeight="1">
      <c r="A363" s="235">
        <v>46073.0</v>
      </c>
      <c r="B363" s="172" t="s">
        <v>50</v>
      </c>
      <c r="C363" s="172">
        <v>34.0</v>
      </c>
      <c r="D363" s="172">
        <v>1.0</v>
      </c>
      <c r="E363" s="172" t="s">
        <v>441</v>
      </c>
      <c r="F363" s="172"/>
      <c r="G363" s="173" t="s">
        <v>698</v>
      </c>
      <c r="H363" s="172">
        <v>26.0</v>
      </c>
    </row>
    <row r="364" ht="15.75" hidden="1" customHeight="1">
      <c r="A364" s="235">
        <v>46073.0</v>
      </c>
      <c r="B364" s="172" t="s">
        <v>51</v>
      </c>
      <c r="C364" s="172">
        <v>34.0</v>
      </c>
      <c r="D364" s="172">
        <v>1.0</v>
      </c>
      <c r="E364" s="172" t="s">
        <v>411</v>
      </c>
      <c r="F364" s="172"/>
      <c r="G364" s="198" t="s">
        <v>699</v>
      </c>
      <c r="H364" s="172">
        <v>20.0</v>
      </c>
    </row>
    <row r="365" ht="15.75" hidden="1" customHeight="1">
      <c r="A365" s="235">
        <v>46073.0</v>
      </c>
      <c r="B365" s="172" t="s">
        <v>71</v>
      </c>
      <c r="C365" s="172">
        <v>34.0</v>
      </c>
      <c r="D365" s="172">
        <v>1.0</v>
      </c>
      <c r="E365" s="172" t="s">
        <v>411</v>
      </c>
      <c r="F365" s="172"/>
      <c r="G365" s="198" t="s">
        <v>700</v>
      </c>
      <c r="H365" s="172">
        <v>20.0</v>
      </c>
    </row>
    <row r="366" ht="15.75" hidden="1" customHeight="1">
      <c r="A366" s="235">
        <v>46073.0</v>
      </c>
      <c r="B366" s="172" t="s">
        <v>52</v>
      </c>
      <c r="C366" s="172">
        <v>32.0</v>
      </c>
      <c r="D366" s="172">
        <v>1.0</v>
      </c>
      <c r="E366" s="172" t="s">
        <v>441</v>
      </c>
      <c r="F366" s="172"/>
      <c r="G366" s="173" t="s">
        <v>701</v>
      </c>
      <c r="H366" s="172">
        <v>26.0</v>
      </c>
    </row>
    <row r="367" ht="15.75" hidden="1" customHeight="1">
      <c r="A367" s="235">
        <v>46073.0</v>
      </c>
      <c r="B367" s="172" t="s">
        <v>50</v>
      </c>
      <c r="C367" s="172">
        <v>34.0</v>
      </c>
      <c r="D367" s="172">
        <v>1.0</v>
      </c>
      <c r="E367" s="172" t="s">
        <v>411</v>
      </c>
      <c r="F367" s="172"/>
      <c r="G367" s="198" t="s">
        <v>702</v>
      </c>
      <c r="H367" s="172">
        <v>23.0</v>
      </c>
    </row>
    <row r="368" ht="15.75" hidden="1" customHeight="1">
      <c r="A368" s="235">
        <v>46073.0</v>
      </c>
      <c r="B368" s="172" t="s">
        <v>71</v>
      </c>
      <c r="C368" s="172">
        <v>34.0</v>
      </c>
      <c r="D368" s="172">
        <v>1.0</v>
      </c>
      <c r="E368" s="172" t="s">
        <v>39</v>
      </c>
      <c r="F368" s="172"/>
      <c r="G368" s="173" t="s">
        <v>703</v>
      </c>
      <c r="H368" s="172">
        <v>27.0</v>
      </c>
    </row>
    <row r="369" ht="15.75" hidden="1" customHeight="1">
      <c r="A369" s="235">
        <v>46073.0</v>
      </c>
      <c r="B369" s="172" t="s">
        <v>51</v>
      </c>
      <c r="C369" s="172">
        <v>34.0</v>
      </c>
      <c r="D369" s="172">
        <v>1.0</v>
      </c>
      <c r="E369" s="172" t="s">
        <v>441</v>
      </c>
      <c r="F369" s="172"/>
      <c r="G369" s="173" t="s">
        <v>704</v>
      </c>
      <c r="H369" s="172">
        <v>20.0</v>
      </c>
    </row>
    <row r="370" ht="15.75" hidden="1" customHeight="1">
      <c r="A370" s="238">
        <v>46074.0</v>
      </c>
      <c r="B370" s="172" t="s">
        <v>50</v>
      </c>
      <c r="C370" s="172">
        <v>34.0</v>
      </c>
      <c r="D370" s="172">
        <v>1.0</v>
      </c>
      <c r="E370" s="172" t="s">
        <v>441</v>
      </c>
      <c r="F370" s="172"/>
      <c r="G370" s="173" t="s">
        <v>705</v>
      </c>
      <c r="H370" s="172">
        <v>26.0</v>
      </c>
    </row>
    <row r="371" ht="15.75" hidden="1" customHeight="1">
      <c r="A371" s="235">
        <v>46074.0</v>
      </c>
      <c r="B371" s="172" t="s">
        <v>63</v>
      </c>
      <c r="C371" s="172">
        <v>34.0</v>
      </c>
      <c r="D371" s="172">
        <v>1.0</v>
      </c>
      <c r="E371" s="172" t="s">
        <v>441</v>
      </c>
      <c r="F371" s="172"/>
      <c r="G371" s="173" t="s">
        <v>706</v>
      </c>
      <c r="H371" s="172">
        <v>20.0</v>
      </c>
      <c r="I371" s="173">
        <v>1.09</v>
      </c>
    </row>
    <row r="372" ht="15.75" hidden="1" customHeight="1">
      <c r="A372" s="235">
        <v>46074.0</v>
      </c>
      <c r="B372" s="172" t="s">
        <v>51</v>
      </c>
      <c r="C372" s="172">
        <v>34.0</v>
      </c>
      <c r="D372" s="172">
        <v>1.0</v>
      </c>
      <c r="E372" s="172" t="s">
        <v>441</v>
      </c>
      <c r="F372" s="172"/>
      <c r="G372" s="173" t="s">
        <v>707</v>
      </c>
      <c r="H372" s="172">
        <v>25.0</v>
      </c>
      <c r="I372" s="173">
        <v>1.09</v>
      </c>
    </row>
    <row r="373" ht="15.75" hidden="1" customHeight="1">
      <c r="A373" s="235">
        <v>46074.0</v>
      </c>
      <c r="B373" s="172" t="s">
        <v>52</v>
      </c>
      <c r="C373" s="172">
        <v>34.0</v>
      </c>
      <c r="D373" s="172">
        <v>1.0</v>
      </c>
      <c r="E373" s="172" t="s">
        <v>441</v>
      </c>
      <c r="F373" s="172"/>
      <c r="G373" s="173" t="s">
        <v>707</v>
      </c>
      <c r="H373" s="172">
        <v>25.35</v>
      </c>
      <c r="I373" s="173">
        <v>1.09</v>
      </c>
    </row>
    <row r="374" ht="15.75" hidden="1" customHeight="1">
      <c r="A374" s="235">
        <v>46075.0</v>
      </c>
      <c r="B374" s="172" t="s">
        <v>52</v>
      </c>
      <c r="C374" s="172">
        <v>34.0</v>
      </c>
      <c r="D374" s="172">
        <v>1.0</v>
      </c>
      <c r="E374" s="172" t="s">
        <v>441</v>
      </c>
      <c r="F374" s="172"/>
      <c r="G374" s="173" t="s">
        <v>708</v>
      </c>
      <c r="H374" s="172">
        <v>26.0</v>
      </c>
      <c r="I374" s="173">
        <v>1.09</v>
      </c>
    </row>
    <row r="375" ht="15.75" hidden="1" customHeight="1">
      <c r="A375" s="235">
        <v>46075.0</v>
      </c>
      <c r="B375" s="172" t="s">
        <v>50</v>
      </c>
      <c r="C375" s="172">
        <v>34.0</v>
      </c>
      <c r="D375" s="172">
        <v>1.0</v>
      </c>
      <c r="E375" s="172" t="s">
        <v>441</v>
      </c>
      <c r="F375" s="172"/>
      <c r="G375" s="173" t="s">
        <v>709</v>
      </c>
      <c r="H375" s="172">
        <v>26.0</v>
      </c>
      <c r="I375" s="173">
        <v>1.09</v>
      </c>
    </row>
    <row r="376" ht="15.75" hidden="1" customHeight="1">
      <c r="A376" s="235">
        <v>46075.0</v>
      </c>
      <c r="B376" s="172" t="s">
        <v>52</v>
      </c>
      <c r="C376" s="172">
        <v>32.0</v>
      </c>
      <c r="D376" s="172">
        <v>1.0</v>
      </c>
      <c r="E376" s="172" t="s">
        <v>441</v>
      </c>
      <c r="F376" s="172"/>
      <c r="G376" s="173" t="s">
        <v>710</v>
      </c>
      <c r="H376" s="172">
        <v>20.0</v>
      </c>
      <c r="I376" s="173">
        <v>1.09</v>
      </c>
    </row>
    <row r="377" ht="15.75" hidden="1" customHeight="1">
      <c r="A377" s="235">
        <v>46075.0</v>
      </c>
      <c r="B377" s="172" t="s">
        <v>45</v>
      </c>
      <c r="C377" s="172">
        <v>36.0</v>
      </c>
      <c r="D377" s="172">
        <v>1.0</v>
      </c>
      <c r="E377" s="172" t="s">
        <v>441</v>
      </c>
      <c r="F377" s="172"/>
      <c r="G377" s="173" t="s">
        <v>711</v>
      </c>
      <c r="H377" s="172">
        <v>26.0</v>
      </c>
    </row>
    <row r="378" ht="15.75" hidden="1" customHeight="1">
      <c r="A378" s="235">
        <v>46075.0</v>
      </c>
      <c r="B378" s="172" t="s">
        <v>51</v>
      </c>
      <c r="C378" s="172">
        <v>32.0</v>
      </c>
      <c r="D378" s="172">
        <v>1.0</v>
      </c>
      <c r="E378" s="172" t="s">
        <v>441</v>
      </c>
      <c r="F378" s="172"/>
      <c r="G378" s="173" t="s">
        <v>712</v>
      </c>
      <c r="H378" s="172">
        <v>22.0</v>
      </c>
      <c r="I378" s="173">
        <v>1.09</v>
      </c>
    </row>
    <row r="379" ht="15.75" hidden="1" customHeight="1">
      <c r="A379" s="235">
        <v>46075.0</v>
      </c>
      <c r="B379" s="172" t="s">
        <v>51</v>
      </c>
      <c r="C379" s="172">
        <v>34.0</v>
      </c>
      <c r="D379" s="172">
        <v>1.0</v>
      </c>
      <c r="E379" s="172" t="s">
        <v>39</v>
      </c>
      <c r="F379" s="172"/>
      <c r="G379" s="173" t="s">
        <v>713</v>
      </c>
      <c r="H379" s="172">
        <v>24.3</v>
      </c>
    </row>
    <row r="380" ht="15.75" hidden="1" customHeight="1">
      <c r="A380" s="238">
        <v>46076.0</v>
      </c>
      <c r="B380" s="172" t="s">
        <v>71</v>
      </c>
      <c r="C380" s="172">
        <v>32.0</v>
      </c>
      <c r="D380" s="172">
        <v>1.0</v>
      </c>
      <c r="E380" s="172" t="s">
        <v>39</v>
      </c>
      <c r="F380" s="172"/>
      <c r="G380" s="173" t="s">
        <v>714</v>
      </c>
      <c r="H380" s="172">
        <v>25.8</v>
      </c>
    </row>
    <row r="381" ht="15.75" hidden="1" customHeight="1">
      <c r="A381" s="235">
        <v>46076.0</v>
      </c>
      <c r="B381" s="172" t="s">
        <v>45</v>
      </c>
      <c r="C381" s="172">
        <v>36.0</v>
      </c>
      <c r="D381" s="172">
        <v>1.0</v>
      </c>
      <c r="E381" s="172" t="s">
        <v>441</v>
      </c>
      <c r="F381" s="172"/>
      <c r="G381" s="173" t="s">
        <v>715</v>
      </c>
      <c r="H381" s="172">
        <v>23.75</v>
      </c>
    </row>
    <row r="382" ht="15.75" hidden="1" customHeight="1">
      <c r="A382" s="235">
        <v>46076.0</v>
      </c>
      <c r="B382" s="172" t="s">
        <v>50</v>
      </c>
      <c r="C382" s="172">
        <v>36.0</v>
      </c>
      <c r="D382" s="172">
        <v>1.0</v>
      </c>
      <c r="E382" s="172" t="s">
        <v>441</v>
      </c>
      <c r="F382" s="172"/>
      <c r="G382" s="173" t="s">
        <v>716</v>
      </c>
      <c r="H382" s="172">
        <v>20.0</v>
      </c>
    </row>
    <row r="383" ht="15.75" hidden="1" customHeight="1">
      <c r="A383" s="235">
        <v>46076.0</v>
      </c>
      <c r="B383" s="172" t="s">
        <v>51</v>
      </c>
      <c r="C383" s="172">
        <v>32.0</v>
      </c>
      <c r="D383" s="172">
        <v>1.0</v>
      </c>
      <c r="E383" s="172" t="s">
        <v>441</v>
      </c>
      <c r="F383" s="172"/>
      <c r="G383" s="173" t="s">
        <v>717</v>
      </c>
      <c r="H383" s="172">
        <v>20.0</v>
      </c>
    </row>
    <row r="384" ht="15.75" hidden="1" customHeight="1">
      <c r="A384" s="235">
        <v>46076.0</v>
      </c>
      <c r="B384" s="172" t="s">
        <v>45</v>
      </c>
      <c r="C384" s="172">
        <v>36.0</v>
      </c>
      <c r="D384" s="172">
        <v>1.0</v>
      </c>
      <c r="E384" s="172" t="s">
        <v>441</v>
      </c>
      <c r="F384" s="172"/>
      <c r="G384" s="173" t="s">
        <v>632</v>
      </c>
      <c r="H384" s="172">
        <v>22.5</v>
      </c>
    </row>
    <row r="385" ht="15.75" hidden="1" customHeight="1">
      <c r="A385" s="235">
        <v>46076.0</v>
      </c>
      <c r="B385" s="172" t="s">
        <v>45</v>
      </c>
      <c r="C385" s="172">
        <v>34.0</v>
      </c>
      <c r="D385" s="172">
        <v>1.0</v>
      </c>
      <c r="E385" s="172" t="s">
        <v>39</v>
      </c>
      <c r="F385" s="172"/>
      <c r="G385" s="173" t="s">
        <v>718</v>
      </c>
      <c r="H385" s="172">
        <v>27.0</v>
      </c>
    </row>
    <row r="386" ht="15.75" hidden="1" customHeight="1">
      <c r="A386" s="235">
        <v>46076.0</v>
      </c>
      <c r="B386" s="172" t="s">
        <v>63</v>
      </c>
      <c r="C386" s="172">
        <v>36.0</v>
      </c>
      <c r="D386" s="172">
        <v>1.0</v>
      </c>
      <c r="E386" s="172" t="s">
        <v>441</v>
      </c>
      <c r="F386" s="172"/>
      <c r="G386" s="173" t="s">
        <v>720</v>
      </c>
      <c r="H386" s="172">
        <v>27.0</v>
      </c>
      <c r="I386" s="173">
        <v>1.09</v>
      </c>
    </row>
    <row r="387" ht="15.75" hidden="1" customHeight="1">
      <c r="A387" s="233">
        <v>46077.0</v>
      </c>
      <c r="B387" s="172" t="s">
        <v>71</v>
      </c>
      <c r="C387" s="172">
        <v>32.0</v>
      </c>
      <c r="D387" s="172">
        <v>1.0</v>
      </c>
      <c r="E387" s="172" t="s">
        <v>411</v>
      </c>
      <c r="F387" s="172"/>
      <c r="G387" s="173" t="s">
        <v>723</v>
      </c>
      <c r="H387" s="172">
        <v>20.6</v>
      </c>
    </row>
    <row r="388" ht="15.75" hidden="1" customHeight="1">
      <c r="A388" s="234">
        <v>46077.0</v>
      </c>
      <c r="B388" s="172" t="s">
        <v>45</v>
      </c>
      <c r="C388" s="172">
        <v>34.0</v>
      </c>
      <c r="D388" s="172">
        <v>1.0</v>
      </c>
      <c r="E388" s="172" t="s">
        <v>441</v>
      </c>
      <c r="F388" s="172"/>
      <c r="G388" s="173" t="s">
        <v>728</v>
      </c>
      <c r="H388" s="172">
        <v>26.0</v>
      </c>
    </row>
    <row r="389" ht="15.75" hidden="1" customHeight="1">
      <c r="A389" s="234">
        <v>46077.0</v>
      </c>
      <c r="B389" s="172" t="s">
        <v>71</v>
      </c>
      <c r="C389" s="172">
        <v>32.0</v>
      </c>
      <c r="D389" s="172">
        <v>1.0</v>
      </c>
      <c r="E389" s="172" t="s">
        <v>411</v>
      </c>
      <c r="F389" s="172"/>
      <c r="G389" s="198" t="s">
        <v>733</v>
      </c>
      <c r="H389" s="172">
        <v>20.0</v>
      </c>
    </row>
    <row r="390" ht="15.75" hidden="1" customHeight="1">
      <c r="A390" s="234">
        <v>46077.0</v>
      </c>
      <c r="B390" s="172" t="s">
        <v>63</v>
      </c>
      <c r="C390" s="172">
        <v>32.0</v>
      </c>
      <c r="D390" s="172">
        <v>1.0</v>
      </c>
      <c r="E390" s="172" t="s">
        <v>411</v>
      </c>
      <c r="F390" s="172"/>
      <c r="G390" s="198" t="s">
        <v>751</v>
      </c>
      <c r="H390" s="172">
        <v>20.0</v>
      </c>
    </row>
    <row r="391" ht="15.75" hidden="1" customHeight="1">
      <c r="A391" s="234">
        <v>46077.0</v>
      </c>
      <c r="B391" s="172" t="s">
        <v>45</v>
      </c>
      <c r="C391" s="172">
        <v>36.0</v>
      </c>
      <c r="D391" s="172">
        <v>1.0</v>
      </c>
      <c r="E391" s="172" t="s">
        <v>441</v>
      </c>
      <c r="F391" s="172"/>
      <c r="G391" s="173" t="s">
        <v>757</v>
      </c>
      <c r="H391" s="172">
        <v>20.0</v>
      </c>
    </row>
    <row r="392" ht="15.75" hidden="1" customHeight="1">
      <c r="A392" s="235">
        <v>46077.0</v>
      </c>
      <c r="B392" s="172" t="s">
        <v>71</v>
      </c>
      <c r="C392" s="172">
        <v>36.0</v>
      </c>
      <c r="D392" s="172">
        <v>1.0</v>
      </c>
      <c r="E392" s="172" t="s">
        <v>411</v>
      </c>
      <c r="F392" s="172"/>
      <c r="G392" s="173" t="s">
        <v>761</v>
      </c>
      <c r="H392" s="172">
        <v>25.0</v>
      </c>
      <c r="I392" s="173">
        <v>1.09</v>
      </c>
    </row>
    <row r="393" ht="15.75" hidden="1" customHeight="1">
      <c r="A393" s="235">
        <v>46077.0</v>
      </c>
      <c r="B393" s="172" t="s">
        <v>45</v>
      </c>
      <c r="C393" s="172">
        <v>34.0</v>
      </c>
      <c r="D393" s="172">
        <v>1.0</v>
      </c>
      <c r="E393" s="172" t="s">
        <v>411</v>
      </c>
      <c r="F393" s="172"/>
      <c r="G393" s="173" t="s">
        <v>766</v>
      </c>
      <c r="H393" s="172">
        <v>22.5</v>
      </c>
    </row>
    <row r="394" ht="15.75" hidden="1" customHeight="1">
      <c r="A394" s="235">
        <v>46077.0</v>
      </c>
      <c r="B394" s="172" t="s">
        <v>71</v>
      </c>
      <c r="C394" s="172">
        <v>36.0</v>
      </c>
      <c r="D394" s="172">
        <v>1.0</v>
      </c>
      <c r="E394" s="172" t="s">
        <v>441</v>
      </c>
      <c r="F394" s="172"/>
      <c r="G394" s="173" t="s">
        <v>761</v>
      </c>
      <c r="H394" s="172">
        <v>25.0</v>
      </c>
    </row>
    <row r="395" ht="15.75" hidden="1" customHeight="1">
      <c r="A395" s="235">
        <v>46077.0</v>
      </c>
      <c r="B395" s="172" t="s">
        <v>51</v>
      </c>
      <c r="C395" s="172">
        <v>34.0</v>
      </c>
      <c r="D395" s="172">
        <v>1.0</v>
      </c>
      <c r="E395" s="172" t="s">
        <v>441</v>
      </c>
      <c r="F395" s="172"/>
      <c r="G395" s="173" t="s">
        <v>779</v>
      </c>
      <c r="H395" s="172">
        <v>20.0</v>
      </c>
    </row>
    <row r="396" ht="15.75" hidden="1" customHeight="1">
      <c r="A396" s="242">
        <v>46078.0</v>
      </c>
      <c r="B396" s="172" t="s">
        <v>63</v>
      </c>
      <c r="C396" s="172">
        <v>34.0</v>
      </c>
      <c r="D396" s="172">
        <v>1.0</v>
      </c>
      <c r="E396" s="172" t="s">
        <v>441</v>
      </c>
      <c r="F396" s="172"/>
      <c r="G396" s="173" t="s">
        <v>780</v>
      </c>
      <c r="H396" s="172">
        <v>25.0</v>
      </c>
    </row>
    <row r="397" ht="15.75" hidden="1" customHeight="1">
      <c r="A397" s="234">
        <v>46078.0</v>
      </c>
      <c r="B397" s="172" t="s">
        <v>52</v>
      </c>
      <c r="C397" s="172">
        <v>34.0</v>
      </c>
      <c r="D397" s="172">
        <v>1.0</v>
      </c>
      <c r="E397" s="172" t="s">
        <v>441</v>
      </c>
      <c r="F397" s="172"/>
      <c r="G397" s="173" t="s">
        <v>781</v>
      </c>
      <c r="H397" s="172">
        <v>23.4</v>
      </c>
    </row>
    <row r="398" ht="15.75" hidden="1" customHeight="1">
      <c r="A398" s="234">
        <v>46078.0</v>
      </c>
      <c r="B398" s="172" t="s">
        <v>71</v>
      </c>
      <c r="C398" s="172">
        <v>36.0</v>
      </c>
      <c r="D398" s="172">
        <v>1.0</v>
      </c>
      <c r="E398" s="172" t="s">
        <v>441</v>
      </c>
      <c r="F398" s="172"/>
      <c r="G398" s="173" t="s">
        <v>782</v>
      </c>
      <c r="H398" s="172">
        <v>20.0</v>
      </c>
    </row>
    <row r="399" ht="15.75" hidden="1" customHeight="1">
      <c r="A399" s="234">
        <v>46078.0</v>
      </c>
      <c r="B399" s="172" t="s">
        <v>63</v>
      </c>
      <c r="C399" s="172">
        <v>32.0</v>
      </c>
      <c r="D399" s="172">
        <v>1.0</v>
      </c>
      <c r="E399" s="172" t="s">
        <v>441</v>
      </c>
      <c r="F399" s="172"/>
      <c r="G399" s="173" t="s">
        <v>783</v>
      </c>
      <c r="H399" s="172">
        <v>27.0</v>
      </c>
    </row>
    <row r="400" ht="15.75" hidden="1" customHeight="1">
      <c r="A400" s="234">
        <v>46078.0</v>
      </c>
      <c r="B400" s="172" t="s">
        <v>45</v>
      </c>
      <c r="C400" s="172">
        <v>34.0</v>
      </c>
      <c r="D400" s="172">
        <v>1.0</v>
      </c>
      <c r="E400" s="172" t="s">
        <v>441</v>
      </c>
      <c r="F400" s="172"/>
      <c r="G400" s="173" t="s">
        <v>784</v>
      </c>
      <c r="H400" s="172">
        <v>23.0</v>
      </c>
    </row>
    <row r="401" ht="15.75" hidden="1" customHeight="1">
      <c r="A401" s="234">
        <v>46078.0</v>
      </c>
      <c r="B401" s="172" t="s">
        <v>71</v>
      </c>
      <c r="C401" s="172">
        <v>36.0</v>
      </c>
      <c r="D401" s="172">
        <v>1.0</v>
      </c>
      <c r="E401" s="172" t="s">
        <v>411</v>
      </c>
      <c r="F401" s="172"/>
      <c r="G401" s="198" t="s">
        <v>785</v>
      </c>
      <c r="H401" s="172">
        <v>27.4</v>
      </c>
      <c r="I401" s="173">
        <v>1.09</v>
      </c>
    </row>
    <row r="402" ht="15.75" hidden="1" customHeight="1">
      <c r="A402" s="234">
        <v>46078.0</v>
      </c>
      <c r="B402" s="172" t="s">
        <v>51</v>
      </c>
      <c r="C402" s="172">
        <v>32.0</v>
      </c>
      <c r="D402" s="172">
        <v>1.0</v>
      </c>
      <c r="E402" s="172" t="s">
        <v>441</v>
      </c>
      <c r="F402" s="172"/>
      <c r="G402" s="173" t="s">
        <v>786</v>
      </c>
      <c r="H402" s="172">
        <v>25.0</v>
      </c>
    </row>
    <row r="403" ht="15.75" hidden="1" customHeight="1">
      <c r="A403" s="234">
        <v>46078.0</v>
      </c>
      <c r="B403" s="172" t="s">
        <v>45</v>
      </c>
      <c r="C403" s="172">
        <v>32.0</v>
      </c>
      <c r="D403" s="172">
        <v>1.0</v>
      </c>
      <c r="E403" s="172" t="s">
        <v>441</v>
      </c>
      <c r="F403" s="172"/>
      <c r="G403" s="173" t="s">
        <v>787</v>
      </c>
      <c r="H403" s="172">
        <v>26.0</v>
      </c>
    </row>
    <row r="404" ht="15.75" hidden="1" customHeight="1">
      <c r="A404" s="234">
        <v>46078.0</v>
      </c>
      <c r="B404" s="172" t="s">
        <v>45</v>
      </c>
      <c r="C404" s="172">
        <v>32.0</v>
      </c>
      <c r="D404" s="172">
        <v>1.0</v>
      </c>
      <c r="E404" s="172" t="s">
        <v>441</v>
      </c>
      <c r="F404" s="172"/>
      <c r="G404" s="173" t="s">
        <v>788</v>
      </c>
      <c r="H404" s="172">
        <v>20.8</v>
      </c>
    </row>
    <row r="405" ht="15.75" hidden="1" customHeight="1">
      <c r="A405" s="238">
        <v>46079.0</v>
      </c>
      <c r="B405" s="172" t="s">
        <v>52</v>
      </c>
      <c r="C405" s="172">
        <v>34.0</v>
      </c>
      <c r="D405" s="172">
        <v>1.0</v>
      </c>
      <c r="E405" s="172" t="s">
        <v>39</v>
      </c>
      <c r="F405" s="172"/>
      <c r="G405" s="173" t="s">
        <v>789</v>
      </c>
      <c r="H405" s="172">
        <v>25.0</v>
      </c>
    </row>
    <row r="406" ht="15.75" hidden="1" customHeight="1">
      <c r="A406" s="234">
        <v>46079.0</v>
      </c>
      <c r="B406" s="172" t="s">
        <v>63</v>
      </c>
      <c r="C406" s="172">
        <v>32.0</v>
      </c>
      <c r="D406" s="172">
        <v>1.0</v>
      </c>
      <c r="E406" s="172" t="s">
        <v>441</v>
      </c>
      <c r="F406" s="172"/>
      <c r="G406" s="173" t="s">
        <v>790</v>
      </c>
      <c r="H406" s="172">
        <v>23.0</v>
      </c>
    </row>
    <row r="407" ht="15.75" hidden="1" customHeight="1">
      <c r="A407" s="234">
        <v>46079.0</v>
      </c>
      <c r="B407" s="172" t="s">
        <v>52</v>
      </c>
      <c r="C407" s="172">
        <v>34.0</v>
      </c>
      <c r="D407" s="172">
        <v>1.0</v>
      </c>
      <c r="E407" s="172" t="s">
        <v>441</v>
      </c>
      <c r="F407" s="172"/>
      <c r="G407" s="173" t="s">
        <v>791</v>
      </c>
      <c r="H407" s="172">
        <v>20.0</v>
      </c>
    </row>
    <row r="408" ht="15.75" hidden="1" customHeight="1">
      <c r="A408" s="234">
        <v>46079.0</v>
      </c>
      <c r="B408" s="172" t="s">
        <v>71</v>
      </c>
      <c r="C408" s="172">
        <v>36.0</v>
      </c>
      <c r="D408" s="172">
        <v>1.0</v>
      </c>
      <c r="E408" s="172" t="s">
        <v>411</v>
      </c>
      <c r="F408" s="172"/>
      <c r="G408" s="198" t="s">
        <v>792</v>
      </c>
      <c r="H408" s="172">
        <v>23.5</v>
      </c>
      <c r="I408" s="173">
        <v>1.09</v>
      </c>
    </row>
    <row r="409" ht="15.75" hidden="1" customHeight="1">
      <c r="A409" s="234">
        <v>46079.0</v>
      </c>
      <c r="B409" s="172" t="s">
        <v>52</v>
      </c>
      <c r="C409" s="172">
        <v>36.0</v>
      </c>
      <c r="D409" s="172">
        <v>1.0</v>
      </c>
      <c r="E409" s="172" t="s">
        <v>411</v>
      </c>
      <c r="F409" s="172"/>
      <c r="G409" s="198" t="s">
        <v>793</v>
      </c>
      <c r="H409" s="172">
        <v>27.4</v>
      </c>
    </row>
    <row r="410" ht="15.75" hidden="1" customHeight="1">
      <c r="A410" s="235">
        <v>46079.0</v>
      </c>
      <c r="B410" s="172" t="s">
        <v>51</v>
      </c>
      <c r="C410" s="172">
        <v>32.0</v>
      </c>
      <c r="D410" s="172">
        <v>1.0</v>
      </c>
      <c r="E410" s="172" t="s">
        <v>39</v>
      </c>
      <c r="F410" s="172"/>
      <c r="G410" s="173" t="s">
        <v>794</v>
      </c>
      <c r="H410" s="172">
        <v>20.0</v>
      </c>
    </row>
    <row r="411" ht="15.75" hidden="1" customHeight="1">
      <c r="A411" s="235">
        <v>46079.0</v>
      </c>
      <c r="B411" s="172" t="s">
        <v>45</v>
      </c>
      <c r="C411" s="172">
        <v>34.0</v>
      </c>
      <c r="D411" s="172">
        <v>1.0</v>
      </c>
      <c r="E411" s="172" t="s">
        <v>411</v>
      </c>
      <c r="F411" s="172"/>
      <c r="G411" s="198" t="s">
        <v>795</v>
      </c>
      <c r="H411" s="172">
        <v>21.0</v>
      </c>
    </row>
    <row r="412" ht="15.75" hidden="1" customHeight="1">
      <c r="A412" s="235">
        <v>46078.0</v>
      </c>
      <c r="B412" s="172" t="s">
        <v>51</v>
      </c>
      <c r="C412" s="172">
        <v>34.0</v>
      </c>
      <c r="D412" s="172">
        <v>1.0</v>
      </c>
      <c r="E412" s="172" t="s">
        <v>331</v>
      </c>
      <c r="F412" s="172"/>
      <c r="G412" s="198" t="s">
        <v>796</v>
      </c>
      <c r="H412" s="172">
        <v>24.0</v>
      </c>
    </row>
    <row r="413" ht="15.75" hidden="1" customHeight="1">
      <c r="A413" s="235">
        <v>46078.0</v>
      </c>
      <c r="B413" s="172" t="s">
        <v>52</v>
      </c>
      <c r="C413" s="172">
        <v>32.0</v>
      </c>
      <c r="D413" s="172">
        <v>1.0</v>
      </c>
      <c r="E413" s="172" t="s">
        <v>441</v>
      </c>
      <c r="F413" s="172"/>
      <c r="G413" s="173" t="s">
        <v>797</v>
      </c>
      <c r="H413" s="172">
        <v>26.0</v>
      </c>
    </row>
    <row r="414" ht="15.75" hidden="1" customHeight="1">
      <c r="A414" s="235">
        <v>46078.0</v>
      </c>
      <c r="B414" s="172" t="s">
        <v>45</v>
      </c>
      <c r="C414" s="172">
        <v>34.0</v>
      </c>
      <c r="D414" s="172">
        <v>1.0</v>
      </c>
      <c r="E414" s="172" t="s">
        <v>441</v>
      </c>
      <c r="F414" s="172"/>
      <c r="G414" s="173" t="s">
        <v>798</v>
      </c>
      <c r="H414" s="172">
        <v>23.0</v>
      </c>
    </row>
    <row r="415" ht="15.75" hidden="1" customHeight="1">
      <c r="A415" s="235">
        <v>46079.0</v>
      </c>
      <c r="B415" s="172" t="s">
        <v>50</v>
      </c>
      <c r="C415" s="172">
        <v>34.0</v>
      </c>
      <c r="D415" s="172">
        <v>1.0</v>
      </c>
      <c r="E415" s="172" t="s">
        <v>331</v>
      </c>
      <c r="F415" s="172"/>
      <c r="G415" s="198" t="s">
        <v>799</v>
      </c>
      <c r="H415" s="172">
        <v>22.0</v>
      </c>
    </row>
    <row r="416" ht="15.75" hidden="1" customHeight="1">
      <c r="A416" s="243">
        <v>46080.0</v>
      </c>
      <c r="B416" s="172" t="s">
        <v>63</v>
      </c>
      <c r="C416" s="172">
        <v>32.0</v>
      </c>
      <c r="D416" s="172">
        <v>1.0</v>
      </c>
      <c r="E416" s="172" t="s">
        <v>441</v>
      </c>
      <c r="F416" s="172"/>
      <c r="G416" s="173" t="s">
        <v>800</v>
      </c>
      <c r="H416" s="172">
        <v>27.0</v>
      </c>
    </row>
    <row r="417" ht="15.75" hidden="1" customHeight="1">
      <c r="A417" s="234">
        <v>46080.0</v>
      </c>
      <c r="B417" s="172" t="s">
        <v>45</v>
      </c>
      <c r="C417" s="172">
        <v>36.0</v>
      </c>
      <c r="D417" s="172">
        <v>1.0</v>
      </c>
      <c r="E417" s="172" t="s">
        <v>441</v>
      </c>
      <c r="F417" s="172"/>
      <c r="G417" s="173" t="s">
        <v>801</v>
      </c>
      <c r="H417" s="172">
        <v>21.0</v>
      </c>
    </row>
    <row r="418" ht="15.75" hidden="1" customHeight="1">
      <c r="A418" s="234">
        <v>46080.0</v>
      </c>
      <c r="B418" s="172" t="s">
        <v>71</v>
      </c>
      <c r="C418" s="172">
        <v>36.0</v>
      </c>
      <c r="D418" s="172">
        <v>1.0</v>
      </c>
      <c r="E418" s="172" t="s">
        <v>441</v>
      </c>
      <c r="F418" s="172"/>
      <c r="G418" s="173" t="s">
        <v>802</v>
      </c>
      <c r="H418" s="172">
        <v>20.0</v>
      </c>
    </row>
    <row r="419" ht="15.75" hidden="1" customHeight="1">
      <c r="A419" s="244">
        <v>46080.0</v>
      </c>
      <c r="B419" s="187" t="s">
        <v>50</v>
      </c>
      <c r="C419" s="187">
        <v>34.0</v>
      </c>
      <c r="D419" s="187">
        <v>1.0</v>
      </c>
      <c r="E419" s="187" t="s">
        <v>331</v>
      </c>
      <c r="F419" s="187"/>
      <c r="G419" s="245" t="s">
        <v>803</v>
      </c>
      <c r="H419" s="187">
        <v>0.0</v>
      </c>
    </row>
    <row r="420" ht="15.75" hidden="1" customHeight="1">
      <c r="A420" s="235">
        <v>46080.0</v>
      </c>
      <c r="B420" s="172" t="s">
        <v>45</v>
      </c>
      <c r="C420" s="172">
        <v>32.0</v>
      </c>
      <c r="D420" s="172">
        <v>1.0</v>
      </c>
      <c r="E420" s="172" t="s">
        <v>441</v>
      </c>
      <c r="F420" s="172"/>
      <c r="G420" s="173" t="s">
        <v>804</v>
      </c>
      <c r="H420" s="172">
        <v>26.0</v>
      </c>
    </row>
    <row r="421" ht="15.75" hidden="1" customHeight="1">
      <c r="A421" s="235">
        <v>46080.0</v>
      </c>
      <c r="B421" s="172" t="s">
        <v>51</v>
      </c>
      <c r="C421" s="172">
        <v>34.0</v>
      </c>
      <c r="D421" s="172">
        <v>1.0</v>
      </c>
      <c r="E421" s="172" t="s">
        <v>441</v>
      </c>
      <c r="F421" s="172"/>
      <c r="G421" s="173" t="s">
        <v>805</v>
      </c>
      <c r="H421" s="172">
        <v>27.0</v>
      </c>
    </row>
    <row r="422" ht="15.75" hidden="1" customHeight="1">
      <c r="A422" s="235">
        <v>46080.0</v>
      </c>
      <c r="B422" s="172" t="s">
        <v>52</v>
      </c>
      <c r="C422" s="172">
        <v>36.0</v>
      </c>
      <c r="D422" s="172">
        <v>1.0</v>
      </c>
      <c r="E422" s="172" t="s">
        <v>411</v>
      </c>
      <c r="F422" s="172"/>
      <c r="G422" s="173" t="s">
        <v>806</v>
      </c>
      <c r="H422" s="172">
        <v>20.0</v>
      </c>
    </row>
    <row r="423" ht="15.75" hidden="1" customHeight="1">
      <c r="A423" s="235">
        <v>46080.0</v>
      </c>
      <c r="B423" s="172" t="s">
        <v>94</v>
      </c>
      <c r="C423" s="172">
        <v>34.0</v>
      </c>
      <c r="D423" s="172">
        <v>1.0</v>
      </c>
      <c r="E423" s="172" t="s">
        <v>39</v>
      </c>
      <c r="F423" s="161"/>
      <c r="H423" s="172">
        <v>20.0</v>
      </c>
    </row>
    <row r="424" ht="15.75" hidden="1" customHeight="1">
      <c r="A424" s="235">
        <v>46080.0</v>
      </c>
      <c r="B424" s="172" t="s">
        <v>45</v>
      </c>
      <c r="C424" s="172">
        <v>36.0</v>
      </c>
      <c r="D424" s="172">
        <v>1.0</v>
      </c>
      <c r="E424" s="172" t="s">
        <v>39</v>
      </c>
      <c r="F424" s="161"/>
      <c r="H424" s="172">
        <v>22.5</v>
      </c>
    </row>
    <row r="425" ht="15.75" hidden="1" customHeight="1">
      <c r="A425" s="235">
        <v>46080.0</v>
      </c>
      <c r="B425" s="172" t="s">
        <v>51</v>
      </c>
      <c r="C425" s="172">
        <v>34.0</v>
      </c>
      <c r="D425" s="172">
        <v>1.0</v>
      </c>
      <c r="E425" s="172" t="s">
        <v>331</v>
      </c>
      <c r="F425" s="172"/>
      <c r="G425" s="198" t="s">
        <v>807</v>
      </c>
      <c r="H425" s="172">
        <v>20.0</v>
      </c>
    </row>
    <row r="426" ht="15.75" hidden="1" customHeight="1">
      <c r="A426" s="235">
        <v>46080.0</v>
      </c>
      <c r="B426" s="172" t="s">
        <v>51</v>
      </c>
      <c r="C426" s="172">
        <v>34.0</v>
      </c>
      <c r="D426" s="172">
        <v>1.0</v>
      </c>
      <c r="E426" s="172" t="s">
        <v>331</v>
      </c>
      <c r="F426" s="172"/>
      <c r="G426" s="198" t="s">
        <v>808</v>
      </c>
      <c r="H426" s="172">
        <v>24.0</v>
      </c>
    </row>
    <row r="427" ht="15.75" hidden="1" customHeight="1">
      <c r="A427" s="235">
        <v>46080.0</v>
      </c>
      <c r="B427" s="172" t="s">
        <v>45</v>
      </c>
      <c r="C427" s="172">
        <v>32.0</v>
      </c>
      <c r="D427" s="172">
        <v>1.0</v>
      </c>
      <c r="E427" s="172" t="s">
        <v>331</v>
      </c>
      <c r="F427" s="172"/>
      <c r="G427" s="198" t="s">
        <v>809</v>
      </c>
      <c r="H427" s="172">
        <v>20.0</v>
      </c>
    </row>
    <row r="428" ht="15.75" hidden="1" customHeight="1">
      <c r="A428" s="235">
        <v>46080.0</v>
      </c>
      <c r="B428" s="172" t="s">
        <v>53</v>
      </c>
      <c r="C428" s="172">
        <v>34.0</v>
      </c>
      <c r="D428" s="172">
        <v>1.0</v>
      </c>
      <c r="E428" s="172" t="s">
        <v>411</v>
      </c>
      <c r="F428" s="174"/>
      <c r="G428" s="175" t="s">
        <v>810</v>
      </c>
      <c r="H428" s="172">
        <v>28.0</v>
      </c>
    </row>
    <row r="429" ht="15.75" hidden="1" customHeight="1">
      <c r="A429" s="242">
        <v>46081.0</v>
      </c>
      <c r="B429" s="172" t="s">
        <v>50</v>
      </c>
      <c r="C429" s="172">
        <v>34.0</v>
      </c>
      <c r="D429" s="172">
        <v>1.0</v>
      </c>
      <c r="E429" s="172" t="s">
        <v>411</v>
      </c>
      <c r="F429" s="172"/>
      <c r="G429" s="198" t="s">
        <v>811</v>
      </c>
      <c r="H429" s="172">
        <v>20.0</v>
      </c>
    </row>
    <row r="430" ht="15.75" hidden="1" customHeight="1">
      <c r="A430" s="235">
        <v>46081.0</v>
      </c>
      <c r="B430" s="172" t="s">
        <v>45</v>
      </c>
      <c r="C430" s="172">
        <v>34.0</v>
      </c>
      <c r="D430" s="172">
        <v>1.0</v>
      </c>
      <c r="E430" s="172" t="s">
        <v>441</v>
      </c>
      <c r="F430" s="172"/>
      <c r="G430" s="173" t="s">
        <v>812</v>
      </c>
      <c r="H430" s="172">
        <v>20.0</v>
      </c>
    </row>
    <row r="431" ht="15.75" hidden="1" customHeight="1">
      <c r="A431" s="235">
        <v>46081.0</v>
      </c>
      <c r="B431" s="172" t="s">
        <v>63</v>
      </c>
      <c r="C431" s="172">
        <v>36.0</v>
      </c>
      <c r="D431" s="172">
        <v>1.0</v>
      </c>
      <c r="E431" s="172" t="s">
        <v>411</v>
      </c>
      <c r="F431" s="172"/>
      <c r="G431" s="198" t="s">
        <v>813</v>
      </c>
      <c r="H431" s="172">
        <v>20.8</v>
      </c>
    </row>
    <row r="432" ht="15.75" hidden="1" customHeight="1">
      <c r="A432" s="235">
        <v>46081.0</v>
      </c>
      <c r="B432" s="172" t="s">
        <v>45</v>
      </c>
      <c r="C432" s="172">
        <v>32.0</v>
      </c>
      <c r="D432" s="172">
        <v>1.0</v>
      </c>
      <c r="E432" s="172" t="s">
        <v>331</v>
      </c>
      <c r="F432" s="172"/>
      <c r="G432" s="198" t="s">
        <v>814</v>
      </c>
      <c r="H432" s="172">
        <v>25.0</v>
      </c>
    </row>
    <row r="433" ht="15.75" hidden="1" customHeight="1">
      <c r="A433" s="235">
        <v>46081.0</v>
      </c>
      <c r="B433" s="172" t="s">
        <v>45</v>
      </c>
      <c r="C433" s="172">
        <v>34.0</v>
      </c>
      <c r="D433" s="172">
        <v>1.0</v>
      </c>
      <c r="E433" s="172" t="s">
        <v>411</v>
      </c>
      <c r="F433" s="172"/>
      <c r="G433" s="198" t="s">
        <v>815</v>
      </c>
      <c r="H433" s="172">
        <v>23.0</v>
      </c>
    </row>
    <row r="434" ht="15.75" hidden="1" customHeight="1">
      <c r="A434" s="235">
        <v>46081.0</v>
      </c>
      <c r="B434" s="172" t="s">
        <v>94</v>
      </c>
      <c r="C434" s="172">
        <v>30.0</v>
      </c>
      <c r="D434" s="172">
        <v>1.0</v>
      </c>
      <c r="E434" s="172" t="s">
        <v>441</v>
      </c>
      <c r="F434" s="172"/>
      <c r="G434" s="173" t="s">
        <v>816</v>
      </c>
      <c r="H434" s="172">
        <v>20.0</v>
      </c>
    </row>
    <row r="435" ht="15.75" hidden="1" customHeight="1">
      <c r="A435" s="235">
        <v>46081.0</v>
      </c>
      <c r="B435" s="172" t="s">
        <v>94</v>
      </c>
      <c r="C435" s="172">
        <v>32.0</v>
      </c>
      <c r="D435" s="172">
        <v>1.0</v>
      </c>
      <c r="E435" s="172" t="s">
        <v>441</v>
      </c>
      <c r="F435" s="172"/>
      <c r="G435" s="173" t="s">
        <v>817</v>
      </c>
      <c r="H435" s="172">
        <v>22.0</v>
      </c>
    </row>
    <row r="436" ht="15.75" hidden="1" customHeight="1">
      <c r="A436" s="235">
        <v>46081.0</v>
      </c>
      <c r="B436" s="172" t="s">
        <v>45</v>
      </c>
      <c r="C436" s="172">
        <v>34.0</v>
      </c>
      <c r="D436" s="172">
        <v>1.0</v>
      </c>
      <c r="E436" s="172" t="s">
        <v>441</v>
      </c>
      <c r="F436" s="172"/>
      <c r="G436" s="173" t="s">
        <v>818</v>
      </c>
      <c r="H436" s="172">
        <v>20.0</v>
      </c>
    </row>
    <row r="437" ht="15.75" hidden="1" customHeight="1">
      <c r="A437" s="235">
        <v>46081.0</v>
      </c>
      <c r="B437" s="172" t="s">
        <v>94</v>
      </c>
      <c r="C437" s="172">
        <v>32.0</v>
      </c>
      <c r="D437" s="172">
        <v>1.0</v>
      </c>
      <c r="E437" s="172" t="s">
        <v>441</v>
      </c>
      <c r="F437" s="172"/>
      <c r="G437" s="173" t="s">
        <v>819</v>
      </c>
      <c r="H437" s="172">
        <v>25.0</v>
      </c>
    </row>
    <row r="438" ht="15.75" hidden="1" customHeight="1">
      <c r="A438" s="235">
        <v>46081.0</v>
      </c>
      <c r="B438" s="172" t="s">
        <v>53</v>
      </c>
      <c r="C438" s="172">
        <v>32.0</v>
      </c>
      <c r="D438" s="172">
        <v>1.0</v>
      </c>
      <c r="E438" s="172" t="s">
        <v>331</v>
      </c>
      <c r="F438" s="172"/>
      <c r="G438" s="198" t="s">
        <v>820</v>
      </c>
      <c r="H438" s="172">
        <v>25.0</v>
      </c>
    </row>
    <row r="439" ht="15.75" hidden="1" customHeight="1">
      <c r="A439" s="246">
        <v>46081.0</v>
      </c>
      <c r="B439" s="182" t="s">
        <v>52</v>
      </c>
      <c r="C439" s="182">
        <v>32.0</v>
      </c>
      <c r="D439" s="182">
        <v>1.0</v>
      </c>
      <c r="E439" s="182" t="s">
        <v>441</v>
      </c>
      <c r="F439" s="182"/>
      <c r="G439" s="184" t="s">
        <v>821</v>
      </c>
      <c r="H439" s="182">
        <v>0.0</v>
      </c>
      <c r="I439" s="185"/>
    </row>
    <row r="440" ht="15.75" hidden="1" customHeight="1">
      <c r="A440" s="235">
        <v>46081.0</v>
      </c>
      <c r="B440" s="172" t="s">
        <v>53</v>
      </c>
      <c r="C440" s="172">
        <v>32.0</v>
      </c>
      <c r="D440" s="172">
        <v>1.0</v>
      </c>
      <c r="E440" s="172" t="s">
        <v>331</v>
      </c>
      <c r="F440" s="172"/>
      <c r="G440" s="173" t="s">
        <v>822</v>
      </c>
      <c r="H440" s="172">
        <v>25.0</v>
      </c>
    </row>
    <row r="441" ht="15.75" hidden="1" customHeight="1">
      <c r="A441" s="235">
        <v>46081.0</v>
      </c>
      <c r="B441" s="172" t="s">
        <v>94</v>
      </c>
      <c r="C441" s="172">
        <v>32.0</v>
      </c>
      <c r="D441" s="172">
        <v>1.0</v>
      </c>
      <c r="E441" s="172" t="s">
        <v>441</v>
      </c>
      <c r="F441" s="172"/>
      <c r="G441" s="173" t="s">
        <v>823</v>
      </c>
      <c r="H441" s="172">
        <v>20.0</v>
      </c>
    </row>
    <row r="442" ht="15.75" hidden="1" customHeight="1">
      <c r="A442" s="235">
        <v>46081.0</v>
      </c>
      <c r="B442" s="172" t="s">
        <v>50</v>
      </c>
      <c r="C442" s="172">
        <v>36.0</v>
      </c>
      <c r="D442" s="172">
        <v>1.0</v>
      </c>
      <c r="E442" s="172" t="s">
        <v>441</v>
      </c>
      <c r="F442" s="172"/>
      <c r="G442" s="173" t="s">
        <v>824</v>
      </c>
      <c r="H442" s="172">
        <v>26.0</v>
      </c>
    </row>
    <row r="443" ht="15.75" hidden="1" customHeight="1">
      <c r="A443" s="235">
        <v>46081.0</v>
      </c>
      <c r="B443" s="172" t="s">
        <v>51</v>
      </c>
      <c r="C443" s="172">
        <v>34.0</v>
      </c>
      <c r="D443" s="172">
        <v>1.0</v>
      </c>
      <c r="E443" s="172" t="s">
        <v>411</v>
      </c>
      <c r="F443" s="174"/>
      <c r="G443" s="175" t="s">
        <v>825</v>
      </c>
      <c r="H443" s="172">
        <v>27.3</v>
      </c>
    </row>
    <row r="444" ht="15.75" hidden="1" customHeight="1">
      <c r="A444" s="235">
        <v>46081.0</v>
      </c>
      <c r="B444" s="172" t="s">
        <v>94</v>
      </c>
      <c r="C444" s="172">
        <v>34.0</v>
      </c>
      <c r="D444" s="172">
        <v>1.0</v>
      </c>
      <c r="E444" s="172" t="s">
        <v>411</v>
      </c>
      <c r="F444" s="247"/>
      <c r="G444" s="248" t="s">
        <v>826</v>
      </c>
      <c r="H444" s="172">
        <v>20.0</v>
      </c>
    </row>
    <row r="445" hidden="1">
      <c r="A445" s="249" t="s">
        <v>827</v>
      </c>
    </row>
    <row r="446" hidden="1"/>
    <row r="447" ht="15.75" hidden="1" customHeight="1">
      <c r="A447" s="250">
        <v>46082.0</v>
      </c>
      <c r="B447" s="172" t="s">
        <v>53</v>
      </c>
      <c r="C447" s="172">
        <v>36.0</v>
      </c>
      <c r="D447" s="172">
        <v>1.0</v>
      </c>
      <c r="E447" s="172" t="s">
        <v>441</v>
      </c>
      <c r="F447" s="172"/>
      <c r="G447" s="173" t="s">
        <v>828</v>
      </c>
      <c r="H447" s="172">
        <v>20.0</v>
      </c>
    </row>
    <row r="448" ht="15.75" hidden="1" customHeight="1">
      <c r="A448" s="234">
        <v>46082.0</v>
      </c>
      <c r="B448" s="172" t="s">
        <v>51</v>
      </c>
      <c r="C448" s="172">
        <v>32.0</v>
      </c>
      <c r="D448" s="172">
        <v>1.0</v>
      </c>
      <c r="E448" s="172" t="s">
        <v>441</v>
      </c>
      <c r="F448" s="172"/>
      <c r="G448" s="173" t="s">
        <v>829</v>
      </c>
      <c r="H448" s="172">
        <v>20.0</v>
      </c>
    </row>
    <row r="449" ht="15.75" hidden="1" customHeight="1">
      <c r="A449" s="234">
        <v>46082.0</v>
      </c>
      <c r="B449" s="172" t="s">
        <v>45</v>
      </c>
      <c r="C449" s="172">
        <v>36.0</v>
      </c>
      <c r="D449" s="172">
        <v>1.0</v>
      </c>
      <c r="E449" s="172" t="s">
        <v>441</v>
      </c>
      <c r="F449" s="172"/>
      <c r="G449" s="173" t="s">
        <v>830</v>
      </c>
      <c r="H449" s="172">
        <v>26.0</v>
      </c>
    </row>
    <row r="450" ht="15.75" hidden="1" customHeight="1">
      <c r="A450" s="234">
        <v>46082.0</v>
      </c>
      <c r="B450" s="172" t="s">
        <v>94</v>
      </c>
      <c r="C450" s="172">
        <v>32.0</v>
      </c>
      <c r="D450" s="172">
        <v>1.0</v>
      </c>
      <c r="E450" s="172" t="s">
        <v>441</v>
      </c>
      <c r="F450" s="172"/>
      <c r="G450" s="173" t="s">
        <v>831</v>
      </c>
      <c r="H450" s="172">
        <v>20.0</v>
      </c>
    </row>
    <row r="451" ht="15.75" hidden="1" customHeight="1">
      <c r="A451" s="234">
        <v>46082.0</v>
      </c>
      <c r="B451" s="172" t="s">
        <v>45</v>
      </c>
      <c r="C451" s="172">
        <v>36.0</v>
      </c>
      <c r="D451" s="172">
        <v>1.0</v>
      </c>
      <c r="E451" s="172" t="s">
        <v>441</v>
      </c>
      <c r="F451" s="172"/>
      <c r="G451" s="173" t="s">
        <v>832</v>
      </c>
      <c r="H451" s="172">
        <v>20.0</v>
      </c>
    </row>
    <row r="452" ht="15.75" hidden="1" customHeight="1">
      <c r="A452" s="234">
        <v>46082.0</v>
      </c>
      <c r="B452" s="172" t="s">
        <v>94</v>
      </c>
      <c r="C452" s="172">
        <v>32.0</v>
      </c>
      <c r="D452" s="172">
        <v>1.0</v>
      </c>
      <c r="E452" s="172" t="s">
        <v>441</v>
      </c>
      <c r="F452" s="172"/>
      <c r="G452" s="173" t="s">
        <v>833</v>
      </c>
      <c r="H452" s="172">
        <v>27.0</v>
      </c>
    </row>
    <row r="453" ht="15.75" hidden="1" customHeight="1">
      <c r="A453" s="234">
        <v>46082.0</v>
      </c>
      <c r="B453" s="172" t="s">
        <v>71</v>
      </c>
      <c r="C453" s="172">
        <v>36.0</v>
      </c>
      <c r="D453" s="172">
        <v>1.0</v>
      </c>
      <c r="E453" s="172" t="s">
        <v>411</v>
      </c>
      <c r="F453" s="172"/>
      <c r="G453" s="173" t="s">
        <v>834</v>
      </c>
      <c r="H453" s="172">
        <v>27.0</v>
      </c>
    </row>
    <row r="454" ht="15.75" hidden="1" customHeight="1">
      <c r="A454" s="235">
        <v>46082.0</v>
      </c>
      <c r="B454" s="172" t="s">
        <v>45</v>
      </c>
      <c r="C454" s="172">
        <v>34.0</v>
      </c>
      <c r="D454" s="172">
        <v>1.0</v>
      </c>
      <c r="E454" s="172" t="s">
        <v>39</v>
      </c>
      <c r="F454" s="172"/>
      <c r="G454" s="173" t="s">
        <v>835</v>
      </c>
      <c r="H454" s="172">
        <v>21.0</v>
      </c>
    </row>
    <row r="455" ht="15.75" hidden="1" customHeight="1">
      <c r="A455" s="235">
        <v>46082.0</v>
      </c>
      <c r="B455" s="172" t="s">
        <v>94</v>
      </c>
      <c r="C455" s="172">
        <v>32.0</v>
      </c>
      <c r="D455" s="172">
        <v>1.0</v>
      </c>
      <c r="E455" s="172" t="s">
        <v>39</v>
      </c>
      <c r="F455" s="172"/>
      <c r="G455" s="173" t="s">
        <v>836</v>
      </c>
      <c r="H455" s="172">
        <v>27.0</v>
      </c>
    </row>
    <row r="456" ht="15.75" hidden="1" customHeight="1">
      <c r="A456" s="235">
        <v>46082.0</v>
      </c>
      <c r="B456" s="172" t="s">
        <v>50</v>
      </c>
      <c r="C456" s="172">
        <v>34.0</v>
      </c>
      <c r="D456" s="172">
        <v>1.0</v>
      </c>
      <c r="E456" s="172" t="s">
        <v>411</v>
      </c>
      <c r="F456" s="172"/>
      <c r="G456" s="173" t="s">
        <v>837</v>
      </c>
      <c r="H456" s="172">
        <v>27.4</v>
      </c>
    </row>
    <row r="457" ht="15.75" hidden="1" customHeight="1">
      <c r="A457" s="235">
        <v>46082.0</v>
      </c>
      <c r="B457" s="172" t="s">
        <v>94</v>
      </c>
      <c r="C457" s="172">
        <v>34.0</v>
      </c>
      <c r="D457" s="172">
        <v>1.0</v>
      </c>
      <c r="E457" s="172" t="s">
        <v>411</v>
      </c>
      <c r="F457" s="172"/>
      <c r="G457" s="173" t="s">
        <v>838</v>
      </c>
      <c r="H457" s="172">
        <v>20.0</v>
      </c>
    </row>
    <row r="458" ht="15.75" hidden="1" customHeight="1">
      <c r="A458" s="235">
        <v>46082.0</v>
      </c>
      <c r="B458" s="172" t="s">
        <v>51</v>
      </c>
      <c r="C458" s="172">
        <v>34.0</v>
      </c>
      <c r="D458" s="172">
        <v>1.0</v>
      </c>
      <c r="E458" s="172" t="s">
        <v>331</v>
      </c>
      <c r="F458" s="172"/>
      <c r="G458" s="173" t="s">
        <v>839</v>
      </c>
      <c r="H458" s="172">
        <v>20.0</v>
      </c>
    </row>
    <row r="459" ht="15.75" hidden="1" customHeight="1">
      <c r="A459" s="235">
        <v>46082.0</v>
      </c>
      <c r="B459" s="172" t="s">
        <v>50</v>
      </c>
      <c r="C459" s="172">
        <v>34.0</v>
      </c>
      <c r="D459" s="172">
        <v>1.0</v>
      </c>
      <c r="E459" s="172" t="s">
        <v>331</v>
      </c>
      <c r="F459" s="172"/>
      <c r="G459" s="173" t="s">
        <v>840</v>
      </c>
      <c r="H459" s="172">
        <v>20.0</v>
      </c>
    </row>
    <row r="460" ht="15.75" hidden="1" customHeight="1">
      <c r="A460" s="235">
        <v>46082.0</v>
      </c>
      <c r="B460" s="172" t="s">
        <v>94</v>
      </c>
      <c r="C460" s="172">
        <v>34.0</v>
      </c>
      <c r="D460" s="172">
        <v>1.0</v>
      </c>
      <c r="E460" s="172" t="s">
        <v>411</v>
      </c>
      <c r="F460" s="172"/>
      <c r="G460" s="173" t="s">
        <v>841</v>
      </c>
      <c r="H460" s="172">
        <v>23.0</v>
      </c>
    </row>
    <row r="461" ht="15.75" hidden="1" customHeight="1">
      <c r="A461" s="235">
        <v>46082.0</v>
      </c>
      <c r="B461" s="172" t="s">
        <v>94</v>
      </c>
      <c r="C461" s="172">
        <v>34.0</v>
      </c>
      <c r="D461" s="172">
        <v>1.0</v>
      </c>
      <c r="E461" s="172" t="s">
        <v>411</v>
      </c>
      <c r="F461" s="172"/>
      <c r="G461" s="173" t="s">
        <v>842</v>
      </c>
      <c r="H461" s="172">
        <v>20.0</v>
      </c>
    </row>
    <row r="462" ht="15.75" hidden="1" customHeight="1">
      <c r="A462" s="235">
        <v>46082.0</v>
      </c>
      <c r="B462" s="172" t="s">
        <v>51</v>
      </c>
      <c r="C462" s="172">
        <v>34.0</v>
      </c>
      <c r="D462" s="172">
        <v>1.0</v>
      </c>
      <c r="E462" s="172" t="s">
        <v>331</v>
      </c>
      <c r="F462" s="172"/>
      <c r="G462" s="173" t="s">
        <v>843</v>
      </c>
      <c r="H462" s="172">
        <v>23.0</v>
      </c>
    </row>
    <row r="463" ht="15.75" hidden="1" customHeight="1">
      <c r="A463" s="235">
        <v>46082.0</v>
      </c>
      <c r="B463" s="172" t="s">
        <v>50</v>
      </c>
      <c r="C463" s="172">
        <v>34.0</v>
      </c>
      <c r="D463" s="172">
        <v>1.0</v>
      </c>
      <c r="E463" s="172" t="s">
        <v>331</v>
      </c>
      <c r="F463" s="172"/>
      <c r="G463" s="173" t="s">
        <v>844</v>
      </c>
      <c r="H463" s="172">
        <v>25.0</v>
      </c>
    </row>
    <row r="464" ht="15.75" hidden="1" customHeight="1">
      <c r="A464" s="235">
        <v>46082.0</v>
      </c>
      <c r="B464" s="172" t="s">
        <v>52</v>
      </c>
      <c r="C464" s="172">
        <v>34.0</v>
      </c>
      <c r="D464" s="172">
        <v>1.0</v>
      </c>
      <c r="E464" s="172" t="s">
        <v>441</v>
      </c>
      <c r="F464" s="172"/>
      <c r="G464" s="173" t="s">
        <v>845</v>
      </c>
      <c r="H464" s="172">
        <v>24.0</v>
      </c>
    </row>
    <row r="465" ht="15.75" hidden="1" customHeight="1">
      <c r="A465" s="235">
        <v>46082.0</v>
      </c>
      <c r="B465" s="172" t="s">
        <v>63</v>
      </c>
      <c r="C465" s="172">
        <v>32.0</v>
      </c>
      <c r="D465" s="172">
        <v>1.0</v>
      </c>
      <c r="E465" s="172" t="s">
        <v>441</v>
      </c>
      <c r="F465" s="172"/>
      <c r="G465" s="173" t="s">
        <v>846</v>
      </c>
      <c r="H465" s="172">
        <v>20.0</v>
      </c>
    </row>
    <row r="466" ht="15.75" hidden="1" customHeight="1">
      <c r="A466" s="235">
        <v>46082.0</v>
      </c>
      <c r="B466" s="172" t="s">
        <v>53</v>
      </c>
      <c r="C466" s="172">
        <v>32.0</v>
      </c>
      <c r="D466" s="172">
        <v>1.0</v>
      </c>
      <c r="E466" s="172" t="s">
        <v>331</v>
      </c>
      <c r="F466" s="172"/>
      <c r="G466" s="173" t="s">
        <v>847</v>
      </c>
      <c r="H466" s="172">
        <v>20.0</v>
      </c>
    </row>
    <row r="467" ht="15.75" hidden="1" customHeight="1">
      <c r="A467" s="235">
        <v>46082.0</v>
      </c>
      <c r="B467" s="172" t="s">
        <v>94</v>
      </c>
      <c r="C467" s="172">
        <v>34.0</v>
      </c>
      <c r="D467" s="172">
        <v>1.0</v>
      </c>
      <c r="E467" s="172" t="s">
        <v>411</v>
      </c>
      <c r="F467" s="172"/>
      <c r="G467" s="173" t="s">
        <v>848</v>
      </c>
      <c r="H467" s="172">
        <v>20.0</v>
      </c>
    </row>
    <row r="468" ht="15.75" hidden="1" customHeight="1">
      <c r="A468" s="235">
        <v>46082.0</v>
      </c>
      <c r="B468" s="172" t="s">
        <v>45</v>
      </c>
      <c r="C468" s="172">
        <v>32.0</v>
      </c>
      <c r="D468" s="172">
        <v>1.0</v>
      </c>
      <c r="E468" s="172" t="s">
        <v>441</v>
      </c>
      <c r="F468" s="172"/>
      <c r="G468" s="173" t="s">
        <v>849</v>
      </c>
      <c r="H468" s="172">
        <v>20.0</v>
      </c>
    </row>
    <row r="469" ht="15.75" hidden="1" customHeight="1">
      <c r="A469" s="235">
        <v>46082.0</v>
      </c>
      <c r="B469" s="172" t="s">
        <v>45</v>
      </c>
      <c r="C469" s="172">
        <v>34.0</v>
      </c>
      <c r="D469" s="172">
        <v>1.0</v>
      </c>
      <c r="E469" s="172" t="s">
        <v>331</v>
      </c>
      <c r="F469" s="172"/>
      <c r="G469" s="173" t="s">
        <v>850</v>
      </c>
      <c r="H469" s="172">
        <v>20.0</v>
      </c>
    </row>
    <row r="470" ht="15.75" hidden="1" customHeight="1">
      <c r="A470" s="235">
        <v>46082.0</v>
      </c>
      <c r="B470" s="172" t="s">
        <v>50</v>
      </c>
      <c r="C470" s="172">
        <v>34.0</v>
      </c>
      <c r="D470" s="172">
        <v>1.0</v>
      </c>
      <c r="E470" s="172" t="s">
        <v>331</v>
      </c>
      <c r="F470" s="172"/>
      <c r="G470" s="173" t="s">
        <v>851</v>
      </c>
      <c r="H470" s="172">
        <v>26.0</v>
      </c>
    </row>
    <row r="471" ht="15.75" hidden="1" customHeight="1">
      <c r="A471" s="235">
        <v>46082.0</v>
      </c>
      <c r="B471" s="172" t="s">
        <v>45</v>
      </c>
      <c r="C471" s="172">
        <v>32.0</v>
      </c>
      <c r="D471" s="172">
        <v>1.0</v>
      </c>
      <c r="E471" s="172" t="s">
        <v>331</v>
      </c>
      <c r="F471" s="172"/>
      <c r="G471" s="173" t="s">
        <v>852</v>
      </c>
      <c r="H471" s="172">
        <v>20.0</v>
      </c>
    </row>
    <row r="472" ht="15.75" hidden="1" customHeight="1">
      <c r="A472" s="235">
        <v>46082.0</v>
      </c>
      <c r="B472" s="172" t="s">
        <v>50</v>
      </c>
      <c r="C472" s="172">
        <v>36.0</v>
      </c>
      <c r="D472" s="172">
        <v>1.0</v>
      </c>
      <c r="E472" s="172" t="s">
        <v>441</v>
      </c>
      <c r="F472" s="172"/>
      <c r="G472" s="173" t="s">
        <v>853</v>
      </c>
      <c r="H472" s="172">
        <v>20.0</v>
      </c>
    </row>
    <row r="473" ht="15.75" hidden="1" customHeight="1">
      <c r="A473" s="235">
        <v>46082.0</v>
      </c>
      <c r="B473" s="172" t="s">
        <v>52</v>
      </c>
      <c r="C473" s="172">
        <v>34.0</v>
      </c>
      <c r="D473" s="172">
        <v>1.0</v>
      </c>
      <c r="E473" s="172" t="s">
        <v>411</v>
      </c>
      <c r="F473" s="172"/>
      <c r="G473" s="173" t="s">
        <v>854</v>
      </c>
      <c r="H473" s="172">
        <v>23.0</v>
      </c>
    </row>
    <row r="474" ht="15.75" hidden="1" customHeight="1">
      <c r="A474" s="235">
        <v>46082.0</v>
      </c>
      <c r="B474" s="172" t="s">
        <v>94</v>
      </c>
      <c r="C474" s="172">
        <v>34.0</v>
      </c>
      <c r="D474" s="172">
        <v>1.0</v>
      </c>
      <c r="E474" s="172" t="s">
        <v>411</v>
      </c>
      <c r="F474" s="172"/>
      <c r="G474" s="173" t="s">
        <v>855</v>
      </c>
      <c r="H474" s="172">
        <v>24.0</v>
      </c>
    </row>
    <row r="475" ht="15.75" hidden="1" customHeight="1">
      <c r="A475" s="235">
        <v>46082.0</v>
      </c>
      <c r="B475" s="172" t="s">
        <v>94</v>
      </c>
      <c r="C475" s="172">
        <v>32.0</v>
      </c>
      <c r="D475" s="172">
        <v>1.0</v>
      </c>
      <c r="E475" s="172" t="s">
        <v>441</v>
      </c>
      <c r="F475" s="172"/>
      <c r="G475" s="173" t="s">
        <v>856</v>
      </c>
      <c r="H475" s="172">
        <v>24.3</v>
      </c>
    </row>
    <row r="476" ht="15.75" hidden="1" customHeight="1">
      <c r="A476" s="235">
        <v>46082.0</v>
      </c>
      <c r="B476" s="172" t="s">
        <v>94</v>
      </c>
      <c r="C476" s="172">
        <v>34.0</v>
      </c>
      <c r="D476" s="172">
        <v>1.0</v>
      </c>
      <c r="E476" s="172" t="s">
        <v>441</v>
      </c>
      <c r="F476" s="172"/>
      <c r="G476" s="173" t="s">
        <v>857</v>
      </c>
      <c r="H476" s="172">
        <v>27.0</v>
      </c>
    </row>
    <row r="477" ht="15.75" hidden="1" customHeight="1">
      <c r="A477" s="235">
        <v>46082.0</v>
      </c>
      <c r="B477" s="172" t="s">
        <v>53</v>
      </c>
      <c r="C477" s="172">
        <v>34.0</v>
      </c>
      <c r="D477" s="172">
        <v>1.0</v>
      </c>
      <c r="E477" s="172" t="s">
        <v>411</v>
      </c>
      <c r="F477" s="172"/>
      <c r="G477" s="173" t="s">
        <v>858</v>
      </c>
      <c r="H477" s="172">
        <v>28.0</v>
      </c>
    </row>
    <row r="478" ht="15.75" hidden="1" customHeight="1">
      <c r="A478" s="251">
        <v>46083.0</v>
      </c>
      <c r="B478" s="172" t="s">
        <v>52</v>
      </c>
      <c r="C478" s="172">
        <v>34.0</v>
      </c>
      <c r="D478" s="172">
        <v>1.0</v>
      </c>
      <c r="E478" s="172" t="s">
        <v>411</v>
      </c>
      <c r="F478" s="172"/>
      <c r="G478" s="173" t="s">
        <v>859</v>
      </c>
      <c r="H478" s="172">
        <v>28.0</v>
      </c>
    </row>
    <row r="479" ht="15.75" hidden="1" customHeight="1">
      <c r="A479" s="234">
        <v>46083.0</v>
      </c>
      <c r="B479" s="172" t="s">
        <v>94</v>
      </c>
      <c r="C479" s="172">
        <v>32.0</v>
      </c>
      <c r="D479" s="172">
        <v>1.0</v>
      </c>
      <c r="E479" s="172" t="s">
        <v>441</v>
      </c>
      <c r="F479" s="172"/>
      <c r="G479" s="173" t="s">
        <v>860</v>
      </c>
      <c r="H479" s="172">
        <v>22.0</v>
      </c>
    </row>
    <row r="480" ht="15.75" hidden="1" customHeight="1">
      <c r="A480" s="234">
        <v>46083.0</v>
      </c>
      <c r="B480" s="172" t="s">
        <v>51</v>
      </c>
      <c r="C480" s="172">
        <v>32.0</v>
      </c>
      <c r="D480" s="172">
        <v>1.0</v>
      </c>
      <c r="E480" s="172" t="s">
        <v>441</v>
      </c>
      <c r="F480" s="172"/>
      <c r="G480" s="173" t="s">
        <v>861</v>
      </c>
      <c r="H480" s="172">
        <v>20.0</v>
      </c>
    </row>
    <row r="481" ht="15.75" hidden="1" customHeight="1">
      <c r="A481" s="234">
        <v>46083.0</v>
      </c>
      <c r="B481" s="172" t="s">
        <v>94</v>
      </c>
      <c r="C481" s="172">
        <v>32.0</v>
      </c>
      <c r="D481" s="172">
        <v>1.0</v>
      </c>
      <c r="E481" s="172" t="s">
        <v>441</v>
      </c>
      <c r="F481" s="172"/>
      <c r="G481" s="173" t="s">
        <v>717</v>
      </c>
      <c r="H481" s="172">
        <v>20.0</v>
      </c>
    </row>
    <row r="482" ht="15.75" hidden="1" customHeight="1">
      <c r="A482" s="234">
        <v>46083.0</v>
      </c>
      <c r="B482" s="172" t="s">
        <v>94</v>
      </c>
      <c r="C482" s="172">
        <v>34.0</v>
      </c>
      <c r="D482" s="172">
        <v>1.0</v>
      </c>
      <c r="E482" s="172" t="s">
        <v>39</v>
      </c>
      <c r="F482" s="172"/>
      <c r="G482" s="173" t="s">
        <v>862</v>
      </c>
      <c r="H482" s="172">
        <v>20.0</v>
      </c>
    </row>
    <row r="483" ht="15.75" hidden="1" customHeight="1">
      <c r="A483" s="234">
        <v>46083.0</v>
      </c>
      <c r="B483" s="172" t="s">
        <v>52</v>
      </c>
      <c r="C483" s="172">
        <v>36.0</v>
      </c>
      <c r="D483" s="172">
        <v>1.0</v>
      </c>
      <c r="E483" s="172" t="s">
        <v>411</v>
      </c>
      <c r="F483" s="172"/>
      <c r="G483" s="173" t="s">
        <v>863</v>
      </c>
      <c r="H483" s="172">
        <v>28.0</v>
      </c>
    </row>
    <row r="484" ht="15.75" hidden="1" customHeight="1">
      <c r="A484" s="234">
        <v>46083.0</v>
      </c>
      <c r="B484" s="172" t="s">
        <v>45</v>
      </c>
      <c r="C484" s="172">
        <v>34.0</v>
      </c>
      <c r="D484" s="172">
        <v>1.0</v>
      </c>
      <c r="E484" s="172" t="s">
        <v>441</v>
      </c>
      <c r="F484" s="172"/>
      <c r="G484" s="173" t="s">
        <v>864</v>
      </c>
      <c r="H484" s="172">
        <v>26.0</v>
      </c>
    </row>
    <row r="485" ht="15.75" hidden="1" customHeight="1">
      <c r="A485" s="234">
        <v>46083.0</v>
      </c>
      <c r="B485" s="172" t="s">
        <v>71</v>
      </c>
      <c r="C485" s="172">
        <v>36.0</v>
      </c>
      <c r="D485" s="172">
        <v>1.0</v>
      </c>
      <c r="E485" s="172" t="s">
        <v>441</v>
      </c>
      <c r="F485" s="172"/>
      <c r="G485" s="173" t="s">
        <v>865</v>
      </c>
      <c r="H485" s="172">
        <v>20.0</v>
      </c>
    </row>
    <row r="486" ht="15.75" hidden="1" customHeight="1">
      <c r="A486" s="234">
        <v>46083.0</v>
      </c>
      <c r="B486" s="172" t="s">
        <v>94</v>
      </c>
      <c r="C486" s="172">
        <v>34.0</v>
      </c>
      <c r="D486" s="172">
        <v>1.0</v>
      </c>
      <c r="E486" s="172" t="s">
        <v>441</v>
      </c>
      <c r="F486" s="172"/>
      <c r="G486" s="173" t="s">
        <v>866</v>
      </c>
      <c r="H486" s="172">
        <v>22.0</v>
      </c>
    </row>
    <row r="487" ht="15.75" hidden="1" customHeight="1">
      <c r="A487" s="235">
        <v>46083.0</v>
      </c>
      <c r="B487" s="172" t="s">
        <v>94</v>
      </c>
      <c r="C487" s="172">
        <v>36.0</v>
      </c>
      <c r="D487" s="172">
        <v>1.0</v>
      </c>
      <c r="E487" s="172" t="s">
        <v>39</v>
      </c>
      <c r="F487" s="172"/>
      <c r="G487" s="173" t="s">
        <v>867</v>
      </c>
      <c r="H487" s="172">
        <v>20.8</v>
      </c>
    </row>
    <row r="488" ht="15.75" hidden="1" customHeight="1">
      <c r="A488" s="233">
        <v>46084.0</v>
      </c>
      <c r="B488" s="172" t="s">
        <v>71</v>
      </c>
      <c r="C488" s="172">
        <v>36.0</v>
      </c>
      <c r="D488" s="172">
        <v>1.0</v>
      </c>
      <c r="E488" s="172" t="s">
        <v>411</v>
      </c>
      <c r="F488" s="172"/>
      <c r="G488" s="173" t="s">
        <v>868</v>
      </c>
      <c r="H488" s="172">
        <v>22.0</v>
      </c>
    </row>
    <row r="489" ht="15.75" hidden="1" customHeight="1">
      <c r="A489" s="252">
        <v>46084.0</v>
      </c>
      <c r="B489" s="172" t="s">
        <v>94</v>
      </c>
      <c r="C489" s="172">
        <v>36.0</v>
      </c>
      <c r="D489" s="172">
        <v>1.0</v>
      </c>
      <c r="E489" s="172" t="s">
        <v>411</v>
      </c>
      <c r="F489" s="172"/>
      <c r="G489" s="173" t="s">
        <v>868</v>
      </c>
      <c r="H489" s="172">
        <v>22.0</v>
      </c>
    </row>
    <row r="490" ht="15.75" hidden="1" customHeight="1">
      <c r="A490" s="252">
        <v>46084.0</v>
      </c>
      <c r="B490" s="172" t="s">
        <v>51</v>
      </c>
      <c r="C490" s="172">
        <v>34.0</v>
      </c>
      <c r="D490" s="172">
        <v>1.0</v>
      </c>
      <c r="E490" s="172" t="s">
        <v>441</v>
      </c>
      <c r="F490" s="172"/>
      <c r="G490" s="173" t="s">
        <v>869</v>
      </c>
      <c r="H490" s="172">
        <v>20.0</v>
      </c>
    </row>
    <row r="491" ht="15.75" hidden="1" customHeight="1">
      <c r="A491" s="235">
        <v>46084.0</v>
      </c>
      <c r="B491" s="172" t="s">
        <v>51</v>
      </c>
      <c r="C491" s="172">
        <v>32.0</v>
      </c>
      <c r="D491" s="172">
        <v>1.0</v>
      </c>
      <c r="E491" s="172" t="s">
        <v>331</v>
      </c>
      <c r="F491" s="172"/>
      <c r="G491" s="173" t="s">
        <v>870</v>
      </c>
      <c r="H491" s="172">
        <v>20.0</v>
      </c>
    </row>
    <row r="492" ht="15.75" hidden="1" customHeight="1">
      <c r="A492" s="235">
        <v>46084.0</v>
      </c>
      <c r="B492" s="172" t="s">
        <v>94</v>
      </c>
      <c r="C492" s="172">
        <v>36.0</v>
      </c>
      <c r="D492" s="172">
        <v>1.0</v>
      </c>
      <c r="E492" s="172" t="s">
        <v>411</v>
      </c>
      <c r="F492" s="172"/>
      <c r="G492" s="173" t="s">
        <v>865</v>
      </c>
      <c r="H492" s="172">
        <v>20.0</v>
      </c>
    </row>
    <row r="493" ht="15.75" hidden="1" customHeight="1">
      <c r="A493" s="235">
        <v>46084.0</v>
      </c>
      <c r="B493" s="172" t="s">
        <v>71</v>
      </c>
      <c r="C493" s="172">
        <v>36.0</v>
      </c>
      <c r="D493" s="172">
        <v>1.0</v>
      </c>
      <c r="E493" s="172" t="s">
        <v>411</v>
      </c>
      <c r="F493" s="172"/>
      <c r="G493" s="173" t="s">
        <v>871</v>
      </c>
      <c r="H493" s="172">
        <v>28.0</v>
      </c>
    </row>
    <row r="494" ht="15.75" hidden="1" customHeight="1">
      <c r="A494" s="235">
        <v>46084.0</v>
      </c>
      <c r="B494" s="172" t="s">
        <v>51</v>
      </c>
      <c r="C494" s="172">
        <v>34.0</v>
      </c>
      <c r="D494" s="172">
        <v>1.0</v>
      </c>
      <c r="E494" s="172" t="s">
        <v>331</v>
      </c>
      <c r="F494" s="172"/>
      <c r="G494" s="173" t="s">
        <v>872</v>
      </c>
      <c r="H494" s="172">
        <v>23.0</v>
      </c>
    </row>
    <row r="495" ht="15.75" hidden="1" customHeight="1">
      <c r="A495" s="235">
        <v>46084.0</v>
      </c>
      <c r="B495" s="172" t="s">
        <v>94</v>
      </c>
      <c r="C495" s="172">
        <v>32.0</v>
      </c>
      <c r="D495" s="172">
        <v>1.0</v>
      </c>
      <c r="E495" s="172" t="s">
        <v>39</v>
      </c>
      <c r="F495" s="172"/>
      <c r="G495" s="173" t="s">
        <v>873</v>
      </c>
      <c r="H495" s="172">
        <v>25.6</v>
      </c>
    </row>
    <row r="496" ht="15.75" hidden="1" customHeight="1">
      <c r="A496" s="235">
        <v>46084.0</v>
      </c>
      <c r="B496" s="172" t="s">
        <v>94</v>
      </c>
      <c r="C496" s="172">
        <v>36.0</v>
      </c>
      <c r="D496" s="172">
        <v>1.0</v>
      </c>
      <c r="E496" s="172" t="s">
        <v>39</v>
      </c>
      <c r="F496" s="172"/>
      <c r="G496" s="173" t="s">
        <v>876</v>
      </c>
      <c r="H496" s="172">
        <v>24.1</v>
      </c>
    </row>
    <row r="497" ht="15.75" hidden="1" customHeight="1">
      <c r="A497" s="235">
        <v>46084.0</v>
      </c>
      <c r="B497" s="172" t="s">
        <v>45</v>
      </c>
      <c r="C497" s="172">
        <v>34.0</v>
      </c>
      <c r="D497" s="172">
        <v>1.0</v>
      </c>
      <c r="E497" s="172" t="s">
        <v>39</v>
      </c>
      <c r="F497" s="172"/>
      <c r="G497" s="173" t="s">
        <v>879</v>
      </c>
      <c r="H497" s="172">
        <v>24.0</v>
      </c>
    </row>
    <row r="498" ht="15.75" hidden="1" customHeight="1">
      <c r="A498" s="235">
        <v>46084.0</v>
      </c>
      <c r="B498" s="172" t="s">
        <v>52</v>
      </c>
      <c r="C498" s="172">
        <v>36.0</v>
      </c>
      <c r="D498" s="172">
        <v>1.0</v>
      </c>
      <c r="E498" s="172" t="s">
        <v>411</v>
      </c>
      <c r="F498" s="262"/>
      <c r="G498" s="263" t="s">
        <v>881</v>
      </c>
      <c r="H498" s="172">
        <v>28.0</v>
      </c>
    </row>
    <row r="499" ht="15.75" hidden="1" customHeight="1">
      <c r="A499" s="235">
        <v>46084.0</v>
      </c>
      <c r="B499" s="172" t="s">
        <v>52</v>
      </c>
      <c r="C499" s="172">
        <v>30.0</v>
      </c>
      <c r="D499" s="172">
        <v>1.0</v>
      </c>
      <c r="E499" s="172" t="s">
        <v>331</v>
      </c>
      <c r="F499" s="264"/>
      <c r="G499" s="265" t="s">
        <v>882</v>
      </c>
      <c r="H499" s="172">
        <v>25.0</v>
      </c>
    </row>
    <row r="500" ht="15.75" hidden="1" customHeight="1">
      <c r="A500" s="235">
        <v>46084.0</v>
      </c>
      <c r="B500" s="172" t="s">
        <v>52</v>
      </c>
      <c r="C500" s="172">
        <v>34.0</v>
      </c>
      <c r="D500" s="172">
        <v>1.0</v>
      </c>
      <c r="E500" s="172" t="s">
        <v>331</v>
      </c>
      <c r="F500" s="172"/>
      <c r="G500" s="173" t="s">
        <v>883</v>
      </c>
      <c r="H500" s="172">
        <v>22.2</v>
      </c>
    </row>
    <row r="501" ht="15.75" hidden="1" customHeight="1">
      <c r="A501" s="235">
        <v>46084.0</v>
      </c>
      <c r="B501" s="172" t="s">
        <v>51</v>
      </c>
      <c r="C501" s="172">
        <v>34.0</v>
      </c>
      <c r="D501" s="172">
        <v>1.0</v>
      </c>
      <c r="E501" s="172" t="s">
        <v>331</v>
      </c>
      <c r="F501" s="172"/>
      <c r="G501" s="173" t="s">
        <v>883</v>
      </c>
      <c r="H501" s="172">
        <v>22.2</v>
      </c>
    </row>
    <row r="502" ht="15.75" hidden="1" customHeight="1">
      <c r="A502" s="235">
        <v>46084.0</v>
      </c>
      <c r="B502" s="172" t="s">
        <v>50</v>
      </c>
      <c r="C502" s="172">
        <v>34.0</v>
      </c>
      <c r="D502" s="172">
        <v>1.0</v>
      </c>
      <c r="E502" s="172" t="s">
        <v>331</v>
      </c>
      <c r="F502" s="172"/>
      <c r="G502" s="173" t="s">
        <v>883</v>
      </c>
      <c r="H502" s="172">
        <v>22.2</v>
      </c>
    </row>
    <row r="503" ht="15.75" hidden="1" customHeight="1">
      <c r="A503" s="235">
        <v>46084.0</v>
      </c>
      <c r="B503" s="172" t="s">
        <v>94</v>
      </c>
      <c r="C503" s="172">
        <v>36.0</v>
      </c>
      <c r="D503" s="172">
        <v>1.0</v>
      </c>
      <c r="E503" s="172" t="s">
        <v>441</v>
      </c>
      <c r="F503" s="172"/>
      <c r="G503" s="173" t="s">
        <v>885</v>
      </c>
      <c r="H503" s="172">
        <v>20.0</v>
      </c>
    </row>
    <row r="504" ht="15.75" hidden="1" customHeight="1">
      <c r="A504" s="235">
        <v>46084.0</v>
      </c>
      <c r="B504" s="172" t="s">
        <v>51</v>
      </c>
      <c r="C504" s="172">
        <v>34.0</v>
      </c>
      <c r="D504" s="172">
        <v>1.0</v>
      </c>
      <c r="E504" s="172" t="s">
        <v>411</v>
      </c>
      <c r="F504" s="268"/>
      <c r="G504" s="270" t="s">
        <v>886</v>
      </c>
      <c r="H504" s="172">
        <v>22.0</v>
      </c>
    </row>
    <row r="505" ht="15.75" hidden="1" customHeight="1">
      <c r="A505" s="235">
        <v>46084.0</v>
      </c>
      <c r="B505" s="172" t="s">
        <v>50</v>
      </c>
      <c r="C505" s="172">
        <v>36.0</v>
      </c>
      <c r="D505" s="172">
        <v>1.0</v>
      </c>
      <c r="E505" s="172" t="s">
        <v>39</v>
      </c>
      <c r="F505" s="172"/>
      <c r="G505" s="173" t="s">
        <v>887</v>
      </c>
      <c r="H505" s="172">
        <v>20.0</v>
      </c>
    </row>
    <row r="506" ht="15.75" hidden="1" customHeight="1">
      <c r="A506" s="235">
        <v>46084.0</v>
      </c>
      <c r="B506" s="172" t="s">
        <v>53</v>
      </c>
      <c r="C506" s="172">
        <v>34.0</v>
      </c>
      <c r="D506" s="172">
        <v>1.0</v>
      </c>
      <c r="E506" s="172" t="s">
        <v>441</v>
      </c>
      <c r="F506" s="172"/>
      <c r="G506" s="173" t="s">
        <v>888</v>
      </c>
      <c r="H506" s="172">
        <v>20.0</v>
      </c>
    </row>
    <row r="507" ht="15.75" hidden="1" customHeight="1">
      <c r="A507" s="235">
        <v>46084.0</v>
      </c>
      <c r="B507" s="172" t="s">
        <v>45</v>
      </c>
      <c r="C507" s="172">
        <v>34.0</v>
      </c>
      <c r="D507" s="172">
        <v>1.0</v>
      </c>
      <c r="E507" s="172" t="s">
        <v>441</v>
      </c>
      <c r="F507" s="172"/>
      <c r="G507" s="173" t="s">
        <v>889</v>
      </c>
      <c r="H507" s="172">
        <v>26.0</v>
      </c>
    </row>
    <row r="508" ht="15.75" hidden="1" customHeight="1">
      <c r="A508" s="235">
        <v>46084.0</v>
      </c>
      <c r="B508" s="172" t="s">
        <v>45</v>
      </c>
      <c r="C508" s="172">
        <v>34.0</v>
      </c>
      <c r="D508" s="172">
        <v>1.0</v>
      </c>
      <c r="E508" s="172" t="s">
        <v>39</v>
      </c>
      <c r="F508" s="172"/>
      <c r="G508" s="173" t="s">
        <v>891</v>
      </c>
      <c r="H508" s="172">
        <v>22.5</v>
      </c>
    </row>
    <row r="509" ht="15.75" hidden="1" customHeight="1">
      <c r="A509" s="235">
        <v>46084.0</v>
      </c>
      <c r="B509" s="172" t="s">
        <v>45</v>
      </c>
      <c r="C509" s="172">
        <v>34.0</v>
      </c>
      <c r="D509" s="172">
        <v>1.0</v>
      </c>
      <c r="E509" s="172" t="s">
        <v>39</v>
      </c>
      <c r="F509" s="172"/>
      <c r="G509" s="173" t="s">
        <v>892</v>
      </c>
      <c r="H509" s="172">
        <v>25.0</v>
      </c>
    </row>
    <row r="510" ht="15.75" hidden="1" customHeight="1">
      <c r="A510" s="235">
        <v>46084.0</v>
      </c>
      <c r="B510" s="172" t="s">
        <v>51</v>
      </c>
      <c r="C510" s="172">
        <v>32.0</v>
      </c>
      <c r="D510" s="172">
        <v>1.0</v>
      </c>
      <c r="E510" s="172" t="s">
        <v>441</v>
      </c>
      <c r="F510" s="172"/>
      <c r="G510" s="173" t="s">
        <v>893</v>
      </c>
      <c r="H510" s="172">
        <v>20.0</v>
      </c>
    </row>
    <row r="511" ht="15.75" hidden="1" customHeight="1">
      <c r="A511" s="235">
        <v>46084.0</v>
      </c>
      <c r="B511" s="172" t="s">
        <v>94</v>
      </c>
      <c r="C511" s="172">
        <v>36.0</v>
      </c>
      <c r="D511" s="172">
        <v>1.0</v>
      </c>
      <c r="E511" s="172" t="s">
        <v>39</v>
      </c>
      <c r="F511" s="172"/>
      <c r="G511" s="173" t="s">
        <v>894</v>
      </c>
      <c r="H511" s="172">
        <v>25.0</v>
      </c>
    </row>
    <row r="512" ht="15.75" hidden="1" customHeight="1">
      <c r="A512" s="235">
        <v>46084.0</v>
      </c>
      <c r="B512" s="172" t="s">
        <v>71</v>
      </c>
      <c r="C512" s="172">
        <v>32.0</v>
      </c>
      <c r="D512" s="172">
        <v>1.0</v>
      </c>
      <c r="E512" s="172" t="s">
        <v>411</v>
      </c>
      <c r="F512" s="172"/>
      <c r="G512" s="173" t="s">
        <v>896</v>
      </c>
      <c r="H512" s="172">
        <v>28.4</v>
      </c>
    </row>
    <row r="513" ht="15.75" hidden="1" customHeight="1">
      <c r="A513" s="276">
        <v>46085.0</v>
      </c>
      <c r="B513" s="172" t="s">
        <v>51</v>
      </c>
      <c r="C513" s="172">
        <v>34.0</v>
      </c>
      <c r="D513" s="172">
        <v>1.0</v>
      </c>
      <c r="E513" s="172" t="s">
        <v>411</v>
      </c>
      <c r="F513" s="172"/>
      <c r="G513" s="173" t="s">
        <v>897</v>
      </c>
      <c r="H513" s="172">
        <v>20.0</v>
      </c>
    </row>
    <row r="514" ht="15.75" hidden="1" customHeight="1">
      <c r="A514" s="234">
        <v>46085.0</v>
      </c>
      <c r="B514" s="172" t="s">
        <v>50</v>
      </c>
      <c r="C514" s="172">
        <v>32.0</v>
      </c>
      <c r="D514" s="172">
        <v>1.0</v>
      </c>
      <c r="E514" s="172" t="s">
        <v>441</v>
      </c>
      <c r="F514" s="172"/>
      <c r="G514" s="173" t="s">
        <v>898</v>
      </c>
      <c r="H514" s="172">
        <v>20.0</v>
      </c>
    </row>
    <row r="515" ht="15.75" hidden="1" customHeight="1">
      <c r="A515" s="235">
        <v>46085.0</v>
      </c>
      <c r="B515" s="172" t="s">
        <v>53</v>
      </c>
      <c r="C515" s="172">
        <v>34.0</v>
      </c>
      <c r="D515" s="172">
        <v>1.0</v>
      </c>
      <c r="E515" s="172" t="s">
        <v>331</v>
      </c>
      <c r="F515" s="172"/>
      <c r="G515" s="173" t="s">
        <v>900</v>
      </c>
      <c r="H515" s="172">
        <v>23.0</v>
      </c>
    </row>
    <row r="516" ht="15.75" hidden="1" customHeight="1">
      <c r="A516" s="235">
        <v>46085.0</v>
      </c>
      <c r="B516" s="172" t="s">
        <v>94</v>
      </c>
      <c r="C516" s="172">
        <v>36.0</v>
      </c>
      <c r="D516" s="172">
        <v>1.0</v>
      </c>
      <c r="E516" s="172" t="s">
        <v>411</v>
      </c>
      <c r="F516" s="172"/>
      <c r="G516" s="173" t="s">
        <v>901</v>
      </c>
      <c r="H516" s="172">
        <v>24.0</v>
      </c>
    </row>
    <row r="517" ht="15.75" hidden="1" customHeight="1">
      <c r="A517" s="235">
        <v>46085.0</v>
      </c>
      <c r="B517" s="172" t="s">
        <v>71</v>
      </c>
      <c r="C517" s="172">
        <v>32.0</v>
      </c>
      <c r="D517" s="172">
        <v>1.0</v>
      </c>
      <c r="E517" s="172" t="s">
        <v>411</v>
      </c>
      <c r="F517" s="172"/>
      <c r="G517" s="173" t="s">
        <v>717</v>
      </c>
      <c r="H517" s="172">
        <v>20.0</v>
      </c>
    </row>
    <row r="518" ht="15.75" hidden="1" customHeight="1">
      <c r="A518" s="235">
        <v>46085.0</v>
      </c>
      <c r="B518" s="172" t="s">
        <v>51</v>
      </c>
      <c r="C518" s="172">
        <v>34.0</v>
      </c>
      <c r="D518" s="172">
        <v>1.0</v>
      </c>
      <c r="E518" s="172" t="s">
        <v>331</v>
      </c>
      <c r="F518" s="172"/>
      <c r="G518" s="173" t="s">
        <v>902</v>
      </c>
      <c r="H518" s="172">
        <v>24.0</v>
      </c>
    </row>
    <row r="519" ht="15.75" hidden="1" customHeight="1">
      <c r="A519" s="235">
        <v>46085.0</v>
      </c>
      <c r="B519" s="172" t="s">
        <v>50</v>
      </c>
      <c r="C519" s="172">
        <v>34.0</v>
      </c>
      <c r="D519" s="172">
        <v>1.0</v>
      </c>
      <c r="E519" s="172" t="s">
        <v>39</v>
      </c>
      <c r="F519" s="172"/>
      <c r="G519" s="173" t="s">
        <v>903</v>
      </c>
      <c r="H519" s="172">
        <v>10.0</v>
      </c>
      <c r="I519" s="173">
        <v>10.0</v>
      </c>
    </row>
    <row r="520" ht="15.75" hidden="1" customHeight="1">
      <c r="A520" s="235">
        <v>46085.0</v>
      </c>
      <c r="B520" s="172" t="s">
        <v>45</v>
      </c>
      <c r="C520" s="172">
        <v>34.0</v>
      </c>
      <c r="D520" s="172">
        <v>1.0</v>
      </c>
      <c r="E520" s="172" t="s">
        <v>39</v>
      </c>
      <c r="F520" s="172"/>
      <c r="G520" s="173" t="s">
        <v>904</v>
      </c>
      <c r="H520" s="172">
        <v>20.0</v>
      </c>
    </row>
    <row r="521" ht="15.75" hidden="1" customHeight="1">
      <c r="A521" s="235">
        <v>46085.0</v>
      </c>
      <c r="B521" s="172" t="s">
        <v>53</v>
      </c>
      <c r="C521" s="172">
        <v>34.0</v>
      </c>
      <c r="D521" s="172">
        <v>1.0</v>
      </c>
      <c r="E521" s="172" t="s">
        <v>441</v>
      </c>
      <c r="F521" s="172"/>
      <c r="G521" s="173" t="s">
        <v>905</v>
      </c>
      <c r="H521" s="172">
        <v>26.0</v>
      </c>
    </row>
    <row r="522" ht="15.75" hidden="1" customHeight="1">
      <c r="A522" s="235">
        <v>46085.0</v>
      </c>
      <c r="B522" s="172" t="s">
        <v>94</v>
      </c>
      <c r="C522" s="172">
        <v>30.0</v>
      </c>
      <c r="D522" s="172">
        <v>1.0</v>
      </c>
      <c r="E522" s="172" t="s">
        <v>39</v>
      </c>
      <c r="F522" s="172"/>
      <c r="G522" s="173" t="s">
        <v>906</v>
      </c>
      <c r="H522" s="172">
        <v>21.5</v>
      </c>
    </row>
    <row r="523" ht="15.75" hidden="1" customHeight="1">
      <c r="A523" s="251">
        <v>46086.0</v>
      </c>
      <c r="B523" s="172" t="s">
        <v>52</v>
      </c>
      <c r="C523" s="172">
        <v>34.0</v>
      </c>
      <c r="D523" s="172">
        <v>1.0</v>
      </c>
      <c r="E523" s="172" t="s">
        <v>331</v>
      </c>
      <c r="F523" s="172"/>
      <c r="G523" s="173" t="s">
        <v>907</v>
      </c>
      <c r="H523" s="172">
        <v>22.0</v>
      </c>
    </row>
    <row r="524" ht="15.75" hidden="1" customHeight="1">
      <c r="A524" s="235">
        <v>46086.0</v>
      </c>
      <c r="B524" s="172" t="s">
        <v>51</v>
      </c>
      <c r="C524" s="172">
        <v>34.0</v>
      </c>
      <c r="D524" s="172">
        <v>1.0</v>
      </c>
      <c r="E524" s="172" t="s">
        <v>331</v>
      </c>
      <c r="F524" s="172"/>
      <c r="G524" s="173" t="s">
        <v>908</v>
      </c>
      <c r="H524" s="172">
        <v>25.0</v>
      </c>
    </row>
    <row r="525" ht="15.75" hidden="1" customHeight="1">
      <c r="A525" s="235">
        <v>46086.0</v>
      </c>
      <c r="B525" s="172" t="s">
        <v>45</v>
      </c>
      <c r="C525" s="172">
        <v>32.0</v>
      </c>
      <c r="D525" s="172">
        <v>1.0</v>
      </c>
      <c r="E525" s="172" t="s">
        <v>441</v>
      </c>
      <c r="F525" s="172"/>
      <c r="G525" s="173" t="s">
        <v>909</v>
      </c>
      <c r="H525" s="172">
        <v>28.0</v>
      </c>
    </row>
    <row r="526" ht="15.75" hidden="1" customHeight="1">
      <c r="A526" s="235">
        <v>46086.0</v>
      </c>
      <c r="B526" s="172" t="s">
        <v>52</v>
      </c>
      <c r="C526" s="172">
        <v>32.0</v>
      </c>
      <c r="D526" s="172">
        <v>1.0</v>
      </c>
      <c r="E526" s="172" t="s">
        <v>39</v>
      </c>
      <c r="F526" s="172"/>
      <c r="G526" s="173" t="s">
        <v>910</v>
      </c>
      <c r="H526" s="172">
        <v>23.4</v>
      </c>
      <c r="I526" s="173">
        <v>10.0</v>
      </c>
    </row>
    <row r="527" ht="15.75" hidden="1" customHeight="1">
      <c r="A527" s="246">
        <v>46086.0</v>
      </c>
      <c r="B527" s="182" t="s">
        <v>45</v>
      </c>
      <c r="C527" s="182">
        <v>34.0</v>
      </c>
      <c r="D527" s="182">
        <v>1.0</v>
      </c>
      <c r="E527" s="182" t="s">
        <v>411</v>
      </c>
      <c r="F527" s="182"/>
      <c r="G527" s="184" t="s">
        <v>911</v>
      </c>
      <c r="H527" s="182">
        <v>0.0</v>
      </c>
      <c r="I527" s="184" t="s">
        <v>912</v>
      </c>
      <c r="J527" s="163"/>
    </row>
    <row r="528" ht="15.75" hidden="1" customHeight="1">
      <c r="A528" s="246">
        <v>46087.0</v>
      </c>
      <c r="B528" s="182" t="s">
        <v>45</v>
      </c>
      <c r="C528" s="182">
        <v>34.0</v>
      </c>
      <c r="D528" s="182">
        <v>1.0</v>
      </c>
      <c r="E528" s="182" t="s">
        <v>411</v>
      </c>
      <c r="F528" s="182"/>
      <c r="G528" s="184" t="s">
        <v>913</v>
      </c>
      <c r="H528" s="182">
        <v>0.0</v>
      </c>
      <c r="I528" s="182" t="s">
        <v>914</v>
      </c>
      <c r="J528" s="281"/>
    </row>
    <row r="529" ht="15.75" hidden="1" customHeight="1">
      <c r="A529" s="235">
        <v>46087.0</v>
      </c>
      <c r="B529" s="172" t="s">
        <v>94</v>
      </c>
      <c r="C529" s="172">
        <v>36.0</v>
      </c>
      <c r="D529" s="172">
        <v>1.0</v>
      </c>
      <c r="E529" s="172" t="s">
        <v>411</v>
      </c>
      <c r="F529" s="172"/>
      <c r="G529" s="198" t="s">
        <v>915</v>
      </c>
      <c r="H529" s="172">
        <v>27.8</v>
      </c>
    </row>
    <row r="530" ht="15.75" hidden="1" customHeight="1">
      <c r="A530" s="235">
        <v>46087.0</v>
      </c>
      <c r="B530" s="172" t="s">
        <v>52</v>
      </c>
      <c r="C530" s="172">
        <v>34.0</v>
      </c>
      <c r="D530" s="172">
        <v>1.0</v>
      </c>
      <c r="E530" s="172" t="s">
        <v>331</v>
      </c>
      <c r="F530" s="172"/>
      <c r="G530" s="173" t="s">
        <v>916</v>
      </c>
      <c r="H530" s="172">
        <v>25.0</v>
      </c>
    </row>
    <row r="531" ht="15.75" hidden="1" customHeight="1">
      <c r="A531" s="235">
        <v>46087.0</v>
      </c>
      <c r="B531" s="172" t="s">
        <v>71</v>
      </c>
      <c r="C531" s="172">
        <v>32.0</v>
      </c>
      <c r="D531" s="172">
        <v>1.0</v>
      </c>
      <c r="E531" s="172" t="s">
        <v>411</v>
      </c>
      <c r="F531" s="172"/>
      <c r="G531" s="173" t="s">
        <v>917</v>
      </c>
      <c r="H531" s="172">
        <v>20.0</v>
      </c>
    </row>
    <row r="532" ht="15.75" hidden="1" customHeight="1">
      <c r="A532" s="235">
        <v>46087.0</v>
      </c>
      <c r="B532" s="172" t="s">
        <v>51</v>
      </c>
      <c r="C532" s="172">
        <v>34.0</v>
      </c>
      <c r="D532" s="172">
        <v>1.0</v>
      </c>
      <c r="E532" s="172" t="s">
        <v>411</v>
      </c>
      <c r="F532" s="172"/>
      <c r="G532" s="173" t="s">
        <v>918</v>
      </c>
      <c r="H532" s="172">
        <v>22.5</v>
      </c>
    </row>
    <row r="533" ht="15.75" hidden="1" customHeight="1">
      <c r="A533" s="235">
        <v>46087.0</v>
      </c>
      <c r="B533" s="172" t="s">
        <v>50</v>
      </c>
      <c r="C533" s="172">
        <v>34.0</v>
      </c>
      <c r="D533" s="172">
        <v>1.0</v>
      </c>
      <c r="E533" s="172" t="s">
        <v>411</v>
      </c>
      <c r="F533" s="172"/>
      <c r="G533" s="173" t="s">
        <v>918</v>
      </c>
      <c r="H533" s="172">
        <v>22.5</v>
      </c>
    </row>
    <row r="534" ht="15.75" hidden="1" customHeight="1">
      <c r="A534" s="233">
        <v>46088.0</v>
      </c>
      <c r="B534" s="172" t="s">
        <v>51</v>
      </c>
      <c r="C534" s="172">
        <v>34.0</v>
      </c>
      <c r="D534" s="172">
        <v>1.0</v>
      </c>
      <c r="E534" s="172" t="s">
        <v>411</v>
      </c>
      <c r="F534" s="172"/>
      <c r="G534" s="173" t="s">
        <v>919</v>
      </c>
      <c r="H534" s="172">
        <v>24.0</v>
      </c>
    </row>
    <row r="535" ht="15.75" hidden="1" customHeight="1">
      <c r="A535" s="252">
        <v>46088.0</v>
      </c>
      <c r="B535" s="172" t="s">
        <v>71</v>
      </c>
      <c r="C535" s="172">
        <v>36.0</v>
      </c>
      <c r="D535" s="172">
        <v>1.0</v>
      </c>
      <c r="E535" s="172" t="s">
        <v>411</v>
      </c>
      <c r="F535" s="174"/>
      <c r="G535" s="175" t="s">
        <v>920</v>
      </c>
      <c r="H535" s="172">
        <v>24.0</v>
      </c>
    </row>
    <row r="536" ht="15.75" hidden="1" customHeight="1">
      <c r="A536" s="252">
        <v>46088.0</v>
      </c>
      <c r="B536" s="172" t="s">
        <v>71</v>
      </c>
      <c r="C536" s="172">
        <v>36.0</v>
      </c>
      <c r="D536" s="172">
        <v>1.0</v>
      </c>
      <c r="E536" s="172" t="s">
        <v>411</v>
      </c>
      <c r="F536" s="172"/>
      <c r="G536" s="173" t="s">
        <v>921</v>
      </c>
      <c r="H536" s="172">
        <v>27.4</v>
      </c>
    </row>
    <row r="537" ht="15.75" hidden="1" customHeight="1">
      <c r="A537" s="252">
        <v>46088.0</v>
      </c>
      <c r="B537" s="172" t="s">
        <v>71</v>
      </c>
      <c r="C537" s="172">
        <v>32.0</v>
      </c>
      <c r="D537" s="172">
        <v>1.0</v>
      </c>
      <c r="E537" s="172" t="s">
        <v>411</v>
      </c>
      <c r="F537" s="172"/>
      <c r="G537" s="173" t="s">
        <v>922</v>
      </c>
      <c r="H537" s="172">
        <v>24.0</v>
      </c>
    </row>
    <row r="538" ht="15.75" hidden="1" customHeight="1">
      <c r="A538" s="235">
        <v>46088.0</v>
      </c>
      <c r="B538" s="172" t="s">
        <v>52</v>
      </c>
      <c r="C538" s="172">
        <v>34.0</v>
      </c>
      <c r="D538" s="172">
        <v>1.0</v>
      </c>
      <c r="E538" s="172" t="s">
        <v>331</v>
      </c>
      <c r="F538" s="268"/>
      <c r="G538" s="270" t="s">
        <v>923</v>
      </c>
      <c r="H538" s="172">
        <v>22.0</v>
      </c>
    </row>
    <row r="539" ht="15.75" hidden="1" customHeight="1">
      <c r="A539" s="235">
        <v>46088.0</v>
      </c>
      <c r="B539" s="172" t="s">
        <v>71</v>
      </c>
      <c r="C539" s="172">
        <v>36.0</v>
      </c>
      <c r="D539" s="172">
        <v>1.0</v>
      </c>
      <c r="E539" s="172" t="s">
        <v>411</v>
      </c>
      <c r="F539" s="172"/>
      <c r="G539" s="173" t="s">
        <v>924</v>
      </c>
      <c r="H539" s="172">
        <v>25.0</v>
      </c>
    </row>
    <row r="540" ht="15.75" hidden="1" customHeight="1">
      <c r="A540" s="235">
        <v>46088.0</v>
      </c>
      <c r="B540" s="172" t="s">
        <v>71</v>
      </c>
      <c r="C540" s="172">
        <v>32.0</v>
      </c>
      <c r="D540" s="172">
        <v>1.0</v>
      </c>
      <c r="E540" s="172" t="s">
        <v>411</v>
      </c>
      <c r="F540" s="172"/>
      <c r="G540" s="173" t="s">
        <v>925</v>
      </c>
      <c r="H540" s="172">
        <v>27.0</v>
      </c>
    </row>
    <row r="541" ht="15.75" hidden="1" customHeight="1">
      <c r="A541" s="235">
        <v>46088.0</v>
      </c>
      <c r="B541" s="172" t="s">
        <v>71</v>
      </c>
      <c r="C541" s="172">
        <v>34.0</v>
      </c>
      <c r="D541" s="172">
        <v>1.0</v>
      </c>
      <c r="E541" s="172" t="s">
        <v>411</v>
      </c>
      <c r="F541" s="172"/>
      <c r="G541" s="173" t="s">
        <v>926</v>
      </c>
      <c r="H541" s="172">
        <v>22.0</v>
      </c>
    </row>
    <row r="542" ht="15.75" hidden="1" customHeight="1">
      <c r="A542" s="235">
        <v>46088.0</v>
      </c>
      <c r="B542" s="172" t="s">
        <v>50</v>
      </c>
      <c r="C542" s="172">
        <v>34.0</v>
      </c>
      <c r="D542" s="172">
        <v>1.0</v>
      </c>
      <c r="E542" s="172" t="s">
        <v>331</v>
      </c>
      <c r="F542" s="172"/>
      <c r="G542" s="173" t="s">
        <v>927</v>
      </c>
      <c r="H542" s="172">
        <v>26.0</v>
      </c>
    </row>
    <row r="543" ht="15.75" hidden="1" customHeight="1">
      <c r="A543" s="235">
        <v>46088.0</v>
      </c>
      <c r="B543" s="172" t="s">
        <v>71</v>
      </c>
      <c r="C543" s="172">
        <v>32.0</v>
      </c>
      <c r="D543" s="172">
        <v>1.0</v>
      </c>
      <c r="E543" s="172" t="s">
        <v>411</v>
      </c>
      <c r="F543" s="174"/>
      <c r="G543" s="175" t="s">
        <v>928</v>
      </c>
      <c r="H543" s="172">
        <v>24.0</v>
      </c>
    </row>
    <row r="544" ht="15.75" hidden="1" customHeight="1">
      <c r="A544" s="235">
        <v>46088.0</v>
      </c>
      <c r="B544" s="172" t="s">
        <v>94</v>
      </c>
      <c r="C544" s="172">
        <v>36.0</v>
      </c>
      <c r="D544" s="172">
        <v>1.0</v>
      </c>
      <c r="E544" s="172" t="s">
        <v>411</v>
      </c>
      <c r="F544" s="172"/>
      <c r="G544" s="173" t="s">
        <v>928</v>
      </c>
      <c r="H544" s="172">
        <v>24.0</v>
      </c>
    </row>
    <row r="545" ht="15.75" hidden="1" customHeight="1">
      <c r="A545" s="233">
        <v>46089.0</v>
      </c>
      <c r="B545" s="172" t="s">
        <v>94</v>
      </c>
      <c r="C545" s="172">
        <v>36.0</v>
      </c>
      <c r="D545" s="172">
        <v>1.0</v>
      </c>
      <c r="E545" s="172" t="s">
        <v>411</v>
      </c>
      <c r="F545" s="172"/>
      <c r="G545" s="173" t="s">
        <v>929</v>
      </c>
      <c r="H545" s="172">
        <v>22.5</v>
      </c>
    </row>
    <row r="546" ht="15.75" hidden="1" customHeight="1">
      <c r="A546" s="234">
        <v>46089.0</v>
      </c>
      <c r="B546" s="172" t="s">
        <v>51</v>
      </c>
      <c r="C546" s="172">
        <v>32.0</v>
      </c>
      <c r="D546" s="172">
        <v>1.0</v>
      </c>
      <c r="E546" s="172" t="s">
        <v>441</v>
      </c>
      <c r="F546" s="172"/>
      <c r="G546" s="173" t="s">
        <v>930</v>
      </c>
      <c r="H546" s="172">
        <v>22.5</v>
      </c>
    </row>
    <row r="547" ht="15.75" hidden="1" customHeight="1">
      <c r="A547" s="238">
        <v>46090.0</v>
      </c>
      <c r="B547" s="172" t="s">
        <v>45</v>
      </c>
      <c r="C547" s="172">
        <v>32.0</v>
      </c>
      <c r="D547" s="172">
        <v>1.0</v>
      </c>
      <c r="E547" s="172" t="s">
        <v>441</v>
      </c>
      <c r="F547" s="172"/>
      <c r="G547" s="173" t="s">
        <v>931</v>
      </c>
      <c r="H547" s="172">
        <v>22.0</v>
      </c>
    </row>
    <row r="548" ht="15.75" hidden="1" customHeight="1">
      <c r="A548" s="234">
        <v>46090.0</v>
      </c>
      <c r="B548" s="172" t="s">
        <v>51</v>
      </c>
      <c r="C548" s="172">
        <v>32.0</v>
      </c>
      <c r="D548" s="172">
        <v>1.0</v>
      </c>
      <c r="E548" s="172" t="s">
        <v>331</v>
      </c>
      <c r="F548" s="172"/>
      <c r="G548" s="173" t="s">
        <v>932</v>
      </c>
      <c r="H548" s="172">
        <v>20.0</v>
      </c>
    </row>
    <row r="549" ht="15.75" hidden="1" customHeight="1">
      <c r="A549" s="234">
        <v>46090.0</v>
      </c>
      <c r="B549" s="172" t="s">
        <v>51</v>
      </c>
      <c r="C549" s="172">
        <v>32.0</v>
      </c>
      <c r="D549" s="172">
        <v>1.0</v>
      </c>
      <c r="E549" s="172" t="s">
        <v>441</v>
      </c>
      <c r="F549" s="172"/>
      <c r="G549" s="173" t="s">
        <v>933</v>
      </c>
      <c r="H549" s="172">
        <v>27.0</v>
      </c>
    </row>
    <row r="550" ht="15.75" hidden="1" customHeight="1">
      <c r="A550" s="235">
        <v>46090.0</v>
      </c>
      <c r="B550" s="172" t="s">
        <v>52</v>
      </c>
      <c r="C550" s="172">
        <v>30.0</v>
      </c>
      <c r="D550" s="172">
        <v>1.0</v>
      </c>
      <c r="E550" s="172" t="s">
        <v>331</v>
      </c>
      <c r="F550" s="172"/>
      <c r="G550" s="173" t="s">
        <v>934</v>
      </c>
      <c r="H550" s="172">
        <v>25.0</v>
      </c>
    </row>
    <row r="551" ht="15.75" hidden="1" customHeight="1">
      <c r="A551" s="235">
        <v>46090.0</v>
      </c>
      <c r="B551" s="172" t="s">
        <v>94</v>
      </c>
      <c r="C551" s="172">
        <v>30.0</v>
      </c>
      <c r="D551" s="172">
        <v>1.0</v>
      </c>
      <c r="E551" s="172" t="s">
        <v>39</v>
      </c>
      <c r="F551" s="172"/>
      <c r="G551" s="173" t="s">
        <v>935</v>
      </c>
      <c r="H551" s="172">
        <v>21.5</v>
      </c>
    </row>
    <row r="552" ht="15.75" hidden="1" customHeight="1">
      <c r="A552" s="235">
        <v>46090.0</v>
      </c>
      <c r="B552" s="172" t="s">
        <v>51</v>
      </c>
      <c r="C552" s="172">
        <v>32.0</v>
      </c>
      <c r="D552" s="172">
        <v>1.0</v>
      </c>
      <c r="E552" s="172" t="s">
        <v>441</v>
      </c>
      <c r="F552" s="172"/>
      <c r="G552" s="173" t="s">
        <v>936</v>
      </c>
      <c r="H552" s="172">
        <v>22.5</v>
      </c>
    </row>
    <row r="553" ht="15.75" hidden="1" customHeight="1">
      <c r="A553" s="233">
        <v>46091.0</v>
      </c>
      <c r="B553" s="172" t="s">
        <v>45</v>
      </c>
      <c r="C553" s="172">
        <v>32.0</v>
      </c>
      <c r="D553" s="172">
        <v>1.0</v>
      </c>
      <c r="E553" s="172" t="s">
        <v>411</v>
      </c>
      <c r="F553" s="172"/>
      <c r="G553" s="173" t="s">
        <v>937</v>
      </c>
      <c r="H553" s="172">
        <v>24.0</v>
      </c>
    </row>
    <row r="554" ht="15.75" hidden="1" customHeight="1">
      <c r="A554" s="235">
        <v>46091.0</v>
      </c>
      <c r="B554" s="172" t="s">
        <v>52</v>
      </c>
      <c r="C554" s="172">
        <v>34.0</v>
      </c>
      <c r="D554" s="172">
        <v>1.0</v>
      </c>
      <c r="E554" s="172" t="s">
        <v>441</v>
      </c>
      <c r="F554" s="172"/>
      <c r="G554" s="173" t="s">
        <v>938</v>
      </c>
      <c r="H554" s="172">
        <v>22.0</v>
      </c>
    </row>
    <row r="555" ht="15.75" hidden="1" customHeight="1">
      <c r="A555" s="235">
        <v>46091.0</v>
      </c>
      <c r="B555" s="172" t="s">
        <v>94</v>
      </c>
      <c r="C555" s="172">
        <v>30.0</v>
      </c>
      <c r="D555" s="172">
        <v>1.0</v>
      </c>
      <c r="E555" s="172" t="s">
        <v>441</v>
      </c>
      <c r="F555" s="172"/>
      <c r="G555" s="173" t="s">
        <v>939</v>
      </c>
      <c r="H555" s="172">
        <v>27.0</v>
      </c>
    </row>
    <row r="556" ht="15.75" hidden="1" customHeight="1">
      <c r="A556" s="235">
        <v>46091.0</v>
      </c>
      <c r="B556" s="172" t="s">
        <v>94</v>
      </c>
      <c r="C556" s="172">
        <v>30.0</v>
      </c>
      <c r="D556" s="172">
        <v>1.0</v>
      </c>
      <c r="E556" s="172" t="s">
        <v>39</v>
      </c>
      <c r="F556" s="172"/>
      <c r="G556" s="173" t="s">
        <v>940</v>
      </c>
      <c r="H556" s="172">
        <v>22.0</v>
      </c>
    </row>
    <row r="557" ht="15.75" hidden="1" customHeight="1">
      <c r="A557" s="235">
        <v>46091.0</v>
      </c>
      <c r="B557" s="172" t="s">
        <v>63</v>
      </c>
      <c r="C557" s="172">
        <v>32.0</v>
      </c>
      <c r="D557" s="172">
        <v>1.0</v>
      </c>
      <c r="E557" s="172" t="s">
        <v>441</v>
      </c>
      <c r="F557" s="172"/>
      <c r="G557" s="173" t="s">
        <v>941</v>
      </c>
      <c r="H557" s="172">
        <v>27.0</v>
      </c>
    </row>
    <row r="558" ht="15.75" hidden="1" customHeight="1">
      <c r="A558" s="235">
        <v>46091.0</v>
      </c>
      <c r="B558" s="172" t="s">
        <v>52</v>
      </c>
      <c r="C558" s="172">
        <v>34.0</v>
      </c>
      <c r="D558" s="172">
        <v>1.0</v>
      </c>
      <c r="E558" s="172" t="s">
        <v>441</v>
      </c>
      <c r="F558" s="172"/>
      <c r="G558" s="173" t="s">
        <v>910</v>
      </c>
      <c r="H558" s="172">
        <v>25.5</v>
      </c>
    </row>
    <row r="559" ht="15.75" hidden="1" customHeight="1">
      <c r="A559" s="235">
        <v>46091.0</v>
      </c>
      <c r="B559" s="172" t="s">
        <v>45</v>
      </c>
      <c r="C559" s="172">
        <v>32.0</v>
      </c>
      <c r="D559" s="172">
        <v>1.0</v>
      </c>
      <c r="E559" s="172" t="s">
        <v>411</v>
      </c>
      <c r="F559" s="172"/>
      <c r="G559" s="173" t="s">
        <v>942</v>
      </c>
      <c r="H559" s="172">
        <v>25.0</v>
      </c>
    </row>
    <row r="560" ht="15.75" hidden="1" customHeight="1">
      <c r="A560" s="235">
        <v>46091.0</v>
      </c>
      <c r="B560" s="172" t="s">
        <v>45</v>
      </c>
      <c r="C560" s="172">
        <v>36.0</v>
      </c>
      <c r="D560" s="172">
        <v>1.0</v>
      </c>
      <c r="E560" s="172" t="s">
        <v>441</v>
      </c>
      <c r="F560" s="172"/>
      <c r="G560" s="173" t="s">
        <v>718</v>
      </c>
      <c r="H560" s="172">
        <v>26.0</v>
      </c>
    </row>
    <row r="561" ht="15.75" hidden="1" customHeight="1">
      <c r="A561" s="293">
        <v>46091.0</v>
      </c>
      <c r="B561" s="172" t="s">
        <v>52</v>
      </c>
      <c r="C561" s="172">
        <v>34.0</v>
      </c>
      <c r="D561" s="172">
        <v>1.0</v>
      </c>
      <c r="E561" s="172" t="s">
        <v>441</v>
      </c>
      <c r="F561" s="172"/>
      <c r="G561" s="173" t="s">
        <v>943</v>
      </c>
      <c r="H561" s="172">
        <v>23.4</v>
      </c>
    </row>
    <row r="562" ht="15.75" hidden="1" customHeight="1">
      <c r="A562" s="293">
        <v>46091.0</v>
      </c>
      <c r="B562" s="294" t="s">
        <v>71</v>
      </c>
      <c r="C562" s="295">
        <v>32.0</v>
      </c>
      <c r="D562" s="294">
        <v>1.0</v>
      </c>
      <c r="E562" s="294" t="s">
        <v>422</v>
      </c>
      <c r="F562" s="298"/>
      <c r="G562" s="300" t="s">
        <v>944</v>
      </c>
      <c r="H562" s="294">
        <v>27.0</v>
      </c>
      <c r="I562" s="301"/>
    </row>
    <row r="563" ht="15.75" hidden="1" customHeight="1">
      <c r="A563" s="302">
        <v>46092.0</v>
      </c>
      <c r="B563" s="172" t="s">
        <v>71</v>
      </c>
      <c r="C563" s="172">
        <v>34.0</v>
      </c>
      <c r="D563" s="172">
        <v>1.0</v>
      </c>
      <c r="E563" s="172" t="s">
        <v>411</v>
      </c>
      <c r="F563" s="172"/>
      <c r="G563" s="173" t="s">
        <v>945</v>
      </c>
      <c r="H563" s="303">
        <v>20.0</v>
      </c>
    </row>
    <row r="564" ht="15.75" hidden="1" customHeight="1">
      <c r="A564" s="304">
        <v>46092.0</v>
      </c>
      <c r="B564" s="172" t="s">
        <v>94</v>
      </c>
      <c r="C564" s="172">
        <v>30.0</v>
      </c>
      <c r="D564" s="172">
        <v>1.0</v>
      </c>
      <c r="E564" s="172" t="s">
        <v>441</v>
      </c>
      <c r="F564" s="172"/>
      <c r="G564" s="173" t="s">
        <v>946</v>
      </c>
      <c r="H564" s="172">
        <v>22.0</v>
      </c>
    </row>
    <row r="565" ht="15.75" hidden="1" customHeight="1">
      <c r="A565" s="304">
        <v>46092.0</v>
      </c>
      <c r="B565" s="172" t="s">
        <v>45</v>
      </c>
      <c r="C565" s="172">
        <v>32.0</v>
      </c>
      <c r="D565" s="172">
        <v>1.0</v>
      </c>
      <c r="E565" s="172" t="s">
        <v>441</v>
      </c>
      <c r="F565" s="172"/>
      <c r="G565" s="173" t="s">
        <v>947</v>
      </c>
      <c r="H565" s="172">
        <v>22.0</v>
      </c>
    </row>
    <row r="566" ht="15.75" hidden="1" customHeight="1">
      <c r="A566" s="304">
        <v>46092.0</v>
      </c>
      <c r="B566" s="172" t="s">
        <v>52</v>
      </c>
      <c r="C566" s="172">
        <v>34.0</v>
      </c>
      <c r="D566" s="172">
        <v>1.0</v>
      </c>
      <c r="E566" s="172" t="s">
        <v>441</v>
      </c>
      <c r="F566" s="172"/>
      <c r="G566" s="173" t="s">
        <v>948</v>
      </c>
      <c r="H566" s="172">
        <v>26.0</v>
      </c>
    </row>
    <row r="567" ht="15.75" hidden="1" customHeight="1">
      <c r="A567" s="238">
        <v>46093.0</v>
      </c>
      <c r="B567" s="172" t="s">
        <v>45</v>
      </c>
      <c r="C567" s="172">
        <v>32.0</v>
      </c>
      <c r="D567" s="172">
        <v>1.0</v>
      </c>
      <c r="E567" s="172" t="s">
        <v>331</v>
      </c>
      <c r="F567" s="172"/>
      <c r="G567" s="173" t="s">
        <v>949</v>
      </c>
      <c r="H567" s="172">
        <v>24.0</v>
      </c>
    </row>
    <row r="568" ht="15.75" hidden="1" customHeight="1">
      <c r="A568" s="235">
        <v>46093.0</v>
      </c>
      <c r="B568" s="172" t="s">
        <v>52</v>
      </c>
      <c r="C568" s="172">
        <v>34.0</v>
      </c>
      <c r="D568" s="172">
        <v>1.0</v>
      </c>
      <c r="E568" s="172" t="s">
        <v>422</v>
      </c>
      <c r="F568" s="305"/>
      <c r="G568" s="306" t="s">
        <v>950</v>
      </c>
      <c r="H568" s="172">
        <v>28.0</v>
      </c>
    </row>
    <row r="569" ht="15.75" hidden="1" customHeight="1">
      <c r="A569" s="235">
        <v>46093.0</v>
      </c>
      <c r="B569" s="172" t="s">
        <v>52</v>
      </c>
      <c r="C569" s="172">
        <v>32.0</v>
      </c>
      <c r="D569" s="172">
        <v>1.0</v>
      </c>
      <c r="E569" s="172" t="s">
        <v>422</v>
      </c>
      <c r="F569" s="172"/>
      <c r="G569" s="173" t="s">
        <v>951</v>
      </c>
      <c r="H569" s="172">
        <v>28.0</v>
      </c>
    </row>
    <row r="570" ht="15.75" hidden="1" customHeight="1">
      <c r="A570" s="246">
        <v>46093.0</v>
      </c>
      <c r="B570" s="182" t="s">
        <v>45</v>
      </c>
      <c r="C570" s="182">
        <v>32.0</v>
      </c>
      <c r="D570" s="182">
        <v>1.0</v>
      </c>
      <c r="E570" s="182" t="s">
        <v>422</v>
      </c>
      <c r="F570" s="182"/>
      <c r="G570" s="184" t="s">
        <v>952</v>
      </c>
      <c r="H570" s="182">
        <v>0.0</v>
      </c>
      <c r="I570" s="184" t="s">
        <v>953</v>
      </c>
      <c r="J570" s="184" t="s">
        <v>954</v>
      </c>
    </row>
    <row r="571" ht="15.75" hidden="1" customHeight="1">
      <c r="A571" s="235">
        <v>46093.0</v>
      </c>
      <c r="B571" s="172" t="s">
        <v>45</v>
      </c>
      <c r="C571" s="172">
        <v>32.0</v>
      </c>
      <c r="D571" s="172">
        <v>1.0</v>
      </c>
      <c r="E571" s="172" t="s">
        <v>39</v>
      </c>
      <c r="F571" s="172"/>
      <c r="G571" s="173" t="s">
        <v>955</v>
      </c>
      <c r="H571" s="172">
        <v>23.0</v>
      </c>
    </row>
    <row r="572" ht="15.75" hidden="1" customHeight="1">
      <c r="A572" s="235">
        <v>46093.0</v>
      </c>
      <c r="B572" s="172" t="s">
        <v>45</v>
      </c>
      <c r="C572" s="172">
        <v>32.0</v>
      </c>
      <c r="D572" s="172">
        <v>1.0</v>
      </c>
      <c r="E572" s="172" t="s">
        <v>441</v>
      </c>
      <c r="F572" s="172"/>
      <c r="G572" s="173" t="s">
        <v>956</v>
      </c>
      <c r="H572" s="172">
        <v>22.0</v>
      </c>
    </row>
    <row r="573" ht="15.75" hidden="1" customHeight="1">
      <c r="A573" s="235">
        <v>46093.0</v>
      </c>
      <c r="B573" s="172" t="s">
        <v>51</v>
      </c>
      <c r="C573" s="172">
        <v>32.0</v>
      </c>
      <c r="D573" s="172">
        <v>1.0</v>
      </c>
      <c r="E573" s="172" t="s">
        <v>441</v>
      </c>
      <c r="F573" s="172"/>
      <c r="G573" s="173" t="s">
        <v>957</v>
      </c>
      <c r="H573" s="172">
        <v>27.0</v>
      </c>
    </row>
    <row r="574" ht="15.75" hidden="1" customHeight="1">
      <c r="A574" s="238">
        <v>46094.0</v>
      </c>
      <c r="B574" s="172" t="s">
        <v>63</v>
      </c>
      <c r="C574" s="172">
        <v>32.0</v>
      </c>
      <c r="D574" s="172">
        <v>1.0</v>
      </c>
      <c r="E574" s="172" t="s">
        <v>441</v>
      </c>
      <c r="F574" s="172"/>
      <c r="G574" s="173" t="s">
        <v>958</v>
      </c>
      <c r="H574" s="172">
        <v>20.0</v>
      </c>
    </row>
    <row r="575" ht="15.75" hidden="1" customHeight="1">
      <c r="A575" s="235">
        <v>46094.0</v>
      </c>
      <c r="B575" s="172" t="s">
        <v>53</v>
      </c>
      <c r="C575" s="172">
        <v>34.0</v>
      </c>
      <c r="D575" s="172">
        <v>1.0</v>
      </c>
      <c r="E575" s="172" t="s">
        <v>331</v>
      </c>
      <c r="F575" s="172"/>
      <c r="G575" s="173" t="s">
        <v>959</v>
      </c>
      <c r="H575" s="172">
        <v>22.0</v>
      </c>
    </row>
    <row r="576" ht="15.75" hidden="1" customHeight="1">
      <c r="A576" s="235">
        <v>46094.0</v>
      </c>
      <c r="B576" s="172" t="s">
        <v>45</v>
      </c>
      <c r="C576" s="172">
        <v>32.0</v>
      </c>
      <c r="D576" s="172">
        <v>1.0</v>
      </c>
      <c r="E576" s="172" t="s">
        <v>331</v>
      </c>
      <c r="F576" s="172"/>
      <c r="G576" s="173" t="s">
        <v>960</v>
      </c>
      <c r="H576" s="172">
        <v>21.6</v>
      </c>
    </row>
    <row r="577" ht="15.75" hidden="1" customHeight="1">
      <c r="A577" s="235">
        <v>46094.0</v>
      </c>
      <c r="B577" s="172" t="s">
        <v>52</v>
      </c>
      <c r="C577" s="172">
        <v>34.0</v>
      </c>
      <c r="D577" s="172">
        <v>1.0</v>
      </c>
      <c r="E577" s="172" t="s">
        <v>441</v>
      </c>
      <c r="F577" s="172"/>
      <c r="G577" s="173" t="s">
        <v>961</v>
      </c>
      <c r="H577" s="172">
        <v>26.0</v>
      </c>
    </row>
    <row r="578" ht="15.75" hidden="1" customHeight="1">
      <c r="A578" s="235">
        <v>46094.0</v>
      </c>
      <c r="B578" s="172" t="s">
        <v>63</v>
      </c>
      <c r="C578" s="172">
        <v>32.0</v>
      </c>
      <c r="D578" s="172">
        <v>1.0</v>
      </c>
      <c r="E578" s="172" t="s">
        <v>441</v>
      </c>
      <c r="F578" s="172"/>
      <c r="G578" s="173" t="s">
        <v>962</v>
      </c>
      <c r="H578" s="172">
        <v>20.0</v>
      </c>
    </row>
    <row r="579" ht="15.75" hidden="1" customHeight="1">
      <c r="A579" s="235">
        <v>46094.0</v>
      </c>
      <c r="B579" s="172" t="s">
        <v>50</v>
      </c>
      <c r="C579" s="172">
        <v>32.0</v>
      </c>
      <c r="D579" s="172">
        <v>1.0</v>
      </c>
      <c r="E579" s="172" t="s">
        <v>39</v>
      </c>
      <c r="F579" s="172"/>
      <c r="G579" s="173" t="s">
        <v>963</v>
      </c>
      <c r="H579" s="172">
        <v>20.0</v>
      </c>
    </row>
    <row r="580" ht="15.75" hidden="1" customHeight="1">
      <c r="A580" s="235">
        <v>46094.0</v>
      </c>
      <c r="B580" s="172" t="s">
        <v>45</v>
      </c>
      <c r="C580" s="172">
        <v>36.0</v>
      </c>
      <c r="D580" s="172">
        <v>1.0</v>
      </c>
      <c r="E580" s="172" t="s">
        <v>441</v>
      </c>
      <c r="F580" s="172"/>
      <c r="G580" s="173" t="s">
        <v>964</v>
      </c>
      <c r="H580" s="172">
        <v>26.0</v>
      </c>
    </row>
    <row r="581" ht="15.75" hidden="1" customHeight="1">
      <c r="A581" s="235">
        <v>46094.0</v>
      </c>
      <c r="B581" s="172" t="s">
        <v>52</v>
      </c>
      <c r="C581" s="172">
        <v>34.0</v>
      </c>
      <c r="D581" s="172">
        <v>1.0</v>
      </c>
      <c r="E581" s="172" t="s">
        <v>441</v>
      </c>
      <c r="F581" s="172"/>
      <c r="G581" s="173" t="s">
        <v>965</v>
      </c>
      <c r="H581" s="172">
        <v>20.0</v>
      </c>
    </row>
    <row r="582" ht="15.75" hidden="1" customHeight="1">
      <c r="A582" s="235">
        <v>46094.0</v>
      </c>
      <c r="B582" s="172" t="s">
        <v>52</v>
      </c>
      <c r="C582" s="172">
        <v>34.0</v>
      </c>
      <c r="D582" s="172">
        <v>1.0</v>
      </c>
      <c r="E582" s="172" t="s">
        <v>422</v>
      </c>
      <c r="F582" s="172"/>
      <c r="G582" s="173" t="s">
        <v>966</v>
      </c>
      <c r="H582" s="172">
        <v>20.0</v>
      </c>
    </row>
    <row r="583" ht="15.75" hidden="1" customHeight="1">
      <c r="A583" s="238">
        <v>46095.0</v>
      </c>
      <c r="B583" s="172" t="s">
        <v>63</v>
      </c>
      <c r="C583" s="172">
        <v>34.0</v>
      </c>
      <c r="D583" s="172">
        <v>1.0</v>
      </c>
      <c r="E583" s="172" t="s">
        <v>422</v>
      </c>
      <c r="F583" s="172"/>
      <c r="G583" s="173" t="s">
        <v>967</v>
      </c>
      <c r="H583" s="172">
        <v>20.0</v>
      </c>
    </row>
    <row r="584" ht="15.75" hidden="1" customHeight="1">
      <c r="A584" s="235">
        <v>46095.0</v>
      </c>
      <c r="B584" s="172" t="s">
        <v>45</v>
      </c>
      <c r="C584" s="172">
        <v>32.0</v>
      </c>
      <c r="D584" s="172">
        <v>1.0</v>
      </c>
      <c r="E584" s="172" t="s">
        <v>422</v>
      </c>
      <c r="F584" s="172"/>
      <c r="G584" s="173" t="s">
        <v>968</v>
      </c>
      <c r="H584" s="172">
        <v>20.0</v>
      </c>
    </row>
    <row r="585" ht="15.75" hidden="1" customHeight="1">
      <c r="A585" s="235">
        <v>46095.0</v>
      </c>
      <c r="B585" s="172" t="s">
        <v>52</v>
      </c>
      <c r="C585" s="172">
        <v>30.0</v>
      </c>
      <c r="D585" s="172">
        <v>1.0</v>
      </c>
      <c r="E585" s="172" t="s">
        <v>331</v>
      </c>
      <c r="F585" s="172"/>
      <c r="G585" s="173" t="s">
        <v>969</v>
      </c>
      <c r="H585" s="172">
        <v>28.0</v>
      </c>
    </row>
    <row r="586" ht="15.75" hidden="1" customHeight="1">
      <c r="A586" s="235">
        <v>46095.0</v>
      </c>
      <c r="B586" s="172" t="s">
        <v>63</v>
      </c>
      <c r="C586" s="172">
        <v>32.0</v>
      </c>
      <c r="D586" s="172">
        <v>1.0</v>
      </c>
      <c r="E586" s="172" t="s">
        <v>441</v>
      </c>
      <c r="F586" s="172"/>
      <c r="G586" s="173" t="s">
        <v>970</v>
      </c>
      <c r="H586" s="172">
        <v>20.0</v>
      </c>
    </row>
    <row r="587" ht="15.75" hidden="1" customHeight="1">
      <c r="A587" s="235">
        <v>46095.0</v>
      </c>
      <c r="B587" s="172" t="s">
        <v>51</v>
      </c>
      <c r="C587" s="172">
        <v>32.0</v>
      </c>
      <c r="D587" s="172">
        <v>1.0</v>
      </c>
      <c r="E587" s="172" t="s">
        <v>441</v>
      </c>
      <c r="F587" s="172"/>
      <c r="G587" s="173" t="s">
        <v>971</v>
      </c>
      <c r="H587" s="172">
        <v>23.0</v>
      </c>
    </row>
    <row r="588" ht="15.75" hidden="1" customHeight="1">
      <c r="A588" s="235">
        <v>46095.0</v>
      </c>
      <c r="B588" s="172" t="s">
        <v>45</v>
      </c>
      <c r="C588" s="172">
        <v>36.0</v>
      </c>
      <c r="D588" s="172">
        <v>1.0</v>
      </c>
      <c r="E588" s="172" t="s">
        <v>422</v>
      </c>
      <c r="F588" s="172"/>
      <c r="G588" s="173" t="s">
        <v>972</v>
      </c>
      <c r="H588" s="172">
        <v>20.0</v>
      </c>
    </row>
    <row r="589" ht="15.75" hidden="1" customHeight="1">
      <c r="A589" s="235">
        <v>46095.0</v>
      </c>
      <c r="B589" s="172" t="s">
        <v>50</v>
      </c>
      <c r="C589" s="172">
        <v>36.0</v>
      </c>
      <c r="D589" s="172">
        <v>1.0</v>
      </c>
      <c r="E589" s="172" t="s">
        <v>441</v>
      </c>
      <c r="F589" s="172"/>
      <c r="G589" s="173" t="s">
        <v>973</v>
      </c>
      <c r="H589" s="172">
        <v>20.0</v>
      </c>
    </row>
    <row r="590" ht="15.75" hidden="1" customHeight="1">
      <c r="A590" s="235">
        <v>46095.0</v>
      </c>
      <c r="B590" s="172" t="s">
        <v>51</v>
      </c>
      <c r="C590" s="172">
        <v>32.0</v>
      </c>
      <c r="D590" s="172">
        <v>1.0</v>
      </c>
      <c r="E590" s="172" t="s">
        <v>422</v>
      </c>
      <c r="F590" s="172"/>
      <c r="G590" s="173" t="s">
        <v>971</v>
      </c>
      <c r="H590" s="172">
        <v>22.0</v>
      </c>
    </row>
    <row r="591" ht="15.75" hidden="1" customHeight="1">
      <c r="A591" s="238">
        <v>46096.0</v>
      </c>
      <c r="B591" s="172" t="s">
        <v>63</v>
      </c>
      <c r="C591" s="172">
        <v>32.0</v>
      </c>
      <c r="D591" s="172">
        <v>1.0</v>
      </c>
      <c r="E591" s="172" t="s">
        <v>441</v>
      </c>
      <c r="F591" s="172"/>
      <c r="G591" s="173" t="s">
        <v>974</v>
      </c>
      <c r="H591" s="172">
        <v>22.0</v>
      </c>
    </row>
    <row r="592" ht="15.75" hidden="1" customHeight="1">
      <c r="A592" s="252">
        <v>46096.0</v>
      </c>
      <c r="B592" s="172" t="s">
        <v>45</v>
      </c>
      <c r="C592" s="172">
        <v>32.0</v>
      </c>
      <c r="D592" s="172">
        <v>1.0</v>
      </c>
      <c r="E592" s="172" t="s">
        <v>411</v>
      </c>
      <c r="F592" s="172"/>
      <c r="G592" s="173" t="s">
        <v>975</v>
      </c>
      <c r="H592" s="172">
        <v>11.0</v>
      </c>
      <c r="I592" s="173" t="s">
        <v>976</v>
      </c>
    </row>
    <row r="593" ht="15.75" hidden="1" customHeight="1">
      <c r="A593" s="252">
        <v>46096.0</v>
      </c>
      <c r="B593" s="172" t="s">
        <v>45</v>
      </c>
      <c r="C593" s="172">
        <v>36.0</v>
      </c>
      <c r="D593" s="172">
        <v>1.0</v>
      </c>
      <c r="E593" s="172" t="s">
        <v>441</v>
      </c>
      <c r="F593" s="172"/>
      <c r="G593" s="173" t="s">
        <v>977</v>
      </c>
      <c r="H593" s="172">
        <v>26.0</v>
      </c>
    </row>
    <row r="594" ht="15.75" hidden="1" customHeight="1">
      <c r="A594" s="235">
        <v>46096.0</v>
      </c>
      <c r="B594" s="172" t="s">
        <v>52</v>
      </c>
      <c r="C594" s="172">
        <v>30.0</v>
      </c>
      <c r="D594" s="172">
        <v>1.0</v>
      </c>
      <c r="E594" s="172" t="s">
        <v>331</v>
      </c>
      <c r="F594" s="172"/>
      <c r="G594" s="173" t="s">
        <v>978</v>
      </c>
      <c r="H594" s="172">
        <v>23.5</v>
      </c>
    </row>
    <row r="595" ht="15.75" hidden="1" customHeight="1">
      <c r="A595" s="235">
        <v>46096.0</v>
      </c>
      <c r="B595" s="172" t="s">
        <v>51</v>
      </c>
      <c r="C595" s="172">
        <v>36.0</v>
      </c>
      <c r="D595" s="172">
        <v>1.0</v>
      </c>
      <c r="E595" s="172" t="s">
        <v>422</v>
      </c>
      <c r="F595" s="310"/>
      <c r="G595" s="311" t="s">
        <v>979</v>
      </c>
      <c r="H595" s="172">
        <v>20.0</v>
      </c>
    </row>
    <row r="596" ht="15.75" hidden="1" customHeight="1">
      <c r="A596" s="235">
        <v>46096.0</v>
      </c>
      <c r="B596" s="172" t="s">
        <v>71</v>
      </c>
      <c r="C596" s="172">
        <v>32.0</v>
      </c>
      <c r="D596" s="172">
        <v>1.0</v>
      </c>
      <c r="E596" s="172" t="s">
        <v>411</v>
      </c>
      <c r="F596" s="172"/>
      <c r="G596" s="173" t="s">
        <v>980</v>
      </c>
      <c r="H596" s="172">
        <v>27.0</v>
      </c>
    </row>
    <row r="597" ht="15.75" hidden="1" customHeight="1">
      <c r="A597" s="235">
        <v>46096.0</v>
      </c>
      <c r="B597" s="172" t="s">
        <v>52</v>
      </c>
      <c r="C597" s="172">
        <v>34.0</v>
      </c>
      <c r="D597" s="172">
        <v>1.0</v>
      </c>
      <c r="E597" s="172" t="s">
        <v>441</v>
      </c>
      <c r="F597" s="172"/>
      <c r="G597" s="173" t="s">
        <v>981</v>
      </c>
      <c r="H597" s="172">
        <v>23.0</v>
      </c>
    </row>
    <row r="598" ht="15.75" hidden="1" customHeight="1">
      <c r="A598" s="235">
        <v>46096.0</v>
      </c>
      <c r="B598" s="172" t="s">
        <v>53</v>
      </c>
      <c r="C598" s="172">
        <v>34.0</v>
      </c>
      <c r="D598" s="172">
        <v>1.0</v>
      </c>
      <c r="E598" s="172" t="s">
        <v>331</v>
      </c>
      <c r="F598" s="172"/>
      <c r="G598" s="173" t="s">
        <v>982</v>
      </c>
      <c r="H598" s="172">
        <v>25.2</v>
      </c>
    </row>
    <row r="599" ht="15.75" hidden="1" customHeight="1">
      <c r="A599" s="235">
        <v>46096.0</v>
      </c>
      <c r="B599" s="172" t="s">
        <v>51</v>
      </c>
      <c r="C599" s="172">
        <v>32.0</v>
      </c>
      <c r="D599" s="172">
        <v>1.0</v>
      </c>
      <c r="E599" s="172" t="s">
        <v>331</v>
      </c>
      <c r="F599" s="172"/>
      <c r="G599" s="173" t="s">
        <v>983</v>
      </c>
      <c r="H599" s="172">
        <v>26.5</v>
      </c>
    </row>
    <row r="600" ht="15.75" hidden="1" customHeight="1">
      <c r="A600" s="246">
        <v>46096.0</v>
      </c>
      <c r="B600" s="182" t="s">
        <v>63</v>
      </c>
      <c r="C600" s="182">
        <v>34.0</v>
      </c>
      <c r="D600" s="182">
        <v>1.0</v>
      </c>
      <c r="E600" s="182" t="s">
        <v>411</v>
      </c>
      <c r="F600" s="182"/>
      <c r="G600" s="184" t="s">
        <v>984</v>
      </c>
      <c r="H600" s="182">
        <v>0.0</v>
      </c>
      <c r="I600" s="184" t="s">
        <v>985</v>
      </c>
      <c r="J600" s="184" t="s">
        <v>975</v>
      </c>
      <c r="K600" s="163"/>
    </row>
    <row r="601" ht="15.75" hidden="1" customHeight="1">
      <c r="A601" s="235">
        <v>46096.0</v>
      </c>
      <c r="B601" s="172" t="s">
        <v>52</v>
      </c>
      <c r="C601" s="172">
        <v>34.0</v>
      </c>
      <c r="D601" s="172">
        <v>1.0</v>
      </c>
      <c r="E601" s="172" t="s">
        <v>441</v>
      </c>
      <c r="F601" s="172"/>
      <c r="G601" s="173" t="s">
        <v>986</v>
      </c>
      <c r="H601" s="172">
        <v>26.0</v>
      </c>
    </row>
    <row r="602" ht="15.75" hidden="1" customHeight="1">
      <c r="A602" s="235">
        <v>46096.0</v>
      </c>
      <c r="B602" s="172" t="s">
        <v>51</v>
      </c>
      <c r="C602" s="172">
        <v>32.0</v>
      </c>
      <c r="D602" s="172">
        <v>1.0</v>
      </c>
      <c r="E602" s="172" t="s">
        <v>441</v>
      </c>
      <c r="F602" s="172"/>
      <c r="G602" s="173" t="s">
        <v>987</v>
      </c>
      <c r="H602" s="172">
        <v>27.0</v>
      </c>
    </row>
    <row r="603" ht="15.75" hidden="1" customHeight="1">
      <c r="A603" s="233">
        <v>46097.0</v>
      </c>
      <c r="B603" s="172" t="s">
        <v>71</v>
      </c>
      <c r="C603" s="172">
        <v>34.0</v>
      </c>
      <c r="D603" s="172">
        <v>1.0</v>
      </c>
      <c r="E603" s="172" t="s">
        <v>411</v>
      </c>
      <c r="F603" s="172"/>
      <c r="G603" s="173" t="s">
        <v>988</v>
      </c>
      <c r="H603" s="172">
        <v>27.45</v>
      </c>
    </row>
    <row r="604" ht="15.75" hidden="1" customHeight="1">
      <c r="A604" s="235">
        <v>46097.0</v>
      </c>
      <c r="B604" s="172" t="s">
        <v>53</v>
      </c>
      <c r="C604" s="172">
        <v>32.0</v>
      </c>
      <c r="D604" s="172">
        <v>1.0</v>
      </c>
      <c r="E604" s="172" t="s">
        <v>422</v>
      </c>
      <c r="F604" s="172"/>
      <c r="G604" s="173" t="s">
        <v>989</v>
      </c>
      <c r="H604" s="172">
        <v>25.0</v>
      </c>
    </row>
    <row r="605" ht="15.75" hidden="1" customHeight="1">
      <c r="A605" s="246">
        <v>46097.0</v>
      </c>
      <c r="B605" s="182" t="s">
        <v>51</v>
      </c>
      <c r="C605" s="182">
        <v>36.0</v>
      </c>
      <c r="D605" s="182">
        <v>1.0</v>
      </c>
      <c r="E605" s="182" t="s">
        <v>422</v>
      </c>
      <c r="F605" s="182"/>
      <c r="G605" s="184" t="s">
        <v>990</v>
      </c>
      <c r="H605" s="182">
        <v>0.0</v>
      </c>
    </row>
    <row r="606" ht="15.75" hidden="1" customHeight="1">
      <c r="A606" s="235">
        <v>46097.0</v>
      </c>
      <c r="B606" s="172" t="s">
        <v>52</v>
      </c>
      <c r="C606" s="172">
        <v>34.0</v>
      </c>
      <c r="D606" s="172">
        <v>1.0</v>
      </c>
      <c r="E606" s="172" t="s">
        <v>441</v>
      </c>
      <c r="F606" s="172"/>
      <c r="G606" s="173" t="s">
        <v>991</v>
      </c>
      <c r="H606" s="172">
        <v>21.0</v>
      </c>
    </row>
    <row r="607" ht="15.75" hidden="1" customHeight="1">
      <c r="A607" s="235">
        <v>46097.0</v>
      </c>
      <c r="B607" s="172" t="s">
        <v>52</v>
      </c>
      <c r="C607" s="172">
        <v>34.0</v>
      </c>
      <c r="D607" s="172">
        <v>1.0</v>
      </c>
      <c r="E607" s="172" t="s">
        <v>422</v>
      </c>
      <c r="F607" s="172"/>
      <c r="G607" s="173" t="s">
        <v>992</v>
      </c>
      <c r="H607" s="172">
        <v>22.5</v>
      </c>
    </row>
    <row r="608" ht="15.75" hidden="1" customHeight="1">
      <c r="A608" s="235">
        <v>46097.0</v>
      </c>
      <c r="B608" s="172" t="s">
        <v>51</v>
      </c>
      <c r="C608" s="172">
        <v>32.0</v>
      </c>
      <c r="D608" s="172">
        <v>1.0</v>
      </c>
      <c r="E608" s="172" t="s">
        <v>39</v>
      </c>
      <c r="F608" s="172"/>
      <c r="G608" s="173" t="s">
        <v>993</v>
      </c>
      <c r="H608" s="172">
        <v>24.3</v>
      </c>
    </row>
    <row r="609" ht="15.75" hidden="1" customHeight="1">
      <c r="A609" s="235">
        <v>46097.0</v>
      </c>
      <c r="B609" s="172" t="s">
        <v>50</v>
      </c>
      <c r="C609" s="172">
        <v>34.0</v>
      </c>
      <c r="D609" s="172">
        <v>1.0</v>
      </c>
      <c r="E609" s="172" t="s">
        <v>331</v>
      </c>
      <c r="F609" s="172"/>
      <c r="G609" s="173" t="s">
        <v>994</v>
      </c>
      <c r="H609" s="172">
        <v>20.0</v>
      </c>
    </row>
    <row r="610" ht="15.75" hidden="1" customHeight="1">
      <c r="A610" s="233">
        <v>46098.0</v>
      </c>
      <c r="B610" s="172" t="s">
        <v>50</v>
      </c>
      <c r="C610" s="172">
        <v>34.0</v>
      </c>
      <c r="D610" s="172">
        <v>1.0</v>
      </c>
      <c r="E610" s="172" t="s">
        <v>411</v>
      </c>
      <c r="F610" s="172"/>
      <c r="G610" s="173" t="s">
        <v>995</v>
      </c>
      <c r="H610" s="172">
        <v>23.0</v>
      </c>
    </row>
    <row r="611" ht="15.75" hidden="1" customHeight="1">
      <c r="A611" s="235">
        <v>46098.0</v>
      </c>
      <c r="B611" s="172" t="s">
        <v>52</v>
      </c>
      <c r="C611" s="172">
        <v>30.0</v>
      </c>
      <c r="D611" s="172">
        <v>1.0</v>
      </c>
      <c r="E611" s="172" t="s">
        <v>331</v>
      </c>
      <c r="F611" s="172"/>
      <c r="G611" s="173" t="s">
        <v>996</v>
      </c>
      <c r="H611" s="172">
        <v>28.0</v>
      </c>
    </row>
    <row r="612" ht="15.75" hidden="1" customHeight="1">
      <c r="A612" s="235">
        <v>46098.0</v>
      </c>
      <c r="B612" s="172" t="s">
        <v>51</v>
      </c>
      <c r="C612" s="172">
        <v>32.0</v>
      </c>
      <c r="D612" s="172">
        <v>1.0</v>
      </c>
      <c r="E612" s="172" t="s">
        <v>411</v>
      </c>
      <c r="F612" s="172"/>
      <c r="G612" s="173" t="s">
        <v>997</v>
      </c>
      <c r="H612" s="172">
        <v>20.0</v>
      </c>
    </row>
    <row r="613" ht="15.75" hidden="1" customHeight="1">
      <c r="A613" s="235">
        <v>46098.0</v>
      </c>
      <c r="B613" s="172" t="s">
        <v>53</v>
      </c>
      <c r="C613" s="172">
        <v>32.0</v>
      </c>
      <c r="D613" s="172">
        <v>1.0</v>
      </c>
      <c r="E613" s="172" t="s">
        <v>422</v>
      </c>
      <c r="F613" s="172"/>
      <c r="G613" s="173" t="s">
        <v>998</v>
      </c>
      <c r="H613" s="172">
        <v>20.0</v>
      </c>
    </row>
    <row r="614" ht="15.75" hidden="1" customHeight="1">
      <c r="A614" s="235">
        <v>46098.0</v>
      </c>
      <c r="B614" s="172" t="s">
        <v>45</v>
      </c>
      <c r="C614" s="172">
        <v>36.0</v>
      </c>
      <c r="D614" s="172">
        <v>1.0</v>
      </c>
      <c r="E614" s="172" t="s">
        <v>422</v>
      </c>
      <c r="F614" s="172"/>
      <c r="G614" s="173" t="s">
        <v>999</v>
      </c>
      <c r="H614" s="172">
        <v>20.0</v>
      </c>
    </row>
    <row r="615" ht="15.75" hidden="1" customHeight="1">
      <c r="A615" s="235">
        <v>46098.0</v>
      </c>
      <c r="B615" s="172" t="s">
        <v>52</v>
      </c>
      <c r="C615" s="172">
        <v>36.0</v>
      </c>
      <c r="D615" s="172">
        <v>1.0</v>
      </c>
      <c r="E615" s="172" t="s">
        <v>422</v>
      </c>
      <c r="F615" s="172"/>
      <c r="G615" s="173" t="s">
        <v>1000</v>
      </c>
      <c r="H615" s="172">
        <v>20.0</v>
      </c>
    </row>
    <row r="616" ht="15.75" hidden="1" customHeight="1">
      <c r="A616" s="235">
        <v>46098.0</v>
      </c>
      <c r="B616" s="172" t="s">
        <v>52</v>
      </c>
      <c r="C616" s="172">
        <v>32.0</v>
      </c>
      <c r="D616" s="172">
        <v>1.0</v>
      </c>
      <c r="E616" s="172" t="s">
        <v>411</v>
      </c>
      <c r="F616" s="172"/>
      <c r="G616" s="173" t="s">
        <v>1001</v>
      </c>
      <c r="H616" s="172">
        <v>20.0</v>
      </c>
    </row>
    <row r="617" ht="15.75" hidden="1" customHeight="1">
      <c r="A617" s="235">
        <v>46098.0</v>
      </c>
      <c r="B617" s="172" t="s">
        <v>50</v>
      </c>
      <c r="C617" s="172">
        <v>34.0</v>
      </c>
      <c r="D617" s="172">
        <v>1.0</v>
      </c>
      <c r="E617" s="172" t="s">
        <v>39</v>
      </c>
      <c r="F617" s="172"/>
      <c r="G617" s="173" t="s">
        <v>1002</v>
      </c>
      <c r="H617" s="172">
        <v>25.2</v>
      </c>
    </row>
    <row r="618" ht="15.75" hidden="1" customHeight="1">
      <c r="A618" s="238">
        <v>46099.0</v>
      </c>
      <c r="B618" s="172" t="s">
        <v>52</v>
      </c>
      <c r="C618" s="172">
        <v>34.0</v>
      </c>
      <c r="D618" s="172">
        <v>1.0</v>
      </c>
      <c r="E618" s="172" t="s">
        <v>441</v>
      </c>
      <c r="F618" s="172"/>
      <c r="G618" s="173" t="s">
        <v>1003</v>
      </c>
      <c r="H618" s="172">
        <v>26.0</v>
      </c>
    </row>
    <row r="619" ht="15.75" hidden="1" customHeight="1">
      <c r="A619" s="252">
        <v>46099.0</v>
      </c>
      <c r="B619" s="172" t="s">
        <v>71</v>
      </c>
      <c r="C619" s="172">
        <v>34.0</v>
      </c>
      <c r="D619" s="172">
        <v>1.0</v>
      </c>
      <c r="E619" s="172" t="s">
        <v>411</v>
      </c>
      <c r="F619" s="172"/>
      <c r="G619" s="173" t="s">
        <v>1004</v>
      </c>
      <c r="H619" s="172">
        <v>22.0</v>
      </c>
    </row>
    <row r="620" ht="15.75" hidden="1" customHeight="1">
      <c r="A620" s="246">
        <v>46099.0</v>
      </c>
      <c r="B620" s="182" t="s">
        <v>52</v>
      </c>
      <c r="C620" s="182">
        <v>34.0</v>
      </c>
      <c r="D620" s="182">
        <v>1.0</v>
      </c>
      <c r="E620" s="182" t="s">
        <v>422</v>
      </c>
      <c r="F620" s="182"/>
      <c r="G620" s="184" t="s">
        <v>1005</v>
      </c>
      <c r="H620" s="182">
        <v>0.0</v>
      </c>
    </row>
    <row r="621" ht="15.75" hidden="1" customHeight="1">
      <c r="A621" s="235">
        <v>46099.0</v>
      </c>
      <c r="B621" s="172" t="s">
        <v>45</v>
      </c>
      <c r="C621" s="172">
        <v>36.0</v>
      </c>
      <c r="D621" s="172">
        <v>1.0</v>
      </c>
      <c r="E621" s="172" t="s">
        <v>331</v>
      </c>
      <c r="F621" s="172"/>
      <c r="G621" s="173" t="s">
        <v>1006</v>
      </c>
      <c r="H621" s="172">
        <v>28.0</v>
      </c>
    </row>
    <row r="622" ht="15.75" hidden="1" customHeight="1">
      <c r="A622" s="235">
        <v>46099.0</v>
      </c>
      <c r="B622" s="172" t="s">
        <v>50</v>
      </c>
      <c r="C622" s="172">
        <v>34.0</v>
      </c>
      <c r="D622" s="172">
        <v>1.0</v>
      </c>
      <c r="E622" s="172" t="s">
        <v>411</v>
      </c>
      <c r="F622" s="172"/>
      <c r="G622" s="173" t="s">
        <v>1007</v>
      </c>
      <c r="H622" s="172">
        <v>25.2</v>
      </c>
    </row>
    <row r="623" ht="17.25" hidden="1" customHeight="1">
      <c r="A623" s="235">
        <v>46099.0</v>
      </c>
      <c r="B623" s="172" t="s">
        <v>45</v>
      </c>
      <c r="C623" s="172">
        <v>36.0</v>
      </c>
      <c r="D623" s="172">
        <v>1.0</v>
      </c>
      <c r="E623" s="172" t="s">
        <v>441</v>
      </c>
      <c r="F623" s="172"/>
      <c r="G623" s="173" t="s">
        <v>1008</v>
      </c>
      <c r="H623" s="172">
        <v>15.6</v>
      </c>
    </row>
    <row r="624" ht="15.75" hidden="1" customHeight="1">
      <c r="A624" s="235">
        <v>46099.0</v>
      </c>
      <c r="B624" s="172" t="s">
        <v>52</v>
      </c>
      <c r="C624" s="172">
        <v>34.0</v>
      </c>
      <c r="D624" s="172">
        <v>1.0</v>
      </c>
      <c r="E624" s="172" t="s">
        <v>422</v>
      </c>
      <c r="F624" s="172"/>
      <c r="G624" s="173" t="s">
        <v>1009</v>
      </c>
      <c r="H624" s="172">
        <v>25.0</v>
      </c>
    </row>
    <row r="625" ht="15.75" hidden="1" customHeight="1">
      <c r="A625" s="233">
        <v>46100.0</v>
      </c>
      <c r="B625" s="172" t="s">
        <v>71</v>
      </c>
      <c r="C625" s="172">
        <v>34.0</v>
      </c>
      <c r="D625" s="172">
        <v>1.0</v>
      </c>
      <c r="E625" s="172" t="s">
        <v>411</v>
      </c>
      <c r="F625" s="172"/>
      <c r="G625" s="173" t="s">
        <v>1010</v>
      </c>
      <c r="H625" s="172">
        <v>24.0</v>
      </c>
    </row>
    <row r="626" ht="15.75" hidden="1" customHeight="1">
      <c r="A626" s="235">
        <v>46100.0</v>
      </c>
      <c r="B626" s="172" t="s">
        <v>63</v>
      </c>
      <c r="C626" s="172">
        <v>34.0</v>
      </c>
      <c r="D626" s="172">
        <v>1.0</v>
      </c>
      <c r="E626" s="172" t="s">
        <v>411</v>
      </c>
      <c r="F626" s="172"/>
      <c r="G626" s="173" t="s">
        <v>1011</v>
      </c>
      <c r="H626" s="172">
        <v>20.0</v>
      </c>
    </row>
    <row r="627" ht="15.75" hidden="1" customHeight="1">
      <c r="A627" s="235">
        <v>46100.0</v>
      </c>
      <c r="B627" s="172" t="s">
        <v>63</v>
      </c>
      <c r="C627" s="172">
        <v>34.0</v>
      </c>
      <c r="D627" s="172">
        <v>1.0</v>
      </c>
      <c r="E627" s="172" t="s">
        <v>411</v>
      </c>
      <c r="F627" s="172"/>
      <c r="G627" s="173" t="s">
        <v>1012</v>
      </c>
      <c r="H627" s="172">
        <v>20.0</v>
      </c>
    </row>
    <row r="628" ht="15.75" hidden="1" customHeight="1">
      <c r="A628" s="235">
        <v>46100.0</v>
      </c>
      <c r="B628" s="172" t="s">
        <v>50</v>
      </c>
      <c r="C628" s="172">
        <v>36.0</v>
      </c>
      <c r="D628" s="172">
        <v>1.0</v>
      </c>
      <c r="E628" s="172" t="s">
        <v>441</v>
      </c>
      <c r="F628" s="172"/>
      <c r="G628" s="173" t="s">
        <v>1013</v>
      </c>
      <c r="H628" s="172">
        <v>26.0</v>
      </c>
    </row>
    <row r="629" ht="15.75" hidden="1" customHeight="1">
      <c r="A629" s="235">
        <v>46100.0</v>
      </c>
      <c r="B629" s="172" t="s">
        <v>63</v>
      </c>
      <c r="C629" s="172">
        <v>32.0</v>
      </c>
      <c r="D629" s="172">
        <v>1.0</v>
      </c>
      <c r="E629" s="172" t="s">
        <v>441</v>
      </c>
      <c r="F629" s="172"/>
      <c r="G629" s="173" t="s">
        <v>1014</v>
      </c>
      <c r="H629" s="172">
        <v>20.0</v>
      </c>
    </row>
    <row r="630" ht="15.75" hidden="1" customHeight="1">
      <c r="A630" s="235">
        <v>46100.0</v>
      </c>
      <c r="B630" s="172" t="s">
        <v>51</v>
      </c>
      <c r="C630" s="172">
        <v>32.0</v>
      </c>
      <c r="D630" s="172">
        <v>1.0</v>
      </c>
      <c r="E630" s="172" t="s">
        <v>411</v>
      </c>
      <c r="F630" s="172"/>
      <c r="G630" s="173" t="s">
        <v>1015</v>
      </c>
      <c r="H630" s="172">
        <v>24.3</v>
      </c>
    </row>
    <row r="631" ht="15.75" hidden="1" customHeight="1">
      <c r="A631" s="235">
        <v>46100.0</v>
      </c>
      <c r="B631" s="172" t="s">
        <v>51</v>
      </c>
      <c r="C631" s="172">
        <v>32.0</v>
      </c>
      <c r="D631" s="172">
        <v>1.0</v>
      </c>
      <c r="E631" s="172" t="s">
        <v>411</v>
      </c>
      <c r="F631" s="172"/>
      <c r="G631" s="173" t="s">
        <v>1016</v>
      </c>
      <c r="H631" s="172">
        <v>25.0</v>
      </c>
    </row>
    <row r="632" ht="15.75" hidden="1" customHeight="1">
      <c r="A632" s="235">
        <v>46100.0</v>
      </c>
      <c r="B632" s="172" t="s">
        <v>52</v>
      </c>
      <c r="C632" s="172">
        <v>34.0</v>
      </c>
      <c r="D632" s="172">
        <v>1.0</v>
      </c>
      <c r="E632" s="172" t="s">
        <v>422</v>
      </c>
      <c r="F632" s="310"/>
      <c r="G632" s="311" t="s">
        <v>1017</v>
      </c>
      <c r="H632" s="172">
        <v>25.0</v>
      </c>
    </row>
    <row r="633" ht="15.75" hidden="1" customHeight="1">
      <c r="A633" s="235">
        <v>46100.0</v>
      </c>
      <c r="B633" s="172" t="s">
        <v>71</v>
      </c>
      <c r="C633" s="172">
        <v>34.0</v>
      </c>
      <c r="D633" s="172">
        <v>1.0</v>
      </c>
      <c r="E633" s="172" t="s">
        <v>411</v>
      </c>
      <c r="F633" s="172"/>
      <c r="G633" s="173" t="s">
        <v>1018</v>
      </c>
      <c r="H633" s="172">
        <v>22.5</v>
      </c>
    </row>
    <row r="634" ht="15.75" hidden="1" customHeight="1">
      <c r="A634" s="235">
        <v>46100.0</v>
      </c>
      <c r="B634" s="172" t="s">
        <v>51</v>
      </c>
      <c r="C634" s="172">
        <v>32.0</v>
      </c>
      <c r="D634" s="172">
        <v>1.0</v>
      </c>
      <c r="E634" s="172" t="s">
        <v>411</v>
      </c>
      <c r="F634" s="172"/>
      <c r="G634" s="173" t="s">
        <v>1019</v>
      </c>
      <c r="H634" s="172">
        <v>20.0</v>
      </c>
    </row>
    <row r="635" ht="15.75" hidden="1" customHeight="1">
      <c r="A635" s="235">
        <v>46100.0</v>
      </c>
      <c r="B635" s="172" t="s">
        <v>45</v>
      </c>
      <c r="C635" s="172">
        <v>36.0</v>
      </c>
      <c r="D635" s="172">
        <v>1.0</v>
      </c>
      <c r="E635" s="172" t="s">
        <v>331</v>
      </c>
      <c r="F635" s="172"/>
      <c r="G635" s="173" t="s">
        <v>1020</v>
      </c>
      <c r="H635" s="172">
        <v>20.0</v>
      </c>
    </row>
    <row r="636" ht="15.75" hidden="1" customHeight="1">
      <c r="A636" s="235">
        <v>46100.0</v>
      </c>
      <c r="B636" s="172" t="s">
        <v>71</v>
      </c>
      <c r="C636" s="172">
        <v>32.0</v>
      </c>
      <c r="D636" s="172">
        <v>1.0</v>
      </c>
      <c r="E636" s="172" t="s">
        <v>411</v>
      </c>
      <c r="F636" s="172"/>
      <c r="G636" s="173" t="s">
        <v>1021</v>
      </c>
      <c r="H636" s="172">
        <v>27.0</v>
      </c>
    </row>
    <row r="637" ht="15.75" hidden="1" customHeight="1">
      <c r="A637" s="238">
        <v>46101.0</v>
      </c>
      <c r="B637" s="172" t="s">
        <v>53</v>
      </c>
      <c r="C637" s="172">
        <v>32.0</v>
      </c>
      <c r="D637" s="172">
        <v>1.0</v>
      </c>
      <c r="E637" s="172" t="s">
        <v>39</v>
      </c>
      <c r="F637" s="172"/>
      <c r="G637" s="173" t="s">
        <v>1022</v>
      </c>
      <c r="H637" s="172">
        <v>20.0</v>
      </c>
    </row>
    <row r="638" ht="15.75" hidden="1" customHeight="1">
      <c r="A638" s="235">
        <v>46101.0</v>
      </c>
      <c r="B638" s="172" t="s">
        <v>52</v>
      </c>
      <c r="C638" s="172">
        <v>34.0</v>
      </c>
      <c r="D638" s="172">
        <v>1.0</v>
      </c>
      <c r="E638" s="172" t="s">
        <v>441</v>
      </c>
      <c r="F638" s="172"/>
      <c r="G638" s="173" t="s">
        <v>1023</v>
      </c>
      <c r="H638" s="172">
        <v>26.0</v>
      </c>
    </row>
    <row r="639" ht="15.75" hidden="1" customHeight="1">
      <c r="A639" s="235">
        <v>46101.0</v>
      </c>
      <c r="B639" s="172" t="s">
        <v>45</v>
      </c>
      <c r="C639" s="172">
        <v>36.0</v>
      </c>
      <c r="D639" s="172">
        <v>1.0</v>
      </c>
      <c r="E639" s="172" t="s">
        <v>422</v>
      </c>
      <c r="F639" s="172"/>
      <c r="G639" s="173" t="s">
        <v>1024</v>
      </c>
      <c r="H639" s="172">
        <v>25.0</v>
      </c>
    </row>
    <row r="640" ht="15.75" hidden="1" customHeight="1">
      <c r="A640" s="235">
        <v>46101.0</v>
      </c>
      <c r="B640" s="172" t="s">
        <v>53</v>
      </c>
      <c r="C640" s="172">
        <v>32.0</v>
      </c>
      <c r="D640" s="172">
        <v>1.0</v>
      </c>
      <c r="E640" s="172" t="s">
        <v>422</v>
      </c>
      <c r="F640" s="172"/>
      <c r="G640" s="173" t="s">
        <v>1025</v>
      </c>
      <c r="H640" s="172">
        <v>25.0</v>
      </c>
    </row>
    <row r="641" ht="15.75" hidden="1" customHeight="1">
      <c r="A641" s="233">
        <v>46102.0</v>
      </c>
      <c r="B641" s="172" t="s">
        <v>71</v>
      </c>
      <c r="C641" s="172">
        <v>32.0</v>
      </c>
      <c r="D641" s="172">
        <v>1.0</v>
      </c>
      <c r="E641" s="172" t="s">
        <v>411</v>
      </c>
      <c r="F641" s="172"/>
      <c r="G641" s="173" t="s">
        <v>1026</v>
      </c>
      <c r="H641" s="172">
        <v>24.7</v>
      </c>
    </row>
    <row r="642" ht="15.75" hidden="1" customHeight="1">
      <c r="A642" s="312">
        <v>46102.0</v>
      </c>
      <c r="B642" s="172" t="s">
        <v>52</v>
      </c>
      <c r="C642" s="172">
        <v>34.0</v>
      </c>
      <c r="D642" s="172">
        <v>1.0</v>
      </c>
      <c r="E642" s="172" t="s">
        <v>411</v>
      </c>
      <c r="F642" s="172"/>
      <c r="G642" s="173" t="s">
        <v>1027</v>
      </c>
      <c r="H642" s="172">
        <v>20.0</v>
      </c>
    </row>
    <row r="643" ht="15.75" hidden="1" customHeight="1">
      <c r="A643" s="235">
        <v>46102.0</v>
      </c>
      <c r="B643" s="172" t="s">
        <v>50</v>
      </c>
      <c r="C643" s="172">
        <v>36.0</v>
      </c>
      <c r="D643" s="172">
        <v>1.0</v>
      </c>
      <c r="E643" s="172" t="s">
        <v>39</v>
      </c>
      <c r="F643" s="172"/>
      <c r="G643" s="173" t="s">
        <v>1028</v>
      </c>
      <c r="H643" s="172">
        <v>22.0</v>
      </c>
    </row>
    <row r="644" ht="15.75" hidden="1" customHeight="1">
      <c r="A644" s="235">
        <v>46102.0</v>
      </c>
      <c r="B644" s="172" t="s">
        <v>53</v>
      </c>
      <c r="C644" s="172">
        <v>34.0</v>
      </c>
      <c r="D644" s="172">
        <v>1.0</v>
      </c>
      <c r="E644" s="172" t="s">
        <v>411</v>
      </c>
      <c r="F644" s="172"/>
      <c r="G644" s="173" t="s">
        <v>1029</v>
      </c>
      <c r="H644" s="172">
        <v>28.0</v>
      </c>
    </row>
    <row r="645" ht="15.75" hidden="1" customHeight="1">
      <c r="A645" s="235">
        <v>46102.0</v>
      </c>
      <c r="B645" s="172" t="s">
        <v>52</v>
      </c>
      <c r="C645" s="172">
        <v>34.0</v>
      </c>
      <c r="D645" s="172">
        <v>1.0</v>
      </c>
      <c r="E645" s="172" t="s">
        <v>422</v>
      </c>
      <c r="F645" s="172"/>
      <c r="G645" s="173" t="s">
        <v>1030</v>
      </c>
      <c r="H645" s="172">
        <v>25.0</v>
      </c>
    </row>
    <row r="646" ht="15.75" hidden="1" customHeight="1">
      <c r="A646" s="235">
        <v>46102.0</v>
      </c>
      <c r="B646" s="172" t="s">
        <v>52</v>
      </c>
      <c r="C646" s="172">
        <v>36.0</v>
      </c>
      <c r="D646" s="172">
        <v>1.0</v>
      </c>
      <c r="E646" s="172" t="s">
        <v>422</v>
      </c>
      <c r="F646" s="172"/>
      <c r="G646" s="173" t="s">
        <v>1031</v>
      </c>
      <c r="H646" s="172">
        <v>20.0</v>
      </c>
    </row>
    <row r="647" ht="15.75" hidden="1" customHeight="1">
      <c r="A647" s="235">
        <v>46102.0</v>
      </c>
      <c r="B647" s="172" t="s">
        <v>45</v>
      </c>
      <c r="C647" s="172">
        <v>36.0</v>
      </c>
      <c r="D647" s="172">
        <v>1.0</v>
      </c>
      <c r="E647" s="172" t="s">
        <v>422</v>
      </c>
      <c r="F647" s="172"/>
      <c r="G647" s="173" t="s">
        <v>1031</v>
      </c>
      <c r="H647" s="172">
        <v>20.0</v>
      </c>
    </row>
    <row r="648" ht="15.75" hidden="1" customHeight="1">
      <c r="A648" s="235">
        <v>46102.0</v>
      </c>
      <c r="B648" s="172" t="s">
        <v>45</v>
      </c>
      <c r="C648" s="172">
        <v>36.0</v>
      </c>
      <c r="D648" s="172">
        <v>1.0</v>
      </c>
      <c r="E648" s="172" t="s">
        <v>441</v>
      </c>
      <c r="F648" s="172"/>
      <c r="G648" s="173" t="s">
        <v>977</v>
      </c>
      <c r="H648" s="172">
        <v>26.0</v>
      </c>
    </row>
    <row r="649" ht="15.75" hidden="1" customHeight="1">
      <c r="A649" s="235">
        <v>46102.0</v>
      </c>
      <c r="B649" s="172" t="s">
        <v>52</v>
      </c>
      <c r="C649" s="172">
        <v>32.0</v>
      </c>
      <c r="D649" s="172">
        <v>1.0</v>
      </c>
      <c r="E649" s="172" t="s">
        <v>422</v>
      </c>
      <c r="F649" s="172"/>
      <c r="G649" s="173" t="s">
        <v>1032</v>
      </c>
      <c r="H649" s="172">
        <v>20.0</v>
      </c>
    </row>
    <row r="650" ht="15.75" hidden="1" customHeight="1">
      <c r="A650" s="235">
        <v>46102.0</v>
      </c>
      <c r="B650" s="172" t="s">
        <v>52</v>
      </c>
      <c r="C650" s="172">
        <v>34.0</v>
      </c>
      <c r="D650" s="172">
        <v>1.0</v>
      </c>
      <c r="E650" s="172" t="s">
        <v>411</v>
      </c>
      <c r="F650" s="172"/>
      <c r="G650" s="173" t="s">
        <v>1033</v>
      </c>
      <c r="H650" s="172">
        <v>28.0</v>
      </c>
    </row>
    <row r="651" ht="15.75" hidden="1" customHeight="1">
      <c r="A651" s="235">
        <v>46102.0</v>
      </c>
      <c r="B651" s="172" t="s">
        <v>52</v>
      </c>
      <c r="C651" s="172">
        <v>36.0</v>
      </c>
      <c r="D651" s="172">
        <v>1.0</v>
      </c>
      <c r="E651" s="172" t="s">
        <v>422</v>
      </c>
      <c r="F651" s="172"/>
      <c r="G651" s="173" t="s">
        <v>1034</v>
      </c>
      <c r="H651" s="172">
        <v>25.0</v>
      </c>
    </row>
    <row r="652" ht="15.75" hidden="1" customHeight="1">
      <c r="A652" s="235">
        <v>46102.0</v>
      </c>
      <c r="B652" s="172" t="s">
        <v>51</v>
      </c>
      <c r="C652" s="172">
        <v>32.0</v>
      </c>
      <c r="D652" s="172">
        <v>1.0</v>
      </c>
      <c r="E652" s="172" t="s">
        <v>411</v>
      </c>
      <c r="F652" s="172"/>
      <c r="G652" s="173" t="s">
        <v>1035</v>
      </c>
      <c r="H652" s="172">
        <v>22.0</v>
      </c>
    </row>
    <row r="653" ht="15.75" hidden="1" customHeight="1">
      <c r="A653" s="235">
        <v>46102.0</v>
      </c>
      <c r="B653" s="172" t="s">
        <v>45</v>
      </c>
      <c r="C653" s="172">
        <v>36.0</v>
      </c>
      <c r="D653" s="172">
        <v>1.0</v>
      </c>
      <c r="E653" s="172" t="s">
        <v>422</v>
      </c>
      <c r="F653" s="172"/>
      <c r="G653" s="173" t="s">
        <v>1036</v>
      </c>
      <c r="H653" s="172">
        <v>20.0</v>
      </c>
    </row>
    <row r="654" ht="15.75" hidden="1" customHeight="1">
      <c r="A654" s="233">
        <v>46103.0</v>
      </c>
      <c r="B654" s="172" t="s">
        <v>52</v>
      </c>
      <c r="C654" s="172">
        <v>36.0</v>
      </c>
      <c r="D654" s="172">
        <v>1.0</v>
      </c>
      <c r="E654" s="172" t="s">
        <v>422</v>
      </c>
      <c r="F654" s="172"/>
      <c r="G654" s="173" t="s">
        <v>1037</v>
      </c>
      <c r="H654" s="172">
        <v>20.0</v>
      </c>
    </row>
    <row r="655" ht="15.75" hidden="1" customHeight="1">
      <c r="A655" s="235">
        <v>46103.0</v>
      </c>
      <c r="B655" s="172" t="s">
        <v>45</v>
      </c>
      <c r="C655" s="172">
        <v>36.0</v>
      </c>
      <c r="D655" s="172">
        <v>1.0</v>
      </c>
      <c r="E655" s="172" t="s">
        <v>422</v>
      </c>
      <c r="F655" s="305"/>
      <c r="G655" s="306" t="s">
        <v>1038</v>
      </c>
      <c r="H655" s="172">
        <v>23.0</v>
      </c>
    </row>
    <row r="656" ht="15.75" hidden="1" customHeight="1">
      <c r="A656" s="235">
        <v>46103.0</v>
      </c>
      <c r="B656" s="172" t="s">
        <v>45</v>
      </c>
      <c r="C656" s="172">
        <v>36.0</v>
      </c>
      <c r="D656" s="172">
        <v>1.0</v>
      </c>
      <c r="E656" s="172" t="s">
        <v>441</v>
      </c>
      <c r="F656" s="172"/>
      <c r="G656" s="173" t="s">
        <v>1039</v>
      </c>
      <c r="H656" s="172">
        <v>20.0</v>
      </c>
    </row>
    <row r="657" ht="15.75" hidden="1" customHeight="1">
      <c r="A657" s="235">
        <v>46103.0</v>
      </c>
      <c r="B657" s="172" t="s">
        <v>71</v>
      </c>
      <c r="C657" s="172">
        <v>32.0</v>
      </c>
      <c r="D657" s="172">
        <v>1.0</v>
      </c>
      <c r="E657" s="172" t="s">
        <v>411</v>
      </c>
      <c r="F657" s="172"/>
      <c r="G657" s="173" t="s">
        <v>1040</v>
      </c>
      <c r="H657" s="172">
        <v>24.7</v>
      </c>
    </row>
    <row r="658" ht="15.75" hidden="1" customHeight="1">
      <c r="A658" s="235">
        <v>46103.0</v>
      </c>
      <c r="B658" s="172" t="s">
        <v>50</v>
      </c>
      <c r="C658" s="172">
        <v>34.0</v>
      </c>
      <c r="D658" s="172">
        <v>1.0</v>
      </c>
      <c r="E658" s="172" t="s">
        <v>39</v>
      </c>
      <c r="F658" s="172"/>
      <c r="G658" s="173" t="s">
        <v>1041</v>
      </c>
      <c r="H658" s="172">
        <v>25.0</v>
      </c>
    </row>
    <row r="659" ht="15.75" hidden="1" customHeight="1">
      <c r="A659" s="235">
        <v>46103.0</v>
      </c>
      <c r="B659" s="172" t="s">
        <v>53</v>
      </c>
      <c r="C659" s="172">
        <v>32.0</v>
      </c>
      <c r="D659" s="172">
        <v>1.0</v>
      </c>
      <c r="E659" s="172" t="s">
        <v>422</v>
      </c>
      <c r="F659" s="305"/>
      <c r="G659" s="306" t="s">
        <v>1042</v>
      </c>
      <c r="H659" s="172">
        <v>20.0</v>
      </c>
    </row>
    <row r="660" ht="15.75" hidden="1" customHeight="1">
      <c r="A660" s="235">
        <v>46103.0</v>
      </c>
      <c r="B660" s="172" t="s">
        <v>45</v>
      </c>
      <c r="C660" s="172">
        <v>36.0</v>
      </c>
      <c r="D660" s="172">
        <v>1.0</v>
      </c>
      <c r="E660" s="172" t="s">
        <v>422</v>
      </c>
      <c r="F660" s="161"/>
      <c r="H660" s="172">
        <v>20.0</v>
      </c>
    </row>
    <row r="661" hidden="1">
      <c r="A661" s="235">
        <v>46103.0</v>
      </c>
      <c r="B661" s="172" t="s">
        <v>45</v>
      </c>
      <c r="C661" s="172">
        <v>36.0</v>
      </c>
      <c r="D661" s="172">
        <v>1.0</v>
      </c>
      <c r="E661" s="172" t="s">
        <v>411</v>
      </c>
      <c r="F661" s="172"/>
      <c r="G661" s="173" t="s">
        <v>1043</v>
      </c>
      <c r="H661" s="172">
        <v>28.0</v>
      </c>
    </row>
    <row r="662" ht="15.75" hidden="1" customHeight="1">
      <c r="A662" s="235">
        <v>46103.0</v>
      </c>
      <c r="B662" s="172" t="s">
        <v>71</v>
      </c>
      <c r="C662" s="172">
        <v>34.0</v>
      </c>
      <c r="D662" s="172">
        <v>1.0</v>
      </c>
      <c r="E662" s="172" t="s">
        <v>411</v>
      </c>
      <c r="F662" s="172"/>
      <c r="G662" s="173" t="s">
        <v>1044</v>
      </c>
      <c r="H662" s="172">
        <v>27.0</v>
      </c>
    </row>
    <row r="663" ht="15.75" hidden="1" customHeight="1">
      <c r="A663" s="235">
        <v>46103.0</v>
      </c>
      <c r="B663" s="172" t="s">
        <v>51</v>
      </c>
      <c r="C663" s="172">
        <v>32.0</v>
      </c>
      <c r="D663" s="172">
        <v>1.0</v>
      </c>
      <c r="E663" s="172" t="s">
        <v>411</v>
      </c>
      <c r="F663" s="172"/>
      <c r="G663" s="173" t="s">
        <v>1045</v>
      </c>
      <c r="H663" s="172">
        <v>25.0</v>
      </c>
    </row>
    <row r="664" ht="15.75" hidden="1" customHeight="1">
      <c r="A664" s="235">
        <v>46103.0</v>
      </c>
      <c r="B664" s="172" t="s">
        <v>50</v>
      </c>
      <c r="C664" s="172">
        <v>34.0</v>
      </c>
      <c r="D664" s="172">
        <v>1.0</v>
      </c>
      <c r="E664" s="172" t="s">
        <v>411</v>
      </c>
      <c r="F664" s="172"/>
      <c r="G664" s="173" t="s">
        <v>1046</v>
      </c>
      <c r="H664" s="172">
        <v>23.0</v>
      </c>
    </row>
    <row r="665" ht="15.75" hidden="1" customHeight="1">
      <c r="A665" s="235">
        <v>46103.0</v>
      </c>
      <c r="B665" s="172" t="s">
        <v>50</v>
      </c>
      <c r="C665" s="172">
        <v>34.0</v>
      </c>
      <c r="D665" s="172">
        <v>1.0</v>
      </c>
      <c r="E665" s="172" t="s">
        <v>411</v>
      </c>
      <c r="F665" s="172"/>
      <c r="G665" s="173" t="s">
        <v>1047</v>
      </c>
      <c r="H665" s="172">
        <v>27.0</v>
      </c>
    </row>
    <row r="666" ht="15.75" hidden="1" customHeight="1">
      <c r="A666" s="233">
        <v>46104.0</v>
      </c>
      <c r="B666" s="172" t="s">
        <v>71</v>
      </c>
      <c r="C666" s="172">
        <v>34.0</v>
      </c>
      <c r="D666" s="172">
        <v>1.0</v>
      </c>
      <c r="E666" s="172" t="s">
        <v>411</v>
      </c>
      <c r="F666" s="172"/>
      <c r="G666" s="173" t="s">
        <v>1048</v>
      </c>
      <c r="H666" s="172">
        <v>20.0</v>
      </c>
      <c r="I666" s="163"/>
    </row>
    <row r="667" ht="15.75" hidden="1" customHeight="1">
      <c r="A667" s="235">
        <v>46104.0</v>
      </c>
      <c r="B667" s="172" t="s">
        <v>50</v>
      </c>
      <c r="C667" s="172">
        <v>34.0</v>
      </c>
      <c r="D667" s="172">
        <v>1.0</v>
      </c>
      <c r="E667" s="172" t="s">
        <v>411</v>
      </c>
      <c r="F667" s="172"/>
      <c r="G667" s="173" t="s">
        <v>1049</v>
      </c>
      <c r="H667" s="172">
        <v>22.0</v>
      </c>
    </row>
    <row r="668" ht="15.75" hidden="1" customHeight="1">
      <c r="A668" s="235">
        <v>46104.0</v>
      </c>
      <c r="B668" s="172" t="s">
        <v>53</v>
      </c>
      <c r="C668" s="172">
        <v>34.0</v>
      </c>
      <c r="D668" s="172">
        <v>1.0</v>
      </c>
      <c r="E668" s="172" t="s">
        <v>411</v>
      </c>
      <c r="F668" s="172"/>
      <c r="G668" s="173" t="s">
        <v>1050</v>
      </c>
      <c r="H668" s="172">
        <v>20.0</v>
      </c>
    </row>
    <row r="669" ht="15.75" hidden="1" customHeight="1">
      <c r="A669" s="235">
        <v>46104.0</v>
      </c>
      <c r="B669" s="172" t="s">
        <v>71</v>
      </c>
      <c r="C669" s="172">
        <v>32.0</v>
      </c>
      <c r="D669" s="172">
        <v>1.0</v>
      </c>
      <c r="E669" s="172" t="s">
        <v>411</v>
      </c>
      <c r="F669" s="172"/>
      <c r="G669" s="173" t="s">
        <v>1022</v>
      </c>
      <c r="H669" s="172">
        <v>25.0</v>
      </c>
    </row>
    <row r="670" ht="15.75" hidden="1" customHeight="1">
      <c r="A670" s="238">
        <v>46105.0</v>
      </c>
      <c r="B670" s="172" t="s">
        <v>50</v>
      </c>
      <c r="C670" s="172">
        <v>32.0</v>
      </c>
      <c r="D670" s="172">
        <v>1.0</v>
      </c>
      <c r="E670" s="172" t="s">
        <v>441</v>
      </c>
      <c r="F670" s="172"/>
      <c r="G670" s="173" t="s">
        <v>1051</v>
      </c>
      <c r="H670" s="172">
        <v>20.0</v>
      </c>
    </row>
    <row r="671" ht="15.75" hidden="1" customHeight="1">
      <c r="A671" s="235">
        <v>46105.0</v>
      </c>
      <c r="B671" s="172" t="s">
        <v>50</v>
      </c>
      <c r="C671" s="172">
        <v>34.0</v>
      </c>
      <c r="D671" s="172">
        <v>1.0</v>
      </c>
      <c r="E671" s="172" t="s">
        <v>411</v>
      </c>
      <c r="F671" s="172"/>
      <c r="G671" s="173" t="s">
        <v>1052</v>
      </c>
      <c r="H671" s="172">
        <v>20.0</v>
      </c>
    </row>
    <row r="672" ht="15.75" hidden="1" customHeight="1">
      <c r="A672" s="235">
        <v>46105.0</v>
      </c>
      <c r="B672" s="172" t="s">
        <v>52</v>
      </c>
      <c r="C672" s="172">
        <v>36.0</v>
      </c>
      <c r="D672" s="172">
        <v>1.0</v>
      </c>
      <c r="E672" s="172" t="s">
        <v>422</v>
      </c>
      <c r="F672" s="305"/>
      <c r="G672" s="306" t="s">
        <v>1053</v>
      </c>
      <c r="H672" s="172">
        <v>20.0</v>
      </c>
    </row>
    <row r="673" ht="15.75" hidden="1" customHeight="1">
      <c r="A673" s="235">
        <v>46105.0</v>
      </c>
      <c r="B673" s="172" t="s">
        <v>53</v>
      </c>
      <c r="C673" s="172">
        <v>34.0</v>
      </c>
      <c r="D673" s="172">
        <v>1.0</v>
      </c>
      <c r="E673" s="172" t="s">
        <v>411</v>
      </c>
      <c r="F673" s="172"/>
      <c r="G673" s="173" t="s">
        <v>1054</v>
      </c>
      <c r="H673" s="172">
        <v>25.2</v>
      </c>
    </row>
    <row r="674" ht="15.75" hidden="1" customHeight="1">
      <c r="A674" s="235">
        <v>46105.0</v>
      </c>
      <c r="B674" s="172" t="s">
        <v>52</v>
      </c>
      <c r="C674" s="172">
        <v>34.0</v>
      </c>
      <c r="D674" s="172">
        <v>1.0</v>
      </c>
      <c r="E674" s="172" t="s">
        <v>422</v>
      </c>
      <c r="F674" s="172"/>
      <c r="G674" s="173" t="s">
        <v>1055</v>
      </c>
      <c r="H674" s="172">
        <v>20.0</v>
      </c>
    </row>
    <row r="675" ht="15.75" hidden="1" customHeight="1">
      <c r="A675" s="235">
        <v>46105.0</v>
      </c>
      <c r="B675" s="172" t="s">
        <v>50</v>
      </c>
      <c r="C675" s="172">
        <v>34.0</v>
      </c>
      <c r="D675" s="172">
        <v>1.0</v>
      </c>
      <c r="E675" s="172" t="s">
        <v>411</v>
      </c>
      <c r="F675" s="172"/>
      <c r="G675" s="173" t="s">
        <v>1056</v>
      </c>
      <c r="H675" s="172">
        <v>23.0</v>
      </c>
    </row>
    <row r="676" ht="15.75" hidden="1" customHeight="1">
      <c r="A676" s="235">
        <v>46105.0</v>
      </c>
      <c r="B676" s="172" t="s">
        <v>50</v>
      </c>
      <c r="C676" s="172">
        <v>32.0</v>
      </c>
      <c r="D676" s="172">
        <v>1.0</v>
      </c>
      <c r="E676" s="172" t="s">
        <v>441</v>
      </c>
      <c r="F676" s="172"/>
      <c r="G676" s="173" t="s">
        <v>1057</v>
      </c>
      <c r="H676" s="172">
        <v>26.0</v>
      </c>
    </row>
    <row r="677" ht="15.75" hidden="1" customHeight="1">
      <c r="A677" s="251">
        <v>46106.0</v>
      </c>
      <c r="B677" s="172" t="s">
        <v>52</v>
      </c>
      <c r="C677" s="172">
        <v>34.0</v>
      </c>
      <c r="D677" s="172">
        <v>1.0</v>
      </c>
      <c r="E677" s="172" t="s">
        <v>411</v>
      </c>
      <c r="F677" s="172"/>
      <c r="G677" s="173" t="s">
        <v>1058</v>
      </c>
      <c r="H677" s="172">
        <v>28.0</v>
      </c>
    </row>
    <row r="678" ht="15.75" hidden="1" customHeight="1">
      <c r="A678" s="235">
        <v>46106.0</v>
      </c>
      <c r="B678" s="172" t="s">
        <v>51</v>
      </c>
      <c r="C678" s="172">
        <v>32.0</v>
      </c>
      <c r="D678" s="172">
        <v>1.0</v>
      </c>
      <c r="E678" s="172" t="s">
        <v>422</v>
      </c>
      <c r="F678" s="305"/>
      <c r="G678" s="306" t="s">
        <v>1059</v>
      </c>
      <c r="H678" s="172">
        <v>20.0</v>
      </c>
    </row>
    <row r="679" ht="15.75" hidden="1" customHeight="1">
      <c r="A679" s="235">
        <v>46106.0</v>
      </c>
      <c r="B679" s="172" t="s">
        <v>51</v>
      </c>
      <c r="C679" s="172">
        <v>32.0</v>
      </c>
      <c r="D679" s="172">
        <v>1.0</v>
      </c>
      <c r="E679" s="172" t="s">
        <v>411</v>
      </c>
      <c r="F679" s="172"/>
      <c r="G679" s="173" t="s">
        <v>1060</v>
      </c>
      <c r="H679" s="172">
        <v>28.0</v>
      </c>
    </row>
    <row r="680" ht="15.75" hidden="1" customHeight="1">
      <c r="A680" s="235">
        <v>46106.0</v>
      </c>
      <c r="B680" s="172" t="s">
        <v>50</v>
      </c>
      <c r="C680" s="172">
        <v>34.0</v>
      </c>
      <c r="D680" s="172">
        <v>1.0</v>
      </c>
      <c r="E680" s="172" t="s">
        <v>411</v>
      </c>
      <c r="F680" s="172"/>
      <c r="G680" s="173" t="s">
        <v>1061</v>
      </c>
      <c r="H680" s="172">
        <v>28.0</v>
      </c>
    </row>
    <row r="681" ht="15.75" hidden="1" customHeight="1">
      <c r="A681" s="235">
        <v>46106.0</v>
      </c>
      <c r="B681" s="172" t="s">
        <v>52</v>
      </c>
      <c r="C681" s="172">
        <v>34.0</v>
      </c>
      <c r="D681" s="172">
        <v>1.0</v>
      </c>
      <c r="E681" s="172" t="s">
        <v>39</v>
      </c>
      <c r="F681" s="172"/>
      <c r="G681" s="173" t="s">
        <v>1062</v>
      </c>
      <c r="H681" s="172">
        <v>24.0</v>
      </c>
    </row>
    <row r="682" ht="15.75" hidden="1" customHeight="1">
      <c r="A682" s="235">
        <v>46106.0</v>
      </c>
      <c r="B682" s="172" t="s">
        <v>52</v>
      </c>
      <c r="C682" s="172">
        <v>34.0</v>
      </c>
      <c r="D682" s="172">
        <v>1.0</v>
      </c>
      <c r="E682" s="172" t="s">
        <v>411</v>
      </c>
      <c r="F682" s="172"/>
      <c r="G682" s="173" t="s">
        <v>1063</v>
      </c>
      <c r="H682" s="172">
        <v>25.0</v>
      </c>
    </row>
    <row r="683" ht="15.75" hidden="1" customHeight="1">
      <c r="A683" s="238">
        <v>46107.0</v>
      </c>
      <c r="B683" s="172" t="s">
        <v>71</v>
      </c>
      <c r="C683" s="172">
        <v>36.0</v>
      </c>
      <c r="D683" s="172">
        <v>1.0</v>
      </c>
      <c r="E683" s="172" t="s">
        <v>441</v>
      </c>
      <c r="F683" s="172"/>
      <c r="G683" s="173" t="s">
        <v>1064</v>
      </c>
      <c r="H683" s="172">
        <v>20.0</v>
      </c>
    </row>
    <row r="684" ht="15.75" hidden="1" customHeight="1">
      <c r="A684" s="234">
        <v>46107.0</v>
      </c>
      <c r="B684" s="172" t="s">
        <v>50</v>
      </c>
      <c r="C684" s="172">
        <v>34.0</v>
      </c>
      <c r="D684" s="172">
        <v>1.0</v>
      </c>
      <c r="E684" s="172" t="s">
        <v>441</v>
      </c>
      <c r="F684" s="172"/>
      <c r="G684" s="173" t="s">
        <v>1065</v>
      </c>
      <c r="H684" s="172">
        <v>26.0</v>
      </c>
    </row>
    <row r="685" ht="15.75" hidden="1" customHeight="1">
      <c r="A685" s="235">
        <v>46107.0</v>
      </c>
      <c r="B685" s="172" t="s">
        <v>52</v>
      </c>
      <c r="C685" s="172">
        <v>34.0</v>
      </c>
      <c r="D685" s="172">
        <v>1.0</v>
      </c>
      <c r="E685" s="172" t="s">
        <v>422</v>
      </c>
      <c r="F685" s="305"/>
      <c r="G685" s="306" t="s">
        <v>1066</v>
      </c>
      <c r="H685" s="172">
        <v>20.0</v>
      </c>
    </row>
    <row r="686" ht="15.75" hidden="1" customHeight="1">
      <c r="A686" s="235">
        <v>46107.0</v>
      </c>
      <c r="B686" s="172" t="s">
        <v>50</v>
      </c>
      <c r="C686" s="172">
        <v>34.0</v>
      </c>
      <c r="D686" s="172">
        <v>1.0</v>
      </c>
      <c r="E686" s="172" t="s">
        <v>441</v>
      </c>
      <c r="F686" s="172"/>
      <c r="G686" s="173" t="s">
        <v>1067</v>
      </c>
      <c r="H686" s="172">
        <v>26.0</v>
      </c>
    </row>
    <row r="687" ht="15.75" hidden="1" customHeight="1">
      <c r="A687" s="235">
        <v>46107.0</v>
      </c>
      <c r="B687" s="172" t="s">
        <v>71</v>
      </c>
      <c r="C687" s="172">
        <v>34.0</v>
      </c>
      <c r="D687" s="172">
        <v>1.0</v>
      </c>
      <c r="E687" s="172" t="s">
        <v>411</v>
      </c>
      <c r="F687" s="172"/>
      <c r="G687" s="173" t="s">
        <v>1068</v>
      </c>
      <c r="H687" s="172">
        <v>20.0</v>
      </c>
    </row>
    <row r="688" ht="15.75" hidden="1" customHeight="1">
      <c r="A688" s="235">
        <v>46107.0</v>
      </c>
      <c r="B688" s="172" t="s">
        <v>53</v>
      </c>
      <c r="C688" s="172">
        <v>32.0</v>
      </c>
      <c r="D688" s="172">
        <v>1.0</v>
      </c>
      <c r="E688" s="172" t="s">
        <v>411</v>
      </c>
      <c r="F688" s="172"/>
      <c r="G688" s="173" t="s">
        <v>1069</v>
      </c>
      <c r="H688" s="172">
        <v>25.0</v>
      </c>
    </row>
    <row r="689" ht="15.75" hidden="1" customHeight="1">
      <c r="A689" s="246">
        <v>46108.0</v>
      </c>
      <c r="B689" s="182" t="s">
        <v>50</v>
      </c>
      <c r="C689" s="182">
        <v>32.0</v>
      </c>
      <c r="D689" s="182">
        <v>1.0</v>
      </c>
      <c r="E689" s="182" t="s">
        <v>441</v>
      </c>
      <c r="F689" s="182"/>
      <c r="G689" s="184" t="s">
        <v>1070</v>
      </c>
      <c r="H689" s="182">
        <v>0.0</v>
      </c>
    </row>
    <row r="690" ht="15.75" hidden="1" customHeight="1">
      <c r="A690" s="235">
        <v>46108.0</v>
      </c>
      <c r="B690" s="172" t="s">
        <v>50</v>
      </c>
      <c r="C690" s="172">
        <v>34.0</v>
      </c>
      <c r="D690" s="172">
        <v>1.0</v>
      </c>
      <c r="E690" s="172" t="s">
        <v>411</v>
      </c>
      <c r="F690" s="172"/>
      <c r="G690" s="173" t="s">
        <v>1071</v>
      </c>
      <c r="H690" s="172">
        <v>28.0</v>
      </c>
    </row>
    <row r="691" ht="15.75" hidden="1" customHeight="1">
      <c r="A691" s="235">
        <v>46108.0</v>
      </c>
      <c r="B691" s="172" t="s">
        <v>50</v>
      </c>
      <c r="C691" s="172">
        <v>34.0</v>
      </c>
      <c r="D691" s="172">
        <v>1.0</v>
      </c>
      <c r="E691" s="172" t="s">
        <v>39</v>
      </c>
      <c r="F691" s="172"/>
      <c r="G691" s="173" t="s">
        <v>1072</v>
      </c>
      <c r="H691" s="172">
        <v>25.99</v>
      </c>
    </row>
    <row r="692" ht="15.75" hidden="1" customHeight="1">
      <c r="A692" s="246">
        <v>46108.0</v>
      </c>
      <c r="B692" s="182" t="s">
        <v>71</v>
      </c>
      <c r="C692" s="182">
        <v>32.0</v>
      </c>
      <c r="D692" s="182">
        <v>1.0</v>
      </c>
      <c r="E692" s="182" t="s">
        <v>411</v>
      </c>
      <c r="F692" s="182"/>
      <c r="G692" s="184" t="s">
        <v>1073</v>
      </c>
      <c r="H692" s="182">
        <v>12.0</v>
      </c>
      <c r="I692" s="173" t="s">
        <v>1074</v>
      </c>
    </row>
    <row r="693" ht="15.75" hidden="1" customHeight="1">
      <c r="A693" s="235">
        <v>46108.0</v>
      </c>
      <c r="B693" s="172" t="s">
        <v>52</v>
      </c>
      <c r="C693" s="172">
        <v>32.0</v>
      </c>
      <c r="D693" s="172">
        <v>1.0</v>
      </c>
      <c r="E693" s="172" t="s">
        <v>411</v>
      </c>
      <c r="F693" s="172"/>
      <c r="G693" s="173" t="s">
        <v>1075</v>
      </c>
      <c r="H693" s="172">
        <v>20.0</v>
      </c>
    </row>
    <row r="694" ht="15.75" hidden="1" customHeight="1">
      <c r="A694" s="235">
        <v>46108.0</v>
      </c>
      <c r="B694" s="172" t="s">
        <v>63</v>
      </c>
      <c r="C694" s="172">
        <v>34.0</v>
      </c>
      <c r="D694" s="172">
        <v>1.0</v>
      </c>
      <c r="E694" s="172" t="s">
        <v>39</v>
      </c>
      <c r="F694" s="172"/>
      <c r="G694" s="173" t="s">
        <v>1076</v>
      </c>
      <c r="H694" s="172">
        <v>25.99</v>
      </c>
    </row>
    <row r="695" ht="15.75" hidden="1" customHeight="1">
      <c r="A695" s="235">
        <v>46108.0</v>
      </c>
      <c r="B695" s="172" t="s">
        <v>53</v>
      </c>
      <c r="C695" s="172">
        <v>32.0</v>
      </c>
      <c r="D695" s="172">
        <v>1.0</v>
      </c>
      <c r="E695" s="172" t="s">
        <v>39</v>
      </c>
      <c r="F695" s="172"/>
      <c r="G695" s="173" t="s">
        <v>1077</v>
      </c>
      <c r="H695" s="172">
        <v>25.495</v>
      </c>
    </row>
    <row r="696" ht="15.75" hidden="1" customHeight="1">
      <c r="A696" s="235">
        <v>46108.0</v>
      </c>
      <c r="B696" s="172" t="s">
        <v>52</v>
      </c>
      <c r="C696" s="172">
        <v>32.0</v>
      </c>
      <c r="D696" s="172">
        <v>1.0</v>
      </c>
      <c r="E696" s="172" t="s">
        <v>39</v>
      </c>
      <c r="F696" s="172"/>
      <c r="G696" s="173" t="s">
        <v>1077</v>
      </c>
      <c r="H696" s="172">
        <v>25.495</v>
      </c>
    </row>
    <row r="697" ht="15.75" hidden="1" customHeight="1">
      <c r="A697" s="235">
        <v>46108.0</v>
      </c>
      <c r="B697" s="172" t="s">
        <v>51</v>
      </c>
      <c r="C697" s="172">
        <v>32.0</v>
      </c>
      <c r="D697" s="172">
        <v>1.0</v>
      </c>
      <c r="E697" s="172" t="s">
        <v>411</v>
      </c>
      <c r="F697" s="172"/>
      <c r="G697" s="173" t="s">
        <v>1078</v>
      </c>
      <c r="H697" s="172">
        <v>21.0</v>
      </c>
    </row>
    <row r="698" ht="15.75" hidden="1" customHeight="1">
      <c r="A698" s="233">
        <v>46109.0</v>
      </c>
      <c r="B698" s="172" t="s">
        <v>52</v>
      </c>
      <c r="C698" s="172">
        <v>36.0</v>
      </c>
      <c r="D698" s="172">
        <v>1.0</v>
      </c>
      <c r="E698" s="172" t="s">
        <v>411</v>
      </c>
      <c r="F698" s="172"/>
      <c r="G698" s="173" t="s">
        <v>1079</v>
      </c>
      <c r="H698" s="172">
        <v>28.0</v>
      </c>
    </row>
    <row r="699" ht="15.75" hidden="1" customHeight="1">
      <c r="A699" s="235">
        <v>46109.0</v>
      </c>
      <c r="B699" s="172" t="s">
        <v>50</v>
      </c>
      <c r="C699" s="172">
        <v>32.0</v>
      </c>
      <c r="D699" s="172">
        <v>1.0</v>
      </c>
      <c r="E699" s="172" t="s">
        <v>411</v>
      </c>
      <c r="F699" s="172"/>
      <c r="G699" s="173" t="s">
        <v>1080</v>
      </c>
      <c r="H699" s="172">
        <v>28.0</v>
      </c>
    </row>
    <row r="700" ht="15.75" hidden="1" customHeight="1">
      <c r="A700" s="235">
        <v>46109.0</v>
      </c>
      <c r="B700" s="172" t="s">
        <v>71</v>
      </c>
      <c r="C700" s="172">
        <v>34.0</v>
      </c>
      <c r="D700" s="172">
        <v>1.0</v>
      </c>
      <c r="E700" s="172" t="s">
        <v>411</v>
      </c>
      <c r="F700" s="172"/>
      <c r="G700" s="173" t="s">
        <v>1081</v>
      </c>
      <c r="H700" s="172">
        <v>25.0</v>
      </c>
    </row>
    <row r="701" ht="15.75" hidden="1" customHeight="1">
      <c r="A701" s="235">
        <v>46109.0</v>
      </c>
      <c r="B701" s="172" t="s">
        <v>50</v>
      </c>
      <c r="C701" s="172">
        <v>32.0</v>
      </c>
      <c r="D701" s="172">
        <v>1.0</v>
      </c>
      <c r="E701" s="172" t="s">
        <v>411</v>
      </c>
      <c r="F701" s="172"/>
      <c r="G701" s="173" t="s">
        <v>1082</v>
      </c>
      <c r="H701" s="172">
        <v>28.0</v>
      </c>
    </row>
    <row r="702" ht="15.75" hidden="1" customHeight="1">
      <c r="A702" s="235">
        <v>46109.0</v>
      </c>
      <c r="B702" s="172" t="s">
        <v>50</v>
      </c>
      <c r="C702" s="172">
        <v>32.0</v>
      </c>
      <c r="D702" s="172">
        <v>1.0</v>
      </c>
      <c r="E702" s="172" t="s">
        <v>39</v>
      </c>
      <c r="F702" s="172"/>
      <c r="G702" s="172" t="s">
        <v>1083</v>
      </c>
      <c r="H702" s="172">
        <v>20.0</v>
      </c>
    </row>
    <row r="703" ht="15.75" hidden="1" customHeight="1">
      <c r="A703" s="235">
        <v>46109.0</v>
      </c>
      <c r="B703" s="172" t="s">
        <v>52</v>
      </c>
      <c r="C703" s="172">
        <v>32.0</v>
      </c>
      <c r="D703" s="172">
        <v>1.0</v>
      </c>
      <c r="E703" s="172" t="s">
        <v>39</v>
      </c>
      <c r="F703" s="172"/>
      <c r="G703" s="173" t="s">
        <v>1083</v>
      </c>
      <c r="H703" s="172">
        <v>20.0</v>
      </c>
    </row>
    <row r="704" ht="15.75" hidden="1" customHeight="1">
      <c r="A704" s="235">
        <v>46109.0</v>
      </c>
      <c r="B704" s="172" t="s">
        <v>50</v>
      </c>
      <c r="C704" s="172">
        <v>34.0</v>
      </c>
      <c r="D704" s="172">
        <v>1.0</v>
      </c>
      <c r="E704" s="172" t="s">
        <v>411</v>
      </c>
      <c r="F704" s="172"/>
      <c r="G704" s="173" t="s">
        <v>1084</v>
      </c>
      <c r="H704" s="172">
        <v>28.0</v>
      </c>
    </row>
    <row r="705" ht="15.75" hidden="1" customHeight="1">
      <c r="A705" s="235">
        <v>46109.0</v>
      </c>
      <c r="B705" s="172" t="s">
        <v>50</v>
      </c>
      <c r="C705" s="172">
        <v>32.0</v>
      </c>
      <c r="D705" s="172">
        <v>1.0</v>
      </c>
      <c r="E705" s="172" t="s">
        <v>39</v>
      </c>
      <c r="F705" s="172"/>
      <c r="G705" s="173" t="s">
        <v>1085</v>
      </c>
      <c r="H705" s="172">
        <v>23.5</v>
      </c>
    </row>
    <row r="706" ht="15.75" hidden="1" customHeight="1">
      <c r="A706" s="235">
        <v>46109.0</v>
      </c>
      <c r="B706" s="172" t="s">
        <v>52</v>
      </c>
      <c r="C706" s="172">
        <v>32.0</v>
      </c>
      <c r="D706" s="172">
        <v>1.0</v>
      </c>
      <c r="E706" s="172" t="s">
        <v>39</v>
      </c>
      <c r="F706" s="172"/>
      <c r="G706" s="173" t="s">
        <v>1085</v>
      </c>
      <c r="H706" s="172">
        <v>23.5</v>
      </c>
    </row>
    <row r="707" ht="15.75" hidden="1" customHeight="1">
      <c r="A707" s="235">
        <v>46109.0</v>
      </c>
      <c r="B707" s="172" t="s">
        <v>63</v>
      </c>
      <c r="C707" s="172">
        <v>34.0</v>
      </c>
      <c r="D707" s="172">
        <v>1.0</v>
      </c>
      <c r="E707" s="172" t="s">
        <v>39</v>
      </c>
      <c r="F707" s="172"/>
      <c r="G707" s="173" t="s">
        <v>1086</v>
      </c>
      <c r="H707" s="172">
        <v>20.0</v>
      </c>
    </row>
    <row r="708" ht="15.75" hidden="1" customHeight="1">
      <c r="A708" s="246">
        <v>46109.0</v>
      </c>
      <c r="B708" s="182" t="s">
        <v>50</v>
      </c>
      <c r="C708" s="182">
        <v>36.0</v>
      </c>
      <c r="D708" s="182">
        <v>1.0</v>
      </c>
      <c r="E708" s="182" t="s">
        <v>39</v>
      </c>
      <c r="F708" s="182"/>
      <c r="G708" s="184" t="s">
        <v>1087</v>
      </c>
      <c r="H708" s="182">
        <v>0.0</v>
      </c>
    </row>
    <row r="709" ht="15.75" hidden="1" customHeight="1">
      <c r="A709" s="235">
        <v>46109.0</v>
      </c>
      <c r="B709" s="172" t="s">
        <v>63</v>
      </c>
      <c r="C709" s="172">
        <v>36.0</v>
      </c>
      <c r="D709" s="172">
        <v>1.0</v>
      </c>
      <c r="E709" s="172" t="s">
        <v>39</v>
      </c>
      <c r="F709" s="172"/>
      <c r="G709" s="173" t="s">
        <v>1088</v>
      </c>
      <c r="H709" s="172">
        <v>21.5</v>
      </c>
    </row>
    <row r="710" ht="15.75" hidden="1" customHeight="1">
      <c r="A710" s="235">
        <v>46109.0</v>
      </c>
      <c r="B710" s="172" t="s">
        <v>52</v>
      </c>
      <c r="C710" s="172">
        <v>32.0</v>
      </c>
      <c r="D710" s="172">
        <v>1.0</v>
      </c>
      <c r="E710" s="172" t="s">
        <v>441</v>
      </c>
      <c r="F710" s="172"/>
      <c r="G710" s="173" t="s">
        <v>1089</v>
      </c>
      <c r="H710" s="172">
        <v>26.0</v>
      </c>
    </row>
    <row r="711" ht="15.75" hidden="1" customHeight="1">
      <c r="A711" s="235">
        <v>46109.0</v>
      </c>
      <c r="B711" s="172" t="s">
        <v>50</v>
      </c>
      <c r="C711" s="172">
        <v>32.0</v>
      </c>
      <c r="D711" s="172">
        <v>1.0</v>
      </c>
      <c r="E711" s="172" t="s">
        <v>441</v>
      </c>
      <c r="F711" s="172"/>
      <c r="G711" s="173" t="s">
        <v>1090</v>
      </c>
      <c r="H711" s="172">
        <v>26.0</v>
      </c>
    </row>
    <row r="712" ht="15.75" hidden="1" customHeight="1">
      <c r="A712" s="235">
        <v>46109.0</v>
      </c>
      <c r="B712" s="172" t="s">
        <v>50</v>
      </c>
      <c r="C712" s="172">
        <v>34.0</v>
      </c>
      <c r="D712" s="172">
        <v>1.0</v>
      </c>
      <c r="E712" s="172" t="s">
        <v>411</v>
      </c>
      <c r="F712" s="172"/>
      <c r="G712" s="173" t="s">
        <v>1091</v>
      </c>
      <c r="H712" s="172">
        <v>28.0</v>
      </c>
    </row>
    <row r="713" ht="15.75" hidden="1" customHeight="1">
      <c r="A713" s="235">
        <v>46109.0</v>
      </c>
      <c r="B713" s="172" t="s">
        <v>52</v>
      </c>
      <c r="C713" s="172">
        <v>32.0</v>
      </c>
      <c r="D713" s="172">
        <v>1.0</v>
      </c>
      <c r="E713" s="172" t="s">
        <v>411</v>
      </c>
      <c r="F713" s="172"/>
      <c r="G713" s="173" t="s">
        <v>1092</v>
      </c>
      <c r="H713" s="172">
        <v>28.0</v>
      </c>
    </row>
    <row r="714" ht="15.75" hidden="1" customHeight="1">
      <c r="A714" s="251">
        <v>46110.0</v>
      </c>
      <c r="B714" s="172" t="s">
        <v>52</v>
      </c>
      <c r="C714" s="172">
        <v>32.0</v>
      </c>
      <c r="D714" s="172">
        <v>1.0</v>
      </c>
      <c r="E714" s="172" t="s">
        <v>411</v>
      </c>
      <c r="F714" s="172"/>
      <c r="G714" s="173" t="s">
        <v>1093</v>
      </c>
      <c r="H714" s="172">
        <v>24.5</v>
      </c>
    </row>
    <row r="715" ht="15.75" hidden="1" customHeight="1">
      <c r="A715" s="235">
        <v>46110.0</v>
      </c>
      <c r="B715" s="172" t="s">
        <v>52</v>
      </c>
      <c r="C715" s="172">
        <v>36.0</v>
      </c>
      <c r="D715" s="172">
        <v>1.0</v>
      </c>
      <c r="E715" s="172" t="s">
        <v>422</v>
      </c>
      <c r="F715" s="172"/>
      <c r="G715" s="173" t="s">
        <v>1094</v>
      </c>
      <c r="H715" s="172">
        <v>25.0</v>
      </c>
    </row>
    <row r="716" ht="15.75" hidden="1" customHeight="1">
      <c r="A716" s="235">
        <v>46110.0</v>
      </c>
      <c r="B716" s="172" t="s">
        <v>50</v>
      </c>
      <c r="C716" s="172">
        <v>32.0</v>
      </c>
      <c r="D716" s="172">
        <v>1.0</v>
      </c>
      <c r="E716" s="172" t="s">
        <v>39</v>
      </c>
      <c r="F716" s="172"/>
      <c r="G716" s="173" t="s">
        <v>1096</v>
      </c>
      <c r="H716" s="172">
        <v>20.0</v>
      </c>
    </row>
    <row r="717" ht="15.75" hidden="1" customHeight="1">
      <c r="A717" s="235">
        <v>46110.0</v>
      </c>
      <c r="B717" s="172" t="s">
        <v>50</v>
      </c>
      <c r="C717" s="172">
        <v>34.0</v>
      </c>
      <c r="D717" s="172">
        <v>1.0</v>
      </c>
      <c r="E717" s="172" t="s">
        <v>411</v>
      </c>
      <c r="F717" s="172"/>
      <c r="G717" s="173" t="s">
        <v>1097</v>
      </c>
      <c r="H717" s="172">
        <v>20.0</v>
      </c>
    </row>
    <row r="718" ht="15.75" hidden="1" customHeight="1">
      <c r="A718" s="235">
        <v>46110.0</v>
      </c>
      <c r="B718" s="172" t="s">
        <v>71</v>
      </c>
      <c r="C718" s="172">
        <v>36.0</v>
      </c>
      <c r="D718" s="172">
        <v>1.0</v>
      </c>
      <c r="E718" s="172" t="s">
        <v>411</v>
      </c>
      <c r="F718" s="172"/>
      <c r="G718" s="173" t="s">
        <v>1098</v>
      </c>
      <c r="H718" s="172">
        <v>20.0</v>
      </c>
    </row>
    <row r="719" ht="15.75" hidden="1" customHeight="1">
      <c r="A719" s="235">
        <v>46110.0</v>
      </c>
      <c r="B719" s="172" t="s">
        <v>50</v>
      </c>
      <c r="C719" s="172">
        <v>36.0</v>
      </c>
      <c r="D719" s="172">
        <v>1.0</v>
      </c>
      <c r="E719" s="172" t="s">
        <v>411</v>
      </c>
      <c r="F719" s="172"/>
      <c r="G719" s="173" t="s">
        <v>1100</v>
      </c>
      <c r="H719" s="172">
        <v>22.75</v>
      </c>
    </row>
    <row r="720" ht="15.75" hidden="1" customHeight="1">
      <c r="A720" s="235">
        <v>46110.0</v>
      </c>
      <c r="B720" s="172" t="s">
        <v>53</v>
      </c>
      <c r="C720" s="172">
        <v>36.0</v>
      </c>
      <c r="D720" s="172">
        <v>1.0</v>
      </c>
      <c r="E720" s="172" t="s">
        <v>411</v>
      </c>
      <c r="F720" s="172"/>
      <c r="G720" s="173" t="s">
        <v>1100</v>
      </c>
      <c r="H720" s="172">
        <v>22.75</v>
      </c>
    </row>
    <row r="721" ht="15.75" hidden="1" customHeight="1">
      <c r="A721" s="246">
        <v>46111.0</v>
      </c>
      <c r="B721" s="182" t="s">
        <v>50</v>
      </c>
      <c r="C721" s="182">
        <v>32.0</v>
      </c>
      <c r="D721" s="182">
        <v>1.0</v>
      </c>
      <c r="E721" s="182" t="s">
        <v>411</v>
      </c>
      <c r="F721" s="182"/>
      <c r="G721" s="184" t="s">
        <v>1101</v>
      </c>
      <c r="H721" s="182">
        <v>0.0</v>
      </c>
    </row>
    <row r="722" ht="15.75" hidden="1" customHeight="1">
      <c r="A722" s="235">
        <v>46111.0</v>
      </c>
      <c r="B722" s="172" t="s">
        <v>52</v>
      </c>
      <c r="C722" s="172">
        <v>32.0</v>
      </c>
      <c r="D722" s="172">
        <v>1.0</v>
      </c>
      <c r="E722" s="172" t="s">
        <v>39</v>
      </c>
      <c r="F722" s="172"/>
      <c r="G722" s="173" t="s">
        <v>1101</v>
      </c>
      <c r="H722" s="172">
        <v>20.0</v>
      </c>
    </row>
    <row r="723" ht="15.75" hidden="1" customHeight="1">
      <c r="A723" s="235">
        <v>46111.0</v>
      </c>
      <c r="B723" s="172" t="s">
        <v>50</v>
      </c>
      <c r="C723" s="172">
        <v>34.0</v>
      </c>
      <c r="D723" s="172">
        <v>1.0</v>
      </c>
      <c r="E723" s="172" t="s">
        <v>411</v>
      </c>
      <c r="F723" s="172"/>
      <c r="G723" s="173" t="s">
        <v>1102</v>
      </c>
      <c r="H723" s="172">
        <v>23.0</v>
      </c>
    </row>
    <row r="724" ht="15.75" hidden="1" customHeight="1">
      <c r="A724" s="235">
        <v>46111.0</v>
      </c>
      <c r="B724" s="172" t="s">
        <v>52</v>
      </c>
      <c r="C724" s="172">
        <v>32.0</v>
      </c>
      <c r="D724" s="172">
        <v>1.0</v>
      </c>
      <c r="E724" s="172" t="s">
        <v>441</v>
      </c>
      <c r="F724" s="313"/>
      <c r="G724" s="314" t="s">
        <v>1103</v>
      </c>
      <c r="H724" s="172">
        <v>24.7</v>
      </c>
    </row>
    <row r="725" ht="15.75" hidden="1" customHeight="1">
      <c r="A725" s="235">
        <v>46111.0</v>
      </c>
      <c r="B725" s="172" t="s">
        <v>50</v>
      </c>
      <c r="C725" s="172">
        <v>32.0</v>
      </c>
      <c r="D725" s="172">
        <v>1.0</v>
      </c>
      <c r="E725" s="172" t="s">
        <v>441</v>
      </c>
      <c r="F725" s="172"/>
      <c r="G725" s="173" t="s">
        <v>1103</v>
      </c>
      <c r="H725" s="172">
        <v>24.7</v>
      </c>
    </row>
    <row r="726" ht="15.75" hidden="1" customHeight="1">
      <c r="A726" s="235">
        <v>46111.0</v>
      </c>
      <c r="B726" s="172" t="s">
        <v>71</v>
      </c>
      <c r="C726" s="172">
        <v>34.0</v>
      </c>
      <c r="D726" s="172">
        <v>1.0</v>
      </c>
      <c r="E726" s="172" t="s">
        <v>422</v>
      </c>
      <c r="F726" s="172"/>
      <c r="G726" s="173" t="s">
        <v>1104</v>
      </c>
      <c r="H726" s="172">
        <v>20.0</v>
      </c>
    </row>
    <row r="727" ht="15.75" hidden="1" customHeight="1">
      <c r="A727" s="235">
        <v>46111.0</v>
      </c>
      <c r="B727" s="172" t="s">
        <v>53</v>
      </c>
      <c r="C727" s="172">
        <v>36.0</v>
      </c>
      <c r="D727" s="172">
        <v>1.0</v>
      </c>
      <c r="E727" s="172" t="s">
        <v>441</v>
      </c>
      <c r="F727" s="172"/>
      <c r="G727" s="173" t="s">
        <v>1105</v>
      </c>
      <c r="H727" s="172">
        <v>23.4</v>
      </c>
    </row>
    <row r="728" ht="15.75" hidden="1" customHeight="1">
      <c r="A728" s="235">
        <v>46111.0</v>
      </c>
      <c r="B728" s="172" t="s">
        <v>52</v>
      </c>
      <c r="C728" s="172">
        <v>32.0</v>
      </c>
      <c r="D728" s="172">
        <v>1.0</v>
      </c>
      <c r="E728" s="172" t="s">
        <v>39</v>
      </c>
      <c r="F728" s="172"/>
      <c r="G728" s="173" t="s">
        <v>1106</v>
      </c>
      <c r="H728" s="172">
        <v>25.99</v>
      </c>
    </row>
    <row r="729" ht="15.75" hidden="1" customHeight="1">
      <c r="A729" s="233">
        <v>46112.0</v>
      </c>
      <c r="B729" s="172" t="s">
        <v>63</v>
      </c>
      <c r="C729" s="172">
        <v>36.0</v>
      </c>
      <c r="D729" s="172">
        <v>1.0</v>
      </c>
      <c r="E729" s="172" t="s">
        <v>441</v>
      </c>
      <c r="F729" s="172"/>
      <c r="G729" s="173" t="s">
        <v>1102</v>
      </c>
      <c r="H729" s="172">
        <v>20.0</v>
      </c>
    </row>
    <row r="730" ht="15.75" hidden="1" customHeight="1">
      <c r="A730" s="235">
        <v>46112.0</v>
      </c>
      <c r="B730" s="172" t="s">
        <v>71</v>
      </c>
      <c r="C730" s="172">
        <v>34.0</v>
      </c>
      <c r="D730" s="172">
        <v>1.0</v>
      </c>
      <c r="E730" s="172" t="s">
        <v>422</v>
      </c>
      <c r="F730" s="172"/>
      <c r="G730" s="173" t="s">
        <v>1107</v>
      </c>
      <c r="H730" s="172">
        <v>20.0</v>
      </c>
    </row>
    <row r="731" ht="15.75" hidden="1" customHeight="1">
      <c r="A731" s="235">
        <v>46112.0</v>
      </c>
      <c r="B731" s="172" t="s">
        <v>53</v>
      </c>
      <c r="C731" s="172">
        <v>36.0</v>
      </c>
      <c r="D731" s="172">
        <v>1.0</v>
      </c>
      <c r="E731" s="172" t="s">
        <v>411</v>
      </c>
      <c r="F731" s="172"/>
      <c r="G731" s="173" t="s">
        <v>1108</v>
      </c>
      <c r="H731" s="172">
        <v>28.0</v>
      </c>
    </row>
    <row r="732" ht="15.75" hidden="1" customHeight="1">
      <c r="A732" s="235">
        <v>46112.0</v>
      </c>
      <c r="B732" s="172" t="s">
        <v>52</v>
      </c>
      <c r="C732" s="172">
        <v>32.0</v>
      </c>
      <c r="D732" s="172">
        <v>1.0</v>
      </c>
      <c r="E732" s="172" t="s">
        <v>39</v>
      </c>
      <c r="F732" s="172"/>
      <c r="G732" s="173" t="s">
        <v>1109</v>
      </c>
      <c r="H732" s="172">
        <v>20.0</v>
      </c>
    </row>
    <row r="733" ht="15.75" hidden="1" customHeight="1">
      <c r="A733" s="235">
        <v>46112.0</v>
      </c>
      <c r="B733" s="172" t="s">
        <v>71</v>
      </c>
      <c r="C733" s="172">
        <v>32.0</v>
      </c>
      <c r="D733" s="172">
        <v>1.0</v>
      </c>
      <c r="E733" s="172" t="s">
        <v>422</v>
      </c>
      <c r="F733" s="172"/>
      <c r="G733" s="173" t="s">
        <v>1110</v>
      </c>
      <c r="H733" s="172">
        <v>20.0</v>
      </c>
    </row>
    <row r="734" ht="15.75" hidden="1" customHeight="1">
      <c r="A734" s="235">
        <v>46112.0</v>
      </c>
      <c r="B734" s="172" t="s">
        <v>53</v>
      </c>
      <c r="C734" s="172">
        <v>36.0</v>
      </c>
      <c r="D734" s="172">
        <v>1.0</v>
      </c>
      <c r="E734" s="172" t="s">
        <v>422</v>
      </c>
      <c r="F734" s="305"/>
      <c r="G734" s="306" t="s">
        <v>1111</v>
      </c>
      <c r="H734" s="172">
        <v>25.0</v>
      </c>
    </row>
    <row r="735" ht="15.75" hidden="1" customHeight="1">
      <c r="A735" s="315"/>
      <c r="B735" s="315"/>
      <c r="C735" s="315"/>
      <c r="D735" s="316" t="s">
        <v>1112</v>
      </c>
      <c r="E735" s="315"/>
      <c r="F735" s="315"/>
      <c r="G735" s="315"/>
      <c r="H735" s="315"/>
    </row>
    <row r="736" ht="15.75" hidden="1" customHeight="1">
      <c r="A736" s="251">
        <v>46113.0</v>
      </c>
      <c r="B736" s="172" t="s">
        <v>52</v>
      </c>
      <c r="C736" s="172">
        <v>32.0</v>
      </c>
      <c r="D736" s="172">
        <v>1.0</v>
      </c>
      <c r="E736" s="172" t="s">
        <v>411</v>
      </c>
      <c r="F736" s="172"/>
      <c r="G736" s="173" t="s">
        <v>1113</v>
      </c>
      <c r="H736" s="172">
        <v>28.0</v>
      </c>
    </row>
    <row r="737" ht="15.75" hidden="1" customHeight="1">
      <c r="A737" s="235">
        <v>46113.0</v>
      </c>
      <c r="B737" s="172" t="s">
        <v>1114</v>
      </c>
      <c r="C737" s="172">
        <v>34.0</v>
      </c>
      <c r="D737" s="172">
        <v>1.0</v>
      </c>
      <c r="E737" s="172" t="s">
        <v>39</v>
      </c>
      <c r="F737" s="172"/>
      <c r="G737" s="173" t="s">
        <v>1115</v>
      </c>
      <c r="H737" s="172">
        <v>20.0</v>
      </c>
    </row>
    <row r="738" ht="15.75" hidden="1" customHeight="1">
      <c r="A738" s="235">
        <v>46113.0</v>
      </c>
      <c r="B738" s="172" t="s">
        <v>1114</v>
      </c>
      <c r="C738" s="172">
        <v>34.0</v>
      </c>
      <c r="D738" s="172">
        <v>1.0</v>
      </c>
      <c r="E738" s="172" t="s">
        <v>39</v>
      </c>
      <c r="F738" s="172"/>
      <c r="G738" s="173" t="s">
        <v>1116</v>
      </c>
      <c r="H738" s="172">
        <v>20.0</v>
      </c>
    </row>
    <row r="739" ht="15.75" hidden="1" customHeight="1">
      <c r="A739" s="235">
        <v>46113.0</v>
      </c>
      <c r="B739" s="172" t="s">
        <v>45</v>
      </c>
      <c r="C739" s="172">
        <v>34.0</v>
      </c>
      <c r="D739" s="172">
        <v>1.0</v>
      </c>
      <c r="E739" s="172" t="s">
        <v>39</v>
      </c>
      <c r="F739" s="172"/>
      <c r="G739" s="173" t="s">
        <v>1117</v>
      </c>
      <c r="H739" s="172">
        <v>20.0</v>
      </c>
    </row>
    <row r="740" ht="15.75" hidden="1" customHeight="1">
      <c r="A740" s="235">
        <v>46113.0</v>
      </c>
      <c r="B740" s="172" t="s">
        <v>94</v>
      </c>
      <c r="C740" s="172">
        <v>32.0</v>
      </c>
      <c r="D740" s="172">
        <v>1.0</v>
      </c>
      <c r="E740" s="172" t="s">
        <v>441</v>
      </c>
      <c r="F740" s="172"/>
      <c r="G740" s="173" t="s">
        <v>1118</v>
      </c>
      <c r="H740" s="172">
        <v>24.3</v>
      </c>
    </row>
    <row r="741" ht="15.75" hidden="1" customHeight="1">
      <c r="A741" s="235">
        <v>46113.0</v>
      </c>
      <c r="B741" s="172" t="s">
        <v>94</v>
      </c>
      <c r="C741" s="172">
        <v>34.0</v>
      </c>
      <c r="D741" s="172">
        <v>1.0</v>
      </c>
      <c r="E741" s="172" t="s">
        <v>441</v>
      </c>
      <c r="F741" s="172"/>
      <c r="G741" s="173" t="s">
        <v>1119</v>
      </c>
      <c r="H741" s="172">
        <v>27.0</v>
      </c>
    </row>
    <row r="742" ht="15.75" hidden="1" customHeight="1">
      <c r="A742" s="233">
        <v>46114.0</v>
      </c>
      <c r="B742" s="172" t="s">
        <v>94</v>
      </c>
      <c r="C742" s="172">
        <v>32.0</v>
      </c>
      <c r="D742" s="172">
        <v>1.0</v>
      </c>
      <c r="E742" s="172" t="s">
        <v>441</v>
      </c>
      <c r="F742" s="172"/>
      <c r="G742" s="173" t="s">
        <v>1120</v>
      </c>
      <c r="H742" s="172">
        <v>20.0</v>
      </c>
    </row>
    <row r="743" ht="15.75" hidden="1" customHeight="1">
      <c r="A743" s="234">
        <v>46114.0</v>
      </c>
      <c r="B743" s="172" t="s">
        <v>94</v>
      </c>
      <c r="C743" s="172">
        <v>30.0</v>
      </c>
      <c r="D743" s="172">
        <v>1.0</v>
      </c>
      <c r="E743" s="172" t="s">
        <v>441</v>
      </c>
      <c r="F743" s="172"/>
      <c r="G743" s="173" t="s">
        <v>1121</v>
      </c>
      <c r="H743" s="172">
        <v>24.3</v>
      </c>
    </row>
    <row r="744" ht="15.75" hidden="1" customHeight="1">
      <c r="A744" s="235">
        <v>46114.0</v>
      </c>
      <c r="B744" s="172" t="s">
        <v>45</v>
      </c>
      <c r="C744" s="172">
        <v>32.0</v>
      </c>
      <c r="D744" s="172">
        <v>1.0</v>
      </c>
      <c r="E744" s="172" t="s">
        <v>39</v>
      </c>
      <c r="F744" s="172"/>
      <c r="G744" s="173" t="s">
        <v>1122</v>
      </c>
      <c r="H744" s="172">
        <v>22.5</v>
      </c>
    </row>
    <row r="745" ht="15.75" hidden="1" customHeight="1">
      <c r="A745" s="235">
        <v>46114.0</v>
      </c>
      <c r="B745" s="172" t="s">
        <v>52</v>
      </c>
      <c r="C745" s="172">
        <v>32.0</v>
      </c>
      <c r="D745" s="172">
        <v>1.0</v>
      </c>
      <c r="E745" s="172" t="s">
        <v>39</v>
      </c>
      <c r="F745" s="172"/>
      <c r="G745" s="173" t="s">
        <v>1122</v>
      </c>
      <c r="H745" s="172">
        <v>22.5</v>
      </c>
    </row>
    <row r="746" ht="15.75" hidden="1" customHeight="1">
      <c r="A746" s="235">
        <v>46114.0</v>
      </c>
      <c r="B746" s="172" t="s">
        <v>94</v>
      </c>
      <c r="C746" s="172">
        <v>32.0</v>
      </c>
      <c r="D746" s="172">
        <v>1.0</v>
      </c>
      <c r="E746" s="172" t="s">
        <v>39</v>
      </c>
      <c r="F746" s="172"/>
      <c r="G746" s="173" t="s">
        <v>1123</v>
      </c>
      <c r="H746" s="172">
        <v>23.6</v>
      </c>
    </row>
    <row r="747" ht="15.75" hidden="1" customHeight="1">
      <c r="A747" s="235">
        <v>46114.0</v>
      </c>
      <c r="B747" s="172" t="s">
        <v>45</v>
      </c>
      <c r="C747" s="172">
        <v>32.0</v>
      </c>
      <c r="D747" s="172">
        <v>1.0</v>
      </c>
      <c r="E747" s="172" t="s">
        <v>422</v>
      </c>
      <c r="F747" s="172"/>
      <c r="G747" s="173" t="s">
        <v>1124</v>
      </c>
      <c r="H747" s="172">
        <v>25.0</v>
      </c>
    </row>
    <row r="748" ht="15.75" hidden="1" customHeight="1">
      <c r="A748" s="235">
        <v>46114.0</v>
      </c>
      <c r="B748" s="172" t="s">
        <v>94</v>
      </c>
      <c r="C748" s="172">
        <v>32.0</v>
      </c>
      <c r="D748" s="172">
        <v>1.0</v>
      </c>
      <c r="E748" s="172" t="s">
        <v>441</v>
      </c>
      <c r="F748" s="172"/>
      <c r="G748" s="173" t="s">
        <v>1125</v>
      </c>
      <c r="H748" s="172">
        <v>20.0</v>
      </c>
    </row>
    <row r="749" ht="15.75" hidden="1" customHeight="1">
      <c r="A749" s="235">
        <v>46114.0</v>
      </c>
      <c r="B749" s="172" t="s">
        <v>50</v>
      </c>
      <c r="C749" s="172">
        <v>30.0</v>
      </c>
      <c r="D749" s="172">
        <v>1.0</v>
      </c>
      <c r="E749" s="172" t="s">
        <v>331</v>
      </c>
      <c r="F749" s="172"/>
      <c r="G749" s="198" t="s">
        <v>1126</v>
      </c>
      <c r="H749" s="172">
        <v>25.0</v>
      </c>
    </row>
    <row r="750" ht="15.75" hidden="1" customHeight="1">
      <c r="A750" s="235">
        <v>46114.0</v>
      </c>
      <c r="B750" s="172" t="s">
        <v>94</v>
      </c>
      <c r="C750" s="172">
        <v>34.0</v>
      </c>
      <c r="D750" s="172">
        <v>1.0</v>
      </c>
      <c r="E750" s="172" t="s">
        <v>331</v>
      </c>
      <c r="F750" s="172"/>
      <c r="G750" s="198" t="s">
        <v>1127</v>
      </c>
      <c r="H750" s="172">
        <v>22.0</v>
      </c>
    </row>
    <row r="751" ht="15.75" hidden="1" customHeight="1">
      <c r="A751" s="235">
        <v>46114.0</v>
      </c>
      <c r="B751" s="172" t="s">
        <v>94</v>
      </c>
      <c r="C751" s="172">
        <v>34.0</v>
      </c>
      <c r="D751" s="172">
        <v>1.0</v>
      </c>
      <c r="E751" s="172" t="s">
        <v>441</v>
      </c>
      <c r="F751" s="172"/>
      <c r="G751" s="173" t="s">
        <v>1128</v>
      </c>
      <c r="H751" s="172">
        <v>20.0</v>
      </c>
    </row>
    <row r="752" ht="15.75" hidden="1" customHeight="1">
      <c r="A752" s="235">
        <v>46114.0</v>
      </c>
      <c r="B752" s="172" t="s">
        <v>94</v>
      </c>
      <c r="C752" s="172">
        <v>32.0</v>
      </c>
      <c r="D752" s="172">
        <v>1.0</v>
      </c>
      <c r="E752" s="172" t="s">
        <v>441</v>
      </c>
      <c r="F752" s="172"/>
      <c r="G752" s="173" t="s">
        <v>1129</v>
      </c>
      <c r="H752" s="172">
        <v>22.0</v>
      </c>
    </row>
    <row r="753" ht="15.75" hidden="1" customHeight="1">
      <c r="A753" s="235">
        <v>46114.0</v>
      </c>
      <c r="B753" s="172" t="s">
        <v>94</v>
      </c>
      <c r="C753" s="172">
        <v>36.0</v>
      </c>
      <c r="D753" s="172">
        <v>1.0</v>
      </c>
      <c r="E753" s="172" t="s">
        <v>411</v>
      </c>
      <c r="F753" s="172"/>
      <c r="G753" s="173" t="s">
        <v>1130</v>
      </c>
      <c r="H753" s="172">
        <v>20.0</v>
      </c>
    </row>
    <row r="754" ht="15.75" hidden="1" customHeight="1">
      <c r="A754" s="235">
        <v>46114.0</v>
      </c>
      <c r="B754" s="172" t="s">
        <v>94</v>
      </c>
      <c r="C754" s="172">
        <v>34.0</v>
      </c>
      <c r="D754" s="172">
        <v>1.0</v>
      </c>
      <c r="E754" s="172" t="s">
        <v>411</v>
      </c>
      <c r="F754" s="172"/>
      <c r="G754" s="173" t="s">
        <v>1131</v>
      </c>
      <c r="H754" s="172">
        <v>22.5</v>
      </c>
    </row>
    <row r="755" ht="15.75" hidden="1" customHeight="1">
      <c r="A755" s="235">
        <v>46114.0</v>
      </c>
      <c r="B755" s="172" t="s">
        <v>94</v>
      </c>
      <c r="C755" s="172">
        <v>32.0</v>
      </c>
      <c r="D755" s="172">
        <v>1.0</v>
      </c>
      <c r="E755" s="172" t="s">
        <v>39</v>
      </c>
      <c r="F755" s="172"/>
      <c r="G755" s="173" t="s">
        <v>1132</v>
      </c>
      <c r="H755" s="172">
        <v>20.0</v>
      </c>
    </row>
    <row r="756" ht="15.75" hidden="1" customHeight="1">
      <c r="A756" s="235">
        <v>46114.0</v>
      </c>
      <c r="B756" s="172" t="s">
        <v>94</v>
      </c>
      <c r="C756" s="172">
        <v>32.0</v>
      </c>
      <c r="D756" s="172">
        <v>1.0</v>
      </c>
      <c r="E756" s="172" t="s">
        <v>39</v>
      </c>
      <c r="F756" s="172"/>
      <c r="G756" s="173" t="s">
        <v>1133</v>
      </c>
      <c r="H756" s="172">
        <v>20.0</v>
      </c>
    </row>
    <row r="757" ht="15.75" hidden="1" customHeight="1">
      <c r="A757" s="235">
        <v>46114.0</v>
      </c>
      <c r="B757" s="172" t="s">
        <v>71</v>
      </c>
      <c r="C757" s="172">
        <v>32.0</v>
      </c>
      <c r="D757" s="172">
        <v>1.0</v>
      </c>
      <c r="E757" s="172" t="s">
        <v>39</v>
      </c>
      <c r="F757" s="172"/>
      <c r="G757" s="173" t="s">
        <v>1133</v>
      </c>
      <c r="H757" s="172">
        <v>20.0</v>
      </c>
    </row>
    <row r="758" ht="15.75" hidden="1" customHeight="1">
      <c r="A758" s="235">
        <v>46114.0</v>
      </c>
      <c r="B758" s="172" t="s">
        <v>94</v>
      </c>
      <c r="C758" s="172">
        <v>34.0</v>
      </c>
      <c r="D758" s="172">
        <v>1.0</v>
      </c>
      <c r="E758" s="172" t="s">
        <v>411</v>
      </c>
      <c r="F758" s="172"/>
      <c r="G758" s="173" t="s">
        <v>1134</v>
      </c>
      <c r="H758" s="172">
        <v>28.0</v>
      </c>
    </row>
    <row r="759" ht="15.75" hidden="1" customHeight="1">
      <c r="A759" s="317">
        <v>46115.0</v>
      </c>
      <c r="B759" s="172" t="s">
        <v>45</v>
      </c>
      <c r="C759" s="172">
        <v>36.0</v>
      </c>
      <c r="D759" s="172">
        <v>1.0</v>
      </c>
      <c r="E759" s="172" t="s">
        <v>422</v>
      </c>
      <c r="F759" s="172"/>
      <c r="G759" s="173" t="s">
        <v>1135</v>
      </c>
      <c r="H759" s="172">
        <v>20.0</v>
      </c>
    </row>
    <row r="760" ht="15.75" hidden="1" customHeight="1">
      <c r="A760" s="246">
        <v>46115.0</v>
      </c>
      <c r="B760" s="182" t="s">
        <v>45</v>
      </c>
      <c r="C760" s="182">
        <v>34.0</v>
      </c>
      <c r="D760" s="182">
        <v>1.0</v>
      </c>
      <c r="E760" s="182" t="s">
        <v>411</v>
      </c>
      <c r="F760" s="182"/>
      <c r="G760" s="184" t="s">
        <v>1136</v>
      </c>
      <c r="H760" s="182">
        <v>0.0</v>
      </c>
    </row>
    <row r="761" ht="15.75" hidden="1" customHeight="1">
      <c r="A761" s="246">
        <v>46115.0</v>
      </c>
      <c r="B761" s="182" t="s">
        <v>94</v>
      </c>
      <c r="C761" s="182">
        <v>34.0</v>
      </c>
      <c r="D761" s="182">
        <v>1.0</v>
      </c>
      <c r="E761" s="182" t="s">
        <v>411</v>
      </c>
      <c r="F761" s="318"/>
      <c r="G761" s="319" t="s">
        <v>1136</v>
      </c>
      <c r="H761" s="182">
        <v>0.0</v>
      </c>
    </row>
    <row r="762" ht="15.75" hidden="1" customHeight="1">
      <c r="A762" s="235">
        <v>46115.0</v>
      </c>
      <c r="B762" s="172" t="s">
        <v>52</v>
      </c>
      <c r="C762" s="172">
        <v>32.0</v>
      </c>
      <c r="D762" s="172">
        <v>1.0</v>
      </c>
      <c r="E762" s="172" t="s">
        <v>331</v>
      </c>
      <c r="F762" s="172"/>
      <c r="G762" s="173" t="s">
        <v>1137</v>
      </c>
      <c r="H762" s="172">
        <v>28.0</v>
      </c>
    </row>
    <row r="763" ht="15.75" hidden="1" customHeight="1">
      <c r="A763" s="235">
        <v>46115.0</v>
      </c>
      <c r="B763" s="172" t="s">
        <v>94</v>
      </c>
      <c r="C763" s="172">
        <v>36.0</v>
      </c>
      <c r="D763" s="172">
        <v>1.0</v>
      </c>
      <c r="E763" s="172" t="s">
        <v>411</v>
      </c>
      <c r="F763" s="172"/>
      <c r="G763" s="173" t="s">
        <v>1138</v>
      </c>
      <c r="H763" s="172">
        <v>22.0</v>
      </c>
    </row>
    <row r="764" ht="15.75" hidden="1" customHeight="1">
      <c r="A764" s="235">
        <v>46115.0</v>
      </c>
      <c r="B764" s="172" t="s">
        <v>52</v>
      </c>
      <c r="C764" s="172">
        <v>36.0</v>
      </c>
      <c r="D764" s="172">
        <v>1.0</v>
      </c>
      <c r="E764" s="172" t="s">
        <v>422</v>
      </c>
      <c r="F764" s="172"/>
      <c r="G764" s="173" t="s">
        <v>1139</v>
      </c>
      <c r="H764" s="172">
        <v>25.0</v>
      </c>
    </row>
    <row r="765" ht="15.75" hidden="1" customHeight="1">
      <c r="A765" s="235">
        <v>46115.0</v>
      </c>
      <c r="B765" s="172" t="s">
        <v>50</v>
      </c>
      <c r="C765" s="172">
        <v>36.0</v>
      </c>
      <c r="D765" s="172">
        <v>1.0</v>
      </c>
      <c r="E765" s="172" t="s">
        <v>422</v>
      </c>
      <c r="F765" s="172"/>
      <c r="G765" s="173" t="s">
        <v>1140</v>
      </c>
      <c r="H765" s="172">
        <v>25.0</v>
      </c>
    </row>
    <row r="766" ht="15.75" hidden="1" customHeight="1">
      <c r="A766" s="235">
        <v>46115.0</v>
      </c>
      <c r="B766" s="172" t="s">
        <v>1114</v>
      </c>
      <c r="C766" s="172">
        <v>34.0</v>
      </c>
      <c r="D766" s="172">
        <v>1.0</v>
      </c>
      <c r="E766" s="172" t="s">
        <v>441</v>
      </c>
      <c r="F766" s="172"/>
      <c r="G766" s="173" t="s">
        <v>1141</v>
      </c>
      <c r="H766" s="172">
        <v>25.7</v>
      </c>
    </row>
    <row r="767" ht="15.75" hidden="1" customHeight="1">
      <c r="A767" s="235">
        <v>46115.0</v>
      </c>
      <c r="B767" s="172" t="s">
        <v>94</v>
      </c>
      <c r="C767" s="172">
        <v>34.0</v>
      </c>
      <c r="D767" s="172">
        <v>1.0</v>
      </c>
      <c r="E767" s="172" t="s">
        <v>441</v>
      </c>
      <c r="F767" s="172"/>
      <c r="G767" s="173" t="s">
        <v>1142</v>
      </c>
      <c r="H767" s="172">
        <v>20.0</v>
      </c>
    </row>
    <row r="768" ht="15.75" hidden="1" customHeight="1">
      <c r="A768" s="235">
        <v>46115.0</v>
      </c>
      <c r="B768" s="172" t="s">
        <v>1114</v>
      </c>
      <c r="C768" s="172">
        <v>34.0</v>
      </c>
      <c r="D768" s="172">
        <v>1.0</v>
      </c>
      <c r="E768" s="172" t="s">
        <v>39</v>
      </c>
      <c r="F768" s="172"/>
      <c r="G768" s="173" t="s">
        <v>1143</v>
      </c>
      <c r="H768" s="172">
        <v>20.5</v>
      </c>
    </row>
    <row r="769" ht="15.75" hidden="1" customHeight="1">
      <c r="A769" s="235">
        <v>46115.0</v>
      </c>
      <c r="B769" s="172" t="s">
        <v>94</v>
      </c>
      <c r="C769" s="172">
        <v>30.0</v>
      </c>
      <c r="D769" s="172">
        <v>1.0</v>
      </c>
      <c r="E769" s="172" t="s">
        <v>331</v>
      </c>
      <c r="F769" s="172"/>
      <c r="G769" s="173" t="s">
        <v>1144</v>
      </c>
      <c r="H769" s="172">
        <v>20.4</v>
      </c>
    </row>
    <row r="770" ht="15.75" hidden="1" customHeight="1">
      <c r="A770" s="235">
        <v>46115.0</v>
      </c>
      <c r="B770" s="172" t="s">
        <v>45</v>
      </c>
      <c r="C770" s="172">
        <v>34.0</v>
      </c>
      <c r="D770" s="172">
        <v>1.0</v>
      </c>
      <c r="E770" s="172" t="s">
        <v>422</v>
      </c>
      <c r="F770" s="305"/>
      <c r="G770" s="306" t="s">
        <v>1145</v>
      </c>
      <c r="H770" s="172">
        <v>20.0</v>
      </c>
    </row>
    <row r="771" ht="15.75" hidden="1" customHeight="1">
      <c r="A771" s="246">
        <v>46115.0</v>
      </c>
      <c r="B771" s="182" t="s">
        <v>94</v>
      </c>
      <c r="C771" s="182">
        <v>34.0</v>
      </c>
      <c r="D771" s="182">
        <v>1.0</v>
      </c>
      <c r="E771" s="182" t="s">
        <v>411</v>
      </c>
      <c r="F771" s="182"/>
      <c r="G771" s="184" t="s">
        <v>1146</v>
      </c>
      <c r="H771" s="182">
        <v>0.0</v>
      </c>
      <c r="I771" s="189" t="s">
        <v>1147</v>
      </c>
    </row>
    <row r="772" ht="15.75" hidden="1" customHeight="1">
      <c r="A772" s="233">
        <v>46116.0</v>
      </c>
      <c r="B772" s="172" t="s">
        <v>45</v>
      </c>
      <c r="C772" s="172">
        <v>36.0</v>
      </c>
      <c r="D772" s="172">
        <v>1.0</v>
      </c>
      <c r="E772" s="172" t="s">
        <v>411</v>
      </c>
      <c r="F772" s="172"/>
      <c r="G772" s="173" t="s">
        <v>1148</v>
      </c>
      <c r="H772" s="172">
        <v>20.0</v>
      </c>
    </row>
    <row r="773" ht="15.75" hidden="1" customHeight="1">
      <c r="A773" s="235">
        <v>46116.0</v>
      </c>
      <c r="B773" s="172" t="s">
        <v>94</v>
      </c>
      <c r="C773" s="172">
        <v>34.0</v>
      </c>
      <c r="D773" s="172">
        <v>1.0</v>
      </c>
      <c r="E773" s="172" t="s">
        <v>331</v>
      </c>
      <c r="F773" s="172"/>
      <c r="G773" s="173" t="s">
        <v>1149</v>
      </c>
      <c r="H773" s="172">
        <v>20.0</v>
      </c>
    </row>
    <row r="774" ht="15.75" hidden="1" customHeight="1">
      <c r="A774" s="235">
        <v>46116.0</v>
      </c>
      <c r="B774" s="172" t="s">
        <v>45</v>
      </c>
      <c r="C774" s="172">
        <v>34.0</v>
      </c>
      <c r="D774" s="172">
        <v>1.0</v>
      </c>
      <c r="E774" s="172" t="s">
        <v>39</v>
      </c>
      <c r="F774" s="172"/>
      <c r="G774" s="173" t="s">
        <v>1150</v>
      </c>
      <c r="H774" s="172">
        <v>20.0</v>
      </c>
    </row>
    <row r="775" ht="15.75" hidden="1" customHeight="1">
      <c r="A775" s="235">
        <v>46116.0</v>
      </c>
      <c r="B775" s="172" t="s">
        <v>1114</v>
      </c>
      <c r="C775" s="172">
        <v>34.0</v>
      </c>
      <c r="D775" s="172">
        <v>1.0</v>
      </c>
      <c r="E775" s="172" t="s">
        <v>39</v>
      </c>
      <c r="F775" s="172"/>
      <c r="G775" s="173" t="s">
        <v>1151</v>
      </c>
      <c r="H775" s="172">
        <v>25.99</v>
      </c>
    </row>
    <row r="776" ht="15.75" hidden="1" customHeight="1">
      <c r="A776" s="246">
        <v>46116.0</v>
      </c>
      <c r="B776" s="182" t="s">
        <v>1114</v>
      </c>
      <c r="C776" s="182">
        <v>34.0</v>
      </c>
      <c r="D776" s="182">
        <v>1.0</v>
      </c>
      <c r="E776" s="182" t="s">
        <v>441</v>
      </c>
      <c r="F776" s="182"/>
      <c r="G776" s="184" t="s">
        <v>1152</v>
      </c>
      <c r="H776" s="182">
        <v>0.0</v>
      </c>
      <c r="I776" s="184" t="s">
        <v>1153</v>
      </c>
    </row>
    <row r="777" ht="15.75" hidden="1" customHeight="1">
      <c r="A777" s="235">
        <v>46116.0</v>
      </c>
      <c r="B777" s="172" t="s">
        <v>94</v>
      </c>
      <c r="C777" s="172">
        <v>34.0</v>
      </c>
      <c r="D777" s="172">
        <v>1.0</v>
      </c>
      <c r="E777" s="172" t="s">
        <v>441</v>
      </c>
      <c r="F777" s="172"/>
      <c r="G777" s="173" t="s">
        <v>1154</v>
      </c>
      <c r="H777" s="172">
        <v>20.0</v>
      </c>
    </row>
    <row r="778" ht="15.75" hidden="1" customHeight="1">
      <c r="A778" s="172" t="s">
        <v>1155</v>
      </c>
      <c r="B778" s="172" t="s">
        <v>45</v>
      </c>
      <c r="C778" s="172">
        <v>32.0</v>
      </c>
      <c r="D778" s="172">
        <v>1.0</v>
      </c>
      <c r="E778" s="172" t="s">
        <v>422</v>
      </c>
      <c r="F778" s="172"/>
      <c r="G778" s="173" t="s">
        <v>1156</v>
      </c>
      <c r="H778" s="172">
        <v>25.0</v>
      </c>
    </row>
    <row r="779" ht="15.75" hidden="1" customHeight="1">
      <c r="A779" s="235">
        <v>46116.0</v>
      </c>
      <c r="B779" s="172" t="s">
        <v>45</v>
      </c>
      <c r="C779" s="172">
        <v>32.0</v>
      </c>
      <c r="D779" s="172">
        <v>1.0</v>
      </c>
      <c r="E779" s="172" t="s">
        <v>39</v>
      </c>
      <c r="F779" s="172"/>
      <c r="G779" s="173" t="s">
        <v>1157</v>
      </c>
      <c r="H779" s="172">
        <v>26.0</v>
      </c>
    </row>
    <row r="780" ht="15.75" hidden="1" customHeight="1">
      <c r="A780" s="235">
        <v>46116.0</v>
      </c>
      <c r="B780" s="172" t="s">
        <v>1114</v>
      </c>
      <c r="C780" s="172">
        <v>34.0</v>
      </c>
      <c r="D780" s="172">
        <v>1.0</v>
      </c>
      <c r="E780" s="172" t="s">
        <v>39</v>
      </c>
      <c r="F780" s="172"/>
      <c r="G780" s="173" t="s">
        <v>1158</v>
      </c>
      <c r="H780" s="172">
        <v>21.5</v>
      </c>
    </row>
    <row r="781" ht="15.75" hidden="1" customHeight="1">
      <c r="A781" s="235">
        <v>46116.0</v>
      </c>
      <c r="B781" s="172" t="s">
        <v>1114</v>
      </c>
      <c r="C781" s="172">
        <v>32.0</v>
      </c>
      <c r="D781" s="172">
        <v>1.0</v>
      </c>
      <c r="E781" s="172" t="s">
        <v>441</v>
      </c>
      <c r="F781" s="172"/>
      <c r="G781" s="173" t="s">
        <v>971</v>
      </c>
      <c r="H781" s="172">
        <v>25.0</v>
      </c>
    </row>
    <row r="782" ht="15.75" hidden="1" customHeight="1">
      <c r="A782" s="235">
        <v>46116.0</v>
      </c>
      <c r="B782" s="172" t="s">
        <v>1114</v>
      </c>
      <c r="C782" s="172">
        <v>34.0</v>
      </c>
      <c r="D782" s="172">
        <v>1.0</v>
      </c>
      <c r="E782" s="172" t="s">
        <v>441</v>
      </c>
      <c r="F782" s="172"/>
      <c r="G782" s="173" t="s">
        <v>1159</v>
      </c>
      <c r="H782" s="172">
        <v>22.0</v>
      </c>
    </row>
    <row r="783" ht="15.75" hidden="1" customHeight="1">
      <c r="A783" s="246">
        <v>46116.0</v>
      </c>
      <c r="B783" s="182" t="s">
        <v>94</v>
      </c>
      <c r="C783" s="182">
        <v>30.0</v>
      </c>
      <c r="D783" s="182">
        <v>1.0</v>
      </c>
      <c r="E783" s="182" t="s">
        <v>331</v>
      </c>
      <c r="F783" s="182"/>
      <c r="G783" s="184" t="s">
        <v>1160</v>
      </c>
      <c r="H783" s="182">
        <v>0.0</v>
      </c>
    </row>
    <row r="784" ht="15.75" hidden="1" customHeight="1">
      <c r="A784" s="235">
        <v>46116.0</v>
      </c>
      <c r="B784" s="172" t="s">
        <v>45</v>
      </c>
      <c r="C784" s="172">
        <v>32.0</v>
      </c>
      <c r="D784" s="172">
        <v>1.0</v>
      </c>
      <c r="E784" s="172" t="s">
        <v>331</v>
      </c>
      <c r="F784" s="172"/>
      <c r="G784" s="173" t="s">
        <v>1161</v>
      </c>
      <c r="H784" s="172">
        <v>25.2</v>
      </c>
    </row>
    <row r="785" ht="15.75" hidden="1" customHeight="1">
      <c r="A785" s="235">
        <v>46116.0</v>
      </c>
      <c r="B785" s="172" t="s">
        <v>45</v>
      </c>
      <c r="C785" s="172">
        <v>34.0</v>
      </c>
      <c r="D785" s="172">
        <v>1.0</v>
      </c>
      <c r="E785" s="172" t="s">
        <v>422</v>
      </c>
      <c r="F785" s="172"/>
      <c r="G785" s="173" t="s">
        <v>1162</v>
      </c>
      <c r="H785" s="172">
        <v>25.0</v>
      </c>
    </row>
    <row r="786" ht="15.75" hidden="1" customHeight="1">
      <c r="A786" s="235">
        <v>46116.0</v>
      </c>
      <c r="B786" s="172" t="s">
        <v>94</v>
      </c>
      <c r="C786" s="172">
        <v>34.0</v>
      </c>
      <c r="D786" s="172">
        <v>1.0</v>
      </c>
      <c r="E786" s="172" t="s">
        <v>331</v>
      </c>
      <c r="F786" s="172"/>
      <c r="G786" s="173" t="s">
        <v>1163</v>
      </c>
      <c r="H786" s="172">
        <v>20.0</v>
      </c>
    </row>
    <row r="787" ht="15.75" hidden="1" customHeight="1">
      <c r="A787" s="235">
        <v>46116.0</v>
      </c>
      <c r="B787" s="172" t="s">
        <v>1114</v>
      </c>
      <c r="C787" s="172">
        <v>32.0</v>
      </c>
      <c r="D787" s="172">
        <v>1.0</v>
      </c>
      <c r="E787" s="172" t="s">
        <v>39</v>
      </c>
      <c r="F787" s="172"/>
      <c r="G787" s="173" t="s">
        <v>1164</v>
      </c>
      <c r="H787" s="172">
        <v>25.99</v>
      </c>
    </row>
    <row r="788" ht="15.75" hidden="1" customHeight="1">
      <c r="A788" s="235">
        <v>46116.0</v>
      </c>
      <c r="B788" s="172" t="s">
        <v>94</v>
      </c>
      <c r="C788" s="172">
        <v>34.0</v>
      </c>
      <c r="D788" s="172">
        <v>1.0</v>
      </c>
      <c r="E788" s="172" t="s">
        <v>411</v>
      </c>
      <c r="F788" s="172"/>
      <c r="G788" s="173" t="s">
        <v>1165</v>
      </c>
      <c r="H788" s="172">
        <v>25.0</v>
      </c>
    </row>
    <row r="789" ht="15.75" hidden="1" customHeight="1">
      <c r="A789" s="235">
        <v>46117.0</v>
      </c>
      <c r="B789" s="172" t="s">
        <v>45</v>
      </c>
      <c r="C789" s="172">
        <v>32.0</v>
      </c>
      <c r="D789" s="172">
        <v>1.0</v>
      </c>
      <c r="E789" s="172" t="s">
        <v>331</v>
      </c>
      <c r="F789" s="172"/>
      <c r="G789" s="173" t="s">
        <v>1166</v>
      </c>
      <c r="H789" s="172">
        <v>28.0</v>
      </c>
    </row>
    <row r="790" ht="15.75" hidden="1" customHeight="1">
      <c r="A790" s="233">
        <v>46117.0</v>
      </c>
      <c r="B790" s="172" t="s">
        <v>94</v>
      </c>
      <c r="C790" s="172">
        <v>34.0</v>
      </c>
      <c r="D790" s="172">
        <v>1.0</v>
      </c>
      <c r="E790" s="172" t="s">
        <v>411</v>
      </c>
      <c r="F790" s="172"/>
      <c r="G790" s="173" t="s">
        <v>1167</v>
      </c>
      <c r="H790" s="172">
        <v>24.0</v>
      </c>
    </row>
    <row r="791" ht="15.75" hidden="1" customHeight="1">
      <c r="A791" s="246">
        <v>46117.0</v>
      </c>
      <c r="B791" s="182" t="s">
        <v>1114</v>
      </c>
      <c r="C791" s="182">
        <v>34.0</v>
      </c>
      <c r="D791" s="182">
        <v>1.0</v>
      </c>
      <c r="E791" s="182" t="s">
        <v>39</v>
      </c>
      <c r="F791" s="182"/>
      <c r="G791" s="184" t="s">
        <v>1168</v>
      </c>
      <c r="H791" s="182">
        <v>0.0</v>
      </c>
    </row>
    <row r="792" ht="15.75" hidden="1" customHeight="1">
      <c r="A792" s="235">
        <v>46117.0</v>
      </c>
      <c r="B792" s="172" t="s">
        <v>94</v>
      </c>
      <c r="C792" s="172">
        <v>34.0</v>
      </c>
      <c r="D792" s="172">
        <v>1.0</v>
      </c>
      <c r="E792" s="172" t="s">
        <v>411</v>
      </c>
      <c r="F792" s="172"/>
      <c r="G792" s="173" t="s">
        <v>1169</v>
      </c>
      <c r="H792" s="172">
        <v>22.0</v>
      </c>
    </row>
    <row r="793" ht="15.75" hidden="1" customHeight="1">
      <c r="A793" s="235">
        <v>46117.0</v>
      </c>
      <c r="B793" s="172" t="s">
        <v>45</v>
      </c>
      <c r="C793" s="172">
        <v>34.0</v>
      </c>
      <c r="D793" s="172">
        <v>1.0</v>
      </c>
      <c r="E793" s="172" t="s">
        <v>39</v>
      </c>
      <c r="F793" s="172"/>
      <c r="G793" s="173" t="s">
        <v>1170</v>
      </c>
      <c r="H793" s="172">
        <v>23.4</v>
      </c>
    </row>
    <row r="794" ht="15.75" hidden="1" customHeight="1">
      <c r="A794" s="235">
        <v>46117.0</v>
      </c>
      <c r="B794" s="172" t="s">
        <v>94</v>
      </c>
      <c r="C794" s="172">
        <v>30.0</v>
      </c>
      <c r="D794" s="172">
        <v>1.0</v>
      </c>
      <c r="E794" s="172" t="s">
        <v>331</v>
      </c>
      <c r="F794" s="172"/>
      <c r="G794" s="173" t="s">
        <v>1171</v>
      </c>
      <c r="H794" s="172">
        <v>22.0</v>
      </c>
    </row>
    <row r="795" ht="15.75" hidden="1" customHeight="1">
      <c r="A795" s="233">
        <v>46118.0</v>
      </c>
      <c r="B795" s="172" t="s">
        <v>50</v>
      </c>
      <c r="C795" s="172">
        <v>36.0</v>
      </c>
      <c r="D795" s="172">
        <v>1.0</v>
      </c>
      <c r="E795" s="172" t="s">
        <v>422</v>
      </c>
      <c r="F795" s="310"/>
      <c r="G795" s="311" t="s">
        <v>1172</v>
      </c>
      <c r="H795" s="172">
        <v>25.0</v>
      </c>
    </row>
    <row r="796" ht="15.75" hidden="1" customHeight="1">
      <c r="A796" s="235">
        <v>46118.0</v>
      </c>
      <c r="B796" s="172" t="s">
        <v>45</v>
      </c>
      <c r="C796" s="172">
        <v>36.0</v>
      </c>
      <c r="D796" s="172">
        <v>1.0</v>
      </c>
      <c r="E796" s="172" t="s">
        <v>422</v>
      </c>
      <c r="F796" s="172"/>
      <c r="G796" s="173" t="s">
        <v>1172</v>
      </c>
      <c r="H796" s="172">
        <v>25.0</v>
      </c>
    </row>
    <row r="797" ht="15.75" hidden="1" customHeight="1">
      <c r="A797" s="235">
        <v>46118.0</v>
      </c>
      <c r="B797" s="172" t="s">
        <v>94</v>
      </c>
      <c r="C797" s="172">
        <v>36.0</v>
      </c>
      <c r="D797" s="172">
        <v>1.0</v>
      </c>
      <c r="E797" s="172" t="s">
        <v>411</v>
      </c>
      <c r="F797" s="172"/>
      <c r="G797" s="173" t="s">
        <v>1173</v>
      </c>
      <c r="H797" s="172">
        <v>20.0</v>
      </c>
    </row>
    <row r="798" ht="15.75" hidden="1" customHeight="1">
      <c r="A798" s="235">
        <v>46118.0</v>
      </c>
      <c r="B798" s="172" t="s">
        <v>94</v>
      </c>
      <c r="C798" s="172">
        <v>34.0</v>
      </c>
      <c r="D798" s="172">
        <v>1.0</v>
      </c>
      <c r="E798" s="172" t="s">
        <v>411</v>
      </c>
      <c r="F798" s="172"/>
      <c r="G798" s="173" t="s">
        <v>1174</v>
      </c>
      <c r="H798" s="172">
        <v>22.0</v>
      </c>
    </row>
    <row r="799" ht="15.75" hidden="1" customHeight="1">
      <c r="A799" s="235">
        <v>46118.0</v>
      </c>
      <c r="B799" s="172" t="s">
        <v>94</v>
      </c>
      <c r="C799" s="172">
        <v>34.0</v>
      </c>
      <c r="D799" s="172">
        <v>1.0</v>
      </c>
      <c r="E799" s="172" t="s">
        <v>331</v>
      </c>
      <c r="F799" s="172"/>
      <c r="G799" s="173" t="s">
        <v>1175</v>
      </c>
      <c r="H799" s="172">
        <v>22.5</v>
      </c>
    </row>
    <row r="800" ht="15.75" hidden="1" customHeight="1">
      <c r="A800" s="235">
        <v>46118.0</v>
      </c>
      <c r="B800" s="172" t="s">
        <v>94</v>
      </c>
      <c r="C800" s="172">
        <v>32.0</v>
      </c>
      <c r="D800" s="172">
        <v>1.0</v>
      </c>
      <c r="E800" s="172" t="s">
        <v>411</v>
      </c>
      <c r="F800" s="172"/>
      <c r="G800" s="173" t="s">
        <v>1176</v>
      </c>
      <c r="H800" s="172">
        <v>20.0</v>
      </c>
    </row>
    <row r="801" ht="15.75" hidden="1" customHeight="1">
      <c r="A801" s="235">
        <v>46118.0</v>
      </c>
      <c r="B801" s="172" t="s">
        <v>94</v>
      </c>
      <c r="C801" s="172">
        <v>32.0</v>
      </c>
      <c r="D801" s="172">
        <v>1.0</v>
      </c>
      <c r="E801" s="172" t="s">
        <v>331</v>
      </c>
      <c r="F801" s="172"/>
      <c r="G801" s="173" t="s">
        <v>1177</v>
      </c>
      <c r="H801" s="172">
        <v>20.0</v>
      </c>
    </row>
    <row r="802" ht="15.75" hidden="1" customHeight="1">
      <c r="A802" s="235">
        <v>46118.0</v>
      </c>
      <c r="B802" s="172" t="s">
        <v>94</v>
      </c>
      <c r="C802" s="172">
        <v>32.0</v>
      </c>
      <c r="D802" s="172">
        <v>1.0</v>
      </c>
      <c r="E802" s="172" t="s">
        <v>331</v>
      </c>
      <c r="F802" s="172"/>
      <c r="G802" s="173" t="s">
        <v>1178</v>
      </c>
      <c r="H802" s="172">
        <v>22.5</v>
      </c>
    </row>
    <row r="803" ht="15.75" hidden="1" customHeight="1">
      <c r="A803" s="235">
        <v>46118.0</v>
      </c>
      <c r="B803" s="172" t="s">
        <v>45</v>
      </c>
      <c r="C803" s="172">
        <v>34.0</v>
      </c>
      <c r="D803" s="172">
        <v>1.0</v>
      </c>
      <c r="E803" s="172" t="s">
        <v>331</v>
      </c>
      <c r="F803" s="172"/>
      <c r="G803" s="173" t="s">
        <v>1179</v>
      </c>
      <c r="H803" s="172">
        <v>20.0</v>
      </c>
    </row>
    <row r="804" ht="15.75" hidden="1" customHeight="1">
      <c r="A804" s="235">
        <v>46118.0</v>
      </c>
      <c r="B804" s="172" t="s">
        <v>52</v>
      </c>
      <c r="C804" s="172">
        <v>32.0</v>
      </c>
      <c r="D804" s="172">
        <v>1.0</v>
      </c>
      <c r="E804" s="172" t="s">
        <v>411</v>
      </c>
      <c r="F804" s="172"/>
      <c r="G804" s="173" t="s">
        <v>1180</v>
      </c>
      <c r="H804" s="172">
        <v>22.0</v>
      </c>
    </row>
    <row r="805" ht="15.75" hidden="1" customHeight="1">
      <c r="A805" s="235">
        <v>46118.0</v>
      </c>
      <c r="B805" s="172" t="s">
        <v>45</v>
      </c>
      <c r="C805" s="172">
        <v>34.0</v>
      </c>
      <c r="D805" s="172">
        <v>1.0</v>
      </c>
      <c r="E805" s="172" t="s">
        <v>422</v>
      </c>
      <c r="F805" s="305"/>
      <c r="G805" s="306" t="s">
        <v>1181</v>
      </c>
      <c r="H805" s="172">
        <v>20.0</v>
      </c>
    </row>
    <row r="806" ht="15.75" hidden="1" customHeight="1">
      <c r="A806" s="235">
        <v>46118.0</v>
      </c>
      <c r="B806" s="172" t="s">
        <v>45</v>
      </c>
      <c r="C806" s="172">
        <v>36.0</v>
      </c>
      <c r="D806" s="172">
        <v>1.0</v>
      </c>
      <c r="E806" s="172" t="s">
        <v>422</v>
      </c>
      <c r="F806" s="305"/>
      <c r="G806" s="306" t="s">
        <v>1182</v>
      </c>
      <c r="H806" s="172">
        <v>20.0</v>
      </c>
    </row>
    <row r="807" ht="15.75" hidden="1" customHeight="1">
      <c r="A807" s="235">
        <v>46118.0</v>
      </c>
      <c r="B807" s="172" t="s">
        <v>94</v>
      </c>
      <c r="C807" s="172">
        <v>34.0</v>
      </c>
      <c r="D807" s="172">
        <v>1.0</v>
      </c>
      <c r="E807" s="172" t="s">
        <v>331</v>
      </c>
      <c r="F807" s="172"/>
      <c r="G807" s="173" t="s">
        <v>1183</v>
      </c>
      <c r="H807" s="172">
        <v>20.0</v>
      </c>
    </row>
    <row r="808" ht="15.75" hidden="1" customHeight="1">
      <c r="A808" s="235">
        <v>46118.0</v>
      </c>
      <c r="B808" s="172" t="s">
        <v>45</v>
      </c>
      <c r="C808" s="172">
        <v>34.0</v>
      </c>
      <c r="D808" s="172">
        <v>1.0</v>
      </c>
      <c r="E808" s="172" t="s">
        <v>331</v>
      </c>
      <c r="F808" s="172"/>
      <c r="G808" s="173" t="s">
        <v>1184</v>
      </c>
      <c r="H808" s="172">
        <v>23.0</v>
      </c>
    </row>
    <row r="809" ht="15.75" hidden="1" customHeight="1">
      <c r="A809" s="235">
        <v>46118.0</v>
      </c>
      <c r="B809" s="172" t="s">
        <v>53</v>
      </c>
      <c r="C809" s="172">
        <v>34.0</v>
      </c>
      <c r="D809" s="172">
        <v>1.0</v>
      </c>
      <c r="E809" s="172" t="s">
        <v>39</v>
      </c>
      <c r="F809" s="172"/>
      <c r="G809" s="173" t="s">
        <v>1185</v>
      </c>
      <c r="H809" s="172">
        <v>23.0</v>
      </c>
    </row>
    <row r="810" ht="15.75" hidden="1" customHeight="1">
      <c r="A810" s="233">
        <v>46119.0</v>
      </c>
      <c r="B810" s="172" t="s">
        <v>94</v>
      </c>
      <c r="C810" s="172">
        <v>36.0</v>
      </c>
      <c r="D810" s="172">
        <v>1.0</v>
      </c>
      <c r="E810" s="172" t="s">
        <v>441</v>
      </c>
      <c r="F810" s="172"/>
      <c r="G810" s="173" t="s">
        <v>1186</v>
      </c>
      <c r="H810" s="172">
        <v>24.3</v>
      </c>
    </row>
    <row r="811" ht="15.75" hidden="1" customHeight="1">
      <c r="A811" s="234">
        <v>46119.0</v>
      </c>
      <c r="B811" s="172" t="s">
        <v>94</v>
      </c>
      <c r="C811" s="172">
        <v>30.0</v>
      </c>
      <c r="D811" s="172">
        <v>1.0</v>
      </c>
      <c r="E811" s="172" t="s">
        <v>441</v>
      </c>
      <c r="F811" s="172"/>
      <c r="G811" s="173" t="s">
        <v>1187</v>
      </c>
      <c r="H811" s="172">
        <v>20.0</v>
      </c>
    </row>
    <row r="812" ht="15.75" hidden="1" customHeight="1">
      <c r="A812" s="235">
        <v>46119.0</v>
      </c>
      <c r="B812" s="172" t="s">
        <v>94</v>
      </c>
      <c r="C812" s="172">
        <v>32.0</v>
      </c>
      <c r="D812" s="172">
        <v>1.0</v>
      </c>
      <c r="E812" s="172" t="s">
        <v>331</v>
      </c>
      <c r="F812" s="172"/>
      <c r="G812" s="173" t="s">
        <v>1188</v>
      </c>
      <c r="H812" s="172">
        <v>20.0</v>
      </c>
    </row>
    <row r="813" ht="15.75" hidden="1" customHeight="1">
      <c r="A813" s="235">
        <v>46119.0</v>
      </c>
      <c r="B813" s="172" t="s">
        <v>45</v>
      </c>
      <c r="C813" s="172">
        <v>36.0</v>
      </c>
      <c r="D813" s="172">
        <v>1.0</v>
      </c>
      <c r="E813" s="172" t="s">
        <v>411</v>
      </c>
      <c r="F813" s="172"/>
      <c r="G813" s="173" t="s">
        <v>565</v>
      </c>
      <c r="H813" s="172">
        <v>22.0</v>
      </c>
    </row>
    <row r="814" ht="15.75" hidden="1" customHeight="1">
      <c r="A814" s="235">
        <v>46119.0</v>
      </c>
      <c r="B814" s="172" t="s">
        <v>94</v>
      </c>
      <c r="C814" s="172">
        <v>34.0</v>
      </c>
      <c r="D814" s="172">
        <v>1.0</v>
      </c>
      <c r="E814" s="172" t="s">
        <v>441</v>
      </c>
      <c r="F814" s="172"/>
      <c r="G814" s="173" t="s">
        <v>1189</v>
      </c>
      <c r="H814" s="172">
        <v>20.0</v>
      </c>
    </row>
    <row r="815" ht="15.75" hidden="1" customHeight="1">
      <c r="A815" s="235">
        <v>46119.0</v>
      </c>
      <c r="B815" s="172" t="s">
        <v>45</v>
      </c>
      <c r="C815" s="172">
        <v>36.0</v>
      </c>
      <c r="D815" s="172">
        <v>1.0</v>
      </c>
      <c r="E815" s="172" t="s">
        <v>411</v>
      </c>
      <c r="F815" s="172"/>
      <c r="G815" s="173" t="s">
        <v>1190</v>
      </c>
      <c r="H815" s="172">
        <v>23.0</v>
      </c>
    </row>
    <row r="816" ht="15.75" hidden="1" customHeight="1">
      <c r="A816" s="235">
        <v>46119.0</v>
      </c>
      <c r="B816" s="172" t="s">
        <v>94</v>
      </c>
      <c r="C816" s="172">
        <v>34.0</v>
      </c>
      <c r="D816" s="172">
        <v>1.0</v>
      </c>
      <c r="E816" s="172" t="s">
        <v>331</v>
      </c>
      <c r="F816" s="172"/>
      <c r="G816" s="173" t="s">
        <v>1118</v>
      </c>
      <c r="H816" s="172">
        <v>20.0</v>
      </c>
    </row>
    <row r="817" ht="15.75" hidden="1" customHeight="1">
      <c r="A817" s="235">
        <v>46119.0</v>
      </c>
      <c r="B817" s="172" t="s">
        <v>94</v>
      </c>
      <c r="C817" s="172">
        <v>34.0</v>
      </c>
      <c r="D817" s="172">
        <v>1.0</v>
      </c>
      <c r="E817" s="172" t="s">
        <v>39</v>
      </c>
      <c r="F817" s="172"/>
      <c r="G817" s="173" t="s">
        <v>1191</v>
      </c>
      <c r="H817" s="172">
        <v>25.0</v>
      </c>
    </row>
    <row r="818" ht="15.75" hidden="1" customHeight="1">
      <c r="A818" s="235">
        <v>46119.0</v>
      </c>
      <c r="B818" s="172" t="s">
        <v>53</v>
      </c>
      <c r="C818" s="172">
        <v>36.0</v>
      </c>
      <c r="D818" s="172">
        <v>1.0</v>
      </c>
      <c r="E818" s="172" t="s">
        <v>39</v>
      </c>
      <c r="F818" s="172"/>
      <c r="G818" s="173" t="s">
        <v>1192</v>
      </c>
      <c r="H818" s="172">
        <v>28.0</v>
      </c>
    </row>
    <row r="819" ht="15.75" hidden="1" customHeight="1">
      <c r="A819" s="235">
        <v>46119.0</v>
      </c>
      <c r="B819" s="172" t="s">
        <v>94</v>
      </c>
      <c r="C819" s="172">
        <v>34.0</v>
      </c>
      <c r="D819" s="172">
        <v>1.0</v>
      </c>
      <c r="E819" s="172" t="s">
        <v>411</v>
      </c>
      <c r="F819" s="172"/>
      <c r="G819" s="173" t="s">
        <v>1193</v>
      </c>
      <c r="H819" s="172">
        <v>20.0</v>
      </c>
    </row>
    <row r="820" ht="15.75" hidden="1" customHeight="1">
      <c r="A820" s="251">
        <v>46120.0</v>
      </c>
      <c r="B820" s="172" t="s">
        <v>94</v>
      </c>
      <c r="C820" s="172">
        <v>32.0</v>
      </c>
      <c r="D820" s="172">
        <v>1.0</v>
      </c>
      <c r="E820" s="172" t="s">
        <v>331</v>
      </c>
      <c r="F820" s="172"/>
      <c r="G820" s="173" t="s">
        <v>1194</v>
      </c>
      <c r="H820" s="172">
        <v>20.0</v>
      </c>
    </row>
    <row r="821" ht="15.75" hidden="1" customHeight="1">
      <c r="A821" s="246">
        <v>46120.0</v>
      </c>
      <c r="B821" s="182" t="s">
        <v>94</v>
      </c>
      <c r="C821" s="182">
        <v>34.0</v>
      </c>
      <c r="D821" s="182">
        <v>1.0</v>
      </c>
      <c r="E821" s="182" t="s">
        <v>39</v>
      </c>
      <c r="F821" s="182"/>
      <c r="G821" s="184" t="s">
        <v>1195</v>
      </c>
      <c r="H821" s="182">
        <v>0.0</v>
      </c>
    </row>
    <row r="822" ht="15.75" hidden="1" customHeight="1">
      <c r="A822" s="235">
        <v>46120.0</v>
      </c>
      <c r="B822" s="172" t="s">
        <v>45</v>
      </c>
      <c r="C822" s="172">
        <v>32.0</v>
      </c>
      <c r="D822" s="172">
        <v>1.0</v>
      </c>
      <c r="E822" s="172" t="s">
        <v>39</v>
      </c>
      <c r="F822" s="172"/>
      <c r="G822" s="173" t="s">
        <v>1196</v>
      </c>
      <c r="H822" s="172">
        <v>28.0</v>
      </c>
    </row>
    <row r="823" ht="15.75" hidden="1" customHeight="1">
      <c r="A823" s="235">
        <v>46120.0</v>
      </c>
      <c r="B823" s="172" t="s">
        <v>94</v>
      </c>
      <c r="C823" s="172">
        <v>34.0</v>
      </c>
      <c r="D823" s="172">
        <v>1.0</v>
      </c>
      <c r="E823" s="172" t="s">
        <v>441</v>
      </c>
      <c r="F823" s="172"/>
      <c r="G823" s="173" t="s">
        <v>1197</v>
      </c>
      <c r="H823" s="172">
        <v>22.0</v>
      </c>
    </row>
    <row r="824" ht="15.75" hidden="1" customHeight="1">
      <c r="A824" s="235">
        <v>46120.0</v>
      </c>
      <c r="B824" s="172" t="s">
        <v>1114</v>
      </c>
      <c r="C824" s="172">
        <v>34.0</v>
      </c>
      <c r="D824" s="172">
        <v>1.0</v>
      </c>
      <c r="E824" s="172" t="s">
        <v>39</v>
      </c>
      <c r="F824" s="172"/>
      <c r="G824" s="173" t="s">
        <v>1197</v>
      </c>
      <c r="H824" s="172">
        <v>22.0</v>
      </c>
    </row>
    <row r="825" ht="15.75" hidden="1" customHeight="1">
      <c r="A825" s="235">
        <v>46120.0</v>
      </c>
      <c r="B825" s="172" t="s">
        <v>45</v>
      </c>
      <c r="C825" s="172">
        <v>34.0</v>
      </c>
      <c r="D825" s="172">
        <v>1.0</v>
      </c>
      <c r="E825" s="172" t="s">
        <v>331</v>
      </c>
      <c r="F825" s="172"/>
      <c r="G825" s="173" t="s">
        <v>1198</v>
      </c>
      <c r="H825" s="172">
        <v>20.0</v>
      </c>
      <c r="K825" s="173" t="s">
        <v>138</v>
      </c>
    </row>
    <row r="826" ht="15.75" hidden="1" customHeight="1">
      <c r="A826" s="235">
        <v>46120.0</v>
      </c>
      <c r="B826" s="172" t="s">
        <v>94</v>
      </c>
      <c r="C826" s="172">
        <v>36.0</v>
      </c>
      <c r="D826" s="172">
        <v>1.0</v>
      </c>
      <c r="E826" s="172" t="s">
        <v>411</v>
      </c>
      <c r="F826" s="172"/>
      <c r="G826" s="173" t="s">
        <v>1199</v>
      </c>
      <c r="H826" s="172">
        <v>27.0</v>
      </c>
    </row>
    <row r="827" ht="15.75" hidden="1" customHeight="1">
      <c r="A827" s="235">
        <v>46120.0</v>
      </c>
      <c r="B827" s="172" t="s">
        <v>94</v>
      </c>
      <c r="C827" s="172">
        <v>32.0</v>
      </c>
      <c r="D827" s="172">
        <v>1.0</v>
      </c>
      <c r="E827" s="172" t="s">
        <v>331</v>
      </c>
      <c r="F827" s="172"/>
      <c r="G827" s="173" t="s">
        <v>1200</v>
      </c>
      <c r="H827" s="172">
        <v>20.0</v>
      </c>
    </row>
    <row r="828" ht="15.75" hidden="1" customHeight="1">
      <c r="A828" s="235">
        <v>46120.0</v>
      </c>
      <c r="B828" s="172" t="s">
        <v>45</v>
      </c>
      <c r="C828" s="172">
        <v>32.0</v>
      </c>
      <c r="D828" s="172">
        <v>1.0</v>
      </c>
      <c r="E828" s="172" t="s">
        <v>411</v>
      </c>
      <c r="F828" s="172"/>
      <c r="G828" s="173" t="s">
        <v>1201</v>
      </c>
      <c r="H828" s="172">
        <v>20.0</v>
      </c>
    </row>
    <row r="829" ht="15.75" hidden="1" customHeight="1">
      <c r="A829" s="246">
        <v>46120.0</v>
      </c>
      <c r="B829" s="182" t="s">
        <v>45</v>
      </c>
      <c r="C829" s="182">
        <v>32.0</v>
      </c>
      <c r="D829" s="182">
        <v>1.0</v>
      </c>
      <c r="E829" s="182" t="s">
        <v>411</v>
      </c>
      <c r="F829" s="182"/>
      <c r="G829" s="184" t="s">
        <v>1202</v>
      </c>
      <c r="H829" s="182">
        <v>0.0</v>
      </c>
      <c r="I829" s="173" t="s">
        <v>1203</v>
      </c>
    </row>
    <row r="830" ht="15.75" hidden="1" customHeight="1">
      <c r="A830" s="235">
        <v>46120.0</v>
      </c>
      <c r="B830" s="172" t="s">
        <v>94</v>
      </c>
      <c r="C830" s="172">
        <v>36.0</v>
      </c>
      <c r="D830" s="172">
        <v>1.0</v>
      </c>
      <c r="E830" s="172" t="s">
        <v>411</v>
      </c>
      <c r="F830" s="172"/>
      <c r="G830" s="173" t="s">
        <v>565</v>
      </c>
      <c r="H830" s="172">
        <v>20.0</v>
      </c>
    </row>
    <row r="831" ht="15.75" hidden="1" customHeight="1">
      <c r="A831" s="251">
        <v>46121.0</v>
      </c>
      <c r="B831" s="172" t="s">
        <v>52</v>
      </c>
      <c r="C831" s="172">
        <v>36.0</v>
      </c>
      <c r="D831" s="172">
        <v>1.0</v>
      </c>
      <c r="E831" s="172" t="s">
        <v>422</v>
      </c>
      <c r="F831" s="172"/>
      <c r="G831" s="173" t="s">
        <v>1204</v>
      </c>
      <c r="H831" s="172">
        <v>20.0</v>
      </c>
    </row>
    <row r="832" ht="15.75" hidden="1" customHeight="1">
      <c r="A832" s="235">
        <v>46121.0</v>
      </c>
      <c r="B832" s="172" t="s">
        <v>94</v>
      </c>
      <c r="C832" s="172">
        <v>34.0</v>
      </c>
      <c r="D832" s="172">
        <v>1.0</v>
      </c>
      <c r="E832" s="172" t="s">
        <v>331</v>
      </c>
      <c r="F832" s="172"/>
      <c r="G832" s="173" t="s">
        <v>1205</v>
      </c>
      <c r="H832" s="172">
        <v>26.0</v>
      </c>
    </row>
    <row r="833" ht="15.75" hidden="1" customHeight="1">
      <c r="A833" s="246">
        <v>46121.0</v>
      </c>
      <c r="B833" s="182" t="s">
        <v>45</v>
      </c>
      <c r="C833" s="182">
        <v>34.0</v>
      </c>
      <c r="D833" s="182">
        <v>1.0</v>
      </c>
      <c r="E833" s="182" t="s">
        <v>39</v>
      </c>
      <c r="F833" s="182"/>
      <c r="G833" s="184" t="s">
        <v>1206</v>
      </c>
      <c r="H833" s="182">
        <v>0.0</v>
      </c>
    </row>
    <row r="834" ht="15.75" hidden="1" customHeight="1">
      <c r="A834" s="235">
        <v>46121.0</v>
      </c>
      <c r="B834" s="172" t="s">
        <v>53</v>
      </c>
      <c r="C834" s="172">
        <v>34.0</v>
      </c>
      <c r="D834" s="172">
        <v>1.0</v>
      </c>
      <c r="E834" s="172" t="s">
        <v>39</v>
      </c>
      <c r="F834" s="172"/>
      <c r="G834" s="173" t="s">
        <v>1206</v>
      </c>
      <c r="H834" s="172">
        <v>20.0</v>
      </c>
    </row>
    <row r="835" ht="15.75" hidden="1" customHeight="1">
      <c r="A835" s="235">
        <v>46121.0</v>
      </c>
      <c r="B835" s="172" t="s">
        <v>1114</v>
      </c>
      <c r="C835" s="172">
        <v>34.0</v>
      </c>
      <c r="D835" s="172">
        <v>1.0</v>
      </c>
      <c r="E835" s="172" t="s">
        <v>441</v>
      </c>
      <c r="F835" s="172"/>
      <c r="G835" s="173" t="s">
        <v>1207</v>
      </c>
      <c r="H835" s="172">
        <v>27.0</v>
      </c>
    </row>
    <row r="836" ht="15.75" hidden="1" customHeight="1">
      <c r="A836" s="235">
        <v>46121.0</v>
      </c>
      <c r="B836" s="172" t="s">
        <v>94</v>
      </c>
      <c r="C836" s="172">
        <v>36.0</v>
      </c>
      <c r="D836" s="172">
        <v>1.0</v>
      </c>
      <c r="E836" s="172" t="s">
        <v>39</v>
      </c>
      <c r="F836" s="172"/>
      <c r="G836" s="173" t="s">
        <v>1208</v>
      </c>
      <c r="H836" s="172">
        <v>20.0</v>
      </c>
    </row>
    <row r="837" ht="15.75" hidden="1" customHeight="1">
      <c r="A837" s="235">
        <v>46121.0</v>
      </c>
      <c r="B837" s="172" t="s">
        <v>45</v>
      </c>
      <c r="C837" s="172">
        <v>32.0</v>
      </c>
      <c r="D837" s="172">
        <v>1.0</v>
      </c>
      <c r="E837" s="172" t="s">
        <v>411</v>
      </c>
      <c r="F837" s="172"/>
      <c r="G837" s="173" t="s">
        <v>1209</v>
      </c>
      <c r="H837" s="172">
        <v>25.0</v>
      </c>
    </row>
    <row r="838" ht="15.75" hidden="1" customHeight="1">
      <c r="A838" s="235">
        <v>46121.0</v>
      </c>
      <c r="B838" s="172" t="s">
        <v>1114</v>
      </c>
      <c r="C838" s="172">
        <v>32.0</v>
      </c>
      <c r="D838" s="172"/>
      <c r="E838" s="172" t="s">
        <v>39</v>
      </c>
      <c r="F838" s="172"/>
      <c r="G838" s="173" t="s">
        <v>1210</v>
      </c>
      <c r="H838" s="172">
        <v>20.0</v>
      </c>
    </row>
    <row r="839" ht="15.75" hidden="1" customHeight="1">
      <c r="A839" s="235">
        <v>46121.0</v>
      </c>
      <c r="B839" s="172" t="s">
        <v>45</v>
      </c>
      <c r="C839" s="172">
        <v>34.0</v>
      </c>
      <c r="D839" s="172">
        <v>1.0</v>
      </c>
      <c r="E839" s="172" t="s">
        <v>331</v>
      </c>
      <c r="F839" s="172"/>
      <c r="G839" s="173" t="s">
        <v>1211</v>
      </c>
      <c r="H839" s="172">
        <v>22.0</v>
      </c>
    </row>
    <row r="840" ht="15.75" hidden="1" customHeight="1">
      <c r="A840" s="235">
        <v>46121.0</v>
      </c>
      <c r="B840" s="172" t="s">
        <v>52</v>
      </c>
      <c r="C840" s="172">
        <v>32.0</v>
      </c>
      <c r="D840" s="172">
        <v>1.0</v>
      </c>
      <c r="E840" s="172" t="s">
        <v>422</v>
      </c>
      <c r="F840" s="172"/>
      <c r="G840" s="173" t="s">
        <v>1212</v>
      </c>
      <c r="H840" s="172">
        <v>22.0</v>
      </c>
    </row>
    <row r="841" ht="15.75" hidden="1" customHeight="1">
      <c r="A841" s="235">
        <v>46121.0</v>
      </c>
      <c r="B841" s="172" t="s">
        <v>50</v>
      </c>
      <c r="C841" s="172">
        <v>36.0</v>
      </c>
      <c r="D841" s="172">
        <v>1.0</v>
      </c>
      <c r="E841" s="172" t="s">
        <v>422</v>
      </c>
      <c r="F841" s="172"/>
      <c r="G841" s="173" t="s">
        <v>1213</v>
      </c>
      <c r="H841" s="172">
        <v>22.0</v>
      </c>
    </row>
    <row r="842" ht="15.75" hidden="1" customHeight="1">
      <c r="A842" s="251">
        <v>46122.0</v>
      </c>
      <c r="B842" s="172" t="s">
        <v>45</v>
      </c>
      <c r="C842" s="172">
        <v>36.0</v>
      </c>
      <c r="D842" s="172">
        <v>1.0</v>
      </c>
      <c r="E842" s="172" t="s">
        <v>422</v>
      </c>
      <c r="F842" s="172"/>
      <c r="G842" s="173" t="s">
        <v>1214</v>
      </c>
      <c r="H842" s="172">
        <v>22.0</v>
      </c>
    </row>
    <row r="843" ht="15.75" hidden="1" customHeight="1">
      <c r="A843" s="235">
        <v>46122.0</v>
      </c>
      <c r="B843" s="172" t="s">
        <v>45</v>
      </c>
      <c r="C843" s="172">
        <v>32.0</v>
      </c>
      <c r="D843" s="172">
        <v>1.0</v>
      </c>
      <c r="E843" s="172" t="s">
        <v>39</v>
      </c>
      <c r="F843" s="172"/>
      <c r="G843" s="173" t="s">
        <v>1215</v>
      </c>
      <c r="H843" s="172">
        <v>28.0</v>
      </c>
    </row>
    <row r="844" ht="15.75" hidden="1" customHeight="1">
      <c r="A844" s="235">
        <v>46122.0</v>
      </c>
      <c r="B844" s="172" t="s">
        <v>46</v>
      </c>
      <c r="C844" s="172">
        <v>32.0</v>
      </c>
      <c r="D844" s="172">
        <v>1.0</v>
      </c>
      <c r="E844" s="172" t="s">
        <v>39</v>
      </c>
      <c r="F844" s="172"/>
      <c r="G844" s="173" t="s">
        <v>1216</v>
      </c>
      <c r="H844" s="172">
        <v>53.0</v>
      </c>
    </row>
    <row r="845" hidden="1">
      <c r="A845" s="235">
        <v>46122.0</v>
      </c>
      <c r="B845" s="172" t="s">
        <v>52</v>
      </c>
      <c r="C845" s="172">
        <v>32.0</v>
      </c>
      <c r="D845" s="172">
        <v>1.0</v>
      </c>
      <c r="E845" s="172" t="s">
        <v>331</v>
      </c>
      <c r="F845" s="172"/>
      <c r="G845" s="173" t="s">
        <v>1217</v>
      </c>
      <c r="H845" s="172">
        <v>20.0</v>
      </c>
    </row>
    <row r="846" ht="15.75" hidden="1" customHeight="1">
      <c r="A846" s="235">
        <v>46122.0</v>
      </c>
      <c r="B846" s="172" t="s">
        <v>53</v>
      </c>
      <c r="C846" s="172">
        <v>34.0</v>
      </c>
      <c r="D846" s="172">
        <v>1.0</v>
      </c>
      <c r="E846" s="172" t="s">
        <v>331</v>
      </c>
      <c r="F846" s="172"/>
      <c r="G846" s="173" t="s">
        <v>1218</v>
      </c>
      <c r="H846" s="172">
        <v>26.0</v>
      </c>
    </row>
    <row r="847" ht="15.75" hidden="1" customHeight="1">
      <c r="A847" s="235">
        <v>46122.0</v>
      </c>
      <c r="B847" s="172" t="s">
        <v>45</v>
      </c>
      <c r="C847" s="172">
        <v>32.0</v>
      </c>
      <c r="D847" s="172">
        <v>1.0</v>
      </c>
      <c r="E847" s="172" t="s">
        <v>411</v>
      </c>
      <c r="F847" s="172"/>
      <c r="G847" s="173" t="s">
        <v>1215</v>
      </c>
      <c r="H847" s="172">
        <v>28.0</v>
      </c>
    </row>
    <row r="848" ht="15.75" hidden="1" customHeight="1">
      <c r="A848" s="235">
        <v>46122.0</v>
      </c>
      <c r="B848" s="172" t="s">
        <v>45</v>
      </c>
      <c r="C848" s="172">
        <v>36.0</v>
      </c>
      <c r="D848" s="172">
        <v>1.0</v>
      </c>
      <c r="E848" s="172" t="s">
        <v>411</v>
      </c>
      <c r="F848" s="172"/>
      <c r="G848" s="173" t="s">
        <v>1219</v>
      </c>
      <c r="H848" s="172">
        <v>27.4</v>
      </c>
    </row>
    <row r="849" ht="15.75" hidden="1" customHeight="1">
      <c r="A849" s="235">
        <v>46122.0</v>
      </c>
      <c r="B849" s="172" t="s">
        <v>45</v>
      </c>
      <c r="C849" s="172">
        <v>34.0</v>
      </c>
      <c r="D849" s="172">
        <v>1.0</v>
      </c>
      <c r="E849" s="172" t="s">
        <v>441</v>
      </c>
      <c r="F849" s="172"/>
      <c r="G849" s="173" t="s">
        <v>1220</v>
      </c>
      <c r="H849" s="172">
        <v>28.0</v>
      </c>
    </row>
    <row r="850" ht="15.75" hidden="1" customHeight="1">
      <c r="A850" s="235">
        <v>46122.0</v>
      </c>
      <c r="B850" s="172" t="s">
        <v>52</v>
      </c>
      <c r="C850" s="172">
        <v>36.0</v>
      </c>
      <c r="D850" s="172">
        <v>1.0</v>
      </c>
      <c r="E850" s="172" t="s">
        <v>39</v>
      </c>
      <c r="F850" s="172"/>
      <c r="G850" s="173" t="s">
        <v>1221</v>
      </c>
      <c r="H850" s="172">
        <v>20.0</v>
      </c>
    </row>
    <row r="851" ht="15.75" hidden="1" customHeight="1">
      <c r="A851" s="235">
        <v>46122.0</v>
      </c>
      <c r="B851" s="172" t="s">
        <v>94</v>
      </c>
      <c r="C851" s="172">
        <v>32.0</v>
      </c>
      <c r="D851" s="172">
        <v>1.0</v>
      </c>
      <c r="E851" s="172" t="s">
        <v>441</v>
      </c>
      <c r="F851" s="172"/>
      <c r="G851" s="173" t="s">
        <v>1222</v>
      </c>
      <c r="H851" s="172">
        <v>20.0</v>
      </c>
    </row>
    <row r="852" ht="15.75" hidden="1" customHeight="1">
      <c r="A852" s="235">
        <v>46122.0</v>
      </c>
      <c r="B852" s="172" t="s">
        <v>1114</v>
      </c>
      <c r="C852" s="172">
        <v>32.0</v>
      </c>
      <c r="D852" s="172">
        <v>1.0</v>
      </c>
      <c r="E852" s="172" t="s">
        <v>441</v>
      </c>
      <c r="F852" s="172"/>
      <c r="G852" s="173" t="s">
        <v>1223</v>
      </c>
      <c r="H852" s="172">
        <v>27.0</v>
      </c>
    </row>
    <row r="853" ht="15.75" hidden="1" customHeight="1">
      <c r="A853" s="251">
        <v>46123.0</v>
      </c>
      <c r="B853" s="172" t="s">
        <v>94</v>
      </c>
      <c r="C853" s="172">
        <v>32.0</v>
      </c>
      <c r="D853" s="172">
        <v>1.0</v>
      </c>
      <c r="E853" s="172" t="s">
        <v>441</v>
      </c>
      <c r="F853" s="172"/>
      <c r="G853" s="173" t="s">
        <v>1224</v>
      </c>
      <c r="H853" s="172">
        <v>20.0</v>
      </c>
    </row>
    <row r="854" hidden="1">
      <c r="A854" s="235">
        <v>46123.0</v>
      </c>
      <c r="B854" s="172" t="s">
        <v>52</v>
      </c>
      <c r="C854" s="172">
        <v>32.0</v>
      </c>
      <c r="D854" s="172">
        <v>1.0</v>
      </c>
      <c r="E854" s="172" t="s">
        <v>422</v>
      </c>
      <c r="F854" s="172"/>
      <c r="G854" s="173" t="s">
        <v>1225</v>
      </c>
      <c r="H854" s="172">
        <v>22.0</v>
      </c>
    </row>
    <row r="855" ht="15.75" hidden="1" customHeight="1">
      <c r="A855" s="246">
        <v>46123.0</v>
      </c>
      <c r="B855" s="182" t="s">
        <v>94</v>
      </c>
      <c r="C855" s="182">
        <v>36.0</v>
      </c>
      <c r="D855" s="182">
        <v>1.0</v>
      </c>
      <c r="E855" s="182" t="s">
        <v>411</v>
      </c>
      <c r="F855" s="182"/>
      <c r="G855" s="184" t="s">
        <v>1226</v>
      </c>
      <c r="H855" s="182">
        <v>0.0</v>
      </c>
      <c r="I855" s="173" t="s">
        <v>1227</v>
      </c>
    </row>
    <row r="856" ht="15.75" hidden="1" customHeight="1">
      <c r="A856" s="235">
        <v>46123.0</v>
      </c>
      <c r="B856" s="172" t="s">
        <v>50</v>
      </c>
      <c r="C856" s="172">
        <v>30.0</v>
      </c>
      <c r="D856" s="172">
        <v>1.0</v>
      </c>
      <c r="E856" s="172" t="s">
        <v>331</v>
      </c>
      <c r="F856" s="172"/>
      <c r="G856" s="173" t="s">
        <v>1228</v>
      </c>
      <c r="H856" s="172">
        <v>26.0</v>
      </c>
    </row>
    <row r="857" ht="15.75" hidden="1" customHeight="1">
      <c r="A857" s="233">
        <v>46124.0</v>
      </c>
      <c r="B857" s="172" t="s">
        <v>53</v>
      </c>
      <c r="C857" s="172">
        <v>32.0</v>
      </c>
      <c r="D857" s="172">
        <v>1.0</v>
      </c>
      <c r="E857" s="172" t="s">
        <v>411</v>
      </c>
      <c r="F857" s="172"/>
      <c r="G857" s="173" t="s">
        <v>1229</v>
      </c>
      <c r="H857" s="172">
        <v>25.2</v>
      </c>
    </row>
    <row r="858" ht="15.75" hidden="1" customHeight="1">
      <c r="A858" s="246">
        <v>46124.0</v>
      </c>
      <c r="B858" s="182" t="s">
        <v>94</v>
      </c>
      <c r="C858" s="182">
        <v>36.0</v>
      </c>
      <c r="D858" s="182">
        <v>1.0</v>
      </c>
      <c r="E858" s="182" t="s">
        <v>411</v>
      </c>
      <c r="F858" s="182"/>
      <c r="G858" s="184" t="s">
        <v>1230</v>
      </c>
      <c r="H858" s="182">
        <v>0.0</v>
      </c>
      <c r="I858" s="173" t="s">
        <v>1227</v>
      </c>
    </row>
    <row r="859" ht="15.75" hidden="1" customHeight="1">
      <c r="A859" s="235">
        <v>46124.0</v>
      </c>
      <c r="B859" s="172" t="s">
        <v>94</v>
      </c>
      <c r="C859" s="172">
        <v>36.0</v>
      </c>
      <c r="D859" s="172">
        <v>1.0</v>
      </c>
      <c r="E859" s="172" t="s">
        <v>39</v>
      </c>
      <c r="F859" s="172"/>
      <c r="G859" s="173" t="s">
        <v>1231</v>
      </c>
      <c r="H859" s="172">
        <v>22.0</v>
      </c>
    </row>
    <row r="860" ht="15.75" hidden="1" customHeight="1">
      <c r="A860" s="235">
        <v>46124.0</v>
      </c>
      <c r="B860" s="172" t="s">
        <v>53</v>
      </c>
      <c r="C860" s="172">
        <v>36.0</v>
      </c>
      <c r="D860" s="172">
        <v>1.0</v>
      </c>
      <c r="E860" s="172" t="s">
        <v>422</v>
      </c>
      <c r="F860" s="310"/>
      <c r="G860" s="311" t="s">
        <v>1232</v>
      </c>
      <c r="H860" s="172">
        <v>20.0</v>
      </c>
    </row>
    <row r="861" ht="15.75" hidden="1" customHeight="1">
      <c r="A861" s="235">
        <v>46124.0</v>
      </c>
      <c r="B861" s="172" t="s">
        <v>45</v>
      </c>
      <c r="C861" s="172">
        <v>36.0</v>
      </c>
      <c r="D861" s="172">
        <v>1.0</v>
      </c>
      <c r="E861" s="172" t="s">
        <v>411</v>
      </c>
      <c r="F861" s="172"/>
      <c r="G861" s="173" t="s">
        <v>1233</v>
      </c>
      <c r="H861" s="172">
        <v>20.0</v>
      </c>
    </row>
    <row r="862" ht="15.75" hidden="1" customHeight="1">
      <c r="A862" s="235">
        <v>46124.0</v>
      </c>
      <c r="B862" s="172" t="s">
        <v>45</v>
      </c>
      <c r="C862" s="172">
        <v>34.0</v>
      </c>
      <c r="D862" s="172">
        <v>1.0</v>
      </c>
      <c r="E862" s="172" t="s">
        <v>441</v>
      </c>
      <c r="F862" s="172"/>
      <c r="G862" s="173" t="s">
        <v>1234</v>
      </c>
      <c r="H862" s="172">
        <v>26.0</v>
      </c>
    </row>
    <row r="863" ht="15.75" hidden="1" customHeight="1">
      <c r="A863" s="235">
        <v>46124.0</v>
      </c>
      <c r="B863" s="172" t="s">
        <v>45</v>
      </c>
      <c r="C863" s="172">
        <v>34.0</v>
      </c>
      <c r="D863" s="172">
        <v>1.0</v>
      </c>
      <c r="E863" s="172" t="s">
        <v>39</v>
      </c>
      <c r="F863" s="172"/>
      <c r="G863" s="173" t="s">
        <v>1235</v>
      </c>
      <c r="H863" s="172">
        <v>24.0</v>
      </c>
    </row>
    <row r="864" ht="15.75" hidden="1" customHeight="1">
      <c r="A864" s="251">
        <v>46125.0</v>
      </c>
      <c r="B864" s="172" t="s">
        <v>45</v>
      </c>
      <c r="C864" s="172">
        <v>36.0</v>
      </c>
      <c r="D864" s="172">
        <v>1.0</v>
      </c>
      <c r="E864" s="172" t="s">
        <v>411</v>
      </c>
      <c r="F864" s="172"/>
      <c r="G864" s="173" t="s">
        <v>1236</v>
      </c>
      <c r="H864" s="172">
        <v>25.0</v>
      </c>
    </row>
    <row r="865" ht="15.75" hidden="1" customHeight="1">
      <c r="A865" s="235">
        <v>46125.0</v>
      </c>
      <c r="B865" s="172" t="s">
        <v>45</v>
      </c>
      <c r="C865" s="172">
        <v>36.0</v>
      </c>
      <c r="D865" s="172">
        <v>1.0</v>
      </c>
      <c r="E865" s="172" t="s">
        <v>411</v>
      </c>
      <c r="F865" s="172"/>
      <c r="G865" s="173" t="s">
        <v>1237</v>
      </c>
      <c r="H865" s="172">
        <v>28.0</v>
      </c>
    </row>
    <row r="866" ht="15.75" hidden="1" customHeight="1">
      <c r="A866" s="235">
        <v>46125.0</v>
      </c>
      <c r="B866" s="172" t="s">
        <v>1114</v>
      </c>
      <c r="C866" s="172">
        <v>34.0</v>
      </c>
      <c r="D866" s="172">
        <v>1.0</v>
      </c>
      <c r="E866" s="172" t="s">
        <v>39</v>
      </c>
      <c r="F866" s="172"/>
      <c r="G866" s="173" t="s">
        <v>1238</v>
      </c>
      <c r="H866" s="172">
        <v>20.0</v>
      </c>
    </row>
    <row r="867" ht="15.75" hidden="1" customHeight="1">
      <c r="A867" s="235">
        <v>46125.0</v>
      </c>
      <c r="B867" s="172" t="s">
        <v>50</v>
      </c>
      <c r="C867" s="172">
        <v>30.0</v>
      </c>
      <c r="D867" s="172">
        <v>1.0</v>
      </c>
      <c r="E867" s="172" t="s">
        <v>39</v>
      </c>
      <c r="F867" s="172"/>
      <c r="G867" s="173" t="s">
        <v>1239</v>
      </c>
      <c r="H867" s="172">
        <v>20.0</v>
      </c>
    </row>
    <row r="868" ht="15.75" hidden="1" customHeight="1">
      <c r="A868" s="235">
        <v>46125.0</v>
      </c>
      <c r="B868" s="172" t="s">
        <v>53</v>
      </c>
      <c r="C868" s="172">
        <v>32.0</v>
      </c>
      <c r="D868" s="172">
        <v>1.0</v>
      </c>
      <c r="E868" s="172" t="s">
        <v>39</v>
      </c>
      <c r="F868" s="172"/>
      <c r="G868" s="173" t="s">
        <v>1240</v>
      </c>
      <c r="H868" s="172">
        <v>24.25</v>
      </c>
    </row>
    <row r="869" ht="15.75" hidden="1" customHeight="1">
      <c r="A869" s="235">
        <v>46125.0</v>
      </c>
      <c r="B869" s="172" t="s">
        <v>52</v>
      </c>
      <c r="C869" s="172">
        <v>32.0</v>
      </c>
      <c r="D869" s="172">
        <v>1.0</v>
      </c>
      <c r="E869" s="172" t="s">
        <v>39</v>
      </c>
      <c r="F869" s="172"/>
      <c r="G869" s="173" t="s">
        <v>1240</v>
      </c>
      <c r="H869" s="172">
        <v>24.25</v>
      </c>
    </row>
    <row r="870" ht="15.75" hidden="1" customHeight="1">
      <c r="A870" s="235">
        <v>46125.0</v>
      </c>
      <c r="B870" s="172" t="s">
        <v>45</v>
      </c>
      <c r="C870" s="172">
        <v>34.0</v>
      </c>
      <c r="D870" s="172">
        <v>1.0</v>
      </c>
      <c r="E870" s="172" t="s">
        <v>441</v>
      </c>
      <c r="F870" s="172"/>
      <c r="G870" s="173" t="s">
        <v>1241</v>
      </c>
      <c r="H870" s="172">
        <v>20.2</v>
      </c>
    </row>
    <row r="871" ht="15.75" hidden="1" customHeight="1">
      <c r="A871" s="251">
        <v>46126.0</v>
      </c>
      <c r="B871" s="172" t="s">
        <v>1114</v>
      </c>
      <c r="C871" s="172">
        <v>34.0</v>
      </c>
      <c r="D871" s="172">
        <v>1.0</v>
      </c>
      <c r="E871" s="172" t="s">
        <v>39</v>
      </c>
      <c r="F871" s="172"/>
      <c r="G871" s="173" t="s">
        <v>1242</v>
      </c>
      <c r="H871" s="172">
        <v>24.3</v>
      </c>
    </row>
    <row r="872" ht="15.75" hidden="1" customHeight="1">
      <c r="A872" s="235">
        <v>46126.0</v>
      </c>
      <c r="B872" s="172" t="s">
        <v>1114</v>
      </c>
      <c r="C872" s="172">
        <v>34.0</v>
      </c>
      <c r="D872" s="172">
        <v>1.0</v>
      </c>
      <c r="E872" s="172" t="s">
        <v>39</v>
      </c>
      <c r="F872" s="172"/>
      <c r="G872" s="173" t="s">
        <v>1243</v>
      </c>
      <c r="H872" s="172">
        <v>27.0</v>
      </c>
    </row>
    <row r="873" ht="15.75" hidden="1" customHeight="1">
      <c r="A873" s="235">
        <v>46126.0</v>
      </c>
      <c r="B873" s="172" t="s">
        <v>94</v>
      </c>
      <c r="C873" s="172">
        <v>32.0</v>
      </c>
      <c r="D873" s="172">
        <v>1.0</v>
      </c>
      <c r="E873" s="172" t="s">
        <v>411</v>
      </c>
      <c r="F873" s="172"/>
      <c r="G873" s="173" t="s">
        <v>1244</v>
      </c>
      <c r="H873" s="172">
        <v>28.0</v>
      </c>
    </row>
    <row r="874" ht="15.75" hidden="1" customHeight="1">
      <c r="A874" s="251">
        <v>46127.0</v>
      </c>
      <c r="B874" s="172" t="s">
        <v>53</v>
      </c>
      <c r="C874" s="172">
        <v>36.0</v>
      </c>
      <c r="D874" s="172">
        <v>1.0</v>
      </c>
      <c r="E874" s="172" t="s">
        <v>422</v>
      </c>
      <c r="F874" s="305"/>
      <c r="G874" s="306" t="s">
        <v>1245</v>
      </c>
      <c r="H874" s="172">
        <v>22.0</v>
      </c>
    </row>
    <row r="875" ht="15.75" hidden="1" customHeight="1">
      <c r="A875" s="235">
        <v>46127.0</v>
      </c>
      <c r="B875" s="172" t="s">
        <v>45</v>
      </c>
      <c r="C875" s="172">
        <v>34.0</v>
      </c>
      <c r="D875" s="172">
        <v>1.0</v>
      </c>
      <c r="E875" s="172" t="s">
        <v>411</v>
      </c>
      <c r="F875" s="172"/>
      <c r="G875" s="173" t="s">
        <v>1246</v>
      </c>
      <c r="H875" s="172">
        <v>23.0</v>
      </c>
    </row>
    <row r="876" ht="15.75" hidden="1" customHeight="1">
      <c r="A876" s="235">
        <v>46127.0</v>
      </c>
      <c r="B876" s="172" t="s">
        <v>45</v>
      </c>
      <c r="C876" s="172">
        <v>34.0</v>
      </c>
      <c r="D876" s="172">
        <v>1.0</v>
      </c>
      <c r="E876" s="172" t="s">
        <v>411</v>
      </c>
      <c r="F876" s="172"/>
      <c r="G876" s="173" t="s">
        <v>1247</v>
      </c>
      <c r="H876" s="172">
        <v>25.0</v>
      </c>
    </row>
    <row r="877" ht="15.75" hidden="1" customHeight="1">
      <c r="A877" s="235">
        <v>46127.0</v>
      </c>
      <c r="B877" s="172" t="s">
        <v>45</v>
      </c>
      <c r="C877" s="172">
        <v>32.0</v>
      </c>
      <c r="D877" s="172">
        <v>1.0</v>
      </c>
      <c r="E877" s="172" t="s">
        <v>411</v>
      </c>
      <c r="F877" s="172"/>
      <c r="G877" s="173" t="s">
        <v>1248</v>
      </c>
      <c r="H877" s="172">
        <v>20.0</v>
      </c>
    </row>
    <row r="878" ht="15.75" hidden="1" customHeight="1">
      <c r="A878" s="235">
        <v>46127.0</v>
      </c>
      <c r="B878" s="172" t="s">
        <v>45</v>
      </c>
      <c r="C878" s="172">
        <v>32.0</v>
      </c>
      <c r="D878" s="172">
        <v>1.0</v>
      </c>
      <c r="E878" s="172" t="s">
        <v>39</v>
      </c>
      <c r="F878" s="172"/>
      <c r="G878" s="173" t="s">
        <v>1249</v>
      </c>
      <c r="H878" s="172">
        <v>24.5</v>
      </c>
    </row>
    <row r="879" ht="15.75" hidden="1" customHeight="1">
      <c r="A879" s="235">
        <v>46127.0</v>
      </c>
      <c r="B879" s="172" t="s">
        <v>53</v>
      </c>
      <c r="C879" s="172">
        <v>34.0</v>
      </c>
      <c r="D879" s="172">
        <v>1.0</v>
      </c>
      <c r="E879" s="172" t="s">
        <v>441</v>
      </c>
      <c r="F879" s="172"/>
      <c r="G879" s="173" t="s">
        <v>1250</v>
      </c>
      <c r="H879" s="172">
        <v>25.0</v>
      </c>
    </row>
    <row r="880" ht="15.75" hidden="1" customHeight="1">
      <c r="A880" s="235">
        <v>46127.0</v>
      </c>
      <c r="B880" s="172" t="s">
        <v>1114</v>
      </c>
      <c r="C880" s="172">
        <v>34.0</v>
      </c>
      <c r="D880" s="172">
        <v>1.0</v>
      </c>
      <c r="E880" s="172" t="s">
        <v>441</v>
      </c>
      <c r="F880" s="172"/>
      <c r="G880" s="173" t="s">
        <v>1250</v>
      </c>
      <c r="H880" s="172">
        <v>25.0</v>
      </c>
    </row>
    <row r="881" ht="15.75" hidden="1" customHeight="1">
      <c r="A881" s="233">
        <v>46128.0</v>
      </c>
      <c r="B881" s="172" t="s">
        <v>94</v>
      </c>
      <c r="C881" s="172">
        <v>32.0</v>
      </c>
      <c r="D881" s="172">
        <v>1.0</v>
      </c>
      <c r="E881" s="172" t="s">
        <v>411</v>
      </c>
      <c r="F881" s="172"/>
      <c r="G881" s="173" t="s">
        <v>1251</v>
      </c>
      <c r="H881" s="172">
        <v>22.0</v>
      </c>
    </row>
    <row r="882" ht="15.75" hidden="1" customHeight="1">
      <c r="A882" s="235">
        <v>46128.0</v>
      </c>
      <c r="B882" s="172" t="s">
        <v>46</v>
      </c>
      <c r="C882" s="172">
        <v>32.0</v>
      </c>
      <c r="D882" s="172">
        <v>1.0</v>
      </c>
      <c r="E882" s="172" t="s">
        <v>39</v>
      </c>
      <c r="F882" s="172"/>
      <c r="G882" s="173" t="s">
        <v>1252</v>
      </c>
      <c r="H882" s="172">
        <v>0.0</v>
      </c>
    </row>
    <row r="883" ht="15.75" hidden="1" customHeight="1">
      <c r="A883" s="235">
        <v>46128.0</v>
      </c>
      <c r="B883" s="172" t="s">
        <v>94</v>
      </c>
      <c r="C883" s="172">
        <v>32.0</v>
      </c>
      <c r="D883" s="172">
        <v>1.0</v>
      </c>
      <c r="E883" s="172" t="s">
        <v>411</v>
      </c>
      <c r="F883" s="172"/>
      <c r="G883" s="173" t="s">
        <v>1253</v>
      </c>
      <c r="H883" s="172">
        <v>20.0</v>
      </c>
    </row>
    <row r="884" ht="15.75" hidden="1" customHeight="1">
      <c r="A884" s="235">
        <v>46128.0</v>
      </c>
      <c r="B884" s="172" t="s">
        <v>94</v>
      </c>
      <c r="C884" s="172">
        <v>32.0</v>
      </c>
      <c r="D884" s="172">
        <v>1.0</v>
      </c>
      <c r="E884" s="172" t="s">
        <v>411</v>
      </c>
      <c r="F884" s="172"/>
      <c r="G884" s="173" t="s">
        <v>1254</v>
      </c>
      <c r="H884" s="172">
        <v>20.0</v>
      </c>
    </row>
    <row r="885" ht="15.75" hidden="1" customHeight="1">
      <c r="A885" s="235">
        <v>46128.0</v>
      </c>
      <c r="B885" s="172" t="s">
        <v>53</v>
      </c>
      <c r="C885" s="172">
        <v>36.0</v>
      </c>
      <c r="D885" s="172">
        <v>1.0</v>
      </c>
      <c r="E885" s="172" t="s">
        <v>422</v>
      </c>
      <c r="F885" s="172"/>
      <c r="G885" s="173" t="s">
        <v>1255</v>
      </c>
      <c r="H885" s="172">
        <v>22.0</v>
      </c>
    </row>
    <row r="886" ht="15.75" hidden="1" customHeight="1">
      <c r="A886" s="235">
        <v>46128.0</v>
      </c>
      <c r="B886" s="172" t="s">
        <v>45</v>
      </c>
      <c r="C886" s="172">
        <v>34.0</v>
      </c>
      <c r="D886" s="172">
        <v>1.0</v>
      </c>
      <c r="E886" s="172" t="s">
        <v>441</v>
      </c>
      <c r="F886" s="172"/>
      <c r="G886" s="173" t="s">
        <v>1256</v>
      </c>
      <c r="H886" s="172">
        <v>28.0</v>
      </c>
    </row>
    <row r="887" ht="15.75" hidden="1" customHeight="1">
      <c r="A887" s="235">
        <v>46128.0</v>
      </c>
      <c r="B887" s="172" t="s">
        <v>1114</v>
      </c>
      <c r="C887" s="172">
        <v>32.0</v>
      </c>
      <c r="D887" s="172">
        <v>1.0</v>
      </c>
      <c r="E887" s="172" t="s">
        <v>441</v>
      </c>
      <c r="F887" s="172"/>
      <c r="G887" s="173" t="s">
        <v>1257</v>
      </c>
      <c r="H887" s="172">
        <v>23.0</v>
      </c>
    </row>
    <row r="888" ht="15.75" hidden="1" customHeight="1">
      <c r="A888" s="235">
        <v>46128.0</v>
      </c>
      <c r="B888" s="172" t="s">
        <v>45</v>
      </c>
      <c r="C888" s="172">
        <v>36.0</v>
      </c>
      <c r="D888" s="172">
        <v>1.0</v>
      </c>
      <c r="E888" s="172" t="s">
        <v>441</v>
      </c>
      <c r="F888" s="172"/>
      <c r="G888" s="173" t="s">
        <v>1258</v>
      </c>
      <c r="H888" s="172">
        <v>20.0</v>
      </c>
    </row>
    <row r="889" ht="15.75" hidden="1" customHeight="1">
      <c r="A889" s="235">
        <v>46128.0</v>
      </c>
      <c r="B889" s="172" t="s">
        <v>1114</v>
      </c>
      <c r="C889" s="172">
        <v>34.0</v>
      </c>
      <c r="D889" s="172">
        <v>1.0</v>
      </c>
      <c r="E889" s="172" t="s">
        <v>441</v>
      </c>
      <c r="F889" s="172"/>
      <c r="G889" s="173" t="s">
        <v>1259</v>
      </c>
      <c r="H889" s="172">
        <v>20.0</v>
      </c>
    </row>
    <row r="890" ht="15.75" hidden="1" customHeight="1">
      <c r="A890" s="251">
        <v>46129.0</v>
      </c>
      <c r="B890" s="172" t="s">
        <v>45</v>
      </c>
      <c r="C890" s="172">
        <v>32.0</v>
      </c>
      <c r="D890" s="172">
        <v>1.0</v>
      </c>
      <c r="E890" s="172" t="s">
        <v>39</v>
      </c>
      <c r="F890" s="172"/>
      <c r="G890" s="173" t="s">
        <v>1260</v>
      </c>
      <c r="H890" s="172">
        <v>20.0</v>
      </c>
    </row>
    <row r="891" ht="15.75" hidden="1" customHeight="1">
      <c r="A891" s="235">
        <v>46129.0</v>
      </c>
      <c r="B891" s="172" t="s">
        <v>94</v>
      </c>
      <c r="C891" s="172">
        <v>32.0</v>
      </c>
      <c r="D891" s="172">
        <v>1.0</v>
      </c>
      <c r="E891" s="172" t="s">
        <v>39</v>
      </c>
      <c r="F891" s="172"/>
      <c r="G891" s="173" t="s">
        <v>1261</v>
      </c>
      <c r="H891" s="172">
        <v>20.0</v>
      </c>
    </row>
    <row r="892" ht="15.75" hidden="1" customHeight="1">
      <c r="A892" s="235">
        <v>46129.0</v>
      </c>
      <c r="B892" s="172" t="s">
        <v>1114</v>
      </c>
      <c r="C892" s="172">
        <v>32.0</v>
      </c>
      <c r="D892" s="172">
        <v>1.0</v>
      </c>
      <c r="E892" s="172" t="s">
        <v>39</v>
      </c>
      <c r="F892" s="172"/>
      <c r="G892" s="173" t="s">
        <v>1262</v>
      </c>
      <c r="H892" s="172">
        <v>23.4</v>
      </c>
    </row>
    <row r="893" ht="15.75" hidden="1" customHeight="1">
      <c r="A893" s="235">
        <v>46129.0</v>
      </c>
      <c r="B893" s="172" t="s">
        <v>45</v>
      </c>
      <c r="C893" s="172">
        <v>34.0</v>
      </c>
      <c r="D893" s="172">
        <v>1.0</v>
      </c>
      <c r="E893" s="172" t="s">
        <v>441</v>
      </c>
      <c r="F893" s="172"/>
      <c r="G893" s="173" t="s">
        <v>1263</v>
      </c>
      <c r="H893" s="172">
        <v>20.0</v>
      </c>
    </row>
    <row r="894" ht="15.75" hidden="1" customHeight="1">
      <c r="A894" s="235">
        <v>46129.0</v>
      </c>
      <c r="B894" s="172" t="s">
        <v>94</v>
      </c>
      <c r="C894" s="172">
        <v>32.0</v>
      </c>
      <c r="D894" s="172">
        <v>1.0</v>
      </c>
      <c r="E894" s="172" t="s">
        <v>411</v>
      </c>
      <c r="F894" s="172"/>
      <c r="G894" s="173" t="s">
        <v>1264</v>
      </c>
      <c r="H894" s="172">
        <v>25.0</v>
      </c>
    </row>
    <row r="895" ht="15.75" hidden="1" customHeight="1">
      <c r="A895" s="235">
        <v>46129.0</v>
      </c>
      <c r="B895" s="172" t="s">
        <v>45</v>
      </c>
      <c r="C895" s="172">
        <v>36.0</v>
      </c>
      <c r="D895" s="172">
        <v>1.0</v>
      </c>
      <c r="E895" s="172" t="s">
        <v>411</v>
      </c>
      <c r="F895" s="172"/>
      <c r="G895" s="173" t="s">
        <v>1265</v>
      </c>
      <c r="H895" s="172">
        <v>25.0</v>
      </c>
    </row>
    <row r="896" ht="15.75" hidden="1" customHeight="1">
      <c r="A896" s="246">
        <v>46129.0</v>
      </c>
      <c r="B896" s="182" t="s">
        <v>45</v>
      </c>
      <c r="C896" s="182">
        <v>34.0</v>
      </c>
      <c r="D896" s="182">
        <v>1.0</v>
      </c>
      <c r="E896" s="182" t="s">
        <v>441</v>
      </c>
      <c r="F896" s="182"/>
      <c r="G896" s="184" t="s">
        <v>1266</v>
      </c>
      <c r="H896" s="182">
        <v>0.0</v>
      </c>
      <c r="I896" s="173" t="s">
        <v>1267</v>
      </c>
    </row>
    <row r="897" ht="15.75" hidden="1" customHeight="1">
      <c r="A897" s="235">
        <v>46129.0</v>
      </c>
      <c r="B897" s="172" t="s">
        <v>53</v>
      </c>
      <c r="C897" s="172">
        <v>32.0</v>
      </c>
      <c r="D897" s="172">
        <v>1.0</v>
      </c>
      <c r="E897" s="172" t="s">
        <v>411</v>
      </c>
      <c r="F897" s="172"/>
      <c r="G897" s="173" t="s">
        <v>1268</v>
      </c>
      <c r="H897" s="172">
        <v>22.5</v>
      </c>
    </row>
    <row r="898" ht="15.75" hidden="1" customHeight="1">
      <c r="A898" s="235">
        <v>46129.0</v>
      </c>
      <c r="B898" s="172" t="s">
        <v>53</v>
      </c>
      <c r="C898" s="172">
        <v>36.0</v>
      </c>
      <c r="D898" s="172">
        <v>1.0</v>
      </c>
      <c r="E898" s="172" t="s">
        <v>39</v>
      </c>
      <c r="F898" s="172"/>
      <c r="G898" s="173" t="s">
        <v>1269</v>
      </c>
      <c r="H898" s="172">
        <v>23.0</v>
      </c>
    </row>
    <row r="899" ht="15.75" hidden="1" customHeight="1">
      <c r="A899" s="233">
        <v>46130.0</v>
      </c>
      <c r="B899" s="172" t="s">
        <v>45</v>
      </c>
      <c r="C899" s="172">
        <v>32.0</v>
      </c>
      <c r="D899" s="172">
        <v>1.0</v>
      </c>
      <c r="E899" s="172" t="s">
        <v>411</v>
      </c>
      <c r="F899" s="172"/>
      <c r="G899" s="173" t="s">
        <v>1270</v>
      </c>
      <c r="H899" s="172">
        <v>25.2</v>
      </c>
    </row>
    <row r="900" ht="15.75" hidden="1" customHeight="1">
      <c r="A900" s="246">
        <v>46130.0</v>
      </c>
      <c r="B900" s="182" t="s">
        <v>45</v>
      </c>
      <c r="C900" s="182">
        <v>32.0</v>
      </c>
      <c r="D900" s="182">
        <v>1.0</v>
      </c>
      <c r="E900" s="182" t="s">
        <v>39</v>
      </c>
      <c r="F900" s="182"/>
      <c r="G900" s="184" t="s">
        <v>1271</v>
      </c>
      <c r="H900" s="182">
        <v>0.0</v>
      </c>
      <c r="I900" s="173" t="s">
        <v>1272</v>
      </c>
    </row>
    <row r="901" ht="15.75" hidden="1" customHeight="1">
      <c r="A901" s="246">
        <v>46130.0</v>
      </c>
      <c r="B901" s="182" t="s">
        <v>52</v>
      </c>
      <c r="C901" s="182">
        <v>32.0</v>
      </c>
      <c r="D901" s="182">
        <v>1.0</v>
      </c>
      <c r="E901" s="182" t="s">
        <v>39</v>
      </c>
      <c r="F901" s="182"/>
      <c r="G901" s="184" t="s">
        <v>1271</v>
      </c>
      <c r="H901" s="182">
        <v>0.0</v>
      </c>
      <c r="I901" s="173" t="s">
        <v>1272</v>
      </c>
    </row>
    <row r="902" ht="15.75" hidden="1" customHeight="1">
      <c r="A902" s="235">
        <v>46130.0</v>
      </c>
      <c r="B902" s="172" t="s">
        <v>53</v>
      </c>
      <c r="C902" s="172">
        <v>34.0</v>
      </c>
      <c r="D902" s="172">
        <v>1.0</v>
      </c>
      <c r="E902" s="172" t="s">
        <v>441</v>
      </c>
      <c r="F902" s="172"/>
      <c r="G902" s="173" t="s">
        <v>1273</v>
      </c>
      <c r="H902" s="172">
        <v>23.75</v>
      </c>
    </row>
    <row r="903" ht="15.75" hidden="1" customHeight="1">
      <c r="A903" s="235">
        <v>46130.0</v>
      </c>
      <c r="B903" s="172" t="s">
        <v>1114</v>
      </c>
      <c r="C903" s="172">
        <v>32.0</v>
      </c>
      <c r="D903" s="172">
        <v>1.0</v>
      </c>
      <c r="E903" s="172" t="s">
        <v>441</v>
      </c>
      <c r="F903" s="172"/>
      <c r="G903" s="173" t="s">
        <v>1274</v>
      </c>
      <c r="H903" s="172">
        <v>20.0</v>
      </c>
    </row>
    <row r="904" ht="15.75" hidden="1" customHeight="1">
      <c r="A904" s="235">
        <v>46130.0</v>
      </c>
      <c r="B904" s="172" t="s">
        <v>45</v>
      </c>
      <c r="C904" s="172">
        <v>32.0</v>
      </c>
      <c r="D904" s="172">
        <v>1.0</v>
      </c>
      <c r="E904" s="172" t="s">
        <v>441</v>
      </c>
      <c r="F904" s="172"/>
      <c r="G904" s="173" t="s">
        <v>1275</v>
      </c>
      <c r="H904" s="172">
        <v>23.75</v>
      </c>
    </row>
    <row r="905" ht="15.75" hidden="1" customHeight="1">
      <c r="A905" s="235">
        <v>46130.0</v>
      </c>
      <c r="B905" s="172" t="s">
        <v>52</v>
      </c>
      <c r="C905" s="172">
        <v>36.0</v>
      </c>
      <c r="D905" s="172">
        <v>1.0</v>
      </c>
      <c r="E905" s="172" t="s">
        <v>411</v>
      </c>
      <c r="F905" s="172"/>
      <c r="G905" s="173" t="s">
        <v>1276</v>
      </c>
      <c r="H905" s="172">
        <v>24.0</v>
      </c>
    </row>
    <row r="906" ht="15.75" hidden="1" customHeight="1">
      <c r="A906" s="235">
        <v>46130.0</v>
      </c>
      <c r="B906" s="172" t="s">
        <v>53</v>
      </c>
      <c r="C906" s="172">
        <v>34.0</v>
      </c>
      <c r="D906" s="172">
        <v>1.0</v>
      </c>
      <c r="E906" s="172" t="s">
        <v>39</v>
      </c>
      <c r="F906" s="172"/>
      <c r="G906" s="173" t="s">
        <v>1277</v>
      </c>
      <c r="H906" s="172">
        <v>22.0</v>
      </c>
    </row>
    <row r="907" ht="15.75" hidden="1" customHeight="1">
      <c r="A907" s="235">
        <v>46130.0</v>
      </c>
      <c r="B907" s="172" t="s">
        <v>50</v>
      </c>
      <c r="C907" s="172">
        <v>36.0</v>
      </c>
      <c r="D907" s="172">
        <v>1.0</v>
      </c>
      <c r="E907" s="172" t="s">
        <v>39</v>
      </c>
      <c r="F907" s="172"/>
      <c r="G907" s="173" t="s">
        <v>1278</v>
      </c>
      <c r="H907" s="172">
        <v>20.0</v>
      </c>
    </row>
    <row r="908" ht="15.75" hidden="1" customHeight="1">
      <c r="A908" s="235">
        <v>46130.0</v>
      </c>
      <c r="B908" s="172" t="s">
        <v>45</v>
      </c>
      <c r="C908" s="172">
        <v>32.0</v>
      </c>
      <c r="D908" s="172">
        <v>1.0</v>
      </c>
      <c r="E908" s="172" t="s">
        <v>39</v>
      </c>
      <c r="F908" s="172"/>
      <c r="G908" s="173" t="s">
        <v>1279</v>
      </c>
      <c r="H908" s="172">
        <v>20.0</v>
      </c>
    </row>
    <row r="909" ht="15.75" hidden="1" customHeight="1">
      <c r="A909" s="235">
        <v>46130.0</v>
      </c>
      <c r="B909" s="172" t="s">
        <v>53</v>
      </c>
      <c r="C909" s="172">
        <v>36.0</v>
      </c>
      <c r="D909" s="172">
        <v>1.0</v>
      </c>
      <c r="E909" s="172" t="s">
        <v>39</v>
      </c>
      <c r="F909" s="172"/>
      <c r="G909" s="173" t="s">
        <v>1280</v>
      </c>
      <c r="H909" s="172">
        <v>20.0</v>
      </c>
    </row>
    <row r="910" ht="15.75" hidden="1" customHeight="1">
      <c r="A910" s="235">
        <v>46130.0</v>
      </c>
      <c r="B910" s="172" t="s">
        <v>52</v>
      </c>
      <c r="C910" s="172">
        <v>36.0</v>
      </c>
      <c r="D910" s="172">
        <v>1.0</v>
      </c>
      <c r="E910" s="172" t="s">
        <v>422</v>
      </c>
      <c r="F910" s="172"/>
      <c r="G910" s="173" t="s">
        <v>1281</v>
      </c>
      <c r="H910" s="172">
        <v>22.0</v>
      </c>
    </row>
    <row r="911" ht="15.75" hidden="1" customHeight="1">
      <c r="A911" s="235">
        <v>46130.0</v>
      </c>
      <c r="B911" s="172" t="s">
        <v>45</v>
      </c>
      <c r="C911" s="172">
        <v>32.0</v>
      </c>
      <c r="D911" s="172">
        <v>1.0</v>
      </c>
      <c r="E911" s="172" t="s">
        <v>422</v>
      </c>
      <c r="F911" s="172"/>
      <c r="G911" s="173" t="s">
        <v>1282</v>
      </c>
      <c r="H911" s="172">
        <v>20.0</v>
      </c>
    </row>
    <row r="912" ht="15.75" hidden="1" customHeight="1">
      <c r="A912" s="235">
        <v>46130.0</v>
      </c>
      <c r="B912" s="172" t="s">
        <v>45</v>
      </c>
      <c r="C912" s="172">
        <v>34.0</v>
      </c>
      <c r="D912" s="172">
        <v>1.0</v>
      </c>
      <c r="E912" s="172" t="s">
        <v>422</v>
      </c>
      <c r="F912" s="172"/>
      <c r="G912" s="173" t="s">
        <v>1283</v>
      </c>
      <c r="H912" s="172">
        <v>22.0</v>
      </c>
    </row>
    <row r="913" ht="15.75" hidden="1" customHeight="1">
      <c r="A913" s="235">
        <v>46130.0</v>
      </c>
      <c r="B913" s="172" t="s">
        <v>45</v>
      </c>
      <c r="C913" s="172">
        <v>36.0</v>
      </c>
      <c r="D913" s="172">
        <v>1.0</v>
      </c>
      <c r="E913" s="172" t="s">
        <v>39</v>
      </c>
      <c r="F913" s="172"/>
      <c r="G913" s="173" t="s">
        <v>1284</v>
      </c>
      <c r="H913" s="172">
        <v>22.0</v>
      </c>
    </row>
    <row r="914" ht="15.75" hidden="1" customHeight="1">
      <c r="A914" s="233">
        <v>46131.0</v>
      </c>
      <c r="B914" s="172" t="s">
        <v>52</v>
      </c>
      <c r="C914" s="172">
        <v>36.0</v>
      </c>
      <c r="D914" s="172">
        <v>1.0</v>
      </c>
      <c r="E914" s="172" t="s">
        <v>422</v>
      </c>
      <c r="F914" s="305"/>
      <c r="G914" s="306" t="s">
        <v>1285</v>
      </c>
      <c r="H914" s="172">
        <v>20.0</v>
      </c>
    </row>
    <row r="915" ht="15.75" hidden="1" customHeight="1">
      <c r="A915" s="235">
        <v>46131.0</v>
      </c>
      <c r="B915" s="172" t="s">
        <v>53</v>
      </c>
      <c r="C915" s="172">
        <v>34.0</v>
      </c>
      <c r="D915" s="172">
        <v>1.0</v>
      </c>
      <c r="E915" s="172" t="s">
        <v>39</v>
      </c>
      <c r="F915" s="172"/>
      <c r="G915" s="173" t="s">
        <v>1286</v>
      </c>
      <c r="H915" s="172">
        <v>26.0</v>
      </c>
    </row>
    <row r="916" ht="15.75" hidden="1" customHeight="1">
      <c r="A916" s="235">
        <v>46131.0</v>
      </c>
      <c r="B916" s="172" t="s">
        <v>45</v>
      </c>
      <c r="C916" s="172">
        <v>36.0</v>
      </c>
      <c r="D916" s="172">
        <v>1.0</v>
      </c>
      <c r="E916" s="172" t="s">
        <v>422</v>
      </c>
      <c r="F916" s="305"/>
      <c r="G916" s="306" t="s">
        <v>1287</v>
      </c>
      <c r="H916" s="172">
        <v>22.0</v>
      </c>
    </row>
    <row r="917" ht="15.75" hidden="1" customHeight="1">
      <c r="A917" s="235">
        <v>46131.0</v>
      </c>
      <c r="B917" s="172" t="s">
        <v>52</v>
      </c>
      <c r="C917" s="172">
        <v>32.0</v>
      </c>
      <c r="D917" s="172">
        <v>1.0</v>
      </c>
      <c r="E917" s="172" t="s">
        <v>441</v>
      </c>
      <c r="F917" s="172"/>
      <c r="G917" s="173" t="s">
        <v>1288</v>
      </c>
      <c r="H917" s="172">
        <v>20.0</v>
      </c>
    </row>
    <row r="918" ht="15.75" hidden="1" customHeight="1">
      <c r="A918" s="235">
        <v>46131.0</v>
      </c>
      <c r="B918" s="172" t="s">
        <v>45</v>
      </c>
      <c r="C918" s="172">
        <v>36.0</v>
      </c>
      <c r="D918" s="172">
        <v>1.0</v>
      </c>
      <c r="E918" s="172" t="s">
        <v>422</v>
      </c>
      <c r="F918" s="305"/>
      <c r="G918" s="306" t="s">
        <v>1289</v>
      </c>
      <c r="H918" s="172">
        <v>20.0</v>
      </c>
    </row>
    <row r="919" ht="15.75" hidden="1" customHeight="1">
      <c r="A919" s="235">
        <v>46131.0</v>
      </c>
      <c r="B919" s="172" t="s">
        <v>50</v>
      </c>
      <c r="C919" s="172">
        <v>30.0</v>
      </c>
      <c r="D919" s="172">
        <v>1.0</v>
      </c>
      <c r="E919" s="172" t="s">
        <v>411</v>
      </c>
      <c r="F919" s="172"/>
      <c r="G919" s="173" t="s">
        <v>1290</v>
      </c>
      <c r="H919" s="172">
        <v>25.0</v>
      </c>
    </row>
    <row r="920" ht="15.75" hidden="1" customHeight="1">
      <c r="A920" s="251">
        <v>46132.0</v>
      </c>
      <c r="B920" s="172" t="s">
        <v>52</v>
      </c>
      <c r="C920" s="172">
        <v>32.0</v>
      </c>
      <c r="D920" s="172">
        <v>1.0</v>
      </c>
      <c r="E920" s="172" t="s">
        <v>39</v>
      </c>
      <c r="F920" s="172"/>
      <c r="G920" s="173" t="s">
        <v>1291</v>
      </c>
      <c r="H920" s="172">
        <v>25.0</v>
      </c>
    </row>
    <row r="921" ht="15.75" hidden="1" customHeight="1">
      <c r="A921" s="235">
        <v>46132.0</v>
      </c>
      <c r="B921" s="172" t="s">
        <v>1114</v>
      </c>
      <c r="C921" s="172">
        <v>32.0</v>
      </c>
      <c r="D921" s="172">
        <v>1.0</v>
      </c>
      <c r="E921" s="172" t="s">
        <v>39</v>
      </c>
      <c r="F921" s="172"/>
      <c r="G921" s="173" t="s">
        <v>1292</v>
      </c>
      <c r="H921" s="172">
        <v>25.0</v>
      </c>
    </row>
    <row r="922" ht="15.75" hidden="1" customHeight="1">
      <c r="A922" s="235">
        <v>46132.0</v>
      </c>
      <c r="B922" s="172" t="s">
        <v>94</v>
      </c>
      <c r="C922" s="172">
        <v>34.0</v>
      </c>
      <c r="D922" s="172">
        <v>1.0</v>
      </c>
      <c r="E922" s="172" t="s">
        <v>41</v>
      </c>
      <c r="F922" s="161"/>
      <c r="H922" s="172">
        <v>18.0</v>
      </c>
    </row>
    <row r="923" ht="15.75" hidden="1" customHeight="1">
      <c r="A923" s="235">
        <v>46132.0</v>
      </c>
      <c r="B923" s="172" t="s">
        <v>71</v>
      </c>
      <c r="C923" s="172">
        <v>36.0</v>
      </c>
      <c r="D923" s="172">
        <v>1.0</v>
      </c>
      <c r="E923" s="172" t="s">
        <v>422</v>
      </c>
      <c r="F923" s="172"/>
      <c r="G923" s="173" t="s">
        <v>1293</v>
      </c>
      <c r="H923" s="172">
        <v>20.0</v>
      </c>
    </row>
    <row r="924" ht="15.75" hidden="1" customHeight="1">
      <c r="A924" s="235">
        <v>46132.0</v>
      </c>
      <c r="B924" s="172" t="s">
        <v>52</v>
      </c>
      <c r="C924" s="172">
        <v>32.0</v>
      </c>
      <c r="D924" s="172">
        <v>1.0</v>
      </c>
      <c r="E924" s="172" t="s">
        <v>422</v>
      </c>
      <c r="F924" s="305"/>
      <c r="G924" s="306" t="s">
        <v>1294</v>
      </c>
      <c r="H924" s="172">
        <v>22.0</v>
      </c>
    </row>
    <row r="925" ht="15.75" hidden="1" customHeight="1">
      <c r="A925" s="235">
        <v>46132.0</v>
      </c>
      <c r="B925" s="172" t="s">
        <v>45</v>
      </c>
      <c r="C925" s="172">
        <v>32.0</v>
      </c>
      <c r="D925" s="172">
        <v>1.0</v>
      </c>
      <c r="E925" s="172" t="s">
        <v>422</v>
      </c>
      <c r="F925" s="305"/>
      <c r="G925" s="306" t="s">
        <v>1295</v>
      </c>
      <c r="H925" s="172">
        <v>20.0</v>
      </c>
    </row>
    <row r="926" ht="15.75" hidden="1" customHeight="1">
      <c r="A926" s="235">
        <v>46132.0</v>
      </c>
      <c r="B926" s="172" t="s">
        <v>45</v>
      </c>
      <c r="C926" s="172">
        <v>36.0</v>
      </c>
      <c r="D926" s="172">
        <v>1.0</v>
      </c>
      <c r="E926" s="172" t="s">
        <v>422</v>
      </c>
      <c r="F926" s="305"/>
      <c r="G926" s="306" t="s">
        <v>1296</v>
      </c>
      <c r="H926" s="172">
        <v>20.0</v>
      </c>
    </row>
    <row r="927" ht="15.75" hidden="1" customHeight="1">
      <c r="A927" s="235">
        <v>46132.0</v>
      </c>
      <c r="B927" s="172" t="s">
        <v>52</v>
      </c>
      <c r="C927" s="172">
        <v>32.0</v>
      </c>
      <c r="D927" s="172">
        <v>1.0</v>
      </c>
      <c r="E927" s="172" t="s">
        <v>422</v>
      </c>
      <c r="F927" s="305"/>
      <c r="G927" s="306" t="s">
        <v>1297</v>
      </c>
      <c r="H927" s="172">
        <v>22.0</v>
      </c>
    </row>
    <row r="928" ht="15.75" hidden="1" customHeight="1">
      <c r="A928" s="235">
        <v>46132.0</v>
      </c>
      <c r="B928" s="172" t="s">
        <v>53</v>
      </c>
      <c r="C928" s="172">
        <v>32.0</v>
      </c>
      <c r="D928" s="172">
        <v>1.0</v>
      </c>
      <c r="E928" s="172" t="s">
        <v>39</v>
      </c>
      <c r="F928" s="172"/>
      <c r="G928" s="173" t="s">
        <v>1298</v>
      </c>
      <c r="H928" s="172">
        <v>25.0</v>
      </c>
    </row>
    <row r="929" ht="15.75" hidden="1" customHeight="1">
      <c r="A929" s="235">
        <v>46132.0</v>
      </c>
      <c r="B929" s="172" t="s">
        <v>51</v>
      </c>
      <c r="C929" s="172">
        <v>34.0</v>
      </c>
      <c r="D929" s="172">
        <v>1.0</v>
      </c>
      <c r="E929" s="172" t="s">
        <v>411</v>
      </c>
      <c r="F929" s="172"/>
      <c r="G929" s="173" t="s">
        <v>1299</v>
      </c>
      <c r="H929" s="172">
        <v>22.0</v>
      </c>
    </row>
    <row r="930" ht="15.75" hidden="1" customHeight="1">
      <c r="A930" s="235">
        <v>46132.0</v>
      </c>
      <c r="B930" s="172" t="s">
        <v>45</v>
      </c>
      <c r="C930" s="172">
        <v>32.0</v>
      </c>
      <c r="D930" s="172">
        <v>1.0</v>
      </c>
      <c r="E930" s="172" t="s">
        <v>411</v>
      </c>
      <c r="F930" s="172"/>
      <c r="G930" s="173" t="s">
        <v>1300</v>
      </c>
      <c r="H930" s="172">
        <v>22.0</v>
      </c>
    </row>
    <row r="931" ht="15.75" hidden="1" customHeight="1">
      <c r="A931" s="235">
        <v>46132.0</v>
      </c>
      <c r="B931" s="172" t="s">
        <v>52</v>
      </c>
      <c r="C931" s="172">
        <v>34.0</v>
      </c>
      <c r="D931" s="172">
        <v>1.0</v>
      </c>
      <c r="E931" s="172" t="s">
        <v>411</v>
      </c>
      <c r="F931" s="172"/>
      <c r="G931" s="173" t="s">
        <v>1301</v>
      </c>
      <c r="H931" s="172">
        <v>28.0</v>
      </c>
    </row>
    <row r="932" ht="15.75" hidden="1" customHeight="1">
      <c r="A932" s="233">
        <v>46133.0</v>
      </c>
      <c r="B932" s="172" t="s">
        <v>51</v>
      </c>
      <c r="C932" s="172">
        <v>34.0</v>
      </c>
      <c r="D932" s="172">
        <v>1.0</v>
      </c>
      <c r="E932" s="172" t="s">
        <v>411</v>
      </c>
      <c r="F932" s="172"/>
      <c r="G932" s="173" t="s">
        <v>1302</v>
      </c>
      <c r="H932" s="172">
        <v>22.5</v>
      </c>
    </row>
    <row r="933" ht="15.75" hidden="1" customHeight="1">
      <c r="A933" s="235">
        <v>46133.0</v>
      </c>
      <c r="B933" s="172" t="s">
        <v>94</v>
      </c>
      <c r="C933" s="172">
        <v>34.0</v>
      </c>
      <c r="D933" s="172">
        <v>1.0</v>
      </c>
      <c r="E933" s="172" t="s">
        <v>411</v>
      </c>
      <c r="F933" s="172"/>
      <c r="G933" s="173" t="s">
        <v>1303</v>
      </c>
      <c r="H933" s="172">
        <v>20.0</v>
      </c>
    </row>
    <row r="934" ht="15.75" hidden="1" customHeight="1">
      <c r="A934" s="235">
        <v>46133.0</v>
      </c>
      <c r="B934" s="172" t="s">
        <v>45</v>
      </c>
      <c r="C934" s="172">
        <v>32.0</v>
      </c>
      <c r="D934" s="172">
        <v>1.0</v>
      </c>
      <c r="E934" s="172" t="s">
        <v>39</v>
      </c>
      <c r="F934" s="172"/>
      <c r="G934" s="173" t="s">
        <v>1304</v>
      </c>
      <c r="H934" s="172">
        <v>22.0</v>
      </c>
    </row>
    <row r="935" ht="15.75" hidden="1" customHeight="1">
      <c r="A935" s="235">
        <v>46133.0</v>
      </c>
      <c r="B935" s="172" t="s">
        <v>63</v>
      </c>
      <c r="C935" s="172">
        <v>34.0</v>
      </c>
      <c r="D935" s="172">
        <v>1.0</v>
      </c>
      <c r="E935" s="172" t="s">
        <v>422</v>
      </c>
      <c r="F935" s="172"/>
      <c r="G935" s="173" t="s">
        <v>1305</v>
      </c>
      <c r="H935" s="172">
        <v>20.0</v>
      </c>
    </row>
    <row r="936" ht="15.75" hidden="1" customHeight="1">
      <c r="A936" s="235">
        <v>46133.0</v>
      </c>
      <c r="B936" s="172" t="s">
        <v>53</v>
      </c>
      <c r="C936" s="172">
        <v>34.0</v>
      </c>
      <c r="D936" s="172">
        <v>1.0</v>
      </c>
      <c r="E936" s="172" t="s">
        <v>422</v>
      </c>
      <c r="F936" s="172"/>
      <c r="G936" s="173" t="s">
        <v>1306</v>
      </c>
      <c r="H936" s="172">
        <v>20.0</v>
      </c>
    </row>
    <row r="937" ht="15.75" hidden="1" customHeight="1">
      <c r="A937" s="235">
        <v>46133.0</v>
      </c>
      <c r="B937" s="172" t="s">
        <v>45</v>
      </c>
      <c r="C937" s="172">
        <v>32.0</v>
      </c>
      <c r="D937" s="172">
        <v>1.0</v>
      </c>
      <c r="E937" s="172" t="s">
        <v>411</v>
      </c>
      <c r="F937" s="172"/>
      <c r="G937" s="173" t="s">
        <v>1307</v>
      </c>
      <c r="H937" s="172">
        <v>23.0</v>
      </c>
      <c r="J937" s="173" t="s">
        <v>1308</v>
      </c>
    </row>
    <row r="938" ht="15.75" hidden="1" customHeight="1">
      <c r="A938" s="251">
        <v>46134.0</v>
      </c>
      <c r="B938" s="172" t="s">
        <v>45</v>
      </c>
      <c r="C938" s="172">
        <v>32.0</v>
      </c>
      <c r="D938" s="172">
        <v>1.0</v>
      </c>
      <c r="E938" s="172" t="s">
        <v>411</v>
      </c>
      <c r="F938" s="172"/>
      <c r="G938" s="173" t="s">
        <v>1309</v>
      </c>
      <c r="H938" s="172">
        <v>20.0</v>
      </c>
      <c r="J938" s="173" t="s">
        <v>1308</v>
      </c>
    </row>
    <row r="939" ht="15.75" hidden="1" customHeight="1">
      <c r="A939" s="234">
        <v>46134.0</v>
      </c>
      <c r="B939" s="172" t="s">
        <v>94</v>
      </c>
      <c r="C939" s="172">
        <v>32.0</v>
      </c>
      <c r="D939" s="172">
        <v>1.0</v>
      </c>
      <c r="E939" s="172" t="s">
        <v>441</v>
      </c>
      <c r="F939" s="172"/>
      <c r="G939" s="173" t="s">
        <v>1310</v>
      </c>
      <c r="H939" s="172">
        <v>20.0</v>
      </c>
      <c r="J939" s="173" t="s">
        <v>1308</v>
      </c>
    </row>
    <row r="940" ht="15.75" hidden="1" customHeight="1">
      <c r="A940" s="234">
        <v>46134.0</v>
      </c>
      <c r="B940" s="172" t="s">
        <v>52</v>
      </c>
      <c r="C940" s="172">
        <v>34.0</v>
      </c>
      <c r="D940" s="172">
        <v>1.0</v>
      </c>
      <c r="E940" s="172" t="s">
        <v>411</v>
      </c>
      <c r="F940" s="172"/>
      <c r="G940" s="173" t="s">
        <v>1311</v>
      </c>
      <c r="H940" s="172">
        <v>27.4</v>
      </c>
      <c r="J940" s="173" t="s">
        <v>1308</v>
      </c>
    </row>
    <row r="941" ht="15.75" hidden="1" customHeight="1">
      <c r="A941" s="233">
        <v>46135.0</v>
      </c>
      <c r="B941" s="172" t="s">
        <v>94</v>
      </c>
      <c r="C941" s="172">
        <v>34.0</v>
      </c>
      <c r="D941" s="172">
        <v>1.0</v>
      </c>
      <c r="E941" s="172" t="s">
        <v>411</v>
      </c>
      <c r="F941" s="172"/>
      <c r="G941" s="173" t="s">
        <v>1312</v>
      </c>
      <c r="H941" s="172">
        <v>20.0</v>
      </c>
      <c r="J941" s="173" t="s">
        <v>1308</v>
      </c>
    </row>
    <row r="942" ht="15.75" hidden="1" customHeight="1">
      <c r="A942" s="252">
        <v>46135.0</v>
      </c>
      <c r="B942" s="172" t="s">
        <v>51</v>
      </c>
      <c r="C942" s="172">
        <v>34.0</v>
      </c>
      <c r="D942" s="172">
        <v>1.0</v>
      </c>
      <c r="E942" s="172" t="s">
        <v>411</v>
      </c>
      <c r="F942" s="172"/>
      <c r="G942" s="173" t="s">
        <v>1313</v>
      </c>
      <c r="H942" s="172">
        <v>20.0</v>
      </c>
      <c r="J942" s="173" t="s">
        <v>1308</v>
      </c>
    </row>
    <row r="943" ht="18.0" hidden="1" customHeight="1">
      <c r="A943" s="252">
        <v>46135.0</v>
      </c>
      <c r="B943" s="172" t="s">
        <v>94</v>
      </c>
      <c r="C943" s="172">
        <v>32.0</v>
      </c>
      <c r="D943" s="172">
        <v>1.0</v>
      </c>
      <c r="E943" s="172" t="s">
        <v>441</v>
      </c>
      <c r="F943" s="172"/>
      <c r="G943" s="173" t="s">
        <v>1314</v>
      </c>
      <c r="H943" s="172">
        <v>21.0</v>
      </c>
      <c r="J943" s="173" t="s">
        <v>1308</v>
      </c>
    </row>
    <row r="944" ht="15.75" hidden="1" customHeight="1">
      <c r="A944" s="235">
        <v>46135.0</v>
      </c>
      <c r="B944" s="172" t="s">
        <v>52</v>
      </c>
      <c r="C944" s="172">
        <v>36.0</v>
      </c>
      <c r="D944" s="172">
        <v>1.0</v>
      </c>
      <c r="E944" s="172" t="s">
        <v>422</v>
      </c>
      <c r="F944" s="172"/>
      <c r="G944" s="173" t="s">
        <v>1315</v>
      </c>
      <c r="H944" s="172">
        <v>22.0</v>
      </c>
      <c r="J944" s="173" t="s">
        <v>1308</v>
      </c>
    </row>
    <row r="945" ht="15.75" hidden="1" customHeight="1">
      <c r="A945" s="235">
        <v>46135.0</v>
      </c>
      <c r="B945" s="172" t="s">
        <v>52</v>
      </c>
      <c r="C945" s="172">
        <v>32.0</v>
      </c>
      <c r="D945" s="172">
        <v>1.0</v>
      </c>
      <c r="E945" s="172" t="s">
        <v>422</v>
      </c>
      <c r="F945" s="172"/>
      <c r="G945" s="173" t="s">
        <v>1316</v>
      </c>
      <c r="H945" s="172">
        <v>20.0</v>
      </c>
      <c r="J945" s="173" t="s">
        <v>1308</v>
      </c>
    </row>
    <row r="946" ht="15.75" hidden="1" customHeight="1">
      <c r="A946" s="235">
        <v>46135.0</v>
      </c>
      <c r="B946" s="172" t="s">
        <v>94</v>
      </c>
      <c r="C946" s="172">
        <v>32.0</v>
      </c>
      <c r="D946" s="172">
        <v>1.0</v>
      </c>
      <c r="E946" s="172" t="s">
        <v>441</v>
      </c>
      <c r="F946" s="172"/>
      <c r="G946" s="173" t="s">
        <v>1317</v>
      </c>
      <c r="H946" s="172">
        <v>20.0</v>
      </c>
      <c r="J946" s="173" t="s">
        <v>1308</v>
      </c>
    </row>
    <row r="947" ht="15.75" hidden="1" customHeight="1">
      <c r="A947" s="235">
        <v>46135.0</v>
      </c>
      <c r="B947" s="172" t="s">
        <v>94</v>
      </c>
      <c r="C947" s="172">
        <v>32.0</v>
      </c>
      <c r="D947" s="172">
        <v>1.0</v>
      </c>
      <c r="E947" s="172" t="s">
        <v>441</v>
      </c>
      <c r="F947" s="172"/>
      <c r="G947" s="173" t="s">
        <v>1318</v>
      </c>
      <c r="H947" s="172">
        <v>20.0</v>
      </c>
      <c r="J947" s="173" t="s">
        <v>1308</v>
      </c>
    </row>
    <row r="948" ht="15.75" hidden="1" customHeight="1">
      <c r="A948" s="235">
        <v>46135.0</v>
      </c>
      <c r="B948" s="172" t="s">
        <v>1114</v>
      </c>
      <c r="C948" s="172">
        <v>32.0</v>
      </c>
      <c r="D948" s="172">
        <v>1.0</v>
      </c>
      <c r="E948" s="172" t="s">
        <v>441</v>
      </c>
      <c r="F948" s="172"/>
      <c r="G948" s="173" t="s">
        <v>1319</v>
      </c>
      <c r="H948" s="172">
        <v>25.0</v>
      </c>
      <c r="J948" s="173" t="s">
        <v>1308</v>
      </c>
    </row>
    <row r="949" ht="15.75" hidden="1" customHeight="1">
      <c r="A949" s="235">
        <v>46135.0</v>
      </c>
      <c r="B949" s="172" t="s">
        <v>94</v>
      </c>
      <c r="C949" s="172">
        <v>34.0</v>
      </c>
      <c r="D949" s="172">
        <v>1.0</v>
      </c>
      <c r="E949" s="172" t="s">
        <v>411</v>
      </c>
      <c r="F949" s="172"/>
      <c r="G949" s="173" t="s">
        <v>1320</v>
      </c>
      <c r="H949" s="172">
        <v>20.0</v>
      </c>
      <c r="J949" s="173" t="s">
        <v>1308</v>
      </c>
    </row>
    <row r="950" ht="15.75" hidden="1" customHeight="1">
      <c r="A950" s="235">
        <v>46135.0</v>
      </c>
      <c r="B950" s="172" t="s">
        <v>51</v>
      </c>
      <c r="C950" s="172">
        <v>34.0</v>
      </c>
      <c r="D950" s="172">
        <v>1.0</v>
      </c>
      <c r="E950" s="172" t="s">
        <v>411</v>
      </c>
      <c r="F950" s="172"/>
      <c r="G950" s="173" t="s">
        <v>1321</v>
      </c>
      <c r="H950" s="172">
        <v>22.0</v>
      </c>
      <c r="J950" s="173" t="s">
        <v>1308</v>
      </c>
    </row>
    <row r="951" ht="15.75" hidden="1" customHeight="1">
      <c r="A951" s="235">
        <v>46135.0</v>
      </c>
      <c r="B951" s="172" t="s">
        <v>50</v>
      </c>
      <c r="C951" s="172">
        <v>36.0</v>
      </c>
      <c r="D951" s="172">
        <v>1.0</v>
      </c>
      <c r="E951" s="172" t="s">
        <v>422</v>
      </c>
      <c r="F951" s="172"/>
      <c r="G951" s="173" t="s">
        <v>1322</v>
      </c>
      <c r="H951" s="172">
        <v>20.0</v>
      </c>
      <c r="J951" s="173" t="s">
        <v>1308</v>
      </c>
    </row>
    <row r="952" ht="15.75" hidden="1" customHeight="1">
      <c r="A952" s="235">
        <v>46135.0</v>
      </c>
      <c r="B952" s="172" t="s">
        <v>63</v>
      </c>
      <c r="C952" s="172">
        <v>34.0</v>
      </c>
      <c r="D952" s="172">
        <v>1.0</v>
      </c>
      <c r="E952" s="172" t="s">
        <v>422</v>
      </c>
      <c r="F952" s="172"/>
      <c r="G952" s="173" t="s">
        <v>1323</v>
      </c>
      <c r="H952" s="172">
        <v>22.0</v>
      </c>
      <c r="J952" s="173" t="s">
        <v>1308</v>
      </c>
    </row>
    <row r="953" ht="15.75" hidden="1" customHeight="1">
      <c r="A953" s="235">
        <v>46135.0</v>
      </c>
      <c r="B953" s="172" t="s">
        <v>53</v>
      </c>
      <c r="C953" s="172">
        <v>34.0</v>
      </c>
      <c r="D953" s="172">
        <v>1.0</v>
      </c>
      <c r="E953" s="172" t="s">
        <v>422</v>
      </c>
      <c r="F953" s="172"/>
      <c r="G953" s="173" t="s">
        <v>1324</v>
      </c>
      <c r="H953" s="172">
        <v>22.0</v>
      </c>
      <c r="J953" s="173" t="s">
        <v>1308</v>
      </c>
    </row>
    <row r="954" ht="15.75" hidden="1" customHeight="1">
      <c r="A954" s="320">
        <v>46136.0</v>
      </c>
      <c r="B954" s="169" t="s">
        <v>94</v>
      </c>
      <c r="C954" s="169">
        <v>32.0</v>
      </c>
      <c r="D954" s="179">
        <v>1.0</v>
      </c>
      <c r="E954" s="169" t="s">
        <v>411</v>
      </c>
      <c r="F954" s="169"/>
      <c r="G954" s="170" t="s">
        <v>1325</v>
      </c>
      <c r="H954" s="321">
        <v>21.6</v>
      </c>
      <c r="I954" s="170"/>
      <c r="J954" s="322" t="s">
        <v>1308</v>
      </c>
      <c r="K954" s="170"/>
      <c r="L954" s="170"/>
      <c r="M954" s="323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  <c r="AB954" s="170"/>
      <c r="AC954" s="170"/>
      <c r="AD954" s="170"/>
      <c r="AE954" s="170"/>
      <c r="AF954" s="170"/>
      <c r="AG954" s="170"/>
      <c r="AH954" s="170"/>
    </row>
    <row r="955" ht="15.75" hidden="1" customHeight="1">
      <c r="A955" s="235">
        <v>46136.0</v>
      </c>
      <c r="B955" s="172" t="s">
        <v>52</v>
      </c>
      <c r="C955" s="172">
        <v>32.0</v>
      </c>
      <c r="D955" s="172">
        <v>1.0</v>
      </c>
      <c r="E955" s="172" t="s">
        <v>422</v>
      </c>
      <c r="F955" s="305"/>
      <c r="G955" s="306" t="s">
        <v>1326</v>
      </c>
      <c r="H955" s="172">
        <v>22.0</v>
      </c>
      <c r="J955" s="173" t="s">
        <v>1308</v>
      </c>
    </row>
    <row r="956" ht="15.75" hidden="1" customHeight="1">
      <c r="A956" s="235">
        <v>46136.0</v>
      </c>
      <c r="B956" s="172" t="s">
        <v>52</v>
      </c>
      <c r="C956" s="172">
        <v>34.0</v>
      </c>
      <c r="D956" s="172">
        <v>1.0</v>
      </c>
      <c r="E956" s="172" t="s">
        <v>422</v>
      </c>
      <c r="F956" s="310"/>
      <c r="G956" s="311" t="s">
        <v>1327</v>
      </c>
      <c r="H956" s="172">
        <v>20.0</v>
      </c>
      <c r="J956" s="173" t="s">
        <v>1308</v>
      </c>
    </row>
    <row r="957" ht="15.75" hidden="1" customHeight="1">
      <c r="A957" s="235">
        <v>46136.0</v>
      </c>
      <c r="B957" s="172" t="s">
        <v>1114</v>
      </c>
      <c r="C957" s="172">
        <v>32.0</v>
      </c>
      <c r="D957" s="172">
        <v>1.0</v>
      </c>
      <c r="E957" s="172" t="s">
        <v>441</v>
      </c>
      <c r="F957" s="172"/>
      <c r="G957" s="173" t="s">
        <v>1328</v>
      </c>
      <c r="H957" s="172">
        <v>20.0</v>
      </c>
      <c r="J957" s="173" t="s">
        <v>1308</v>
      </c>
    </row>
    <row r="958" ht="15.75" hidden="1" customHeight="1">
      <c r="A958" s="235">
        <v>46136.0</v>
      </c>
      <c r="B958" s="172" t="s">
        <v>1114</v>
      </c>
      <c r="C958" s="172">
        <v>32.0</v>
      </c>
      <c r="D958" s="172">
        <v>1.0</v>
      </c>
      <c r="E958" s="172" t="s">
        <v>441</v>
      </c>
      <c r="F958" s="172"/>
      <c r="G958" s="173" t="s">
        <v>1329</v>
      </c>
      <c r="H958" s="172">
        <v>20.0</v>
      </c>
      <c r="J958" s="173" t="s">
        <v>1308</v>
      </c>
    </row>
    <row r="959" ht="15.75" hidden="1" customHeight="1">
      <c r="A959" s="235">
        <v>46136.0</v>
      </c>
      <c r="B959" s="172" t="s">
        <v>51</v>
      </c>
      <c r="C959" s="172">
        <v>32.0</v>
      </c>
      <c r="D959" s="172">
        <v>1.0</v>
      </c>
      <c r="E959" s="172" t="s">
        <v>411</v>
      </c>
      <c r="F959" s="172"/>
      <c r="G959" s="173" t="s">
        <v>1330</v>
      </c>
      <c r="H959" s="172">
        <v>20.0</v>
      </c>
      <c r="J959" s="173" t="s">
        <v>1308</v>
      </c>
    </row>
    <row r="960" ht="15.75" hidden="1" customHeight="1">
      <c r="A960" s="235">
        <v>46136.0</v>
      </c>
      <c r="B960" s="172" t="s">
        <v>51</v>
      </c>
      <c r="C960" s="172">
        <v>34.0</v>
      </c>
      <c r="D960" s="172">
        <v>1.0</v>
      </c>
      <c r="E960" s="172" t="s">
        <v>411</v>
      </c>
      <c r="F960" s="172"/>
      <c r="G960" s="173" t="s">
        <v>1331</v>
      </c>
      <c r="H960" s="172">
        <v>22.0</v>
      </c>
      <c r="J960" s="173" t="s">
        <v>1308</v>
      </c>
    </row>
    <row r="961" ht="15.75" hidden="1" customHeight="1">
      <c r="A961" s="235">
        <v>46136.0</v>
      </c>
      <c r="B961" s="172" t="s">
        <v>52</v>
      </c>
      <c r="C961" s="172">
        <v>32.0</v>
      </c>
      <c r="D961" s="172">
        <v>1.0</v>
      </c>
      <c r="E961" s="172" t="s">
        <v>411</v>
      </c>
      <c r="F961" s="172"/>
      <c r="G961" s="173" t="s">
        <v>1332</v>
      </c>
      <c r="H961" s="172">
        <v>28.0</v>
      </c>
      <c r="J961" s="173" t="s">
        <v>1308</v>
      </c>
    </row>
    <row r="962" ht="15.75" hidden="1" customHeight="1">
      <c r="A962" s="235">
        <v>46136.0</v>
      </c>
      <c r="B962" s="172" t="s">
        <v>51</v>
      </c>
      <c r="C962" s="172">
        <v>32.0</v>
      </c>
      <c r="D962" s="172">
        <v>1.0</v>
      </c>
      <c r="E962" s="172" t="s">
        <v>441</v>
      </c>
      <c r="F962" s="172"/>
      <c r="G962" s="173" t="s">
        <v>1333</v>
      </c>
      <c r="H962" s="172">
        <v>24.3</v>
      </c>
      <c r="I962" s="173" t="s">
        <v>1334</v>
      </c>
      <c r="J962" s="173" t="s">
        <v>1308</v>
      </c>
    </row>
    <row r="963" ht="15.75" hidden="1" customHeight="1">
      <c r="A963" s="233">
        <v>46137.0</v>
      </c>
      <c r="B963" s="172" t="s">
        <v>50</v>
      </c>
      <c r="C963" s="172">
        <v>34.0</v>
      </c>
      <c r="D963" s="172">
        <v>1.0</v>
      </c>
      <c r="E963" s="172" t="s">
        <v>39</v>
      </c>
      <c r="F963" s="172"/>
      <c r="G963" s="173" t="s">
        <v>1335</v>
      </c>
      <c r="H963" s="172">
        <v>20.0</v>
      </c>
      <c r="J963" s="173" t="s">
        <v>1308</v>
      </c>
    </row>
    <row r="964" ht="15.75" hidden="1" customHeight="1">
      <c r="A964" s="235">
        <v>46137.0</v>
      </c>
      <c r="B964" s="172" t="s">
        <v>53</v>
      </c>
      <c r="C964" s="172">
        <v>34.0</v>
      </c>
      <c r="D964" s="172">
        <v>1.0</v>
      </c>
      <c r="E964" s="172" t="s">
        <v>422</v>
      </c>
      <c r="F964" s="305"/>
      <c r="G964" s="306" t="s">
        <v>1336</v>
      </c>
      <c r="H964" s="172">
        <v>22.0</v>
      </c>
      <c r="J964" s="173" t="s">
        <v>1308</v>
      </c>
    </row>
    <row r="965" ht="15.75" hidden="1" customHeight="1">
      <c r="A965" s="235">
        <v>46137.0</v>
      </c>
      <c r="B965" s="172" t="s">
        <v>52</v>
      </c>
      <c r="C965" s="172">
        <v>32.0</v>
      </c>
      <c r="D965" s="172">
        <v>1.0</v>
      </c>
      <c r="E965" s="172" t="s">
        <v>422</v>
      </c>
      <c r="F965" s="305"/>
      <c r="G965" s="306" t="s">
        <v>1337</v>
      </c>
      <c r="H965" s="172">
        <v>22.0</v>
      </c>
      <c r="J965" s="173" t="s">
        <v>1308</v>
      </c>
    </row>
    <row r="966" ht="15.75" hidden="1" customHeight="1">
      <c r="A966" s="235">
        <v>46137.0</v>
      </c>
      <c r="B966" s="172" t="s">
        <v>51</v>
      </c>
      <c r="C966" s="172">
        <v>32.0</v>
      </c>
      <c r="D966" s="172">
        <v>1.0</v>
      </c>
      <c r="E966" s="172" t="s">
        <v>441</v>
      </c>
      <c r="F966" s="172"/>
      <c r="G966" s="173" t="s">
        <v>1338</v>
      </c>
      <c r="H966" s="172">
        <v>20.0</v>
      </c>
      <c r="J966" s="173" t="s">
        <v>1308</v>
      </c>
    </row>
    <row r="967" ht="15.75" hidden="1" customHeight="1">
      <c r="A967" s="235">
        <v>46137.0</v>
      </c>
      <c r="B967" s="172" t="s">
        <v>1114</v>
      </c>
      <c r="C967" s="172">
        <v>32.0</v>
      </c>
      <c r="D967" s="172">
        <v>1.0</v>
      </c>
      <c r="E967" s="172" t="s">
        <v>441</v>
      </c>
      <c r="F967" s="172"/>
      <c r="G967" s="173" t="s">
        <v>1338</v>
      </c>
      <c r="H967" s="172">
        <v>20.0</v>
      </c>
      <c r="J967" s="173" t="s">
        <v>1308</v>
      </c>
    </row>
    <row r="968" ht="15.75" hidden="1" customHeight="1">
      <c r="A968" s="235">
        <v>46137.0</v>
      </c>
      <c r="B968" s="172" t="s">
        <v>52</v>
      </c>
      <c r="C968" s="172">
        <v>34.0</v>
      </c>
      <c r="D968" s="172">
        <v>1.0</v>
      </c>
      <c r="E968" s="172" t="s">
        <v>39</v>
      </c>
      <c r="F968" s="172"/>
      <c r="G968" s="173" t="s">
        <v>1339</v>
      </c>
      <c r="H968" s="172">
        <v>21.5</v>
      </c>
      <c r="J968" s="173" t="s">
        <v>1308</v>
      </c>
    </row>
    <row r="969" ht="15.75" hidden="1" customHeight="1">
      <c r="A969" s="235">
        <v>46137.0</v>
      </c>
      <c r="B969" s="172" t="s">
        <v>63</v>
      </c>
      <c r="C969" s="172">
        <v>34.0</v>
      </c>
      <c r="D969" s="172">
        <v>1.0</v>
      </c>
      <c r="E969" s="172" t="s">
        <v>422</v>
      </c>
      <c r="F969" s="305"/>
      <c r="G969" s="306" t="s">
        <v>1340</v>
      </c>
      <c r="H969" s="172">
        <v>20.0</v>
      </c>
      <c r="J969" s="173" t="s">
        <v>1308</v>
      </c>
    </row>
    <row r="970" ht="15.75" hidden="1" customHeight="1">
      <c r="A970" s="235">
        <v>46137.0</v>
      </c>
      <c r="B970" s="172" t="s">
        <v>53</v>
      </c>
      <c r="C970" s="172">
        <v>34.0</v>
      </c>
      <c r="D970" s="172">
        <v>1.0</v>
      </c>
      <c r="E970" s="172" t="s">
        <v>422</v>
      </c>
      <c r="F970" s="305"/>
      <c r="G970" s="306" t="s">
        <v>1341</v>
      </c>
      <c r="H970" s="172">
        <v>20.0</v>
      </c>
      <c r="J970" s="173" t="s">
        <v>1308</v>
      </c>
    </row>
    <row r="971" ht="15.75" hidden="1" customHeight="1">
      <c r="A971" s="235">
        <v>46137.0</v>
      </c>
      <c r="B971" s="172" t="s">
        <v>1114</v>
      </c>
      <c r="C971" s="172">
        <v>32.0</v>
      </c>
      <c r="D971" s="172">
        <v>1.0</v>
      </c>
      <c r="E971" s="172" t="s">
        <v>441</v>
      </c>
      <c r="F971" s="172"/>
      <c r="G971" s="173" t="s">
        <v>1342</v>
      </c>
      <c r="H971" s="172">
        <v>20.0</v>
      </c>
      <c r="J971" s="173" t="s">
        <v>1308</v>
      </c>
    </row>
    <row r="972" ht="15.75" hidden="1" customHeight="1">
      <c r="A972" s="235">
        <v>46137.0</v>
      </c>
      <c r="B972" s="172" t="s">
        <v>94</v>
      </c>
      <c r="C972" s="172">
        <v>32.0</v>
      </c>
      <c r="D972" s="172">
        <v>1.0</v>
      </c>
      <c r="E972" s="172" t="s">
        <v>441</v>
      </c>
      <c r="F972" s="172"/>
      <c r="G972" s="173" t="s">
        <v>1343</v>
      </c>
      <c r="H972" s="172">
        <v>20.0</v>
      </c>
      <c r="J972" s="173" t="s">
        <v>1308</v>
      </c>
    </row>
    <row r="973" ht="15.75" hidden="1" customHeight="1">
      <c r="A973" s="235">
        <v>46137.0</v>
      </c>
      <c r="B973" s="172" t="s">
        <v>94</v>
      </c>
      <c r="C973" s="172">
        <v>32.0</v>
      </c>
      <c r="D973" s="172">
        <v>1.0</v>
      </c>
      <c r="E973" s="172" t="s">
        <v>441</v>
      </c>
      <c r="F973" s="172"/>
      <c r="G973" s="173" t="s">
        <v>1344</v>
      </c>
      <c r="H973" s="172">
        <v>25.0</v>
      </c>
      <c r="J973" s="173" t="s">
        <v>1308</v>
      </c>
    </row>
    <row r="974" ht="15.75" hidden="1" customHeight="1">
      <c r="A974" s="251">
        <v>46138.0</v>
      </c>
      <c r="B974" s="172" t="s">
        <v>63</v>
      </c>
      <c r="C974" s="172">
        <v>34.0</v>
      </c>
      <c r="D974" s="172">
        <v>1.0</v>
      </c>
      <c r="E974" s="172" t="s">
        <v>422</v>
      </c>
      <c r="F974" s="172"/>
      <c r="G974" s="173" t="s">
        <v>919</v>
      </c>
      <c r="H974" s="172">
        <v>22.0</v>
      </c>
      <c r="J974" s="173" t="s">
        <v>1308</v>
      </c>
    </row>
    <row r="975" ht="15.75" hidden="1" customHeight="1">
      <c r="A975" s="235">
        <v>46138.0</v>
      </c>
      <c r="B975" s="172" t="s">
        <v>94</v>
      </c>
      <c r="C975" s="172">
        <v>32.0</v>
      </c>
      <c r="D975" s="172">
        <v>1.0</v>
      </c>
      <c r="E975" s="172" t="s">
        <v>441</v>
      </c>
      <c r="F975" s="172"/>
      <c r="G975" s="173" t="s">
        <v>1345</v>
      </c>
      <c r="H975" s="172">
        <v>23.4</v>
      </c>
      <c r="J975" s="173" t="s">
        <v>1308</v>
      </c>
    </row>
    <row r="976" ht="15.75" hidden="1" customHeight="1">
      <c r="A976" s="235">
        <v>46138.0</v>
      </c>
      <c r="B976" s="172" t="s">
        <v>52</v>
      </c>
      <c r="C976" s="172">
        <v>32.0</v>
      </c>
      <c r="D976" s="172">
        <v>1.0</v>
      </c>
      <c r="E976" s="172" t="s">
        <v>411</v>
      </c>
      <c r="F976" s="172"/>
      <c r="G976" s="173" t="s">
        <v>1346</v>
      </c>
      <c r="H976" s="172">
        <v>20.0</v>
      </c>
      <c r="J976" s="173" t="s">
        <v>1308</v>
      </c>
    </row>
    <row r="977" ht="15.75" hidden="1" customHeight="1">
      <c r="A977" s="235">
        <v>46138.0</v>
      </c>
      <c r="B977" s="172" t="s">
        <v>94</v>
      </c>
      <c r="C977" s="172">
        <v>32.0</v>
      </c>
      <c r="D977" s="172">
        <v>1.0</v>
      </c>
      <c r="E977" s="172" t="s">
        <v>41</v>
      </c>
      <c r="F977" s="161"/>
      <c r="H977" s="172">
        <v>18.0</v>
      </c>
      <c r="J977" s="173" t="s">
        <v>1308</v>
      </c>
    </row>
    <row r="978" ht="15.75" hidden="1" customHeight="1">
      <c r="A978" s="235">
        <v>46138.0</v>
      </c>
      <c r="B978" s="172" t="s">
        <v>94</v>
      </c>
      <c r="C978" s="172">
        <v>34.0</v>
      </c>
      <c r="D978" s="172">
        <v>1.0</v>
      </c>
      <c r="E978" s="172" t="s">
        <v>41</v>
      </c>
      <c r="F978" s="161"/>
      <c r="H978" s="172">
        <v>18.0</v>
      </c>
      <c r="J978" s="173" t="s">
        <v>1308</v>
      </c>
    </row>
    <row r="979" ht="15.75" hidden="1" customHeight="1">
      <c r="A979" s="235">
        <v>46138.0</v>
      </c>
      <c r="B979" s="172" t="s">
        <v>52</v>
      </c>
      <c r="C979" s="172">
        <v>32.0</v>
      </c>
      <c r="D979" s="172">
        <v>1.0</v>
      </c>
      <c r="E979" s="172" t="s">
        <v>422</v>
      </c>
      <c r="F979" s="172"/>
      <c r="G979" s="173" t="s">
        <v>1347</v>
      </c>
      <c r="H979" s="172">
        <v>22.0</v>
      </c>
      <c r="J979" s="173" t="s">
        <v>1308</v>
      </c>
    </row>
    <row r="980" ht="15.75" hidden="1" customHeight="1">
      <c r="A980" s="235">
        <v>46138.0</v>
      </c>
      <c r="B980" s="172" t="s">
        <v>63</v>
      </c>
      <c r="C980" s="172">
        <v>34.0</v>
      </c>
      <c r="D980" s="172">
        <v>1.0</v>
      </c>
      <c r="E980" s="172" t="s">
        <v>422</v>
      </c>
      <c r="F980" s="310"/>
      <c r="G980" s="311" t="s">
        <v>1348</v>
      </c>
      <c r="H980" s="172">
        <v>22.0</v>
      </c>
      <c r="J980" s="173" t="s">
        <v>1308</v>
      </c>
    </row>
    <row r="981" ht="15.75" hidden="1" customHeight="1">
      <c r="A981" s="235">
        <v>46138.0</v>
      </c>
      <c r="B981" s="172" t="s">
        <v>53</v>
      </c>
      <c r="C981" s="172">
        <v>34.0</v>
      </c>
      <c r="D981" s="172">
        <v>1.0</v>
      </c>
      <c r="E981" s="172" t="s">
        <v>422</v>
      </c>
      <c r="F981" s="305"/>
      <c r="G981" s="306" t="s">
        <v>1349</v>
      </c>
      <c r="H981" s="172">
        <v>20.0</v>
      </c>
      <c r="J981" s="173" t="s">
        <v>1308</v>
      </c>
    </row>
    <row r="982" ht="15.75" hidden="1" customHeight="1">
      <c r="A982" s="235">
        <v>46138.0</v>
      </c>
      <c r="B982" s="172" t="s">
        <v>94</v>
      </c>
      <c r="C982" s="172">
        <v>34.0</v>
      </c>
      <c r="D982" s="172">
        <v>1.0</v>
      </c>
      <c r="E982" s="172" t="s">
        <v>411</v>
      </c>
      <c r="F982" s="172"/>
      <c r="G982" s="173" t="s">
        <v>1350</v>
      </c>
      <c r="H982" s="172">
        <v>20.0</v>
      </c>
      <c r="J982" s="173" t="s">
        <v>1308</v>
      </c>
    </row>
    <row r="983" ht="15.75" hidden="1" customHeight="1">
      <c r="A983" s="235">
        <v>46138.0</v>
      </c>
      <c r="B983" s="172" t="s">
        <v>63</v>
      </c>
      <c r="C983" s="172">
        <v>34.0</v>
      </c>
      <c r="D983" s="172">
        <v>1.0</v>
      </c>
      <c r="E983" s="172" t="s">
        <v>422</v>
      </c>
      <c r="F983" s="172"/>
      <c r="G983" s="173" t="s">
        <v>1351</v>
      </c>
      <c r="H983" s="172">
        <v>22.0</v>
      </c>
      <c r="J983" s="173" t="s">
        <v>1308</v>
      </c>
    </row>
    <row r="984" ht="15.75" hidden="1" customHeight="1">
      <c r="A984" s="235">
        <v>46138.0</v>
      </c>
      <c r="B984" s="172" t="s">
        <v>53</v>
      </c>
      <c r="C984" s="172">
        <v>34.0</v>
      </c>
      <c r="D984" s="172">
        <v>1.0</v>
      </c>
      <c r="E984" s="172" t="s">
        <v>422</v>
      </c>
      <c r="F984" s="305"/>
      <c r="G984" s="306" t="s">
        <v>1352</v>
      </c>
      <c r="H984" s="172">
        <v>20.0</v>
      </c>
      <c r="J984" s="173" t="s">
        <v>1308</v>
      </c>
    </row>
    <row r="985" ht="15.75" hidden="1" customHeight="1">
      <c r="A985" s="235">
        <v>46138.0</v>
      </c>
      <c r="B985" s="172" t="s">
        <v>63</v>
      </c>
      <c r="C985" s="172">
        <v>34.0</v>
      </c>
      <c r="D985" s="172">
        <v>1.0</v>
      </c>
      <c r="E985" s="172" t="s">
        <v>422</v>
      </c>
      <c r="F985" s="172"/>
      <c r="G985" s="173" t="s">
        <v>1353</v>
      </c>
      <c r="H985" s="172">
        <v>22.0</v>
      </c>
      <c r="J985" s="173" t="s">
        <v>1308</v>
      </c>
    </row>
    <row r="986" ht="15.75" hidden="1" customHeight="1">
      <c r="A986" s="235">
        <v>46138.0</v>
      </c>
      <c r="B986" s="172" t="s">
        <v>53</v>
      </c>
      <c r="C986" s="172">
        <v>34.0</v>
      </c>
      <c r="D986" s="182">
        <v>1.0</v>
      </c>
      <c r="E986" s="182" t="s">
        <v>422</v>
      </c>
      <c r="F986" s="324"/>
      <c r="G986" s="325" t="s">
        <v>1354</v>
      </c>
      <c r="H986" s="182">
        <v>0.0</v>
      </c>
      <c r="J986" s="173" t="s">
        <v>1308</v>
      </c>
    </row>
    <row r="987" ht="15.75" hidden="1" customHeight="1">
      <c r="A987" s="235">
        <v>46138.0</v>
      </c>
      <c r="B987" s="172" t="s">
        <v>94</v>
      </c>
      <c r="C987" s="172">
        <v>34.0</v>
      </c>
      <c r="D987" s="172">
        <v>1.0</v>
      </c>
      <c r="E987" s="172" t="s">
        <v>441</v>
      </c>
      <c r="F987" s="172"/>
      <c r="G987" s="173" t="s">
        <v>1355</v>
      </c>
      <c r="H987" s="172">
        <v>20.0</v>
      </c>
      <c r="J987" s="173" t="s">
        <v>1308</v>
      </c>
    </row>
    <row r="988" ht="15.75" hidden="1" customHeight="1">
      <c r="A988" s="233">
        <v>46139.0</v>
      </c>
      <c r="B988" s="172" t="s">
        <v>53</v>
      </c>
      <c r="C988" s="172">
        <v>36.0</v>
      </c>
      <c r="D988" s="172">
        <v>1.0</v>
      </c>
      <c r="E988" s="172" t="s">
        <v>422</v>
      </c>
      <c r="F988" s="305"/>
      <c r="G988" s="306" t="s">
        <v>1356</v>
      </c>
      <c r="H988" s="172">
        <v>20.0</v>
      </c>
      <c r="J988" s="173" t="s">
        <v>1308</v>
      </c>
    </row>
    <row r="989" ht="15.75" hidden="1" customHeight="1">
      <c r="A989" s="235">
        <v>46139.0</v>
      </c>
      <c r="B989" s="172" t="s">
        <v>63</v>
      </c>
      <c r="C989" s="172">
        <v>32.0</v>
      </c>
      <c r="D989" s="172">
        <v>1.0</v>
      </c>
      <c r="E989" s="172" t="s">
        <v>411</v>
      </c>
      <c r="F989" s="172"/>
      <c r="G989" s="173" t="s">
        <v>1357</v>
      </c>
      <c r="H989" s="172">
        <v>20.49</v>
      </c>
      <c r="J989" s="173" t="s">
        <v>1308</v>
      </c>
    </row>
    <row r="990" ht="15.75" hidden="1" customHeight="1">
      <c r="A990" s="235">
        <v>46139.0</v>
      </c>
      <c r="B990" s="172" t="s">
        <v>53</v>
      </c>
      <c r="C990" s="172">
        <v>32.0</v>
      </c>
      <c r="D990" s="172">
        <v>1.0</v>
      </c>
      <c r="E990" s="172" t="s">
        <v>411</v>
      </c>
      <c r="F990" s="172"/>
      <c r="G990" s="173" t="s">
        <v>1358</v>
      </c>
      <c r="H990" s="172">
        <v>0.0</v>
      </c>
      <c r="I990" s="184" t="s">
        <v>1359</v>
      </c>
      <c r="J990" s="173" t="s">
        <v>1308</v>
      </c>
    </row>
    <row r="991" ht="15.75" hidden="1" customHeight="1">
      <c r="A991" s="235">
        <v>46139.0</v>
      </c>
      <c r="B991" s="172" t="s">
        <v>1114</v>
      </c>
      <c r="C991" s="172">
        <v>32.0</v>
      </c>
      <c r="D991" s="172">
        <v>1.0</v>
      </c>
      <c r="E991" s="172" t="s">
        <v>39</v>
      </c>
      <c r="F991" s="172"/>
      <c r="G991" s="173" t="s">
        <v>1360</v>
      </c>
      <c r="H991" s="172">
        <v>25.0</v>
      </c>
      <c r="J991" s="173" t="s">
        <v>1308</v>
      </c>
    </row>
    <row r="992" ht="15.75" hidden="1" customHeight="1">
      <c r="A992" s="235">
        <v>46139.0</v>
      </c>
      <c r="B992" s="172" t="s">
        <v>51</v>
      </c>
      <c r="C992" s="172">
        <v>34.0</v>
      </c>
      <c r="D992" s="172">
        <v>1.0</v>
      </c>
      <c r="E992" s="172" t="s">
        <v>411</v>
      </c>
      <c r="F992" s="172"/>
      <c r="G992" s="173" t="s">
        <v>1361</v>
      </c>
      <c r="H992" s="172">
        <v>20.0</v>
      </c>
      <c r="J992" s="173" t="s">
        <v>1308</v>
      </c>
    </row>
    <row r="993" ht="15.75" hidden="1" customHeight="1">
      <c r="A993" s="235">
        <v>46139.0</v>
      </c>
      <c r="B993" s="172" t="s">
        <v>94</v>
      </c>
      <c r="C993" s="172">
        <v>32.0</v>
      </c>
      <c r="D993" s="172">
        <v>1.0</v>
      </c>
      <c r="E993" s="172" t="s">
        <v>41</v>
      </c>
      <c r="F993" s="161"/>
      <c r="H993" s="172">
        <v>18.0</v>
      </c>
      <c r="J993" s="173" t="s">
        <v>1308</v>
      </c>
    </row>
    <row r="994" ht="15.75" hidden="1" customHeight="1">
      <c r="A994" s="235">
        <v>46139.0</v>
      </c>
      <c r="B994" s="172" t="s">
        <v>53</v>
      </c>
      <c r="C994" s="172">
        <v>36.0</v>
      </c>
      <c r="D994" s="172">
        <v>1.0</v>
      </c>
      <c r="E994" s="172" t="s">
        <v>422</v>
      </c>
      <c r="F994" s="305"/>
      <c r="G994" s="306" t="s">
        <v>1362</v>
      </c>
      <c r="H994" s="172">
        <v>22.0</v>
      </c>
      <c r="J994" s="173" t="s">
        <v>1308</v>
      </c>
    </row>
    <row r="995" ht="15.75" hidden="1" customHeight="1">
      <c r="A995" s="246">
        <v>46139.0</v>
      </c>
      <c r="B995" s="182" t="s">
        <v>53</v>
      </c>
      <c r="C995" s="182">
        <v>36.0</v>
      </c>
      <c r="D995" s="182">
        <v>1.0</v>
      </c>
      <c r="E995" s="182" t="s">
        <v>422</v>
      </c>
      <c r="F995" s="324"/>
      <c r="G995" s="325" t="s">
        <v>1363</v>
      </c>
      <c r="H995" s="182">
        <v>0.0</v>
      </c>
      <c r="J995" s="173" t="s">
        <v>1308</v>
      </c>
    </row>
    <row r="996" ht="15.75" hidden="1" customHeight="1">
      <c r="A996" s="235">
        <v>46139.0</v>
      </c>
      <c r="B996" s="172" t="s">
        <v>51</v>
      </c>
      <c r="C996" s="172">
        <v>32.0</v>
      </c>
      <c r="D996" s="172">
        <v>1.0</v>
      </c>
      <c r="E996" s="172" t="s">
        <v>411</v>
      </c>
      <c r="F996" s="172"/>
      <c r="G996" s="173" t="s">
        <v>1364</v>
      </c>
      <c r="H996" s="172">
        <v>20.0</v>
      </c>
      <c r="J996" s="173" t="s">
        <v>1308</v>
      </c>
    </row>
    <row r="997" ht="15.75" hidden="1" customHeight="1">
      <c r="A997" s="246">
        <v>46139.0</v>
      </c>
      <c r="B997" s="182" t="s">
        <v>1114</v>
      </c>
      <c r="C997" s="182">
        <v>32.0</v>
      </c>
      <c r="D997" s="182">
        <v>1.0</v>
      </c>
      <c r="E997" s="182" t="s">
        <v>441</v>
      </c>
      <c r="F997" s="182"/>
      <c r="G997" s="184" t="s">
        <v>1365</v>
      </c>
      <c r="H997" s="182">
        <v>0.0</v>
      </c>
      <c r="J997" s="173" t="s">
        <v>1308</v>
      </c>
    </row>
    <row r="998" ht="15.75" hidden="1" customHeight="1">
      <c r="A998" s="235">
        <v>46139.0</v>
      </c>
      <c r="B998" s="172" t="s">
        <v>53</v>
      </c>
      <c r="C998" s="172">
        <v>32.0</v>
      </c>
      <c r="D998" s="172">
        <v>1.0</v>
      </c>
      <c r="E998" s="172" t="s">
        <v>411</v>
      </c>
      <c r="F998" s="172"/>
      <c r="G998" s="173" t="s">
        <v>1366</v>
      </c>
      <c r="H998" s="172">
        <v>28.0</v>
      </c>
      <c r="J998" s="173" t="s">
        <v>1308</v>
      </c>
    </row>
    <row r="999" ht="15.75" hidden="1" customHeight="1">
      <c r="A999" s="246">
        <v>46139.0</v>
      </c>
      <c r="B999" s="182" t="s">
        <v>63</v>
      </c>
      <c r="C999" s="182">
        <v>34.0</v>
      </c>
      <c r="D999" s="182">
        <v>1.0</v>
      </c>
      <c r="E999" s="182" t="s">
        <v>422</v>
      </c>
      <c r="F999" s="326"/>
      <c r="G999" s="327" t="s">
        <v>1116</v>
      </c>
      <c r="H999" s="182">
        <v>0.0</v>
      </c>
      <c r="J999" s="173" t="s">
        <v>1308</v>
      </c>
    </row>
    <row r="1000" ht="15.75" hidden="1" customHeight="1">
      <c r="A1000" s="246">
        <v>46140.0</v>
      </c>
      <c r="B1000" s="182" t="s">
        <v>52</v>
      </c>
      <c r="C1000" s="182">
        <v>32.0</v>
      </c>
      <c r="D1000" s="182">
        <v>1.0</v>
      </c>
      <c r="E1000" s="182" t="s">
        <v>411</v>
      </c>
      <c r="F1000" s="182"/>
      <c r="G1000" s="184" t="s">
        <v>1367</v>
      </c>
      <c r="H1000" s="182">
        <v>10.0</v>
      </c>
      <c r="I1000" s="173" t="s">
        <v>1074</v>
      </c>
      <c r="J1000" s="173" t="s">
        <v>1308</v>
      </c>
    </row>
    <row r="1001" ht="15.75" hidden="1" customHeight="1">
      <c r="A1001" s="251">
        <v>46140.0</v>
      </c>
      <c r="B1001" s="172" t="s">
        <v>94</v>
      </c>
      <c r="C1001" s="172">
        <v>32.0</v>
      </c>
      <c r="D1001" s="172">
        <v>1.0</v>
      </c>
      <c r="E1001" s="172" t="s">
        <v>441</v>
      </c>
      <c r="F1001" s="172"/>
      <c r="G1001" s="173" t="s">
        <v>1368</v>
      </c>
      <c r="H1001" s="172">
        <v>26.0</v>
      </c>
      <c r="J1001" s="173" t="s">
        <v>1308</v>
      </c>
    </row>
    <row r="1002" ht="15.75" hidden="1" customHeight="1">
      <c r="A1002" s="235">
        <v>46140.0</v>
      </c>
      <c r="B1002" s="172" t="s">
        <v>52</v>
      </c>
      <c r="C1002" s="172">
        <v>34.0</v>
      </c>
      <c r="D1002" s="172">
        <v>1.0</v>
      </c>
      <c r="E1002" s="172" t="s">
        <v>422</v>
      </c>
      <c r="F1002" s="172"/>
      <c r="G1002" s="173" t="s">
        <v>1369</v>
      </c>
      <c r="H1002" s="172">
        <v>20.0</v>
      </c>
      <c r="J1002" s="173" t="s">
        <v>1308</v>
      </c>
    </row>
    <row r="1003" ht="15.75" hidden="1" customHeight="1">
      <c r="A1003" s="235">
        <v>46140.0</v>
      </c>
      <c r="B1003" s="172" t="s">
        <v>50</v>
      </c>
      <c r="C1003" s="172">
        <v>36.0</v>
      </c>
      <c r="D1003" s="172">
        <v>1.0</v>
      </c>
      <c r="E1003" s="172" t="s">
        <v>422</v>
      </c>
      <c r="F1003" s="172"/>
      <c r="G1003" s="173" t="s">
        <v>1370</v>
      </c>
      <c r="H1003" s="172">
        <v>22.0</v>
      </c>
      <c r="J1003" s="173" t="s">
        <v>1308</v>
      </c>
    </row>
    <row r="1004" ht="15.75" hidden="1" customHeight="1">
      <c r="A1004" s="235">
        <v>46140.0</v>
      </c>
      <c r="B1004" s="172" t="s">
        <v>52</v>
      </c>
      <c r="C1004" s="172">
        <v>32.0</v>
      </c>
      <c r="D1004" s="172">
        <v>1.0</v>
      </c>
      <c r="E1004" s="172" t="s">
        <v>39</v>
      </c>
      <c r="F1004" s="172"/>
      <c r="G1004" s="173" t="s">
        <v>1371</v>
      </c>
      <c r="H1004" s="172">
        <v>25.0</v>
      </c>
      <c r="J1004" s="173" t="s">
        <v>1308</v>
      </c>
    </row>
    <row r="1005" ht="15.75" hidden="1" customHeight="1">
      <c r="A1005" s="235">
        <v>46140.0</v>
      </c>
      <c r="B1005" s="172" t="s">
        <v>53</v>
      </c>
      <c r="C1005" s="172">
        <v>32.0</v>
      </c>
      <c r="D1005" s="172">
        <v>1.0</v>
      </c>
      <c r="E1005" s="172" t="s">
        <v>411</v>
      </c>
      <c r="F1005" s="172"/>
      <c r="G1005" s="173" t="s">
        <v>1372</v>
      </c>
      <c r="H1005" s="172">
        <v>24.7</v>
      </c>
      <c r="J1005" s="173" t="s">
        <v>1308</v>
      </c>
    </row>
    <row r="1006" ht="15.75" hidden="1" customHeight="1">
      <c r="A1006" s="235">
        <v>46140.0</v>
      </c>
      <c r="B1006" s="172" t="s">
        <v>52</v>
      </c>
      <c r="C1006" s="172">
        <v>36.0</v>
      </c>
      <c r="D1006" s="172">
        <v>1.0</v>
      </c>
      <c r="E1006" s="172" t="s">
        <v>422</v>
      </c>
      <c r="F1006" s="172"/>
      <c r="G1006" s="173" t="s">
        <v>1373</v>
      </c>
      <c r="H1006" s="172">
        <v>22.0</v>
      </c>
      <c r="J1006" s="173" t="s">
        <v>1308</v>
      </c>
    </row>
    <row r="1007" ht="15.75" hidden="1" customHeight="1">
      <c r="A1007" s="235">
        <v>46140.0</v>
      </c>
      <c r="B1007" s="172" t="s">
        <v>52</v>
      </c>
      <c r="C1007" s="172">
        <v>32.0</v>
      </c>
      <c r="D1007" s="172">
        <v>1.0</v>
      </c>
      <c r="E1007" s="172" t="s">
        <v>422</v>
      </c>
      <c r="F1007" s="172"/>
      <c r="G1007" s="173" t="s">
        <v>1374</v>
      </c>
      <c r="H1007" s="172">
        <v>20.0</v>
      </c>
      <c r="J1007" s="173" t="s">
        <v>1308</v>
      </c>
    </row>
    <row r="1008" ht="15.75" hidden="1" customHeight="1">
      <c r="A1008" s="235">
        <v>46140.0</v>
      </c>
      <c r="B1008" s="172" t="s">
        <v>94</v>
      </c>
      <c r="C1008" s="172">
        <v>34.0</v>
      </c>
      <c r="D1008" s="172">
        <v>1.0</v>
      </c>
      <c r="E1008" s="172" t="s">
        <v>411</v>
      </c>
      <c r="F1008" s="172"/>
      <c r="G1008" s="173" t="s">
        <v>1375</v>
      </c>
      <c r="H1008" s="172">
        <v>20.0</v>
      </c>
      <c r="J1008" s="173" t="s">
        <v>1308</v>
      </c>
    </row>
    <row r="1009" ht="15.75" hidden="1" customHeight="1">
      <c r="A1009" s="235">
        <v>46140.0</v>
      </c>
      <c r="B1009" s="172" t="s">
        <v>51</v>
      </c>
      <c r="C1009" s="172">
        <v>34.0</v>
      </c>
      <c r="D1009" s="172">
        <v>1.0</v>
      </c>
      <c r="E1009" s="172" t="s">
        <v>411</v>
      </c>
      <c r="F1009" s="172"/>
      <c r="G1009" s="173" t="s">
        <v>1376</v>
      </c>
      <c r="H1009" s="172">
        <v>25.0</v>
      </c>
      <c r="J1009" s="173" t="s">
        <v>1308</v>
      </c>
    </row>
    <row r="1010" ht="15.75" hidden="1" customHeight="1">
      <c r="A1010" s="235">
        <v>46140.0</v>
      </c>
      <c r="B1010" s="172" t="s">
        <v>50</v>
      </c>
      <c r="C1010" s="172">
        <v>34.0</v>
      </c>
      <c r="D1010" s="172">
        <v>1.0</v>
      </c>
      <c r="E1010" s="172" t="s">
        <v>411</v>
      </c>
      <c r="F1010" s="172"/>
      <c r="G1010" s="173" t="s">
        <v>1377</v>
      </c>
      <c r="H1010" s="172">
        <v>22.65</v>
      </c>
      <c r="J1010" s="173" t="s">
        <v>1308</v>
      </c>
    </row>
    <row r="1011" ht="15.75" hidden="1" customHeight="1">
      <c r="A1011" s="235">
        <v>46140.0</v>
      </c>
      <c r="B1011" s="172" t="s">
        <v>52</v>
      </c>
      <c r="C1011" s="172">
        <v>36.0</v>
      </c>
      <c r="D1011" s="172">
        <v>1.0</v>
      </c>
      <c r="E1011" s="172" t="s">
        <v>422</v>
      </c>
      <c r="F1011" s="305"/>
      <c r="G1011" s="306" t="s">
        <v>1378</v>
      </c>
      <c r="H1011" s="172">
        <v>22.0</v>
      </c>
      <c r="J1011" s="173" t="s">
        <v>1308</v>
      </c>
    </row>
    <row r="1012" ht="15.75" hidden="1" customHeight="1">
      <c r="A1012" s="233">
        <v>46141.0</v>
      </c>
      <c r="B1012" s="172" t="s">
        <v>52</v>
      </c>
      <c r="C1012" s="172">
        <v>32.0</v>
      </c>
      <c r="D1012" s="172">
        <v>1.0</v>
      </c>
      <c r="E1012" s="172" t="s">
        <v>411</v>
      </c>
      <c r="F1012" s="172"/>
      <c r="G1012" s="173" t="s">
        <v>1379</v>
      </c>
      <c r="H1012" s="172">
        <v>18.0</v>
      </c>
      <c r="J1012" s="173" t="s">
        <v>1308</v>
      </c>
    </row>
    <row r="1013" ht="15.75" hidden="1" customHeight="1">
      <c r="A1013" s="235">
        <v>46141.0</v>
      </c>
      <c r="B1013" s="172" t="s">
        <v>50</v>
      </c>
      <c r="C1013" s="172">
        <v>36.0</v>
      </c>
      <c r="D1013" s="172">
        <v>1.0</v>
      </c>
      <c r="E1013" s="172" t="s">
        <v>411</v>
      </c>
      <c r="F1013" s="172"/>
      <c r="G1013" s="173" t="s">
        <v>1380</v>
      </c>
      <c r="H1013" s="172">
        <v>25.6</v>
      </c>
      <c r="J1013" s="173" t="s">
        <v>1308</v>
      </c>
    </row>
    <row r="1014" ht="15.75" hidden="1" customHeight="1">
      <c r="A1014" s="235">
        <v>46141.0</v>
      </c>
      <c r="B1014" s="172" t="s">
        <v>53</v>
      </c>
      <c r="C1014" s="172">
        <v>32.0</v>
      </c>
      <c r="D1014" s="172">
        <v>1.0</v>
      </c>
      <c r="E1014" s="172" t="s">
        <v>39</v>
      </c>
      <c r="F1014" s="172"/>
      <c r="G1014" s="173" t="s">
        <v>1381</v>
      </c>
      <c r="H1014" s="172">
        <v>25.0</v>
      </c>
      <c r="J1014" s="173" t="s">
        <v>1308</v>
      </c>
    </row>
    <row r="1015" ht="15.75" hidden="1" customHeight="1">
      <c r="A1015" s="235">
        <v>46141.0</v>
      </c>
      <c r="B1015" s="172" t="s">
        <v>94</v>
      </c>
      <c r="C1015" s="172">
        <v>34.0</v>
      </c>
      <c r="D1015" s="172">
        <v>1.0</v>
      </c>
      <c r="E1015" s="172" t="s">
        <v>39</v>
      </c>
      <c r="F1015" s="172"/>
      <c r="G1015" s="173" t="s">
        <v>1382</v>
      </c>
      <c r="H1015" s="172">
        <v>20.0</v>
      </c>
      <c r="J1015" s="173" t="s">
        <v>1308</v>
      </c>
    </row>
    <row r="1016" ht="15.75" hidden="1" customHeight="1">
      <c r="A1016" s="235">
        <v>46141.0</v>
      </c>
      <c r="B1016" s="172" t="s">
        <v>52</v>
      </c>
      <c r="C1016" s="172">
        <v>34.0</v>
      </c>
      <c r="D1016" s="172">
        <v>1.0</v>
      </c>
      <c r="E1016" s="172" t="s">
        <v>39</v>
      </c>
      <c r="F1016" s="172"/>
      <c r="G1016" s="173" t="s">
        <v>1383</v>
      </c>
      <c r="H1016" s="172">
        <v>25.0</v>
      </c>
      <c r="J1016" s="173" t="s">
        <v>1308</v>
      </c>
    </row>
    <row r="1017" ht="15.75" hidden="1" customHeight="1">
      <c r="A1017" s="235">
        <v>46141.0</v>
      </c>
      <c r="B1017" s="172" t="s">
        <v>94</v>
      </c>
      <c r="C1017" s="172">
        <v>34.0</v>
      </c>
      <c r="D1017" s="172">
        <v>1.0</v>
      </c>
      <c r="E1017" s="172" t="s">
        <v>441</v>
      </c>
      <c r="F1017" s="172"/>
      <c r="G1017" s="173" t="s">
        <v>1384</v>
      </c>
      <c r="H1017" s="172">
        <v>25.0</v>
      </c>
      <c r="J1017" s="173" t="s">
        <v>1308</v>
      </c>
    </row>
    <row r="1018" ht="15.75" hidden="1" customHeight="1">
      <c r="A1018" s="235">
        <v>46141.0</v>
      </c>
      <c r="B1018" s="172" t="s">
        <v>94</v>
      </c>
      <c r="C1018" s="172">
        <v>34.0</v>
      </c>
      <c r="D1018" s="172">
        <v>1.0</v>
      </c>
      <c r="E1018" s="172" t="s">
        <v>441</v>
      </c>
      <c r="F1018" s="172"/>
      <c r="G1018" s="173" t="s">
        <v>1385</v>
      </c>
      <c r="H1018" s="172">
        <v>22.0</v>
      </c>
      <c r="J1018" s="173" t="s">
        <v>1308</v>
      </c>
    </row>
    <row r="1019" ht="15.75" hidden="1" customHeight="1">
      <c r="A1019" s="235">
        <v>46141.0</v>
      </c>
      <c r="B1019" s="172" t="s">
        <v>53</v>
      </c>
      <c r="C1019" s="172">
        <v>36.0</v>
      </c>
      <c r="D1019" s="172">
        <v>1.0</v>
      </c>
      <c r="E1019" s="172" t="s">
        <v>422</v>
      </c>
      <c r="F1019" s="172"/>
      <c r="G1019" s="173" t="s">
        <v>1386</v>
      </c>
      <c r="H1019" s="172">
        <v>22.0</v>
      </c>
      <c r="J1019" s="173" t="s">
        <v>1308</v>
      </c>
    </row>
    <row r="1020" ht="15.75" hidden="1" customHeight="1">
      <c r="A1020" s="235">
        <v>46141.0</v>
      </c>
      <c r="B1020" s="172" t="s">
        <v>71</v>
      </c>
      <c r="C1020" s="172">
        <v>32.0</v>
      </c>
      <c r="D1020" s="172">
        <v>1.0</v>
      </c>
      <c r="E1020" s="172" t="s">
        <v>39</v>
      </c>
      <c r="F1020" s="172"/>
      <c r="G1020" s="173" t="s">
        <v>1387</v>
      </c>
      <c r="H1020" s="172">
        <v>21.0</v>
      </c>
      <c r="J1020" s="173" t="s">
        <v>1308</v>
      </c>
    </row>
    <row r="1021" ht="15.75" hidden="1" customHeight="1">
      <c r="A1021" s="235">
        <v>46141.0</v>
      </c>
      <c r="B1021" s="172" t="s">
        <v>52</v>
      </c>
      <c r="C1021" s="172">
        <v>32.0</v>
      </c>
      <c r="D1021" s="172">
        <v>1.0</v>
      </c>
      <c r="E1021" s="172" t="s">
        <v>39</v>
      </c>
      <c r="F1021" s="172"/>
      <c r="G1021" s="173" t="s">
        <v>1388</v>
      </c>
      <c r="H1021" s="172">
        <v>24.5</v>
      </c>
      <c r="J1021" s="173" t="s">
        <v>1308</v>
      </c>
    </row>
    <row r="1022" ht="15.75" hidden="1" customHeight="1">
      <c r="A1022" s="235">
        <v>46141.0</v>
      </c>
      <c r="B1022" s="172" t="s">
        <v>52</v>
      </c>
      <c r="C1022" s="172">
        <v>32.0</v>
      </c>
      <c r="D1022" s="172">
        <v>1.0</v>
      </c>
      <c r="E1022" s="172" t="s">
        <v>422</v>
      </c>
      <c r="F1022" s="305"/>
      <c r="G1022" s="306" t="s">
        <v>1389</v>
      </c>
      <c r="H1022" s="172">
        <v>22.0</v>
      </c>
      <c r="J1022" s="173" t="s">
        <v>1308</v>
      </c>
    </row>
    <row r="1023" ht="15.75" hidden="1" customHeight="1">
      <c r="A1023" s="233">
        <v>46142.0</v>
      </c>
      <c r="B1023" s="172" t="s">
        <v>53</v>
      </c>
      <c r="C1023" s="172">
        <v>32.0</v>
      </c>
      <c r="D1023" s="172">
        <v>1.0</v>
      </c>
      <c r="E1023" s="172" t="s">
        <v>411</v>
      </c>
      <c r="F1023" s="172"/>
      <c r="G1023" s="173" t="s">
        <v>1390</v>
      </c>
      <c r="H1023" s="172">
        <v>25.2</v>
      </c>
      <c r="J1023" s="173" t="s">
        <v>1308</v>
      </c>
    </row>
    <row r="1024" ht="15.75" hidden="1" customHeight="1">
      <c r="A1024" s="235">
        <v>46142.0</v>
      </c>
      <c r="B1024" s="172" t="s">
        <v>94</v>
      </c>
      <c r="C1024" s="172">
        <v>34.0</v>
      </c>
      <c r="D1024" s="172">
        <v>1.0</v>
      </c>
      <c r="E1024" s="172" t="s">
        <v>39</v>
      </c>
      <c r="F1024" s="172"/>
      <c r="G1024" s="173" t="s">
        <v>1391</v>
      </c>
      <c r="H1024" s="172">
        <v>23.0</v>
      </c>
      <c r="J1024" s="173" t="s">
        <v>1308</v>
      </c>
    </row>
    <row r="1025" ht="15.75" hidden="1" customHeight="1">
      <c r="A1025" s="235">
        <v>46142.0</v>
      </c>
      <c r="B1025" s="172" t="s">
        <v>53</v>
      </c>
      <c r="C1025" s="172">
        <v>32.0</v>
      </c>
      <c r="D1025" s="172">
        <v>1.0</v>
      </c>
      <c r="E1025" s="172" t="s">
        <v>39</v>
      </c>
      <c r="F1025" s="172"/>
      <c r="G1025" s="173" t="s">
        <v>1392</v>
      </c>
      <c r="H1025" s="172">
        <v>25.0</v>
      </c>
      <c r="J1025" s="173" t="s">
        <v>1308</v>
      </c>
    </row>
    <row r="1026" ht="15.75" hidden="1" customHeight="1">
      <c r="A1026" s="235">
        <v>46142.0</v>
      </c>
      <c r="B1026" s="172" t="s">
        <v>52</v>
      </c>
      <c r="C1026" s="172">
        <v>32.0</v>
      </c>
      <c r="D1026" s="172">
        <v>1.0</v>
      </c>
      <c r="E1026" s="172" t="s">
        <v>39</v>
      </c>
      <c r="F1026" s="172"/>
      <c r="G1026" s="173" t="s">
        <v>1393</v>
      </c>
      <c r="H1026" s="172">
        <v>22.0</v>
      </c>
      <c r="J1026" s="173" t="s">
        <v>1308</v>
      </c>
    </row>
    <row r="1027" ht="15.75" hidden="1" customHeight="1">
      <c r="A1027" s="235">
        <v>46142.0</v>
      </c>
      <c r="B1027" s="172" t="s">
        <v>71</v>
      </c>
      <c r="C1027" s="172">
        <v>32.0</v>
      </c>
      <c r="D1027" s="172">
        <v>1.0</v>
      </c>
      <c r="E1027" s="172" t="s">
        <v>39</v>
      </c>
      <c r="F1027" s="172"/>
      <c r="G1027" s="173" t="s">
        <v>1394</v>
      </c>
      <c r="H1027" s="172">
        <v>20.7</v>
      </c>
      <c r="J1027" s="173" t="s">
        <v>1308</v>
      </c>
    </row>
    <row r="1028" ht="15.75" hidden="1" customHeight="1">
      <c r="A1028" s="235">
        <v>46142.0</v>
      </c>
      <c r="B1028" s="172" t="s">
        <v>52</v>
      </c>
      <c r="C1028" s="172">
        <v>32.0</v>
      </c>
      <c r="D1028" s="172">
        <v>1.0</v>
      </c>
      <c r="E1028" s="172" t="s">
        <v>422</v>
      </c>
      <c r="F1028" s="305"/>
      <c r="G1028" s="306" t="s">
        <v>1395</v>
      </c>
      <c r="H1028" s="172">
        <v>22.0</v>
      </c>
      <c r="J1028" s="173" t="s">
        <v>1308</v>
      </c>
    </row>
    <row r="1029" ht="15.75" hidden="1" customHeight="1">
      <c r="A1029" s="235">
        <v>46142.0</v>
      </c>
      <c r="B1029" s="172" t="s">
        <v>52</v>
      </c>
      <c r="C1029" s="172">
        <v>34.0</v>
      </c>
      <c r="D1029" s="172">
        <v>1.0</v>
      </c>
      <c r="E1029" s="172" t="s">
        <v>422</v>
      </c>
      <c r="F1029" s="310"/>
      <c r="G1029" s="311" t="s">
        <v>1396</v>
      </c>
      <c r="H1029" s="172">
        <v>20.0</v>
      </c>
      <c r="J1029" s="173" t="s">
        <v>1308</v>
      </c>
    </row>
    <row r="1030" ht="15.75" hidden="1" customHeight="1">
      <c r="A1030" s="235">
        <v>46142.0</v>
      </c>
      <c r="B1030" s="172" t="s">
        <v>52</v>
      </c>
      <c r="C1030" s="172">
        <v>32.0</v>
      </c>
      <c r="D1030" s="172">
        <v>1.0</v>
      </c>
      <c r="E1030" s="172" t="s">
        <v>422</v>
      </c>
      <c r="F1030" s="305"/>
      <c r="G1030" s="306" t="s">
        <v>1297</v>
      </c>
      <c r="H1030" s="172">
        <v>20.0</v>
      </c>
      <c r="J1030" s="173" t="s">
        <v>1308</v>
      </c>
    </row>
    <row r="1031" ht="15.75" hidden="1" customHeight="1">
      <c r="A1031" s="235">
        <v>46142.0</v>
      </c>
      <c r="B1031" s="172" t="s">
        <v>52</v>
      </c>
      <c r="C1031" s="172">
        <v>34.0</v>
      </c>
      <c r="D1031" s="172">
        <v>1.0</v>
      </c>
      <c r="E1031" s="172" t="s">
        <v>422</v>
      </c>
      <c r="F1031" s="305"/>
      <c r="G1031" s="306" t="s">
        <v>1397</v>
      </c>
      <c r="H1031" s="172">
        <v>20.0</v>
      </c>
      <c r="J1031" s="173" t="s">
        <v>1308</v>
      </c>
    </row>
    <row r="1032" ht="15.75" hidden="1" customHeight="1">
      <c r="A1032" s="235">
        <v>46142.0</v>
      </c>
      <c r="B1032" s="172" t="s">
        <v>50</v>
      </c>
      <c r="C1032" s="172">
        <v>34.0</v>
      </c>
      <c r="D1032" s="172">
        <v>1.0</v>
      </c>
      <c r="E1032" s="172" t="s">
        <v>441</v>
      </c>
      <c r="F1032" s="172"/>
      <c r="G1032" s="173" t="s">
        <v>1398</v>
      </c>
      <c r="H1032" s="172">
        <v>18.0</v>
      </c>
      <c r="J1032" s="173" t="s">
        <v>1308</v>
      </c>
    </row>
    <row r="1033" ht="15.75" hidden="1" customHeight="1">
      <c r="A1033" s="235">
        <v>46142.0</v>
      </c>
      <c r="B1033" s="172" t="s">
        <v>71</v>
      </c>
      <c r="C1033" s="172">
        <v>32.0</v>
      </c>
      <c r="D1033" s="172">
        <v>1.0</v>
      </c>
      <c r="E1033" s="172" t="s">
        <v>411</v>
      </c>
      <c r="F1033" s="172"/>
      <c r="G1033" s="173" t="s">
        <v>1399</v>
      </c>
      <c r="H1033" s="172">
        <v>21.7</v>
      </c>
      <c r="J1033" s="173" t="s">
        <v>1308</v>
      </c>
    </row>
    <row r="1034" ht="15.75" hidden="1" customHeight="1">
      <c r="A1034" s="235">
        <v>46142.0</v>
      </c>
      <c r="B1034" s="172" t="s">
        <v>63</v>
      </c>
      <c r="C1034" s="172">
        <v>34.0</v>
      </c>
      <c r="D1034" s="172">
        <v>1.0</v>
      </c>
      <c r="E1034" s="172" t="s">
        <v>422</v>
      </c>
      <c r="F1034" s="305"/>
      <c r="G1034" s="306" t="s">
        <v>1400</v>
      </c>
      <c r="H1034" s="172">
        <v>22.0</v>
      </c>
      <c r="J1034" s="173" t="s">
        <v>1308</v>
      </c>
    </row>
    <row r="1035" ht="15.75" hidden="1" customHeight="1">
      <c r="A1035" s="328"/>
      <c r="B1035" s="328"/>
      <c r="C1035" s="328"/>
      <c r="D1035" s="329" t="s">
        <v>1401</v>
      </c>
      <c r="E1035" s="328"/>
      <c r="F1035" s="328"/>
      <c r="G1035" s="330"/>
      <c r="H1035" s="328"/>
      <c r="I1035" s="330"/>
      <c r="J1035" s="331"/>
      <c r="K1035" s="330"/>
      <c r="L1035" s="330"/>
      <c r="M1035" s="330"/>
      <c r="N1035" s="330"/>
      <c r="O1035" s="330"/>
      <c r="P1035" s="330"/>
      <c r="Q1035" s="330"/>
      <c r="R1035" s="330"/>
      <c r="S1035" s="330"/>
      <c r="T1035" s="330"/>
      <c r="U1035" s="330"/>
      <c r="V1035" s="330"/>
      <c r="W1035" s="330"/>
      <c r="X1035" s="330"/>
      <c r="Y1035" s="330"/>
      <c r="Z1035" s="330"/>
      <c r="AA1035" s="330"/>
      <c r="AB1035" s="330"/>
      <c r="AC1035" s="330"/>
      <c r="AD1035" s="330"/>
      <c r="AE1035" s="330"/>
      <c r="AF1035" s="330"/>
      <c r="AG1035" s="330"/>
      <c r="AH1035" s="330"/>
    </row>
    <row r="1036" ht="15.75" hidden="1" customHeight="1">
      <c r="A1036" s="238">
        <v>46143.0</v>
      </c>
      <c r="B1036" s="172" t="s">
        <v>52</v>
      </c>
      <c r="C1036" s="172">
        <v>34.0</v>
      </c>
      <c r="D1036" s="172">
        <v>1.0</v>
      </c>
      <c r="E1036" s="172" t="s">
        <v>422</v>
      </c>
      <c r="F1036" s="305"/>
      <c r="G1036" s="306" t="s">
        <v>1402</v>
      </c>
      <c r="H1036" s="172">
        <v>20.0</v>
      </c>
      <c r="I1036" s="332"/>
      <c r="J1036" s="173"/>
    </row>
    <row r="1037" ht="15.75" hidden="1" customHeight="1">
      <c r="A1037" s="333">
        <v>46143.0</v>
      </c>
      <c r="B1037" s="169" t="s">
        <v>51</v>
      </c>
      <c r="C1037" s="169">
        <v>32.0</v>
      </c>
      <c r="D1037" s="179">
        <v>1.0</v>
      </c>
      <c r="E1037" s="169" t="s">
        <v>411</v>
      </c>
      <c r="F1037" s="169"/>
      <c r="G1037" s="170" t="s">
        <v>1403</v>
      </c>
      <c r="H1037" s="169">
        <v>20.0</v>
      </c>
      <c r="J1037" s="173"/>
    </row>
    <row r="1038" ht="15.75" hidden="1" customHeight="1">
      <c r="A1038" s="334">
        <v>46143.0</v>
      </c>
      <c r="B1038" s="172" t="s">
        <v>94</v>
      </c>
      <c r="C1038" s="172">
        <v>34.0</v>
      </c>
      <c r="D1038" s="172">
        <v>1.0</v>
      </c>
      <c r="E1038" s="172" t="s">
        <v>453</v>
      </c>
      <c r="F1038" s="172"/>
      <c r="G1038" s="173" t="s">
        <v>1404</v>
      </c>
      <c r="H1038" s="172">
        <v>20.0</v>
      </c>
      <c r="J1038" s="173"/>
    </row>
    <row r="1039" ht="15.75" hidden="1" customHeight="1">
      <c r="A1039" s="235">
        <v>46143.0</v>
      </c>
      <c r="B1039" s="172" t="s">
        <v>63</v>
      </c>
      <c r="C1039" s="172">
        <v>34.0</v>
      </c>
      <c r="D1039" s="172">
        <v>1.0</v>
      </c>
      <c r="E1039" s="172" t="s">
        <v>41</v>
      </c>
      <c r="F1039" s="161"/>
      <c r="H1039" s="172">
        <v>18.0</v>
      </c>
      <c r="J1039" s="173"/>
    </row>
    <row r="1040" ht="15.75" hidden="1" customHeight="1">
      <c r="A1040" s="333">
        <v>46143.0</v>
      </c>
      <c r="B1040" s="172" t="s">
        <v>53</v>
      </c>
      <c r="C1040" s="172">
        <v>32.0</v>
      </c>
      <c r="D1040" s="172">
        <v>1.0</v>
      </c>
      <c r="E1040" s="172" t="s">
        <v>441</v>
      </c>
      <c r="F1040" s="172"/>
      <c r="G1040" s="173" t="s">
        <v>1405</v>
      </c>
      <c r="H1040" s="172">
        <v>21.0</v>
      </c>
      <c r="J1040" s="173"/>
    </row>
    <row r="1041" ht="15.75" hidden="1" customHeight="1">
      <c r="A1041" s="235">
        <v>46143.0</v>
      </c>
      <c r="B1041" s="172" t="s">
        <v>52</v>
      </c>
      <c r="C1041" s="172">
        <v>34.0</v>
      </c>
      <c r="D1041" s="172">
        <v>1.0</v>
      </c>
      <c r="E1041" s="172" t="s">
        <v>422</v>
      </c>
      <c r="F1041" s="172"/>
      <c r="G1041" s="173" t="s">
        <v>1406</v>
      </c>
      <c r="H1041" s="172">
        <v>22.0</v>
      </c>
      <c r="J1041" s="173"/>
    </row>
    <row r="1042" ht="15.75" hidden="1" customHeight="1">
      <c r="A1042" s="246">
        <v>46143.0</v>
      </c>
      <c r="B1042" s="182" t="s">
        <v>63</v>
      </c>
      <c r="C1042" s="182">
        <v>34.0</v>
      </c>
      <c r="D1042" s="182">
        <v>1.0</v>
      </c>
      <c r="E1042" s="182" t="s">
        <v>422</v>
      </c>
      <c r="F1042" s="326"/>
      <c r="G1042" s="327" t="s">
        <v>1407</v>
      </c>
      <c r="H1042" s="182">
        <v>0.0</v>
      </c>
      <c r="J1042" s="173"/>
    </row>
    <row r="1043" ht="15.75" hidden="1" customHeight="1">
      <c r="A1043" s="235">
        <v>46143.0</v>
      </c>
      <c r="B1043" s="172" t="s">
        <v>52</v>
      </c>
      <c r="C1043" s="172">
        <v>34.0</v>
      </c>
      <c r="D1043" s="172">
        <v>1.0</v>
      </c>
      <c r="E1043" s="172" t="s">
        <v>411</v>
      </c>
      <c r="F1043" s="172"/>
      <c r="G1043" s="173" t="s">
        <v>1353</v>
      </c>
      <c r="H1043" s="172">
        <v>28.0</v>
      </c>
      <c r="J1043" s="173"/>
    </row>
    <row r="1044" ht="15.75" hidden="1" customHeight="1">
      <c r="A1044" s="235">
        <v>46143.0</v>
      </c>
      <c r="B1044" s="172" t="s">
        <v>53</v>
      </c>
      <c r="C1044" s="172">
        <v>32.0</v>
      </c>
      <c r="D1044" s="172">
        <v>1.0</v>
      </c>
      <c r="E1044" s="172" t="s">
        <v>441</v>
      </c>
      <c r="F1044" s="172"/>
      <c r="G1044" s="173" t="s">
        <v>1408</v>
      </c>
      <c r="H1044" s="172">
        <v>20.0</v>
      </c>
      <c r="J1044" s="173"/>
    </row>
    <row r="1045" ht="15.75" hidden="1" customHeight="1">
      <c r="A1045" s="235">
        <v>46143.0</v>
      </c>
      <c r="B1045" s="172" t="s">
        <v>94</v>
      </c>
      <c r="C1045" s="172">
        <v>34.0</v>
      </c>
      <c r="D1045" s="172">
        <v>1.0</v>
      </c>
      <c r="E1045" s="172" t="s">
        <v>411</v>
      </c>
      <c r="F1045" s="172"/>
      <c r="G1045" s="173" t="s">
        <v>1409</v>
      </c>
      <c r="H1045" s="172">
        <v>25.0</v>
      </c>
      <c r="J1045" s="173"/>
    </row>
    <row r="1046" ht="15.75" hidden="1" customHeight="1">
      <c r="A1046" s="235">
        <v>46143.0</v>
      </c>
      <c r="B1046" s="172" t="s">
        <v>94</v>
      </c>
      <c r="C1046" s="172">
        <v>34.0</v>
      </c>
      <c r="D1046" s="172">
        <v>1.0</v>
      </c>
      <c r="E1046" s="172" t="s">
        <v>411</v>
      </c>
      <c r="F1046" s="172"/>
      <c r="G1046" s="173" t="s">
        <v>1410</v>
      </c>
      <c r="H1046" s="172">
        <v>24.0</v>
      </c>
      <c r="J1046" s="173"/>
    </row>
    <row r="1047" ht="15.75" hidden="1" customHeight="1">
      <c r="A1047" s="235">
        <v>46143.0</v>
      </c>
      <c r="B1047" s="172" t="s">
        <v>52</v>
      </c>
      <c r="C1047" s="172">
        <v>34.0</v>
      </c>
      <c r="D1047" s="172">
        <v>1.0</v>
      </c>
      <c r="E1047" s="172" t="s">
        <v>39</v>
      </c>
      <c r="F1047" s="172"/>
      <c r="G1047" s="173" t="s">
        <v>1411</v>
      </c>
      <c r="H1047" s="172">
        <v>21.5</v>
      </c>
      <c r="J1047" s="173"/>
    </row>
    <row r="1048" ht="15.75" hidden="1" customHeight="1">
      <c r="A1048" s="235">
        <v>46143.0</v>
      </c>
      <c r="B1048" s="172" t="s">
        <v>94</v>
      </c>
      <c r="C1048" s="172">
        <v>34.0</v>
      </c>
      <c r="D1048" s="172">
        <v>1.0</v>
      </c>
      <c r="E1048" s="172" t="s">
        <v>411</v>
      </c>
      <c r="F1048" s="172"/>
      <c r="G1048" s="173" t="s">
        <v>1412</v>
      </c>
      <c r="H1048" s="172">
        <v>23.0</v>
      </c>
      <c r="J1048" s="173"/>
    </row>
    <row r="1049" ht="15.75" hidden="1" customHeight="1">
      <c r="A1049" s="235">
        <v>46143.0</v>
      </c>
      <c r="B1049" s="172" t="s">
        <v>53</v>
      </c>
      <c r="C1049" s="172">
        <v>32.0</v>
      </c>
      <c r="D1049" s="172">
        <v>1.0</v>
      </c>
      <c r="E1049" s="172" t="s">
        <v>411</v>
      </c>
      <c r="F1049" s="172"/>
      <c r="G1049" s="173" t="s">
        <v>1413</v>
      </c>
      <c r="H1049" s="172">
        <v>24.5</v>
      </c>
      <c r="J1049" s="173"/>
    </row>
    <row r="1050" ht="15.75" hidden="1" customHeight="1">
      <c r="A1050" s="235">
        <v>46143.0</v>
      </c>
      <c r="B1050" s="172" t="s">
        <v>50</v>
      </c>
      <c r="C1050" s="172">
        <v>34.0</v>
      </c>
      <c r="D1050" s="172">
        <v>1.0</v>
      </c>
      <c r="E1050" s="172" t="s">
        <v>441</v>
      </c>
      <c r="F1050" s="172"/>
      <c r="G1050" s="173" t="s">
        <v>1414</v>
      </c>
      <c r="H1050" s="172">
        <v>25.0</v>
      </c>
      <c r="J1050" s="173"/>
    </row>
    <row r="1051" ht="15.75" hidden="1" customHeight="1">
      <c r="A1051" s="251">
        <v>46144.0</v>
      </c>
      <c r="B1051" s="172" t="s">
        <v>51</v>
      </c>
      <c r="C1051" s="172">
        <v>32.0</v>
      </c>
      <c r="D1051" s="172">
        <v>1.0</v>
      </c>
      <c r="E1051" s="172" t="s">
        <v>411</v>
      </c>
      <c r="F1051" s="172"/>
      <c r="G1051" s="173" t="s">
        <v>1415</v>
      </c>
      <c r="H1051" s="172">
        <v>22.5</v>
      </c>
      <c r="J1051" s="173"/>
    </row>
    <row r="1052" ht="15.75" hidden="1" customHeight="1">
      <c r="A1052" s="252">
        <v>46144.0</v>
      </c>
      <c r="B1052" s="172" t="s">
        <v>51</v>
      </c>
      <c r="C1052" s="172">
        <v>32.0</v>
      </c>
      <c r="D1052" s="172">
        <v>1.0</v>
      </c>
      <c r="E1052" s="172" t="s">
        <v>441</v>
      </c>
      <c r="F1052" s="172"/>
      <c r="G1052" s="173" t="s">
        <v>1416</v>
      </c>
      <c r="H1052" s="172">
        <v>25.0</v>
      </c>
      <c r="J1052" s="173"/>
    </row>
    <row r="1053" ht="15.75" hidden="1" customHeight="1">
      <c r="A1053" s="252">
        <v>46144.0</v>
      </c>
      <c r="B1053" s="172" t="s">
        <v>53</v>
      </c>
      <c r="C1053" s="172">
        <v>32.0</v>
      </c>
      <c r="D1053" s="172">
        <v>1.0</v>
      </c>
      <c r="E1053" s="172" t="s">
        <v>441</v>
      </c>
      <c r="F1053" s="172"/>
      <c r="G1053" s="173" t="s">
        <v>1417</v>
      </c>
      <c r="H1053" s="172">
        <v>20.0</v>
      </c>
      <c r="J1053" s="173"/>
    </row>
    <row r="1054" ht="15.75" hidden="1" customHeight="1">
      <c r="A1054" s="235">
        <v>46144.0</v>
      </c>
      <c r="B1054" s="172" t="s">
        <v>63</v>
      </c>
      <c r="C1054" s="172">
        <v>34.0</v>
      </c>
      <c r="D1054" s="179">
        <v>1.0</v>
      </c>
      <c r="E1054" s="172" t="s">
        <v>422</v>
      </c>
      <c r="F1054" s="305"/>
      <c r="G1054" s="306" t="s">
        <v>1418</v>
      </c>
      <c r="H1054" s="172">
        <v>20.0</v>
      </c>
      <c r="J1054" s="173"/>
    </row>
    <row r="1055" ht="15.75" hidden="1" customHeight="1">
      <c r="A1055" s="235">
        <v>46144.0</v>
      </c>
      <c r="B1055" s="172" t="s">
        <v>51</v>
      </c>
      <c r="C1055" s="172">
        <v>34.0</v>
      </c>
      <c r="D1055" s="179">
        <v>1.0</v>
      </c>
      <c r="E1055" s="172" t="s">
        <v>331</v>
      </c>
      <c r="F1055" s="172"/>
      <c r="G1055" s="173" t="s">
        <v>1419</v>
      </c>
      <c r="H1055" s="172">
        <v>21.6</v>
      </c>
      <c r="J1055" s="173"/>
    </row>
    <row r="1056" ht="15.75" hidden="1" customHeight="1">
      <c r="A1056" s="235">
        <v>46144.0</v>
      </c>
      <c r="B1056" s="172" t="s">
        <v>51</v>
      </c>
      <c r="C1056" s="172">
        <v>32.0</v>
      </c>
      <c r="D1056" s="179">
        <v>1.0</v>
      </c>
      <c r="E1056" s="172" t="s">
        <v>411</v>
      </c>
      <c r="F1056" s="172"/>
      <c r="G1056" s="173" t="s">
        <v>1420</v>
      </c>
      <c r="H1056" s="172">
        <v>23.0</v>
      </c>
      <c r="J1056" s="173"/>
    </row>
    <row r="1057" ht="15.75" hidden="1" customHeight="1">
      <c r="A1057" s="235">
        <v>46144.0</v>
      </c>
      <c r="B1057" s="172" t="s">
        <v>51</v>
      </c>
      <c r="C1057" s="172">
        <v>32.0</v>
      </c>
      <c r="D1057" s="179">
        <v>1.0</v>
      </c>
      <c r="E1057" s="172" t="s">
        <v>411</v>
      </c>
      <c r="F1057" s="172"/>
      <c r="G1057" s="173" t="s">
        <v>1421</v>
      </c>
      <c r="H1057" s="172">
        <v>20.0</v>
      </c>
      <c r="J1057" s="173"/>
    </row>
    <row r="1058" ht="15.75" hidden="1" customHeight="1">
      <c r="A1058" s="235">
        <v>46144.0</v>
      </c>
      <c r="B1058" s="172" t="s">
        <v>94</v>
      </c>
      <c r="C1058" s="172">
        <v>34.0</v>
      </c>
      <c r="D1058" s="179">
        <v>1.0</v>
      </c>
      <c r="E1058" s="172" t="s">
        <v>441</v>
      </c>
      <c r="F1058" s="172"/>
      <c r="G1058" s="173" t="s">
        <v>1422</v>
      </c>
      <c r="H1058" s="172">
        <v>21.0</v>
      </c>
      <c r="J1058" s="173"/>
    </row>
    <row r="1059" ht="15.75" hidden="1" customHeight="1">
      <c r="A1059" s="172" t="s">
        <v>1423</v>
      </c>
      <c r="B1059" s="172" t="s">
        <v>94</v>
      </c>
      <c r="C1059" s="172">
        <v>34.0</v>
      </c>
      <c r="D1059" s="179">
        <v>1.0</v>
      </c>
      <c r="E1059" s="172" t="s">
        <v>39</v>
      </c>
      <c r="F1059" s="172"/>
      <c r="G1059" s="173" t="s">
        <v>1419</v>
      </c>
      <c r="H1059" s="172">
        <v>20.7</v>
      </c>
      <c r="J1059" s="173"/>
    </row>
    <row r="1060" ht="15.75" hidden="1" customHeight="1">
      <c r="A1060" s="235">
        <v>46144.0</v>
      </c>
      <c r="B1060" s="172" t="s">
        <v>51</v>
      </c>
      <c r="C1060" s="172">
        <v>34.0</v>
      </c>
      <c r="D1060" s="179">
        <v>1.0</v>
      </c>
      <c r="E1060" s="172" t="s">
        <v>39</v>
      </c>
      <c r="F1060" s="172"/>
      <c r="G1060" s="173" t="s">
        <v>1424</v>
      </c>
      <c r="H1060" s="172">
        <v>26.0</v>
      </c>
      <c r="J1060" s="173"/>
    </row>
    <row r="1061" ht="15.75" hidden="1" customHeight="1">
      <c r="A1061" s="235">
        <v>46144.0</v>
      </c>
      <c r="B1061" s="172" t="s">
        <v>94</v>
      </c>
      <c r="C1061" s="172">
        <v>34.0</v>
      </c>
      <c r="D1061" s="179">
        <v>1.0</v>
      </c>
      <c r="E1061" s="172" t="s">
        <v>441</v>
      </c>
      <c r="F1061" s="172"/>
      <c r="G1061" s="173" t="s">
        <v>1425</v>
      </c>
      <c r="H1061" s="172">
        <v>21.0</v>
      </c>
      <c r="J1061" s="173"/>
    </row>
    <row r="1062" ht="15.75" hidden="1" customHeight="1">
      <c r="A1062" s="233">
        <v>46145.0</v>
      </c>
      <c r="B1062" s="172" t="s">
        <v>53</v>
      </c>
      <c r="C1062" s="172">
        <v>36.0</v>
      </c>
      <c r="D1062" s="179">
        <v>1.0</v>
      </c>
      <c r="E1062" s="172" t="s">
        <v>39</v>
      </c>
      <c r="F1062" s="172"/>
      <c r="G1062" s="173" t="s">
        <v>1426</v>
      </c>
      <c r="H1062" s="172">
        <v>24.25</v>
      </c>
      <c r="I1062" s="170"/>
      <c r="J1062" s="173"/>
      <c r="K1062" s="170" t="s">
        <v>1308</v>
      </c>
    </row>
    <row r="1063" ht="15.75" hidden="1" customHeight="1">
      <c r="A1063" s="235">
        <v>46145.0</v>
      </c>
      <c r="B1063" s="172" t="s">
        <v>50</v>
      </c>
      <c r="C1063" s="172">
        <v>36.0</v>
      </c>
      <c r="D1063" s="179">
        <v>1.0</v>
      </c>
      <c r="E1063" s="172" t="s">
        <v>39</v>
      </c>
      <c r="F1063" s="172"/>
      <c r="G1063" s="173" t="s">
        <v>1426</v>
      </c>
      <c r="H1063" s="172">
        <v>24.25</v>
      </c>
      <c r="I1063" s="170"/>
      <c r="J1063" s="173"/>
      <c r="K1063" s="170" t="s">
        <v>1308</v>
      </c>
    </row>
    <row r="1064" ht="15.75" hidden="1" customHeight="1">
      <c r="A1064" s="235">
        <v>46145.0</v>
      </c>
      <c r="B1064" s="172" t="s">
        <v>51</v>
      </c>
      <c r="C1064" s="172">
        <v>32.0</v>
      </c>
      <c r="D1064" s="179">
        <v>1.0</v>
      </c>
      <c r="E1064" s="172" t="s">
        <v>39</v>
      </c>
      <c r="F1064" s="172"/>
      <c r="G1064" s="173" t="s">
        <v>1427</v>
      </c>
      <c r="H1064" s="172">
        <v>21.0</v>
      </c>
      <c r="I1064" s="170"/>
      <c r="J1064" s="173"/>
      <c r="K1064" s="170" t="s">
        <v>1308</v>
      </c>
    </row>
    <row r="1065" ht="15.75" hidden="1" customHeight="1">
      <c r="A1065" s="235">
        <v>46145.0</v>
      </c>
      <c r="B1065" s="172" t="s">
        <v>51</v>
      </c>
      <c r="C1065" s="172">
        <v>34.0</v>
      </c>
      <c r="D1065" s="179">
        <v>1.0</v>
      </c>
      <c r="E1065" s="172" t="s">
        <v>39</v>
      </c>
      <c r="F1065" s="172"/>
      <c r="G1065" s="173" t="s">
        <v>1428</v>
      </c>
      <c r="H1065" s="172">
        <v>21.0</v>
      </c>
      <c r="I1065" s="170"/>
      <c r="J1065" s="173"/>
      <c r="K1065" s="170" t="s">
        <v>1308</v>
      </c>
    </row>
    <row r="1066" ht="15.75" hidden="1" customHeight="1">
      <c r="A1066" s="235">
        <v>46145.0</v>
      </c>
      <c r="B1066" s="172" t="s">
        <v>50</v>
      </c>
      <c r="C1066" s="172">
        <v>34.0</v>
      </c>
      <c r="D1066" s="179">
        <v>1.0</v>
      </c>
      <c r="E1066" s="172" t="s">
        <v>39</v>
      </c>
      <c r="F1066" s="172"/>
      <c r="G1066" s="173" t="s">
        <v>1429</v>
      </c>
      <c r="H1066" s="172">
        <v>22.5</v>
      </c>
      <c r="I1066" s="170"/>
      <c r="J1066" s="173"/>
      <c r="K1066" s="170" t="s">
        <v>1308</v>
      </c>
    </row>
    <row r="1067" ht="15.75" hidden="1" customHeight="1">
      <c r="A1067" s="235">
        <v>46145.0</v>
      </c>
      <c r="B1067" s="172" t="s">
        <v>63</v>
      </c>
      <c r="C1067" s="172">
        <v>34.0</v>
      </c>
      <c r="D1067" s="179">
        <v>1.0</v>
      </c>
      <c r="E1067" s="172" t="s">
        <v>39</v>
      </c>
      <c r="F1067" s="172"/>
      <c r="G1067" s="173" t="s">
        <v>1430</v>
      </c>
      <c r="H1067" s="172">
        <v>25.0</v>
      </c>
      <c r="I1067" s="170"/>
      <c r="J1067" s="173"/>
      <c r="K1067" s="170" t="s">
        <v>1308</v>
      </c>
    </row>
    <row r="1068" ht="15.75" hidden="1" customHeight="1">
      <c r="A1068" s="235">
        <v>46145.0</v>
      </c>
      <c r="B1068" s="172" t="s">
        <v>63</v>
      </c>
      <c r="C1068" s="172">
        <v>32.0</v>
      </c>
      <c r="D1068" s="179">
        <v>1.0</v>
      </c>
      <c r="E1068" s="172" t="s">
        <v>411</v>
      </c>
      <c r="F1068" s="172"/>
      <c r="G1068" s="173" t="s">
        <v>1431</v>
      </c>
      <c r="H1068" s="172">
        <v>20.0</v>
      </c>
      <c r="I1068" s="170"/>
      <c r="J1068" s="173"/>
      <c r="K1068" s="170" t="s">
        <v>1308</v>
      </c>
    </row>
    <row r="1069" ht="15.75" hidden="1" customHeight="1">
      <c r="A1069" s="335">
        <v>46145.0</v>
      </c>
      <c r="B1069" s="172" t="s">
        <v>71</v>
      </c>
      <c r="C1069" s="172">
        <v>32.0</v>
      </c>
      <c r="D1069" s="179">
        <v>1.0</v>
      </c>
      <c r="E1069" s="172" t="s">
        <v>411</v>
      </c>
      <c r="F1069" s="172"/>
      <c r="G1069" s="173" t="s">
        <v>1432</v>
      </c>
      <c r="H1069" s="172">
        <v>20.0</v>
      </c>
      <c r="I1069" s="170"/>
      <c r="J1069" s="173"/>
      <c r="K1069" s="170" t="s">
        <v>1308</v>
      </c>
    </row>
    <row r="1070" ht="15.75" hidden="1" customHeight="1">
      <c r="A1070" s="235">
        <v>46145.0</v>
      </c>
      <c r="B1070" s="172" t="s">
        <v>63</v>
      </c>
      <c r="C1070" s="172">
        <v>32.0</v>
      </c>
      <c r="D1070" s="179">
        <v>1.0</v>
      </c>
      <c r="E1070" s="172" t="s">
        <v>411</v>
      </c>
      <c r="F1070" s="172"/>
      <c r="G1070" s="173" t="s">
        <v>1433</v>
      </c>
      <c r="H1070" s="172">
        <v>25.5</v>
      </c>
      <c r="I1070" s="170"/>
      <c r="J1070" s="173"/>
      <c r="K1070" s="170" t="s">
        <v>1308</v>
      </c>
    </row>
    <row r="1071" ht="15.75" hidden="1" customHeight="1">
      <c r="A1071" s="335">
        <v>46145.0</v>
      </c>
      <c r="B1071" s="172" t="s">
        <v>94</v>
      </c>
      <c r="C1071" s="172">
        <v>34.0</v>
      </c>
      <c r="D1071" s="179">
        <v>1.0</v>
      </c>
      <c r="E1071" s="172" t="s">
        <v>411</v>
      </c>
      <c r="F1071" s="172"/>
      <c r="G1071" s="173" t="s">
        <v>1434</v>
      </c>
      <c r="H1071" s="172">
        <v>20.0</v>
      </c>
      <c r="I1071" s="170"/>
      <c r="J1071" s="173"/>
      <c r="K1071" s="170" t="s">
        <v>1308</v>
      </c>
    </row>
    <row r="1072" ht="15.75" hidden="1" customHeight="1">
      <c r="A1072" s="335">
        <v>46145.0</v>
      </c>
      <c r="B1072" s="172" t="s">
        <v>50</v>
      </c>
      <c r="C1072" s="172">
        <v>36.0</v>
      </c>
      <c r="D1072" s="179">
        <v>1.0</v>
      </c>
      <c r="E1072" s="172" t="s">
        <v>411</v>
      </c>
      <c r="F1072" s="172"/>
      <c r="G1072" s="173" t="s">
        <v>1435</v>
      </c>
      <c r="H1072" s="172">
        <v>22.0</v>
      </c>
      <c r="I1072" s="170"/>
      <c r="J1072" s="173"/>
      <c r="K1072" s="170" t="s">
        <v>1308</v>
      </c>
    </row>
    <row r="1073" ht="15.75" hidden="1" customHeight="1">
      <c r="A1073" s="335">
        <v>46145.0</v>
      </c>
      <c r="B1073" s="172" t="s">
        <v>71</v>
      </c>
      <c r="C1073" s="172">
        <v>32.0</v>
      </c>
      <c r="D1073" s="179">
        <v>1.0</v>
      </c>
      <c r="E1073" s="172" t="s">
        <v>411</v>
      </c>
      <c r="F1073" s="172"/>
      <c r="G1073" s="173" t="s">
        <v>1436</v>
      </c>
      <c r="H1073" s="172">
        <v>23.7</v>
      </c>
      <c r="I1073" s="170"/>
      <c r="J1073" s="173"/>
      <c r="K1073" s="170" t="s">
        <v>1308</v>
      </c>
    </row>
    <row r="1074" ht="15.75" hidden="1" customHeight="1">
      <c r="A1074" s="235">
        <v>46145.0</v>
      </c>
      <c r="B1074" s="172" t="s">
        <v>52</v>
      </c>
      <c r="C1074" s="172">
        <v>34.0</v>
      </c>
      <c r="D1074" s="179">
        <v>1.0</v>
      </c>
      <c r="E1074" s="172" t="s">
        <v>39</v>
      </c>
      <c r="F1074" s="172"/>
      <c r="G1074" s="173" t="s">
        <v>1437</v>
      </c>
      <c r="H1074" s="172">
        <v>20.0</v>
      </c>
      <c r="I1074" s="170"/>
      <c r="J1074" s="173"/>
      <c r="K1074" s="170" t="s">
        <v>1308</v>
      </c>
    </row>
    <row r="1075" ht="15.75" hidden="1" customHeight="1">
      <c r="A1075" s="235">
        <v>46145.0</v>
      </c>
      <c r="B1075" s="172" t="s">
        <v>50</v>
      </c>
      <c r="C1075" s="172">
        <v>34.0</v>
      </c>
      <c r="D1075" s="179">
        <v>1.0</v>
      </c>
      <c r="E1075" s="172" t="s">
        <v>39</v>
      </c>
      <c r="F1075" s="172"/>
      <c r="G1075" s="173" t="s">
        <v>1437</v>
      </c>
      <c r="H1075" s="172">
        <v>20.0</v>
      </c>
      <c r="I1075" s="170"/>
      <c r="J1075" s="173"/>
      <c r="K1075" s="170" t="s">
        <v>1308</v>
      </c>
    </row>
    <row r="1076" ht="15.75" hidden="1" customHeight="1">
      <c r="A1076" s="235">
        <v>46145.0</v>
      </c>
      <c r="B1076" s="172" t="s">
        <v>94</v>
      </c>
      <c r="C1076" s="172">
        <v>34.0</v>
      </c>
      <c r="D1076" s="179">
        <v>1.0</v>
      </c>
      <c r="E1076" s="172" t="s">
        <v>39</v>
      </c>
      <c r="F1076" s="172"/>
      <c r="G1076" s="173" t="s">
        <v>1044</v>
      </c>
      <c r="H1076" s="172">
        <v>25.0</v>
      </c>
      <c r="I1076" s="170"/>
      <c r="J1076" s="173"/>
      <c r="K1076" s="170" t="s">
        <v>1308</v>
      </c>
    </row>
    <row r="1077" ht="15.75" hidden="1" customHeight="1">
      <c r="A1077" s="235">
        <v>46145.0</v>
      </c>
      <c r="B1077" s="172" t="s">
        <v>71</v>
      </c>
      <c r="C1077" s="172">
        <v>36.0</v>
      </c>
      <c r="D1077" s="179">
        <v>1.0</v>
      </c>
      <c r="E1077" s="172" t="s">
        <v>411</v>
      </c>
      <c r="F1077" s="172"/>
      <c r="G1077" s="173" t="s">
        <v>1438</v>
      </c>
      <c r="H1077" s="172">
        <v>20.0</v>
      </c>
      <c r="I1077" s="170"/>
      <c r="J1077" s="173"/>
      <c r="K1077" s="170" t="s">
        <v>1308</v>
      </c>
    </row>
    <row r="1078" ht="15.75" hidden="1" customHeight="1">
      <c r="A1078" s="235">
        <v>46145.0</v>
      </c>
      <c r="B1078" s="172" t="s">
        <v>1114</v>
      </c>
      <c r="C1078" s="172">
        <v>32.0</v>
      </c>
      <c r="D1078" s="179">
        <v>1.0</v>
      </c>
      <c r="E1078" s="172" t="s">
        <v>39</v>
      </c>
      <c r="F1078" s="172"/>
      <c r="G1078" s="173" t="s">
        <v>1439</v>
      </c>
      <c r="H1078" s="172">
        <v>20.0</v>
      </c>
      <c r="I1078" s="170"/>
      <c r="J1078" s="173"/>
      <c r="K1078" s="170" t="s">
        <v>1308</v>
      </c>
    </row>
    <row r="1079" ht="15.75" hidden="1" customHeight="1">
      <c r="A1079" s="251">
        <v>46146.0</v>
      </c>
      <c r="B1079" s="172" t="s">
        <v>94</v>
      </c>
      <c r="C1079" s="172">
        <v>34.0</v>
      </c>
      <c r="D1079" s="179">
        <v>1.0</v>
      </c>
      <c r="E1079" s="172" t="s">
        <v>411</v>
      </c>
      <c r="F1079" s="172"/>
      <c r="G1079" s="173" t="s">
        <v>1440</v>
      </c>
      <c r="H1079" s="172">
        <v>20.0</v>
      </c>
      <c r="I1079" s="170"/>
      <c r="J1079" s="173"/>
      <c r="K1079" s="170" t="s">
        <v>1308</v>
      </c>
    </row>
    <row r="1080" ht="15.75" hidden="1" customHeight="1">
      <c r="A1080" s="252">
        <v>46146.0</v>
      </c>
      <c r="B1080" s="172" t="s">
        <v>52</v>
      </c>
      <c r="C1080" s="172">
        <v>36.0</v>
      </c>
      <c r="D1080" s="179">
        <v>1.0</v>
      </c>
      <c r="E1080" s="172" t="s">
        <v>441</v>
      </c>
      <c r="F1080" s="172"/>
      <c r="G1080" s="173" t="s">
        <v>1441</v>
      </c>
      <c r="H1080" s="172">
        <v>20.0</v>
      </c>
      <c r="I1080" s="170"/>
      <c r="J1080" s="173"/>
      <c r="K1080" s="170" t="s">
        <v>1308</v>
      </c>
    </row>
    <row r="1081" ht="15.75" hidden="1" customHeight="1">
      <c r="A1081" s="252">
        <v>46146.0</v>
      </c>
      <c r="B1081" s="172" t="s">
        <v>52</v>
      </c>
      <c r="C1081" s="172">
        <v>36.0</v>
      </c>
      <c r="D1081" s="179">
        <v>1.0</v>
      </c>
      <c r="E1081" s="172" t="s">
        <v>441</v>
      </c>
      <c r="F1081" s="172"/>
      <c r="G1081" s="173" t="s">
        <v>1442</v>
      </c>
      <c r="H1081" s="172">
        <v>20.0</v>
      </c>
      <c r="I1081" s="170"/>
      <c r="J1081" s="173"/>
      <c r="K1081" s="170" t="s">
        <v>1308</v>
      </c>
    </row>
    <row r="1082" ht="15.75" hidden="1" customHeight="1">
      <c r="A1082" s="235">
        <v>46146.0</v>
      </c>
      <c r="B1082" s="172" t="s">
        <v>94</v>
      </c>
      <c r="C1082" s="172">
        <v>34.0</v>
      </c>
      <c r="D1082" s="179">
        <v>1.0</v>
      </c>
      <c r="E1082" s="172" t="s">
        <v>331</v>
      </c>
      <c r="F1082" s="172"/>
      <c r="G1082" s="173" t="s">
        <v>1443</v>
      </c>
      <c r="H1082" s="172">
        <v>20.0</v>
      </c>
      <c r="I1082" s="171" t="s">
        <v>138</v>
      </c>
      <c r="J1082" s="173"/>
      <c r="K1082" s="170" t="s">
        <v>1308</v>
      </c>
    </row>
    <row r="1083" ht="15.75" hidden="1" customHeight="1">
      <c r="A1083" s="235">
        <v>46146.0</v>
      </c>
      <c r="B1083" s="172" t="s">
        <v>63</v>
      </c>
      <c r="C1083" s="172">
        <v>32.0</v>
      </c>
      <c r="D1083" s="179">
        <v>1.0</v>
      </c>
      <c r="E1083" s="172" t="s">
        <v>411</v>
      </c>
      <c r="F1083" s="172"/>
      <c r="G1083" s="173" t="s">
        <v>1444</v>
      </c>
      <c r="H1083" s="172">
        <v>20.0</v>
      </c>
      <c r="I1083" s="170"/>
      <c r="J1083" s="173"/>
      <c r="K1083" s="170" t="s">
        <v>1308</v>
      </c>
    </row>
    <row r="1084" ht="15.75" hidden="1" customHeight="1">
      <c r="A1084" s="235">
        <v>46146.0</v>
      </c>
      <c r="B1084" s="172" t="s">
        <v>52</v>
      </c>
      <c r="C1084" s="172">
        <v>34.0</v>
      </c>
      <c r="D1084" s="179">
        <v>1.0</v>
      </c>
      <c r="E1084" s="172" t="s">
        <v>411</v>
      </c>
      <c r="F1084" s="172"/>
      <c r="G1084" s="173" t="s">
        <v>1445</v>
      </c>
      <c r="H1084" s="172">
        <v>22.0</v>
      </c>
      <c r="I1084" s="170"/>
      <c r="J1084" s="173"/>
      <c r="K1084" s="170" t="s">
        <v>1308</v>
      </c>
    </row>
    <row r="1085" ht="15.75" hidden="1" customHeight="1">
      <c r="A1085" s="235">
        <v>46146.0</v>
      </c>
      <c r="B1085" s="172" t="s">
        <v>50</v>
      </c>
      <c r="C1085" s="172">
        <v>32.0</v>
      </c>
      <c r="D1085" s="179">
        <v>1.0</v>
      </c>
      <c r="E1085" s="172" t="s">
        <v>411</v>
      </c>
      <c r="F1085" s="172"/>
      <c r="G1085" s="173" t="s">
        <v>1446</v>
      </c>
      <c r="H1085" s="172">
        <v>20.0</v>
      </c>
      <c r="J1085" s="173"/>
      <c r="K1085" s="170" t="s">
        <v>1308</v>
      </c>
    </row>
    <row r="1086" ht="15.75" hidden="1" customHeight="1">
      <c r="A1086" s="317">
        <v>46147.0</v>
      </c>
      <c r="B1086" s="172" t="s">
        <v>94</v>
      </c>
      <c r="C1086" s="172">
        <v>34.0</v>
      </c>
      <c r="D1086" s="179">
        <v>1.0</v>
      </c>
      <c r="E1086" s="172" t="s">
        <v>39</v>
      </c>
      <c r="F1086" s="172"/>
      <c r="G1086" s="173" t="s">
        <v>1447</v>
      </c>
      <c r="H1086" s="172">
        <v>25.0</v>
      </c>
      <c r="J1086" s="173"/>
      <c r="K1086" s="170" t="s">
        <v>1308</v>
      </c>
    </row>
    <row r="1087" ht="15.75" hidden="1" customHeight="1">
      <c r="A1087" s="252">
        <v>46147.0</v>
      </c>
      <c r="B1087" s="172" t="s">
        <v>52</v>
      </c>
      <c r="C1087" s="172">
        <v>34.0</v>
      </c>
      <c r="D1087" s="179">
        <v>1.0</v>
      </c>
      <c r="E1087" s="172" t="s">
        <v>411</v>
      </c>
      <c r="F1087" s="172"/>
      <c r="G1087" s="173" t="s">
        <v>1448</v>
      </c>
      <c r="H1087" s="172">
        <v>20.0</v>
      </c>
      <c r="J1087" s="173"/>
      <c r="K1087" s="170" t="s">
        <v>1308</v>
      </c>
    </row>
    <row r="1088" ht="15.75" hidden="1" customHeight="1">
      <c r="A1088" s="235">
        <v>46147.0</v>
      </c>
      <c r="B1088" s="172" t="s">
        <v>63</v>
      </c>
      <c r="C1088" s="172">
        <v>34.0</v>
      </c>
      <c r="D1088" s="179">
        <v>1.0</v>
      </c>
      <c r="E1088" s="172" t="s">
        <v>39</v>
      </c>
      <c r="F1088" s="172"/>
      <c r="G1088" s="173" t="s">
        <v>1449</v>
      </c>
      <c r="H1088" s="172">
        <v>25.0</v>
      </c>
      <c r="J1088" s="173"/>
      <c r="K1088" s="170" t="s">
        <v>1308</v>
      </c>
    </row>
    <row r="1089" ht="15.75" hidden="1" customHeight="1">
      <c r="A1089" s="235">
        <v>46147.0</v>
      </c>
      <c r="B1089" s="172" t="s">
        <v>45</v>
      </c>
      <c r="C1089" s="172">
        <v>32.0</v>
      </c>
      <c r="D1089" s="179">
        <v>1.0</v>
      </c>
      <c r="E1089" s="172" t="s">
        <v>331</v>
      </c>
      <c r="F1089" s="172"/>
      <c r="G1089" s="173" t="s">
        <v>1450</v>
      </c>
      <c r="H1089" s="172">
        <v>0.0</v>
      </c>
      <c r="J1089" s="173"/>
      <c r="K1089" s="170" t="s">
        <v>1308</v>
      </c>
    </row>
    <row r="1090" ht="15.75" hidden="1" customHeight="1">
      <c r="A1090" s="235">
        <v>46147.0</v>
      </c>
      <c r="B1090" s="172" t="s">
        <v>71</v>
      </c>
      <c r="C1090" s="172">
        <v>32.0</v>
      </c>
      <c r="D1090" s="179">
        <v>1.0</v>
      </c>
      <c r="E1090" s="172" t="s">
        <v>411</v>
      </c>
      <c r="F1090" s="336"/>
      <c r="G1090" s="337" t="s">
        <v>1451</v>
      </c>
      <c r="H1090" s="172">
        <v>22.5</v>
      </c>
      <c r="J1090" s="173"/>
      <c r="K1090" s="170" t="s">
        <v>1308</v>
      </c>
    </row>
    <row r="1091" ht="15.75" hidden="1" customHeight="1">
      <c r="A1091" s="235">
        <v>46147.0</v>
      </c>
      <c r="B1091" s="172" t="s">
        <v>63</v>
      </c>
      <c r="C1091" s="172">
        <v>32.0</v>
      </c>
      <c r="D1091" s="179">
        <v>1.0</v>
      </c>
      <c r="E1091" s="172" t="s">
        <v>411</v>
      </c>
      <c r="F1091" s="172"/>
      <c r="G1091" s="173" t="s">
        <v>1451</v>
      </c>
      <c r="H1091" s="172">
        <v>22.5</v>
      </c>
      <c r="K1091" s="170" t="s">
        <v>1308</v>
      </c>
    </row>
    <row r="1092" ht="15.75" hidden="1" customHeight="1">
      <c r="A1092" s="235">
        <v>46147.0</v>
      </c>
      <c r="B1092" s="172" t="s">
        <v>94</v>
      </c>
      <c r="C1092" s="172">
        <v>34.0</v>
      </c>
      <c r="D1092" s="179">
        <v>1.0</v>
      </c>
      <c r="E1092" s="172" t="s">
        <v>331</v>
      </c>
      <c r="F1092" s="172"/>
      <c r="G1092" s="173" t="s">
        <v>1452</v>
      </c>
      <c r="H1092" s="172">
        <v>0.0</v>
      </c>
      <c r="J1092" s="173"/>
      <c r="K1092" s="170" t="s">
        <v>1308</v>
      </c>
    </row>
    <row r="1093" ht="15.75" hidden="1" customHeight="1">
      <c r="A1093" s="235">
        <v>46147.0</v>
      </c>
      <c r="B1093" s="172" t="s">
        <v>94</v>
      </c>
      <c r="C1093" s="172">
        <v>34.0</v>
      </c>
      <c r="D1093" s="179">
        <v>1.0</v>
      </c>
      <c r="E1093" s="172" t="s">
        <v>39</v>
      </c>
      <c r="F1093" s="172"/>
      <c r="G1093" s="173" t="s">
        <v>1453</v>
      </c>
      <c r="H1093" s="172">
        <v>23.0</v>
      </c>
      <c r="J1093" s="173"/>
      <c r="K1093" s="170" t="s">
        <v>1308</v>
      </c>
    </row>
    <row r="1094" ht="15.75" hidden="1" customHeight="1">
      <c r="A1094" s="235">
        <v>46147.0</v>
      </c>
      <c r="B1094" s="172" t="s">
        <v>94</v>
      </c>
      <c r="C1094" s="172">
        <v>34.0</v>
      </c>
      <c r="D1094" s="179">
        <v>1.0</v>
      </c>
      <c r="E1094" s="172" t="s">
        <v>441</v>
      </c>
      <c r="F1094" s="172"/>
      <c r="G1094" s="173" t="s">
        <v>1454</v>
      </c>
      <c r="H1094" s="172">
        <v>22.0</v>
      </c>
      <c r="J1094" s="173"/>
      <c r="K1094" s="170" t="s">
        <v>1308</v>
      </c>
    </row>
    <row r="1095" ht="15.75" hidden="1" customHeight="1">
      <c r="A1095" s="233">
        <v>46148.0</v>
      </c>
      <c r="B1095" s="172" t="s">
        <v>50</v>
      </c>
      <c r="C1095" s="172">
        <v>32.0</v>
      </c>
      <c r="D1095" s="179">
        <v>1.0</v>
      </c>
      <c r="E1095" s="172" t="s">
        <v>411</v>
      </c>
      <c r="F1095" s="172"/>
      <c r="G1095" s="173" t="s">
        <v>1455</v>
      </c>
      <c r="H1095" s="172">
        <v>20.0</v>
      </c>
      <c r="J1095" s="173"/>
      <c r="K1095" s="170" t="s">
        <v>1308</v>
      </c>
    </row>
    <row r="1096" ht="15.75" hidden="1" customHeight="1">
      <c r="A1096" s="235">
        <v>46148.0</v>
      </c>
      <c r="B1096" s="172" t="s">
        <v>71</v>
      </c>
      <c r="C1096" s="172">
        <v>36.0</v>
      </c>
      <c r="D1096" s="179">
        <v>1.0</v>
      </c>
      <c r="E1096" s="172" t="s">
        <v>39</v>
      </c>
      <c r="F1096" s="172"/>
      <c r="G1096" s="173" t="s">
        <v>1456</v>
      </c>
      <c r="H1096" s="172">
        <v>20.0</v>
      </c>
      <c r="J1096" s="173"/>
      <c r="K1096" s="170" t="s">
        <v>1308</v>
      </c>
    </row>
    <row r="1097" ht="15.75" hidden="1" customHeight="1">
      <c r="A1097" s="235">
        <v>46148.0</v>
      </c>
      <c r="B1097" s="172" t="s">
        <v>50</v>
      </c>
      <c r="C1097" s="172">
        <v>34.0</v>
      </c>
      <c r="D1097" s="179">
        <v>1.0</v>
      </c>
      <c r="E1097" s="172" t="s">
        <v>411</v>
      </c>
      <c r="F1097" s="172"/>
      <c r="G1097" s="173" t="s">
        <v>1457</v>
      </c>
      <c r="H1097" s="172">
        <v>20.8</v>
      </c>
      <c r="J1097" s="173"/>
      <c r="K1097" s="170" t="s">
        <v>1308</v>
      </c>
    </row>
    <row r="1098" ht="15.75" hidden="1" customHeight="1">
      <c r="A1098" s="235">
        <v>46148.0</v>
      </c>
      <c r="B1098" s="172" t="s">
        <v>94</v>
      </c>
      <c r="C1098" s="172">
        <v>34.0</v>
      </c>
      <c r="D1098" s="179">
        <v>1.0</v>
      </c>
      <c r="E1098" s="172" t="s">
        <v>411</v>
      </c>
      <c r="F1098" s="172"/>
      <c r="G1098" s="173" t="s">
        <v>1458</v>
      </c>
      <c r="H1098" s="172">
        <v>22.0</v>
      </c>
      <c r="J1098" s="173"/>
      <c r="K1098" s="170" t="s">
        <v>1308</v>
      </c>
    </row>
    <row r="1099" ht="15.75" hidden="1" customHeight="1">
      <c r="A1099" s="235">
        <v>46148.0</v>
      </c>
      <c r="B1099" s="172" t="s">
        <v>50</v>
      </c>
      <c r="C1099" s="172">
        <v>34.0</v>
      </c>
      <c r="D1099" s="179">
        <v>1.0</v>
      </c>
      <c r="E1099" s="172" t="s">
        <v>441</v>
      </c>
      <c r="F1099" s="172"/>
      <c r="G1099" s="173" t="s">
        <v>1459</v>
      </c>
      <c r="H1099" s="172">
        <v>22.0</v>
      </c>
      <c r="J1099" s="173"/>
      <c r="K1099" s="170" t="s">
        <v>1308</v>
      </c>
    </row>
    <row r="1100" ht="15.75" hidden="1" customHeight="1">
      <c r="A1100" s="233">
        <v>46149.0</v>
      </c>
      <c r="B1100" s="172" t="s">
        <v>50</v>
      </c>
      <c r="C1100" s="172">
        <v>36.0</v>
      </c>
      <c r="D1100" s="179">
        <v>1.0</v>
      </c>
      <c r="E1100" s="172" t="s">
        <v>411</v>
      </c>
      <c r="F1100" s="172"/>
      <c r="G1100" s="173" t="s">
        <v>1460</v>
      </c>
      <c r="H1100" s="172">
        <v>22.0</v>
      </c>
      <c r="J1100" s="173"/>
      <c r="K1100" s="170" t="s">
        <v>1308</v>
      </c>
    </row>
    <row r="1101" ht="15.75" hidden="1" customHeight="1">
      <c r="A1101" s="252">
        <v>46149.0</v>
      </c>
      <c r="B1101" s="172" t="s">
        <v>50</v>
      </c>
      <c r="C1101" s="172">
        <v>34.0</v>
      </c>
      <c r="D1101" s="219">
        <v>0.0</v>
      </c>
      <c r="E1101" s="172" t="s">
        <v>411</v>
      </c>
      <c r="F1101" s="172"/>
      <c r="G1101" s="173" t="s">
        <v>1461</v>
      </c>
      <c r="H1101" s="172">
        <v>0.0</v>
      </c>
      <c r="J1101" s="173"/>
      <c r="K1101" s="170" t="s">
        <v>1308</v>
      </c>
    </row>
    <row r="1102" ht="15.75" hidden="1" customHeight="1">
      <c r="A1102" s="252">
        <v>46149.0</v>
      </c>
      <c r="B1102" s="172" t="s">
        <v>50</v>
      </c>
      <c r="C1102" s="172">
        <v>32.0</v>
      </c>
      <c r="D1102" s="179">
        <v>1.0</v>
      </c>
      <c r="E1102" s="172" t="s">
        <v>411</v>
      </c>
      <c r="F1102" s="172"/>
      <c r="G1102" s="173" t="s">
        <v>1462</v>
      </c>
      <c r="H1102" s="172">
        <v>21.6</v>
      </c>
      <c r="J1102" s="173"/>
      <c r="K1102" s="170" t="s">
        <v>1308</v>
      </c>
    </row>
    <row r="1103" ht="15.75" hidden="1" customHeight="1">
      <c r="A1103" s="235">
        <v>46149.0</v>
      </c>
      <c r="B1103" s="172" t="s">
        <v>50</v>
      </c>
      <c r="C1103" s="172">
        <v>34.0</v>
      </c>
      <c r="D1103" s="179">
        <v>1.0</v>
      </c>
      <c r="E1103" s="172" t="s">
        <v>39</v>
      </c>
      <c r="F1103" s="172"/>
      <c r="G1103" s="173" t="s">
        <v>1461</v>
      </c>
      <c r="H1103" s="172">
        <v>20.0</v>
      </c>
      <c r="J1103" s="173"/>
      <c r="K1103" s="170" t="s">
        <v>1308</v>
      </c>
    </row>
    <row r="1104" ht="15.75" hidden="1" customHeight="1">
      <c r="A1104" s="235">
        <v>46149.0</v>
      </c>
      <c r="B1104" s="172" t="s">
        <v>52</v>
      </c>
      <c r="C1104" s="172">
        <v>36.0</v>
      </c>
      <c r="D1104" s="179">
        <v>1.0</v>
      </c>
      <c r="E1104" s="172" t="s">
        <v>441</v>
      </c>
      <c r="F1104" s="172"/>
      <c r="G1104" s="173" t="s">
        <v>1463</v>
      </c>
      <c r="H1104" s="172">
        <v>21.0</v>
      </c>
      <c r="J1104" s="173"/>
      <c r="K1104" s="170" t="s">
        <v>1308</v>
      </c>
    </row>
    <row r="1105" ht="15.75" hidden="1" customHeight="1">
      <c r="A1105" s="233">
        <v>46150.0</v>
      </c>
      <c r="B1105" s="172" t="s">
        <v>94</v>
      </c>
      <c r="C1105" s="172">
        <v>34.0</v>
      </c>
      <c r="D1105" s="179">
        <v>1.0</v>
      </c>
      <c r="E1105" s="172" t="s">
        <v>39</v>
      </c>
      <c r="F1105" s="172"/>
      <c r="G1105" s="173" t="s">
        <v>1464</v>
      </c>
      <c r="H1105" s="172">
        <v>22.5</v>
      </c>
      <c r="J1105" s="173"/>
      <c r="K1105" s="170" t="s">
        <v>1308</v>
      </c>
    </row>
    <row r="1106" ht="15.75" hidden="1" customHeight="1">
      <c r="A1106" s="252">
        <v>46150.0</v>
      </c>
      <c r="B1106" s="172" t="s">
        <v>94</v>
      </c>
      <c r="C1106" s="172">
        <v>34.0</v>
      </c>
      <c r="D1106" s="179">
        <v>1.0</v>
      </c>
      <c r="E1106" s="172" t="s">
        <v>411</v>
      </c>
      <c r="F1106" s="172"/>
      <c r="G1106" s="173" t="s">
        <v>1465</v>
      </c>
      <c r="H1106" s="172">
        <v>20.0</v>
      </c>
      <c r="J1106" s="173"/>
      <c r="K1106" s="170" t="s">
        <v>1308</v>
      </c>
    </row>
    <row r="1107" ht="15.75" hidden="1" customHeight="1">
      <c r="A1107" s="252">
        <v>46150.0</v>
      </c>
      <c r="B1107" s="172" t="s">
        <v>94</v>
      </c>
      <c r="C1107" s="172">
        <v>34.0</v>
      </c>
      <c r="D1107" s="179">
        <v>1.0</v>
      </c>
      <c r="E1107" s="172" t="s">
        <v>411</v>
      </c>
      <c r="F1107" s="172"/>
      <c r="G1107" s="173" t="s">
        <v>1466</v>
      </c>
      <c r="H1107" s="172">
        <v>20.0</v>
      </c>
      <c r="J1107" s="173"/>
      <c r="K1107" s="170" t="s">
        <v>1308</v>
      </c>
    </row>
    <row r="1108" ht="15.75" hidden="1" customHeight="1">
      <c r="A1108" s="252">
        <v>46150.0</v>
      </c>
      <c r="B1108" s="172" t="s">
        <v>94</v>
      </c>
      <c r="C1108" s="172">
        <v>34.0</v>
      </c>
      <c r="D1108" s="179">
        <v>1.0</v>
      </c>
      <c r="E1108" s="172" t="s">
        <v>441</v>
      </c>
      <c r="F1108" s="172"/>
      <c r="G1108" s="173" t="s">
        <v>1467</v>
      </c>
      <c r="H1108" s="172">
        <v>26.0</v>
      </c>
      <c r="J1108" s="173"/>
      <c r="K1108" s="170" t="s">
        <v>1308</v>
      </c>
    </row>
    <row r="1109" ht="15.75" hidden="1" customHeight="1">
      <c r="A1109" s="252">
        <v>46150.0</v>
      </c>
      <c r="B1109" s="172" t="s">
        <v>71</v>
      </c>
      <c r="C1109" s="172">
        <v>32.0</v>
      </c>
      <c r="D1109" s="179">
        <v>1.0</v>
      </c>
      <c r="E1109" s="172" t="s">
        <v>411</v>
      </c>
      <c r="F1109" s="172"/>
      <c r="G1109" s="173" t="s">
        <v>1468</v>
      </c>
      <c r="H1109" s="172">
        <v>20.0</v>
      </c>
      <c r="J1109" s="173"/>
      <c r="K1109" s="170" t="s">
        <v>1308</v>
      </c>
    </row>
    <row r="1110" ht="15.75" hidden="1" customHeight="1">
      <c r="A1110" s="252">
        <v>46150.0</v>
      </c>
      <c r="B1110" s="172" t="s">
        <v>94</v>
      </c>
      <c r="C1110" s="172">
        <v>34.0</v>
      </c>
      <c r="D1110" s="179">
        <v>1.0</v>
      </c>
      <c r="E1110" s="172" t="s">
        <v>411</v>
      </c>
      <c r="F1110" s="172"/>
      <c r="G1110" s="173" t="s">
        <v>1469</v>
      </c>
      <c r="H1110" s="172">
        <v>22.0</v>
      </c>
      <c r="I1110" s="161"/>
      <c r="J1110" s="173"/>
      <c r="K1110" s="170" t="s">
        <v>1308</v>
      </c>
    </row>
    <row r="1111" ht="15.75" hidden="1" customHeight="1">
      <c r="A1111" s="252">
        <v>46150.0</v>
      </c>
      <c r="B1111" s="172" t="s">
        <v>51</v>
      </c>
      <c r="C1111" s="172">
        <v>36.0</v>
      </c>
      <c r="D1111" s="179">
        <v>1.0</v>
      </c>
      <c r="E1111" s="172" t="s">
        <v>411</v>
      </c>
      <c r="F1111" s="172"/>
      <c r="G1111" s="173" t="s">
        <v>1470</v>
      </c>
      <c r="H1111" s="172">
        <v>20.0</v>
      </c>
      <c r="J1111" s="173"/>
      <c r="K1111" s="170" t="s">
        <v>1308</v>
      </c>
    </row>
    <row r="1112" ht="15.75" hidden="1" customHeight="1">
      <c r="A1112" s="251">
        <v>46151.0</v>
      </c>
      <c r="B1112" s="172" t="s">
        <v>94</v>
      </c>
      <c r="C1112" s="172">
        <v>34.0</v>
      </c>
      <c r="D1112" s="179">
        <v>1.0</v>
      </c>
      <c r="E1112" s="172" t="s">
        <v>411</v>
      </c>
      <c r="F1112" s="172"/>
      <c r="G1112" s="173" t="s">
        <v>1471</v>
      </c>
      <c r="H1112" s="172">
        <v>28.0</v>
      </c>
      <c r="J1112" s="173"/>
      <c r="K1112" s="170" t="s">
        <v>1308</v>
      </c>
    </row>
    <row r="1113" ht="15.75" hidden="1" customHeight="1">
      <c r="A1113" s="252">
        <v>46151.0</v>
      </c>
      <c r="B1113" s="172" t="s">
        <v>51</v>
      </c>
      <c r="C1113" s="172">
        <v>36.0</v>
      </c>
      <c r="D1113" s="179">
        <v>1.0</v>
      </c>
      <c r="E1113" s="172" t="s">
        <v>411</v>
      </c>
      <c r="F1113" s="172"/>
      <c r="G1113" s="173" t="s">
        <v>1472</v>
      </c>
      <c r="H1113" s="172">
        <v>20.0</v>
      </c>
      <c r="J1113" s="173"/>
      <c r="K1113" s="170" t="s">
        <v>1308</v>
      </c>
    </row>
    <row r="1114" ht="15.75" hidden="1" customHeight="1">
      <c r="A1114" s="252">
        <v>46151.0</v>
      </c>
      <c r="B1114" s="172" t="s">
        <v>94</v>
      </c>
      <c r="C1114" s="172">
        <v>34.0</v>
      </c>
      <c r="D1114" s="179">
        <v>1.0</v>
      </c>
      <c r="E1114" s="172" t="s">
        <v>441</v>
      </c>
      <c r="F1114" s="172"/>
      <c r="G1114" s="173" t="s">
        <v>1473</v>
      </c>
      <c r="H1114" s="172">
        <v>26.0</v>
      </c>
      <c r="J1114" s="173"/>
      <c r="K1114" s="170" t="s">
        <v>1308</v>
      </c>
    </row>
    <row r="1115" ht="15.75" hidden="1" customHeight="1">
      <c r="A1115" s="252">
        <v>46151.0</v>
      </c>
      <c r="B1115" s="172" t="s">
        <v>50</v>
      </c>
      <c r="C1115" s="172">
        <v>32.0</v>
      </c>
      <c r="D1115" s="179">
        <v>1.0</v>
      </c>
      <c r="E1115" s="172" t="s">
        <v>411</v>
      </c>
      <c r="F1115" s="172"/>
      <c r="G1115" s="173" t="s">
        <v>1474</v>
      </c>
      <c r="H1115" s="172">
        <v>21.7</v>
      </c>
      <c r="J1115" s="173"/>
      <c r="K1115" s="170" t="s">
        <v>1308</v>
      </c>
    </row>
    <row r="1116" ht="15.75" hidden="1" customHeight="1">
      <c r="A1116" s="252">
        <v>46151.0</v>
      </c>
      <c r="B1116" s="172" t="s">
        <v>94</v>
      </c>
      <c r="C1116" s="172">
        <v>34.0</v>
      </c>
      <c r="D1116" s="179">
        <v>1.0</v>
      </c>
      <c r="E1116" s="172" t="s">
        <v>411</v>
      </c>
      <c r="F1116" s="172"/>
      <c r="G1116" s="173" t="s">
        <v>1475</v>
      </c>
      <c r="H1116" s="172">
        <v>23.1</v>
      </c>
      <c r="J1116" s="173"/>
      <c r="K1116" s="170" t="s">
        <v>1308</v>
      </c>
    </row>
    <row r="1117" ht="15.75" hidden="1" customHeight="1">
      <c r="A1117" s="252">
        <v>46151.0</v>
      </c>
      <c r="B1117" s="172" t="s">
        <v>94</v>
      </c>
      <c r="C1117" s="172">
        <v>34.0</v>
      </c>
      <c r="D1117" s="179">
        <v>1.0</v>
      </c>
      <c r="E1117" s="172" t="s">
        <v>441</v>
      </c>
      <c r="F1117" s="172"/>
      <c r="G1117" s="173" t="s">
        <v>1476</v>
      </c>
      <c r="H1117" s="172">
        <v>22.0</v>
      </c>
      <c r="J1117" s="173"/>
      <c r="K1117" s="170" t="s">
        <v>1308</v>
      </c>
    </row>
    <row r="1118" ht="15.75" hidden="1" customHeight="1">
      <c r="A1118" s="233">
        <v>46152.0</v>
      </c>
      <c r="B1118" s="172" t="s">
        <v>71</v>
      </c>
      <c r="C1118" s="172">
        <v>36.0</v>
      </c>
      <c r="D1118" s="179">
        <v>1.0</v>
      </c>
      <c r="E1118" s="172" t="s">
        <v>411</v>
      </c>
      <c r="F1118" s="172"/>
      <c r="G1118" s="173" t="s">
        <v>1477</v>
      </c>
      <c r="H1118" s="172">
        <v>22.5</v>
      </c>
      <c r="J1118" s="173"/>
      <c r="K1118" s="170" t="s">
        <v>1308</v>
      </c>
    </row>
    <row r="1119" ht="15.75" hidden="1" customHeight="1">
      <c r="A1119" s="252">
        <v>46152.0</v>
      </c>
      <c r="B1119" s="172" t="s">
        <v>51</v>
      </c>
      <c r="C1119" s="172">
        <v>36.0</v>
      </c>
      <c r="D1119" s="179">
        <v>1.0</v>
      </c>
      <c r="E1119" s="172" t="s">
        <v>411</v>
      </c>
      <c r="F1119" s="172"/>
      <c r="G1119" s="173" t="s">
        <v>1477</v>
      </c>
      <c r="H1119" s="172">
        <v>22.5</v>
      </c>
      <c r="J1119" s="173"/>
      <c r="K1119" s="170" t="s">
        <v>1308</v>
      </c>
    </row>
    <row r="1120" ht="15.75" hidden="1" customHeight="1">
      <c r="A1120" s="338">
        <v>46153.0</v>
      </c>
      <c r="B1120" s="172" t="s">
        <v>50</v>
      </c>
      <c r="C1120" s="172">
        <v>34.0</v>
      </c>
      <c r="D1120" s="179">
        <v>1.0</v>
      </c>
      <c r="E1120" s="172" t="s">
        <v>411</v>
      </c>
      <c r="F1120" s="172"/>
      <c r="G1120" s="173" t="s">
        <v>1478</v>
      </c>
      <c r="H1120" s="172">
        <v>20.0</v>
      </c>
      <c r="J1120" s="173"/>
      <c r="K1120" s="170" t="s">
        <v>1308</v>
      </c>
    </row>
    <row r="1121" ht="15.75" hidden="1" customHeight="1">
      <c r="A1121" s="252">
        <v>46153.0</v>
      </c>
      <c r="B1121" s="172" t="s">
        <v>52</v>
      </c>
      <c r="C1121" s="172">
        <v>36.0</v>
      </c>
      <c r="D1121" s="179">
        <v>1.0</v>
      </c>
      <c r="E1121" s="172" t="s">
        <v>441</v>
      </c>
      <c r="F1121" s="172"/>
      <c r="G1121" s="173" t="s">
        <v>1479</v>
      </c>
      <c r="H1121" s="172">
        <v>23.75</v>
      </c>
      <c r="J1121" s="173"/>
      <c r="K1121" s="170" t="s">
        <v>1308</v>
      </c>
    </row>
    <row r="1122" ht="15.75" hidden="1" customHeight="1">
      <c r="A1122" s="252">
        <v>46153.0</v>
      </c>
      <c r="B1122" s="172" t="s">
        <v>71</v>
      </c>
      <c r="C1122" s="172">
        <v>36.0</v>
      </c>
      <c r="D1122" s="179">
        <v>1.0</v>
      </c>
      <c r="E1122" s="172" t="s">
        <v>411</v>
      </c>
      <c r="F1122" s="172"/>
      <c r="G1122" s="173" t="s">
        <v>1470</v>
      </c>
      <c r="H1122" s="172">
        <v>10.0</v>
      </c>
      <c r="J1122" s="173"/>
      <c r="K1122" s="170" t="s">
        <v>1308</v>
      </c>
    </row>
    <row r="1123" ht="15.75" hidden="1" customHeight="1">
      <c r="A1123" s="251">
        <v>46154.0</v>
      </c>
      <c r="B1123" s="172" t="s">
        <v>50</v>
      </c>
      <c r="C1123" s="172">
        <v>34.0</v>
      </c>
      <c r="D1123" s="179">
        <v>1.0</v>
      </c>
      <c r="E1123" s="172" t="s">
        <v>411</v>
      </c>
      <c r="F1123" s="172"/>
      <c r="G1123" s="173" t="s">
        <v>1480</v>
      </c>
      <c r="H1123" s="172">
        <v>26.0</v>
      </c>
      <c r="J1123" s="173"/>
      <c r="K1123" s="170" t="s">
        <v>1308</v>
      </c>
    </row>
    <row r="1124" ht="15.75" hidden="1" customHeight="1">
      <c r="A1124" s="252">
        <v>46154.0</v>
      </c>
      <c r="B1124" s="172" t="s">
        <v>51</v>
      </c>
      <c r="C1124" s="172">
        <v>36.0</v>
      </c>
      <c r="D1124" s="179">
        <v>1.0</v>
      </c>
      <c r="E1124" s="172" t="s">
        <v>411</v>
      </c>
      <c r="F1124" s="172"/>
      <c r="G1124" s="173" t="s">
        <v>1481</v>
      </c>
      <c r="H1124" s="172">
        <v>22.5</v>
      </c>
      <c r="J1124" s="173"/>
      <c r="K1124" s="170" t="s">
        <v>1308</v>
      </c>
    </row>
    <row r="1125" ht="15.75" hidden="1" customHeight="1">
      <c r="A1125" s="252">
        <v>46154.0</v>
      </c>
      <c r="B1125" s="172" t="s">
        <v>71</v>
      </c>
      <c r="C1125" s="172">
        <v>36.0</v>
      </c>
      <c r="D1125" s="179">
        <v>1.0</v>
      </c>
      <c r="E1125" s="172" t="s">
        <v>411</v>
      </c>
      <c r="F1125" s="172"/>
      <c r="G1125" s="173" t="s">
        <v>1481</v>
      </c>
      <c r="H1125" s="172">
        <v>22.5</v>
      </c>
      <c r="J1125" s="173"/>
      <c r="K1125" s="170" t="s">
        <v>1308</v>
      </c>
    </row>
    <row r="1126" ht="15.75" hidden="1" customHeight="1">
      <c r="A1126" s="252">
        <v>46154.0</v>
      </c>
      <c r="B1126" s="172" t="s">
        <v>71</v>
      </c>
      <c r="C1126" s="172">
        <v>36.0</v>
      </c>
      <c r="D1126" s="179">
        <v>1.0</v>
      </c>
      <c r="E1126" s="172" t="s">
        <v>411</v>
      </c>
      <c r="F1126" s="172"/>
      <c r="G1126" s="173" t="s">
        <v>1482</v>
      </c>
      <c r="H1126" s="172">
        <v>26.0</v>
      </c>
      <c r="J1126" s="173"/>
      <c r="K1126" s="170" t="s">
        <v>1308</v>
      </c>
    </row>
    <row r="1127" ht="15.75" hidden="1" customHeight="1">
      <c r="A1127" s="252">
        <v>46154.0</v>
      </c>
      <c r="B1127" s="172" t="s">
        <v>51</v>
      </c>
      <c r="C1127" s="172">
        <v>36.0</v>
      </c>
      <c r="D1127" s="179">
        <v>1.0</v>
      </c>
      <c r="E1127" s="172" t="s">
        <v>411</v>
      </c>
      <c r="F1127" s="172"/>
      <c r="G1127" s="173" t="s">
        <v>1482</v>
      </c>
      <c r="H1127" s="172">
        <v>26.0</v>
      </c>
      <c r="J1127" s="173"/>
      <c r="K1127" s="170" t="s">
        <v>1308</v>
      </c>
    </row>
    <row r="1128" ht="15.75" hidden="1" customHeight="1">
      <c r="A1128" s="252">
        <v>46154.0</v>
      </c>
      <c r="B1128" s="172" t="s">
        <v>71</v>
      </c>
      <c r="C1128" s="172">
        <v>32.0</v>
      </c>
      <c r="D1128" s="179">
        <v>1.0</v>
      </c>
      <c r="E1128" s="172" t="s">
        <v>411</v>
      </c>
      <c r="F1128" s="172"/>
      <c r="G1128" s="173" t="s">
        <v>1483</v>
      </c>
      <c r="H1128" s="172">
        <v>22.5</v>
      </c>
      <c r="J1128" s="173"/>
      <c r="K1128" s="170" t="s">
        <v>1308</v>
      </c>
    </row>
    <row r="1129" ht="15.75" hidden="1" customHeight="1">
      <c r="A1129" s="317">
        <v>46155.0</v>
      </c>
      <c r="B1129" s="172" t="s">
        <v>52</v>
      </c>
      <c r="C1129" s="172">
        <v>36.0</v>
      </c>
      <c r="D1129" s="179">
        <v>1.0</v>
      </c>
      <c r="E1129" s="172" t="s">
        <v>441</v>
      </c>
      <c r="F1129" s="172"/>
      <c r="G1129" s="173" t="s">
        <v>1484</v>
      </c>
      <c r="H1129" s="172">
        <v>20.0</v>
      </c>
      <c r="J1129" s="173"/>
      <c r="K1129" s="170" t="s">
        <v>1308</v>
      </c>
    </row>
    <row r="1130" ht="15.75" hidden="1" customHeight="1">
      <c r="A1130" s="339">
        <v>46156.0</v>
      </c>
      <c r="B1130" s="182" t="s">
        <v>50</v>
      </c>
      <c r="C1130" s="182">
        <v>34.0</v>
      </c>
      <c r="D1130" s="340">
        <v>1.0</v>
      </c>
      <c r="E1130" s="182" t="s">
        <v>422</v>
      </c>
      <c r="F1130" s="182"/>
      <c r="G1130" s="184" t="s">
        <v>1485</v>
      </c>
      <c r="H1130" s="182">
        <v>0.0</v>
      </c>
      <c r="J1130" s="173"/>
      <c r="K1130" s="170" t="s">
        <v>1308</v>
      </c>
    </row>
    <row r="1131" ht="15.75" hidden="1" customHeight="1">
      <c r="A1131" s="235">
        <v>46156.0</v>
      </c>
      <c r="B1131" s="172" t="s">
        <v>63</v>
      </c>
      <c r="C1131" s="172">
        <v>34.0</v>
      </c>
      <c r="D1131" s="179">
        <v>1.0</v>
      </c>
      <c r="E1131" s="172" t="s">
        <v>39</v>
      </c>
      <c r="F1131" s="172"/>
      <c r="G1131" s="173" t="s">
        <v>1486</v>
      </c>
      <c r="H1131" s="172">
        <v>25.0</v>
      </c>
      <c r="J1131" s="173"/>
      <c r="K1131" s="170" t="s">
        <v>1308</v>
      </c>
    </row>
    <row r="1132" ht="15.75" hidden="1" customHeight="1">
      <c r="A1132" s="235">
        <v>46156.0</v>
      </c>
      <c r="B1132" s="172" t="s">
        <v>1114</v>
      </c>
      <c r="C1132" s="172">
        <v>32.0</v>
      </c>
      <c r="D1132" s="179">
        <v>1.0</v>
      </c>
      <c r="E1132" s="172" t="s">
        <v>39</v>
      </c>
      <c r="F1132" s="172"/>
      <c r="G1132" s="173" t="s">
        <v>1487</v>
      </c>
      <c r="H1132" s="172">
        <v>20.0</v>
      </c>
      <c r="J1132" s="173"/>
      <c r="K1132" s="170" t="s">
        <v>1308</v>
      </c>
    </row>
    <row r="1133" ht="15.75" hidden="1" customHeight="1">
      <c r="A1133" s="251">
        <v>46157.0</v>
      </c>
      <c r="B1133" s="172" t="s">
        <v>1114</v>
      </c>
      <c r="C1133" s="172">
        <v>34.0</v>
      </c>
      <c r="D1133" s="179">
        <v>1.0</v>
      </c>
      <c r="E1133" s="172" t="s">
        <v>441</v>
      </c>
      <c r="F1133" s="172"/>
      <c r="G1133" s="173" t="s">
        <v>1488</v>
      </c>
      <c r="H1133" s="172">
        <v>20.0</v>
      </c>
      <c r="J1133" s="173"/>
      <c r="K1133" s="170" t="s">
        <v>1308</v>
      </c>
    </row>
    <row r="1134" ht="15.75" hidden="1" customHeight="1">
      <c r="A1134" s="339">
        <v>46157.0</v>
      </c>
      <c r="B1134" s="182" t="s">
        <v>52</v>
      </c>
      <c r="C1134" s="182">
        <v>36.0</v>
      </c>
      <c r="D1134" s="340">
        <v>1.0</v>
      </c>
      <c r="E1134" s="182" t="s">
        <v>422</v>
      </c>
      <c r="F1134" s="182"/>
      <c r="G1134" s="184" t="s">
        <v>1489</v>
      </c>
      <c r="H1134" s="182">
        <v>0.0</v>
      </c>
      <c r="J1134" s="173"/>
      <c r="K1134" s="170" t="s">
        <v>1308</v>
      </c>
    </row>
    <row r="1135" ht="15.75" hidden="1" customHeight="1">
      <c r="A1135" s="341">
        <v>46157.0</v>
      </c>
      <c r="B1135" s="172" t="s">
        <v>45</v>
      </c>
      <c r="C1135" s="172">
        <v>34.0</v>
      </c>
      <c r="D1135" s="179">
        <v>1.0</v>
      </c>
      <c r="E1135" s="172" t="s">
        <v>411</v>
      </c>
      <c r="F1135" s="172"/>
      <c r="G1135" s="173" t="s">
        <v>1490</v>
      </c>
      <c r="H1135" s="172">
        <v>20.0</v>
      </c>
      <c r="J1135" s="173"/>
      <c r="K1135" s="170" t="s">
        <v>1308</v>
      </c>
    </row>
    <row r="1136" ht="15.75" hidden="1" customHeight="1">
      <c r="A1136" s="339">
        <v>46157.0</v>
      </c>
      <c r="B1136" s="182" t="s">
        <v>45</v>
      </c>
      <c r="C1136" s="182">
        <v>32.0</v>
      </c>
      <c r="D1136" s="340">
        <v>1.0</v>
      </c>
      <c r="E1136" s="182" t="s">
        <v>422</v>
      </c>
      <c r="F1136" s="326"/>
      <c r="G1136" s="327" t="s">
        <v>1491</v>
      </c>
      <c r="H1136" s="182">
        <v>0.0</v>
      </c>
      <c r="J1136" s="173"/>
      <c r="K1136" s="170" t="s">
        <v>1308</v>
      </c>
    </row>
    <row r="1137" ht="15.75" hidden="1" customHeight="1">
      <c r="A1137" s="339">
        <v>46158.0</v>
      </c>
      <c r="B1137" s="182" t="s">
        <v>52</v>
      </c>
      <c r="C1137" s="182">
        <v>36.0</v>
      </c>
      <c r="D1137" s="340">
        <v>1.0</v>
      </c>
      <c r="E1137" s="182" t="s">
        <v>422</v>
      </c>
      <c r="F1137" s="324"/>
      <c r="G1137" s="325" t="s">
        <v>1492</v>
      </c>
      <c r="H1137" s="182">
        <v>0.0</v>
      </c>
      <c r="J1137" s="173"/>
      <c r="K1137" s="170" t="s">
        <v>1308</v>
      </c>
    </row>
    <row r="1138" ht="15.75" hidden="1" customHeight="1">
      <c r="A1138" s="235">
        <v>46157.0</v>
      </c>
      <c r="B1138" s="172" t="s">
        <v>1114</v>
      </c>
      <c r="C1138" s="172">
        <v>34.0</v>
      </c>
      <c r="D1138" s="179">
        <v>1.0</v>
      </c>
      <c r="E1138" s="172" t="s">
        <v>39</v>
      </c>
      <c r="F1138" s="172"/>
      <c r="G1138" s="173" t="s">
        <v>1471</v>
      </c>
      <c r="H1138" s="172">
        <v>25.99</v>
      </c>
      <c r="J1138" s="173"/>
      <c r="K1138" s="170" t="s">
        <v>1308</v>
      </c>
    </row>
    <row r="1139" ht="15.75" hidden="1" customHeight="1">
      <c r="A1139" s="251">
        <v>46158.0</v>
      </c>
      <c r="B1139" s="342" t="s">
        <v>45</v>
      </c>
      <c r="C1139" s="342">
        <v>34.0</v>
      </c>
      <c r="D1139" s="343">
        <v>1.0</v>
      </c>
      <c r="E1139" s="342" t="s">
        <v>411</v>
      </c>
      <c r="F1139" s="342"/>
      <c r="G1139" s="344" t="s">
        <v>1493</v>
      </c>
      <c r="H1139" s="342">
        <v>23.6</v>
      </c>
      <c r="I1139" s="344" t="s">
        <v>1494</v>
      </c>
      <c r="J1139" s="173"/>
      <c r="K1139" s="170" t="s">
        <v>1308</v>
      </c>
    </row>
    <row r="1140" ht="15.75" hidden="1" customHeight="1">
      <c r="A1140" s="235">
        <v>46158.0</v>
      </c>
      <c r="B1140" s="172" t="s">
        <v>1114</v>
      </c>
      <c r="C1140" s="172">
        <v>32.0</v>
      </c>
      <c r="D1140" s="179">
        <v>1.0</v>
      </c>
      <c r="E1140" s="172" t="s">
        <v>39</v>
      </c>
      <c r="F1140" s="172"/>
      <c r="G1140" s="173" t="s">
        <v>1495</v>
      </c>
      <c r="H1140" s="172">
        <v>20.0</v>
      </c>
      <c r="J1140" s="173"/>
      <c r="K1140" s="170" t="s">
        <v>1308</v>
      </c>
    </row>
    <row r="1141" ht="15.75" hidden="1" customHeight="1">
      <c r="A1141" s="235">
        <v>46158.0</v>
      </c>
      <c r="B1141" s="172" t="s">
        <v>63</v>
      </c>
      <c r="C1141" s="172">
        <v>34.0</v>
      </c>
      <c r="D1141" s="179">
        <v>1.0</v>
      </c>
      <c r="E1141" s="172" t="s">
        <v>39</v>
      </c>
      <c r="F1141" s="172"/>
      <c r="G1141" s="173" t="s">
        <v>1496</v>
      </c>
      <c r="H1141" s="172">
        <v>25.0</v>
      </c>
      <c r="J1141" s="173"/>
      <c r="K1141" s="170" t="s">
        <v>1308</v>
      </c>
    </row>
    <row r="1142" ht="15.75" hidden="1" customHeight="1">
      <c r="A1142" s="235">
        <v>46158.0</v>
      </c>
      <c r="B1142" s="172" t="s">
        <v>1114</v>
      </c>
      <c r="C1142" s="172">
        <v>32.0</v>
      </c>
      <c r="D1142" s="179">
        <v>1.0</v>
      </c>
      <c r="E1142" s="172" t="s">
        <v>411</v>
      </c>
      <c r="F1142" s="172"/>
      <c r="G1142" s="173" t="s">
        <v>1497</v>
      </c>
      <c r="H1142" s="172">
        <v>28.0</v>
      </c>
      <c r="J1142" s="173"/>
      <c r="K1142" s="170" t="s">
        <v>1308</v>
      </c>
    </row>
    <row r="1143" ht="15.75" hidden="1" customHeight="1">
      <c r="A1143" s="235">
        <v>46158.0</v>
      </c>
      <c r="B1143" s="172" t="s">
        <v>50</v>
      </c>
      <c r="C1143" s="172">
        <v>32.0</v>
      </c>
      <c r="D1143" s="179">
        <v>1.0</v>
      </c>
      <c r="E1143" s="172" t="s">
        <v>39</v>
      </c>
      <c r="F1143" s="172"/>
      <c r="G1143" s="173" t="s">
        <v>1498</v>
      </c>
      <c r="H1143" s="172">
        <v>22.0</v>
      </c>
      <c r="J1143" s="173"/>
      <c r="K1143" s="170" t="s">
        <v>1308</v>
      </c>
    </row>
    <row r="1144" ht="15.75" hidden="1" customHeight="1">
      <c r="A1144" s="251">
        <v>46159.0</v>
      </c>
      <c r="B1144" s="172" t="s">
        <v>1114</v>
      </c>
      <c r="C1144" s="172">
        <v>34.0</v>
      </c>
      <c r="D1144" s="179">
        <v>1.0</v>
      </c>
      <c r="E1144" s="172" t="s">
        <v>39</v>
      </c>
      <c r="F1144" s="172"/>
      <c r="G1144" s="173" t="s">
        <v>1499</v>
      </c>
      <c r="H1144" s="172">
        <v>22.0</v>
      </c>
      <c r="J1144" s="173"/>
      <c r="K1144" s="170" t="s">
        <v>1308</v>
      </c>
    </row>
    <row r="1145" ht="15.75" hidden="1" customHeight="1">
      <c r="A1145" s="235">
        <v>46159.0</v>
      </c>
      <c r="B1145" s="172" t="s">
        <v>50</v>
      </c>
      <c r="C1145" s="172">
        <v>36.0</v>
      </c>
      <c r="D1145" s="179">
        <v>1.0</v>
      </c>
      <c r="E1145" s="172" t="s">
        <v>39</v>
      </c>
      <c r="F1145" s="172"/>
      <c r="G1145" s="173" t="s">
        <v>1500</v>
      </c>
      <c r="H1145" s="172">
        <v>24.0</v>
      </c>
      <c r="J1145" s="173"/>
      <c r="K1145" s="170" t="s">
        <v>1308</v>
      </c>
    </row>
    <row r="1146" ht="15.75" hidden="1" customHeight="1">
      <c r="A1146" s="235">
        <v>46159.0</v>
      </c>
      <c r="B1146" s="172" t="s">
        <v>45</v>
      </c>
      <c r="C1146" s="172">
        <v>36.0</v>
      </c>
      <c r="D1146" s="179">
        <v>1.0</v>
      </c>
      <c r="E1146" s="172" t="s">
        <v>41</v>
      </c>
      <c r="F1146" s="336"/>
      <c r="G1146" s="337" t="s">
        <v>1501</v>
      </c>
      <c r="H1146" s="172">
        <v>20.0</v>
      </c>
      <c r="J1146" s="173"/>
      <c r="K1146" s="170" t="s">
        <v>1308</v>
      </c>
    </row>
    <row r="1147" ht="15.75" hidden="1" customHeight="1">
      <c r="A1147" s="235">
        <v>46159.0</v>
      </c>
      <c r="B1147" s="172" t="s">
        <v>45</v>
      </c>
      <c r="C1147" s="172">
        <v>36.0</v>
      </c>
      <c r="D1147" s="179">
        <v>1.0</v>
      </c>
      <c r="E1147" s="172" t="s">
        <v>39</v>
      </c>
      <c r="F1147" s="172"/>
      <c r="G1147" s="173" t="s">
        <v>1502</v>
      </c>
      <c r="H1147" s="172">
        <v>21.66</v>
      </c>
      <c r="J1147" s="173"/>
      <c r="K1147" s="170" t="s">
        <v>1308</v>
      </c>
    </row>
    <row r="1148" ht="15.75" hidden="1" customHeight="1">
      <c r="A1148" s="235">
        <v>46159.0</v>
      </c>
      <c r="B1148" s="172" t="s">
        <v>71</v>
      </c>
      <c r="C1148" s="172">
        <v>36.0</v>
      </c>
      <c r="D1148" s="179">
        <v>1.0</v>
      </c>
      <c r="E1148" s="172" t="s">
        <v>39</v>
      </c>
      <c r="F1148" s="172"/>
      <c r="G1148" s="173" t="s">
        <v>1502</v>
      </c>
      <c r="H1148" s="172">
        <v>21.66</v>
      </c>
      <c r="J1148" s="173"/>
      <c r="K1148" s="170" t="s">
        <v>1308</v>
      </c>
    </row>
    <row r="1149" ht="15.75" hidden="1" customHeight="1">
      <c r="A1149" s="235">
        <v>46159.0</v>
      </c>
      <c r="B1149" s="172" t="s">
        <v>51</v>
      </c>
      <c r="C1149" s="172">
        <v>36.0</v>
      </c>
      <c r="D1149" s="179">
        <v>1.0</v>
      </c>
      <c r="E1149" s="172" t="s">
        <v>39</v>
      </c>
      <c r="F1149" s="172"/>
      <c r="G1149" s="173" t="s">
        <v>1502</v>
      </c>
      <c r="H1149" s="172">
        <v>21.66</v>
      </c>
      <c r="J1149" s="173"/>
      <c r="K1149" s="170" t="s">
        <v>1308</v>
      </c>
    </row>
    <row r="1150" ht="15.75" hidden="1" customHeight="1">
      <c r="A1150" s="251">
        <v>46160.0</v>
      </c>
      <c r="B1150" s="172" t="s">
        <v>52</v>
      </c>
      <c r="C1150" s="172">
        <v>36.0</v>
      </c>
      <c r="D1150" s="179">
        <v>1.0</v>
      </c>
      <c r="E1150" s="172" t="s">
        <v>41</v>
      </c>
      <c r="F1150" s="172"/>
      <c r="G1150" s="173" t="s">
        <v>1503</v>
      </c>
      <c r="H1150" s="172">
        <v>21.0</v>
      </c>
      <c r="J1150" s="173"/>
      <c r="K1150" s="170" t="s">
        <v>1308</v>
      </c>
    </row>
    <row r="1151" ht="15.75" hidden="1" customHeight="1">
      <c r="A1151" s="235">
        <v>46160.0</v>
      </c>
      <c r="B1151" s="172" t="s">
        <v>94</v>
      </c>
      <c r="C1151" s="172">
        <v>32.0</v>
      </c>
      <c r="D1151" s="179">
        <v>1.0</v>
      </c>
      <c r="E1151" s="172" t="s">
        <v>411</v>
      </c>
      <c r="F1151" s="172"/>
      <c r="G1151" s="173" t="s">
        <v>1504</v>
      </c>
      <c r="H1151" s="172">
        <v>20.0</v>
      </c>
      <c r="J1151" s="173"/>
      <c r="K1151" s="170" t="s">
        <v>1308</v>
      </c>
    </row>
    <row r="1152" ht="15.75" hidden="1" customHeight="1">
      <c r="A1152" s="235">
        <v>46160.0</v>
      </c>
      <c r="B1152" s="172" t="s">
        <v>45</v>
      </c>
      <c r="C1152" s="172">
        <v>34.0</v>
      </c>
      <c r="D1152" s="179">
        <v>1.0</v>
      </c>
      <c r="E1152" s="172" t="s">
        <v>39</v>
      </c>
      <c r="F1152" s="172"/>
      <c r="G1152" s="173" t="s">
        <v>1505</v>
      </c>
      <c r="H1152" s="172">
        <v>20.0</v>
      </c>
      <c r="J1152" s="173"/>
      <c r="K1152" s="170" t="s">
        <v>1308</v>
      </c>
    </row>
    <row r="1153" ht="15.75" hidden="1" customHeight="1">
      <c r="A1153" s="235">
        <v>46160.0</v>
      </c>
      <c r="B1153" s="172" t="s">
        <v>1114</v>
      </c>
      <c r="C1153" s="172">
        <v>34.0</v>
      </c>
      <c r="D1153" s="179">
        <v>1.0</v>
      </c>
      <c r="E1153" s="172" t="s">
        <v>39</v>
      </c>
      <c r="F1153" s="172"/>
      <c r="G1153" s="173" t="s">
        <v>1506</v>
      </c>
      <c r="H1153" s="172">
        <v>24.0</v>
      </c>
      <c r="J1153" s="173"/>
      <c r="K1153" s="170" t="s">
        <v>1308</v>
      </c>
    </row>
    <row r="1154" ht="15.75" hidden="1" customHeight="1">
      <c r="A1154" s="235">
        <v>46160.0</v>
      </c>
      <c r="B1154" s="172" t="s">
        <v>50</v>
      </c>
      <c r="C1154" s="172">
        <v>36.0</v>
      </c>
      <c r="D1154" s="179">
        <v>1.0</v>
      </c>
      <c r="E1154" s="172" t="s">
        <v>39</v>
      </c>
      <c r="F1154" s="172"/>
      <c r="G1154" s="173" t="s">
        <v>1507</v>
      </c>
      <c r="H1154" s="172">
        <v>24.0</v>
      </c>
      <c r="J1154" s="173"/>
      <c r="K1154" s="170" t="s">
        <v>1308</v>
      </c>
    </row>
    <row r="1155" ht="15.75" hidden="1" customHeight="1">
      <c r="A1155" s="317">
        <v>46161.0</v>
      </c>
      <c r="B1155" s="172" t="s">
        <v>50</v>
      </c>
      <c r="C1155" s="172">
        <v>32.0</v>
      </c>
      <c r="D1155" s="179">
        <v>1.0</v>
      </c>
      <c r="E1155" s="172" t="s">
        <v>39</v>
      </c>
      <c r="F1155" s="172"/>
      <c r="G1155" s="173" t="s">
        <v>1508</v>
      </c>
      <c r="H1155" s="172">
        <v>24.0</v>
      </c>
      <c r="J1155" s="173"/>
      <c r="K1155" s="170" t="s">
        <v>1308</v>
      </c>
    </row>
    <row r="1156" ht="15.75" hidden="1" customHeight="1">
      <c r="A1156" s="235">
        <v>46161.0</v>
      </c>
      <c r="B1156" s="172" t="s">
        <v>1114</v>
      </c>
      <c r="C1156" s="172">
        <v>32.0</v>
      </c>
      <c r="D1156" s="179">
        <v>1.0</v>
      </c>
      <c r="E1156" s="172" t="s">
        <v>39</v>
      </c>
      <c r="F1156" s="172"/>
      <c r="G1156" s="173" t="s">
        <v>1509</v>
      </c>
      <c r="H1156" s="172">
        <v>20.0</v>
      </c>
      <c r="J1156" s="173"/>
      <c r="K1156" s="170" t="s">
        <v>1308</v>
      </c>
    </row>
    <row r="1157" ht="15.75" hidden="1" customHeight="1">
      <c r="A1157" s="235">
        <v>46161.0</v>
      </c>
      <c r="B1157" s="172" t="s">
        <v>50</v>
      </c>
      <c r="C1157" s="172">
        <v>34.0</v>
      </c>
      <c r="D1157" s="179">
        <v>1.0</v>
      </c>
      <c r="E1157" s="172" t="s">
        <v>411</v>
      </c>
      <c r="F1157" s="172"/>
      <c r="G1157" s="173" t="s">
        <v>1510</v>
      </c>
      <c r="H1157" s="172">
        <v>20.0</v>
      </c>
      <c r="J1157" s="173"/>
      <c r="K1157" s="170" t="s">
        <v>1308</v>
      </c>
    </row>
    <row r="1158" ht="15.75" hidden="1" customHeight="1">
      <c r="A1158" s="235">
        <v>46161.0</v>
      </c>
      <c r="B1158" s="172" t="s">
        <v>45</v>
      </c>
      <c r="C1158" s="172">
        <v>34.0</v>
      </c>
      <c r="D1158" s="179">
        <v>1.0</v>
      </c>
      <c r="E1158" s="172" t="s">
        <v>39</v>
      </c>
      <c r="F1158" s="172"/>
      <c r="G1158" s="173" t="s">
        <v>1511</v>
      </c>
      <c r="H1158" s="172">
        <v>23.0</v>
      </c>
      <c r="J1158" s="173"/>
      <c r="K1158" s="170" t="s">
        <v>1308</v>
      </c>
    </row>
    <row r="1159" ht="15.75" hidden="1" customHeight="1">
      <c r="A1159" s="235">
        <v>46161.0</v>
      </c>
      <c r="B1159" s="172" t="s">
        <v>50</v>
      </c>
      <c r="C1159" s="172">
        <v>32.0</v>
      </c>
      <c r="D1159" s="179">
        <v>1.0</v>
      </c>
      <c r="E1159" s="172" t="s">
        <v>411</v>
      </c>
      <c r="F1159" s="172"/>
      <c r="G1159" s="173" t="s">
        <v>1512</v>
      </c>
      <c r="H1159" s="172">
        <v>27.4</v>
      </c>
      <c r="J1159" s="173"/>
      <c r="K1159" s="170" t="s">
        <v>1308</v>
      </c>
    </row>
    <row r="1160" ht="15.75" hidden="1" customHeight="1">
      <c r="A1160" s="235">
        <v>46161.0</v>
      </c>
      <c r="B1160" s="172" t="s">
        <v>45</v>
      </c>
      <c r="C1160" s="172">
        <v>34.0</v>
      </c>
      <c r="D1160" s="179">
        <v>1.0</v>
      </c>
      <c r="E1160" s="172" t="s">
        <v>411</v>
      </c>
      <c r="F1160" s="345"/>
      <c r="G1160" s="346" t="s">
        <v>1513</v>
      </c>
      <c r="H1160" s="172">
        <v>20.0</v>
      </c>
      <c r="J1160" s="173"/>
      <c r="K1160" s="170" t="s">
        <v>1308</v>
      </c>
    </row>
    <row r="1161" ht="15.75" hidden="1" customHeight="1">
      <c r="A1161" s="235">
        <v>46161.0</v>
      </c>
      <c r="B1161" s="172" t="s">
        <v>50</v>
      </c>
      <c r="C1161" s="172">
        <v>36.0</v>
      </c>
      <c r="D1161" s="179">
        <v>1.0</v>
      </c>
      <c r="E1161" s="172" t="s">
        <v>411</v>
      </c>
      <c r="F1161" s="345"/>
      <c r="G1161" s="347" t="s">
        <v>1514</v>
      </c>
      <c r="H1161" s="172">
        <v>22.0</v>
      </c>
      <c r="J1161" s="173"/>
      <c r="K1161" s="170" t="s">
        <v>1308</v>
      </c>
    </row>
    <row r="1162" ht="15.75" hidden="1" customHeight="1">
      <c r="A1162" s="235">
        <v>46161.0</v>
      </c>
      <c r="B1162" s="172" t="s">
        <v>63</v>
      </c>
      <c r="C1162" s="172">
        <v>32.0</v>
      </c>
      <c r="D1162" s="179">
        <v>1.0</v>
      </c>
      <c r="E1162" s="172" t="s">
        <v>411</v>
      </c>
      <c r="F1162" s="172"/>
      <c r="G1162" s="173" t="s">
        <v>1515</v>
      </c>
      <c r="H1162" s="172">
        <v>21.6</v>
      </c>
      <c r="J1162" s="173"/>
      <c r="K1162" s="170" t="s">
        <v>1308</v>
      </c>
    </row>
    <row r="1163" ht="15.75" hidden="1" customHeight="1">
      <c r="A1163" s="246">
        <v>46162.0</v>
      </c>
      <c r="B1163" s="182" t="s">
        <v>71</v>
      </c>
      <c r="C1163" s="182">
        <v>32.0</v>
      </c>
      <c r="D1163" s="340">
        <v>1.0</v>
      </c>
      <c r="E1163" s="182" t="s">
        <v>411</v>
      </c>
      <c r="F1163" s="182"/>
      <c r="G1163" s="184" t="s">
        <v>1516</v>
      </c>
      <c r="H1163" s="182">
        <v>0.0</v>
      </c>
      <c r="I1163" s="184" t="s">
        <v>1517</v>
      </c>
      <c r="J1163" s="173"/>
      <c r="K1163" s="170" t="s">
        <v>1308</v>
      </c>
    </row>
    <row r="1164" ht="15.75" hidden="1" customHeight="1">
      <c r="A1164" s="252">
        <v>46162.0</v>
      </c>
      <c r="B1164" s="172" t="s">
        <v>45</v>
      </c>
      <c r="C1164" s="172">
        <v>34.0</v>
      </c>
      <c r="D1164" s="179">
        <v>1.0</v>
      </c>
      <c r="E1164" s="172" t="s">
        <v>411</v>
      </c>
      <c r="F1164" s="172"/>
      <c r="G1164" s="173" t="s">
        <v>1518</v>
      </c>
      <c r="H1164" s="172">
        <v>20.0</v>
      </c>
      <c r="J1164" s="173"/>
      <c r="K1164" s="170" t="s">
        <v>1308</v>
      </c>
    </row>
    <row r="1165" ht="15.75" hidden="1" customHeight="1">
      <c r="A1165" s="252">
        <v>46162.0</v>
      </c>
      <c r="B1165" s="172" t="s">
        <v>52</v>
      </c>
      <c r="C1165" s="172">
        <v>36.0</v>
      </c>
      <c r="D1165" s="179">
        <v>1.0</v>
      </c>
      <c r="E1165" s="172" t="s">
        <v>411</v>
      </c>
      <c r="F1165" s="172"/>
      <c r="G1165" s="173" t="s">
        <v>1519</v>
      </c>
      <c r="H1165" s="172">
        <v>20.0</v>
      </c>
      <c r="J1165" s="173"/>
      <c r="K1165" s="170" t="s">
        <v>1308</v>
      </c>
    </row>
    <row r="1166" ht="15.75" hidden="1" customHeight="1">
      <c r="A1166" s="252">
        <v>46162.0</v>
      </c>
      <c r="B1166" s="172" t="s">
        <v>71</v>
      </c>
      <c r="C1166" s="172">
        <v>32.0</v>
      </c>
      <c r="D1166" s="179">
        <v>1.0</v>
      </c>
      <c r="E1166" s="172" t="s">
        <v>411</v>
      </c>
      <c r="F1166" s="172"/>
      <c r="G1166" s="173" t="s">
        <v>1520</v>
      </c>
      <c r="H1166" s="172">
        <v>20.0</v>
      </c>
      <c r="J1166" s="173"/>
      <c r="K1166" s="170" t="s">
        <v>1308</v>
      </c>
    </row>
    <row r="1167" ht="15.75" hidden="1" customHeight="1">
      <c r="A1167" s="252">
        <v>46162.0</v>
      </c>
      <c r="B1167" s="172" t="s">
        <v>1114</v>
      </c>
      <c r="C1167" s="172">
        <v>32.0</v>
      </c>
      <c r="D1167" s="179">
        <v>1.0</v>
      </c>
      <c r="E1167" s="172" t="s">
        <v>411</v>
      </c>
      <c r="F1167" s="172"/>
      <c r="G1167" s="173" t="s">
        <v>1520</v>
      </c>
      <c r="H1167" s="172">
        <v>20.0</v>
      </c>
      <c r="J1167" s="173"/>
      <c r="K1167" s="170" t="s">
        <v>1308</v>
      </c>
    </row>
    <row r="1168" ht="15.75" hidden="1" customHeight="1">
      <c r="A1168" s="235">
        <v>46162.0</v>
      </c>
      <c r="B1168" s="172" t="s">
        <v>1114</v>
      </c>
      <c r="C1168" s="172">
        <v>34.0</v>
      </c>
      <c r="D1168" s="179">
        <v>1.0</v>
      </c>
      <c r="E1168" s="172" t="s">
        <v>39</v>
      </c>
      <c r="F1168" s="172"/>
      <c r="G1168" s="173" t="s">
        <v>1521</v>
      </c>
      <c r="H1168" s="172">
        <v>24.0</v>
      </c>
      <c r="J1168" s="173"/>
      <c r="K1168" s="170" t="s">
        <v>1308</v>
      </c>
    </row>
    <row r="1169" ht="15.75" hidden="1" customHeight="1">
      <c r="A1169" s="235">
        <v>46162.0</v>
      </c>
      <c r="B1169" s="172" t="s">
        <v>1114</v>
      </c>
      <c r="C1169" s="172">
        <v>32.0</v>
      </c>
      <c r="D1169" s="179">
        <v>1.0</v>
      </c>
      <c r="E1169" s="172" t="s">
        <v>39</v>
      </c>
      <c r="F1169" s="172"/>
      <c r="G1169" s="173" t="s">
        <v>1522</v>
      </c>
      <c r="H1169" s="172">
        <v>20.0</v>
      </c>
      <c r="J1169" s="173"/>
      <c r="K1169" s="170" t="s">
        <v>1308</v>
      </c>
    </row>
    <row r="1170" ht="15.75" hidden="1" customHeight="1">
      <c r="A1170" s="235">
        <v>46162.0</v>
      </c>
      <c r="B1170" s="172" t="s">
        <v>51</v>
      </c>
      <c r="C1170" s="172">
        <v>36.0</v>
      </c>
      <c r="D1170" s="179">
        <v>1.0</v>
      </c>
      <c r="E1170" s="172" t="s">
        <v>411</v>
      </c>
      <c r="F1170" s="172"/>
      <c r="G1170" s="173" t="s">
        <v>1523</v>
      </c>
      <c r="H1170" s="172">
        <v>20.0</v>
      </c>
      <c r="J1170" s="173"/>
      <c r="K1170" s="170" t="s">
        <v>1308</v>
      </c>
    </row>
    <row r="1171" ht="15.75" hidden="1" customHeight="1">
      <c r="A1171" s="235">
        <v>46162.0</v>
      </c>
      <c r="B1171" s="172" t="s">
        <v>50</v>
      </c>
      <c r="C1171" s="172">
        <v>32.0</v>
      </c>
      <c r="D1171" s="179">
        <v>1.0</v>
      </c>
      <c r="E1171" s="172" t="s">
        <v>39</v>
      </c>
      <c r="F1171" s="172"/>
      <c r="G1171" s="173" t="s">
        <v>1524</v>
      </c>
      <c r="H1171" s="172">
        <v>24.0</v>
      </c>
      <c r="J1171" s="173"/>
      <c r="K1171" s="170" t="s">
        <v>1308</v>
      </c>
    </row>
    <row r="1172" ht="15.75" hidden="1" customHeight="1">
      <c r="A1172" s="235">
        <v>46162.0</v>
      </c>
      <c r="B1172" s="172" t="s">
        <v>45</v>
      </c>
      <c r="C1172" s="172">
        <v>36.0</v>
      </c>
      <c r="D1172" s="179">
        <v>1.0</v>
      </c>
      <c r="E1172" s="172" t="s">
        <v>39</v>
      </c>
      <c r="F1172" s="172"/>
      <c r="G1172" s="173" t="s">
        <v>1525</v>
      </c>
      <c r="H1172" s="172">
        <v>20.0</v>
      </c>
      <c r="J1172" s="173"/>
      <c r="K1172" s="170" t="s">
        <v>1308</v>
      </c>
    </row>
    <row r="1173" ht="15.75" hidden="1" customHeight="1">
      <c r="A1173" s="235">
        <v>46162.0</v>
      </c>
      <c r="B1173" s="172" t="s">
        <v>71</v>
      </c>
      <c r="C1173" s="172">
        <v>32.0</v>
      </c>
      <c r="D1173" s="179">
        <v>1.0</v>
      </c>
      <c r="E1173" s="172" t="s">
        <v>411</v>
      </c>
      <c r="F1173" s="172"/>
      <c r="G1173" s="173" t="s">
        <v>1526</v>
      </c>
      <c r="H1173" s="172">
        <v>20.0</v>
      </c>
      <c r="J1173" s="173"/>
      <c r="K1173" s="170" t="s">
        <v>1308</v>
      </c>
    </row>
    <row r="1174" ht="15.75" hidden="1" customHeight="1">
      <c r="A1174" s="235">
        <v>46162.0</v>
      </c>
      <c r="B1174" s="172" t="s">
        <v>1114</v>
      </c>
      <c r="C1174" s="172">
        <v>34.0</v>
      </c>
      <c r="D1174" s="179">
        <v>1.0</v>
      </c>
      <c r="E1174" s="172" t="s">
        <v>39</v>
      </c>
      <c r="F1174" s="172"/>
      <c r="G1174" s="173" t="s">
        <v>1471</v>
      </c>
      <c r="H1174" s="172">
        <v>25.99</v>
      </c>
      <c r="J1174" s="173"/>
      <c r="K1174" s="170" t="s">
        <v>1308</v>
      </c>
    </row>
    <row r="1175" ht="15.75" hidden="1" customHeight="1">
      <c r="A1175" s="235">
        <v>46162.0</v>
      </c>
      <c r="B1175" s="172" t="s">
        <v>1114</v>
      </c>
      <c r="C1175" s="172">
        <v>34.0</v>
      </c>
      <c r="D1175" s="179">
        <v>1.0</v>
      </c>
      <c r="E1175" s="172" t="s">
        <v>39</v>
      </c>
      <c r="F1175" s="172"/>
      <c r="G1175" s="173" t="s">
        <v>1527</v>
      </c>
      <c r="H1175" s="172">
        <v>20.0</v>
      </c>
      <c r="J1175" s="173"/>
      <c r="K1175" s="170" t="s">
        <v>1308</v>
      </c>
    </row>
    <row r="1176" ht="15.75" hidden="1" customHeight="1">
      <c r="A1176" s="233">
        <v>46163.0</v>
      </c>
      <c r="B1176" s="172" t="s">
        <v>45</v>
      </c>
      <c r="C1176" s="172">
        <v>32.0</v>
      </c>
      <c r="D1176" s="179">
        <v>1.0</v>
      </c>
      <c r="E1176" s="172" t="s">
        <v>411</v>
      </c>
      <c r="F1176" s="172"/>
      <c r="G1176" s="173" t="s">
        <v>1528</v>
      </c>
      <c r="H1176" s="172">
        <v>19.0</v>
      </c>
      <c r="J1176" s="173"/>
      <c r="K1176" s="170" t="s">
        <v>1308</v>
      </c>
    </row>
    <row r="1177" ht="15.75" hidden="1" customHeight="1">
      <c r="A1177" s="235">
        <v>46163.0</v>
      </c>
      <c r="B1177" s="172" t="s">
        <v>50</v>
      </c>
      <c r="C1177" s="172">
        <v>32.0</v>
      </c>
      <c r="D1177" s="179">
        <v>1.0</v>
      </c>
      <c r="E1177" s="172" t="s">
        <v>411</v>
      </c>
      <c r="F1177" s="172"/>
      <c r="G1177" s="173" t="s">
        <v>1528</v>
      </c>
      <c r="H1177" s="172">
        <v>19.0</v>
      </c>
      <c r="J1177" s="173"/>
      <c r="K1177" s="170" t="s">
        <v>1308</v>
      </c>
    </row>
    <row r="1178" ht="15.75" hidden="1" customHeight="1">
      <c r="A1178" s="235">
        <v>46163.0</v>
      </c>
      <c r="B1178" s="172" t="s">
        <v>1114</v>
      </c>
      <c r="C1178" s="172">
        <v>34.0</v>
      </c>
      <c r="D1178" s="179">
        <v>1.0</v>
      </c>
      <c r="E1178" s="172" t="s">
        <v>411</v>
      </c>
      <c r="F1178" s="172"/>
      <c r="G1178" s="173" t="s">
        <v>1529</v>
      </c>
      <c r="H1178" s="172">
        <v>20.0</v>
      </c>
      <c r="J1178" s="173"/>
      <c r="K1178" s="170" t="s">
        <v>1308</v>
      </c>
    </row>
    <row r="1179" ht="15.75" hidden="1" customHeight="1">
      <c r="A1179" s="235">
        <v>46163.0</v>
      </c>
      <c r="B1179" s="172" t="s">
        <v>50</v>
      </c>
      <c r="C1179" s="172">
        <v>36.0</v>
      </c>
      <c r="D1179" s="179">
        <v>1.0</v>
      </c>
      <c r="E1179" s="172" t="s">
        <v>39</v>
      </c>
      <c r="F1179" s="172"/>
      <c r="G1179" s="173" t="s">
        <v>1530</v>
      </c>
      <c r="H1179" s="172">
        <v>19.2</v>
      </c>
      <c r="J1179" s="173"/>
      <c r="K1179" s="170" t="s">
        <v>1308</v>
      </c>
    </row>
    <row r="1180" ht="15.75" hidden="1" customHeight="1">
      <c r="A1180" s="235">
        <v>46163.0</v>
      </c>
      <c r="B1180" s="172" t="s">
        <v>50</v>
      </c>
      <c r="C1180" s="172">
        <v>36.0</v>
      </c>
      <c r="D1180" s="179">
        <v>1.0</v>
      </c>
      <c r="E1180" s="172" t="s">
        <v>39</v>
      </c>
      <c r="F1180" s="172"/>
      <c r="G1180" s="173" t="s">
        <v>1531</v>
      </c>
      <c r="H1180" s="172">
        <v>20.0</v>
      </c>
      <c r="J1180" s="173"/>
      <c r="K1180" s="170" t="s">
        <v>1308</v>
      </c>
    </row>
    <row r="1181" ht="15.75" hidden="1" customHeight="1">
      <c r="A1181" s="252">
        <v>46163.0</v>
      </c>
      <c r="B1181" s="348" t="s">
        <v>63</v>
      </c>
      <c r="C1181" s="348">
        <v>34.0</v>
      </c>
      <c r="D1181" s="349">
        <v>1.0</v>
      </c>
      <c r="E1181" s="348" t="s">
        <v>411</v>
      </c>
      <c r="F1181" s="172"/>
      <c r="G1181" s="173" t="s">
        <v>1532</v>
      </c>
      <c r="H1181" s="172">
        <v>20.0</v>
      </c>
      <c r="J1181" s="173"/>
      <c r="K1181" s="170" t="s">
        <v>1308</v>
      </c>
    </row>
    <row r="1182" ht="15.75" hidden="1" customHeight="1">
      <c r="A1182" s="252">
        <v>46163.0</v>
      </c>
      <c r="B1182" s="348" t="s">
        <v>51</v>
      </c>
      <c r="C1182" s="348">
        <v>36.0</v>
      </c>
      <c r="D1182" s="349">
        <v>1.0</v>
      </c>
      <c r="E1182" s="348" t="s">
        <v>411</v>
      </c>
      <c r="F1182" s="172"/>
      <c r="G1182" s="173" t="s">
        <v>1533</v>
      </c>
      <c r="H1182" s="172">
        <v>24.7</v>
      </c>
      <c r="J1182" s="173"/>
      <c r="K1182" s="170" t="s">
        <v>1308</v>
      </c>
    </row>
    <row r="1183" ht="15.75" hidden="1" customHeight="1">
      <c r="A1183" s="252">
        <v>46163.0</v>
      </c>
      <c r="B1183" s="348" t="s">
        <v>45</v>
      </c>
      <c r="C1183" s="348">
        <v>34.0</v>
      </c>
      <c r="D1183" s="349">
        <v>1.0</v>
      </c>
      <c r="E1183" s="348" t="s">
        <v>411</v>
      </c>
      <c r="F1183" s="172"/>
      <c r="G1183" s="173" t="s">
        <v>1534</v>
      </c>
      <c r="H1183" s="172">
        <v>24.0</v>
      </c>
      <c r="J1183" s="173"/>
      <c r="K1183" s="170" t="s">
        <v>1308</v>
      </c>
    </row>
    <row r="1184" ht="15.75" hidden="1" customHeight="1">
      <c r="A1184" s="252">
        <v>46163.0</v>
      </c>
      <c r="B1184" s="348" t="s">
        <v>71</v>
      </c>
      <c r="C1184" s="348">
        <v>32.0</v>
      </c>
      <c r="D1184" s="349">
        <v>1.0</v>
      </c>
      <c r="E1184" s="348" t="s">
        <v>411</v>
      </c>
      <c r="F1184" s="172"/>
      <c r="G1184" s="173" t="s">
        <v>1535</v>
      </c>
      <c r="H1184" s="172">
        <v>20.0</v>
      </c>
      <c r="J1184" s="173"/>
      <c r="K1184" s="170" t="s">
        <v>1308</v>
      </c>
    </row>
    <row r="1185" ht="15.75" hidden="1" customHeight="1">
      <c r="A1185" s="252">
        <v>46163.0</v>
      </c>
      <c r="B1185" s="348" t="s">
        <v>1114</v>
      </c>
      <c r="C1185" s="348">
        <v>32.0</v>
      </c>
      <c r="D1185" s="349">
        <v>1.0</v>
      </c>
      <c r="E1185" s="348" t="s">
        <v>411</v>
      </c>
      <c r="F1185" s="172"/>
      <c r="G1185" s="173" t="s">
        <v>1535</v>
      </c>
      <c r="H1185" s="172">
        <v>20.0</v>
      </c>
      <c r="J1185" s="173"/>
      <c r="K1185" s="170" t="s">
        <v>1308</v>
      </c>
    </row>
    <row r="1186" ht="15.75" hidden="1" customHeight="1">
      <c r="A1186" s="252">
        <v>46163.0</v>
      </c>
      <c r="B1186" s="348" t="s">
        <v>63</v>
      </c>
      <c r="C1186" s="348">
        <v>32.0</v>
      </c>
      <c r="D1186" s="349">
        <v>1.0</v>
      </c>
      <c r="E1186" s="348" t="s">
        <v>411</v>
      </c>
      <c r="F1186" s="172"/>
      <c r="G1186" s="173" t="s">
        <v>1536</v>
      </c>
      <c r="H1186" s="172">
        <v>28.0</v>
      </c>
      <c r="J1186" s="173"/>
      <c r="K1186" s="170" t="s">
        <v>1308</v>
      </c>
    </row>
    <row r="1187" ht="15.75" hidden="1" customHeight="1">
      <c r="A1187" s="252">
        <v>46163.0</v>
      </c>
      <c r="B1187" s="348" t="s">
        <v>63</v>
      </c>
      <c r="C1187" s="348">
        <v>34.0</v>
      </c>
      <c r="D1187" s="349">
        <v>1.0</v>
      </c>
      <c r="E1187" s="348" t="s">
        <v>411</v>
      </c>
      <c r="F1187" s="172"/>
      <c r="G1187" s="173" t="s">
        <v>1537</v>
      </c>
      <c r="H1187" s="172">
        <v>28.0</v>
      </c>
      <c r="J1187" s="173"/>
      <c r="K1187" s="170" t="s">
        <v>1308</v>
      </c>
    </row>
    <row r="1188" ht="15.75" hidden="1" customHeight="1">
      <c r="A1188" s="252">
        <v>46163.0</v>
      </c>
      <c r="B1188" s="348" t="s">
        <v>1114</v>
      </c>
      <c r="C1188" s="348">
        <v>34.0</v>
      </c>
      <c r="D1188" s="349">
        <v>1.0</v>
      </c>
      <c r="E1188" s="348" t="s">
        <v>453</v>
      </c>
      <c r="F1188" s="172"/>
      <c r="G1188" s="173" t="s">
        <v>1538</v>
      </c>
      <c r="H1188" s="172">
        <v>0.0</v>
      </c>
      <c r="J1188" s="173"/>
      <c r="K1188" s="170" t="s">
        <v>1308</v>
      </c>
    </row>
    <row r="1189" ht="15.75" hidden="1" customHeight="1">
      <c r="A1189" s="233">
        <v>46164.0</v>
      </c>
      <c r="B1189" s="348" t="s">
        <v>71</v>
      </c>
      <c r="C1189" s="348">
        <v>36.0</v>
      </c>
      <c r="D1189" s="349">
        <v>1.0</v>
      </c>
      <c r="E1189" s="348" t="s">
        <v>411</v>
      </c>
      <c r="F1189" s="172"/>
      <c r="G1189" s="173" t="s">
        <v>1539</v>
      </c>
      <c r="H1189" s="172">
        <v>21.5</v>
      </c>
      <c r="J1189" s="173"/>
      <c r="K1189" s="170" t="s">
        <v>1308</v>
      </c>
    </row>
    <row r="1190" ht="15.75" hidden="1" customHeight="1">
      <c r="A1190" s="235">
        <v>46164.0</v>
      </c>
      <c r="B1190" s="172" t="s">
        <v>45</v>
      </c>
      <c r="C1190" s="172">
        <v>34.0</v>
      </c>
      <c r="D1190" s="179">
        <v>1.0</v>
      </c>
      <c r="E1190" s="172" t="s">
        <v>411</v>
      </c>
      <c r="F1190" s="172"/>
      <c r="G1190" s="173" t="s">
        <v>1540</v>
      </c>
      <c r="H1190" s="172">
        <v>24.0</v>
      </c>
      <c r="J1190" s="173"/>
      <c r="K1190" s="170" t="s">
        <v>1308</v>
      </c>
    </row>
    <row r="1191" ht="15.75" hidden="1" customHeight="1">
      <c r="A1191" s="235">
        <v>46164.0</v>
      </c>
      <c r="B1191" s="172" t="s">
        <v>50</v>
      </c>
      <c r="C1191" s="172">
        <v>36.0</v>
      </c>
      <c r="D1191" s="179">
        <v>1.0</v>
      </c>
      <c r="E1191" s="172" t="s">
        <v>411</v>
      </c>
      <c r="F1191" s="172"/>
      <c r="G1191" s="173" t="s">
        <v>1541</v>
      </c>
      <c r="H1191" s="172">
        <v>28.0</v>
      </c>
      <c r="J1191" s="173"/>
      <c r="K1191" s="170" t="s">
        <v>1308</v>
      </c>
    </row>
    <row r="1192" ht="15.75" hidden="1" customHeight="1">
      <c r="A1192" s="235">
        <v>46164.0</v>
      </c>
      <c r="B1192" s="172" t="s">
        <v>50</v>
      </c>
      <c r="C1192" s="172">
        <v>34.0</v>
      </c>
      <c r="D1192" s="179">
        <v>1.0</v>
      </c>
      <c r="E1192" s="172" t="s">
        <v>441</v>
      </c>
      <c r="F1192" s="172"/>
      <c r="G1192" s="173" t="s">
        <v>1542</v>
      </c>
      <c r="H1192" s="172">
        <v>20.5</v>
      </c>
      <c r="J1192" s="173"/>
      <c r="K1192" s="170" t="s">
        <v>1308</v>
      </c>
    </row>
    <row r="1193" ht="15.75" hidden="1" customHeight="1">
      <c r="A1193" s="235">
        <v>46164.0</v>
      </c>
      <c r="B1193" s="172" t="s">
        <v>63</v>
      </c>
      <c r="C1193" s="172">
        <v>32.0</v>
      </c>
      <c r="D1193" s="179">
        <v>1.0</v>
      </c>
      <c r="E1193" s="172" t="s">
        <v>411</v>
      </c>
      <c r="F1193" s="172"/>
      <c r="G1193" s="173" t="s">
        <v>1499</v>
      </c>
      <c r="H1193" s="172">
        <v>22.0</v>
      </c>
      <c r="J1193" s="173"/>
      <c r="K1193" s="170" t="s">
        <v>1308</v>
      </c>
    </row>
    <row r="1194" ht="15.75" hidden="1" customHeight="1">
      <c r="A1194" s="235">
        <v>46164.0</v>
      </c>
      <c r="B1194" s="172" t="s">
        <v>1114</v>
      </c>
      <c r="C1194" s="172">
        <v>32.0</v>
      </c>
      <c r="D1194" s="179">
        <v>1.0</v>
      </c>
      <c r="E1194" s="172" t="s">
        <v>39</v>
      </c>
      <c r="F1194" s="161"/>
      <c r="H1194" s="172">
        <v>23.0</v>
      </c>
      <c r="J1194" s="173"/>
      <c r="K1194" s="170" t="s">
        <v>1308</v>
      </c>
    </row>
    <row r="1195" ht="15.75" hidden="1" customHeight="1">
      <c r="A1195" s="233">
        <v>46165.0</v>
      </c>
      <c r="B1195" s="172" t="s">
        <v>45</v>
      </c>
      <c r="C1195" s="172">
        <v>36.0</v>
      </c>
      <c r="D1195" s="179">
        <v>1.0</v>
      </c>
      <c r="E1195" s="172" t="s">
        <v>411</v>
      </c>
      <c r="F1195" s="172"/>
      <c r="G1195" s="173" t="s">
        <v>1543</v>
      </c>
      <c r="H1195" s="172">
        <v>22.0</v>
      </c>
      <c r="J1195" s="173"/>
      <c r="K1195" s="170" t="s">
        <v>1308</v>
      </c>
    </row>
    <row r="1196" ht="15.75" hidden="1" customHeight="1">
      <c r="A1196" s="235">
        <v>46165.0</v>
      </c>
      <c r="B1196" s="172" t="s">
        <v>71</v>
      </c>
      <c r="C1196" s="172">
        <v>36.0</v>
      </c>
      <c r="D1196" s="179">
        <v>1.0</v>
      </c>
      <c r="E1196" s="172" t="s">
        <v>411</v>
      </c>
      <c r="F1196" s="172"/>
      <c r="G1196" s="173" t="s">
        <v>1544</v>
      </c>
      <c r="H1196" s="172">
        <v>20.0</v>
      </c>
      <c r="J1196" s="173"/>
      <c r="K1196" s="170" t="s">
        <v>1308</v>
      </c>
    </row>
    <row r="1197" ht="15.75" hidden="1" customHeight="1">
      <c r="A1197" s="235">
        <v>46165.0</v>
      </c>
      <c r="B1197" s="172" t="s">
        <v>63</v>
      </c>
      <c r="C1197" s="172">
        <v>36.0</v>
      </c>
      <c r="D1197" s="179">
        <v>1.0</v>
      </c>
      <c r="E1197" s="172" t="s">
        <v>411</v>
      </c>
      <c r="F1197" s="172"/>
      <c r="G1197" s="173" t="s">
        <v>1544</v>
      </c>
      <c r="H1197" s="172">
        <v>22.0</v>
      </c>
      <c r="J1197" s="173"/>
      <c r="K1197" s="170" t="s">
        <v>1308</v>
      </c>
    </row>
    <row r="1198" ht="15.75" hidden="1" customHeight="1">
      <c r="A1198" s="235">
        <v>46165.0</v>
      </c>
      <c r="B1198" s="172" t="s">
        <v>50</v>
      </c>
      <c r="C1198" s="172">
        <v>36.0</v>
      </c>
      <c r="D1198" s="179">
        <v>1.0</v>
      </c>
      <c r="E1198" s="172" t="s">
        <v>39</v>
      </c>
      <c r="F1198" s="172"/>
      <c r="G1198" s="173" t="s">
        <v>1545</v>
      </c>
      <c r="H1198" s="172">
        <v>21.0</v>
      </c>
      <c r="J1198" s="173"/>
      <c r="K1198" s="170" t="s">
        <v>1308</v>
      </c>
    </row>
    <row r="1199" ht="15.75" hidden="1" customHeight="1">
      <c r="A1199" s="235">
        <v>46165.0</v>
      </c>
      <c r="B1199" s="172" t="s">
        <v>50</v>
      </c>
      <c r="C1199" s="172">
        <v>32.0</v>
      </c>
      <c r="D1199" s="179">
        <v>1.0</v>
      </c>
      <c r="E1199" s="172" t="s">
        <v>39</v>
      </c>
      <c r="F1199" s="161"/>
      <c r="H1199" s="172">
        <v>24.0</v>
      </c>
      <c r="J1199" s="173"/>
      <c r="K1199" s="170" t="s">
        <v>1308</v>
      </c>
    </row>
    <row r="1200" ht="15.75" hidden="1" customHeight="1">
      <c r="A1200" s="235">
        <v>46165.0</v>
      </c>
      <c r="B1200" s="172" t="s">
        <v>1114</v>
      </c>
      <c r="C1200" s="172">
        <v>34.0</v>
      </c>
      <c r="D1200" s="179">
        <v>1.0</v>
      </c>
      <c r="E1200" s="172" t="s">
        <v>39</v>
      </c>
      <c r="F1200" s="172"/>
      <c r="G1200" s="173" t="s">
        <v>1546</v>
      </c>
      <c r="H1200" s="172">
        <v>24.0</v>
      </c>
      <c r="J1200" s="173"/>
      <c r="K1200" s="170" t="s">
        <v>1308</v>
      </c>
    </row>
    <row r="1201" ht="15.75" hidden="1" customHeight="1">
      <c r="A1201" s="235">
        <v>46165.0</v>
      </c>
      <c r="B1201" s="172" t="s">
        <v>50</v>
      </c>
      <c r="C1201" s="172">
        <v>36.0</v>
      </c>
      <c r="D1201" s="179">
        <v>1.0</v>
      </c>
      <c r="E1201" s="172" t="s">
        <v>411</v>
      </c>
      <c r="F1201" s="172"/>
      <c r="G1201" s="173" t="s">
        <v>1547</v>
      </c>
      <c r="H1201" s="172">
        <v>25.0</v>
      </c>
      <c r="J1201" s="173"/>
      <c r="K1201" s="170" t="s">
        <v>1308</v>
      </c>
    </row>
    <row r="1202" ht="15.75" hidden="1" customHeight="1">
      <c r="A1202" s="235">
        <v>46165.0</v>
      </c>
      <c r="B1202" s="172" t="s">
        <v>45</v>
      </c>
      <c r="C1202" s="172">
        <v>32.0</v>
      </c>
      <c r="D1202" s="179">
        <v>1.0</v>
      </c>
      <c r="E1202" s="172" t="s">
        <v>453</v>
      </c>
      <c r="F1202" s="172"/>
      <c r="G1202" s="173" t="s">
        <v>1548</v>
      </c>
      <c r="H1202" s="172">
        <v>20.0</v>
      </c>
      <c r="J1202" s="173"/>
      <c r="K1202" s="170" t="s">
        <v>1308</v>
      </c>
    </row>
    <row r="1203" ht="15.75" hidden="1" customHeight="1">
      <c r="A1203" s="235">
        <v>46165.0</v>
      </c>
      <c r="B1203" s="172" t="s">
        <v>1114</v>
      </c>
      <c r="C1203" s="172">
        <v>32.0</v>
      </c>
      <c r="D1203" s="179">
        <v>1.0</v>
      </c>
      <c r="E1203" s="172" t="s">
        <v>441</v>
      </c>
      <c r="F1203" s="172"/>
      <c r="G1203" s="173" t="s">
        <v>1549</v>
      </c>
      <c r="H1203" s="172">
        <v>20.0</v>
      </c>
      <c r="J1203" s="173"/>
      <c r="K1203" s="170" t="s">
        <v>1308</v>
      </c>
    </row>
    <row r="1204" ht="15.75" hidden="1" customHeight="1">
      <c r="A1204" s="235">
        <v>46165.0</v>
      </c>
      <c r="B1204" s="172" t="s">
        <v>45</v>
      </c>
      <c r="C1204" s="172">
        <v>34.0</v>
      </c>
      <c r="D1204" s="179">
        <v>1.0</v>
      </c>
      <c r="E1204" s="172" t="s">
        <v>441</v>
      </c>
      <c r="F1204" s="172"/>
      <c r="G1204" s="173" t="s">
        <v>1550</v>
      </c>
      <c r="H1204" s="172">
        <v>20.0</v>
      </c>
      <c r="J1204" s="173"/>
      <c r="K1204" s="170" t="s">
        <v>1308</v>
      </c>
    </row>
    <row r="1205" ht="15.75" hidden="1" customHeight="1">
      <c r="A1205" s="233">
        <v>46166.0</v>
      </c>
      <c r="B1205" s="172" t="s">
        <v>71</v>
      </c>
      <c r="C1205" s="172">
        <v>32.0</v>
      </c>
      <c r="D1205" s="179">
        <v>1.0</v>
      </c>
      <c r="E1205" s="172" t="s">
        <v>411</v>
      </c>
      <c r="F1205" s="172"/>
      <c r="G1205" s="173" t="s">
        <v>1551</v>
      </c>
      <c r="H1205" s="172">
        <v>20.0</v>
      </c>
      <c r="J1205" s="173"/>
      <c r="K1205" s="170" t="s">
        <v>1308</v>
      </c>
    </row>
    <row r="1206" ht="15.75" hidden="1" customHeight="1">
      <c r="A1206" s="252">
        <v>46166.0</v>
      </c>
      <c r="B1206" s="172" t="s">
        <v>63</v>
      </c>
      <c r="C1206" s="172">
        <v>36.0</v>
      </c>
      <c r="D1206" s="179">
        <v>1.0</v>
      </c>
      <c r="E1206" s="172" t="s">
        <v>411</v>
      </c>
      <c r="F1206" s="172"/>
      <c r="G1206" s="173" t="s">
        <v>1552</v>
      </c>
      <c r="H1206" s="172">
        <v>20.0</v>
      </c>
      <c r="J1206" s="173"/>
      <c r="K1206" s="170" t="s">
        <v>1308</v>
      </c>
    </row>
    <row r="1207" ht="15.75" hidden="1" customHeight="1">
      <c r="A1207" s="235">
        <v>46166.0</v>
      </c>
      <c r="B1207" s="172" t="s">
        <v>50</v>
      </c>
      <c r="C1207" s="172">
        <v>36.0</v>
      </c>
      <c r="D1207" s="179">
        <v>1.0</v>
      </c>
      <c r="E1207" s="172" t="s">
        <v>39</v>
      </c>
      <c r="F1207" s="172"/>
      <c r="G1207" s="173" t="s">
        <v>1553</v>
      </c>
      <c r="H1207" s="172">
        <v>20.0</v>
      </c>
      <c r="J1207" s="173"/>
      <c r="K1207" s="170" t="s">
        <v>1308</v>
      </c>
    </row>
    <row r="1208" ht="15.75" hidden="1" customHeight="1">
      <c r="A1208" s="235">
        <v>46166.0</v>
      </c>
      <c r="B1208" s="172" t="s">
        <v>1114</v>
      </c>
      <c r="C1208" s="172">
        <v>34.0</v>
      </c>
      <c r="D1208" s="179">
        <v>1.0</v>
      </c>
      <c r="E1208" s="172" t="s">
        <v>39</v>
      </c>
      <c r="F1208" s="172"/>
      <c r="G1208" s="173" t="s">
        <v>1554</v>
      </c>
      <c r="H1208" s="172">
        <v>19.0</v>
      </c>
      <c r="J1208" s="173"/>
      <c r="K1208" s="170" t="s">
        <v>1308</v>
      </c>
    </row>
    <row r="1209" ht="15.75" hidden="1" customHeight="1">
      <c r="A1209" s="235">
        <v>46166.0</v>
      </c>
      <c r="B1209" s="172" t="s">
        <v>52</v>
      </c>
      <c r="C1209" s="172">
        <v>34.0</v>
      </c>
      <c r="D1209" s="179">
        <v>1.0</v>
      </c>
      <c r="E1209" s="172" t="s">
        <v>411</v>
      </c>
      <c r="F1209" s="172"/>
      <c r="G1209" s="173" t="s">
        <v>1555</v>
      </c>
      <c r="H1209" s="172">
        <v>25.2</v>
      </c>
      <c r="J1209" s="173"/>
      <c r="K1209" s="170" t="s">
        <v>1308</v>
      </c>
    </row>
    <row r="1210" ht="15.75" hidden="1" customHeight="1">
      <c r="A1210" s="246">
        <v>46166.0</v>
      </c>
      <c r="B1210" s="182" t="s">
        <v>45</v>
      </c>
      <c r="C1210" s="182">
        <v>34.0</v>
      </c>
      <c r="D1210" s="340">
        <v>1.0</v>
      </c>
      <c r="E1210" s="182" t="s">
        <v>453</v>
      </c>
      <c r="F1210" s="182"/>
      <c r="G1210" s="184" t="s">
        <v>1556</v>
      </c>
      <c r="H1210" s="182">
        <v>0.0</v>
      </c>
      <c r="J1210" s="173"/>
      <c r="K1210" s="170" t="s">
        <v>1308</v>
      </c>
    </row>
    <row r="1211" ht="15.75" hidden="1" customHeight="1">
      <c r="A1211" s="235">
        <v>46166.0</v>
      </c>
      <c r="B1211" s="172" t="s">
        <v>1114</v>
      </c>
      <c r="C1211" s="172">
        <v>34.0</v>
      </c>
      <c r="D1211" s="179">
        <v>1.0</v>
      </c>
      <c r="E1211" s="172" t="s">
        <v>441</v>
      </c>
      <c r="F1211" s="172"/>
      <c r="G1211" s="173" t="s">
        <v>1557</v>
      </c>
      <c r="H1211" s="172">
        <v>20.0</v>
      </c>
      <c r="J1211" s="173"/>
      <c r="K1211" s="170" t="s">
        <v>1308</v>
      </c>
    </row>
    <row r="1212" ht="15.75" hidden="1" customHeight="1">
      <c r="A1212" s="235">
        <v>46166.0</v>
      </c>
      <c r="B1212" s="172" t="s">
        <v>94</v>
      </c>
      <c r="C1212" s="172">
        <v>34.0</v>
      </c>
      <c r="D1212" s="179">
        <v>1.0</v>
      </c>
      <c r="E1212" s="172" t="s">
        <v>453</v>
      </c>
      <c r="F1212" s="172"/>
      <c r="G1212" s="173">
        <v>242617.0</v>
      </c>
      <c r="H1212" s="172">
        <v>20.0</v>
      </c>
      <c r="J1212" s="173"/>
      <c r="K1212" s="170" t="s">
        <v>1308</v>
      </c>
    </row>
    <row r="1213" ht="15.75" hidden="1" customHeight="1">
      <c r="A1213" s="246">
        <v>46166.0</v>
      </c>
      <c r="B1213" s="182" t="s">
        <v>52</v>
      </c>
      <c r="C1213" s="182">
        <v>32.0</v>
      </c>
      <c r="D1213" s="340">
        <v>1.0</v>
      </c>
      <c r="E1213" s="182" t="s">
        <v>331</v>
      </c>
      <c r="F1213" s="182"/>
      <c r="G1213" s="184" t="s">
        <v>1558</v>
      </c>
      <c r="H1213" s="182">
        <v>0.0</v>
      </c>
      <c r="J1213" s="173"/>
      <c r="K1213" s="170" t="s">
        <v>1308</v>
      </c>
    </row>
    <row r="1214" ht="15.75" hidden="1" customHeight="1">
      <c r="A1214" s="246">
        <v>46166.0</v>
      </c>
      <c r="B1214" s="182" t="s">
        <v>45</v>
      </c>
      <c r="C1214" s="182">
        <v>34.0</v>
      </c>
      <c r="D1214" s="340">
        <v>1.0</v>
      </c>
      <c r="E1214" s="182" t="s">
        <v>422</v>
      </c>
      <c r="F1214" s="182"/>
      <c r="G1214" s="184" t="s">
        <v>1557</v>
      </c>
      <c r="H1214" s="182">
        <v>0.0</v>
      </c>
      <c r="J1214" s="173"/>
      <c r="K1214" s="170" t="s">
        <v>1308</v>
      </c>
    </row>
    <row r="1215" ht="15.75" hidden="1" customHeight="1">
      <c r="A1215" s="246">
        <v>46166.0</v>
      </c>
      <c r="B1215" s="182" t="s">
        <v>50</v>
      </c>
      <c r="C1215" s="182">
        <v>36.0</v>
      </c>
      <c r="D1215" s="340">
        <v>1.0</v>
      </c>
      <c r="E1215" s="182" t="s">
        <v>453</v>
      </c>
      <c r="F1215" s="182"/>
      <c r="G1215" s="184" t="s">
        <v>1013</v>
      </c>
      <c r="H1215" s="182">
        <v>0.0</v>
      </c>
      <c r="J1215" s="173"/>
      <c r="K1215" s="170" t="s">
        <v>1308</v>
      </c>
    </row>
    <row r="1216" ht="15.75" hidden="1" customHeight="1">
      <c r="A1216" s="235">
        <v>46166.0</v>
      </c>
      <c r="B1216" s="172" t="s">
        <v>69</v>
      </c>
      <c r="C1216" s="172">
        <v>36.0</v>
      </c>
      <c r="D1216" s="179">
        <v>1.0</v>
      </c>
      <c r="E1216" s="172" t="s">
        <v>453</v>
      </c>
      <c r="F1216" s="172"/>
      <c r="G1216" s="173" t="s">
        <v>1559</v>
      </c>
      <c r="H1216" s="172">
        <v>0.0</v>
      </c>
      <c r="J1216" s="173"/>
      <c r="K1216" s="170" t="s">
        <v>1308</v>
      </c>
    </row>
    <row r="1217" ht="15.75" hidden="1" customHeight="1">
      <c r="A1217" s="235">
        <v>46166.0</v>
      </c>
      <c r="B1217" s="172" t="s">
        <v>52</v>
      </c>
      <c r="C1217" s="172">
        <v>34.0</v>
      </c>
      <c r="D1217" s="179">
        <v>1.0</v>
      </c>
      <c r="E1217" s="172" t="s">
        <v>411</v>
      </c>
      <c r="F1217" s="172"/>
      <c r="G1217" s="173" t="s">
        <v>1560</v>
      </c>
      <c r="H1217" s="172">
        <v>25.0</v>
      </c>
      <c r="J1217" s="173"/>
      <c r="K1217" s="170" t="s">
        <v>1308</v>
      </c>
    </row>
    <row r="1218" ht="15.75" hidden="1" customHeight="1">
      <c r="A1218" s="246">
        <v>46167.0</v>
      </c>
      <c r="B1218" s="182" t="s">
        <v>69</v>
      </c>
      <c r="C1218" s="182">
        <v>36.0</v>
      </c>
      <c r="D1218" s="340">
        <v>1.0</v>
      </c>
      <c r="E1218" s="182" t="s">
        <v>422</v>
      </c>
      <c r="F1218" s="182"/>
      <c r="G1218" s="184" t="s">
        <v>1561</v>
      </c>
      <c r="H1218" s="182">
        <v>0.0</v>
      </c>
      <c r="J1218" s="173"/>
      <c r="K1218" s="170" t="s">
        <v>1308</v>
      </c>
    </row>
    <row r="1219" ht="15.75" hidden="1" customHeight="1">
      <c r="A1219" s="235">
        <v>46167.0</v>
      </c>
      <c r="B1219" s="172" t="s">
        <v>53</v>
      </c>
      <c r="C1219" s="172">
        <v>36.0</v>
      </c>
      <c r="D1219" s="179">
        <v>1.0</v>
      </c>
      <c r="E1219" s="172" t="s">
        <v>39</v>
      </c>
      <c r="F1219" s="172"/>
      <c r="G1219" s="173" t="s">
        <v>1562</v>
      </c>
      <c r="H1219" s="172">
        <v>19.5</v>
      </c>
      <c r="J1219" s="173"/>
      <c r="K1219" s="170" t="s">
        <v>1308</v>
      </c>
    </row>
    <row r="1220" ht="15.75" hidden="1" customHeight="1">
      <c r="A1220" s="235">
        <v>46167.0</v>
      </c>
      <c r="B1220" s="172" t="s">
        <v>50</v>
      </c>
      <c r="C1220" s="172">
        <v>36.0</v>
      </c>
      <c r="D1220" s="179">
        <v>1.0</v>
      </c>
      <c r="E1220" s="172" t="s">
        <v>39</v>
      </c>
      <c r="F1220" s="172"/>
      <c r="G1220" s="173" t="s">
        <v>1562</v>
      </c>
      <c r="H1220" s="172">
        <v>19.5</v>
      </c>
      <c r="J1220" s="173"/>
      <c r="K1220" s="170" t="s">
        <v>1308</v>
      </c>
    </row>
    <row r="1221" ht="15.75" hidden="1" customHeight="1">
      <c r="A1221" s="235">
        <v>46167.0</v>
      </c>
      <c r="B1221" s="172" t="s">
        <v>69</v>
      </c>
      <c r="C1221" s="172">
        <v>36.0</v>
      </c>
      <c r="D1221" s="179">
        <v>1.0</v>
      </c>
      <c r="E1221" s="172" t="s">
        <v>39</v>
      </c>
      <c r="F1221" s="172"/>
      <c r="G1221" s="173" t="s">
        <v>1563</v>
      </c>
      <c r="H1221" s="172">
        <v>20.0</v>
      </c>
      <c r="J1221" s="173"/>
      <c r="K1221" s="170" t="s">
        <v>1308</v>
      </c>
    </row>
    <row r="1222" ht="15.75" hidden="1" customHeight="1">
      <c r="A1222" s="246">
        <v>46167.0</v>
      </c>
      <c r="B1222" s="182" t="s">
        <v>45</v>
      </c>
      <c r="C1222" s="182">
        <v>32.0</v>
      </c>
      <c r="D1222" s="340">
        <v>1.0</v>
      </c>
      <c r="E1222" s="182" t="s">
        <v>422</v>
      </c>
      <c r="F1222" s="182"/>
      <c r="G1222" s="184" t="s">
        <v>1564</v>
      </c>
      <c r="H1222" s="182">
        <v>0.0</v>
      </c>
      <c r="J1222" s="173"/>
      <c r="K1222" s="170" t="s">
        <v>1308</v>
      </c>
    </row>
    <row r="1223" ht="15.75" hidden="1" customHeight="1">
      <c r="A1223" s="235">
        <v>46167.0</v>
      </c>
      <c r="B1223" s="172" t="s">
        <v>94</v>
      </c>
      <c r="C1223" s="172">
        <v>34.0</v>
      </c>
      <c r="D1223" s="179">
        <v>1.0</v>
      </c>
      <c r="E1223" s="172" t="s">
        <v>411</v>
      </c>
      <c r="F1223" s="172"/>
      <c r="G1223" s="173" t="s">
        <v>1565</v>
      </c>
      <c r="H1223" s="172">
        <v>22.0</v>
      </c>
      <c r="J1223" s="173"/>
      <c r="K1223" s="170" t="s">
        <v>1308</v>
      </c>
    </row>
    <row r="1224" ht="15.75" hidden="1" customHeight="1">
      <c r="A1224" s="238">
        <v>46168.0</v>
      </c>
      <c r="B1224" s="172" t="s">
        <v>1114</v>
      </c>
      <c r="C1224" s="172">
        <v>34.0</v>
      </c>
      <c r="D1224" s="179">
        <v>1.0</v>
      </c>
      <c r="E1224" s="172" t="s">
        <v>411</v>
      </c>
      <c r="F1224" s="172"/>
      <c r="G1224" s="173" t="s">
        <v>1566</v>
      </c>
      <c r="H1224" s="172">
        <v>26.0</v>
      </c>
      <c r="J1224" s="173"/>
      <c r="K1224" s="170" t="s">
        <v>1308</v>
      </c>
    </row>
    <row r="1225" ht="15.75" hidden="1" customHeight="1">
      <c r="A1225" s="235">
        <v>46168.0</v>
      </c>
      <c r="B1225" s="172" t="s">
        <v>69</v>
      </c>
      <c r="C1225" s="172">
        <v>32.0</v>
      </c>
      <c r="D1225" s="179">
        <v>1.0</v>
      </c>
      <c r="E1225" s="172" t="s">
        <v>411</v>
      </c>
      <c r="F1225" s="172"/>
      <c r="G1225" s="173" t="s">
        <v>1567</v>
      </c>
      <c r="H1225" s="172">
        <v>27.5</v>
      </c>
      <c r="J1225" s="173"/>
      <c r="K1225" s="170" t="s">
        <v>1308</v>
      </c>
    </row>
    <row r="1226" ht="15.75" hidden="1" customHeight="1">
      <c r="A1226" s="235">
        <v>46168.0</v>
      </c>
      <c r="B1226" s="172" t="s">
        <v>45</v>
      </c>
      <c r="C1226" s="172">
        <v>36.0</v>
      </c>
      <c r="D1226" s="179">
        <v>1.0</v>
      </c>
      <c r="E1226" s="172" t="s">
        <v>39</v>
      </c>
      <c r="F1226" s="172"/>
      <c r="G1226" s="173" t="s">
        <v>1568</v>
      </c>
      <c r="H1226" s="172">
        <v>24.0</v>
      </c>
      <c r="J1226" s="173"/>
      <c r="K1226" s="170" t="s">
        <v>1308</v>
      </c>
    </row>
    <row r="1227" ht="15.75" hidden="1" customHeight="1">
      <c r="A1227" s="235">
        <v>46168.0</v>
      </c>
      <c r="B1227" s="172" t="s">
        <v>50</v>
      </c>
      <c r="C1227" s="172">
        <v>36.0</v>
      </c>
      <c r="D1227" s="179">
        <v>1.0</v>
      </c>
      <c r="E1227" s="172" t="s">
        <v>39</v>
      </c>
      <c r="F1227" s="172"/>
      <c r="G1227" s="173" t="s">
        <v>1568</v>
      </c>
      <c r="H1227" s="172">
        <v>24.0</v>
      </c>
      <c r="J1227" s="173"/>
      <c r="K1227" s="170" t="s">
        <v>1308</v>
      </c>
    </row>
    <row r="1228" ht="15.75" hidden="1" customHeight="1">
      <c r="A1228" s="235">
        <v>46168.0</v>
      </c>
      <c r="B1228" s="172" t="s">
        <v>50</v>
      </c>
      <c r="C1228" s="172">
        <v>32.0</v>
      </c>
      <c r="D1228" s="179">
        <v>1.0</v>
      </c>
      <c r="E1228" s="172" t="s">
        <v>39</v>
      </c>
      <c r="F1228" s="172"/>
      <c r="G1228" s="173" t="s">
        <v>910</v>
      </c>
      <c r="H1228" s="172">
        <v>22.5</v>
      </c>
      <c r="J1228" s="173"/>
      <c r="K1228" s="170" t="s">
        <v>1308</v>
      </c>
    </row>
    <row r="1229" ht="15.75" hidden="1" customHeight="1">
      <c r="A1229" s="235">
        <v>46168.0</v>
      </c>
      <c r="B1229" s="172" t="s">
        <v>51</v>
      </c>
      <c r="C1229" s="172">
        <v>36.0</v>
      </c>
      <c r="D1229" s="179">
        <v>1.0</v>
      </c>
      <c r="E1229" s="172" t="s">
        <v>411</v>
      </c>
      <c r="F1229" s="172"/>
      <c r="G1229" s="173" t="s">
        <v>1569</v>
      </c>
      <c r="H1229" s="172">
        <v>22.0</v>
      </c>
      <c r="J1229" s="173"/>
      <c r="K1229" s="170" t="s">
        <v>1308</v>
      </c>
    </row>
    <row r="1230" ht="15.75" hidden="1" customHeight="1">
      <c r="A1230" s="233">
        <v>46170.0</v>
      </c>
      <c r="B1230" s="172" t="s">
        <v>45</v>
      </c>
      <c r="C1230" s="172">
        <v>34.0</v>
      </c>
      <c r="D1230" s="179">
        <v>1.0</v>
      </c>
      <c r="E1230" s="172" t="s">
        <v>411</v>
      </c>
      <c r="F1230" s="172"/>
      <c r="G1230" s="173" t="s">
        <v>1570</v>
      </c>
      <c r="H1230" s="172">
        <v>0.0</v>
      </c>
      <c r="I1230" s="173" t="s">
        <v>1571</v>
      </c>
      <c r="J1230" s="173"/>
      <c r="K1230" s="170" t="s">
        <v>1308</v>
      </c>
    </row>
    <row r="1231" ht="15.75" hidden="1" customHeight="1">
      <c r="A1231" s="235">
        <v>46170.0</v>
      </c>
      <c r="B1231" s="172" t="s">
        <v>45</v>
      </c>
      <c r="C1231" s="172">
        <v>32.0</v>
      </c>
      <c r="D1231" s="179">
        <v>1.0</v>
      </c>
      <c r="E1231" s="172" t="s">
        <v>39</v>
      </c>
      <c r="F1231" s="172"/>
      <c r="G1231" s="173" t="s">
        <v>1572</v>
      </c>
      <c r="H1231" s="172">
        <v>20.0</v>
      </c>
      <c r="J1231" s="173"/>
      <c r="K1231" s="170" t="s">
        <v>1308</v>
      </c>
    </row>
    <row r="1232" ht="15.75" hidden="1" customHeight="1">
      <c r="A1232" s="235">
        <v>46170.0</v>
      </c>
      <c r="B1232" s="172" t="s">
        <v>50</v>
      </c>
      <c r="C1232" s="172">
        <v>32.0</v>
      </c>
      <c r="D1232" s="179">
        <v>1.0</v>
      </c>
      <c r="E1232" s="172" t="s">
        <v>39</v>
      </c>
      <c r="F1232" s="172"/>
      <c r="G1232" s="173" t="s">
        <v>1573</v>
      </c>
      <c r="H1232" s="172">
        <v>20.0</v>
      </c>
      <c r="J1232" s="173"/>
      <c r="K1232" s="170" t="s">
        <v>1308</v>
      </c>
    </row>
    <row r="1233" ht="15.75" hidden="1" customHeight="1">
      <c r="A1233" s="252">
        <v>46170.0</v>
      </c>
      <c r="B1233" s="172" t="s">
        <v>52</v>
      </c>
      <c r="C1233" s="172">
        <v>34.0</v>
      </c>
      <c r="D1233" s="179">
        <v>1.0</v>
      </c>
      <c r="E1233" s="172" t="s">
        <v>411</v>
      </c>
      <c r="F1233" s="172"/>
      <c r="G1233" s="173" t="s">
        <v>1574</v>
      </c>
      <c r="H1233" s="172">
        <v>26.5</v>
      </c>
      <c r="J1233" s="173"/>
      <c r="K1233" s="170" t="s">
        <v>1308</v>
      </c>
    </row>
    <row r="1234" ht="15.75" hidden="1" customHeight="1">
      <c r="A1234" s="235">
        <v>46170.0</v>
      </c>
      <c r="B1234" s="172" t="s">
        <v>45</v>
      </c>
      <c r="C1234" s="172">
        <v>32.0</v>
      </c>
      <c r="D1234" s="219">
        <v>0.0</v>
      </c>
      <c r="E1234" s="172" t="s">
        <v>411</v>
      </c>
      <c r="F1234" s="172"/>
      <c r="G1234" s="173" t="s">
        <v>1564</v>
      </c>
      <c r="H1234" s="172">
        <v>0.0</v>
      </c>
      <c r="I1234" s="173" t="s">
        <v>1571</v>
      </c>
      <c r="J1234" s="173"/>
      <c r="K1234" s="170" t="s">
        <v>1308</v>
      </c>
    </row>
    <row r="1235" ht="15.75" hidden="1" customHeight="1">
      <c r="A1235" s="233">
        <v>46171.0</v>
      </c>
      <c r="B1235" s="172" t="s">
        <v>94</v>
      </c>
      <c r="C1235" s="172">
        <v>34.0</v>
      </c>
      <c r="D1235" s="179">
        <v>1.0</v>
      </c>
      <c r="E1235" s="172" t="s">
        <v>411</v>
      </c>
      <c r="F1235" s="172"/>
      <c r="G1235" s="173" t="s">
        <v>1575</v>
      </c>
      <c r="H1235" s="172">
        <v>20.0</v>
      </c>
      <c r="J1235" s="173"/>
      <c r="K1235" s="170" t="s">
        <v>1308</v>
      </c>
    </row>
    <row r="1236" ht="15.75" hidden="1" customHeight="1">
      <c r="A1236" s="235">
        <v>46171.0</v>
      </c>
      <c r="B1236" s="172" t="s">
        <v>51</v>
      </c>
      <c r="C1236" s="172">
        <v>36.0</v>
      </c>
      <c r="D1236" s="179">
        <v>1.0</v>
      </c>
      <c r="E1236" s="172" t="s">
        <v>39</v>
      </c>
      <c r="F1236" s="172"/>
      <c r="G1236" s="173" t="s">
        <v>1576</v>
      </c>
      <c r="H1236" s="172">
        <v>22.6</v>
      </c>
      <c r="J1236" s="173"/>
      <c r="K1236" s="170" t="s">
        <v>1308</v>
      </c>
    </row>
    <row r="1237" ht="15.75" hidden="1" customHeight="1">
      <c r="A1237" s="235">
        <v>46171.0</v>
      </c>
      <c r="B1237" s="172" t="s">
        <v>71</v>
      </c>
      <c r="C1237" s="172">
        <v>36.0</v>
      </c>
      <c r="D1237" s="179">
        <v>1.0</v>
      </c>
      <c r="E1237" s="172" t="s">
        <v>39</v>
      </c>
      <c r="F1237" s="172"/>
      <c r="G1237" s="173" t="s">
        <v>1576</v>
      </c>
      <c r="H1237" s="172">
        <v>22.6</v>
      </c>
      <c r="J1237" s="173"/>
      <c r="K1237" s="170" t="s">
        <v>1308</v>
      </c>
    </row>
    <row r="1238" ht="15.75" hidden="1" customHeight="1">
      <c r="A1238" s="235">
        <v>46171.0</v>
      </c>
      <c r="B1238" s="172" t="s">
        <v>69</v>
      </c>
      <c r="C1238" s="172">
        <v>34.0</v>
      </c>
      <c r="D1238" s="179">
        <v>1.0</v>
      </c>
      <c r="E1238" s="172" t="s">
        <v>39</v>
      </c>
      <c r="F1238" s="172"/>
      <c r="G1238" s="173" t="s">
        <v>1577</v>
      </c>
      <c r="H1238" s="172">
        <v>22.0</v>
      </c>
      <c r="J1238" s="173"/>
      <c r="K1238" s="170" t="s">
        <v>1308</v>
      </c>
    </row>
    <row r="1239" ht="15.75" hidden="1" customHeight="1">
      <c r="A1239" s="235">
        <v>46171.0</v>
      </c>
      <c r="B1239" s="172" t="s">
        <v>50</v>
      </c>
      <c r="C1239" s="172">
        <v>36.0</v>
      </c>
      <c r="D1239" s="179">
        <v>1.0</v>
      </c>
      <c r="E1239" s="172" t="s">
        <v>39</v>
      </c>
      <c r="F1239" s="172"/>
      <c r="G1239" s="173" t="s">
        <v>1578</v>
      </c>
      <c r="H1239" s="172">
        <v>22.0</v>
      </c>
      <c r="J1239" s="173"/>
      <c r="K1239" s="170" t="s">
        <v>1308</v>
      </c>
    </row>
    <row r="1240" ht="15.75" hidden="1" customHeight="1">
      <c r="A1240" s="235">
        <v>46171.0</v>
      </c>
      <c r="B1240" s="172" t="s">
        <v>1114</v>
      </c>
      <c r="C1240" s="172">
        <v>34.0</v>
      </c>
      <c r="D1240" s="179">
        <v>1.0</v>
      </c>
      <c r="E1240" s="172" t="s">
        <v>453</v>
      </c>
      <c r="F1240" s="172"/>
      <c r="G1240" s="173" t="s">
        <v>1579</v>
      </c>
      <c r="H1240" s="172">
        <v>22.1</v>
      </c>
      <c r="J1240" s="173"/>
      <c r="K1240" s="170" t="s">
        <v>1308</v>
      </c>
    </row>
    <row r="1241" ht="15.75" hidden="1" customHeight="1">
      <c r="A1241" s="251">
        <v>46172.0</v>
      </c>
      <c r="B1241" s="172" t="s">
        <v>69</v>
      </c>
      <c r="C1241" s="172">
        <v>34.0</v>
      </c>
      <c r="D1241" s="179">
        <v>1.0</v>
      </c>
      <c r="E1241" s="172" t="s">
        <v>411</v>
      </c>
      <c r="F1241" s="172"/>
      <c r="G1241" s="173" t="s">
        <v>1580</v>
      </c>
      <c r="H1241" s="172">
        <v>20.0</v>
      </c>
      <c r="J1241" s="173"/>
      <c r="K1241" s="170" t="s">
        <v>1308</v>
      </c>
    </row>
    <row r="1242" ht="15.75" hidden="1" customHeight="1">
      <c r="A1242" s="252">
        <v>46172.0</v>
      </c>
      <c r="B1242" s="172" t="s">
        <v>51</v>
      </c>
      <c r="C1242" s="172">
        <v>34.0</v>
      </c>
      <c r="D1242" s="179">
        <v>1.0</v>
      </c>
      <c r="E1242" s="172" t="s">
        <v>411</v>
      </c>
      <c r="F1242" s="172"/>
      <c r="G1242" s="173" t="s">
        <v>1581</v>
      </c>
      <c r="H1242" s="172">
        <v>20.0</v>
      </c>
      <c r="J1242" s="173"/>
      <c r="K1242" s="170" t="s">
        <v>1308</v>
      </c>
    </row>
    <row r="1243" ht="15.75" hidden="1" customHeight="1">
      <c r="A1243" s="252">
        <v>46172.0</v>
      </c>
      <c r="B1243" s="172" t="s">
        <v>52</v>
      </c>
      <c r="C1243" s="172">
        <v>34.0</v>
      </c>
      <c r="D1243" s="179">
        <v>1.0</v>
      </c>
      <c r="E1243" s="172" t="s">
        <v>411</v>
      </c>
      <c r="F1243" s="172"/>
      <c r="G1243" s="173" t="s">
        <v>1582</v>
      </c>
      <c r="H1243" s="172">
        <v>24.0</v>
      </c>
      <c r="J1243" s="173"/>
      <c r="K1243" s="170" t="s">
        <v>1308</v>
      </c>
    </row>
    <row r="1244" ht="15.75" hidden="1" customHeight="1">
      <c r="A1244" s="252">
        <v>46172.0</v>
      </c>
      <c r="B1244" s="172" t="s">
        <v>71</v>
      </c>
      <c r="C1244" s="172">
        <v>36.0</v>
      </c>
      <c r="D1244" s="179">
        <v>1.0</v>
      </c>
      <c r="E1244" s="172" t="s">
        <v>411</v>
      </c>
      <c r="F1244" s="172"/>
      <c r="G1244" s="173" t="s">
        <v>1583</v>
      </c>
      <c r="H1244" s="172">
        <v>20.0</v>
      </c>
      <c r="J1244" s="173"/>
      <c r="K1244" s="170" t="s">
        <v>1308</v>
      </c>
    </row>
    <row r="1245" ht="15.75" hidden="1" customHeight="1">
      <c r="A1245" s="252">
        <v>46172.0</v>
      </c>
      <c r="B1245" s="172" t="s">
        <v>94</v>
      </c>
      <c r="C1245" s="172">
        <v>34.0</v>
      </c>
      <c r="D1245" s="179">
        <v>1.0</v>
      </c>
      <c r="E1245" s="172" t="s">
        <v>411</v>
      </c>
      <c r="F1245" s="172"/>
      <c r="G1245" s="173" t="s">
        <v>1584</v>
      </c>
      <c r="H1245" s="172">
        <v>21.3</v>
      </c>
      <c r="J1245" s="173"/>
      <c r="K1245" s="170" t="s">
        <v>1308</v>
      </c>
    </row>
    <row r="1246" ht="15.75" hidden="1" customHeight="1">
      <c r="A1246" s="252">
        <v>46172.0</v>
      </c>
      <c r="B1246" s="172" t="s">
        <v>50</v>
      </c>
      <c r="C1246" s="172">
        <v>36.0</v>
      </c>
      <c r="D1246" s="179">
        <v>1.0</v>
      </c>
      <c r="E1246" s="172" t="s">
        <v>411</v>
      </c>
      <c r="F1246" s="172"/>
      <c r="G1246" s="173" t="s">
        <v>1585</v>
      </c>
      <c r="H1246" s="172">
        <v>20.0</v>
      </c>
      <c r="J1246" s="173"/>
      <c r="K1246" s="170" t="s">
        <v>1308</v>
      </c>
    </row>
    <row r="1247" ht="15.75" hidden="1" customHeight="1">
      <c r="A1247" s="252">
        <v>46172.0</v>
      </c>
      <c r="B1247" s="172" t="s">
        <v>45</v>
      </c>
      <c r="C1247" s="172">
        <v>36.0</v>
      </c>
      <c r="D1247" s="179">
        <v>1.0</v>
      </c>
      <c r="E1247" s="172" t="s">
        <v>411</v>
      </c>
      <c r="F1247" s="172"/>
      <c r="G1247" s="173" t="s">
        <v>1585</v>
      </c>
      <c r="H1247" s="172">
        <v>20.0</v>
      </c>
      <c r="J1247" s="173"/>
      <c r="K1247" s="170" t="s">
        <v>1308</v>
      </c>
    </row>
    <row r="1248" ht="15.75" hidden="1" customHeight="1">
      <c r="A1248" s="252">
        <v>46172.0</v>
      </c>
      <c r="B1248" s="172" t="s">
        <v>1114</v>
      </c>
      <c r="C1248" s="172">
        <v>34.0</v>
      </c>
      <c r="D1248" s="179">
        <v>1.0</v>
      </c>
      <c r="E1248" s="172" t="s">
        <v>411</v>
      </c>
      <c r="F1248" s="172"/>
      <c r="G1248" s="173" t="s">
        <v>1586</v>
      </c>
      <c r="H1248" s="172">
        <v>22.0</v>
      </c>
      <c r="J1248" s="173"/>
      <c r="K1248" s="170" t="s">
        <v>1308</v>
      </c>
    </row>
    <row r="1249" ht="15.75" hidden="1" customHeight="1">
      <c r="A1249" s="233">
        <v>46173.0</v>
      </c>
      <c r="B1249" s="172" t="s">
        <v>51</v>
      </c>
      <c r="C1249" s="172">
        <v>36.0</v>
      </c>
      <c r="D1249" s="179">
        <v>1.0</v>
      </c>
      <c r="E1249" s="172" t="s">
        <v>411</v>
      </c>
      <c r="F1249" s="172"/>
      <c r="G1249" s="173" t="s">
        <v>1583</v>
      </c>
      <c r="H1249" s="172">
        <v>20.0</v>
      </c>
      <c r="J1249" s="173"/>
      <c r="K1249" s="170" t="s">
        <v>1308</v>
      </c>
    </row>
    <row r="1250" ht="15.75" hidden="1" customHeight="1">
      <c r="A1250" s="252">
        <v>46173.0</v>
      </c>
      <c r="B1250" s="172" t="s">
        <v>63</v>
      </c>
      <c r="C1250" s="172">
        <v>36.0</v>
      </c>
      <c r="D1250" s="179">
        <v>1.0</v>
      </c>
      <c r="E1250" s="172" t="s">
        <v>411</v>
      </c>
      <c r="F1250" s="172"/>
      <c r="G1250" s="173" t="s">
        <v>1583</v>
      </c>
      <c r="H1250" s="172">
        <v>20.0</v>
      </c>
      <c r="J1250" s="173"/>
      <c r="K1250" s="170" t="s">
        <v>1308</v>
      </c>
    </row>
    <row r="1251" ht="15.75" hidden="1" customHeight="1">
      <c r="A1251" s="252">
        <v>46173.0</v>
      </c>
      <c r="B1251" s="172" t="s">
        <v>51</v>
      </c>
      <c r="C1251" s="172">
        <v>34.0</v>
      </c>
      <c r="D1251" s="179">
        <v>1.0</v>
      </c>
      <c r="E1251" s="172" t="s">
        <v>411</v>
      </c>
      <c r="F1251" s="172"/>
      <c r="G1251" s="173" t="s">
        <v>1587</v>
      </c>
      <c r="H1251" s="172">
        <v>22.0</v>
      </c>
      <c r="J1251" s="173"/>
      <c r="K1251" s="170" t="s">
        <v>1308</v>
      </c>
    </row>
    <row r="1252" ht="15.75" hidden="1" customHeight="1">
      <c r="A1252" s="252">
        <v>46173.0</v>
      </c>
      <c r="B1252" s="172" t="s">
        <v>51</v>
      </c>
      <c r="C1252" s="172">
        <v>36.0</v>
      </c>
      <c r="D1252" s="179">
        <v>1.0</v>
      </c>
      <c r="E1252" s="172" t="s">
        <v>411</v>
      </c>
      <c r="F1252" s="172"/>
      <c r="G1252" s="173" t="s">
        <v>1588</v>
      </c>
      <c r="H1252" s="172">
        <v>20.6</v>
      </c>
      <c r="J1252" s="173"/>
      <c r="K1252" s="170" t="s">
        <v>1308</v>
      </c>
      <c r="M1252" s="173">
        <v>216.0</v>
      </c>
    </row>
    <row r="1253" ht="15.75" hidden="1" customHeight="1">
      <c r="A1253" s="235">
        <v>46173.0</v>
      </c>
      <c r="B1253" s="172" t="s">
        <v>1114</v>
      </c>
      <c r="C1253" s="172">
        <v>34.0</v>
      </c>
      <c r="D1253" s="179">
        <v>1.0</v>
      </c>
      <c r="E1253" s="172" t="s">
        <v>39</v>
      </c>
      <c r="F1253" s="172"/>
      <c r="G1253" s="173" t="s">
        <v>1589</v>
      </c>
      <c r="H1253" s="182">
        <v>0.0</v>
      </c>
      <c r="J1253" s="173"/>
      <c r="K1253" s="170" t="s">
        <v>1308</v>
      </c>
    </row>
    <row r="1254" ht="15.75" hidden="1" customHeight="1">
      <c r="A1254" s="235">
        <v>46173.0</v>
      </c>
      <c r="B1254" s="172" t="s">
        <v>69</v>
      </c>
      <c r="C1254" s="172">
        <v>32.0</v>
      </c>
      <c r="D1254" s="179">
        <v>1.0</v>
      </c>
      <c r="E1254" s="172" t="s">
        <v>411</v>
      </c>
      <c r="F1254" s="172"/>
      <c r="G1254" s="173" t="s">
        <v>1590</v>
      </c>
      <c r="H1254" s="172">
        <v>22.0</v>
      </c>
      <c r="J1254" s="173"/>
      <c r="K1254" s="170" t="s">
        <v>1308</v>
      </c>
    </row>
    <row r="1255" ht="15.75" hidden="1" customHeight="1">
      <c r="A1255" s="350"/>
      <c r="B1255" s="351" t="s">
        <v>1591</v>
      </c>
      <c r="L1255" s="352"/>
      <c r="M1255" s="352"/>
      <c r="N1255" s="352"/>
      <c r="O1255" s="352"/>
      <c r="P1255" s="352"/>
      <c r="Q1255" s="352"/>
      <c r="R1255" s="352"/>
      <c r="S1255" s="352"/>
      <c r="T1255" s="352"/>
      <c r="U1255" s="352"/>
      <c r="V1255" s="352"/>
      <c r="W1255" s="352"/>
      <c r="X1255" s="352"/>
      <c r="Y1255" s="352"/>
      <c r="Z1255" s="352"/>
      <c r="AA1255" s="352"/>
      <c r="AB1255" s="352"/>
      <c r="AC1255" s="352"/>
      <c r="AD1255" s="352"/>
      <c r="AE1255" s="352"/>
      <c r="AF1255" s="352"/>
      <c r="AG1255" s="352"/>
      <c r="AH1255" s="352"/>
    </row>
    <row r="1256" ht="15.75" hidden="1" customHeight="1">
      <c r="A1256" s="251">
        <v>46174.0</v>
      </c>
      <c r="B1256" s="172" t="s">
        <v>69</v>
      </c>
      <c r="C1256" s="172">
        <v>36.0</v>
      </c>
      <c r="D1256" s="179">
        <v>1.0</v>
      </c>
      <c r="E1256" s="172" t="s">
        <v>441</v>
      </c>
      <c r="F1256" s="172" t="s">
        <v>446</v>
      </c>
      <c r="G1256" s="173" t="s">
        <v>1592</v>
      </c>
      <c r="H1256" s="172">
        <v>20.0</v>
      </c>
      <c r="J1256" s="173"/>
      <c r="K1256" s="170" t="s">
        <v>1308</v>
      </c>
    </row>
    <row r="1257" ht="15.75" hidden="1" customHeight="1">
      <c r="A1257" s="235">
        <v>46174.0</v>
      </c>
      <c r="B1257" s="172" t="s">
        <v>94</v>
      </c>
      <c r="C1257" s="172">
        <v>34.0</v>
      </c>
      <c r="D1257" s="179">
        <v>1.0</v>
      </c>
      <c r="E1257" s="172" t="s">
        <v>39</v>
      </c>
      <c r="F1257" s="172" t="s">
        <v>744</v>
      </c>
      <c r="G1257" s="173" t="s">
        <v>1593</v>
      </c>
      <c r="H1257" s="172">
        <v>22.0</v>
      </c>
      <c r="J1257" s="173"/>
      <c r="K1257" s="170" t="s">
        <v>1308</v>
      </c>
    </row>
    <row r="1258" ht="15.75" hidden="1" customHeight="1">
      <c r="A1258" s="235">
        <v>46174.0</v>
      </c>
      <c r="B1258" s="172" t="s">
        <v>51</v>
      </c>
      <c r="C1258" s="172">
        <v>36.0</v>
      </c>
      <c r="D1258" s="219">
        <v>1.0</v>
      </c>
      <c r="E1258" s="172" t="s">
        <v>411</v>
      </c>
      <c r="F1258" s="172" t="s">
        <v>428</v>
      </c>
      <c r="G1258" s="173" t="s">
        <v>1594</v>
      </c>
      <c r="H1258" s="172">
        <v>22.0</v>
      </c>
      <c r="K1258" s="170" t="s">
        <v>1308</v>
      </c>
    </row>
    <row r="1259" ht="15.75" hidden="1" customHeight="1">
      <c r="A1259" s="235">
        <v>46174.0</v>
      </c>
      <c r="B1259" s="172" t="s">
        <v>52</v>
      </c>
      <c r="C1259" s="172">
        <v>34.0</v>
      </c>
      <c r="D1259" s="179">
        <v>1.0</v>
      </c>
      <c r="E1259" s="172" t="s">
        <v>411</v>
      </c>
      <c r="F1259" s="172" t="s">
        <v>428</v>
      </c>
      <c r="G1259" s="173" t="s">
        <v>1595</v>
      </c>
      <c r="H1259" s="172">
        <v>20.0</v>
      </c>
      <c r="J1259" s="173"/>
      <c r="K1259" s="170" t="s">
        <v>1308</v>
      </c>
    </row>
    <row r="1260" ht="15.75" hidden="1" customHeight="1">
      <c r="A1260" s="251">
        <v>46175.0</v>
      </c>
      <c r="B1260" s="172" t="s">
        <v>63</v>
      </c>
      <c r="C1260" s="172">
        <v>36.0</v>
      </c>
      <c r="D1260" s="179">
        <v>1.0</v>
      </c>
      <c r="E1260" s="172" t="s">
        <v>411</v>
      </c>
      <c r="F1260" s="172" t="s">
        <v>410</v>
      </c>
      <c r="G1260" s="173" t="s">
        <v>1596</v>
      </c>
      <c r="H1260" s="172">
        <v>23.7</v>
      </c>
      <c r="J1260" s="173"/>
      <c r="K1260" s="170" t="s">
        <v>1308</v>
      </c>
    </row>
    <row r="1261" ht="15.75" hidden="1" customHeight="1">
      <c r="A1261" s="235">
        <v>46175.0</v>
      </c>
      <c r="B1261" s="172" t="s">
        <v>1114</v>
      </c>
      <c r="C1261" s="172">
        <v>32.0</v>
      </c>
      <c r="D1261" s="179">
        <v>1.0</v>
      </c>
      <c r="E1261" s="172" t="s">
        <v>39</v>
      </c>
      <c r="F1261" s="172" t="s">
        <v>744</v>
      </c>
      <c r="G1261" s="173" t="s">
        <v>1597</v>
      </c>
      <c r="H1261" s="172">
        <v>20.0</v>
      </c>
      <c r="J1261" s="173"/>
      <c r="K1261" s="170" t="s">
        <v>1308</v>
      </c>
    </row>
    <row r="1262" ht="15.75" hidden="1" customHeight="1">
      <c r="A1262" s="251">
        <v>46176.0</v>
      </c>
      <c r="B1262" s="172" t="s">
        <v>52</v>
      </c>
      <c r="C1262" s="172">
        <v>34.0</v>
      </c>
      <c r="D1262" s="179">
        <v>1.0</v>
      </c>
      <c r="E1262" s="172" t="s">
        <v>411</v>
      </c>
      <c r="F1262" s="172" t="s">
        <v>416</v>
      </c>
      <c r="G1262" s="173" t="s">
        <v>1598</v>
      </c>
      <c r="H1262" s="172">
        <v>22.0</v>
      </c>
      <c r="J1262" s="173"/>
      <c r="K1262" s="170" t="s">
        <v>1308</v>
      </c>
    </row>
    <row r="1263" ht="15.75" hidden="1" customHeight="1">
      <c r="A1263" s="252">
        <v>46176.0</v>
      </c>
      <c r="B1263" s="172" t="s">
        <v>52</v>
      </c>
      <c r="C1263" s="172">
        <v>34.0</v>
      </c>
      <c r="D1263" s="179">
        <v>1.0</v>
      </c>
      <c r="E1263" s="172" t="s">
        <v>411</v>
      </c>
      <c r="F1263" s="172" t="s">
        <v>421</v>
      </c>
      <c r="G1263" s="173" t="s">
        <v>1599</v>
      </c>
      <c r="H1263" s="172">
        <v>24.0</v>
      </c>
      <c r="J1263" s="173"/>
      <c r="K1263" s="170" t="s">
        <v>1308</v>
      </c>
    </row>
    <row r="1264" ht="15.75" hidden="1" customHeight="1">
      <c r="A1264" s="235">
        <v>46176.0</v>
      </c>
      <c r="B1264" s="172" t="s">
        <v>71</v>
      </c>
      <c r="C1264" s="172">
        <v>36.0</v>
      </c>
      <c r="D1264" s="179">
        <v>1.0</v>
      </c>
      <c r="E1264" s="172" t="s">
        <v>39</v>
      </c>
      <c r="F1264" s="172" t="s">
        <v>366</v>
      </c>
      <c r="G1264" s="173" t="s">
        <v>1600</v>
      </c>
      <c r="H1264" s="172">
        <v>20.6</v>
      </c>
      <c r="J1264" s="173"/>
      <c r="K1264" s="170" t="s">
        <v>1308</v>
      </c>
    </row>
    <row r="1265" ht="15.75" hidden="1" customHeight="1">
      <c r="A1265" s="235">
        <v>46176.0</v>
      </c>
      <c r="B1265" s="172" t="s">
        <v>51</v>
      </c>
      <c r="C1265" s="172">
        <v>36.0</v>
      </c>
      <c r="D1265" s="179">
        <v>1.0</v>
      </c>
      <c r="E1265" s="172" t="s">
        <v>39</v>
      </c>
      <c r="F1265" s="172" t="s">
        <v>366</v>
      </c>
      <c r="G1265" s="173" t="s">
        <v>1601</v>
      </c>
      <c r="H1265" s="172">
        <v>20.6</v>
      </c>
      <c r="J1265" s="173"/>
      <c r="K1265" s="170" t="s">
        <v>1308</v>
      </c>
    </row>
    <row r="1266" ht="15.75" hidden="1" customHeight="1">
      <c r="A1266" s="235">
        <v>46176.0</v>
      </c>
      <c r="B1266" s="172" t="s">
        <v>69</v>
      </c>
      <c r="C1266" s="172">
        <v>34.0</v>
      </c>
      <c r="D1266" s="179">
        <v>1.0</v>
      </c>
      <c r="E1266" s="172" t="s">
        <v>411</v>
      </c>
      <c r="F1266" s="172" t="s">
        <v>421</v>
      </c>
      <c r="G1266" s="173" t="s">
        <v>1602</v>
      </c>
      <c r="H1266" s="172">
        <v>25.5</v>
      </c>
      <c r="I1266" s="173">
        <v>1.09</v>
      </c>
      <c r="J1266" s="173"/>
      <c r="K1266" s="170" t="s">
        <v>1308</v>
      </c>
    </row>
    <row r="1267" ht="15.75" hidden="1" customHeight="1">
      <c r="A1267" s="246">
        <v>46176.0</v>
      </c>
      <c r="B1267" s="182" t="s">
        <v>94</v>
      </c>
      <c r="C1267" s="182">
        <v>34.0</v>
      </c>
      <c r="D1267" s="340">
        <v>1.0</v>
      </c>
      <c r="E1267" s="182" t="s">
        <v>411</v>
      </c>
      <c r="F1267" s="182" t="s">
        <v>416</v>
      </c>
      <c r="G1267" s="184" t="s">
        <v>1603</v>
      </c>
      <c r="H1267" s="182">
        <v>0.0</v>
      </c>
      <c r="I1267" s="184" t="s">
        <v>1571</v>
      </c>
      <c r="J1267" s="173"/>
      <c r="K1267" s="170" t="s">
        <v>1308</v>
      </c>
    </row>
    <row r="1268" ht="15.75" hidden="1" customHeight="1">
      <c r="A1268" s="235">
        <v>46176.0</v>
      </c>
      <c r="B1268" s="172" t="s">
        <v>53</v>
      </c>
      <c r="C1268" s="172">
        <v>34.0</v>
      </c>
      <c r="D1268" s="179">
        <v>1.0</v>
      </c>
      <c r="E1268" s="172" t="s">
        <v>39</v>
      </c>
      <c r="F1268" s="172" t="s">
        <v>382</v>
      </c>
      <c r="G1268" s="173" t="s">
        <v>1604</v>
      </c>
      <c r="H1268" s="172">
        <v>26.5</v>
      </c>
      <c r="J1268" s="173"/>
      <c r="K1268" s="170" t="s">
        <v>1308</v>
      </c>
    </row>
    <row r="1269" ht="15.75" hidden="1" customHeight="1">
      <c r="A1269" s="251">
        <v>46177.0</v>
      </c>
      <c r="B1269" s="172" t="s">
        <v>1114</v>
      </c>
      <c r="C1269" s="172">
        <v>34.0</v>
      </c>
      <c r="D1269" s="179">
        <v>1.0</v>
      </c>
      <c r="E1269" s="172" t="s">
        <v>411</v>
      </c>
      <c r="F1269" s="172" t="s">
        <v>416</v>
      </c>
      <c r="G1269" s="173" t="s">
        <v>1605</v>
      </c>
      <c r="H1269" s="172">
        <v>24.0</v>
      </c>
      <c r="I1269" s="173">
        <v>1.09</v>
      </c>
      <c r="J1269" s="173"/>
      <c r="K1269" s="170" t="s">
        <v>1308</v>
      </c>
    </row>
    <row r="1270" ht="15.75" hidden="1" customHeight="1">
      <c r="A1270" s="252">
        <v>46177.0</v>
      </c>
      <c r="B1270" s="172" t="s">
        <v>1114</v>
      </c>
      <c r="C1270" s="172">
        <v>32.0</v>
      </c>
      <c r="D1270" s="179">
        <v>1.0</v>
      </c>
      <c r="E1270" s="172" t="s">
        <v>441</v>
      </c>
      <c r="F1270" s="172" t="s">
        <v>446</v>
      </c>
      <c r="G1270" s="173" t="s">
        <v>1606</v>
      </c>
      <c r="H1270" s="172">
        <v>20.0</v>
      </c>
      <c r="J1270" s="173"/>
      <c r="K1270" s="170" t="s">
        <v>1308</v>
      </c>
    </row>
    <row r="1271" ht="15.75" hidden="1" customHeight="1">
      <c r="A1271" s="252">
        <v>46177.0</v>
      </c>
      <c r="B1271" s="172" t="s">
        <v>51</v>
      </c>
      <c r="C1271" s="172">
        <v>34.0</v>
      </c>
      <c r="D1271" s="179">
        <v>1.0</v>
      </c>
      <c r="E1271" s="172" t="s">
        <v>411</v>
      </c>
      <c r="F1271" s="172" t="s">
        <v>428</v>
      </c>
      <c r="G1271" s="173" t="s">
        <v>1607</v>
      </c>
      <c r="H1271" s="172">
        <v>25.2</v>
      </c>
      <c r="J1271" s="173"/>
      <c r="K1271" s="170" t="s">
        <v>1308</v>
      </c>
    </row>
    <row r="1272" ht="15.75" hidden="1" customHeight="1">
      <c r="A1272" s="251">
        <v>46178.0</v>
      </c>
      <c r="B1272" s="172" t="s">
        <v>45</v>
      </c>
      <c r="C1272" s="172">
        <v>36.0</v>
      </c>
      <c r="D1272" s="179">
        <v>1.0</v>
      </c>
      <c r="E1272" s="172" t="s">
        <v>411</v>
      </c>
      <c r="F1272" s="172" t="s">
        <v>428</v>
      </c>
      <c r="G1272" s="173" t="s">
        <v>1608</v>
      </c>
      <c r="H1272" s="172">
        <v>19.0</v>
      </c>
      <c r="J1272" s="173"/>
      <c r="K1272" s="170" t="s">
        <v>1308</v>
      </c>
    </row>
    <row r="1273" ht="15.75" hidden="1" customHeight="1">
      <c r="A1273" s="252">
        <v>46178.0</v>
      </c>
      <c r="B1273" s="172" t="s">
        <v>45</v>
      </c>
      <c r="C1273" s="172">
        <v>34.0</v>
      </c>
      <c r="D1273" s="179">
        <v>1.0</v>
      </c>
      <c r="E1273" s="172" t="s">
        <v>441</v>
      </c>
      <c r="F1273" s="172" t="s">
        <v>446</v>
      </c>
      <c r="G1273" s="173" t="s">
        <v>1609</v>
      </c>
      <c r="H1273" s="172">
        <v>20.0</v>
      </c>
      <c r="J1273" s="173"/>
      <c r="K1273" s="170" t="s">
        <v>1308</v>
      </c>
    </row>
    <row r="1274" ht="15.75" hidden="1" customHeight="1">
      <c r="A1274" s="252">
        <v>46178.0</v>
      </c>
      <c r="B1274" s="172" t="s">
        <v>94</v>
      </c>
      <c r="C1274" s="172">
        <v>32.0</v>
      </c>
      <c r="D1274" s="179">
        <v>1.0</v>
      </c>
      <c r="E1274" s="172" t="s">
        <v>441</v>
      </c>
      <c r="F1274" s="172" t="s">
        <v>446</v>
      </c>
      <c r="G1274" s="173" t="s">
        <v>1610</v>
      </c>
      <c r="H1274" s="172">
        <v>20.0</v>
      </c>
      <c r="J1274" s="173"/>
      <c r="K1274" s="170" t="s">
        <v>1308</v>
      </c>
    </row>
    <row r="1275" ht="15.75" hidden="1" customHeight="1">
      <c r="A1275" s="251">
        <v>46179.0</v>
      </c>
      <c r="B1275" s="172" t="s">
        <v>50</v>
      </c>
      <c r="C1275" s="172">
        <v>36.0</v>
      </c>
      <c r="D1275" s="179">
        <v>1.0</v>
      </c>
      <c r="E1275" s="172" t="s">
        <v>39</v>
      </c>
      <c r="F1275" s="172" t="s">
        <v>366</v>
      </c>
      <c r="G1275" s="173" t="s">
        <v>1611</v>
      </c>
      <c r="H1275" s="172">
        <v>24.0</v>
      </c>
      <c r="J1275" s="173"/>
      <c r="K1275" s="170" t="s">
        <v>1308</v>
      </c>
    </row>
    <row r="1276" ht="15.75" hidden="1" customHeight="1">
      <c r="A1276" s="235">
        <v>46179.0</v>
      </c>
      <c r="B1276" s="172" t="s">
        <v>51</v>
      </c>
      <c r="C1276" s="172">
        <v>34.0</v>
      </c>
      <c r="D1276" s="179">
        <v>1.0</v>
      </c>
      <c r="E1276" s="172" t="s">
        <v>441</v>
      </c>
      <c r="F1276" s="172" t="s">
        <v>446</v>
      </c>
      <c r="G1276" s="173" t="s">
        <v>1612</v>
      </c>
      <c r="H1276" s="172">
        <v>20.0</v>
      </c>
      <c r="J1276" s="173"/>
      <c r="K1276" s="170" t="s">
        <v>1308</v>
      </c>
    </row>
    <row r="1277" ht="15.75" hidden="1" customHeight="1">
      <c r="A1277" s="235">
        <v>46179.0</v>
      </c>
      <c r="B1277" s="172" t="s">
        <v>1114</v>
      </c>
      <c r="C1277" s="172">
        <v>32.0</v>
      </c>
      <c r="D1277" s="179">
        <v>1.0</v>
      </c>
      <c r="E1277" s="172" t="s">
        <v>441</v>
      </c>
      <c r="F1277" s="172" t="s">
        <v>446</v>
      </c>
      <c r="G1277" s="173" t="s">
        <v>1613</v>
      </c>
      <c r="H1277" s="172">
        <v>25.0</v>
      </c>
      <c r="J1277" s="173"/>
      <c r="K1277" s="170" t="s">
        <v>1308</v>
      </c>
    </row>
    <row r="1278" ht="15.75" hidden="1" customHeight="1">
      <c r="A1278" s="251">
        <v>46180.0</v>
      </c>
      <c r="B1278" s="172" t="s">
        <v>1114</v>
      </c>
      <c r="C1278" s="172">
        <v>34.0</v>
      </c>
      <c r="D1278" s="179">
        <v>1.0</v>
      </c>
      <c r="E1278" s="172" t="s">
        <v>39</v>
      </c>
      <c r="F1278" s="172" t="s">
        <v>366</v>
      </c>
      <c r="G1278" s="173" t="s">
        <v>1614</v>
      </c>
      <c r="H1278" s="172">
        <v>21.5</v>
      </c>
      <c r="J1278" s="173"/>
      <c r="K1278" s="170" t="s">
        <v>1308</v>
      </c>
    </row>
    <row r="1279" ht="15.75" hidden="1" customHeight="1">
      <c r="A1279" s="235">
        <v>46180.0</v>
      </c>
      <c r="B1279" s="172" t="s">
        <v>94</v>
      </c>
      <c r="C1279" s="172">
        <v>32.0</v>
      </c>
      <c r="D1279" s="179">
        <v>1.0</v>
      </c>
      <c r="E1279" s="172" t="s">
        <v>441</v>
      </c>
      <c r="F1279" s="172" t="s">
        <v>446</v>
      </c>
      <c r="G1279" s="173" t="s">
        <v>1615</v>
      </c>
      <c r="H1279" s="172">
        <v>20.0</v>
      </c>
      <c r="J1279" s="173"/>
      <c r="K1279" s="170" t="s">
        <v>1308</v>
      </c>
    </row>
    <row r="1280" ht="15.75" hidden="1" customHeight="1">
      <c r="A1280" s="235">
        <v>46180.0</v>
      </c>
      <c r="B1280" s="172" t="s">
        <v>53</v>
      </c>
      <c r="C1280" s="172">
        <v>32.0</v>
      </c>
      <c r="D1280" s="179">
        <v>1.0</v>
      </c>
      <c r="E1280" s="172" t="s">
        <v>411</v>
      </c>
      <c r="F1280" s="172" t="s">
        <v>410</v>
      </c>
      <c r="G1280" s="173" t="s">
        <v>1616</v>
      </c>
      <c r="H1280" s="172">
        <v>23.4</v>
      </c>
      <c r="I1280" s="173">
        <v>1.09</v>
      </c>
      <c r="J1280" s="173"/>
      <c r="K1280" s="170" t="s">
        <v>1308</v>
      </c>
    </row>
    <row r="1281" ht="15.75" hidden="1" customHeight="1">
      <c r="A1281" s="235">
        <v>46180.0</v>
      </c>
      <c r="B1281" s="172" t="s">
        <v>94</v>
      </c>
      <c r="C1281" s="172">
        <v>32.0</v>
      </c>
      <c r="D1281" s="179">
        <v>1.0</v>
      </c>
      <c r="E1281" s="172" t="s">
        <v>441</v>
      </c>
      <c r="F1281" s="172" t="s">
        <v>446</v>
      </c>
      <c r="G1281" s="173" t="s">
        <v>1617</v>
      </c>
      <c r="H1281" s="172">
        <v>22.0</v>
      </c>
      <c r="J1281" s="173"/>
      <c r="K1281" s="170" t="s">
        <v>1308</v>
      </c>
    </row>
    <row r="1282" ht="15.75" hidden="1" customHeight="1">
      <c r="A1282" s="235">
        <v>46180.0</v>
      </c>
      <c r="B1282" s="172" t="s">
        <v>71</v>
      </c>
      <c r="C1282" s="172">
        <v>32.0</v>
      </c>
      <c r="D1282" s="179">
        <v>1.0</v>
      </c>
      <c r="E1282" s="172" t="s">
        <v>411</v>
      </c>
      <c r="F1282" s="172" t="s">
        <v>421</v>
      </c>
      <c r="G1282" s="173" t="s">
        <v>1618</v>
      </c>
      <c r="H1282" s="172">
        <v>21.5</v>
      </c>
      <c r="J1282" s="173"/>
      <c r="K1282" s="170" t="s">
        <v>1308</v>
      </c>
    </row>
    <row r="1283" ht="15.75" hidden="1" customHeight="1">
      <c r="A1283" s="235">
        <v>46180.0</v>
      </c>
      <c r="B1283" s="172" t="s">
        <v>51</v>
      </c>
      <c r="C1283" s="172">
        <v>32.0</v>
      </c>
      <c r="D1283" s="179">
        <v>1.0</v>
      </c>
      <c r="E1283" s="172" t="s">
        <v>411</v>
      </c>
      <c r="F1283" s="172" t="s">
        <v>421</v>
      </c>
      <c r="G1283" s="173" t="s">
        <v>1618</v>
      </c>
      <c r="H1283" s="172">
        <v>21.5</v>
      </c>
      <c r="J1283" s="173"/>
      <c r="K1283" s="170" t="s">
        <v>1308</v>
      </c>
    </row>
    <row r="1284" ht="15.75" hidden="1" customHeight="1">
      <c r="A1284" s="235">
        <v>46180.0</v>
      </c>
      <c r="B1284" s="172" t="s">
        <v>51</v>
      </c>
      <c r="C1284" s="172">
        <v>34.0</v>
      </c>
      <c r="D1284" s="179">
        <v>1.0</v>
      </c>
      <c r="E1284" s="172" t="s">
        <v>411</v>
      </c>
      <c r="F1284" s="172" t="s">
        <v>428</v>
      </c>
      <c r="G1284" s="173" t="s">
        <v>1619</v>
      </c>
      <c r="H1284" s="172">
        <v>20.0</v>
      </c>
      <c r="J1284" s="173"/>
      <c r="K1284" s="170" t="s">
        <v>1308</v>
      </c>
    </row>
    <row r="1285" ht="15.75" hidden="1" customHeight="1">
      <c r="A1285" s="233">
        <v>46181.0</v>
      </c>
      <c r="B1285" s="172" t="s">
        <v>52</v>
      </c>
      <c r="C1285" s="172">
        <v>34.0</v>
      </c>
      <c r="D1285" s="179">
        <v>1.0</v>
      </c>
      <c r="E1285" s="172" t="s">
        <v>39</v>
      </c>
      <c r="F1285" s="172" t="s">
        <v>366</v>
      </c>
      <c r="G1285" s="173" t="s">
        <v>1620</v>
      </c>
      <c r="H1285" s="172">
        <v>25.0</v>
      </c>
      <c r="J1285" s="173"/>
      <c r="K1285" s="170" t="s">
        <v>1308</v>
      </c>
    </row>
    <row r="1286" ht="15.75" hidden="1" customHeight="1">
      <c r="A1286" s="252">
        <v>46181.0</v>
      </c>
      <c r="B1286" s="172" t="s">
        <v>63</v>
      </c>
      <c r="C1286" s="172">
        <v>32.0</v>
      </c>
      <c r="D1286" s="179">
        <v>1.0</v>
      </c>
      <c r="E1286" s="172" t="s">
        <v>411</v>
      </c>
      <c r="F1286" s="172" t="s">
        <v>428</v>
      </c>
      <c r="G1286" s="173" t="s">
        <v>1621</v>
      </c>
      <c r="H1286" s="172">
        <v>28.0</v>
      </c>
      <c r="J1286" s="173"/>
      <c r="K1286" s="170" t="s">
        <v>1308</v>
      </c>
    </row>
    <row r="1287" ht="15.75" hidden="1" customHeight="1">
      <c r="A1287" s="252">
        <v>46181.0</v>
      </c>
      <c r="B1287" s="172" t="s">
        <v>51</v>
      </c>
      <c r="C1287" s="172">
        <v>34.0</v>
      </c>
      <c r="D1287" s="179">
        <v>1.0</v>
      </c>
      <c r="E1287" s="172" t="s">
        <v>441</v>
      </c>
      <c r="F1287" s="172" t="s">
        <v>446</v>
      </c>
      <c r="G1287" s="173" t="s">
        <v>1622</v>
      </c>
      <c r="H1287" s="172">
        <v>20.0</v>
      </c>
      <c r="J1287" s="173"/>
      <c r="K1287" s="170" t="s">
        <v>1308</v>
      </c>
    </row>
    <row r="1288" ht="15.75" hidden="1" customHeight="1">
      <c r="A1288" s="246">
        <v>46181.0</v>
      </c>
      <c r="B1288" s="182" t="s">
        <v>51</v>
      </c>
      <c r="C1288" s="182">
        <v>34.0</v>
      </c>
      <c r="D1288" s="340">
        <v>1.0</v>
      </c>
      <c r="E1288" s="182" t="s">
        <v>411</v>
      </c>
      <c r="F1288" s="182" t="s">
        <v>428</v>
      </c>
      <c r="G1288" s="184" t="s">
        <v>1623</v>
      </c>
      <c r="H1288" s="182">
        <v>0.0</v>
      </c>
      <c r="I1288" s="184" t="s">
        <v>1624</v>
      </c>
      <c r="J1288" s="184" t="s">
        <v>1625</v>
      </c>
      <c r="K1288" s="170" t="s">
        <v>1308</v>
      </c>
    </row>
    <row r="1289" ht="15.75" hidden="1" customHeight="1">
      <c r="A1289" s="252">
        <v>46181.0</v>
      </c>
      <c r="B1289" s="172" t="s">
        <v>69</v>
      </c>
      <c r="C1289" s="172">
        <v>32.0</v>
      </c>
      <c r="D1289" s="179">
        <v>1.0</v>
      </c>
      <c r="E1289" s="172" t="s">
        <v>411</v>
      </c>
      <c r="F1289" s="172" t="s">
        <v>428</v>
      </c>
      <c r="G1289" s="173" t="s">
        <v>1626</v>
      </c>
      <c r="H1289" s="172">
        <v>23.5</v>
      </c>
      <c r="J1289" s="173"/>
      <c r="K1289" s="170" t="s">
        <v>1308</v>
      </c>
    </row>
    <row r="1290" ht="15.75" hidden="1" customHeight="1">
      <c r="A1290" s="233">
        <v>46182.0</v>
      </c>
      <c r="B1290" s="172" t="s">
        <v>45</v>
      </c>
      <c r="C1290" s="172">
        <v>32.0</v>
      </c>
      <c r="D1290" s="179">
        <v>1.0</v>
      </c>
      <c r="E1290" s="172" t="s">
        <v>411</v>
      </c>
      <c r="F1290" s="172" t="s">
        <v>416</v>
      </c>
      <c r="G1290" s="173" t="s">
        <v>1627</v>
      </c>
      <c r="H1290" s="172">
        <v>22.0</v>
      </c>
      <c r="J1290" s="173"/>
      <c r="K1290" s="170" t="s">
        <v>1308</v>
      </c>
    </row>
    <row r="1291" ht="15.75" hidden="1" customHeight="1">
      <c r="A1291" s="252">
        <v>46182.0</v>
      </c>
      <c r="B1291" s="172" t="s">
        <v>69</v>
      </c>
      <c r="C1291" s="172">
        <v>34.0</v>
      </c>
      <c r="D1291" s="179">
        <v>1.0</v>
      </c>
      <c r="E1291" s="172" t="s">
        <v>411</v>
      </c>
      <c r="F1291" s="172" t="s">
        <v>410</v>
      </c>
      <c r="G1291" s="173" t="s">
        <v>1628</v>
      </c>
      <c r="H1291" s="172">
        <v>25.41</v>
      </c>
      <c r="J1291" s="173"/>
      <c r="K1291" s="170" t="s">
        <v>1308</v>
      </c>
    </row>
    <row r="1292" ht="15.75" hidden="1" customHeight="1">
      <c r="A1292" s="252">
        <v>46182.0</v>
      </c>
      <c r="B1292" s="172" t="s">
        <v>52</v>
      </c>
      <c r="C1292" s="172">
        <v>34.0</v>
      </c>
      <c r="D1292" s="179">
        <v>1.0</v>
      </c>
      <c r="E1292" s="172" t="s">
        <v>411</v>
      </c>
      <c r="F1292" s="172" t="s">
        <v>410</v>
      </c>
      <c r="G1292" s="173" t="s">
        <v>1628</v>
      </c>
      <c r="H1292" s="172">
        <v>25.41</v>
      </c>
      <c r="J1292" s="173"/>
      <c r="K1292" s="170" t="s">
        <v>1308</v>
      </c>
    </row>
    <row r="1293" ht="15.75" hidden="1" customHeight="1">
      <c r="A1293" s="251">
        <v>46183.0</v>
      </c>
      <c r="B1293" s="172" t="s">
        <v>63</v>
      </c>
      <c r="C1293" s="172">
        <v>36.0</v>
      </c>
      <c r="D1293" s="179">
        <v>1.0</v>
      </c>
      <c r="E1293" s="172" t="s">
        <v>411</v>
      </c>
      <c r="F1293" s="172" t="s">
        <v>428</v>
      </c>
      <c r="G1293" s="173" t="s">
        <v>1629</v>
      </c>
      <c r="H1293" s="172">
        <v>20.0</v>
      </c>
      <c r="J1293" s="173"/>
      <c r="K1293" s="170" t="s">
        <v>1308</v>
      </c>
    </row>
    <row r="1294" ht="15.75" hidden="1" customHeight="1">
      <c r="A1294" s="252">
        <v>46183.0</v>
      </c>
      <c r="B1294" s="172" t="s">
        <v>52</v>
      </c>
      <c r="C1294" s="172">
        <v>32.0</v>
      </c>
      <c r="D1294" s="179">
        <v>1.0</v>
      </c>
      <c r="E1294" s="172" t="s">
        <v>411</v>
      </c>
      <c r="F1294" s="172" t="s">
        <v>428</v>
      </c>
      <c r="G1294" s="173" t="s">
        <v>1630</v>
      </c>
      <c r="H1294" s="172">
        <v>20.0</v>
      </c>
      <c r="J1294" s="173"/>
      <c r="K1294" s="170" t="s">
        <v>1308</v>
      </c>
    </row>
    <row r="1295" ht="15.75" hidden="1" customHeight="1">
      <c r="A1295" s="252">
        <v>46183.0</v>
      </c>
      <c r="B1295" s="172" t="s">
        <v>51</v>
      </c>
      <c r="C1295" s="172">
        <v>34.0</v>
      </c>
      <c r="D1295" s="179">
        <v>1.0</v>
      </c>
      <c r="E1295" s="172" t="s">
        <v>411</v>
      </c>
      <c r="F1295" s="172" t="s">
        <v>428</v>
      </c>
      <c r="G1295" s="173" t="s">
        <v>1631</v>
      </c>
      <c r="H1295" s="172">
        <v>20.0</v>
      </c>
      <c r="J1295" s="173"/>
      <c r="K1295" s="170" t="s">
        <v>1308</v>
      </c>
    </row>
    <row r="1296" ht="15.75" hidden="1" customHeight="1">
      <c r="A1296" s="235">
        <v>46183.0</v>
      </c>
      <c r="B1296" s="172" t="s">
        <v>52</v>
      </c>
      <c r="C1296" s="172">
        <v>36.0</v>
      </c>
      <c r="D1296" s="179">
        <v>1.0</v>
      </c>
      <c r="E1296" s="172" t="s">
        <v>39</v>
      </c>
      <c r="F1296" s="172" t="s">
        <v>744</v>
      </c>
      <c r="G1296" s="173" t="s">
        <v>1632</v>
      </c>
      <c r="H1296" s="172">
        <v>25.0</v>
      </c>
      <c r="J1296" s="173"/>
      <c r="K1296" s="170" t="s">
        <v>1308</v>
      </c>
    </row>
    <row r="1297" ht="15.75" hidden="1" customHeight="1">
      <c r="A1297" s="233">
        <v>46184.0</v>
      </c>
      <c r="B1297" s="172" t="s">
        <v>69</v>
      </c>
      <c r="C1297" s="172">
        <v>36.0</v>
      </c>
      <c r="D1297" s="179">
        <v>1.0</v>
      </c>
      <c r="E1297" s="172" t="s">
        <v>441</v>
      </c>
      <c r="F1297" s="172" t="s">
        <v>446</v>
      </c>
      <c r="G1297" s="173" t="s">
        <v>1633</v>
      </c>
      <c r="H1297" s="172">
        <v>20.0</v>
      </c>
      <c r="J1297" s="173"/>
      <c r="K1297" s="170" t="s">
        <v>1308</v>
      </c>
    </row>
    <row r="1298" ht="15.75" hidden="1" customHeight="1">
      <c r="A1298" s="252">
        <v>46184.0</v>
      </c>
      <c r="B1298" s="172" t="s">
        <v>52</v>
      </c>
      <c r="C1298" s="172">
        <v>32.0</v>
      </c>
      <c r="D1298" s="179">
        <v>1.0</v>
      </c>
      <c r="E1298" s="172" t="s">
        <v>411</v>
      </c>
      <c r="F1298" s="172" t="s">
        <v>410</v>
      </c>
      <c r="G1298" s="173" t="s">
        <v>1634</v>
      </c>
      <c r="H1298" s="172">
        <v>20.0</v>
      </c>
      <c r="J1298" s="173"/>
      <c r="K1298" s="170" t="s">
        <v>1308</v>
      </c>
    </row>
    <row r="1299" ht="15.75" hidden="1" customHeight="1">
      <c r="A1299" s="251">
        <v>46185.0</v>
      </c>
      <c r="B1299" s="172" t="s">
        <v>51</v>
      </c>
      <c r="C1299" s="172">
        <v>34.0</v>
      </c>
      <c r="D1299" s="179">
        <v>1.0</v>
      </c>
      <c r="E1299" s="172" t="s">
        <v>411</v>
      </c>
      <c r="F1299" s="172" t="s">
        <v>416</v>
      </c>
      <c r="G1299" s="173" t="s">
        <v>1635</v>
      </c>
      <c r="H1299" s="172">
        <v>19.0</v>
      </c>
      <c r="J1299" s="173"/>
      <c r="K1299" s="170" t="s">
        <v>1308</v>
      </c>
    </row>
    <row r="1300" ht="15.75" hidden="1" customHeight="1">
      <c r="A1300" s="235">
        <v>46185.0</v>
      </c>
      <c r="B1300" s="172" t="s">
        <v>45</v>
      </c>
      <c r="C1300" s="172">
        <v>32.0</v>
      </c>
      <c r="D1300" s="179">
        <v>1.0</v>
      </c>
      <c r="E1300" s="172" t="s">
        <v>422</v>
      </c>
      <c r="F1300" s="172" t="s">
        <v>421</v>
      </c>
      <c r="G1300" s="173" t="s">
        <v>1636</v>
      </c>
      <c r="H1300" s="172">
        <v>21.7</v>
      </c>
      <c r="J1300" s="173"/>
      <c r="K1300" s="170" t="s">
        <v>1308</v>
      </c>
    </row>
    <row r="1301" ht="15.75" hidden="1" customHeight="1">
      <c r="A1301" s="235">
        <v>46185.0</v>
      </c>
      <c r="B1301" s="172" t="s">
        <v>69</v>
      </c>
      <c r="C1301" s="172">
        <v>34.0</v>
      </c>
      <c r="D1301" s="179">
        <v>1.0</v>
      </c>
      <c r="E1301" s="172" t="s">
        <v>422</v>
      </c>
      <c r="F1301" s="172" t="s">
        <v>421</v>
      </c>
      <c r="G1301" s="173" t="s">
        <v>1564</v>
      </c>
      <c r="H1301" s="172">
        <v>19.0</v>
      </c>
      <c r="J1301" s="173"/>
      <c r="K1301" s="170" t="s">
        <v>1308</v>
      </c>
    </row>
    <row r="1302" ht="15.75" hidden="1" customHeight="1">
      <c r="A1302" s="235">
        <v>46185.0</v>
      </c>
      <c r="B1302" s="172" t="s">
        <v>69</v>
      </c>
      <c r="C1302" s="172">
        <v>34.0</v>
      </c>
      <c r="D1302" s="179">
        <v>1.0</v>
      </c>
      <c r="E1302" s="172" t="s">
        <v>411</v>
      </c>
      <c r="F1302" s="172" t="s">
        <v>410</v>
      </c>
      <c r="G1302" s="173" t="s">
        <v>1637</v>
      </c>
      <c r="H1302" s="172">
        <v>20.0</v>
      </c>
      <c r="J1302" s="173"/>
      <c r="K1302" s="170" t="s">
        <v>1308</v>
      </c>
    </row>
    <row r="1303" ht="15.75" hidden="1" customHeight="1">
      <c r="A1303" s="235">
        <v>46185.0</v>
      </c>
      <c r="B1303" s="172" t="s">
        <v>52</v>
      </c>
      <c r="C1303" s="172">
        <v>34.0</v>
      </c>
      <c r="D1303" s="179">
        <v>1.0</v>
      </c>
      <c r="E1303" s="172" t="s">
        <v>411</v>
      </c>
      <c r="F1303" s="172" t="s">
        <v>410</v>
      </c>
      <c r="G1303" s="173" t="s">
        <v>1638</v>
      </c>
      <c r="H1303" s="172">
        <v>24.1</v>
      </c>
      <c r="J1303" s="173"/>
      <c r="K1303" s="170" t="s">
        <v>1308</v>
      </c>
    </row>
    <row r="1304" ht="15.75" hidden="1" customHeight="1">
      <c r="A1304" s="235">
        <v>46185.0</v>
      </c>
      <c r="B1304" s="172" t="s">
        <v>69</v>
      </c>
      <c r="C1304" s="172">
        <v>34.0</v>
      </c>
      <c r="D1304" s="179">
        <v>1.0</v>
      </c>
      <c r="E1304" s="172" t="s">
        <v>411</v>
      </c>
      <c r="F1304" s="172" t="s">
        <v>410</v>
      </c>
      <c r="G1304" s="173" t="s">
        <v>1638</v>
      </c>
      <c r="H1304" s="172">
        <v>24.1</v>
      </c>
      <c r="J1304" s="173"/>
      <c r="K1304" s="170" t="s">
        <v>1308</v>
      </c>
    </row>
    <row r="1305" ht="15.75" hidden="1" customHeight="1">
      <c r="A1305" s="235">
        <v>46185.0</v>
      </c>
      <c r="B1305" s="172" t="s">
        <v>71</v>
      </c>
      <c r="C1305" s="172">
        <v>36.0</v>
      </c>
      <c r="D1305" s="179">
        <v>1.0</v>
      </c>
      <c r="E1305" s="172" t="s">
        <v>422</v>
      </c>
      <c r="F1305" s="172" t="s">
        <v>421</v>
      </c>
      <c r="G1305" s="173" t="s">
        <v>1639</v>
      </c>
      <c r="H1305" s="172">
        <v>21.0</v>
      </c>
      <c r="J1305" s="173"/>
      <c r="K1305" s="170" t="s">
        <v>1308</v>
      </c>
    </row>
    <row r="1306" ht="15.75" hidden="1" customHeight="1">
      <c r="A1306" s="251">
        <v>46186.0</v>
      </c>
      <c r="B1306" s="172" t="s">
        <v>50</v>
      </c>
      <c r="C1306" s="172">
        <v>36.0</v>
      </c>
      <c r="D1306" s="179">
        <v>1.0</v>
      </c>
      <c r="E1306" s="172" t="s">
        <v>422</v>
      </c>
      <c r="F1306" s="172" t="s">
        <v>421</v>
      </c>
      <c r="G1306" s="173" t="s">
        <v>1640</v>
      </c>
      <c r="H1306" s="172">
        <v>22.7</v>
      </c>
      <c r="J1306" s="173"/>
      <c r="K1306" s="170" t="s">
        <v>1308</v>
      </c>
    </row>
    <row r="1307" ht="15.75" hidden="1" customHeight="1">
      <c r="A1307" s="235">
        <v>46186.0</v>
      </c>
      <c r="B1307" s="172" t="s">
        <v>45</v>
      </c>
      <c r="C1307" s="172">
        <v>36.0</v>
      </c>
      <c r="D1307" s="179">
        <v>1.0</v>
      </c>
      <c r="E1307" s="172" t="s">
        <v>411</v>
      </c>
      <c r="F1307" s="172" t="s">
        <v>410</v>
      </c>
      <c r="G1307" s="173" t="s">
        <v>1641</v>
      </c>
      <c r="H1307" s="172">
        <v>20.0</v>
      </c>
      <c r="J1307" s="173"/>
      <c r="K1307" s="170" t="s">
        <v>1308</v>
      </c>
    </row>
    <row r="1308" ht="15.75" hidden="1" customHeight="1">
      <c r="A1308" s="233">
        <v>46187.0</v>
      </c>
      <c r="B1308" s="172" t="s">
        <v>45</v>
      </c>
      <c r="C1308" s="172">
        <v>32.0</v>
      </c>
      <c r="D1308" s="179">
        <v>1.0</v>
      </c>
      <c r="E1308" s="172" t="s">
        <v>411</v>
      </c>
      <c r="F1308" s="172" t="s">
        <v>428</v>
      </c>
      <c r="G1308" s="173" t="s">
        <v>1642</v>
      </c>
      <c r="H1308" s="172">
        <v>23.5</v>
      </c>
      <c r="J1308" s="173"/>
      <c r="K1308" s="170" t="s">
        <v>1308</v>
      </c>
    </row>
    <row r="1309" ht="15.75" hidden="1" customHeight="1">
      <c r="A1309" s="235">
        <v>46187.0</v>
      </c>
      <c r="B1309" s="172" t="s">
        <v>71</v>
      </c>
      <c r="C1309" s="172">
        <v>36.0</v>
      </c>
      <c r="D1309" s="179">
        <v>1.0</v>
      </c>
      <c r="E1309" s="172" t="s">
        <v>422</v>
      </c>
      <c r="F1309" s="172" t="s">
        <v>421</v>
      </c>
      <c r="G1309" s="173" t="s">
        <v>1643</v>
      </c>
      <c r="H1309" s="172">
        <v>20.0</v>
      </c>
      <c r="J1309" s="173"/>
      <c r="K1309" s="170" t="s">
        <v>1308</v>
      </c>
    </row>
    <row r="1310" ht="15.75" hidden="1" customHeight="1">
      <c r="A1310" s="235">
        <v>46187.0</v>
      </c>
      <c r="B1310" s="172" t="s">
        <v>94</v>
      </c>
      <c r="C1310" s="172">
        <v>32.0</v>
      </c>
      <c r="D1310" s="179">
        <v>1.0</v>
      </c>
      <c r="E1310" s="172" t="s">
        <v>411</v>
      </c>
      <c r="F1310" s="172" t="s">
        <v>416</v>
      </c>
      <c r="G1310" s="173" t="s">
        <v>1644</v>
      </c>
      <c r="H1310" s="172">
        <v>25.0</v>
      </c>
      <c r="J1310" s="173"/>
      <c r="K1310" s="170" t="s">
        <v>1308</v>
      </c>
    </row>
    <row r="1311" ht="15.75" hidden="1" customHeight="1">
      <c r="A1311" s="251">
        <v>46188.0</v>
      </c>
      <c r="B1311" s="172" t="s">
        <v>51</v>
      </c>
      <c r="C1311" s="172">
        <v>32.0</v>
      </c>
      <c r="D1311" s="179">
        <v>1.0</v>
      </c>
      <c r="E1311" s="172" t="s">
        <v>411</v>
      </c>
      <c r="F1311" s="172" t="s">
        <v>428</v>
      </c>
      <c r="G1311" s="173" t="s">
        <v>1645</v>
      </c>
      <c r="H1311" s="172">
        <v>28.0</v>
      </c>
      <c r="J1311" s="173"/>
      <c r="K1311" s="170" t="s">
        <v>1308</v>
      </c>
    </row>
    <row r="1312" ht="15.75" hidden="1" customHeight="1">
      <c r="A1312" s="252">
        <v>46188.0</v>
      </c>
      <c r="B1312" s="172" t="s">
        <v>69</v>
      </c>
      <c r="C1312" s="172">
        <v>34.0</v>
      </c>
      <c r="D1312" s="179">
        <v>1.0</v>
      </c>
      <c r="E1312" s="172" t="s">
        <v>411</v>
      </c>
      <c r="F1312" s="172" t="s">
        <v>416</v>
      </c>
      <c r="G1312" s="173" t="s">
        <v>1646</v>
      </c>
      <c r="H1312" s="172">
        <v>20.0</v>
      </c>
      <c r="J1312" s="173"/>
      <c r="K1312" s="170" t="s">
        <v>1308</v>
      </c>
    </row>
    <row r="1313" ht="15.75" hidden="1" customHeight="1">
      <c r="A1313" s="246">
        <v>46190.0</v>
      </c>
      <c r="B1313" s="182" t="s">
        <v>51</v>
      </c>
      <c r="C1313" s="182">
        <v>36.0</v>
      </c>
      <c r="D1313" s="340">
        <v>1.0</v>
      </c>
      <c r="E1313" s="182" t="s">
        <v>411</v>
      </c>
      <c r="F1313" s="182" t="s">
        <v>416</v>
      </c>
      <c r="G1313" s="184" t="s">
        <v>1647</v>
      </c>
      <c r="H1313" s="182">
        <v>10.0</v>
      </c>
      <c r="I1313" s="184" t="s">
        <v>1648</v>
      </c>
      <c r="J1313" s="173"/>
      <c r="K1313" s="170" t="s">
        <v>1308</v>
      </c>
    </row>
    <row r="1314" ht="15.75" hidden="1" customHeight="1">
      <c r="A1314" s="252">
        <v>46190.0</v>
      </c>
      <c r="B1314" s="172" t="s">
        <v>69</v>
      </c>
      <c r="C1314" s="172">
        <v>32.0</v>
      </c>
      <c r="D1314" s="179">
        <v>1.0</v>
      </c>
      <c r="E1314" s="172" t="s">
        <v>411</v>
      </c>
      <c r="F1314" s="172" t="s">
        <v>428</v>
      </c>
      <c r="G1314" s="173" t="s">
        <v>1649</v>
      </c>
      <c r="H1314" s="182">
        <v>0.0</v>
      </c>
      <c r="J1314" s="173"/>
      <c r="K1314" s="170" t="s">
        <v>1308</v>
      </c>
    </row>
    <row r="1315" ht="15.75" hidden="1" customHeight="1">
      <c r="A1315" s="252">
        <v>46190.0</v>
      </c>
      <c r="B1315" s="172" t="s">
        <v>71</v>
      </c>
      <c r="C1315" s="172">
        <v>34.0</v>
      </c>
      <c r="D1315" s="179">
        <v>1.0</v>
      </c>
      <c r="E1315" s="172" t="s">
        <v>411</v>
      </c>
      <c r="F1315" s="172" t="s">
        <v>410</v>
      </c>
      <c r="G1315" s="173" t="s">
        <v>1650</v>
      </c>
      <c r="H1315" s="172">
        <v>18.0</v>
      </c>
      <c r="J1315" s="173"/>
      <c r="K1315" s="170" t="s">
        <v>1308</v>
      </c>
    </row>
    <row r="1316" ht="15.75" hidden="1" customHeight="1">
      <c r="A1316" s="252">
        <v>46190.0</v>
      </c>
      <c r="B1316" s="172" t="s">
        <v>63</v>
      </c>
      <c r="C1316" s="172">
        <v>36.0</v>
      </c>
      <c r="D1316" s="179">
        <v>1.0</v>
      </c>
      <c r="E1316" s="172" t="s">
        <v>411</v>
      </c>
      <c r="F1316" s="172" t="s">
        <v>410</v>
      </c>
      <c r="G1316" s="173" t="s">
        <v>1651</v>
      </c>
      <c r="H1316" s="172">
        <v>18.0</v>
      </c>
      <c r="J1316" s="173"/>
      <c r="K1316" s="170" t="s">
        <v>1308</v>
      </c>
    </row>
    <row r="1317" ht="15.75" hidden="1" customHeight="1">
      <c r="A1317" s="252">
        <v>46190.0</v>
      </c>
      <c r="B1317" s="172" t="s">
        <v>51</v>
      </c>
      <c r="C1317" s="172">
        <v>34.0</v>
      </c>
      <c r="D1317" s="179">
        <v>1.0</v>
      </c>
      <c r="E1317" s="172" t="s">
        <v>411</v>
      </c>
      <c r="F1317" s="172" t="s">
        <v>416</v>
      </c>
      <c r="G1317" s="173" t="s">
        <v>1652</v>
      </c>
      <c r="H1317" s="172">
        <v>20.0</v>
      </c>
      <c r="I1317" s="173">
        <v>1.09</v>
      </c>
      <c r="J1317" s="173"/>
      <c r="K1317" s="170" t="s">
        <v>1308</v>
      </c>
    </row>
    <row r="1318" ht="15.75" hidden="1" customHeight="1">
      <c r="A1318" s="252">
        <v>46190.0</v>
      </c>
      <c r="B1318" s="172" t="s">
        <v>51</v>
      </c>
      <c r="C1318" s="172">
        <v>34.0</v>
      </c>
      <c r="D1318" s="179">
        <v>1.0</v>
      </c>
      <c r="E1318" s="172" t="s">
        <v>441</v>
      </c>
      <c r="F1318" s="172" t="s">
        <v>441</v>
      </c>
      <c r="G1318" s="173" t="s">
        <v>1653</v>
      </c>
      <c r="H1318" s="172">
        <v>20.0</v>
      </c>
      <c r="J1318" s="173"/>
      <c r="K1318" s="170" t="s">
        <v>1308</v>
      </c>
    </row>
    <row r="1319" ht="15.75" hidden="1" customHeight="1">
      <c r="A1319" s="252">
        <v>46190.0</v>
      </c>
      <c r="B1319" s="172" t="s">
        <v>71</v>
      </c>
      <c r="C1319" s="172">
        <v>36.0</v>
      </c>
      <c r="D1319" s="179">
        <v>1.0</v>
      </c>
      <c r="E1319" s="172" t="s">
        <v>411</v>
      </c>
      <c r="F1319" s="172" t="s">
        <v>416</v>
      </c>
      <c r="G1319" s="173" t="s">
        <v>1651</v>
      </c>
      <c r="H1319" s="172">
        <v>18.5</v>
      </c>
      <c r="J1319" s="173"/>
      <c r="K1319" s="170" t="s">
        <v>1308</v>
      </c>
    </row>
    <row r="1320" ht="15.75" hidden="1" customHeight="1">
      <c r="A1320" s="235">
        <v>46190.0</v>
      </c>
      <c r="B1320" s="172" t="s">
        <v>52</v>
      </c>
      <c r="C1320" s="172">
        <v>34.0</v>
      </c>
      <c r="D1320" s="179">
        <v>1.0</v>
      </c>
      <c r="E1320" s="172" t="s">
        <v>39</v>
      </c>
      <c r="F1320" s="172" t="s">
        <v>382</v>
      </c>
      <c r="G1320" s="173" t="s">
        <v>1654</v>
      </c>
      <c r="H1320" s="172">
        <v>10.4</v>
      </c>
      <c r="I1320" s="173" t="s">
        <v>1655</v>
      </c>
      <c r="J1320" s="173"/>
      <c r="K1320" s="170" t="s">
        <v>1308</v>
      </c>
    </row>
    <row r="1321" ht="15.75" hidden="1" customHeight="1">
      <c r="A1321" s="235">
        <v>46190.0</v>
      </c>
      <c r="B1321" s="172" t="s">
        <v>69</v>
      </c>
      <c r="C1321" s="172">
        <v>34.0</v>
      </c>
      <c r="D1321" s="179">
        <v>1.0</v>
      </c>
      <c r="E1321" s="172" t="s">
        <v>39</v>
      </c>
      <c r="F1321" s="172" t="s">
        <v>382</v>
      </c>
      <c r="G1321" s="173" t="s">
        <v>1654</v>
      </c>
      <c r="H1321" s="172">
        <v>10.4</v>
      </c>
      <c r="I1321" s="173" t="s">
        <v>1655</v>
      </c>
      <c r="J1321" s="173"/>
      <c r="K1321" s="170" t="s">
        <v>1308</v>
      </c>
    </row>
    <row r="1322" ht="15.75" hidden="1" customHeight="1">
      <c r="A1322" s="235">
        <v>46190.0</v>
      </c>
      <c r="B1322" s="172" t="s">
        <v>50</v>
      </c>
      <c r="C1322" s="172">
        <v>36.0</v>
      </c>
      <c r="D1322" s="179">
        <v>1.0</v>
      </c>
      <c r="E1322" s="172" t="s">
        <v>411</v>
      </c>
      <c r="F1322" s="172" t="s">
        <v>410</v>
      </c>
      <c r="G1322" s="173" t="s">
        <v>1656</v>
      </c>
      <c r="H1322" s="172">
        <v>18.5</v>
      </c>
      <c r="J1322" s="173"/>
      <c r="K1322" s="170" t="s">
        <v>1308</v>
      </c>
    </row>
    <row r="1323" ht="15.75" hidden="1" customHeight="1">
      <c r="A1323" s="233">
        <v>46191.0</v>
      </c>
      <c r="B1323" s="172" t="s">
        <v>69</v>
      </c>
      <c r="C1323" s="172">
        <v>36.0</v>
      </c>
      <c r="D1323" s="179">
        <v>1.0</v>
      </c>
      <c r="E1323" s="172" t="s">
        <v>39</v>
      </c>
      <c r="F1323" s="172" t="s">
        <v>366</v>
      </c>
      <c r="G1323" s="173" t="s">
        <v>1657</v>
      </c>
      <c r="H1323" s="172">
        <v>20.0</v>
      </c>
      <c r="J1323" s="173"/>
      <c r="K1323" s="170" t="s">
        <v>1308</v>
      </c>
    </row>
    <row r="1324" ht="15.75" hidden="1" customHeight="1">
      <c r="A1324" s="252">
        <v>46191.0</v>
      </c>
      <c r="B1324" s="172" t="s">
        <v>52</v>
      </c>
      <c r="C1324" s="172">
        <v>36.0</v>
      </c>
      <c r="D1324" s="179">
        <v>1.0</v>
      </c>
      <c r="E1324" s="172" t="s">
        <v>411</v>
      </c>
      <c r="F1324" s="172" t="s">
        <v>416</v>
      </c>
      <c r="G1324" s="173" t="s">
        <v>1658</v>
      </c>
      <c r="H1324" s="172">
        <v>22.0</v>
      </c>
      <c r="I1324" s="173">
        <v>1.09</v>
      </c>
      <c r="J1324" s="173"/>
      <c r="K1324" s="170" t="s">
        <v>1308</v>
      </c>
    </row>
    <row r="1325" ht="15.75" hidden="1" customHeight="1">
      <c r="A1325" s="235">
        <v>46191.0</v>
      </c>
      <c r="B1325" s="172" t="s">
        <v>45</v>
      </c>
      <c r="C1325" s="172">
        <v>34.0</v>
      </c>
      <c r="D1325" s="179">
        <v>1.0</v>
      </c>
      <c r="E1325" s="172" t="s">
        <v>39</v>
      </c>
      <c r="F1325" s="172" t="s">
        <v>382</v>
      </c>
      <c r="G1325" s="173" t="s">
        <v>1659</v>
      </c>
      <c r="H1325" s="172">
        <v>18.0</v>
      </c>
      <c r="J1325" s="173"/>
      <c r="K1325" s="170" t="s">
        <v>1308</v>
      </c>
    </row>
    <row r="1326" ht="15.75" hidden="1" customHeight="1">
      <c r="A1326" s="235">
        <v>46191.0</v>
      </c>
      <c r="B1326" s="172" t="s">
        <v>52</v>
      </c>
      <c r="C1326" s="172">
        <v>36.0</v>
      </c>
      <c r="D1326" s="179">
        <v>1.0</v>
      </c>
      <c r="E1326" s="172" t="s">
        <v>39</v>
      </c>
      <c r="F1326" s="172" t="s">
        <v>382</v>
      </c>
      <c r="G1326" s="173" t="s">
        <v>1659</v>
      </c>
      <c r="H1326" s="172">
        <v>18.0</v>
      </c>
      <c r="J1326" s="173"/>
      <c r="K1326" s="170" t="s">
        <v>1308</v>
      </c>
    </row>
    <row r="1327" ht="15.75" hidden="1" customHeight="1">
      <c r="A1327" s="235">
        <v>46191.0</v>
      </c>
      <c r="B1327" s="172" t="s">
        <v>53</v>
      </c>
      <c r="C1327" s="172">
        <v>36.0</v>
      </c>
      <c r="D1327" s="179">
        <v>1.0</v>
      </c>
      <c r="E1327" s="172" t="s">
        <v>39</v>
      </c>
      <c r="F1327" s="172" t="s">
        <v>382</v>
      </c>
      <c r="G1327" s="173" t="s">
        <v>1659</v>
      </c>
      <c r="H1327" s="172">
        <v>18.0</v>
      </c>
      <c r="J1327" s="173"/>
      <c r="K1327" s="170" t="s">
        <v>1308</v>
      </c>
    </row>
    <row r="1328" ht="15.75" hidden="1" customHeight="1">
      <c r="A1328" s="235">
        <v>46191.0</v>
      </c>
      <c r="B1328" s="172" t="s">
        <v>50</v>
      </c>
      <c r="C1328" s="172">
        <v>36.0</v>
      </c>
      <c r="D1328" s="179">
        <v>1.0</v>
      </c>
      <c r="E1328" s="172" t="s">
        <v>39</v>
      </c>
      <c r="F1328" s="172" t="s">
        <v>382</v>
      </c>
      <c r="G1328" s="173" t="s">
        <v>1659</v>
      </c>
      <c r="H1328" s="172">
        <v>18.0</v>
      </c>
      <c r="J1328" s="173"/>
      <c r="K1328" s="170" t="s">
        <v>1308</v>
      </c>
    </row>
    <row r="1329" ht="15.75" hidden="1" customHeight="1">
      <c r="A1329" s="235">
        <v>46191.0</v>
      </c>
      <c r="B1329" s="172" t="s">
        <v>69</v>
      </c>
      <c r="C1329" s="172">
        <v>36.0</v>
      </c>
      <c r="D1329" s="179">
        <v>1.0</v>
      </c>
      <c r="E1329" s="172" t="s">
        <v>39</v>
      </c>
      <c r="F1329" s="172" t="s">
        <v>382</v>
      </c>
      <c r="G1329" s="173" t="s">
        <v>1659</v>
      </c>
      <c r="H1329" s="172">
        <v>18.0</v>
      </c>
      <c r="J1329" s="173"/>
      <c r="K1329" s="170" t="s">
        <v>1308</v>
      </c>
    </row>
    <row r="1330" ht="15.75" hidden="1" customHeight="1">
      <c r="A1330" s="235">
        <v>46191.0</v>
      </c>
      <c r="B1330" s="172" t="s">
        <v>69</v>
      </c>
      <c r="C1330" s="172">
        <v>34.0</v>
      </c>
      <c r="D1330" s="179">
        <v>1.0</v>
      </c>
      <c r="E1330" s="172" t="s">
        <v>422</v>
      </c>
      <c r="F1330" s="172" t="s">
        <v>421</v>
      </c>
      <c r="G1330" s="173" t="s">
        <v>1660</v>
      </c>
      <c r="H1330" s="172">
        <v>18.5</v>
      </c>
      <c r="J1330" s="173"/>
      <c r="K1330" s="170" t="s">
        <v>1308</v>
      </c>
    </row>
    <row r="1331" ht="15.75" hidden="1" customHeight="1">
      <c r="A1331" s="235">
        <v>46191.0</v>
      </c>
      <c r="B1331" s="172" t="s">
        <v>52</v>
      </c>
      <c r="C1331" s="172">
        <v>32.0</v>
      </c>
      <c r="D1331" s="179">
        <v>1.0</v>
      </c>
      <c r="E1331" s="172" t="s">
        <v>411</v>
      </c>
      <c r="F1331" s="172" t="s">
        <v>416</v>
      </c>
      <c r="G1331" s="173" t="s">
        <v>1661</v>
      </c>
      <c r="H1331" s="172">
        <v>20.0</v>
      </c>
      <c r="I1331" s="173">
        <v>1.09</v>
      </c>
      <c r="J1331" s="173"/>
      <c r="K1331" s="170" t="s">
        <v>1308</v>
      </c>
    </row>
    <row r="1332" ht="15.75" hidden="1" customHeight="1">
      <c r="A1332" s="235">
        <v>46191.0</v>
      </c>
      <c r="B1332" s="172" t="s">
        <v>45</v>
      </c>
      <c r="C1332" s="172">
        <v>32.0</v>
      </c>
      <c r="D1332" s="179">
        <v>1.0</v>
      </c>
      <c r="E1332" s="172" t="s">
        <v>411</v>
      </c>
      <c r="F1332" s="172" t="s">
        <v>416</v>
      </c>
      <c r="G1332" s="173" t="s">
        <v>1661</v>
      </c>
      <c r="H1332" s="172">
        <v>20.0</v>
      </c>
      <c r="I1332" s="173">
        <v>1.09</v>
      </c>
      <c r="J1332" s="173"/>
      <c r="K1332" s="170" t="s">
        <v>1308</v>
      </c>
    </row>
    <row r="1333" ht="15.75" hidden="1" customHeight="1">
      <c r="A1333" s="235">
        <v>46191.0</v>
      </c>
      <c r="B1333" s="172" t="s">
        <v>71</v>
      </c>
      <c r="C1333" s="172">
        <v>34.0</v>
      </c>
      <c r="D1333" s="179">
        <v>1.0</v>
      </c>
      <c r="E1333" s="172" t="s">
        <v>441</v>
      </c>
      <c r="F1333" s="172" t="s">
        <v>441</v>
      </c>
      <c r="G1333" s="173" t="s">
        <v>1662</v>
      </c>
      <c r="H1333" s="172">
        <v>20.0</v>
      </c>
      <c r="J1333" s="173"/>
      <c r="K1333" s="170" t="s">
        <v>1308</v>
      </c>
    </row>
    <row r="1334" ht="15.75" hidden="1" customHeight="1">
      <c r="A1334" s="235">
        <v>46191.0</v>
      </c>
      <c r="B1334" s="172" t="s">
        <v>51</v>
      </c>
      <c r="C1334" s="172">
        <v>32.0</v>
      </c>
      <c r="D1334" s="179">
        <v>1.0</v>
      </c>
      <c r="E1334" s="172" t="s">
        <v>411</v>
      </c>
      <c r="F1334" s="172" t="s">
        <v>428</v>
      </c>
      <c r="G1334" s="173" t="s">
        <v>1663</v>
      </c>
      <c r="H1334" s="172">
        <v>18.0</v>
      </c>
      <c r="J1334" s="173"/>
      <c r="K1334" s="170" t="s">
        <v>1308</v>
      </c>
    </row>
    <row r="1335" ht="15.75" hidden="1" customHeight="1">
      <c r="A1335" s="235">
        <v>46191.0</v>
      </c>
      <c r="B1335" s="172" t="s">
        <v>52</v>
      </c>
      <c r="C1335" s="172">
        <v>32.0</v>
      </c>
      <c r="D1335" s="179">
        <v>1.0</v>
      </c>
      <c r="E1335" s="172" t="s">
        <v>39</v>
      </c>
      <c r="F1335" s="172" t="s">
        <v>366</v>
      </c>
      <c r="G1335" s="173" t="s">
        <v>1664</v>
      </c>
      <c r="H1335" s="172">
        <v>18.0</v>
      </c>
      <c r="J1335" s="173"/>
      <c r="K1335" s="170" t="s">
        <v>1308</v>
      </c>
    </row>
    <row r="1336" ht="15.75" hidden="1" customHeight="1">
      <c r="A1336" s="235">
        <v>46191.0</v>
      </c>
      <c r="B1336" s="172" t="s">
        <v>45</v>
      </c>
      <c r="C1336" s="172">
        <v>32.0</v>
      </c>
      <c r="D1336" s="179">
        <v>1.0</v>
      </c>
      <c r="E1336" s="172" t="s">
        <v>39</v>
      </c>
      <c r="F1336" s="172" t="s">
        <v>382</v>
      </c>
      <c r="G1336" s="173" t="s">
        <v>1665</v>
      </c>
      <c r="H1336" s="172">
        <v>19.0</v>
      </c>
      <c r="J1336" s="173"/>
      <c r="K1336" s="170" t="s">
        <v>1308</v>
      </c>
    </row>
    <row r="1337" ht="15.75" hidden="1" customHeight="1">
      <c r="A1337" s="235">
        <v>46191.0</v>
      </c>
      <c r="B1337" s="172" t="s">
        <v>52</v>
      </c>
      <c r="C1337" s="172">
        <v>32.0</v>
      </c>
      <c r="D1337" s="179">
        <v>1.0</v>
      </c>
      <c r="E1337" s="172" t="s">
        <v>39</v>
      </c>
      <c r="F1337" s="172" t="s">
        <v>382</v>
      </c>
      <c r="G1337" s="173" t="s">
        <v>1665</v>
      </c>
      <c r="H1337" s="172">
        <v>19.0</v>
      </c>
      <c r="J1337" s="173"/>
      <c r="K1337" s="170" t="s">
        <v>1308</v>
      </c>
    </row>
    <row r="1338" ht="15.75" hidden="1" customHeight="1">
      <c r="A1338" s="335">
        <v>46191.0</v>
      </c>
      <c r="B1338" s="172" t="s">
        <v>53</v>
      </c>
      <c r="C1338" s="172">
        <v>32.0</v>
      </c>
      <c r="D1338" s="179">
        <v>1.0</v>
      </c>
      <c r="E1338" s="172" t="s">
        <v>39</v>
      </c>
      <c r="F1338" s="172" t="s">
        <v>382</v>
      </c>
      <c r="G1338" s="173" t="s">
        <v>1665</v>
      </c>
      <c r="H1338" s="172">
        <v>19.0</v>
      </c>
      <c r="J1338" s="173"/>
      <c r="K1338" s="170" t="s">
        <v>1308</v>
      </c>
    </row>
    <row r="1339" ht="15.75" hidden="1" customHeight="1">
      <c r="A1339" s="335">
        <v>46191.0</v>
      </c>
      <c r="B1339" s="172" t="s">
        <v>69</v>
      </c>
      <c r="C1339" s="172">
        <v>32.0</v>
      </c>
      <c r="D1339" s="179">
        <v>1.0</v>
      </c>
      <c r="E1339" s="172" t="s">
        <v>39</v>
      </c>
      <c r="F1339" s="172" t="s">
        <v>382</v>
      </c>
      <c r="G1339" s="173" t="s">
        <v>1665</v>
      </c>
      <c r="H1339" s="172">
        <v>19.0</v>
      </c>
      <c r="J1339" s="173"/>
      <c r="K1339" s="170" t="s">
        <v>1308</v>
      </c>
    </row>
    <row r="1340" ht="15.75" hidden="1" customHeight="1">
      <c r="A1340" s="335">
        <v>46191.0</v>
      </c>
      <c r="B1340" s="172" t="s">
        <v>63</v>
      </c>
      <c r="C1340" s="172">
        <v>32.0</v>
      </c>
      <c r="D1340" s="179">
        <v>1.0</v>
      </c>
      <c r="E1340" s="172" t="s">
        <v>411</v>
      </c>
      <c r="F1340" s="172" t="s">
        <v>410</v>
      </c>
      <c r="G1340" s="173" t="s">
        <v>1666</v>
      </c>
      <c r="H1340" s="172">
        <v>18.0</v>
      </c>
      <c r="J1340" s="173"/>
      <c r="K1340" s="170" t="s">
        <v>1308</v>
      </c>
    </row>
    <row r="1341" ht="15.75" hidden="1" customHeight="1">
      <c r="A1341" s="335">
        <v>46191.0</v>
      </c>
      <c r="B1341" s="172" t="s">
        <v>52</v>
      </c>
      <c r="C1341" s="172">
        <v>36.0</v>
      </c>
      <c r="D1341" s="179">
        <v>1.0</v>
      </c>
      <c r="E1341" s="172" t="s">
        <v>441</v>
      </c>
      <c r="F1341" s="172" t="s">
        <v>465</v>
      </c>
      <c r="G1341" s="173" t="s">
        <v>1667</v>
      </c>
      <c r="H1341" s="172">
        <v>18.4</v>
      </c>
      <c r="J1341" s="173"/>
      <c r="K1341" s="170" t="s">
        <v>1308</v>
      </c>
    </row>
    <row r="1342" ht="15.75" hidden="1" customHeight="1">
      <c r="A1342" s="335">
        <v>46191.0</v>
      </c>
      <c r="B1342" s="172" t="s">
        <v>51</v>
      </c>
      <c r="C1342" s="172">
        <v>34.0</v>
      </c>
      <c r="D1342" s="179">
        <v>1.0</v>
      </c>
      <c r="E1342" s="172" t="s">
        <v>441</v>
      </c>
      <c r="F1342" s="172" t="s">
        <v>459</v>
      </c>
      <c r="G1342" s="173" t="s">
        <v>1668</v>
      </c>
      <c r="H1342" s="172">
        <v>19.0</v>
      </c>
      <c r="J1342" s="173"/>
      <c r="K1342" s="170" t="s">
        <v>1308</v>
      </c>
    </row>
    <row r="1343" ht="15.75" hidden="1" customHeight="1">
      <c r="A1343" s="335">
        <v>46191.0</v>
      </c>
      <c r="B1343" s="172" t="s">
        <v>52</v>
      </c>
      <c r="C1343" s="172">
        <v>32.0</v>
      </c>
      <c r="D1343" s="179">
        <v>1.0</v>
      </c>
      <c r="E1343" s="172" t="s">
        <v>411</v>
      </c>
      <c r="F1343" s="172" t="s">
        <v>410</v>
      </c>
      <c r="G1343" s="173" t="s">
        <v>1669</v>
      </c>
      <c r="H1343" s="172">
        <v>20.0</v>
      </c>
      <c r="J1343" s="173"/>
      <c r="K1343" s="170" t="s">
        <v>1308</v>
      </c>
    </row>
    <row r="1344" ht="15.75" hidden="1" customHeight="1">
      <c r="A1344" s="235">
        <v>46191.0</v>
      </c>
      <c r="B1344" s="172" t="s">
        <v>45</v>
      </c>
      <c r="C1344" s="172">
        <v>36.0</v>
      </c>
      <c r="D1344" s="179">
        <v>1.0</v>
      </c>
      <c r="E1344" s="172" t="s">
        <v>39</v>
      </c>
      <c r="F1344" s="172" t="s">
        <v>366</v>
      </c>
      <c r="G1344" s="173" t="s">
        <v>1670</v>
      </c>
      <c r="H1344" s="172">
        <v>19.0</v>
      </c>
      <c r="J1344" s="173"/>
      <c r="K1344" s="170" t="s">
        <v>1308</v>
      </c>
    </row>
    <row r="1345" ht="15.75" hidden="1" customHeight="1">
      <c r="A1345" s="251">
        <v>46192.0</v>
      </c>
      <c r="B1345" s="172" t="s">
        <v>51</v>
      </c>
      <c r="C1345" s="172">
        <v>34.0</v>
      </c>
      <c r="D1345" s="179">
        <v>1.0</v>
      </c>
      <c r="E1345" s="172" t="s">
        <v>441</v>
      </c>
      <c r="F1345" s="172" t="s">
        <v>465</v>
      </c>
      <c r="G1345" s="173" t="s">
        <v>1671</v>
      </c>
      <c r="H1345" s="172">
        <v>23.0</v>
      </c>
      <c r="J1345" s="173"/>
      <c r="K1345" s="170" t="s">
        <v>1308</v>
      </c>
    </row>
    <row r="1346" ht="15.75" hidden="1" customHeight="1">
      <c r="A1346" s="235">
        <v>46192.0</v>
      </c>
      <c r="B1346" s="172" t="s">
        <v>45</v>
      </c>
      <c r="C1346" s="172">
        <v>32.0</v>
      </c>
      <c r="D1346" s="179">
        <v>1.0</v>
      </c>
      <c r="E1346" s="172" t="s">
        <v>422</v>
      </c>
      <c r="F1346" s="172" t="s">
        <v>421</v>
      </c>
      <c r="G1346" s="173" t="s">
        <v>1672</v>
      </c>
      <c r="H1346" s="172">
        <v>18.5</v>
      </c>
      <c r="J1346" s="173"/>
      <c r="K1346" s="170" t="s">
        <v>1308</v>
      </c>
    </row>
    <row r="1347" ht="15.75" hidden="1" customHeight="1">
      <c r="A1347" s="235">
        <v>46192.0</v>
      </c>
      <c r="B1347" s="172" t="s">
        <v>71</v>
      </c>
      <c r="C1347" s="172">
        <v>36.0</v>
      </c>
      <c r="D1347" s="179">
        <v>1.0</v>
      </c>
      <c r="E1347" s="172" t="s">
        <v>411</v>
      </c>
      <c r="F1347" s="172" t="s">
        <v>416</v>
      </c>
      <c r="G1347" s="173" t="s">
        <v>1673</v>
      </c>
      <c r="H1347" s="172">
        <v>20.0</v>
      </c>
      <c r="J1347" s="173"/>
      <c r="K1347" s="170" t="s">
        <v>1308</v>
      </c>
    </row>
    <row r="1348" ht="15.75" hidden="1" customHeight="1">
      <c r="A1348" s="235">
        <v>46192.0</v>
      </c>
      <c r="B1348" s="172" t="s">
        <v>71</v>
      </c>
      <c r="C1348" s="172">
        <v>34.0</v>
      </c>
      <c r="D1348" s="179">
        <v>1.0</v>
      </c>
      <c r="E1348" s="172" t="s">
        <v>411</v>
      </c>
      <c r="F1348" s="172" t="s">
        <v>410</v>
      </c>
      <c r="G1348" s="173" t="s">
        <v>1674</v>
      </c>
      <c r="H1348" s="172">
        <v>19.0</v>
      </c>
      <c r="J1348" s="173"/>
      <c r="K1348" s="170" t="s">
        <v>1308</v>
      </c>
    </row>
    <row r="1349" ht="15.75" hidden="1" customHeight="1">
      <c r="A1349" s="235">
        <v>46192.0</v>
      </c>
      <c r="B1349" s="172" t="s">
        <v>45</v>
      </c>
      <c r="C1349" s="172">
        <v>36.0</v>
      </c>
      <c r="D1349" s="179">
        <v>1.0</v>
      </c>
      <c r="E1349" s="172" t="s">
        <v>411</v>
      </c>
      <c r="F1349" s="172" t="s">
        <v>410</v>
      </c>
      <c r="G1349" s="173" t="s">
        <v>1675</v>
      </c>
      <c r="H1349" s="172">
        <v>20.75</v>
      </c>
      <c r="I1349" s="173" t="s">
        <v>1676</v>
      </c>
      <c r="J1349" s="173"/>
      <c r="K1349" s="170" t="s">
        <v>1308</v>
      </c>
    </row>
    <row r="1350" ht="15.75" hidden="1" customHeight="1">
      <c r="A1350" s="235">
        <v>46192.0</v>
      </c>
      <c r="B1350" s="172" t="s">
        <v>52</v>
      </c>
      <c r="C1350" s="172">
        <v>32.0</v>
      </c>
      <c r="D1350" s="179">
        <v>1.0</v>
      </c>
      <c r="E1350" s="172" t="s">
        <v>411</v>
      </c>
      <c r="F1350" s="172" t="s">
        <v>428</v>
      </c>
      <c r="G1350" s="173" t="s">
        <v>1677</v>
      </c>
      <c r="H1350" s="172">
        <v>24.5</v>
      </c>
      <c r="I1350" s="173" t="s">
        <v>1676</v>
      </c>
      <c r="J1350" s="173"/>
      <c r="K1350" s="170" t="s">
        <v>1308</v>
      </c>
    </row>
    <row r="1351" ht="15.75" hidden="1" customHeight="1">
      <c r="A1351" s="235">
        <v>46192.0</v>
      </c>
      <c r="B1351" s="172" t="s">
        <v>69</v>
      </c>
      <c r="C1351" s="172">
        <v>34.0</v>
      </c>
      <c r="D1351" s="179">
        <v>1.0</v>
      </c>
      <c r="E1351" s="172" t="s">
        <v>411</v>
      </c>
      <c r="F1351" s="172" t="s">
        <v>410</v>
      </c>
      <c r="G1351" s="173" t="s">
        <v>1678</v>
      </c>
      <c r="H1351" s="353">
        <v>0.0</v>
      </c>
      <c r="I1351" s="173" t="s">
        <v>1679</v>
      </c>
      <c r="J1351" s="173"/>
      <c r="K1351" s="170" t="s">
        <v>1308</v>
      </c>
    </row>
    <row r="1352" ht="15.75" hidden="1" customHeight="1">
      <c r="A1352" s="235">
        <v>46192.0</v>
      </c>
      <c r="B1352" s="172" t="s">
        <v>52</v>
      </c>
      <c r="C1352" s="172">
        <v>32.0</v>
      </c>
      <c r="D1352" s="179">
        <v>1.0</v>
      </c>
      <c r="E1352" s="172" t="s">
        <v>39</v>
      </c>
      <c r="F1352" s="172" t="s">
        <v>366</v>
      </c>
      <c r="G1352" s="173" t="s">
        <v>1680</v>
      </c>
      <c r="H1352" s="172">
        <v>22.0</v>
      </c>
      <c r="J1352" s="173"/>
      <c r="K1352" s="170" t="s">
        <v>1308</v>
      </c>
    </row>
    <row r="1353" ht="15.75" hidden="1" customHeight="1">
      <c r="A1353" s="235">
        <v>46192.0</v>
      </c>
      <c r="B1353" s="172" t="s">
        <v>52</v>
      </c>
      <c r="C1353" s="172">
        <v>36.0</v>
      </c>
      <c r="D1353" s="179">
        <v>1.0</v>
      </c>
      <c r="E1353" s="172" t="s">
        <v>441</v>
      </c>
      <c r="F1353" s="354" t="s">
        <v>465</v>
      </c>
      <c r="G1353" s="173" t="s">
        <v>1681</v>
      </c>
      <c r="H1353" s="172">
        <v>19.0</v>
      </c>
      <c r="J1353" s="173"/>
      <c r="K1353" s="170" t="s">
        <v>1308</v>
      </c>
    </row>
    <row r="1354" ht="15.75" hidden="1" customHeight="1">
      <c r="A1354" s="235">
        <v>46192.0</v>
      </c>
      <c r="B1354" s="172" t="s">
        <v>71</v>
      </c>
      <c r="C1354" s="172">
        <v>34.0</v>
      </c>
      <c r="D1354" s="179">
        <v>1.0</v>
      </c>
      <c r="E1354" s="172" t="s">
        <v>411</v>
      </c>
      <c r="F1354" s="172" t="s">
        <v>410</v>
      </c>
      <c r="G1354" s="173" t="s">
        <v>1682</v>
      </c>
      <c r="H1354" s="172">
        <v>22.55</v>
      </c>
      <c r="J1354" s="173"/>
      <c r="K1354" s="170" t="s">
        <v>1308</v>
      </c>
    </row>
    <row r="1355" ht="15.75" hidden="1" customHeight="1">
      <c r="A1355" s="235">
        <v>46192.0</v>
      </c>
      <c r="B1355" s="172" t="s">
        <v>63</v>
      </c>
      <c r="C1355" s="172">
        <v>36.0</v>
      </c>
      <c r="D1355" s="179">
        <v>1.0</v>
      </c>
      <c r="E1355" s="172" t="s">
        <v>411</v>
      </c>
      <c r="F1355" s="172" t="s">
        <v>428</v>
      </c>
      <c r="G1355" s="173" t="s">
        <v>1683</v>
      </c>
      <c r="H1355" s="172">
        <v>19.4</v>
      </c>
      <c r="J1355" s="173"/>
      <c r="K1355" s="170" t="s">
        <v>1308</v>
      </c>
    </row>
    <row r="1356" ht="15.75" hidden="1" customHeight="1">
      <c r="A1356" s="235">
        <v>46192.0</v>
      </c>
      <c r="B1356" s="172" t="s">
        <v>51</v>
      </c>
      <c r="C1356" s="172">
        <v>36.0</v>
      </c>
      <c r="D1356" s="179">
        <v>1.0</v>
      </c>
      <c r="E1356" s="172" t="s">
        <v>39</v>
      </c>
      <c r="F1356" s="172" t="s">
        <v>366</v>
      </c>
      <c r="G1356" s="173" t="s">
        <v>1684</v>
      </c>
      <c r="H1356" s="172">
        <v>19.0</v>
      </c>
      <c r="J1356" s="173"/>
      <c r="K1356" s="170" t="s">
        <v>1308</v>
      </c>
    </row>
    <row r="1357" ht="15.75" hidden="1" customHeight="1">
      <c r="A1357" s="235">
        <v>46192.0</v>
      </c>
      <c r="B1357" s="172" t="s">
        <v>71</v>
      </c>
      <c r="C1357" s="172">
        <v>36.0</v>
      </c>
      <c r="D1357" s="179">
        <v>1.0</v>
      </c>
      <c r="E1357" s="172" t="s">
        <v>39</v>
      </c>
      <c r="F1357" s="172" t="s">
        <v>366</v>
      </c>
      <c r="G1357" s="173" t="s">
        <v>1684</v>
      </c>
      <c r="H1357" s="172">
        <v>19.0</v>
      </c>
      <c r="J1357" s="173"/>
      <c r="K1357" s="170" t="s">
        <v>1308</v>
      </c>
    </row>
    <row r="1358" ht="15.75" hidden="1" customHeight="1">
      <c r="A1358" s="235">
        <v>46192.0</v>
      </c>
      <c r="B1358" s="172" t="s">
        <v>71</v>
      </c>
      <c r="C1358" s="172">
        <v>34.0</v>
      </c>
      <c r="D1358" s="179">
        <v>1.0</v>
      </c>
      <c r="E1358" s="172" t="s">
        <v>39</v>
      </c>
      <c r="F1358" s="172" t="s">
        <v>372</v>
      </c>
      <c r="G1358" s="173" t="s">
        <v>1685</v>
      </c>
      <c r="H1358" s="172">
        <v>20.0</v>
      </c>
      <c r="J1358" s="173"/>
      <c r="K1358" s="170" t="s">
        <v>1308</v>
      </c>
    </row>
    <row r="1359" ht="15.75" hidden="1" customHeight="1">
      <c r="A1359" s="235">
        <v>46192.0</v>
      </c>
      <c r="B1359" s="172" t="s">
        <v>52</v>
      </c>
      <c r="C1359" s="172">
        <v>36.0</v>
      </c>
      <c r="D1359" s="179">
        <v>1.0</v>
      </c>
      <c r="E1359" s="172" t="s">
        <v>441</v>
      </c>
      <c r="F1359" s="172" t="s">
        <v>465</v>
      </c>
      <c r="G1359" s="173" t="s">
        <v>1686</v>
      </c>
      <c r="H1359" s="172">
        <v>20.0</v>
      </c>
      <c r="J1359" s="173"/>
      <c r="K1359" s="170" t="s">
        <v>1308</v>
      </c>
    </row>
    <row r="1360" ht="15.75" hidden="1" customHeight="1">
      <c r="A1360" s="251">
        <v>46193.0</v>
      </c>
      <c r="B1360" s="172" t="s">
        <v>52</v>
      </c>
      <c r="C1360" s="172">
        <v>36.0</v>
      </c>
      <c r="D1360" s="179">
        <v>1.0</v>
      </c>
      <c r="E1360" s="172" t="s">
        <v>411</v>
      </c>
      <c r="F1360" s="172" t="s">
        <v>428</v>
      </c>
      <c r="G1360" s="173" t="s">
        <v>1687</v>
      </c>
      <c r="H1360" s="172">
        <v>18.0</v>
      </c>
      <c r="J1360" s="173"/>
      <c r="K1360" s="170" t="s">
        <v>1308</v>
      </c>
    </row>
    <row r="1361" ht="15.75" hidden="1" customHeight="1">
      <c r="A1361" s="252">
        <v>46193.0</v>
      </c>
      <c r="B1361" s="172" t="s">
        <v>69</v>
      </c>
      <c r="C1361" s="172">
        <v>34.0</v>
      </c>
      <c r="D1361" s="179">
        <v>1.0</v>
      </c>
      <c r="E1361" s="172" t="s">
        <v>411</v>
      </c>
      <c r="F1361" s="172" t="s">
        <v>416</v>
      </c>
      <c r="G1361" s="173" t="s">
        <v>1688</v>
      </c>
      <c r="H1361" s="172">
        <v>19.0</v>
      </c>
      <c r="J1361" s="173"/>
      <c r="K1361" s="170" t="s">
        <v>1308</v>
      </c>
    </row>
    <row r="1362" ht="15.75" hidden="1" customHeight="1">
      <c r="A1362" s="252">
        <v>46193.0</v>
      </c>
      <c r="B1362" s="172" t="s">
        <v>51</v>
      </c>
      <c r="C1362" s="172">
        <v>36.0</v>
      </c>
      <c r="D1362" s="179">
        <v>1.0</v>
      </c>
      <c r="E1362" s="172" t="s">
        <v>411</v>
      </c>
      <c r="F1362" s="172" t="s">
        <v>416</v>
      </c>
      <c r="G1362" s="173" t="s">
        <v>1688</v>
      </c>
      <c r="H1362" s="172">
        <v>19.0</v>
      </c>
      <c r="J1362" s="173"/>
      <c r="K1362" s="170" t="s">
        <v>1308</v>
      </c>
    </row>
    <row r="1363" ht="15.75" hidden="1" customHeight="1">
      <c r="A1363" s="252">
        <v>46193.0</v>
      </c>
      <c r="B1363" s="172" t="s">
        <v>69</v>
      </c>
      <c r="C1363" s="172">
        <v>36.0</v>
      </c>
      <c r="D1363" s="179">
        <v>1.0</v>
      </c>
      <c r="E1363" s="172" t="s">
        <v>411</v>
      </c>
      <c r="F1363" s="172" t="s">
        <v>416</v>
      </c>
      <c r="G1363" s="173" t="s">
        <v>1689</v>
      </c>
      <c r="H1363" s="172">
        <v>18.0</v>
      </c>
      <c r="J1363" s="173"/>
      <c r="K1363" s="170" t="s">
        <v>1308</v>
      </c>
    </row>
    <row r="1364" ht="15.75" hidden="1" customHeight="1">
      <c r="A1364" s="252">
        <v>46193.0</v>
      </c>
      <c r="B1364" s="172" t="s">
        <v>94</v>
      </c>
      <c r="C1364" s="172">
        <v>32.0</v>
      </c>
      <c r="D1364" s="179">
        <v>1.0</v>
      </c>
      <c r="E1364" s="172" t="s">
        <v>411</v>
      </c>
      <c r="F1364" s="172" t="s">
        <v>428</v>
      </c>
      <c r="G1364" s="173" t="s">
        <v>1690</v>
      </c>
      <c r="H1364" s="172">
        <v>19.5</v>
      </c>
      <c r="J1364" s="173"/>
      <c r="K1364" s="170" t="s">
        <v>1308</v>
      </c>
    </row>
    <row r="1365" ht="15.75" hidden="1" customHeight="1">
      <c r="A1365" s="252">
        <v>46193.0</v>
      </c>
      <c r="B1365" s="172" t="s">
        <v>1114</v>
      </c>
      <c r="C1365" s="172">
        <v>32.0</v>
      </c>
      <c r="D1365" s="179">
        <v>1.0</v>
      </c>
      <c r="E1365" s="172" t="s">
        <v>411</v>
      </c>
      <c r="F1365" s="172" t="s">
        <v>428</v>
      </c>
      <c r="G1365" s="173" t="s">
        <v>1690</v>
      </c>
      <c r="H1365" s="172">
        <v>19.5</v>
      </c>
      <c r="J1365" s="173"/>
      <c r="K1365" s="170" t="s">
        <v>1308</v>
      </c>
    </row>
    <row r="1366" ht="15.75" hidden="1" customHeight="1">
      <c r="A1366" s="235">
        <v>46193.0</v>
      </c>
      <c r="B1366" s="172" t="s">
        <v>69</v>
      </c>
      <c r="C1366" s="172">
        <v>34.0</v>
      </c>
      <c r="D1366" s="179">
        <v>1.0</v>
      </c>
      <c r="E1366" s="172" t="s">
        <v>39</v>
      </c>
      <c r="F1366" s="172" t="s">
        <v>372</v>
      </c>
      <c r="G1366" s="173" t="s">
        <v>1691</v>
      </c>
      <c r="H1366" s="172">
        <v>22.3</v>
      </c>
      <c r="J1366" s="173"/>
      <c r="K1366" s="170" t="s">
        <v>1308</v>
      </c>
    </row>
    <row r="1367" ht="15.75" hidden="1" customHeight="1">
      <c r="A1367" s="235">
        <v>46193.0</v>
      </c>
      <c r="B1367" s="172" t="s">
        <v>52</v>
      </c>
      <c r="C1367" s="172">
        <v>32.0</v>
      </c>
      <c r="D1367" s="179">
        <v>1.0</v>
      </c>
      <c r="E1367" s="172" t="s">
        <v>39</v>
      </c>
      <c r="F1367" s="172" t="s">
        <v>366</v>
      </c>
      <c r="G1367" s="173" t="s">
        <v>1692</v>
      </c>
      <c r="H1367" s="172">
        <v>20.0</v>
      </c>
      <c r="J1367" s="173"/>
      <c r="K1367" s="170" t="s">
        <v>1308</v>
      </c>
    </row>
    <row r="1368" ht="15.75" hidden="1" customHeight="1">
      <c r="A1368" s="235">
        <v>46193.0</v>
      </c>
      <c r="B1368" s="172" t="s">
        <v>52</v>
      </c>
      <c r="C1368" s="172">
        <v>36.0</v>
      </c>
      <c r="D1368" s="179">
        <v>1.0</v>
      </c>
      <c r="E1368" s="172" t="s">
        <v>441</v>
      </c>
      <c r="F1368" s="172" t="s">
        <v>459</v>
      </c>
      <c r="G1368" s="173" t="s">
        <v>1693</v>
      </c>
      <c r="H1368" s="172">
        <v>18.0</v>
      </c>
      <c r="J1368" s="173"/>
      <c r="K1368" s="170" t="s">
        <v>1308</v>
      </c>
    </row>
    <row r="1369" ht="15.75" hidden="1" customHeight="1">
      <c r="A1369" s="235">
        <v>46193.0</v>
      </c>
      <c r="B1369" s="172" t="s">
        <v>51</v>
      </c>
      <c r="C1369" s="172">
        <v>32.0</v>
      </c>
      <c r="D1369" s="172">
        <v>1.0</v>
      </c>
      <c r="E1369" s="172" t="s">
        <v>411</v>
      </c>
      <c r="F1369" s="172" t="s">
        <v>428</v>
      </c>
      <c r="G1369" s="173" t="s">
        <v>1694</v>
      </c>
      <c r="H1369" s="172">
        <v>25.0</v>
      </c>
      <c r="J1369" s="173"/>
      <c r="K1369" s="170" t="s">
        <v>1308</v>
      </c>
    </row>
    <row r="1370" ht="15.75" hidden="1" customHeight="1">
      <c r="A1370" s="235">
        <v>46193.0</v>
      </c>
      <c r="B1370" s="172" t="s">
        <v>45</v>
      </c>
      <c r="C1370" s="172">
        <v>36.0</v>
      </c>
      <c r="D1370" s="179">
        <v>1.0</v>
      </c>
      <c r="E1370" s="172" t="s">
        <v>441</v>
      </c>
      <c r="F1370" s="172" t="s">
        <v>459</v>
      </c>
      <c r="G1370" s="173" t="s">
        <v>1695</v>
      </c>
      <c r="H1370" s="172">
        <v>22.0</v>
      </c>
      <c r="J1370" s="173"/>
      <c r="K1370" s="170" t="s">
        <v>1308</v>
      </c>
    </row>
    <row r="1371" ht="15.75" hidden="1" customHeight="1">
      <c r="A1371" s="235">
        <v>46193.0</v>
      </c>
      <c r="B1371" s="172" t="s">
        <v>71</v>
      </c>
      <c r="C1371" s="172">
        <v>34.0</v>
      </c>
      <c r="D1371" s="179">
        <v>1.0</v>
      </c>
      <c r="E1371" s="172" t="s">
        <v>39</v>
      </c>
      <c r="F1371" s="172" t="s">
        <v>372</v>
      </c>
      <c r="G1371" s="173" t="s">
        <v>1696</v>
      </c>
      <c r="H1371" s="172">
        <v>20.0</v>
      </c>
      <c r="J1371" s="173"/>
      <c r="K1371" s="170" t="s">
        <v>1308</v>
      </c>
    </row>
    <row r="1372" ht="15.75" hidden="1" customHeight="1">
      <c r="A1372" s="235">
        <v>46193.0</v>
      </c>
      <c r="B1372" s="172" t="s">
        <v>71</v>
      </c>
      <c r="C1372" s="172">
        <v>34.0</v>
      </c>
      <c r="D1372" s="179">
        <v>1.0</v>
      </c>
      <c r="E1372" s="172" t="s">
        <v>441</v>
      </c>
      <c r="F1372" s="172" t="s">
        <v>441</v>
      </c>
      <c r="G1372" s="173" t="s">
        <v>1697</v>
      </c>
      <c r="H1372" s="172">
        <v>20.0</v>
      </c>
      <c r="J1372" s="173"/>
      <c r="K1372" s="170" t="s">
        <v>1308</v>
      </c>
    </row>
    <row r="1373" ht="15.75" hidden="1" customHeight="1">
      <c r="A1373" s="251">
        <v>46194.0</v>
      </c>
      <c r="B1373" s="172" t="s">
        <v>71</v>
      </c>
      <c r="C1373" s="172">
        <v>34.0</v>
      </c>
      <c r="D1373" s="179">
        <v>1.0</v>
      </c>
      <c r="E1373" s="172" t="s">
        <v>39</v>
      </c>
      <c r="F1373" s="172" t="s">
        <v>372</v>
      </c>
      <c r="G1373" s="173" t="s">
        <v>1698</v>
      </c>
      <c r="H1373" s="172">
        <v>22.2</v>
      </c>
      <c r="J1373" s="173"/>
      <c r="K1373" s="170" t="s">
        <v>1308</v>
      </c>
    </row>
    <row r="1374" ht="15.75" hidden="1" customHeight="1">
      <c r="A1374" s="235">
        <v>46194.0</v>
      </c>
      <c r="B1374" s="172" t="s">
        <v>94</v>
      </c>
      <c r="C1374" s="172">
        <v>32.0</v>
      </c>
      <c r="D1374" s="179">
        <v>1.0</v>
      </c>
      <c r="E1374" s="172" t="s">
        <v>39</v>
      </c>
      <c r="F1374" s="172" t="s">
        <v>366</v>
      </c>
      <c r="G1374" s="173" t="s">
        <v>1699</v>
      </c>
      <c r="H1374" s="172">
        <v>18.5</v>
      </c>
      <c r="J1374" s="173"/>
      <c r="K1374" s="170" t="s">
        <v>1308</v>
      </c>
    </row>
    <row r="1375" ht="15.75" hidden="1" customHeight="1">
      <c r="A1375" s="235">
        <v>46194.0</v>
      </c>
      <c r="B1375" s="172" t="s">
        <v>63</v>
      </c>
      <c r="C1375" s="172">
        <v>32.0</v>
      </c>
      <c r="D1375" s="179">
        <v>1.0</v>
      </c>
      <c r="E1375" s="172" t="s">
        <v>39</v>
      </c>
      <c r="F1375" s="172" t="s">
        <v>366</v>
      </c>
      <c r="G1375" s="173" t="s">
        <v>1700</v>
      </c>
      <c r="H1375" s="172">
        <v>20.0</v>
      </c>
      <c r="J1375" s="173"/>
      <c r="K1375" s="170" t="s">
        <v>1308</v>
      </c>
    </row>
    <row r="1376" ht="15.75" hidden="1" customHeight="1">
      <c r="A1376" s="235">
        <v>46194.0</v>
      </c>
      <c r="B1376" s="172" t="s">
        <v>52</v>
      </c>
      <c r="C1376" s="172">
        <v>36.0</v>
      </c>
      <c r="D1376" s="179">
        <v>1.0</v>
      </c>
      <c r="E1376" s="172" t="s">
        <v>441</v>
      </c>
      <c r="F1376" s="172" t="s">
        <v>459</v>
      </c>
      <c r="G1376" s="173" t="s">
        <v>1701</v>
      </c>
      <c r="H1376" s="172">
        <v>22.0</v>
      </c>
      <c r="J1376" s="173"/>
      <c r="K1376" s="170" t="s">
        <v>1308</v>
      </c>
    </row>
    <row r="1377" ht="15.75" hidden="1" customHeight="1">
      <c r="A1377" s="235">
        <v>46194.0</v>
      </c>
      <c r="B1377" s="172" t="s">
        <v>69</v>
      </c>
      <c r="C1377" s="172">
        <v>34.0</v>
      </c>
      <c r="D1377" s="179">
        <v>1.0</v>
      </c>
      <c r="E1377" s="172" t="s">
        <v>422</v>
      </c>
      <c r="F1377" s="172" t="s">
        <v>421</v>
      </c>
      <c r="G1377" s="173" t="s">
        <v>1702</v>
      </c>
      <c r="H1377" s="172">
        <v>19.8</v>
      </c>
      <c r="J1377" s="173"/>
      <c r="K1377" s="170" t="s">
        <v>1308</v>
      </c>
    </row>
    <row r="1378" ht="15.75" hidden="1" customHeight="1">
      <c r="A1378" s="235">
        <v>46194.0</v>
      </c>
      <c r="B1378" s="172" t="s">
        <v>71</v>
      </c>
      <c r="C1378" s="172">
        <v>34.0</v>
      </c>
      <c r="D1378" s="172">
        <v>1.0</v>
      </c>
      <c r="E1378" s="172" t="s">
        <v>441</v>
      </c>
      <c r="F1378" s="172" t="s">
        <v>441</v>
      </c>
      <c r="G1378" s="173" t="s">
        <v>1703</v>
      </c>
      <c r="H1378" s="172">
        <v>18.0</v>
      </c>
      <c r="J1378" s="173"/>
      <c r="K1378" s="170" t="s">
        <v>1308</v>
      </c>
    </row>
    <row r="1379" ht="15.75" hidden="1" customHeight="1">
      <c r="A1379" s="251">
        <v>46195.0</v>
      </c>
      <c r="B1379" s="172" t="s">
        <v>69</v>
      </c>
      <c r="C1379" s="172">
        <v>32.0</v>
      </c>
      <c r="D1379" s="172">
        <v>1.0</v>
      </c>
      <c r="E1379" s="172" t="s">
        <v>39</v>
      </c>
      <c r="F1379" s="172" t="s">
        <v>366</v>
      </c>
      <c r="G1379" s="173" t="s">
        <v>1704</v>
      </c>
      <c r="H1379" s="172">
        <v>18.0</v>
      </c>
      <c r="J1379" s="173"/>
      <c r="K1379" s="170" t="s">
        <v>1308</v>
      </c>
    </row>
    <row r="1380" ht="15.75" hidden="1" customHeight="1">
      <c r="A1380" s="235">
        <v>46195.0</v>
      </c>
      <c r="B1380" s="172" t="s">
        <v>94</v>
      </c>
      <c r="C1380" s="172">
        <v>32.0</v>
      </c>
      <c r="D1380" s="172">
        <v>1.0</v>
      </c>
      <c r="E1380" s="172" t="s">
        <v>441</v>
      </c>
      <c r="F1380" s="172" t="s">
        <v>459</v>
      </c>
      <c r="G1380" s="173" t="s">
        <v>1705</v>
      </c>
      <c r="H1380" s="172">
        <v>18.0</v>
      </c>
      <c r="J1380" s="173"/>
      <c r="K1380" s="170" t="s">
        <v>1308</v>
      </c>
    </row>
    <row r="1381" ht="15.75" hidden="1" customHeight="1">
      <c r="A1381" s="235">
        <v>46195.0</v>
      </c>
      <c r="B1381" s="172" t="s">
        <v>69</v>
      </c>
      <c r="C1381" s="172">
        <v>34.0</v>
      </c>
      <c r="D1381" s="172">
        <v>1.0</v>
      </c>
      <c r="E1381" s="172" t="s">
        <v>39</v>
      </c>
      <c r="F1381" s="172" t="s">
        <v>372</v>
      </c>
      <c r="G1381" s="173" t="s">
        <v>1706</v>
      </c>
      <c r="H1381" s="172">
        <v>22.3</v>
      </c>
      <c r="J1381" s="173"/>
      <c r="K1381" s="170" t="s">
        <v>1308</v>
      </c>
    </row>
    <row r="1382" ht="15.75" hidden="1" customHeight="1">
      <c r="A1382" s="235">
        <v>46195.0</v>
      </c>
      <c r="B1382" s="172" t="s">
        <v>52</v>
      </c>
      <c r="C1382" s="172">
        <v>36.0</v>
      </c>
      <c r="D1382" s="172">
        <v>1.0</v>
      </c>
      <c r="E1382" s="172" t="s">
        <v>39</v>
      </c>
      <c r="F1382" s="172" t="s">
        <v>744</v>
      </c>
      <c r="G1382" s="173" t="s">
        <v>1707</v>
      </c>
      <c r="H1382" s="172">
        <v>20.2</v>
      </c>
      <c r="J1382" s="173"/>
      <c r="K1382" s="170" t="s">
        <v>1308</v>
      </c>
    </row>
    <row r="1383" ht="15.75" hidden="1" customHeight="1">
      <c r="A1383" s="235">
        <v>46195.0</v>
      </c>
      <c r="B1383" s="172" t="s">
        <v>94</v>
      </c>
      <c r="C1383" s="172">
        <v>32.0</v>
      </c>
      <c r="D1383" s="172">
        <v>1.0</v>
      </c>
      <c r="E1383" s="172" t="s">
        <v>441</v>
      </c>
      <c r="F1383" s="172" t="s">
        <v>459</v>
      </c>
      <c r="G1383" s="173" t="s">
        <v>1708</v>
      </c>
      <c r="H1383" s="172">
        <v>20.0</v>
      </c>
      <c r="J1383" s="173"/>
      <c r="K1383" s="170" t="s">
        <v>1308</v>
      </c>
    </row>
    <row r="1384" ht="15.75" hidden="1" customHeight="1">
      <c r="A1384" s="233">
        <v>46196.0</v>
      </c>
      <c r="B1384" s="172" t="s">
        <v>69</v>
      </c>
      <c r="C1384" s="172">
        <v>34.0</v>
      </c>
      <c r="D1384" s="172">
        <v>1.0</v>
      </c>
      <c r="E1384" s="172" t="s">
        <v>39</v>
      </c>
      <c r="F1384" s="172" t="s">
        <v>372</v>
      </c>
      <c r="G1384" s="173" t="s">
        <v>1709</v>
      </c>
      <c r="H1384" s="172">
        <v>19.0</v>
      </c>
      <c r="J1384" s="173"/>
      <c r="K1384" s="170" t="s">
        <v>1308</v>
      </c>
    </row>
    <row r="1385" ht="15.75" hidden="1" customHeight="1">
      <c r="A1385" s="235">
        <v>46196.0</v>
      </c>
      <c r="B1385" s="172" t="s">
        <v>94</v>
      </c>
      <c r="C1385" s="172">
        <v>32.0</v>
      </c>
      <c r="D1385" s="172">
        <v>1.0</v>
      </c>
      <c r="E1385" s="172" t="s">
        <v>39</v>
      </c>
      <c r="F1385" s="172" t="s">
        <v>366</v>
      </c>
      <c r="G1385" s="173" t="s">
        <v>1710</v>
      </c>
      <c r="H1385" s="172">
        <v>18.5</v>
      </c>
      <c r="J1385" s="173"/>
      <c r="K1385" s="170" t="s">
        <v>1308</v>
      </c>
    </row>
    <row r="1386" ht="15.75" hidden="1" customHeight="1">
      <c r="A1386" s="235">
        <v>46196.0</v>
      </c>
      <c r="B1386" s="172" t="s">
        <v>63</v>
      </c>
      <c r="C1386" s="172">
        <v>32.0</v>
      </c>
      <c r="D1386" s="172">
        <v>1.0</v>
      </c>
      <c r="E1386" s="172" t="s">
        <v>39</v>
      </c>
      <c r="F1386" s="172" t="s">
        <v>366</v>
      </c>
      <c r="G1386" s="173" t="s">
        <v>1710</v>
      </c>
      <c r="H1386" s="172">
        <v>18.5</v>
      </c>
      <c r="J1386" s="173"/>
      <c r="K1386" s="170" t="s">
        <v>1308</v>
      </c>
    </row>
    <row r="1387" ht="15.75" hidden="1" customHeight="1">
      <c r="A1387" s="235">
        <v>46196.0</v>
      </c>
      <c r="B1387" s="172" t="s">
        <v>45</v>
      </c>
      <c r="C1387" s="172">
        <v>36.0</v>
      </c>
      <c r="D1387" s="172">
        <v>1.0</v>
      </c>
      <c r="E1387" s="172" t="s">
        <v>422</v>
      </c>
      <c r="F1387" s="172" t="s">
        <v>421</v>
      </c>
      <c r="G1387" s="173" t="s">
        <v>1711</v>
      </c>
      <c r="H1387" s="172">
        <v>19.0</v>
      </c>
      <c r="J1387" s="173"/>
      <c r="K1387" s="170" t="s">
        <v>1308</v>
      </c>
    </row>
    <row r="1388" ht="15.75" hidden="1" customHeight="1">
      <c r="A1388" s="251">
        <v>46198.0</v>
      </c>
      <c r="B1388" s="172" t="s">
        <v>69</v>
      </c>
      <c r="C1388" s="172">
        <v>36.0</v>
      </c>
      <c r="D1388" s="172">
        <v>1.0</v>
      </c>
      <c r="E1388" s="172" t="s">
        <v>441</v>
      </c>
      <c r="F1388" s="172" t="s">
        <v>465</v>
      </c>
      <c r="G1388" s="173" t="s">
        <v>1712</v>
      </c>
      <c r="H1388" s="172">
        <v>18.0</v>
      </c>
      <c r="J1388" s="173"/>
      <c r="K1388" s="170" t="s">
        <v>1308</v>
      </c>
    </row>
    <row r="1389" ht="15.75" hidden="1" customHeight="1">
      <c r="A1389" s="252">
        <v>46198.0</v>
      </c>
      <c r="B1389" s="172" t="s">
        <v>69</v>
      </c>
      <c r="C1389" s="172">
        <v>36.0</v>
      </c>
      <c r="D1389" s="172">
        <v>1.0</v>
      </c>
      <c r="E1389" s="172" t="s">
        <v>441</v>
      </c>
      <c r="F1389" s="172" t="s">
        <v>465</v>
      </c>
      <c r="G1389" s="173" t="s">
        <v>1713</v>
      </c>
      <c r="H1389" s="172">
        <v>23.0</v>
      </c>
      <c r="J1389" s="173"/>
      <c r="K1389" s="170" t="s">
        <v>1308</v>
      </c>
    </row>
    <row r="1390" ht="15.75" hidden="1" customHeight="1">
      <c r="A1390" s="252">
        <v>46198.0</v>
      </c>
      <c r="B1390" s="172" t="s">
        <v>63</v>
      </c>
      <c r="C1390" s="172">
        <v>36.0</v>
      </c>
      <c r="D1390" s="172">
        <v>1.0</v>
      </c>
      <c r="E1390" s="172" t="s">
        <v>411</v>
      </c>
      <c r="F1390" s="172" t="s">
        <v>472</v>
      </c>
      <c r="G1390" s="173" t="s">
        <v>1714</v>
      </c>
      <c r="H1390" s="172">
        <v>18.0</v>
      </c>
      <c r="J1390" s="173"/>
      <c r="K1390" s="170" t="s">
        <v>1308</v>
      </c>
    </row>
    <row r="1391" ht="15.75" hidden="1" customHeight="1">
      <c r="A1391" s="252">
        <v>46198.0</v>
      </c>
      <c r="B1391" s="172" t="s">
        <v>53</v>
      </c>
      <c r="C1391" s="172">
        <v>34.0</v>
      </c>
      <c r="D1391" s="172">
        <v>1.0</v>
      </c>
      <c r="E1391" s="172" t="s">
        <v>453</v>
      </c>
      <c r="F1391" s="172" t="s">
        <v>482</v>
      </c>
      <c r="G1391" s="173" t="s">
        <v>1579</v>
      </c>
      <c r="H1391" s="172">
        <v>0.0</v>
      </c>
      <c r="J1391" s="173"/>
      <c r="K1391" s="170" t="s">
        <v>1308</v>
      </c>
    </row>
    <row r="1392" ht="15.75" hidden="1" customHeight="1">
      <c r="A1392" s="235">
        <v>46198.0</v>
      </c>
      <c r="B1392" s="172" t="s">
        <v>69</v>
      </c>
      <c r="C1392" s="172">
        <v>34.0</v>
      </c>
      <c r="D1392" s="172">
        <v>1.0</v>
      </c>
      <c r="E1392" s="172" t="s">
        <v>39</v>
      </c>
      <c r="F1392" s="172" t="s">
        <v>372</v>
      </c>
      <c r="G1392" s="173" t="s">
        <v>1715</v>
      </c>
      <c r="H1392" s="172">
        <v>20.0</v>
      </c>
      <c r="J1392" s="173"/>
      <c r="K1392" s="170" t="s">
        <v>1308</v>
      </c>
    </row>
    <row r="1393" ht="15.75" hidden="1" customHeight="1">
      <c r="A1393" s="235">
        <v>46198.0</v>
      </c>
      <c r="B1393" s="172" t="s">
        <v>53</v>
      </c>
      <c r="C1393" s="172">
        <v>36.0</v>
      </c>
      <c r="D1393" s="172">
        <v>1.0</v>
      </c>
      <c r="E1393" s="172" t="s">
        <v>422</v>
      </c>
      <c r="F1393" s="172" t="s">
        <v>421</v>
      </c>
      <c r="G1393" s="173" t="s">
        <v>1716</v>
      </c>
      <c r="H1393" s="172">
        <v>20.0</v>
      </c>
      <c r="J1393" s="173"/>
      <c r="K1393" s="170" t="s">
        <v>1308</v>
      </c>
    </row>
    <row r="1394" ht="15.75" hidden="1" customHeight="1">
      <c r="A1394" s="251">
        <v>46199.0</v>
      </c>
      <c r="B1394" s="172" t="s">
        <v>94</v>
      </c>
      <c r="C1394" s="172">
        <v>32.0</v>
      </c>
      <c r="D1394" s="172">
        <v>1.0</v>
      </c>
      <c r="E1394" s="172" t="s">
        <v>39</v>
      </c>
      <c r="F1394" s="172" t="s">
        <v>382</v>
      </c>
      <c r="G1394" s="173" t="s">
        <v>1717</v>
      </c>
      <c r="H1394" s="172">
        <v>16.0</v>
      </c>
      <c r="J1394" s="173"/>
      <c r="K1394" s="170" t="s">
        <v>1308</v>
      </c>
    </row>
    <row r="1395" ht="15.75" hidden="1" customHeight="1">
      <c r="A1395" s="235">
        <v>46199.0</v>
      </c>
      <c r="B1395" s="172" t="s">
        <v>63</v>
      </c>
      <c r="C1395" s="172">
        <v>32.0</v>
      </c>
      <c r="D1395" s="172">
        <v>1.0</v>
      </c>
      <c r="E1395" s="172" t="s">
        <v>39</v>
      </c>
      <c r="F1395" s="172" t="s">
        <v>382</v>
      </c>
      <c r="G1395" s="173" t="s">
        <v>1717</v>
      </c>
      <c r="H1395" s="172">
        <v>16.0</v>
      </c>
      <c r="J1395" s="173"/>
      <c r="K1395" s="170" t="s">
        <v>1308</v>
      </c>
    </row>
    <row r="1396" ht="15.75" hidden="1" customHeight="1">
      <c r="A1396" s="235">
        <v>46199.0</v>
      </c>
      <c r="B1396" s="172" t="s">
        <v>51</v>
      </c>
      <c r="C1396" s="172">
        <v>32.0</v>
      </c>
      <c r="D1396" s="172">
        <v>1.0</v>
      </c>
      <c r="E1396" s="172" t="s">
        <v>39</v>
      </c>
      <c r="F1396" s="172" t="s">
        <v>382</v>
      </c>
      <c r="G1396" s="173" t="s">
        <v>1717</v>
      </c>
      <c r="H1396" s="172">
        <v>16.0</v>
      </c>
      <c r="J1396" s="173"/>
      <c r="K1396" s="170" t="s">
        <v>1308</v>
      </c>
    </row>
    <row r="1397" ht="15.75" hidden="1" customHeight="1">
      <c r="A1397" s="235">
        <v>46199.0</v>
      </c>
      <c r="B1397" s="172" t="s">
        <v>69</v>
      </c>
      <c r="C1397" s="172">
        <v>34.0</v>
      </c>
      <c r="D1397" s="172">
        <v>1.0</v>
      </c>
      <c r="E1397" s="172" t="s">
        <v>39</v>
      </c>
      <c r="F1397" s="172" t="s">
        <v>372</v>
      </c>
      <c r="G1397" s="173" t="s">
        <v>1718</v>
      </c>
      <c r="H1397" s="172">
        <v>20.0</v>
      </c>
      <c r="J1397" s="173"/>
      <c r="K1397" s="170" t="s">
        <v>1308</v>
      </c>
    </row>
    <row r="1398" ht="15.75" hidden="1" customHeight="1">
      <c r="A1398" s="251">
        <v>46200.0</v>
      </c>
      <c r="B1398" s="172" t="s">
        <v>69</v>
      </c>
      <c r="C1398" s="172">
        <v>36.0</v>
      </c>
      <c r="D1398" s="172">
        <v>1.0</v>
      </c>
      <c r="E1398" s="172" t="s">
        <v>441</v>
      </c>
      <c r="F1398" s="172" t="s">
        <v>465</v>
      </c>
      <c r="G1398" s="173" t="s">
        <v>1719</v>
      </c>
      <c r="H1398" s="172">
        <v>23.0</v>
      </c>
      <c r="J1398" s="173"/>
      <c r="K1398" s="170" t="s">
        <v>1308</v>
      </c>
    </row>
    <row r="1399" ht="15.75" hidden="1" customHeight="1">
      <c r="A1399" s="235">
        <v>46200.0</v>
      </c>
      <c r="B1399" s="172" t="s">
        <v>63</v>
      </c>
      <c r="C1399" s="172">
        <v>32.0</v>
      </c>
      <c r="D1399" s="172">
        <v>1.0</v>
      </c>
      <c r="E1399" s="172" t="s">
        <v>39</v>
      </c>
      <c r="F1399" s="172" t="s">
        <v>366</v>
      </c>
      <c r="G1399" s="173" t="s">
        <v>1720</v>
      </c>
      <c r="H1399" s="172">
        <v>20.0</v>
      </c>
      <c r="J1399" s="173"/>
      <c r="K1399" s="170" t="s">
        <v>1308</v>
      </c>
    </row>
    <row r="1400" ht="15.75" hidden="1" customHeight="1">
      <c r="A1400" s="235">
        <v>46200.0</v>
      </c>
      <c r="B1400" s="172" t="s">
        <v>45</v>
      </c>
      <c r="C1400" s="172">
        <v>32.0</v>
      </c>
      <c r="D1400" s="172">
        <v>1.0</v>
      </c>
      <c r="E1400" s="172" t="s">
        <v>39</v>
      </c>
      <c r="F1400" s="172" t="s">
        <v>744</v>
      </c>
      <c r="G1400" s="173" t="s">
        <v>1721</v>
      </c>
      <c r="H1400" s="172">
        <v>18.5</v>
      </c>
      <c r="J1400" s="173"/>
      <c r="K1400" s="170" t="s">
        <v>1308</v>
      </c>
    </row>
    <row r="1401" ht="15.75" hidden="1" customHeight="1">
      <c r="A1401" s="355">
        <v>46201.0</v>
      </c>
      <c r="B1401" s="172" t="s">
        <v>53</v>
      </c>
      <c r="C1401" s="172">
        <v>34.0</v>
      </c>
      <c r="D1401" s="172">
        <v>1.0</v>
      </c>
      <c r="E1401" s="172" t="s">
        <v>422</v>
      </c>
      <c r="F1401" s="172" t="s">
        <v>421</v>
      </c>
      <c r="G1401" s="173" t="s">
        <v>1722</v>
      </c>
      <c r="H1401" s="172">
        <v>20.0</v>
      </c>
      <c r="J1401" s="173"/>
      <c r="K1401" s="170" t="s">
        <v>1308</v>
      </c>
    </row>
    <row r="1402" ht="15.75" hidden="1" customHeight="1">
      <c r="A1402" s="341">
        <v>46201.0</v>
      </c>
      <c r="B1402" s="172" t="s">
        <v>94</v>
      </c>
      <c r="C1402" s="172">
        <v>32.0</v>
      </c>
      <c r="D1402" s="172">
        <v>1.0</v>
      </c>
      <c r="E1402" s="172" t="s">
        <v>441</v>
      </c>
      <c r="F1402" s="172" t="s">
        <v>459</v>
      </c>
      <c r="G1402" s="173" t="s">
        <v>1723</v>
      </c>
      <c r="H1402" s="172">
        <v>20.0</v>
      </c>
      <c r="J1402" s="173"/>
      <c r="K1402" s="170" t="s">
        <v>1308</v>
      </c>
    </row>
    <row r="1403" ht="15.75" hidden="1" customHeight="1">
      <c r="A1403" s="235">
        <v>46202.0</v>
      </c>
      <c r="B1403" s="172" t="s">
        <v>94</v>
      </c>
      <c r="C1403" s="172">
        <v>32.0</v>
      </c>
      <c r="D1403" s="172">
        <v>1.0</v>
      </c>
      <c r="E1403" s="172" t="s">
        <v>39</v>
      </c>
      <c r="F1403" s="172" t="s">
        <v>366</v>
      </c>
      <c r="G1403" s="173" t="s">
        <v>1724</v>
      </c>
      <c r="H1403" s="172">
        <v>18.0</v>
      </c>
      <c r="J1403" s="173"/>
      <c r="K1403" s="170" t="s">
        <v>1308</v>
      </c>
    </row>
    <row r="1404" ht="15.75" hidden="1" customHeight="1">
      <c r="A1404" s="235">
        <v>46202.0</v>
      </c>
      <c r="B1404" s="172" t="s">
        <v>71</v>
      </c>
      <c r="C1404" s="172">
        <v>32.0</v>
      </c>
      <c r="D1404" s="172">
        <v>1.0</v>
      </c>
      <c r="E1404" s="172" t="s">
        <v>39</v>
      </c>
      <c r="F1404" s="172" t="s">
        <v>366</v>
      </c>
      <c r="G1404" s="173" t="s">
        <v>1725</v>
      </c>
      <c r="H1404" s="172">
        <v>18.5</v>
      </c>
      <c r="J1404" s="173"/>
      <c r="K1404" s="170" t="s">
        <v>1308</v>
      </c>
    </row>
    <row r="1405" ht="15.75" hidden="1" customHeight="1">
      <c r="A1405" s="251">
        <v>46203.0</v>
      </c>
      <c r="B1405" s="172" t="s">
        <v>69</v>
      </c>
      <c r="C1405" s="172">
        <v>32.0</v>
      </c>
      <c r="D1405" s="172">
        <v>1.0</v>
      </c>
      <c r="E1405" s="172" t="s">
        <v>441</v>
      </c>
      <c r="F1405" s="172" t="s">
        <v>459</v>
      </c>
      <c r="G1405" s="173" t="s">
        <v>1726</v>
      </c>
      <c r="H1405" s="172">
        <v>19.0</v>
      </c>
      <c r="J1405" s="173"/>
      <c r="K1405" s="170" t="s">
        <v>1308</v>
      </c>
    </row>
    <row r="1406" ht="15.75" customHeight="1">
      <c r="A1406" s="350"/>
      <c r="B1406" s="351"/>
      <c r="C1406" s="351"/>
      <c r="D1406" s="351"/>
      <c r="E1406" s="351"/>
      <c r="F1406" s="351" t="s">
        <v>1727</v>
      </c>
      <c r="G1406" s="351"/>
      <c r="H1406" s="351"/>
      <c r="I1406" s="351"/>
      <c r="J1406" s="351"/>
      <c r="K1406" s="352"/>
      <c r="L1406" s="352"/>
      <c r="M1406" s="352"/>
      <c r="N1406" s="352"/>
      <c r="O1406" s="352"/>
      <c r="P1406" s="352"/>
      <c r="Q1406" s="352"/>
      <c r="R1406" s="352"/>
      <c r="S1406" s="352"/>
      <c r="T1406" s="352"/>
      <c r="U1406" s="352"/>
      <c r="V1406" s="352"/>
      <c r="W1406" s="352"/>
      <c r="X1406" s="352"/>
      <c r="Y1406" s="352"/>
      <c r="Z1406" s="352"/>
      <c r="AA1406" s="352"/>
      <c r="AB1406" s="352"/>
      <c r="AC1406" s="352"/>
      <c r="AD1406" s="352"/>
      <c r="AE1406" s="352"/>
      <c r="AF1406" s="352"/>
      <c r="AG1406" s="352"/>
      <c r="AH1406" s="352"/>
    </row>
    <row r="1407" ht="15.75" customHeight="1">
      <c r="A1407" s="246">
        <v>46204.0</v>
      </c>
      <c r="B1407" s="182" t="s">
        <v>63</v>
      </c>
      <c r="C1407" s="182">
        <v>36.0</v>
      </c>
      <c r="D1407" s="182">
        <v>1.0</v>
      </c>
      <c r="E1407" s="182" t="s">
        <v>453</v>
      </c>
      <c r="F1407" s="182" t="s">
        <v>482</v>
      </c>
      <c r="G1407" s="184" t="s">
        <v>1728</v>
      </c>
      <c r="H1407" s="182">
        <v>0.0</v>
      </c>
      <c r="J1407" s="173"/>
      <c r="K1407" s="170" t="s">
        <v>1308</v>
      </c>
    </row>
    <row r="1408" ht="15.75" customHeight="1">
      <c r="A1408" s="251">
        <v>46205.0</v>
      </c>
      <c r="B1408" s="172" t="s">
        <v>69</v>
      </c>
      <c r="C1408" s="172">
        <v>34.0</v>
      </c>
      <c r="D1408" s="172">
        <v>1.0</v>
      </c>
      <c r="E1408" s="172" t="s">
        <v>422</v>
      </c>
      <c r="F1408" s="172" t="s">
        <v>421</v>
      </c>
      <c r="G1408" s="173" t="s">
        <v>1729</v>
      </c>
      <c r="H1408" s="172">
        <v>18.0</v>
      </c>
      <c r="J1408" s="173"/>
      <c r="K1408" s="170" t="s">
        <v>1308</v>
      </c>
    </row>
    <row r="1409" ht="15.75" customHeight="1">
      <c r="A1409" s="251">
        <v>46206.0</v>
      </c>
      <c r="B1409" s="172" t="s">
        <v>1114</v>
      </c>
      <c r="C1409" s="172">
        <v>32.0</v>
      </c>
      <c r="D1409" s="172">
        <v>1.0</v>
      </c>
      <c r="E1409" s="172" t="s">
        <v>441</v>
      </c>
      <c r="F1409" s="172" t="s">
        <v>465</v>
      </c>
      <c r="G1409" s="173" t="s">
        <v>1730</v>
      </c>
      <c r="H1409" s="172">
        <v>23.4</v>
      </c>
      <c r="J1409" s="173"/>
      <c r="K1409" s="170" t="s">
        <v>1308</v>
      </c>
    </row>
    <row r="1410" ht="15.75" customHeight="1">
      <c r="A1410" s="251">
        <v>46207.0</v>
      </c>
      <c r="B1410" s="172" t="s">
        <v>69</v>
      </c>
      <c r="C1410" s="172">
        <v>32.0</v>
      </c>
      <c r="D1410" s="172">
        <v>1.0</v>
      </c>
      <c r="E1410" s="172" t="s">
        <v>441</v>
      </c>
      <c r="F1410" s="172" t="s">
        <v>459</v>
      </c>
      <c r="G1410" s="173" t="s">
        <v>1731</v>
      </c>
      <c r="H1410" s="172">
        <v>20.0</v>
      </c>
      <c r="J1410" s="173"/>
      <c r="K1410" s="170" t="s">
        <v>1308</v>
      </c>
    </row>
    <row r="1411" ht="15.75" customHeight="1">
      <c r="A1411" s="252">
        <v>46207.0</v>
      </c>
      <c r="B1411" s="172" t="s">
        <v>69</v>
      </c>
      <c r="C1411" s="172">
        <v>32.0</v>
      </c>
      <c r="D1411" s="172">
        <v>1.0</v>
      </c>
      <c r="E1411" s="172" t="s">
        <v>441</v>
      </c>
      <c r="F1411" s="172" t="s">
        <v>459</v>
      </c>
      <c r="G1411" s="173" t="s">
        <v>1732</v>
      </c>
      <c r="H1411" s="172">
        <v>23.0</v>
      </c>
      <c r="J1411" s="173"/>
      <c r="K1411" s="170" t="s">
        <v>1308</v>
      </c>
    </row>
    <row r="1412" ht="15.75" customHeight="1">
      <c r="A1412" s="317">
        <v>46209.0</v>
      </c>
      <c r="B1412" s="172" t="s">
        <v>69</v>
      </c>
      <c r="C1412" s="172">
        <v>36.0</v>
      </c>
      <c r="D1412" s="172">
        <v>1.0</v>
      </c>
      <c r="E1412" s="172" t="s">
        <v>411</v>
      </c>
      <c r="F1412" s="172" t="s">
        <v>472</v>
      </c>
      <c r="G1412" s="173" t="s">
        <v>1733</v>
      </c>
      <c r="H1412" s="172">
        <v>23.0</v>
      </c>
      <c r="J1412" s="173"/>
      <c r="K1412" s="170" t="s">
        <v>1308</v>
      </c>
    </row>
    <row r="1413" ht="15.75" customHeight="1">
      <c r="A1413" s="252">
        <v>46209.0</v>
      </c>
      <c r="B1413" s="172" t="s">
        <v>69</v>
      </c>
      <c r="C1413" s="172">
        <v>32.0</v>
      </c>
      <c r="D1413" s="172">
        <v>1.0</v>
      </c>
      <c r="E1413" s="172" t="s">
        <v>411</v>
      </c>
      <c r="F1413" s="172" t="s">
        <v>472</v>
      </c>
      <c r="G1413" s="173" t="s">
        <v>1734</v>
      </c>
      <c r="H1413" s="172">
        <v>19.2</v>
      </c>
      <c r="J1413" s="173"/>
      <c r="K1413" s="170" t="s">
        <v>1308</v>
      </c>
    </row>
    <row r="1414" ht="15.75" customHeight="1">
      <c r="A1414" s="251">
        <v>46211.0</v>
      </c>
      <c r="B1414" s="172" t="s">
        <v>135</v>
      </c>
      <c r="C1414" s="172">
        <v>32.0</v>
      </c>
      <c r="D1414" s="172">
        <v>1.0</v>
      </c>
      <c r="E1414" s="172" t="s">
        <v>39</v>
      </c>
      <c r="F1414" s="172" t="s">
        <v>372</v>
      </c>
      <c r="G1414" s="173" t="s">
        <v>1735</v>
      </c>
      <c r="H1414" s="172">
        <v>18.0</v>
      </c>
      <c r="J1414" s="173"/>
      <c r="K1414" s="170" t="s">
        <v>1308</v>
      </c>
    </row>
    <row r="1415" ht="15.75" customHeight="1">
      <c r="A1415" s="246">
        <v>46211.0</v>
      </c>
      <c r="B1415" s="182" t="s">
        <v>135</v>
      </c>
      <c r="C1415" s="182">
        <v>32.0</v>
      </c>
      <c r="D1415" s="182">
        <v>1.0</v>
      </c>
      <c r="E1415" s="182" t="s">
        <v>39</v>
      </c>
      <c r="F1415" s="182" t="s">
        <v>366</v>
      </c>
      <c r="G1415" s="184" t="s">
        <v>1736</v>
      </c>
      <c r="H1415" s="182">
        <v>0.0</v>
      </c>
      <c r="J1415" s="173"/>
      <c r="K1415" s="170" t="s">
        <v>1308</v>
      </c>
    </row>
    <row r="1416" ht="15.75" customHeight="1">
      <c r="A1416" s="235">
        <v>46211.0</v>
      </c>
      <c r="B1416" s="172" t="s">
        <v>45</v>
      </c>
      <c r="C1416" s="172">
        <v>36.0</v>
      </c>
      <c r="D1416" s="172">
        <v>1.0</v>
      </c>
      <c r="E1416" s="172" t="s">
        <v>39</v>
      </c>
      <c r="F1416" s="172" t="s">
        <v>372</v>
      </c>
      <c r="G1416" s="173" t="s">
        <v>1737</v>
      </c>
      <c r="H1416" s="172">
        <v>17.5</v>
      </c>
      <c r="J1416" s="173"/>
      <c r="K1416" s="170" t="s">
        <v>1308</v>
      </c>
    </row>
    <row r="1417" ht="15.75" customHeight="1">
      <c r="A1417" s="235">
        <v>46211.0</v>
      </c>
      <c r="B1417" s="172" t="s">
        <v>50</v>
      </c>
      <c r="C1417" s="172">
        <v>36.0</v>
      </c>
      <c r="D1417" s="172">
        <v>1.0</v>
      </c>
      <c r="E1417" s="172" t="s">
        <v>39</v>
      </c>
      <c r="F1417" s="172" t="s">
        <v>372</v>
      </c>
      <c r="G1417" s="173" t="s">
        <v>1737</v>
      </c>
      <c r="H1417" s="172">
        <v>17.5</v>
      </c>
      <c r="J1417" s="173"/>
      <c r="K1417" s="170" t="s">
        <v>1308</v>
      </c>
    </row>
    <row r="1418" ht="15.75" customHeight="1">
      <c r="A1418" s="235">
        <v>46211.0</v>
      </c>
      <c r="B1418" s="172" t="s">
        <v>125</v>
      </c>
      <c r="C1418" s="172">
        <v>34.0</v>
      </c>
      <c r="D1418" s="172">
        <v>1.0</v>
      </c>
      <c r="E1418" s="172" t="s">
        <v>453</v>
      </c>
      <c r="F1418" s="172" t="s">
        <v>486</v>
      </c>
      <c r="G1418" s="173" t="s">
        <v>1738</v>
      </c>
      <c r="H1418" s="172">
        <v>18.5</v>
      </c>
      <c r="J1418" s="173"/>
      <c r="K1418" s="170" t="s">
        <v>1308</v>
      </c>
    </row>
    <row r="1419" ht="15.75" customHeight="1">
      <c r="A1419" s="251">
        <v>46212.0</v>
      </c>
      <c r="B1419" s="172" t="s">
        <v>125</v>
      </c>
      <c r="C1419" s="172">
        <v>34.0</v>
      </c>
      <c r="D1419" s="172">
        <v>1.0</v>
      </c>
      <c r="E1419" s="172" t="s">
        <v>39</v>
      </c>
      <c r="F1419" s="172" t="s">
        <v>372</v>
      </c>
      <c r="G1419" s="173" t="s">
        <v>1739</v>
      </c>
      <c r="H1419" s="172">
        <v>24.1</v>
      </c>
      <c r="J1419" s="173"/>
      <c r="K1419" s="170" t="s">
        <v>1308</v>
      </c>
    </row>
    <row r="1420" ht="15.75" customHeight="1">
      <c r="A1420" s="235">
        <v>46212.0</v>
      </c>
      <c r="B1420" s="172" t="s">
        <v>135</v>
      </c>
      <c r="C1420" s="172">
        <v>34.0</v>
      </c>
      <c r="D1420" s="172">
        <v>1.0</v>
      </c>
      <c r="E1420" s="172" t="s">
        <v>39</v>
      </c>
      <c r="F1420" s="172" t="s">
        <v>366</v>
      </c>
      <c r="G1420" s="173" t="s">
        <v>1740</v>
      </c>
      <c r="H1420" s="172">
        <v>20.0</v>
      </c>
      <c r="J1420" s="173"/>
      <c r="K1420" s="170" t="s">
        <v>1308</v>
      </c>
    </row>
    <row r="1421" ht="15.75" customHeight="1">
      <c r="A1421" s="235">
        <v>46212.0</v>
      </c>
      <c r="B1421" s="172" t="s">
        <v>125</v>
      </c>
      <c r="C1421" s="172">
        <v>34.0</v>
      </c>
      <c r="D1421" s="172">
        <v>1.0</v>
      </c>
      <c r="E1421" s="172" t="s">
        <v>441</v>
      </c>
      <c r="F1421" s="172" t="s">
        <v>465</v>
      </c>
      <c r="G1421" s="173" t="s">
        <v>1741</v>
      </c>
      <c r="H1421" s="172">
        <v>23.0</v>
      </c>
      <c r="J1421" s="173"/>
      <c r="K1421" s="170" t="s">
        <v>1308</v>
      </c>
    </row>
    <row r="1422" ht="15.75" customHeight="1">
      <c r="A1422" s="251">
        <v>46213.0</v>
      </c>
      <c r="B1422" s="172" t="s">
        <v>125</v>
      </c>
      <c r="C1422" s="172">
        <v>34.0</v>
      </c>
      <c r="D1422" s="172">
        <v>1.0</v>
      </c>
      <c r="E1422" s="172" t="s">
        <v>441</v>
      </c>
      <c r="F1422" s="172" t="s">
        <v>465</v>
      </c>
      <c r="G1422" s="173" t="s">
        <v>1742</v>
      </c>
      <c r="H1422" s="172">
        <v>18.0</v>
      </c>
      <c r="J1422" s="173"/>
      <c r="K1422" s="170" t="s">
        <v>1308</v>
      </c>
    </row>
    <row r="1423" ht="15.75" customHeight="1">
      <c r="A1423" s="252">
        <v>46213.0</v>
      </c>
      <c r="B1423" s="172" t="s">
        <v>125</v>
      </c>
      <c r="C1423" s="172">
        <v>34.0</v>
      </c>
      <c r="D1423" s="172">
        <v>1.0</v>
      </c>
      <c r="E1423" s="172" t="s">
        <v>441</v>
      </c>
      <c r="F1423" s="172" t="s">
        <v>446</v>
      </c>
      <c r="G1423" s="173" t="s">
        <v>1743</v>
      </c>
      <c r="H1423" s="172">
        <v>20.0</v>
      </c>
      <c r="J1423" s="173"/>
      <c r="K1423" s="170" t="s">
        <v>1308</v>
      </c>
    </row>
    <row r="1424" ht="15.75" customHeight="1">
      <c r="A1424" s="252">
        <v>46213.0</v>
      </c>
      <c r="B1424" s="172" t="s">
        <v>125</v>
      </c>
      <c r="C1424" s="172">
        <v>32.0</v>
      </c>
      <c r="D1424" s="172">
        <v>1.0</v>
      </c>
      <c r="E1424" s="172" t="s">
        <v>441</v>
      </c>
      <c r="F1424" s="172" t="s">
        <v>490</v>
      </c>
      <c r="G1424" s="173" t="s">
        <v>1744</v>
      </c>
      <c r="H1424" s="172">
        <v>18.0</v>
      </c>
      <c r="J1424" s="173"/>
      <c r="K1424" s="170" t="s">
        <v>1308</v>
      </c>
    </row>
    <row r="1425" ht="15.75" customHeight="1">
      <c r="A1425" s="252">
        <v>46213.0</v>
      </c>
      <c r="B1425" s="172" t="s">
        <v>125</v>
      </c>
      <c r="C1425" s="172">
        <v>34.0</v>
      </c>
      <c r="D1425" s="172">
        <v>1.0</v>
      </c>
      <c r="E1425" s="172" t="s">
        <v>441</v>
      </c>
      <c r="F1425" s="172" t="s">
        <v>446</v>
      </c>
      <c r="G1425" s="337" t="s">
        <v>1745</v>
      </c>
      <c r="H1425" s="172">
        <v>18.0</v>
      </c>
      <c r="J1425" s="173"/>
      <c r="K1425" s="170" t="s">
        <v>1308</v>
      </c>
    </row>
    <row r="1426" ht="15.75" customHeight="1">
      <c r="A1426" s="252">
        <v>46213.0</v>
      </c>
      <c r="B1426" s="172" t="s">
        <v>125</v>
      </c>
      <c r="C1426" s="172">
        <v>34.0</v>
      </c>
      <c r="D1426" s="172">
        <v>1.0</v>
      </c>
      <c r="E1426" s="172" t="s">
        <v>441</v>
      </c>
      <c r="F1426" s="172" t="s">
        <v>465</v>
      </c>
      <c r="G1426" s="173" t="s">
        <v>1746</v>
      </c>
      <c r="H1426" s="172">
        <v>23.0</v>
      </c>
      <c r="J1426" s="173"/>
      <c r="K1426" s="170" t="s">
        <v>1308</v>
      </c>
    </row>
    <row r="1427" ht="15.75" customHeight="1">
      <c r="A1427" s="252">
        <v>46213.0</v>
      </c>
      <c r="B1427" s="172" t="s">
        <v>125</v>
      </c>
      <c r="C1427" s="172">
        <v>34.0</v>
      </c>
      <c r="D1427" s="172">
        <v>1.0</v>
      </c>
      <c r="E1427" s="172" t="s">
        <v>441</v>
      </c>
      <c r="F1427" s="172" t="s">
        <v>446</v>
      </c>
      <c r="G1427" s="173" t="s">
        <v>1747</v>
      </c>
      <c r="H1427" s="172">
        <v>18.0</v>
      </c>
      <c r="J1427" s="173"/>
      <c r="K1427" s="170" t="s">
        <v>1308</v>
      </c>
    </row>
    <row r="1428" ht="15.75" customHeight="1">
      <c r="A1428" s="251">
        <v>46214.0</v>
      </c>
      <c r="B1428" s="172" t="s">
        <v>125</v>
      </c>
      <c r="C1428" s="172">
        <v>32.0</v>
      </c>
      <c r="D1428" s="172">
        <v>1.0</v>
      </c>
      <c r="E1428" s="172" t="s">
        <v>441</v>
      </c>
      <c r="F1428" s="172" t="s">
        <v>490</v>
      </c>
      <c r="G1428" s="173" t="s">
        <v>1748</v>
      </c>
      <c r="H1428" s="172">
        <v>20.0</v>
      </c>
      <c r="J1428" s="173"/>
      <c r="K1428" s="170" t="s">
        <v>1308</v>
      </c>
    </row>
    <row r="1429" ht="15.75" customHeight="1">
      <c r="A1429" s="235">
        <v>46214.0</v>
      </c>
      <c r="B1429" s="172" t="s">
        <v>135</v>
      </c>
      <c r="C1429" s="172">
        <v>32.0</v>
      </c>
      <c r="D1429" s="172">
        <v>1.0</v>
      </c>
      <c r="E1429" s="172" t="s">
        <v>39</v>
      </c>
      <c r="F1429" s="172" t="s">
        <v>372</v>
      </c>
      <c r="G1429" s="173" t="s">
        <v>1749</v>
      </c>
      <c r="H1429" s="172">
        <v>18.0</v>
      </c>
      <c r="J1429" s="173"/>
      <c r="K1429" s="170" t="s">
        <v>1308</v>
      </c>
    </row>
    <row r="1430" ht="15.75" customHeight="1">
      <c r="A1430" s="235">
        <v>46214.0</v>
      </c>
      <c r="B1430" s="172" t="s">
        <v>135</v>
      </c>
      <c r="C1430" s="172">
        <v>32.0</v>
      </c>
      <c r="D1430" s="172">
        <v>1.0</v>
      </c>
      <c r="E1430" s="172" t="s">
        <v>39</v>
      </c>
      <c r="F1430" s="172" t="s">
        <v>366</v>
      </c>
      <c r="G1430" s="173" t="s">
        <v>1750</v>
      </c>
      <c r="H1430" s="172">
        <v>20.0</v>
      </c>
      <c r="J1430" s="173"/>
      <c r="K1430" s="170" t="s">
        <v>1308</v>
      </c>
    </row>
    <row r="1431" ht="15.75" customHeight="1">
      <c r="A1431" s="235">
        <v>46214.0</v>
      </c>
      <c r="B1431" s="172" t="s">
        <v>135</v>
      </c>
      <c r="C1431" s="172">
        <v>32.0</v>
      </c>
      <c r="D1431" s="172">
        <v>1.0</v>
      </c>
      <c r="E1431" s="172" t="s">
        <v>441</v>
      </c>
      <c r="F1431" s="172" t="s">
        <v>459</v>
      </c>
      <c r="G1431" s="173" t="s">
        <v>1751</v>
      </c>
      <c r="H1431" s="172">
        <v>25.0</v>
      </c>
      <c r="J1431" s="173"/>
      <c r="K1431" s="170" t="s">
        <v>1308</v>
      </c>
    </row>
    <row r="1432" ht="15.75" customHeight="1">
      <c r="A1432" s="235">
        <v>46214.0</v>
      </c>
      <c r="B1432" s="172" t="s">
        <v>135</v>
      </c>
      <c r="C1432" s="172">
        <v>34.0</v>
      </c>
      <c r="D1432" s="172">
        <v>1.0</v>
      </c>
      <c r="E1432" s="172" t="s">
        <v>39</v>
      </c>
      <c r="F1432" s="172" t="s">
        <v>366</v>
      </c>
      <c r="G1432" s="173" t="s">
        <v>1752</v>
      </c>
      <c r="H1432" s="172">
        <v>17.0</v>
      </c>
      <c r="J1432" s="173"/>
      <c r="K1432" s="170" t="s">
        <v>1308</v>
      </c>
    </row>
    <row r="1433" ht="15.75" customHeight="1">
      <c r="A1433" s="235">
        <v>46214.0</v>
      </c>
      <c r="B1433" s="172" t="s">
        <v>125</v>
      </c>
      <c r="C1433" s="172">
        <v>34.0</v>
      </c>
      <c r="D1433" s="172">
        <v>1.0</v>
      </c>
      <c r="E1433" s="172" t="s">
        <v>39</v>
      </c>
      <c r="F1433" s="172" t="s">
        <v>366</v>
      </c>
      <c r="G1433" s="173" t="s">
        <v>1753</v>
      </c>
      <c r="H1433" s="172">
        <v>22.5</v>
      </c>
      <c r="J1433" s="173"/>
      <c r="K1433" s="170" t="s">
        <v>1308</v>
      </c>
    </row>
    <row r="1434" ht="15.75" customHeight="1">
      <c r="A1434" s="251">
        <v>46215.0</v>
      </c>
      <c r="B1434" s="172" t="s">
        <v>1114</v>
      </c>
      <c r="C1434" s="172">
        <v>32.0</v>
      </c>
      <c r="D1434" s="172">
        <v>1.0</v>
      </c>
      <c r="E1434" s="172" t="s">
        <v>441</v>
      </c>
      <c r="F1434" s="172" t="s">
        <v>441</v>
      </c>
      <c r="G1434" s="173" t="s">
        <v>1754</v>
      </c>
      <c r="H1434" s="172">
        <v>18.0</v>
      </c>
      <c r="J1434" s="173"/>
      <c r="K1434" s="170" t="s">
        <v>1308</v>
      </c>
    </row>
    <row r="1435" ht="15.75" customHeight="1">
      <c r="A1435" s="251">
        <v>46216.0</v>
      </c>
      <c r="B1435" s="172" t="s">
        <v>69</v>
      </c>
      <c r="C1435" s="172">
        <v>32.0</v>
      </c>
      <c r="D1435" s="172">
        <v>1.0</v>
      </c>
      <c r="E1435" s="172" t="s">
        <v>39</v>
      </c>
      <c r="F1435" s="172" t="s">
        <v>366</v>
      </c>
      <c r="G1435" s="173" t="s">
        <v>1755</v>
      </c>
      <c r="H1435" s="172">
        <v>22.5</v>
      </c>
      <c r="J1435" s="173"/>
      <c r="K1435" s="170" t="s">
        <v>1308</v>
      </c>
    </row>
    <row r="1436" ht="15.75" customHeight="1">
      <c r="A1436" s="235">
        <v>46216.0</v>
      </c>
      <c r="B1436" s="172" t="s">
        <v>135</v>
      </c>
      <c r="C1436" s="172">
        <v>34.0</v>
      </c>
      <c r="D1436" s="172">
        <v>1.0</v>
      </c>
      <c r="E1436" s="172" t="s">
        <v>39</v>
      </c>
      <c r="F1436" s="172" t="s">
        <v>366</v>
      </c>
      <c r="G1436" s="173" t="s">
        <v>1756</v>
      </c>
      <c r="H1436" s="172">
        <v>18.0</v>
      </c>
      <c r="J1436" s="173"/>
      <c r="K1436" s="170" t="s">
        <v>1308</v>
      </c>
    </row>
    <row r="1437" ht="15.75" customHeight="1">
      <c r="A1437" s="235">
        <v>46216.0</v>
      </c>
      <c r="B1437" s="172" t="s">
        <v>125</v>
      </c>
      <c r="C1437" s="172">
        <v>32.0</v>
      </c>
      <c r="D1437" s="172">
        <v>1.0</v>
      </c>
      <c r="E1437" s="172" t="s">
        <v>441</v>
      </c>
      <c r="F1437" s="172" t="s">
        <v>490</v>
      </c>
      <c r="G1437" s="173" t="s">
        <v>1757</v>
      </c>
      <c r="H1437" s="172">
        <v>20.0</v>
      </c>
      <c r="J1437" s="173"/>
      <c r="K1437" s="170" t="s">
        <v>1308</v>
      </c>
    </row>
    <row r="1438" ht="15.75" customHeight="1">
      <c r="A1438" s="251">
        <v>46217.0</v>
      </c>
      <c r="B1438" s="172" t="s">
        <v>125</v>
      </c>
      <c r="C1438" s="172">
        <v>32.0</v>
      </c>
      <c r="D1438" s="172">
        <v>1.0</v>
      </c>
      <c r="E1438" s="172" t="s">
        <v>39</v>
      </c>
      <c r="F1438" s="172" t="s">
        <v>372</v>
      </c>
      <c r="G1438" s="173" t="s">
        <v>1758</v>
      </c>
      <c r="H1438" s="172">
        <v>27.0</v>
      </c>
      <c r="J1438" s="173"/>
      <c r="K1438" s="170" t="s">
        <v>1308</v>
      </c>
    </row>
    <row r="1439" ht="15.75" customHeight="1">
      <c r="A1439" s="235">
        <v>6704588.0</v>
      </c>
      <c r="B1439" s="172" t="s">
        <v>125</v>
      </c>
      <c r="C1439" s="172">
        <v>32.0</v>
      </c>
      <c r="D1439" s="172">
        <v>1.0</v>
      </c>
      <c r="E1439" s="172" t="s">
        <v>39</v>
      </c>
      <c r="F1439" s="172" t="s">
        <v>366</v>
      </c>
      <c r="G1439" s="173" t="s">
        <v>1759</v>
      </c>
      <c r="H1439" s="172">
        <v>28.0</v>
      </c>
      <c r="J1439" s="173"/>
      <c r="K1439" s="170" t="s">
        <v>1308</v>
      </c>
    </row>
    <row r="1440" ht="15.75" customHeight="1">
      <c r="A1440" s="235">
        <v>46217.0</v>
      </c>
      <c r="B1440" s="172" t="s">
        <v>135</v>
      </c>
      <c r="C1440" s="172">
        <v>34.0</v>
      </c>
      <c r="D1440" s="172">
        <v>1.0</v>
      </c>
      <c r="E1440" s="172" t="s">
        <v>39</v>
      </c>
      <c r="F1440" s="172" t="s">
        <v>366</v>
      </c>
      <c r="G1440" s="173" t="s">
        <v>1760</v>
      </c>
      <c r="H1440" s="172">
        <v>20.0</v>
      </c>
      <c r="J1440" s="173"/>
      <c r="K1440" s="170" t="s">
        <v>1308</v>
      </c>
    </row>
    <row r="1441" ht="15.75" customHeight="1">
      <c r="A1441" s="235">
        <v>46217.0</v>
      </c>
      <c r="B1441" s="172" t="s">
        <v>69</v>
      </c>
      <c r="C1441" s="172">
        <v>34.0</v>
      </c>
      <c r="D1441" s="172">
        <v>1.0</v>
      </c>
      <c r="E1441" s="172" t="s">
        <v>39</v>
      </c>
      <c r="F1441" s="172" t="s">
        <v>372</v>
      </c>
      <c r="G1441" s="173" t="s">
        <v>1761</v>
      </c>
      <c r="H1441" s="172">
        <v>18.0</v>
      </c>
      <c r="J1441" s="173"/>
      <c r="K1441" s="170" t="s">
        <v>1308</v>
      </c>
    </row>
    <row r="1442" ht="15.75" customHeight="1">
      <c r="A1442" s="235">
        <v>46217.0</v>
      </c>
      <c r="B1442" s="172" t="s">
        <v>69</v>
      </c>
      <c r="C1442" s="172">
        <v>36.0</v>
      </c>
      <c r="D1442" s="172">
        <v>1.0</v>
      </c>
      <c r="E1442" s="172" t="s">
        <v>39</v>
      </c>
      <c r="F1442" s="172" t="s">
        <v>372</v>
      </c>
      <c r="G1442" s="173" t="s">
        <v>1762</v>
      </c>
      <c r="H1442" s="172">
        <v>20.0</v>
      </c>
      <c r="J1442" s="173"/>
      <c r="K1442" s="170" t="s">
        <v>1308</v>
      </c>
    </row>
    <row r="1443" ht="15.75" customHeight="1">
      <c r="A1443" s="235">
        <v>46217.0</v>
      </c>
      <c r="B1443" s="172" t="s">
        <v>135</v>
      </c>
      <c r="C1443" s="172">
        <v>34.0</v>
      </c>
      <c r="D1443" s="172">
        <v>1.0</v>
      </c>
      <c r="E1443" s="172" t="s">
        <v>39</v>
      </c>
      <c r="F1443" s="172" t="s">
        <v>366</v>
      </c>
      <c r="G1443" s="173" t="s">
        <v>1763</v>
      </c>
      <c r="H1443" s="172">
        <v>16.0</v>
      </c>
      <c r="J1443" s="173"/>
      <c r="K1443" s="170" t="s">
        <v>1308</v>
      </c>
    </row>
    <row r="1444" ht="15.75" customHeight="1">
      <c r="A1444" s="341">
        <v>46217.0</v>
      </c>
      <c r="B1444" s="172" t="s">
        <v>69</v>
      </c>
      <c r="C1444" s="172">
        <v>36.0</v>
      </c>
      <c r="D1444" s="172">
        <v>1.0</v>
      </c>
      <c r="E1444" s="172" t="s">
        <v>422</v>
      </c>
      <c r="F1444" s="172" t="s">
        <v>421</v>
      </c>
      <c r="G1444" s="173" t="s">
        <v>1764</v>
      </c>
      <c r="H1444" s="172">
        <v>18.3</v>
      </c>
      <c r="J1444" s="173"/>
      <c r="K1444" s="170" t="s">
        <v>1308</v>
      </c>
    </row>
    <row r="1445" ht="15.75" customHeight="1">
      <c r="A1445" s="235">
        <v>46217.0</v>
      </c>
      <c r="B1445" s="172" t="s">
        <v>1114</v>
      </c>
      <c r="C1445" s="172">
        <v>32.0</v>
      </c>
      <c r="D1445" s="172">
        <v>1.0</v>
      </c>
      <c r="E1445" s="172" t="s">
        <v>39</v>
      </c>
      <c r="F1445" s="172" t="s">
        <v>744</v>
      </c>
      <c r="G1445" s="173" t="s">
        <v>1765</v>
      </c>
      <c r="H1445" s="172">
        <v>20.4</v>
      </c>
      <c r="J1445" s="173"/>
      <c r="K1445" s="170" t="s">
        <v>1308</v>
      </c>
    </row>
    <row r="1446" ht="15.75" customHeight="1">
      <c r="A1446" s="251">
        <v>46218.0</v>
      </c>
      <c r="B1446" s="172" t="s">
        <v>125</v>
      </c>
      <c r="C1446" s="172">
        <v>34.0</v>
      </c>
      <c r="D1446" s="172">
        <v>1.0</v>
      </c>
      <c r="E1446" s="172" t="s">
        <v>39</v>
      </c>
      <c r="F1446" s="172" t="s">
        <v>372</v>
      </c>
      <c r="G1446" s="173" t="s">
        <v>1766</v>
      </c>
      <c r="H1446" s="172">
        <v>23.0</v>
      </c>
      <c r="J1446" s="173"/>
      <c r="K1446" s="170" t="s">
        <v>1308</v>
      </c>
    </row>
    <row r="1447" ht="15.75" customHeight="1">
      <c r="A1447" s="235">
        <v>46218.0</v>
      </c>
      <c r="B1447" s="172" t="s">
        <v>125</v>
      </c>
      <c r="C1447" s="172">
        <v>32.0</v>
      </c>
      <c r="D1447" s="172">
        <v>1.0</v>
      </c>
      <c r="E1447" s="172" t="s">
        <v>39</v>
      </c>
      <c r="F1447" s="172" t="s">
        <v>382</v>
      </c>
      <c r="G1447" s="173" t="s">
        <v>1767</v>
      </c>
      <c r="H1447" s="172">
        <v>0.0</v>
      </c>
      <c r="I1447" s="173" t="s">
        <v>1768</v>
      </c>
      <c r="J1447" s="173"/>
      <c r="K1447" s="170" t="s">
        <v>1308</v>
      </c>
    </row>
    <row r="1448" ht="15.75" customHeight="1">
      <c r="A1448" s="235">
        <v>46218.0</v>
      </c>
      <c r="B1448" s="172" t="s">
        <v>69</v>
      </c>
      <c r="C1448" s="172">
        <v>32.0</v>
      </c>
      <c r="D1448" s="172">
        <v>1.0</v>
      </c>
      <c r="E1448" s="172" t="s">
        <v>411</v>
      </c>
      <c r="F1448" s="172" t="s">
        <v>410</v>
      </c>
      <c r="G1448" s="173" t="s">
        <v>1769</v>
      </c>
      <c r="H1448" s="172">
        <v>17.0</v>
      </c>
      <c r="J1448" s="173"/>
      <c r="K1448" s="170" t="s">
        <v>1308</v>
      </c>
    </row>
    <row r="1449" ht="15.75" customHeight="1">
      <c r="A1449" s="235">
        <v>46218.0</v>
      </c>
      <c r="B1449" s="172" t="s">
        <v>125</v>
      </c>
      <c r="C1449" s="172">
        <v>34.0</v>
      </c>
      <c r="D1449" s="172">
        <v>1.0</v>
      </c>
      <c r="E1449" s="172" t="s">
        <v>441</v>
      </c>
      <c r="F1449" s="172" t="s">
        <v>465</v>
      </c>
      <c r="G1449" s="173" t="s">
        <v>1770</v>
      </c>
      <c r="H1449" s="172">
        <v>18.0</v>
      </c>
      <c r="J1449" s="173"/>
      <c r="K1449" s="170" t="s">
        <v>1308</v>
      </c>
    </row>
    <row r="1450" ht="15.75" customHeight="1">
      <c r="A1450" s="235">
        <v>46218.0</v>
      </c>
      <c r="B1450" s="172" t="s">
        <v>69</v>
      </c>
      <c r="C1450" s="172">
        <v>34.0</v>
      </c>
      <c r="D1450" s="172">
        <v>1.0</v>
      </c>
      <c r="E1450" s="172" t="s">
        <v>39</v>
      </c>
      <c r="F1450" s="172" t="s">
        <v>372</v>
      </c>
      <c r="G1450" s="173" t="s">
        <v>1771</v>
      </c>
      <c r="H1450" s="172">
        <v>22.0</v>
      </c>
      <c r="J1450" s="173"/>
      <c r="K1450" s="170" t="s">
        <v>1308</v>
      </c>
    </row>
    <row r="1451" ht="15.75" customHeight="1">
      <c r="A1451" s="233">
        <v>46219.0</v>
      </c>
      <c r="B1451" s="172" t="s">
        <v>69</v>
      </c>
      <c r="C1451" s="172">
        <v>36.0</v>
      </c>
      <c r="D1451" s="172">
        <v>1.0</v>
      </c>
      <c r="E1451" s="172" t="s">
        <v>39</v>
      </c>
      <c r="F1451" s="172" t="s">
        <v>366</v>
      </c>
      <c r="G1451" s="173" t="s">
        <v>1772</v>
      </c>
      <c r="H1451" s="172">
        <v>21.2</v>
      </c>
      <c r="J1451" s="173"/>
      <c r="K1451" s="170" t="s">
        <v>1308</v>
      </c>
    </row>
    <row r="1452" ht="15.75" customHeight="1">
      <c r="A1452" s="235">
        <v>46219.0</v>
      </c>
      <c r="B1452" s="172" t="s">
        <v>50</v>
      </c>
      <c r="C1452" s="172">
        <v>34.0</v>
      </c>
      <c r="D1452" s="172">
        <v>1.0</v>
      </c>
      <c r="E1452" s="172" t="s">
        <v>411</v>
      </c>
      <c r="F1452" s="172" t="s">
        <v>472</v>
      </c>
      <c r="G1452" s="173" t="s">
        <v>1773</v>
      </c>
      <c r="H1452" s="172">
        <v>18.0</v>
      </c>
      <c r="J1452" s="173"/>
      <c r="K1452" s="170" t="s">
        <v>1308</v>
      </c>
    </row>
    <row r="1453" ht="15.75" customHeight="1">
      <c r="A1453" s="235">
        <v>46219.0</v>
      </c>
      <c r="B1453" s="172" t="s">
        <v>45</v>
      </c>
      <c r="C1453" s="172">
        <v>34.0</v>
      </c>
      <c r="D1453" s="172">
        <v>1.0</v>
      </c>
      <c r="E1453" s="172" t="s">
        <v>411</v>
      </c>
      <c r="F1453" s="172" t="s">
        <v>410</v>
      </c>
      <c r="G1453" s="173" t="s">
        <v>1774</v>
      </c>
      <c r="H1453" s="172">
        <v>23.0</v>
      </c>
      <c r="J1453" s="173"/>
      <c r="K1453" s="170" t="s">
        <v>1308</v>
      </c>
    </row>
    <row r="1454" ht="15.75" customHeight="1">
      <c r="A1454" s="235">
        <v>46219.0</v>
      </c>
      <c r="B1454" s="172" t="s">
        <v>63</v>
      </c>
      <c r="C1454" s="172">
        <v>36.0</v>
      </c>
      <c r="D1454" s="172">
        <v>1.0</v>
      </c>
      <c r="E1454" s="172" t="s">
        <v>411</v>
      </c>
      <c r="F1454" s="172" t="s">
        <v>416</v>
      </c>
      <c r="G1454" s="173" t="s">
        <v>1775</v>
      </c>
      <c r="H1454" s="172">
        <v>18.0</v>
      </c>
      <c r="J1454" s="173"/>
      <c r="K1454" s="170" t="s">
        <v>1308</v>
      </c>
    </row>
    <row r="1455" ht="15.75" customHeight="1">
      <c r="A1455" s="235">
        <v>46219.0</v>
      </c>
      <c r="B1455" s="172" t="s">
        <v>50</v>
      </c>
      <c r="C1455" s="172">
        <v>34.0</v>
      </c>
      <c r="D1455" s="172">
        <v>1.0</v>
      </c>
      <c r="E1455" s="172" t="s">
        <v>39</v>
      </c>
      <c r="F1455" s="172" t="s">
        <v>382</v>
      </c>
      <c r="G1455" s="173" t="s">
        <v>1776</v>
      </c>
      <c r="H1455" s="172">
        <v>23.1</v>
      </c>
      <c r="J1455" s="173"/>
      <c r="K1455" s="170" t="s">
        <v>1308</v>
      </c>
    </row>
    <row r="1456" ht="15.75" customHeight="1">
      <c r="A1456" s="235">
        <v>46219.0</v>
      </c>
      <c r="B1456" s="172" t="s">
        <v>63</v>
      </c>
      <c r="C1456" s="172">
        <v>34.0</v>
      </c>
      <c r="D1456" s="172">
        <v>1.0</v>
      </c>
      <c r="E1456" s="172" t="s">
        <v>411</v>
      </c>
      <c r="F1456" s="172" t="s">
        <v>428</v>
      </c>
      <c r="G1456" s="173" t="s">
        <v>1694</v>
      </c>
      <c r="H1456" s="172">
        <v>18.8</v>
      </c>
      <c r="J1456" s="173"/>
      <c r="K1456" s="170" t="s">
        <v>1308</v>
      </c>
    </row>
    <row r="1457" ht="15.75" customHeight="1">
      <c r="A1457" s="251">
        <v>46220.0</v>
      </c>
      <c r="B1457" s="172" t="s">
        <v>51</v>
      </c>
      <c r="C1457" s="172">
        <v>36.0</v>
      </c>
      <c r="D1457" s="172">
        <v>1.0</v>
      </c>
      <c r="E1457" s="172" t="s">
        <v>441</v>
      </c>
      <c r="F1457" s="172" t="s">
        <v>490</v>
      </c>
      <c r="G1457" s="173" t="s">
        <v>1777</v>
      </c>
      <c r="H1457" s="172">
        <v>18.0</v>
      </c>
      <c r="J1457" s="173"/>
      <c r="K1457" s="170" t="s">
        <v>1308</v>
      </c>
    </row>
    <row r="1458" ht="15.75" customHeight="1">
      <c r="A1458" s="235">
        <v>46220.0</v>
      </c>
      <c r="B1458" s="172" t="s">
        <v>51</v>
      </c>
      <c r="C1458" s="172">
        <v>36.0</v>
      </c>
      <c r="D1458" s="172">
        <v>1.0</v>
      </c>
      <c r="E1458" s="172" t="s">
        <v>39</v>
      </c>
      <c r="F1458" s="172" t="s">
        <v>366</v>
      </c>
      <c r="G1458" s="173" t="s">
        <v>1778</v>
      </c>
      <c r="H1458" s="172">
        <v>20.0</v>
      </c>
      <c r="J1458" s="173"/>
      <c r="K1458" s="170" t="s">
        <v>1308</v>
      </c>
    </row>
    <row r="1459" ht="15.75" customHeight="1">
      <c r="A1459" s="235">
        <v>46220.0</v>
      </c>
      <c r="B1459" s="172" t="s">
        <v>69</v>
      </c>
      <c r="C1459" s="172">
        <v>32.0</v>
      </c>
      <c r="D1459" s="172">
        <v>1.0</v>
      </c>
      <c r="E1459" s="172" t="s">
        <v>39</v>
      </c>
      <c r="F1459" s="172" t="s">
        <v>366</v>
      </c>
      <c r="G1459" s="173" t="s">
        <v>1779</v>
      </c>
      <c r="H1459" s="172">
        <v>24.3</v>
      </c>
      <c r="J1459" s="173"/>
      <c r="K1459" s="170" t="s">
        <v>1308</v>
      </c>
    </row>
    <row r="1460" ht="15.75" customHeight="1">
      <c r="A1460" s="235">
        <v>46220.0</v>
      </c>
      <c r="B1460" s="172" t="s">
        <v>50</v>
      </c>
      <c r="C1460" s="172">
        <v>34.0</v>
      </c>
      <c r="D1460" s="172">
        <v>1.0</v>
      </c>
      <c r="E1460" s="172" t="s">
        <v>441</v>
      </c>
      <c r="F1460" s="172" t="s">
        <v>465</v>
      </c>
      <c r="G1460" s="173" t="s">
        <v>1780</v>
      </c>
      <c r="H1460" s="172">
        <v>18.0</v>
      </c>
      <c r="J1460" s="173"/>
      <c r="K1460" s="170" t="s">
        <v>1308</v>
      </c>
    </row>
    <row r="1461" ht="15.75" customHeight="1">
      <c r="A1461" s="235">
        <v>46220.0</v>
      </c>
      <c r="B1461" s="172" t="s">
        <v>51</v>
      </c>
      <c r="C1461" s="172">
        <v>36.0</v>
      </c>
      <c r="D1461" s="172">
        <v>1.0</v>
      </c>
      <c r="E1461" s="172" t="s">
        <v>39</v>
      </c>
      <c r="F1461" s="172" t="s">
        <v>366</v>
      </c>
      <c r="G1461" s="173" t="s">
        <v>1781</v>
      </c>
      <c r="H1461" s="172">
        <v>20.0</v>
      </c>
      <c r="J1461" s="173"/>
      <c r="K1461" s="170" t="s">
        <v>1308</v>
      </c>
    </row>
    <row r="1462" ht="15.75" customHeight="1">
      <c r="A1462" s="235">
        <v>46220.0</v>
      </c>
      <c r="B1462" s="172" t="s">
        <v>50</v>
      </c>
      <c r="C1462" s="172">
        <v>30.0</v>
      </c>
      <c r="D1462" s="172">
        <v>1.0</v>
      </c>
      <c r="E1462" s="172" t="s">
        <v>411</v>
      </c>
      <c r="F1462" s="172" t="s">
        <v>472</v>
      </c>
      <c r="G1462" s="173" t="s">
        <v>1782</v>
      </c>
      <c r="H1462" s="172">
        <v>19.0</v>
      </c>
      <c r="J1462" s="173"/>
      <c r="K1462" s="170" t="s">
        <v>1308</v>
      </c>
    </row>
    <row r="1463" ht="15.75" customHeight="1">
      <c r="A1463" s="235">
        <v>46220.0</v>
      </c>
      <c r="B1463" s="172" t="s">
        <v>52</v>
      </c>
      <c r="C1463" s="172">
        <v>34.0</v>
      </c>
      <c r="D1463" s="172">
        <v>1.0</v>
      </c>
      <c r="E1463" s="172" t="s">
        <v>411</v>
      </c>
      <c r="F1463" s="172" t="s">
        <v>416</v>
      </c>
      <c r="G1463" s="173" t="s">
        <v>1783</v>
      </c>
      <c r="H1463" s="172">
        <v>23.0</v>
      </c>
      <c r="J1463" s="173"/>
      <c r="K1463" s="170" t="s">
        <v>1308</v>
      </c>
    </row>
    <row r="1464" ht="15.75" customHeight="1">
      <c r="A1464" s="235">
        <v>46220.0</v>
      </c>
      <c r="B1464" s="172" t="s">
        <v>69</v>
      </c>
      <c r="C1464" s="172">
        <v>36.0</v>
      </c>
      <c r="D1464" s="172">
        <v>1.0</v>
      </c>
      <c r="E1464" s="172" t="s">
        <v>411</v>
      </c>
      <c r="F1464" s="172" t="s">
        <v>472</v>
      </c>
      <c r="G1464" s="173" t="s">
        <v>1784</v>
      </c>
      <c r="H1464" s="172">
        <v>22.0</v>
      </c>
      <c r="J1464" s="173"/>
      <c r="K1464" s="170" t="s">
        <v>1308</v>
      </c>
    </row>
    <row r="1465" ht="15.75" customHeight="1">
      <c r="A1465" s="233">
        <v>46221.0</v>
      </c>
      <c r="B1465" s="172" t="s">
        <v>51</v>
      </c>
      <c r="C1465" s="172">
        <v>36.0</v>
      </c>
      <c r="D1465" s="172">
        <v>1.0</v>
      </c>
      <c r="E1465" s="172" t="s">
        <v>411</v>
      </c>
      <c r="F1465" s="172" t="s">
        <v>428</v>
      </c>
      <c r="G1465" s="173" t="s">
        <v>1785</v>
      </c>
      <c r="H1465" s="172">
        <v>22.99</v>
      </c>
      <c r="J1465" s="173"/>
      <c r="K1465" s="170" t="s">
        <v>1308</v>
      </c>
    </row>
    <row r="1466" ht="15.75" customHeight="1">
      <c r="A1466" s="235">
        <v>46221.0</v>
      </c>
      <c r="B1466" s="172" t="s">
        <v>50</v>
      </c>
      <c r="C1466" s="172">
        <v>32.0</v>
      </c>
      <c r="D1466" s="172">
        <v>1.0</v>
      </c>
      <c r="E1466" s="172" t="s">
        <v>39</v>
      </c>
      <c r="F1466" s="172" t="s">
        <v>372</v>
      </c>
      <c r="G1466" s="173" t="s">
        <v>1786</v>
      </c>
      <c r="H1466" s="172">
        <v>20.0</v>
      </c>
      <c r="J1466" s="173"/>
      <c r="K1466" s="170" t="s">
        <v>1308</v>
      </c>
    </row>
    <row r="1467" ht="15.75" customHeight="1">
      <c r="A1467" s="235">
        <v>46221.0</v>
      </c>
      <c r="B1467" s="172" t="s">
        <v>63</v>
      </c>
      <c r="C1467" s="172">
        <v>32.0</v>
      </c>
      <c r="D1467" s="172">
        <v>1.0</v>
      </c>
      <c r="E1467" s="172" t="s">
        <v>39</v>
      </c>
      <c r="F1467" s="172" t="s">
        <v>366</v>
      </c>
      <c r="G1467" s="173" t="s">
        <v>1786</v>
      </c>
      <c r="H1467" s="172">
        <v>20.0</v>
      </c>
      <c r="J1467" s="173"/>
      <c r="K1467" s="170" t="s">
        <v>1308</v>
      </c>
    </row>
    <row r="1468" ht="15.75" customHeight="1">
      <c r="A1468" s="235">
        <v>46221.0</v>
      </c>
      <c r="B1468" s="172" t="s">
        <v>125</v>
      </c>
      <c r="C1468" s="172">
        <v>33.0</v>
      </c>
      <c r="D1468" s="172">
        <v>1.0</v>
      </c>
      <c r="E1468" s="172" t="s">
        <v>39</v>
      </c>
      <c r="F1468" s="161"/>
      <c r="H1468" s="172">
        <v>0.0</v>
      </c>
      <c r="I1468" s="173" t="s">
        <v>1787</v>
      </c>
      <c r="J1468" s="173"/>
      <c r="K1468" s="170" t="s">
        <v>1308</v>
      </c>
    </row>
    <row r="1469" ht="15.75" customHeight="1">
      <c r="A1469" s="235">
        <v>46221.0</v>
      </c>
      <c r="B1469" s="172" t="s">
        <v>125</v>
      </c>
      <c r="C1469" s="172">
        <v>33.0</v>
      </c>
      <c r="D1469" s="172">
        <v>1.0</v>
      </c>
      <c r="E1469" s="172" t="s">
        <v>39</v>
      </c>
      <c r="F1469" s="172" t="s">
        <v>744</v>
      </c>
      <c r="G1469" s="173" t="s">
        <v>1788</v>
      </c>
      <c r="H1469" s="172">
        <v>21.0</v>
      </c>
      <c r="J1469" s="173"/>
      <c r="K1469" s="170" t="s">
        <v>1308</v>
      </c>
    </row>
    <row r="1470" ht="15.75" customHeight="1">
      <c r="A1470" s="235">
        <v>46221.0</v>
      </c>
      <c r="B1470" s="172" t="s">
        <v>50</v>
      </c>
      <c r="C1470" s="172">
        <v>34.0</v>
      </c>
      <c r="D1470" s="172">
        <v>1.0</v>
      </c>
      <c r="E1470" s="172" t="s">
        <v>441</v>
      </c>
      <c r="F1470" s="172" t="s">
        <v>465</v>
      </c>
      <c r="G1470" s="173" t="s">
        <v>1789</v>
      </c>
      <c r="H1470" s="172">
        <v>20.7</v>
      </c>
      <c r="J1470" s="173"/>
      <c r="K1470" s="170" t="s">
        <v>1308</v>
      </c>
    </row>
    <row r="1471" ht="15.75" customHeight="1">
      <c r="A1471" s="235">
        <v>46222.0</v>
      </c>
      <c r="B1471" s="172" t="s">
        <v>50</v>
      </c>
      <c r="C1471" s="172">
        <v>34.0</v>
      </c>
      <c r="D1471" s="172">
        <v>1.0</v>
      </c>
      <c r="E1471" s="172" t="s">
        <v>39</v>
      </c>
      <c r="F1471" s="172" t="s">
        <v>382</v>
      </c>
      <c r="G1471" s="173" t="s">
        <v>1790</v>
      </c>
      <c r="H1471" s="172">
        <v>12.0</v>
      </c>
      <c r="I1471" s="173" t="s">
        <v>1791</v>
      </c>
      <c r="J1471" s="173"/>
      <c r="K1471" s="170" t="s">
        <v>1308</v>
      </c>
    </row>
    <row r="1472" ht="15.75" customHeight="1">
      <c r="A1472" s="235">
        <v>46222.0</v>
      </c>
      <c r="B1472" s="172" t="s">
        <v>1114</v>
      </c>
      <c r="C1472" s="172">
        <v>32.0</v>
      </c>
      <c r="D1472" s="172">
        <v>1.0</v>
      </c>
      <c r="E1472" s="172" t="s">
        <v>411</v>
      </c>
      <c r="F1472" s="172" t="s">
        <v>416</v>
      </c>
      <c r="G1472" s="173" t="s">
        <v>1792</v>
      </c>
      <c r="H1472" s="172">
        <v>23.0</v>
      </c>
      <c r="J1472" s="173"/>
      <c r="K1472" s="170" t="s">
        <v>1308</v>
      </c>
    </row>
    <row r="1473" ht="15.75" customHeight="1">
      <c r="A1473" s="235">
        <v>46222.0</v>
      </c>
      <c r="B1473" s="172" t="s">
        <v>69</v>
      </c>
      <c r="C1473" s="172">
        <v>36.0</v>
      </c>
      <c r="D1473" s="172">
        <v>1.0</v>
      </c>
      <c r="E1473" s="172" t="s">
        <v>411</v>
      </c>
      <c r="F1473" s="172" t="s">
        <v>416</v>
      </c>
      <c r="G1473" s="173" t="s">
        <v>1793</v>
      </c>
      <c r="H1473" s="172">
        <v>18.5</v>
      </c>
      <c r="J1473" s="173"/>
      <c r="K1473" s="170" t="s">
        <v>1308</v>
      </c>
    </row>
    <row r="1474" ht="15.75" customHeight="1">
      <c r="A1474" s="235">
        <v>46222.0</v>
      </c>
      <c r="B1474" s="172" t="s">
        <v>125</v>
      </c>
      <c r="C1474" s="172">
        <v>33.0</v>
      </c>
      <c r="D1474" s="172">
        <v>1.0</v>
      </c>
      <c r="E1474" s="172" t="s">
        <v>411</v>
      </c>
      <c r="F1474" s="172" t="s">
        <v>472</v>
      </c>
      <c r="G1474" s="173" t="s">
        <v>1794</v>
      </c>
      <c r="H1474" s="172">
        <v>22.99</v>
      </c>
      <c r="J1474" s="173"/>
      <c r="K1474" s="170" t="s">
        <v>1308</v>
      </c>
    </row>
    <row r="1475" ht="15.75" customHeight="1">
      <c r="A1475" s="233">
        <v>46223.0</v>
      </c>
      <c r="B1475" s="172" t="s">
        <v>50</v>
      </c>
      <c r="C1475" s="172">
        <v>34.0</v>
      </c>
      <c r="D1475" s="172">
        <v>1.0</v>
      </c>
      <c r="E1475" s="172" t="s">
        <v>411</v>
      </c>
      <c r="F1475" s="172" t="s">
        <v>472</v>
      </c>
      <c r="G1475" s="173" t="s">
        <v>1795</v>
      </c>
      <c r="H1475" s="172">
        <v>20.0</v>
      </c>
      <c r="J1475" s="173"/>
      <c r="K1475" s="170" t="s">
        <v>1308</v>
      </c>
    </row>
    <row r="1476" ht="15.75" customHeight="1">
      <c r="A1476" s="235">
        <v>46223.0</v>
      </c>
      <c r="B1476" s="172" t="s">
        <v>69</v>
      </c>
      <c r="C1476" s="172">
        <v>36.0</v>
      </c>
      <c r="D1476" s="172">
        <v>1.0</v>
      </c>
      <c r="E1476" s="172" t="s">
        <v>39</v>
      </c>
      <c r="F1476" s="172" t="s">
        <v>372</v>
      </c>
      <c r="G1476" s="173" t="s">
        <v>1796</v>
      </c>
      <c r="H1476" s="172">
        <v>20.0</v>
      </c>
      <c r="J1476" s="173"/>
      <c r="K1476" s="170" t="s">
        <v>1308</v>
      </c>
    </row>
    <row r="1477" ht="15.75" customHeight="1">
      <c r="A1477" s="235">
        <v>46223.0</v>
      </c>
      <c r="B1477" s="172" t="s">
        <v>94</v>
      </c>
      <c r="C1477" s="172">
        <v>34.0</v>
      </c>
      <c r="D1477" s="172">
        <v>1.0</v>
      </c>
      <c r="E1477" s="172" t="s">
        <v>411</v>
      </c>
      <c r="F1477" s="172" t="s">
        <v>416</v>
      </c>
      <c r="G1477" s="173" t="s">
        <v>1797</v>
      </c>
      <c r="H1477" s="172">
        <v>18.0</v>
      </c>
      <c r="J1477" s="173"/>
      <c r="K1477" s="170" t="s">
        <v>1308</v>
      </c>
    </row>
    <row r="1478" ht="15.75" customHeight="1">
      <c r="A1478" s="235">
        <v>46223.0</v>
      </c>
      <c r="B1478" s="172" t="s">
        <v>63</v>
      </c>
      <c r="C1478" s="172">
        <v>34.0</v>
      </c>
      <c r="D1478" s="172">
        <v>1.0</v>
      </c>
      <c r="E1478" s="172" t="s">
        <v>411</v>
      </c>
      <c r="F1478" s="172" t="s">
        <v>410</v>
      </c>
      <c r="G1478" s="173" t="s">
        <v>1674</v>
      </c>
      <c r="H1478" s="172">
        <v>19.0</v>
      </c>
      <c r="J1478" s="173"/>
      <c r="K1478" s="170" t="s">
        <v>1308</v>
      </c>
    </row>
    <row r="1479" ht="15.75" customHeight="1">
      <c r="A1479" s="251">
        <v>46224.0</v>
      </c>
      <c r="B1479" s="172" t="s">
        <v>50</v>
      </c>
      <c r="C1479" s="172">
        <v>34.0</v>
      </c>
      <c r="D1479" s="172">
        <v>1.0</v>
      </c>
      <c r="E1479" s="172" t="s">
        <v>411</v>
      </c>
      <c r="F1479" s="172" t="s">
        <v>416</v>
      </c>
      <c r="G1479" s="173" t="s">
        <v>1798</v>
      </c>
      <c r="H1479" s="172">
        <v>22.99</v>
      </c>
      <c r="J1479" s="173"/>
      <c r="K1479" s="170" t="s">
        <v>1308</v>
      </c>
    </row>
    <row r="1480" ht="15.75" customHeight="1">
      <c r="A1480" s="252">
        <v>46224.0</v>
      </c>
      <c r="B1480" s="172" t="s">
        <v>69</v>
      </c>
      <c r="C1480" s="172">
        <v>36.0</v>
      </c>
      <c r="D1480" s="172">
        <v>1.0</v>
      </c>
      <c r="E1480" s="172" t="s">
        <v>441</v>
      </c>
      <c r="F1480" s="172" t="s">
        <v>465</v>
      </c>
      <c r="G1480" s="173" t="s">
        <v>1034</v>
      </c>
      <c r="H1480" s="172">
        <v>23.0</v>
      </c>
      <c r="J1480" s="173"/>
      <c r="K1480" s="170" t="s">
        <v>1308</v>
      </c>
    </row>
    <row r="1481" ht="15.75" customHeight="1">
      <c r="A1481" s="251">
        <v>46225.0</v>
      </c>
      <c r="B1481" s="172" t="s">
        <v>69</v>
      </c>
      <c r="C1481" s="172">
        <v>36.0</v>
      </c>
      <c r="D1481" s="172">
        <v>1.0</v>
      </c>
      <c r="E1481" s="172" t="s">
        <v>441</v>
      </c>
      <c r="F1481" s="172" t="s">
        <v>465</v>
      </c>
      <c r="G1481" s="173" t="s">
        <v>1799</v>
      </c>
      <c r="H1481" s="172">
        <v>19.0</v>
      </c>
      <c r="J1481" s="173"/>
      <c r="K1481" s="170" t="s">
        <v>1308</v>
      </c>
    </row>
    <row r="1482" ht="15.75" customHeight="1">
      <c r="A1482" s="252">
        <v>46225.0</v>
      </c>
      <c r="B1482" s="172" t="s">
        <v>125</v>
      </c>
      <c r="C1482" s="172">
        <v>33.0</v>
      </c>
      <c r="D1482" s="172">
        <v>1.0</v>
      </c>
      <c r="E1482" s="172" t="s">
        <v>411</v>
      </c>
      <c r="F1482" s="172" t="s">
        <v>472</v>
      </c>
      <c r="G1482" s="173" t="s">
        <v>1800</v>
      </c>
      <c r="H1482" s="172">
        <v>18.38</v>
      </c>
      <c r="J1482" s="173"/>
      <c r="K1482" s="170" t="s">
        <v>1308</v>
      </c>
    </row>
    <row r="1483" ht="15.75" customHeight="1">
      <c r="A1483" s="252">
        <v>46225.0</v>
      </c>
      <c r="B1483" s="172" t="s">
        <v>69</v>
      </c>
      <c r="C1483" s="172">
        <v>36.0</v>
      </c>
      <c r="D1483" s="172">
        <v>1.0</v>
      </c>
      <c r="E1483" s="172" t="s">
        <v>411</v>
      </c>
      <c r="F1483" s="172" t="s">
        <v>416</v>
      </c>
      <c r="G1483" s="173" t="s">
        <v>1801</v>
      </c>
      <c r="H1483" s="172">
        <v>22.99</v>
      </c>
      <c r="J1483" s="173"/>
      <c r="K1483" s="170" t="s">
        <v>1308</v>
      </c>
    </row>
    <row r="1484" ht="15.75" customHeight="1">
      <c r="A1484" s="235">
        <v>46225.0</v>
      </c>
      <c r="B1484" s="172" t="s">
        <v>125</v>
      </c>
      <c r="C1484" s="172">
        <v>33.0</v>
      </c>
      <c r="D1484" s="172">
        <v>1.0</v>
      </c>
      <c r="E1484" s="172" t="s">
        <v>39</v>
      </c>
      <c r="F1484" s="172" t="s">
        <v>744</v>
      </c>
      <c r="G1484" s="173" t="s">
        <v>1802</v>
      </c>
      <c r="H1484" s="172">
        <v>22.0</v>
      </c>
      <c r="J1484" s="173"/>
      <c r="K1484" s="170" t="s">
        <v>1308</v>
      </c>
    </row>
    <row r="1485" ht="15.75" customHeight="1">
      <c r="A1485" s="317">
        <v>46226.0</v>
      </c>
      <c r="B1485" s="172" t="s">
        <v>52</v>
      </c>
      <c r="C1485" s="172">
        <v>32.0</v>
      </c>
      <c r="D1485" s="172">
        <v>1.0</v>
      </c>
      <c r="E1485" s="172" t="s">
        <v>411</v>
      </c>
      <c r="F1485" s="172" t="s">
        <v>416</v>
      </c>
      <c r="G1485" s="173" t="s">
        <v>1803</v>
      </c>
      <c r="H1485" s="172">
        <v>18.0</v>
      </c>
      <c r="J1485" s="173"/>
      <c r="K1485" s="170" t="s">
        <v>1308</v>
      </c>
    </row>
    <row r="1486" ht="15.75" customHeight="1">
      <c r="A1486" s="246">
        <v>46226.0</v>
      </c>
      <c r="B1486" s="182" t="s">
        <v>46</v>
      </c>
      <c r="C1486" s="182">
        <v>36.0</v>
      </c>
      <c r="D1486" s="182">
        <v>0.0</v>
      </c>
      <c r="E1486" s="182" t="s">
        <v>411</v>
      </c>
      <c r="F1486" s="182" t="s">
        <v>410</v>
      </c>
      <c r="G1486" s="184" t="s">
        <v>1804</v>
      </c>
      <c r="H1486" s="182">
        <v>0.0</v>
      </c>
      <c r="I1486" s="173" t="s">
        <v>1805</v>
      </c>
      <c r="J1486" s="173"/>
      <c r="K1486" s="170" t="s">
        <v>1308</v>
      </c>
    </row>
    <row r="1487" ht="15.75" customHeight="1">
      <c r="A1487" s="246">
        <v>46226.0</v>
      </c>
      <c r="B1487" s="182" t="s">
        <v>125</v>
      </c>
      <c r="C1487" s="182">
        <v>33.0</v>
      </c>
      <c r="D1487" s="182">
        <v>1.0</v>
      </c>
      <c r="E1487" s="182" t="s">
        <v>331</v>
      </c>
      <c r="F1487" s="356"/>
      <c r="G1487" s="184" t="s">
        <v>1806</v>
      </c>
      <c r="H1487" s="182">
        <v>0.0</v>
      </c>
      <c r="J1487" s="173"/>
      <c r="K1487" s="170" t="s">
        <v>1308</v>
      </c>
    </row>
    <row r="1488" ht="15.75" customHeight="1">
      <c r="A1488" s="235">
        <v>46226.0</v>
      </c>
      <c r="B1488" s="172" t="s">
        <v>46</v>
      </c>
      <c r="C1488" s="172">
        <v>36.0</v>
      </c>
      <c r="D1488" s="172">
        <v>1.0</v>
      </c>
      <c r="E1488" s="172" t="s">
        <v>411</v>
      </c>
      <c r="F1488" s="172" t="s">
        <v>410</v>
      </c>
      <c r="G1488" s="173" t="s">
        <v>1807</v>
      </c>
      <c r="H1488" s="172">
        <v>36.0</v>
      </c>
      <c r="J1488" s="173"/>
      <c r="K1488" s="170" t="s">
        <v>1308</v>
      </c>
    </row>
    <row r="1489" ht="15.75" customHeight="1">
      <c r="A1489" s="235">
        <v>46226.0</v>
      </c>
      <c r="B1489" s="172" t="s">
        <v>52</v>
      </c>
      <c r="C1489" s="172">
        <v>36.0</v>
      </c>
      <c r="D1489" s="172">
        <v>1.0</v>
      </c>
      <c r="E1489" s="172" t="s">
        <v>411</v>
      </c>
      <c r="F1489" s="172" t="s">
        <v>472</v>
      </c>
      <c r="G1489" s="173" t="s">
        <v>1808</v>
      </c>
      <c r="H1489" s="172">
        <v>22.5</v>
      </c>
      <c r="J1489" s="173"/>
      <c r="K1489" s="170" t="s">
        <v>1308</v>
      </c>
    </row>
    <row r="1490" ht="15.75" customHeight="1">
      <c r="A1490" s="251">
        <v>46227.0</v>
      </c>
      <c r="B1490" s="172" t="s">
        <v>63</v>
      </c>
      <c r="C1490" s="172">
        <v>34.0</v>
      </c>
      <c r="D1490" s="172">
        <v>1.0</v>
      </c>
      <c r="E1490" s="172" t="s">
        <v>411</v>
      </c>
      <c r="F1490" s="172" t="s">
        <v>410</v>
      </c>
      <c r="G1490" s="173" t="s">
        <v>1809</v>
      </c>
      <c r="H1490" s="172">
        <v>22.55</v>
      </c>
      <c r="J1490" s="173"/>
      <c r="K1490" s="170" t="s">
        <v>1308</v>
      </c>
    </row>
    <row r="1491" ht="15.75" customHeight="1">
      <c r="A1491" s="252">
        <v>46227.0</v>
      </c>
      <c r="B1491" s="172" t="s">
        <v>125</v>
      </c>
      <c r="C1491" s="172">
        <v>33.0</v>
      </c>
      <c r="D1491" s="172">
        <v>1.0</v>
      </c>
      <c r="E1491" s="172" t="s">
        <v>411</v>
      </c>
      <c r="F1491" s="172" t="s">
        <v>472</v>
      </c>
      <c r="G1491" s="337" t="s">
        <v>1810</v>
      </c>
      <c r="H1491" s="172">
        <v>23.0</v>
      </c>
      <c r="J1491" s="173"/>
      <c r="K1491" s="170" t="s">
        <v>1308</v>
      </c>
    </row>
    <row r="1492" ht="15.75" customHeight="1">
      <c r="A1492" s="252">
        <v>46227.0</v>
      </c>
      <c r="B1492" s="172" t="s">
        <v>63</v>
      </c>
      <c r="C1492" s="172">
        <v>34.0</v>
      </c>
      <c r="D1492" s="172">
        <v>1.0</v>
      </c>
      <c r="E1492" s="172" t="s">
        <v>411</v>
      </c>
      <c r="F1492" s="172" t="s">
        <v>428</v>
      </c>
      <c r="G1492" s="173" t="s">
        <v>1811</v>
      </c>
      <c r="H1492" s="172">
        <v>18.8</v>
      </c>
      <c r="J1492" s="173"/>
      <c r="K1492" s="170" t="s">
        <v>1308</v>
      </c>
    </row>
    <row r="1493" ht="15.75" customHeight="1">
      <c r="A1493" s="252">
        <v>46227.0</v>
      </c>
      <c r="B1493" s="172" t="s">
        <v>50</v>
      </c>
      <c r="C1493" s="172">
        <v>34.0</v>
      </c>
      <c r="D1493" s="172">
        <v>1.0</v>
      </c>
      <c r="E1493" s="172" t="s">
        <v>411</v>
      </c>
      <c r="F1493" s="172" t="s">
        <v>472</v>
      </c>
      <c r="G1493" s="173" t="s">
        <v>1812</v>
      </c>
      <c r="H1493" s="172">
        <v>22.99</v>
      </c>
      <c r="J1493" s="173"/>
      <c r="K1493" s="170" t="s">
        <v>1308</v>
      </c>
    </row>
    <row r="1494" ht="15.75" customHeight="1">
      <c r="A1494" s="252">
        <v>46227.0</v>
      </c>
      <c r="B1494" s="172" t="s">
        <v>115</v>
      </c>
      <c r="C1494" s="172">
        <v>34.0</v>
      </c>
      <c r="D1494" s="172">
        <v>1.0</v>
      </c>
      <c r="E1494" s="172" t="s">
        <v>411</v>
      </c>
      <c r="F1494" s="172" t="s">
        <v>472</v>
      </c>
      <c r="G1494" s="173" t="s">
        <v>1813</v>
      </c>
      <c r="H1494" s="172">
        <v>18.0</v>
      </c>
      <c r="J1494" s="173"/>
      <c r="K1494" s="170" t="s">
        <v>1308</v>
      </c>
    </row>
    <row r="1495" ht="15.75" customHeight="1">
      <c r="A1495" s="252">
        <v>46227.0</v>
      </c>
      <c r="B1495" s="172" t="s">
        <v>63</v>
      </c>
      <c r="C1495" s="172">
        <v>36.0</v>
      </c>
      <c r="D1495" s="172">
        <v>1.0</v>
      </c>
      <c r="E1495" s="172" t="s">
        <v>411</v>
      </c>
      <c r="F1495" s="172" t="s">
        <v>428</v>
      </c>
      <c r="G1495" s="173" t="s">
        <v>1785</v>
      </c>
      <c r="H1495" s="172">
        <v>22.0</v>
      </c>
      <c r="J1495" s="173"/>
      <c r="K1495" s="170" t="s">
        <v>1308</v>
      </c>
    </row>
    <row r="1496" ht="15.75" customHeight="1">
      <c r="A1496" s="235">
        <v>46227.0</v>
      </c>
      <c r="B1496" s="172" t="s">
        <v>69</v>
      </c>
      <c r="C1496" s="172">
        <v>36.0</v>
      </c>
      <c r="D1496" s="172">
        <v>1.0</v>
      </c>
      <c r="E1496" s="172" t="s">
        <v>39</v>
      </c>
      <c r="F1496" s="172" t="s">
        <v>366</v>
      </c>
      <c r="G1496" s="173" t="s">
        <v>1814</v>
      </c>
      <c r="H1496" s="172">
        <v>22.3</v>
      </c>
      <c r="J1496" s="173"/>
      <c r="K1496" s="170" t="s">
        <v>1308</v>
      </c>
    </row>
    <row r="1497" ht="15.75" customHeight="1">
      <c r="A1497" s="233">
        <v>46228.0</v>
      </c>
      <c r="B1497" s="172" t="s">
        <v>115</v>
      </c>
      <c r="C1497" s="172">
        <v>34.0</v>
      </c>
      <c r="D1497" s="172">
        <v>1.0</v>
      </c>
      <c r="E1497" s="172" t="s">
        <v>411</v>
      </c>
      <c r="F1497" s="172" t="s">
        <v>428</v>
      </c>
      <c r="G1497" s="173" t="s">
        <v>1815</v>
      </c>
      <c r="H1497" s="172">
        <v>20.0</v>
      </c>
      <c r="J1497" s="173"/>
      <c r="K1497" s="170" t="s">
        <v>1308</v>
      </c>
    </row>
    <row r="1498" ht="15.75" customHeight="1">
      <c r="A1498" s="235">
        <v>46228.0</v>
      </c>
      <c r="B1498" s="172" t="s">
        <v>1114</v>
      </c>
      <c r="C1498" s="172">
        <v>32.0</v>
      </c>
      <c r="D1498" s="172">
        <v>1.0</v>
      </c>
      <c r="E1498" s="172" t="s">
        <v>441</v>
      </c>
      <c r="F1498" s="172" t="s">
        <v>441</v>
      </c>
      <c r="G1498" s="173" t="s">
        <v>1816</v>
      </c>
      <c r="H1498" s="172">
        <v>20.0</v>
      </c>
      <c r="J1498" s="173"/>
      <c r="K1498" s="170" t="s">
        <v>1308</v>
      </c>
    </row>
    <row r="1499" ht="15.75" customHeight="1">
      <c r="A1499" s="235">
        <v>46228.0</v>
      </c>
      <c r="B1499" s="172" t="s">
        <v>125</v>
      </c>
      <c r="C1499" s="172">
        <v>33.0</v>
      </c>
      <c r="D1499" s="172">
        <v>1.0</v>
      </c>
      <c r="E1499" s="172" t="s">
        <v>441</v>
      </c>
      <c r="F1499" s="172" t="s">
        <v>490</v>
      </c>
      <c r="G1499" s="173" t="s">
        <v>1817</v>
      </c>
      <c r="H1499" s="172">
        <v>18.0</v>
      </c>
      <c r="J1499" s="173"/>
      <c r="K1499" s="170" t="s">
        <v>1308</v>
      </c>
    </row>
    <row r="1500" ht="15.75" customHeight="1">
      <c r="A1500" s="235">
        <v>46228.0</v>
      </c>
      <c r="B1500" s="172" t="s">
        <v>94</v>
      </c>
      <c r="C1500" s="172">
        <v>36.0</v>
      </c>
      <c r="D1500" s="172">
        <v>1.0</v>
      </c>
      <c r="E1500" s="172" t="s">
        <v>39</v>
      </c>
      <c r="F1500" s="172" t="s">
        <v>372</v>
      </c>
      <c r="G1500" s="173" t="s">
        <v>1818</v>
      </c>
      <c r="H1500" s="172">
        <v>18.5</v>
      </c>
      <c r="J1500" s="173"/>
      <c r="K1500" s="170" t="s">
        <v>1308</v>
      </c>
    </row>
    <row r="1501" ht="15.75" customHeight="1">
      <c r="A1501" s="235">
        <v>46228.0</v>
      </c>
      <c r="B1501" s="172" t="s">
        <v>94</v>
      </c>
      <c r="C1501" s="172">
        <v>34.0</v>
      </c>
      <c r="D1501" s="172">
        <v>1.0</v>
      </c>
      <c r="E1501" s="172" t="s">
        <v>39</v>
      </c>
      <c r="F1501" s="172" t="s">
        <v>366</v>
      </c>
      <c r="G1501" s="173" t="s">
        <v>1819</v>
      </c>
      <c r="H1501" s="172">
        <v>17.9</v>
      </c>
      <c r="J1501" s="173"/>
      <c r="K1501" s="170" t="s">
        <v>1308</v>
      </c>
    </row>
    <row r="1502" ht="15.75" customHeight="1">
      <c r="A1502" s="235">
        <v>46228.0</v>
      </c>
      <c r="B1502" s="172" t="s">
        <v>94</v>
      </c>
      <c r="C1502" s="172">
        <v>32.0</v>
      </c>
      <c r="D1502" s="172">
        <v>1.0</v>
      </c>
      <c r="E1502" s="172" t="s">
        <v>411</v>
      </c>
      <c r="F1502" s="172" t="s">
        <v>428</v>
      </c>
      <c r="G1502" s="173" t="s">
        <v>1820</v>
      </c>
      <c r="H1502" s="172">
        <v>23.99</v>
      </c>
      <c r="J1502" s="173"/>
      <c r="K1502" s="170" t="s">
        <v>1308</v>
      </c>
    </row>
    <row r="1503" ht="15.75" customHeight="1">
      <c r="A1503" s="338">
        <v>46229.0</v>
      </c>
      <c r="B1503" s="172" t="s">
        <v>50</v>
      </c>
      <c r="C1503" s="172">
        <v>32.0</v>
      </c>
      <c r="D1503" s="172">
        <v>1.0</v>
      </c>
      <c r="E1503" s="172" t="s">
        <v>39</v>
      </c>
      <c r="F1503" s="172" t="s">
        <v>366</v>
      </c>
      <c r="G1503" s="173" t="s">
        <v>1821</v>
      </c>
      <c r="H1503" s="172">
        <v>18.5</v>
      </c>
      <c r="J1503" s="173"/>
      <c r="K1503" s="170" t="s">
        <v>1308</v>
      </c>
    </row>
    <row r="1504" ht="15.75" customHeight="1">
      <c r="A1504" s="235">
        <v>46229.0</v>
      </c>
      <c r="B1504" s="172" t="s">
        <v>51</v>
      </c>
      <c r="C1504" s="172">
        <v>36.0</v>
      </c>
      <c r="D1504" s="172">
        <v>1.0</v>
      </c>
      <c r="E1504" s="172" t="s">
        <v>39</v>
      </c>
      <c r="F1504" s="172" t="s">
        <v>372</v>
      </c>
      <c r="G1504" s="173" t="s">
        <v>1822</v>
      </c>
      <c r="H1504" s="172">
        <v>18.5</v>
      </c>
      <c r="J1504" s="173"/>
      <c r="K1504" s="170" t="s">
        <v>1308</v>
      </c>
    </row>
    <row r="1505" ht="15.75" customHeight="1">
      <c r="A1505" s="235">
        <v>46229.0</v>
      </c>
      <c r="B1505" s="172" t="s">
        <v>94</v>
      </c>
      <c r="C1505" s="172">
        <v>38.0</v>
      </c>
      <c r="D1505" s="172">
        <v>1.0</v>
      </c>
      <c r="E1505" s="172" t="s">
        <v>39</v>
      </c>
      <c r="F1505" s="172" t="s">
        <v>372</v>
      </c>
      <c r="G1505" s="173" t="s">
        <v>1823</v>
      </c>
      <c r="H1505" s="172">
        <v>18.4</v>
      </c>
      <c r="J1505" s="173"/>
      <c r="K1505" s="170" t="s">
        <v>1308</v>
      </c>
    </row>
    <row r="1506" ht="15.75" customHeight="1">
      <c r="A1506" s="235">
        <v>46229.0</v>
      </c>
      <c r="B1506" s="172" t="s">
        <v>94</v>
      </c>
      <c r="C1506" s="172">
        <v>36.0</v>
      </c>
      <c r="D1506" s="172">
        <v>1.0</v>
      </c>
      <c r="E1506" s="172" t="s">
        <v>411</v>
      </c>
      <c r="F1506" s="172" t="s">
        <v>472</v>
      </c>
      <c r="G1506" s="173" t="s">
        <v>1824</v>
      </c>
      <c r="H1506" s="172">
        <v>18.0</v>
      </c>
      <c r="J1506" s="173"/>
      <c r="K1506" s="170" t="s">
        <v>1308</v>
      </c>
    </row>
    <row r="1507" ht="15.75" customHeight="1">
      <c r="A1507" s="251">
        <v>46230.0</v>
      </c>
      <c r="B1507" s="172" t="s">
        <v>50</v>
      </c>
      <c r="C1507" s="172">
        <v>34.0</v>
      </c>
      <c r="D1507" s="172">
        <v>1.0</v>
      </c>
      <c r="E1507" s="172" t="s">
        <v>441</v>
      </c>
      <c r="F1507" s="172" t="s">
        <v>465</v>
      </c>
      <c r="G1507" s="173" t="s">
        <v>1825</v>
      </c>
      <c r="H1507" s="172">
        <v>18.0</v>
      </c>
      <c r="J1507" s="173"/>
      <c r="K1507" s="170" t="s">
        <v>1308</v>
      </c>
    </row>
    <row r="1508" ht="15.75" customHeight="1">
      <c r="A1508" s="252">
        <v>46230.0</v>
      </c>
      <c r="B1508" s="172" t="s">
        <v>125</v>
      </c>
      <c r="C1508" s="172">
        <v>33.0</v>
      </c>
      <c r="D1508" s="172">
        <v>1.0</v>
      </c>
      <c r="E1508" s="172" t="s">
        <v>441</v>
      </c>
      <c r="F1508" s="172" t="s">
        <v>490</v>
      </c>
      <c r="G1508" s="173" t="s">
        <v>1748</v>
      </c>
      <c r="H1508" s="172">
        <v>18.0</v>
      </c>
      <c r="J1508" s="173"/>
      <c r="K1508" s="170" t="s">
        <v>1308</v>
      </c>
    </row>
    <row r="1509" ht="15.75" customHeight="1">
      <c r="A1509" s="252">
        <v>46230.0</v>
      </c>
      <c r="B1509" s="172" t="s">
        <v>115</v>
      </c>
      <c r="C1509" s="172">
        <v>34.0</v>
      </c>
      <c r="D1509" s="172">
        <v>1.0</v>
      </c>
      <c r="E1509" s="172" t="s">
        <v>411</v>
      </c>
      <c r="F1509" s="172" t="s">
        <v>416</v>
      </c>
      <c r="G1509" s="173" t="s">
        <v>1826</v>
      </c>
      <c r="H1509" s="172">
        <v>17.5</v>
      </c>
      <c r="J1509" s="173"/>
      <c r="K1509" s="170" t="s">
        <v>1308</v>
      </c>
    </row>
    <row r="1510" ht="15.75" customHeight="1">
      <c r="A1510" s="252">
        <v>46230.0</v>
      </c>
      <c r="B1510" s="172" t="s">
        <v>94</v>
      </c>
      <c r="C1510" s="172">
        <v>34.0</v>
      </c>
      <c r="D1510" s="172">
        <v>1.0</v>
      </c>
      <c r="E1510" s="172" t="s">
        <v>411</v>
      </c>
      <c r="F1510" s="172" t="s">
        <v>416</v>
      </c>
      <c r="G1510" s="337" t="s">
        <v>1826</v>
      </c>
      <c r="H1510" s="172">
        <v>17.5</v>
      </c>
      <c r="J1510" s="173"/>
      <c r="K1510" s="170" t="s">
        <v>1308</v>
      </c>
    </row>
    <row r="1511" ht="15.75" customHeight="1">
      <c r="A1511" s="252">
        <v>46230.0</v>
      </c>
      <c r="B1511" s="172" t="s">
        <v>125</v>
      </c>
      <c r="C1511" s="172">
        <v>33.0</v>
      </c>
      <c r="D1511" s="172">
        <v>1.0</v>
      </c>
      <c r="E1511" s="172" t="s">
        <v>441</v>
      </c>
      <c r="F1511" s="172" t="s">
        <v>490</v>
      </c>
      <c r="G1511" s="173" t="s">
        <v>1827</v>
      </c>
      <c r="H1511" s="172">
        <v>20.0</v>
      </c>
      <c r="J1511" s="173"/>
      <c r="K1511" s="170" t="s">
        <v>1308</v>
      </c>
    </row>
    <row r="1512" ht="15.75" customHeight="1">
      <c r="A1512" s="252">
        <v>46230.0</v>
      </c>
      <c r="B1512" s="172" t="s">
        <v>50</v>
      </c>
      <c r="C1512" s="172">
        <v>32.0</v>
      </c>
      <c r="D1512" s="172">
        <v>1.0</v>
      </c>
      <c r="E1512" s="172" t="s">
        <v>411</v>
      </c>
      <c r="F1512" s="172" t="s">
        <v>410</v>
      </c>
      <c r="G1512" s="173" t="s">
        <v>1828</v>
      </c>
      <c r="H1512" s="172">
        <v>21.9</v>
      </c>
      <c r="J1512" s="173"/>
      <c r="K1512" s="170" t="s">
        <v>1308</v>
      </c>
    </row>
    <row r="1513" ht="15.75" customHeight="1">
      <c r="A1513" s="252">
        <v>46230.0</v>
      </c>
      <c r="B1513" s="172" t="s">
        <v>50</v>
      </c>
      <c r="C1513" s="172">
        <v>32.0</v>
      </c>
      <c r="D1513" s="172">
        <v>1.0</v>
      </c>
      <c r="E1513" s="172" t="s">
        <v>411</v>
      </c>
      <c r="F1513" s="172" t="s">
        <v>416</v>
      </c>
      <c r="G1513" s="173" t="s">
        <v>1829</v>
      </c>
      <c r="H1513" s="172">
        <v>23.99</v>
      </c>
      <c r="J1513" s="173"/>
      <c r="K1513" s="170" t="s">
        <v>1308</v>
      </c>
    </row>
    <row r="1514" ht="15.75" customHeight="1">
      <c r="A1514" s="252">
        <v>46230.0</v>
      </c>
      <c r="B1514" s="172" t="s">
        <v>50</v>
      </c>
      <c r="C1514" s="172">
        <v>34.0</v>
      </c>
      <c r="D1514" s="172">
        <v>1.0</v>
      </c>
      <c r="E1514" s="172" t="s">
        <v>441</v>
      </c>
      <c r="F1514" s="172" t="s">
        <v>465</v>
      </c>
      <c r="G1514" s="173" t="s">
        <v>1830</v>
      </c>
      <c r="H1514" s="172">
        <v>20.0</v>
      </c>
      <c r="J1514" s="173"/>
      <c r="K1514" s="170" t="s">
        <v>1308</v>
      </c>
    </row>
    <row r="1515" ht="15.75" customHeight="1">
      <c r="A1515" s="251">
        <v>46231.0</v>
      </c>
      <c r="B1515" s="172" t="s">
        <v>51</v>
      </c>
      <c r="C1515" s="172">
        <v>36.0</v>
      </c>
      <c r="D1515" s="172">
        <v>1.0</v>
      </c>
      <c r="E1515" s="172" t="s">
        <v>39</v>
      </c>
      <c r="F1515" s="172" t="s">
        <v>372</v>
      </c>
      <c r="G1515" s="173" t="s">
        <v>1831</v>
      </c>
      <c r="H1515" s="172">
        <v>20.0</v>
      </c>
      <c r="J1515" s="173"/>
      <c r="K1515" s="170" t="s">
        <v>1308</v>
      </c>
    </row>
    <row r="1516" ht="15.75" customHeight="1">
      <c r="A1516" s="235">
        <v>46231.0</v>
      </c>
      <c r="B1516" s="172" t="s">
        <v>94</v>
      </c>
      <c r="C1516" s="172">
        <v>34.0</v>
      </c>
      <c r="D1516" s="172">
        <v>1.0</v>
      </c>
      <c r="E1516" s="172" t="s">
        <v>39</v>
      </c>
      <c r="F1516" s="172" t="s">
        <v>366</v>
      </c>
      <c r="G1516" s="173" t="s">
        <v>1832</v>
      </c>
      <c r="H1516" s="172">
        <v>18.9</v>
      </c>
      <c r="J1516" s="173"/>
      <c r="K1516" s="170" t="s">
        <v>1308</v>
      </c>
    </row>
    <row r="1517" ht="15.75" customHeight="1">
      <c r="A1517" s="235">
        <v>46231.0</v>
      </c>
      <c r="B1517" s="172" t="s">
        <v>115</v>
      </c>
      <c r="C1517" s="172">
        <v>34.0</v>
      </c>
      <c r="D1517" s="172">
        <v>1.0</v>
      </c>
      <c r="E1517" s="172" t="s">
        <v>441</v>
      </c>
      <c r="F1517" s="172" t="s">
        <v>441</v>
      </c>
      <c r="G1517" s="173" t="s">
        <v>1833</v>
      </c>
      <c r="H1517" s="172">
        <v>18.49</v>
      </c>
      <c r="J1517" s="173"/>
      <c r="K1517" s="170" t="s">
        <v>1308</v>
      </c>
    </row>
    <row r="1518" ht="15.75" customHeight="1">
      <c r="A1518" s="235">
        <v>46231.0</v>
      </c>
      <c r="B1518" s="172" t="s">
        <v>63</v>
      </c>
      <c r="C1518" s="172">
        <v>36.0</v>
      </c>
      <c r="D1518" s="172">
        <v>1.0</v>
      </c>
      <c r="E1518" s="172" t="s">
        <v>39</v>
      </c>
      <c r="F1518" s="172" t="s">
        <v>366</v>
      </c>
      <c r="G1518" s="173" t="s">
        <v>1834</v>
      </c>
      <c r="H1518" s="172">
        <v>17.8</v>
      </c>
      <c r="J1518" s="173"/>
      <c r="K1518" s="170" t="s">
        <v>1308</v>
      </c>
    </row>
    <row r="1519" ht="15.75" customHeight="1">
      <c r="A1519" s="235">
        <v>46231.0</v>
      </c>
      <c r="B1519" s="172" t="s">
        <v>125</v>
      </c>
      <c r="C1519" s="172">
        <v>33.0</v>
      </c>
      <c r="D1519" s="172">
        <v>1.0</v>
      </c>
      <c r="E1519" s="172" t="s">
        <v>441</v>
      </c>
      <c r="F1519" s="172" t="s">
        <v>490</v>
      </c>
      <c r="G1519" s="173" t="s">
        <v>1835</v>
      </c>
      <c r="H1519" s="172">
        <v>18.4</v>
      </c>
      <c r="J1519" s="173"/>
      <c r="K1519" s="170" t="s">
        <v>1308</v>
      </c>
    </row>
    <row r="1520" ht="15.75" customHeight="1">
      <c r="A1520" s="235">
        <v>46231.0</v>
      </c>
      <c r="B1520" s="172" t="s">
        <v>125</v>
      </c>
      <c r="C1520" s="172">
        <v>33.0</v>
      </c>
      <c r="D1520" s="172">
        <v>1.0</v>
      </c>
      <c r="E1520" s="172" t="s">
        <v>441</v>
      </c>
      <c r="F1520" s="172" t="s">
        <v>490</v>
      </c>
      <c r="G1520" s="173" t="s">
        <v>1836</v>
      </c>
      <c r="H1520" s="172">
        <v>23.0</v>
      </c>
      <c r="J1520" s="173"/>
      <c r="K1520" s="170" t="s">
        <v>1308</v>
      </c>
    </row>
    <row r="1521" ht="15.75" customHeight="1">
      <c r="A1521" s="235">
        <v>46231.0</v>
      </c>
      <c r="B1521" s="172" t="s">
        <v>51</v>
      </c>
      <c r="C1521" s="172">
        <v>32.0</v>
      </c>
      <c r="D1521" s="172">
        <v>1.0</v>
      </c>
      <c r="E1521" s="172" t="s">
        <v>411</v>
      </c>
      <c r="F1521" s="172" t="s">
        <v>410</v>
      </c>
      <c r="G1521" s="173" t="s">
        <v>1837</v>
      </c>
      <c r="H1521" s="172">
        <v>19.5</v>
      </c>
      <c r="J1521" s="173"/>
      <c r="K1521" s="170" t="s">
        <v>1308</v>
      </c>
    </row>
    <row r="1522" ht="15.75" customHeight="1">
      <c r="A1522" s="235">
        <v>46231.0</v>
      </c>
      <c r="B1522" s="172" t="s">
        <v>69</v>
      </c>
      <c r="C1522" s="172">
        <v>32.0</v>
      </c>
      <c r="D1522" s="172">
        <v>1.0</v>
      </c>
      <c r="E1522" s="172" t="s">
        <v>411</v>
      </c>
      <c r="F1522" s="172" t="s">
        <v>472</v>
      </c>
      <c r="G1522" s="337" t="s">
        <v>1838</v>
      </c>
      <c r="H1522" s="172">
        <v>21.0</v>
      </c>
      <c r="J1522" s="173"/>
      <c r="K1522" s="170" t="s">
        <v>1308</v>
      </c>
    </row>
    <row r="1523" ht="15.75" customHeight="1">
      <c r="A1523" s="235">
        <v>46231.0</v>
      </c>
      <c r="B1523" s="172" t="s">
        <v>51</v>
      </c>
      <c r="C1523" s="172">
        <v>36.0</v>
      </c>
      <c r="D1523" s="172">
        <v>1.0</v>
      </c>
      <c r="E1523" s="172" t="s">
        <v>411</v>
      </c>
      <c r="F1523" s="172" t="s">
        <v>410</v>
      </c>
      <c r="G1523" s="173" t="s">
        <v>1839</v>
      </c>
      <c r="H1523" s="172">
        <v>18.5</v>
      </c>
      <c r="J1523" s="173"/>
      <c r="K1523" s="170" t="s">
        <v>1308</v>
      </c>
    </row>
    <row r="1524" ht="15.75" customHeight="1">
      <c r="A1524" s="235">
        <v>46231.0</v>
      </c>
      <c r="B1524" s="172" t="s">
        <v>125</v>
      </c>
      <c r="C1524" s="172">
        <v>33.0</v>
      </c>
      <c r="D1524" s="172">
        <v>1.0</v>
      </c>
      <c r="E1524" s="172" t="s">
        <v>411</v>
      </c>
      <c r="F1524" s="172" t="s">
        <v>472</v>
      </c>
      <c r="G1524" s="173" t="s">
        <v>1835</v>
      </c>
      <c r="H1524" s="172">
        <v>18.4</v>
      </c>
      <c r="J1524" s="173"/>
      <c r="K1524" s="170" t="s">
        <v>1308</v>
      </c>
    </row>
    <row r="1525" ht="15.75" customHeight="1">
      <c r="A1525" s="235">
        <v>46231.0</v>
      </c>
      <c r="B1525" s="172" t="s">
        <v>115</v>
      </c>
      <c r="C1525" s="172">
        <v>34.0</v>
      </c>
      <c r="D1525" s="172">
        <v>1.0</v>
      </c>
      <c r="E1525" s="172" t="s">
        <v>39</v>
      </c>
      <c r="F1525" s="172" t="s">
        <v>372</v>
      </c>
      <c r="G1525" s="173" t="s">
        <v>1840</v>
      </c>
      <c r="H1525" s="172">
        <v>18.0</v>
      </c>
      <c r="J1525" s="173"/>
      <c r="K1525" s="171" t="s">
        <v>1308</v>
      </c>
    </row>
    <row r="1526" ht="15.75" customHeight="1">
      <c r="A1526" s="235">
        <v>46231.0</v>
      </c>
      <c r="B1526" s="172" t="s">
        <v>69</v>
      </c>
      <c r="C1526" s="172">
        <v>32.0</v>
      </c>
      <c r="D1526" s="172">
        <v>1.0</v>
      </c>
      <c r="E1526" s="172" t="s">
        <v>441</v>
      </c>
      <c r="F1526" s="172" t="s">
        <v>459</v>
      </c>
      <c r="G1526" s="173" t="s">
        <v>1841</v>
      </c>
      <c r="H1526" s="172">
        <v>18.0</v>
      </c>
      <c r="J1526" s="173"/>
      <c r="K1526" s="170" t="s">
        <v>1308</v>
      </c>
    </row>
    <row r="1527" ht="15.75" customHeight="1">
      <c r="A1527" s="235">
        <v>46231.0</v>
      </c>
      <c r="B1527" s="172" t="s">
        <v>52</v>
      </c>
      <c r="C1527" s="172">
        <v>36.0</v>
      </c>
      <c r="D1527" s="172">
        <v>1.0</v>
      </c>
      <c r="E1527" s="172" t="s">
        <v>441</v>
      </c>
      <c r="F1527" s="172" t="s">
        <v>459</v>
      </c>
      <c r="G1527" s="173" t="s">
        <v>1842</v>
      </c>
      <c r="H1527" s="172">
        <v>18.0</v>
      </c>
      <c r="J1527" s="173"/>
      <c r="K1527" s="170" t="s">
        <v>1308</v>
      </c>
    </row>
    <row r="1528" ht="15.75" customHeight="1">
      <c r="A1528" s="251">
        <v>46232.0</v>
      </c>
      <c r="B1528" s="172" t="s">
        <v>53</v>
      </c>
      <c r="C1528" s="172">
        <v>32.0</v>
      </c>
      <c r="D1528" s="172">
        <v>1.0</v>
      </c>
      <c r="E1528" s="172" t="s">
        <v>453</v>
      </c>
      <c r="F1528" s="172" t="s">
        <v>486</v>
      </c>
      <c r="G1528" s="173" t="s">
        <v>1841</v>
      </c>
      <c r="H1528" s="172">
        <v>18.0</v>
      </c>
      <c r="J1528" s="173"/>
      <c r="K1528" s="170" t="s">
        <v>1308</v>
      </c>
    </row>
    <row r="1529" ht="15.75" customHeight="1">
      <c r="A1529" s="235">
        <v>46232.0</v>
      </c>
      <c r="B1529" s="172" t="s">
        <v>69</v>
      </c>
      <c r="C1529" s="172">
        <v>32.0</v>
      </c>
      <c r="D1529" s="172">
        <v>1.0</v>
      </c>
      <c r="E1529" s="172" t="s">
        <v>39</v>
      </c>
      <c r="F1529" s="172" t="s">
        <v>366</v>
      </c>
      <c r="G1529" s="173" t="s">
        <v>1843</v>
      </c>
      <c r="H1529" s="172">
        <v>18.99</v>
      </c>
      <c r="J1529" s="173"/>
      <c r="K1529" s="170" t="s">
        <v>1308</v>
      </c>
    </row>
    <row r="1530" ht="15.75" customHeight="1">
      <c r="A1530" s="235">
        <v>46232.0</v>
      </c>
      <c r="B1530" s="172" t="s">
        <v>63</v>
      </c>
      <c r="C1530" s="172">
        <v>34.0</v>
      </c>
      <c r="D1530" s="172">
        <v>1.0</v>
      </c>
      <c r="E1530" s="172" t="s">
        <v>39</v>
      </c>
      <c r="F1530" s="172" t="s">
        <v>366</v>
      </c>
      <c r="G1530" s="173" t="s">
        <v>1844</v>
      </c>
      <c r="H1530" s="172">
        <v>17.9</v>
      </c>
      <c r="J1530" s="173"/>
      <c r="K1530" s="170" t="s">
        <v>1308</v>
      </c>
    </row>
    <row r="1531" ht="15.75" customHeight="1">
      <c r="A1531" s="235">
        <v>46232.0</v>
      </c>
      <c r="B1531" s="172" t="s">
        <v>115</v>
      </c>
      <c r="C1531" s="172">
        <v>34.0</v>
      </c>
      <c r="D1531" s="172">
        <v>1.0</v>
      </c>
      <c r="E1531" s="172" t="s">
        <v>39</v>
      </c>
      <c r="F1531" s="172" t="s">
        <v>372</v>
      </c>
      <c r="G1531" s="173" t="s">
        <v>1845</v>
      </c>
      <c r="H1531" s="172">
        <v>20.0</v>
      </c>
      <c r="J1531" s="173"/>
      <c r="K1531" s="170" t="s">
        <v>1308</v>
      </c>
    </row>
    <row r="1532" ht="15.75" customHeight="1">
      <c r="A1532" s="235">
        <v>46232.0</v>
      </c>
      <c r="B1532" s="172" t="s">
        <v>69</v>
      </c>
      <c r="C1532" s="172">
        <v>32.0</v>
      </c>
      <c r="D1532" s="172">
        <v>1.0</v>
      </c>
      <c r="E1532" s="172" t="s">
        <v>441</v>
      </c>
      <c r="F1532" s="172" t="s">
        <v>459</v>
      </c>
      <c r="G1532" s="173" t="s">
        <v>1846</v>
      </c>
      <c r="H1532" s="172">
        <v>20.0</v>
      </c>
      <c r="J1532" s="173"/>
      <c r="K1532" s="170" t="s">
        <v>1308</v>
      </c>
    </row>
    <row r="1533" ht="15.75" customHeight="1">
      <c r="A1533" s="235">
        <v>46232.0</v>
      </c>
      <c r="B1533" s="172" t="s">
        <v>63</v>
      </c>
      <c r="C1533" s="172">
        <v>32.0</v>
      </c>
      <c r="D1533" s="172">
        <v>1.0</v>
      </c>
      <c r="E1533" s="172" t="s">
        <v>39</v>
      </c>
      <c r="F1533" s="172" t="s">
        <v>372</v>
      </c>
      <c r="G1533" s="173" t="s">
        <v>1847</v>
      </c>
      <c r="H1533" s="172">
        <v>22.8</v>
      </c>
      <c r="J1533" s="173"/>
      <c r="K1533" s="170" t="s">
        <v>1308</v>
      </c>
    </row>
    <row r="1534" ht="15.75" customHeight="1">
      <c r="A1534" s="235">
        <v>46232.0</v>
      </c>
      <c r="B1534" s="172" t="s">
        <v>94</v>
      </c>
      <c r="C1534" s="172">
        <v>34.0</v>
      </c>
      <c r="D1534" s="172">
        <v>1.0</v>
      </c>
      <c r="E1534" s="172" t="s">
        <v>39</v>
      </c>
      <c r="F1534" s="172" t="s">
        <v>366</v>
      </c>
      <c r="G1534" s="173" t="s">
        <v>1848</v>
      </c>
      <c r="H1534" s="172">
        <v>18.5</v>
      </c>
      <c r="J1534" s="173"/>
      <c r="K1534" s="170" t="s">
        <v>1308</v>
      </c>
    </row>
    <row r="1535" ht="15.75" customHeight="1">
      <c r="A1535" s="235">
        <v>46232.0</v>
      </c>
      <c r="B1535" s="172" t="s">
        <v>63</v>
      </c>
      <c r="C1535" s="172">
        <v>36.0</v>
      </c>
      <c r="D1535" s="172">
        <v>1.0</v>
      </c>
      <c r="E1535" s="172" t="s">
        <v>39</v>
      </c>
      <c r="F1535" s="172" t="s">
        <v>366</v>
      </c>
      <c r="G1535" s="173" t="s">
        <v>1849</v>
      </c>
      <c r="H1535" s="172">
        <v>16.5</v>
      </c>
      <c r="J1535" s="173"/>
      <c r="K1535" s="170" t="s">
        <v>1308</v>
      </c>
    </row>
    <row r="1536" ht="15.75" customHeight="1">
      <c r="A1536" s="235">
        <v>46232.0</v>
      </c>
      <c r="B1536" s="172" t="s">
        <v>63</v>
      </c>
      <c r="C1536" s="172">
        <v>32.0</v>
      </c>
      <c r="D1536" s="172">
        <v>1.0</v>
      </c>
      <c r="E1536" s="172" t="s">
        <v>411</v>
      </c>
      <c r="F1536" s="172" t="s">
        <v>428</v>
      </c>
      <c r="G1536" s="173" t="s">
        <v>1847</v>
      </c>
      <c r="H1536" s="172">
        <v>21.5</v>
      </c>
      <c r="J1536" s="173"/>
      <c r="K1536" s="170" t="s">
        <v>1308</v>
      </c>
    </row>
    <row r="1537" ht="15.75" customHeight="1">
      <c r="A1537" s="233">
        <v>46233.0</v>
      </c>
      <c r="B1537" s="172" t="s">
        <v>94</v>
      </c>
      <c r="C1537" s="172">
        <v>38.0</v>
      </c>
      <c r="D1537" s="172">
        <v>1.0</v>
      </c>
      <c r="E1537" s="172" t="s">
        <v>39</v>
      </c>
      <c r="F1537" s="172" t="s">
        <v>372</v>
      </c>
      <c r="G1537" s="173" t="s">
        <v>1850</v>
      </c>
      <c r="H1537" s="172">
        <v>18.0</v>
      </c>
      <c r="J1537" s="173"/>
      <c r="K1537" s="170" t="s">
        <v>1308</v>
      </c>
    </row>
    <row r="1538" ht="15.75" customHeight="1">
      <c r="A1538" s="235">
        <v>46233.0</v>
      </c>
      <c r="B1538" s="172" t="s">
        <v>51</v>
      </c>
      <c r="C1538" s="172">
        <v>34.0</v>
      </c>
      <c r="D1538" s="172">
        <v>1.0</v>
      </c>
      <c r="E1538" s="172" t="s">
        <v>39</v>
      </c>
      <c r="F1538" s="172" t="s">
        <v>366</v>
      </c>
      <c r="G1538" s="173" t="s">
        <v>1851</v>
      </c>
      <c r="H1538" s="172">
        <v>22.2</v>
      </c>
      <c r="J1538" s="173"/>
      <c r="K1538" s="170" t="s">
        <v>1308</v>
      </c>
    </row>
    <row r="1539" ht="15.75" customHeight="1">
      <c r="A1539" s="235">
        <v>46233.0</v>
      </c>
      <c r="B1539" s="172" t="s">
        <v>115</v>
      </c>
      <c r="C1539" s="172">
        <v>34.0</v>
      </c>
      <c r="D1539" s="172">
        <v>1.0</v>
      </c>
      <c r="E1539" s="172" t="s">
        <v>39</v>
      </c>
      <c r="F1539" s="172" t="s">
        <v>372</v>
      </c>
      <c r="G1539" s="173" t="s">
        <v>1852</v>
      </c>
      <c r="H1539" s="172">
        <v>20.0</v>
      </c>
      <c r="J1539" s="173"/>
      <c r="K1539" s="170" t="s">
        <v>1308</v>
      </c>
    </row>
    <row r="1540" ht="15.75" customHeight="1">
      <c r="A1540" s="235">
        <v>46233.0</v>
      </c>
      <c r="B1540" s="172" t="s">
        <v>69</v>
      </c>
      <c r="C1540" s="172">
        <v>32.0</v>
      </c>
      <c r="D1540" s="172">
        <v>1.0</v>
      </c>
      <c r="E1540" s="172" t="s">
        <v>39</v>
      </c>
      <c r="F1540" s="172" t="s">
        <v>366</v>
      </c>
      <c r="G1540" s="173" t="s">
        <v>1853</v>
      </c>
      <c r="H1540" s="172">
        <v>22.5</v>
      </c>
      <c r="J1540" s="173"/>
      <c r="K1540" s="170" t="s">
        <v>1308</v>
      </c>
    </row>
    <row r="1541" ht="15.75" customHeight="1">
      <c r="A1541" s="235">
        <v>46233.0</v>
      </c>
      <c r="B1541" s="172" t="s">
        <v>63</v>
      </c>
      <c r="C1541" s="172">
        <v>34.0</v>
      </c>
      <c r="D1541" s="172">
        <v>1.0</v>
      </c>
      <c r="E1541" s="172" t="s">
        <v>411</v>
      </c>
      <c r="F1541" s="172" t="s">
        <v>416</v>
      </c>
      <c r="G1541" s="173" t="s">
        <v>1854</v>
      </c>
      <c r="H1541" s="172">
        <v>22.99</v>
      </c>
      <c r="J1541" s="173"/>
      <c r="K1541" s="170" t="s">
        <v>1308</v>
      </c>
    </row>
    <row r="1542" ht="15.75" customHeight="1">
      <c r="A1542" s="235">
        <v>46233.0</v>
      </c>
      <c r="B1542" s="172" t="s">
        <v>63</v>
      </c>
      <c r="C1542" s="172">
        <v>36.0</v>
      </c>
      <c r="D1542" s="172">
        <v>1.0</v>
      </c>
      <c r="E1542" s="172" t="s">
        <v>39</v>
      </c>
      <c r="F1542" s="172" t="s">
        <v>372</v>
      </c>
      <c r="G1542" s="173" t="s">
        <v>1855</v>
      </c>
      <c r="H1542" s="172">
        <v>22.6</v>
      </c>
      <c r="J1542" s="173"/>
      <c r="K1542" s="170" t="s">
        <v>1308</v>
      </c>
    </row>
    <row r="1543" ht="15.75" customHeight="1">
      <c r="A1543" s="235">
        <v>46233.0</v>
      </c>
      <c r="B1543" s="172" t="s">
        <v>115</v>
      </c>
      <c r="C1543" s="172">
        <v>34.0</v>
      </c>
      <c r="D1543" s="172">
        <v>1.0</v>
      </c>
      <c r="E1543" s="172" t="s">
        <v>39</v>
      </c>
      <c r="F1543" s="172" t="s">
        <v>366</v>
      </c>
      <c r="G1543" s="173" t="s">
        <v>1856</v>
      </c>
      <c r="H1543" s="172">
        <v>18.2</v>
      </c>
      <c r="J1543" s="173"/>
      <c r="K1543" s="170" t="s">
        <v>1308</v>
      </c>
    </row>
    <row r="1544" ht="15.75" customHeight="1">
      <c r="A1544" s="235">
        <v>46233.0</v>
      </c>
      <c r="B1544" s="172" t="s">
        <v>115</v>
      </c>
      <c r="C1544" s="172">
        <v>34.0</v>
      </c>
      <c r="D1544" s="172">
        <v>1.0</v>
      </c>
      <c r="E1544" s="172" t="s">
        <v>39</v>
      </c>
      <c r="F1544" s="172" t="s">
        <v>372</v>
      </c>
      <c r="G1544" s="173" t="s">
        <v>1857</v>
      </c>
      <c r="H1544" s="172">
        <v>0.0</v>
      </c>
      <c r="I1544" s="173" t="s">
        <v>1858</v>
      </c>
      <c r="J1544" s="173"/>
      <c r="K1544" s="170" t="s">
        <v>1308</v>
      </c>
    </row>
    <row r="1545" ht="15.75" customHeight="1">
      <c r="A1545" s="235">
        <v>46233.0</v>
      </c>
      <c r="B1545" s="172" t="s">
        <v>51</v>
      </c>
      <c r="C1545" s="172">
        <v>32.0</v>
      </c>
      <c r="D1545" s="172">
        <v>1.0</v>
      </c>
      <c r="E1545" s="172" t="s">
        <v>39</v>
      </c>
      <c r="F1545" s="172" t="s">
        <v>372</v>
      </c>
      <c r="G1545" s="173" t="s">
        <v>1859</v>
      </c>
      <c r="H1545" s="172">
        <v>18.5</v>
      </c>
      <c r="J1545" s="173"/>
      <c r="K1545" s="170" t="s">
        <v>1308</v>
      </c>
    </row>
    <row r="1546" ht="15.75" customHeight="1">
      <c r="A1546" s="235">
        <v>46233.0</v>
      </c>
      <c r="B1546" s="172" t="s">
        <v>115</v>
      </c>
      <c r="C1546" s="172">
        <v>32.0</v>
      </c>
      <c r="D1546" s="172">
        <v>1.0</v>
      </c>
      <c r="E1546" s="172" t="s">
        <v>39</v>
      </c>
      <c r="F1546" s="172" t="s">
        <v>382</v>
      </c>
      <c r="G1546" s="173" t="s">
        <v>1860</v>
      </c>
      <c r="H1546" s="172">
        <v>8.5</v>
      </c>
      <c r="I1546" s="173" t="s">
        <v>1861</v>
      </c>
      <c r="J1546" s="173"/>
      <c r="K1546" s="170" t="s">
        <v>1308</v>
      </c>
    </row>
    <row r="1547" ht="15.75" customHeight="1">
      <c r="A1547" s="235">
        <v>46233.0</v>
      </c>
      <c r="B1547" s="172" t="s">
        <v>115</v>
      </c>
      <c r="C1547" s="172">
        <v>34.0</v>
      </c>
      <c r="D1547" s="172">
        <v>1.0</v>
      </c>
      <c r="E1547" s="172" t="s">
        <v>39</v>
      </c>
      <c r="F1547" s="172" t="s">
        <v>372</v>
      </c>
      <c r="G1547" s="173" t="s">
        <v>1862</v>
      </c>
      <c r="H1547" s="172">
        <v>20.0</v>
      </c>
      <c r="J1547" s="173"/>
      <c r="K1547" s="170" t="s">
        <v>1308</v>
      </c>
    </row>
    <row r="1548" ht="15.75" customHeight="1">
      <c r="A1548" s="235">
        <v>46233.0</v>
      </c>
      <c r="B1548" s="172" t="s">
        <v>63</v>
      </c>
      <c r="C1548" s="172">
        <v>36.0</v>
      </c>
      <c r="D1548" s="172">
        <v>1.0</v>
      </c>
      <c r="E1548" s="172" t="s">
        <v>39</v>
      </c>
      <c r="F1548" s="172" t="s">
        <v>372</v>
      </c>
      <c r="G1548" s="173" t="s">
        <v>1863</v>
      </c>
      <c r="H1548" s="172">
        <v>21.515</v>
      </c>
      <c r="J1548" s="173"/>
      <c r="K1548" s="170" t="s">
        <v>1308</v>
      </c>
    </row>
    <row r="1549" ht="15.75" customHeight="1">
      <c r="A1549" s="235">
        <v>46233.0</v>
      </c>
      <c r="B1549" s="172" t="s">
        <v>51</v>
      </c>
      <c r="C1549" s="172">
        <v>36.0</v>
      </c>
      <c r="D1549" s="172">
        <v>1.0</v>
      </c>
      <c r="E1549" s="172" t="s">
        <v>39</v>
      </c>
      <c r="F1549" s="172" t="s">
        <v>372</v>
      </c>
      <c r="G1549" s="173" t="s">
        <v>1863</v>
      </c>
      <c r="H1549" s="172">
        <v>21.515</v>
      </c>
      <c r="J1549" s="173"/>
      <c r="K1549" s="170" t="s">
        <v>1308</v>
      </c>
    </row>
    <row r="1550" ht="15.75" customHeight="1">
      <c r="A1550" s="235">
        <v>46233.0</v>
      </c>
      <c r="B1550" s="172" t="s">
        <v>125</v>
      </c>
      <c r="C1550" s="172">
        <v>33.0</v>
      </c>
      <c r="D1550" s="172">
        <v>1.0</v>
      </c>
      <c r="E1550" s="172" t="s">
        <v>441</v>
      </c>
      <c r="F1550" s="172" t="s">
        <v>465</v>
      </c>
      <c r="G1550" s="173" t="s">
        <v>1864</v>
      </c>
      <c r="H1550" s="172">
        <v>20.0</v>
      </c>
      <c r="J1550" s="173"/>
      <c r="K1550" s="170" t="s">
        <v>1308</v>
      </c>
    </row>
    <row r="1551" ht="15.75" customHeight="1">
      <c r="A1551" s="235">
        <v>46233.0</v>
      </c>
      <c r="B1551" s="172" t="s">
        <v>50</v>
      </c>
      <c r="C1551" s="172">
        <v>34.0</v>
      </c>
      <c r="D1551" s="172">
        <v>1.0</v>
      </c>
      <c r="E1551" s="172" t="s">
        <v>39</v>
      </c>
      <c r="F1551" s="172" t="s">
        <v>372</v>
      </c>
      <c r="G1551" s="173" t="s">
        <v>1865</v>
      </c>
      <c r="H1551" s="172">
        <v>17.8</v>
      </c>
      <c r="J1551" s="173"/>
      <c r="K1551" s="170" t="s">
        <v>1308</v>
      </c>
    </row>
    <row r="1552" ht="15.75" customHeight="1">
      <c r="A1552" s="235">
        <v>46233.0</v>
      </c>
      <c r="B1552" s="172" t="s">
        <v>115</v>
      </c>
      <c r="C1552" s="172">
        <v>34.0</v>
      </c>
      <c r="D1552" s="172">
        <v>1.0</v>
      </c>
      <c r="E1552" s="172" t="s">
        <v>39</v>
      </c>
      <c r="F1552" s="172" t="s">
        <v>372</v>
      </c>
      <c r="G1552" s="173" t="s">
        <v>1866</v>
      </c>
      <c r="H1552" s="172">
        <v>18.0</v>
      </c>
      <c r="J1552" s="173"/>
      <c r="K1552" s="170" t="s">
        <v>1308</v>
      </c>
    </row>
    <row r="1553" ht="15.75" customHeight="1">
      <c r="A1553" s="235">
        <v>46233.0</v>
      </c>
      <c r="B1553" s="172" t="s">
        <v>50</v>
      </c>
      <c r="C1553" s="172">
        <v>32.0</v>
      </c>
      <c r="D1553" s="172">
        <v>1.0</v>
      </c>
      <c r="E1553" s="172" t="s">
        <v>39</v>
      </c>
      <c r="F1553" s="172" t="s">
        <v>372</v>
      </c>
      <c r="G1553" s="173">
        <v>112383.0</v>
      </c>
      <c r="H1553" s="172">
        <v>20.4</v>
      </c>
      <c r="J1553" s="173"/>
      <c r="K1553" s="170" t="s">
        <v>1308</v>
      </c>
    </row>
    <row r="1554" ht="15.75" customHeight="1">
      <c r="A1554" s="233">
        <v>46234.0</v>
      </c>
      <c r="B1554" s="172" t="s">
        <v>63</v>
      </c>
      <c r="C1554" s="172">
        <v>36.0</v>
      </c>
      <c r="D1554" s="172">
        <v>1.0</v>
      </c>
      <c r="E1554" s="172" t="s">
        <v>39</v>
      </c>
      <c r="F1554" s="172" t="s">
        <v>366</v>
      </c>
      <c r="G1554" s="173" t="s">
        <v>1867</v>
      </c>
      <c r="H1554" s="172">
        <v>22.2</v>
      </c>
      <c r="J1554" s="173"/>
      <c r="K1554" s="170" t="s">
        <v>1308</v>
      </c>
    </row>
    <row r="1555" ht="15.75" customHeight="1">
      <c r="A1555" s="235">
        <v>46234.0</v>
      </c>
      <c r="B1555" s="172" t="s">
        <v>51</v>
      </c>
      <c r="C1555" s="172">
        <v>36.0</v>
      </c>
      <c r="D1555" s="172">
        <v>1.0</v>
      </c>
      <c r="E1555" s="172" t="s">
        <v>39</v>
      </c>
      <c r="F1555" s="172" t="s">
        <v>372</v>
      </c>
      <c r="G1555" s="173" t="s">
        <v>1868</v>
      </c>
      <c r="H1555" s="172">
        <v>18.2</v>
      </c>
      <c r="J1555" s="173"/>
      <c r="K1555" s="170" t="s">
        <v>1308</v>
      </c>
    </row>
    <row r="1556" ht="15.75" customHeight="1">
      <c r="A1556" s="235">
        <v>46234.0</v>
      </c>
      <c r="B1556" s="172" t="s">
        <v>50</v>
      </c>
      <c r="C1556" s="172">
        <v>32.0</v>
      </c>
      <c r="D1556" s="172">
        <v>1.0</v>
      </c>
      <c r="E1556" s="172" t="s">
        <v>453</v>
      </c>
      <c r="F1556" s="172" t="s">
        <v>486</v>
      </c>
      <c r="G1556" s="173" t="s">
        <v>1869</v>
      </c>
      <c r="H1556" s="172">
        <v>19.0</v>
      </c>
      <c r="J1556" s="173"/>
      <c r="K1556" s="170" t="s">
        <v>1308</v>
      </c>
    </row>
    <row r="1557" ht="15.75" customHeight="1">
      <c r="A1557" s="235">
        <v>46234.0</v>
      </c>
      <c r="B1557" s="172" t="s">
        <v>63</v>
      </c>
      <c r="C1557" s="172">
        <v>32.0</v>
      </c>
      <c r="D1557" s="172">
        <v>1.0</v>
      </c>
      <c r="E1557" s="172" t="s">
        <v>39</v>
      </c>
      <c r="F1557" s="172" t="s">
        <v>372</v>
      </c>
      <c r="G1557" s="173" t="s">
        <v>1870</v>
      </c>
      <c r="H1557" s="172">
        <v>20.5</v>
      </c>
      <c r="J1557" s="173"/>
      <c r="K1557" s="170" t="s">
        <v>1308</v>
      </c>
    </row>
    <row r="1558" ht="15.75" customHeight="1">
      <c r="A1558" s="235">
        <v>46234.0</v>
      </c>
      <c r="B1558" s="172" t="s">
        <v>50</v>
      </c>
      <c r="C1558" s="172">
        <v>32.0</v>
      </c>
      <c r="D1558" s="172">
        <v>1.0</v>
      </c>
      <c r="E1558" s="172" t="s">
        <v>411</v>
      </c>
      <c r="F1558" s="172" t="s">
        <v>410</v>
      </c>
      <c r="G1558" s="173" t="s">
        <v>1871</v>
      </c>
      <c r="H1558" s="172">
        <v>18.0</v>
      </c>
      <c r="J1558" s="173"/>
      <c r="K1558" s="170" t="s">
        <v>1308</v>
      </c>
    </row>
    <row r="1559" ht="15.75" customHeight="1">
      <c r="A1559" s="235">
        <v>46234.0</v>
      </c>
      <c r="B1559" s="172" t="s">
        <v>50</v>
      </c>
      <c r="C1559" s="172">
        <v>32.0</v>
      </c>
      <c r="D1559" s="172">
        <v>1.0</v>
      </c>
      <c r="E1559" s="172" t="s">
        <v>411</v>
      </c>
      <c r="F1559" s="172" t="s">
        <v>428</v>
      </c>
      <c r="G1559" s="173" t="s">
        <v>1872</v>
      </c>
      <c r="H1559" s="172">
        <v>24.75</v>
      </c>
      <c r="J1559" s="173"/>
      <c r="K1559" s="170" t="s">
        <v>1308</v>
      </c>
    </row>
    <row r="1560" ht="15.75" customHeight="1">
      <c r="A1560" s="235">
        <v>46234.0</v>
      </c>
      <c r="B1560" s="172" t="s">
        <v>50</v>
      </c>
      <c r="C1560" s="172">
        <v>32.0</v>
      </c>
      <c r="D1560" s="172">
        <v>1.0</v>
      </c>
      <c r="E1560" s="172" t="s">
        <v>39</v>
      </c>
      <c r="F1560" s="172" t="s">
        <v>366</v>
      </c>
      <c r="G1560" s="173" t="s">
        <v>1873</v>
      </c>
      <c r="H1560" s="172">
        <v>20.0</v>
      </c>
      <c r="J1560" s="173"/>
      <c r="K1560" s="170" t="s">
        <v>1308</v>
      </c>
    </row>
    <row r="1561" ht="15.75" customHeight="1">
      <c r="A1561" s="235">
        <v>46234.0</v>
      </c>
      <c r="B1561" s="172" t="s">
        <v>51</v>
      </c>
      <c r="C1561" s="172">
        <v>36.0</v>
      </c>
      <c r="D1561" s="172">
        <v>1.0</v>
      </c>
      <c r="E1561" s="172" t="s">
        <v>411</v>
      </c>
      <c r="F1561" s="172" t="s">
        <v>410</v>
      </c>
      <c r="G1561" s="173" t="s">
        <v>1874</v>
      </c>
      <c r="H1561" s="172">
        <v>18.4</v>
      </c>
      <c r="J1561" s="173"/>
      <c r="K1561" s="170" t="s">
        <v>1308</v>
      </c>
    </row>
    <row r="1562" ht="15.75" customHeight="1">
      <c r="A1562" s="357" t="s">
        <v>1875</v>
      </c>
      <c r="K1562" s="170"/>
    </row>
    <row r="1563" ht="15.75" customHeight="1">
      <c r="K1563" s="170"/>
    </row>
    <row r="1564" ht="15.75" customHeight="1">
      <c r="A1564" s="233">
        <v>46235.0</v>
      </c>
      <c r="B1564" s="172" t="s">
        <v>115</v>
      </c>
      <c r="C1564" s="172">
        <v>34.0</v>
      </c>
      <c r="D1564" s="172">
        <v>1.0</v>
      </c>
      <c r="E1564" s="172" t="s">
        <v>441</v>
      </c>
      <c r="F1564" s="172" t="s">
        <v>441</v>
      </c>
      <c r="G1564" s="173" t="s">
        <v>1876</v>
      </c>
      <c r="H1564" s="172">
        <v>18.0</v>
      </c>
      <c r="J1564" s="173"/>
      <c r="K1564" s="170" t="s">
        <v>1308</v>
      </c>
    </row>
    <row r="1565" ht="15.75" customHeight="1">
      <c r="A1565" s="235">
        <v>46235.0</v>
      </c>
      <c r="B1565" s="172" t="s">
        <v>51</v>
      </c>
      <c r="C1565" s="172">
        <v>34.0</v>
      </c>
      <c r="D1565" s="172">
        <v>1.0</v>
      </c>
      <c r="E1565" s="172" t="s">
        <v>39</v>
      </c>
      <c r="F1565" s="172" t="s">
        <v>366</v>
      </c>
      <c r="G1565" s="173" t="s">
        <v>1877</v>
      </c>
      <c r="H1565" s="172">
        <v>18.5</v>
      </c>
      <c r="J1565" s="173"/>
      <c r="K1565" s="170" t="s">
        <v>1308</v>
      </c>
    </row>
    <row r="1566" ht="15.75" customHeight="1">
      <c r="A1566" s="235">
        <v>46235.0</v>
      </c>
      <c r="B1566" s="172" t="s">
        <v>63</v>
      </c>
      <c r="C1566" s="172">
        <v>34.0</v>
      </c>
      <c r="D1566" s="172">
        <v>1.0</v>
      </c>
      <c r="E1566" s="172" t="s">
        <v>39</v>
      </c>
      <c r="F1566" s="172" t="s">
        <v>372</v>
      </c>
      <c r="G1566" s="173" t="s">
        <v>1878</v>
      </c>
      <c r="H1566" s="172">
        <v>17.5</v>
      </c>
      <c r="J1566" s="173"/>
      <c r="K1566" s="170" t="s">
        <v>1308</v>
      </c>
    </row>
    <row r="1567" ht="15.75" customHeight="1">
      <c r="A1567" s="235">
        <v>46235.0</v>
      </c>
      <c r="B1567" s="172" t="s">
        <v>50</v>
      </c>
      <c r="C1567" s="172">
        <v>34.0</v>
      </c>
      <c r="D1567" s="172">
        <v>1.0</v>
      </c>
      <c r="E1567" s="172" t="s">
        <v>39</v>
      </c>
      <c r="F1567" s="172" t="s">
        <v>372</v>
      </c>
      <c r="G1567" s="173" t="s">
        <v>1879</v>
      </c>
      <c r="H1567" s="172">
        <v>22.3</v>
      </c>
      <c r="J1567" s="173"/>
      <c r="K1567" s="170" t="s">
        <v>1308</v>
      </c>
    </row>
    <row r="1568" ht="15.75" customHeight="1">
      <c r="A1568" s="235">
        <v>46235.0</v>
      </c>
      <c r="B1568" s="172" t="s">
        <v>125</v>
      </c>
      <c r="C1568" s="172">
        <v>33.0</v>
      </c>
      <c r="D1568" s="172">
        <v>1.0</v>
      </c>
      <c r="E1568" s="172" t="s">
        <v>411</v>
      </c>
      <c r="F1568" s="172" t="s">
        <v>428</v>
      </c>
      <c r="G1568" s="173" t="s">
        <v>1806</v>
      </c>
      <c r="H1568" s="172">
        <v>20.0</v>
      </c>
      <c r="J1568" s="173"/>
      <c r="K1568" s="170" t="s">
        <v>1308</v>
      </c>
    </row>
    <row r="1569" ht="15.75" customHeight="1">
      <c r="A1569" s="235">
        <v>46235.0</v>
      </c>
      <c r="B1569" s="172" t="s">
        <v>51</v>
      </c>
      <c r="C1569" s="172">
        <v>32.0</v>
      </c>
      <c r="D1569" s="172">
        <v>1.0</v>
      </c>
      <c r="E1569" s="172" t="s">
        <v>39</v>
      </c>
      <c r="F1569" s="172" t="s">
        <v>366</v>
      </c>
      <c r="G1569" s="173" t="s">
        <v>1880</v>
      </c>
      <c r="H1569" s="172">
        <v>20.3</v>
      </c>
      <c r="J1569" s="173"/>
      <c r="K1569" s="170" t="s">
        <v>1308</v>
      </c>
    </row>
    <row r="1570" ht="15.75" customHeight="1">
      <c r="A1570" s="235">
        <v>46235.0</v>
      </c>
      <c r="B1570" s="172" t="s">
        <v>125</v>
      </c>
      <c r="C1570" s="172">
        <v>33.0</v>
      </c>
      <c r="D1570" s="172">
        <v>1.0</v>
      </c>
      <c r="E1570" s="172" t="s">
        <v>441</v>
      </c>
      <c r="F1570" s="172" t="s">
        <v>459</v>
      </c>
      <c r="G1570" s="173" t="s">
        <v>1881</v>
      </c>
      <c r="H1570" s="172">
        <v>18.0</v>
      </c>
      <c r="J1570" s="173"/>
      <c r="K1570" s="170" t="s">
        <v>1308</v>
      </c>
    </row>
    <row r="1571" ht="15.75" customHeight="1">
      <c r="A1571" s="235">
        <v>46235.0</v>
      </c>
      <c r="B1571" s="172" t="s">
        <v>51</v>
      </c>
      <c r="C1571" s="172">
        <v>34.0</v>
      </c>
      <c r="D1571" s="172">
        <v>1.0</v>
      </c>
      <c r="E1571" s="172" t="s">
        <v>39</v>
      </c>
      <c r="F1571" s="172" t="s">
        <v>372</v>
      </c>
      <c r="G1571" s="173" t="s">
        <v>1882</v>
      </c>
      <c r="H1571" s="172">
        <v>19.2</v>
      </c>
      <c r="J1571" s="173"/>
      <c r="K1571" s="170" t="s">
        <v>1308</v>
      </c>
    </row>
    <row r="1572" ht="15.75" customHeight="1">
      <c r="A1572" s="235">
        <v>46235.0</v>
      </c>
      <c r="B1572" s="172" t="s">
        <v>63</v>
      </c>
      <c r="C1572" s="172">
        <v>34.0</v>
      </c>
      <c r="D1572" s="172">
        <v>1.0</v>
      </c>
      <c r="E1572" s="172" t="s">
        <v>39</v>
      </c>
      <c r="F1572" s="172" t="s">
        <v>372</v>
      </c>
      <c r="G1572" s="173" t="s">
        <v>1882</v>
      </c>
      <c r="H1572" s="172">
        <v>19.2</v>
      </c>
      <c r="J1572" s="173"/>
      <c r="K1572" s="170" t="s">
        <v>1308</v>
      </c>
    </row>
    <row r="1573" ht="15.75" customHeight="1">
      <c r="A1573" s="235">
        <v>46235.0</v>
      </c>
      <c r="B1573" s="172" t="s">
        <v>94</v>
      </c>
      <c r="C1573" s="172">
        <v>36.0</v>
      </c>
      <c r="D1573" s="172">
        <v>1.0</v>
      </c>
      <c r="E1573" s="172" t="s">
        <v>39</v>
      </c>
      <c r="F1573" s="172" t="s">
        <v>372</v>
      </c>
      <c r="G1573" s="173" t="s">
        <v>1883</v>
      </c>
      <c r="H1573" s="172">
        <v>17.0</v>
      </c>
      <c r="J1573" s="173"/>
      <c r="K1573" s="170" t="s">
        <v>1308</v>
      </c>
    </row>
    <row r="1574" ht="15.75" customHeight="1">
      <c r="A1574" s="235">
        <v>46235.0</v>
      </c>
      <c r="B1574" s="172" t="s">
        <v>46</v>
      </c>
      <c r="C1574" s="172">
        <v>36.0</v>
      </c>
      <c r="D1574" s="172">
        <v>1.0</v>
      </c>
      <c r="E1574" s="172" t="s">
        <v>411</v>
      </c>
      <c r="F1574" s="172" t="s">
        <v>410</v>
      </c>
      <c r="G1574" s="337" t="s">
        <v>1884</v>
      </c>
      <c r="H1574" s="172">
        <v>37.8</v>
      </c>
      <c r="J1574" s="173"/>
      <c r="K1574" s="170" t="s">
        <v>1308</v>
      </c>
    </row>
    <row r="1575" ht="15.75" customHeight="1">
      <c r="A1575" s="235">
        <v>46235.0</v>
      </c>
      <c r="B1575" s="172" t="s">
        <v>50</v>
      </c>
      <c r="C1575" s="172">
        <v>34.0</v>
      </c>
      <c r="D1575" s="172">
        <v>1.0</v>
      </c>
      <c r="E1575" s="172" t="s">
        <v>39</v>
      </c>
      <c r="F1575" s="172" t="s">
        <v>372</v>
      </c>
      <c r="G1575" s="173" t="s">
        <v>1885</v>
      </c>
      <c r="H1575" s="172">
        <v>18.5</v>
      </c>
      <c r="J1575" s="173"/>
      <c r="K1575" s="170" t="s">
        <v>1308</v>
      </c>
    </row>
    <row r="1576" ht="15.75" customHeight="1">
      <c r="A1576" s="235">
        <v>46235.0</v>
      </c>
      <c r="B1576" s="172" t="s">
        <v>94</v>
      </c>
      <c r="C1576" s="172">
        <v>32.0</v>
      </c>
      <c r="D1576" s="172">
        <v>1.0</v>
      </c>
      <c r="E1576" s="172" t="s">
        <v>411</v>
      </c>
      <c r="F1576" s="172" t="s">
        <v>410</v>
      </c>
      <c r="G1576" s="173" t="s">
        <v>1886</v>
      </c>
      <c r="H1576" s="172">
        <v>19.0</v>
      </c>
      <c r="J1576" s="173"/>
      <c r="K1576" s="170" t="s">
        <v>1308</v>
      </c>
    </row>
    <row r="1577" ht="15.75" customHeight="1">
      <c r="A1577" s="235">
        <v>46235.0</v>
      </c>
      <c r="B1577" s="172" t="s">
        <v>125</v>
      </c>
      <c r="C1577" s="172">
        <v>33.0</v>
      </c>
      <c r="D1577" s="172">
        <v>1.0</v>
      </c>
      <c r="E1577" s="172" t="s">
        <v>411</v>
      </c>
      <c r="F1577" s="172" t="s">
        <v>472</v>
      </c>
      <c r="G1577" s="173" t="s">
        <v>1887</v>
      </c>
      <c r="H1577" s="172">
        <v>21.99</v>
      </c>
      <c r="J1577" s="173"/>
      <c r="K1577" s="170" t="s">
        <v>1308</v>
      </c>
    </row>
    <row r="1578" ht="15.75" customHeight="1">
      <c r="A1578" s="235">
        <v>46235.0</v>
      </c>
      <c r="B1578" s="172" t="s">
        <v>63</v>
      </c>
      <c r="C1578" s="172">
        <v>34.0</v>
      </c>
      <c r="D1578" s="172">
        <v>1.0</v>
      </c>
      <c r="E1578" s="172" t="s">
        <v>411</v>
      </c>
      <c r="F1578" s="172" t="s">
        <v>416</v>
      </c>
      <c r="G1578" s="173" t="s">
        <v>1888</v>
      </c>
      <c r="H1578" s="172">
        <v>19.0</v>
      </c>
      <c r="J1578" s="173"/>
      <c r="K1578" s="170" t="s">
        <v>1308</v>
      </c>
    </row>
    <row r="1579" ht="15.75" customHeight="1">
      <c r="A1579" s="235">
        <v>46235.0</v>
      </c>
      <c r="B1579" s="172" t="s">
        <v>50</v>
      </c>
      <c r="C1579" s="172">
        <v>32.0</v>
      </c>
      <c r="D1579" s="172">
        <v>1.0</v>
      </c>
      <c r="E1579" s="172" t="s">
        <v>411</v>
      </c>
      <c r="F1579" s="172" t="s">
        <v>416</v>
      </c>
      <c r="G1579" s="173" t="s">
        <v>1889</v>
      </c>
      <c r="H1579" s="172">
        <v>20.0</v>
      </c>
      <c r="J1579" s="173"/>
      <c r="K1579" s="170" t="s">
        <v>1308</v>
      </c>
    </row>
    <row r="1580" ht="15.75" customHeight="1">
      <c r="A1580" s="233">
        <v>46236.0</v>
      </c>
      <c r="B1580" s="172" t="s">
        <v>50</v>
      </c>
      <c r="C1580" s="172">
        <v>34.0</v>
      </c>
      <c r="D1580" s="172">
        <v>1.0</v>
      </c>
      <c r="E1580" s="172" t="s">
        <v>39</v>
      </c>
      <c r="F1580" s="172" t="s">
        <v>372</v>
      </c>
      <c r="G1580" s="173" t="s">
        <v>1890</v>
      </c>
      <c r="H1580" s="172">
        <v>22.6</v>
      </c>
      <c r="J1580" s="173"/>
      <c r="K1580" s="170" t="s">
        <v>1308</v>
      </c>
    </row>
    <row r="1581" ht="15.75" customHeight="1">
      <c r="A1581" s="235">
        <v>46236.0</v>
      </c>
      <c r="B1581" s="172" t="s">
        <v>94</v>
      </c>
      <c r="C1581" s="172">
        <v>32.0</v>
      </c>
      <c r="D1581" s="172">
        <v>1.0</v>
      </c>
      <c r="E1581" s="172" t="s">
        <v>441</v>
      </c>
      <c r="F1581" s="172" t="s">
        <v>459</v>
      </c>
      <c r="G1581" s="173" t="s">
        <v>1891</v>
      </c>
      <c r="H1581" s="172">
        <v>23.0</v>
      </c>
      <c r="J1581" s="173"/>
      <c r="K1581" s="170" t="s">
        <v>1308</v>
      </c>
    </row>
    <row r="1582" ht="15.75" customHeight="1">
      <c r="A1582" s="235">
        <v>46239.0</v>
      </c>
      <c r="B1582" s="172" t="s">
        <v>51</v>
      </c>
      <c r="C1582" s="172">
        <v>34.0</v>
      </c>
      <c r="D1582" s="172">
        <v>1.0</v>
      </c>
      <c r="E1582" s="172" t="s">
        <v>39</v>
      </c>
      <c r="F1582" s="172" t="s">
        <v>382</v>
      </c>
      <c r="H1582" s="172">
        <v>18.0</v>
      </c>
      <c r="J1582" s="173"/>
      <c r="K1582" s="170" t="s">
        <v>1308</v>
      </c>
    </row>
    <row r="1583" ht="15.75" customHeight="1">
      <c r="A1583" s="235">
        <v>46239.0</v>
      </c>
      <c r="B1583" s="172" t="s">
        <v>51</v>
      </c>
      <c r="C1583" s="172">
        <v>36.0</v>
      </c>
      <c r="D1583" s="172">
        <v>0.0</v>
      </c>
      <c r="E1583" s="172" t="s">
        <v>39</v>
      </c>
      <c r="F1583" s="172" t="s">
        <v>407</v>
      </c>
      <c r="G1583" s="173" t="s">
        <v>1892</v>
      </c>
      <c r="H1583" s="182">
        <v>0.0</v>
      </c>
      <c r="J1583" s="173"/>
      <c r="K1583" s="170" t="s">
        <v>1308</v>
      </c>
    </row>
    <row r="1584" ht="15.75" customHeight="1">
      <c r="A1584" s="235">
        <v>46239.0</v>
      </c>
      <c r="B1584" s="172" t="s">
        <v>115</v>
      </c>
      <c r="C1584" s="172">
        <v>34.0</v>
      </c>
      <c r="D1584" s="172">
        <v>0.0</v>
      </c>
      <c r="E1584" s="172" t="s">
        <v>39</v>
      </c>
      <c r="F1584" s="172" t="s">
        <v>407</v>
      </c>
      <c r="G1584" s="173" t="s">
        <v>1893</v>
      </c>
      <c r="H1584" s="182">
        <v>0.0</v>
      </c>
      <c r="J1584" s="173"/>
      <c r="K1584" s="170" t="s">
        <v>1308</v>
      </c>
    </row>
    <row r="1585" ht="15.75" customHeight="1">
      <c r="A1585" s="235">
        <v>46239.0</v>
      </c>
      <c r="B1585" s="172" t="s">
        <v>57</v>
      </c>
      <c r="C1585" s="172">
        <v>32.0</v>
      </c>
      <c r="D1585" s="172">
        <v>0.0</v>
      </c>
      <c r="E1585" s="172" t="s">
        <v>39</v>
      </c>
      <c r="F1585" s="172" t="s">
        <v>407</v>
      </c>
      <c r="G1585" s="173" t="s">
        <v>1894</v>
      </c>
      <c r="H1585" s="182">
        <v>0.0</v>
      </c>
      <c r="J1585" s="173"/>
      <c r="K1585" s="170" t="s">
        <v>1308</v>
      </c>
    </row>
    <row r="1586" ht="15.75" customHeight="1">
      <c r="A1586" s="235">
        <v>46240.0</v>
      </c>
      <c r="B1586" s="172" t="s">
        <v>57</v>
      </c>
      <c r="C1586" s="172">
        <v>32.0</v>
      </c>
      <c r="D1586" s="172">
        <v>0.0</v>
      </c>
      <c r="E1586" s="172" t="s">
        <v>39</v>
      </c>
      <c r="F1586" s="172" t="s">
        <v>407</v>
      </c>
      <c r="G1586" s="173" t="s">
        <v>1895</v>
      </c>
      <c r="H1586" s="182">
        <v>0.0</v>
      </c>
      <c r="J1586" s="173"/>
      <c r="K1586" s="170" t="s">
        <v>1308</v>
      </c>
    </row>
    <row r="1587" ht="15.75" customHeight="1">
      <c r="A1587" s="235">
        <v>46240.0</v>
      </c>
      <c r="B1587" s="172" t="s">
        <v>57</v>
      </c>
      <c r="C1587" s="172">
        <v>32.0</v>
      </c>
      <c r="D1587" s="172">
        <v>0.0</v>
      </c>
      <c r="E1587" s="172" t="s">
        <v>39</v>
      </c>
      <c r="F1587" s="172" t="s">
        <v>407</v>
      </c>
      <c r="G1587" s="173" t="s">
        <v>1896</v>
      </c>
      <c r="H1587" s="182">
        <v>0.0</v>
      </c>
      <c r="J1587" s="173"/>
      <c r="K1587" s="170" t="s">
        <v>1308</v>
      </c>
    </row>
    <row r="1588" ht="15.75" customHeight="1">
      <c r="A1588" s="235">
        <v>46240.0</v>
      </c>
      <c r="B1588" s="172" t="s">
        <v>50</v>
      </c>
      <c r="C1588" s="172">
        <v>34.0</v>
      </c>
      <c r="D1588" s="172">
        <v>0.0</v>
      </c>
      <c r="E1588" s="172" t="s">
        <v>39</v>
      </c>
      <c r="F1588" s="172" t="s">
        <v>407</v>
      </c>
      <c r="G1588" s="173" t="s">
        <v>1897</v>
      </c>
      <c r="H1588" s="182">
        <v>0.0</v>
      </c>
      <c r="J1588" s="173"/>
      <c r="K1588" s="170" t="s">
        <v>1308</v>
      </c>
    </row>
    <row r="1589" ht="15.75" customHeight="1">
      <c r="A1589" s="251">
        <v>46242.0</v>
      </c>
      <c r="B1589" s="172" t="s">
        <v>115</v>
      </c>
      <c r="C1589" s="172">
        <v>34.0</v>
      </c>
      <c r="D1589" s="172">
        <v>1.0</v>
      </c>
      <c r="E1589" s="172" t="s">
        <v>441</v>
      </c>
      <c r="F1589" s="172" t="s">
        <v>441</v>
      </c>
      <c r="G1589" s="173" t="s">
        <v>1898</v>
      </c>
      <c r="H1589" s="172">
        <v>18.4</v>
      </c>
      <c r="J1589" s="173"/>
      <c r="K1589" s="170" t="s">
        <v>1308</v>
      </c>
    </row>
    <row r="1590" ht="15.75" customHeight="1">
      <c r="A1590" s="251">
        <v>46243.0</v>
      </c>
      <c r="B1590" s="172" t="s">
        <v>115</v>
      </c>
      <c r="C1590" s="172">
        <v>34.0</v>
      </c>
      <c r="D1590" s="172">
        <v>1.0</v>
      </c>
      <c r="E1590" s="172" t="s">
        <v>411</v>
      </c>
      <c r="F1590" s="172" t="s">
        <v>472</v>
      </c>
      <c r="G1590" s="173" t="s">
        <v>1899</v>
      </c>
      <c r="H1590" s="172">
        <v>21.99</v>
      </c>
      <c r="J1590" s="173"/>
      <c r="K1590" s="170" t="s">
        <v>1308</v>
      </c>
    </row>
    <row r="1591" ht="15.75" customHeight="1">
      <c r="A1591" s="252">
        <v>46243.0</v>
      </c>
      <c r="B1591" s="172" t="s">
        <v>115</v>
      </c>
      <c r="C1591" s="172">
        <v>34.0</v>
      </c>
      <c r="D1591" s="172">
        <v>1.0</v>
      </c>
      <c r="E1591" s="172" t="s">
        <v>441</v>
      </c>
      <c r="F1591" s="172" t="s">
        <v>465</v>
      </c>
      <c r="G1591" s="173" t="s">
        <v>1900</v>
      </c>
      <c r="H1591" s="172">
        <v>18.0</v>
      </c>
      <c r="J1591" s="173"/>
      <c r="K1591" s="170" t="s">
        <v>1308</v>
      </c>
    </row>
    <row r="1592" ht="15.75" customHeight="1">
      <c r="A1592" s="252">
        <v>46243.0</v>
      </c>
      <c r="B1592" s="172" t="s">
        <v>115</v>
      </c>
      <c r="C1592" s="172">
        <v>34.0</v>
      </c>
      <c r="D1592" s="172">
        <v>1.0</v>
      </c>
      <c r="E1592" s="172" t="s">
        <v>441</v>
      </c>
      <c r="F1592" s="172" t="s">
        <v>465</v>
      </c>
      <c r="G1592" s="173" t="s">
        <v>1901</v>
      </c>
      <c r="H1592" s="172">
        <v>23.0</v>
      </c>
      <c r="J1592" s="173"/>
      <c r="K1592" s="170" t="s">
        <v>1308</v>
      </c>
    </row>
    <row r="1593" ht="15.75" customHeight="1">
      <c r="A1593" s="235">
        <v>46244.0</v>
      </c>
      <c r="B1593" s="172" t="s">
        <v>94</v>
      </c>
      <c r="C1593" s="172">
        <v>32.0</v>
      </c>
      <c r="D1593" s="172">
        <v>1.0</v>
      </c>
      <c r="E1593" s="172" t="s">
        <v>453</v>
      </c>
      <c r="F1593" s="172" t="s">
        <v>486</v>
      </c>
      <c r="G1593" s="173" t="s">
        <v>1902</v>
      </c>
      <c r="H1593" s="172">
        <v>21.0</v>
      </c>
      <c r="J1593" s="173"/>
      <c r="K1593" s="170" t="s">
        <v>1308</v>
      </c>
    </row>
    <row r="1594" ht="15.75" customHeight="1">
      <c r="A1594" s="235">
        <v>46244.0</v>
      </c>
      <c r="B1594" s="172" t="s">
        <v>51</v>
      </c>
      <c r="C1594" s="172">
        <v>34.0</v>
      </c>
      <c r="D1594" s="172">
        <v>1.0</v>
      </c>
      <c r="E1594" s="172" t="s">
        <v>39</v>
      </c>
      <c r="F1594" s="172" t="s">
        <v>372</v>
      </c>
      <c r="G1594" s="173" t="s">
        <v>1903</v>
      </c>
      <c r="H1594" s="172">
        <v>22.3</v>
      </c>
      <c r="J1594" s="173"/>
      <c r="K1594" s="170" t="s">
        <v>1308</v>
      </c>
    </row>
    <row r="1595" ht="15.75" customHeight="1">
      <c r="A1595" s="235">
        <v>46244.0</v>
      </c>
      <c r="B1595" s="172" t="s">
        <v>50</v>
      </c>
      <c r="C1595" s="172">
        <v>36.0</v>
      </c>
      <c r="D1595" s="172">
        <v>1.0</v>
      </c>
      <c r="E1595" s="172" t="s">
        <v>39</v>
      </c>
      <c r="F1595" s="172" t="s">
        <v>382</v>
      </c>
      <c r="G1595" s="173" t="s">
        <v>1904</v>
      </c>
      <c r="H1595" s="172">
        <v>17.5</v>
      </c>
      <c r="J1595" s="173"/>
      <c r="K1595" s="170" t="s">
        <v>1308</v>
      </c>
    </row>
    <row r="1596" ht="15.75" customHeight="1">
      <c r="A1596" s="235">
        <v>46247.0</v>
      </c>
      <c r="B1596" s="172" t="s">
        <v>94</v>
      </c>
      <c r="C1596" s="172">
        <v>32.0</v>
      </c>
      <c r="D1596" s="172">
        <v>1.0</v>
      </c>
      <c r="E1596" s="172" t="s">
        <v>39</v>
      </c>
      <c r="F1596" s="172" t="s">
        <v>382</v>
      </c>
      <c r="G1596" s="173" t="s">
        <v>1905</v>
      </c>
      <c r="H1596" s="172">
        <v>18.5</v>
      </c>
      <c r="J1596" s="173"/>
      <c r="K1596" s="170" t="s">
        <v>1308</v>
      </c>
    </row>
    <row r="1597" ht="15.75" customHeight="1">
      <c r="A1597" s="235">
        <v>46247.0</v>
      </c>
      <c r="B1597" s="172" t="s">
        <v>115</v>
      </c>
      <c r="C1597" s="172">
        <v>32.0</v>
      </c>
      <c r="D1597" s="172">
        <v>1.0</v>
      </c>
      <c r="E1597" s="172" t="s">
        <v>39</v>
      </c>
      <c r="F1597" s="172" t="s">
        <v>382</v>
      </c>
      <c r="G1597" s="173" t="s">
        <v>1906</v>
      </c>
      <c r="H1597" s="172">
        <v>17.0</v>
      </c>
      <c r="J1597" s="173"/>
      <c r="K1597" s="170" t="s">
        <v>1308</v>
      </c>
    </row>
    <row r="1598" ht="15.75" customHeight="1">
      <c r="A1598" s="251">
        <v>46248.0</v>
      </c>
      <c r="B1598" s="172" t="s">
        <v>115</v>
      </c>
      <c r="C1598" s="172">
        <v>34.0</v>
      </c>
      <c r="D1598" s="172">
        <v>1.0</v>
      </c>
      <c r="E1598" s="172" t="s">
        <v>441</v>
      </c>
      <c r="F1598" s="172" t="s">
        <v>465</v>
      </c>
      <c r="G1598" s="173" t="s">
        <v>1907</v>
      </c>
      <c r="H1598" s="172">
        <v>18.0</v>
      </c>
      <c r="J1598" s="173"/>
      <c r="K1598" s="170" t="s">
        <v>1308</v>
      </c>
    </row>
    <row r="1599" ht="15.75" customHeight="1">
      <c r="A1599" s="251">
        <v>46249.0</v>
      </c>
      <c r="B1599" s="172" t="s">
        <v>115</v>
      </c>
      <c r="C1599" s="172">
        <v>34.0</v>
      </c>
      <c r="D1599" s="172">
        <v>1.0</v>
      </c>
      <c r="E1599" s="172" t="s">
        <v>441</v>
      </c>
      <c r="F1599" s="172" t="s">
        <v>465</v>
      </c>
      <c r="G1599" s="173" t="s">
        <v>1908</v>
      </c>
      <c r="H1599" s="172">
        <v>18.0</v>
      </c>
      <c r="J1599" s="173"/>
      <c r="K1599" s="170" t="s">
        <v>1308</v>
      </c>
    </row>
    <row r="1600" ht="15.75" customHeight="1">
      <c r="A1600" s="252">
        <v>46249.0</v>
      </c>
      <c r="B1600" s="172" t="s">
        <v>51</v>
      </c>
      <c r="C1600" s="172">
        <v>34.0</v>
      </c>
      <c r="D1600" s="172">
        <v>1.0</v>
      </c>
      <c r="E1600" s="172" t="s">
        <v>441</v>
      </c>
      <c r="F1600" s="172" t="s">
        <v>465</v>
      </c>
      <c r="G1600" s="173" t="s">
        <v>1909</v>
      </c>
      <c r="H1600" s="172">
        <v>18.4</v>
      </c>
      <c r="J1600" s="173"/>
      <c r="K1600" s="170" t="s">
        <v>1308</v>
      </c>
    </row>
    <row r="1601" ht="15.75" customHeight="1">
      <c r="A1601" s="252">
        <v>46249.0</v>
      </c>
      <c r="B1601" s="172" t="s">
        <v>51</v>
      </c>
      <c r="C1601" s="172">
        <v>32.0</v>
      </c>
      <c r="D1601" s="172">
        <v>1.0</v>
      </c>
      <c r="E1601" s="172" t="s">
        <v>441</v>
      </c>
      <c r="F1601" s="172" t="s">
        <v>459</v>
      </c>
      <c r="G1601" s="173" t="s">
        <v>1910</v>
      </c>
      <c r="H1601" s="172">
        <v>18.4</v>
      </c>
      <c r="J1601" s="173"/>
      <c r="K1601" s="170" t="s">
        <v>1308</v>
      </c>
    </row>
    <row r="1602" ht="15.75" customHeight="1">
      <c r="A1602" s="251">
        <v>46250.0</v>
      </c>
      <c r="B1602" s="172" t="s">
        <v>115</v>
      </c>
      <c r="C1602" s="172">
        <v>34.0</v>
      </c>
      <c r="D1602" s="172">
        <v>1.0</v>
      </c>
      <c r="E1602" s="172" t="s">
        <v>39</v>
      </c>
      <c r="F1602" s="172" t="s">
        <v>744</v>
      </c>
      <c r="G1602" s="173" t="s">
        <v>1911</v>
      </c>
      <c r="H1602" s="172">
        <v>22.4</v>
      </c>
      <c r="J1602" s="173"/>
      <c r="K1602" s="170" t="s">
        <v>1308</v>
      </c>
    </row>
    <row r="1603" ht="15.75" customHeight="1">
      <c r="A1603" s="235">
        <v>46250.0</v>
      </c>
      <c r="B1603" s="172" t="s">
        <v>51</v>
      </c>
      <c r="C1603" s="172">
        <v>34.0</v>
      </c>
      <c r="D1603" s="172">
        <v>1.0</v>
      </c>
      <c r="E1603" s="172" t="s">
        <v>39</v>
      </c>
      <c r="F1603" s="172" t="s">
        <v>744</v>
      </c>
      <c r="G1603" s="173" t="s">
        <v>1912</v>
      </c>
      <c r="H1603" s="172">
        <v>20.0</v>
      </c>
      <c r="J1603" s="173"/>
      <c r="K1603" s="170" t="s">
        <v>1308</v>
      </c>
    </row>
    <row r="1604" ht="15.75" customHeight="1">
      <c r="A1604" s="235">
        <v>46250.0</v>
      </c>
      <c r="B1604" s="172" t="s">
        <v>94</v>
      </c>
      <c r="C1604" s="172">
        <v>32.0</v>
      </c>
      <c r="D1604" s="172">
        <v>1.0</v>
      </c>
      <c r="E1604" s="172" t="s">
        <v>39</v>
      </c>
      <c r="F1604" s="172" t="s">
        <v>382</v>
      </c>
      <c r="G1604" s="173" t="s">
        <v>1860</v>
      </c>
      <c r="H1604" s="172">
        <v>18.5</v>
      </c>
      <c r="J1604" s="173"/>
      <c r="K1604" s="170" t="s">
        <v>1308</v>
      </c>
    </row>
    <row r="1605" ht="15.75" customHeight="1">
      <c r="A1605" s="235">
        <v>46250.0</v>
      </c>
      <c r="B1605" s="172" t="s">
        <v>50</v>
      </c>
      <c r="C1605" s="172">
        <v>36.0</v>
      </c>
      <c r="D1605" s="172">
        <v>1.0</v>
      </c>
      <c r="E1605" s="172" t="s">
        <v>411</v>
      </c>
      <c r="F1605" s="172" t="s">
        <v>494</v>
      </c>
      <c r="G1605" s="173" t="s">
        <v>1913</v>
      </c>
      <c r="H1605" s="172">
        <v>18.0</v>
      </c>
      <c r="J1605" s="173"/>
      <c r="K1605" s="170" t="s">
        <v>1308</v>
      </c>
    </row>
    <row r="1606" ht="15.75" customHeight="1">
      <c r="A1606" s="235">
        <v>46250.0</v>
      </c>
      <c r="B1606" s="172" t="s">
        <v>51</v>
      </c>
      <c r="C1606" s="172">
        <v>32.0</v>
      </c>
      <c r="D1606" s="172">
        <v>1.0</v>
      </c>
      <c r="E1606" s="172" t="s">
        <v>39</v>
      </c>
      <c r="F1606" s="172" t="s">
        <v>377</v>
      </c>
      <c r="G1606" s="173" t="s">
        <v>1914</v>
      </c>
      <c r="H1606" s="172">
        <v>20.0</v>
      </c>
      <c r="J1606" s="173"/>
      <c r="K1606" s="170" t="s">
        <v>1308</v>
      </c>
    </row>
    <row r="1607" ht="15.75" customHeight="1">
      <c r="A1607" s="235">
        <v>46250.0</v>
      </c>
      <c r="B1607" s="172" t="s">
        <v>94</v>
      </c>
      <c r="C1607" s="172">
        <v>36.0</v>
      </c>
      <c r="D1607" s="172">
        <v>1.0</v>
      </c>
      <c r="E1607" s="172" t="s">
        <v>441</v>
      </c>
      <c r="F1607" s="172" t="s">
        <v>490</v>
      </c>
      <c r="G1607" s="173" t="s">
        <v>1915</v>
      </c>
      <c r="H1607" s="172">
        <v>20.0</v>
      </c>
      <c r="J1607" s="173"/>
      <c r="K1607" s="170" t="s">
        <v>1308</v>
      </c>
    </row>
    <row r="1608" ht="15.75" customHeight="1">
      <c r="A1608" s="235">
        <v>46250.0</v>
      </c>
      <c r="B1608" s="172" t="s">
        <v>63</v>
      </c>
      <c r="C1608" s="172">
        <v>36.0</v>
      </c>
      <c r="D1608" s="172">
        <v>1.0</v>
      </c>
      <c r="E1608" s="172" t="s">
        <v>441</v>
      </c>
      <c r="F1608" s="172" t="s">
        <v>490</v>
      </c>
      <c r="G1608" s="173" t="s">
        <v>1916</v>
      </c>
      <c r="H1608" s="172">
        <v>19.0</v>
      </c>
      <c r="J1608" s="173"/>
      <c r="K1608" s="170" t="s">
        <v>1308</v>
      </c>
    </row>
    <row r="1609" ht="15.75" customHeight="1">
      <c r="A1609" s="251">
        <v>46251.0</v>
      </c>
      <c r="B1609" s="172" t="s">
        <v>63</v>
      </c>
      <c r="C1609" s="172">
        <v>36.0</v>
      </c>
      <c r="D1609" s="172">
        <v>1.0</v>
      </c>
      <c r="E1609" s="172" t="s">
        <v>441</v>
      </c>
      <c r="F1609" s="172" t="s">
        <v>490</v>
      </c>
      <c r="G1609" s="173" t="s">
        <v>1917</v>
      </c>
      <c r="H1609" s="172">
        <v>23.0</v>
      </c>
      <c r="J1609" s="173"/>
      <c r="K1609" s="170" t="s">
        <v>1308</v>
      </c>
    </row>
    <row r="1610" ht="15.75" customHeight="1">
      <c r="A1610" s="252">
        <v>46251.0</v>
      </c>
      <c r="B1610" s="172" t="s">
        <v>94</v>
      </c>
      <c r="C1610" s="172">
        <v>36.0</v>
      </c>
      <c r="D1610" s="172">
        <v>1.0</v>
      </c>
      <c r="E1610" s="172" t="s">
        <v>441</v>
      </c>
      <c r="F1610" s="172" t="s">
        <v>490</v>
      </c>
      <c r="G1610" s="173" t="s">
        <v>1918</v>
      </c>
      <c r="H1610" s="172">
        <v>18.0</v>
      </c>
      <c r="J1610" s="173"/>
      <c r="K1610" s="170" t="s">
        <v>1308</v>
      </c>
    </row>
    <row r="1611" ht="15.75" customHeight="1">
      <c r="A1611" s="235">
        <v>46251.0</v>
      </c>
      <c r="B1611" s="172" t="s">
        <v>57</v>
      </c>
      <c r="C1611" s="172">
        <v>32.0</v>
      </c>
      <c r="D1611" s="172">
        <v>1.0</v>
      </c>
      <c r="E1611" s="172" t="s">
        <v>39</v>
      </c>
      <c r="F1611" s="172" t="s">
        <v>398</v>
      </c>
      <c r="G1611" s="173" t="s">
        <v>1919</v>
      </c>
      <c r="H1611" s="172">
        <v>20.0</v>
      </c>
      <c r="J1611" s="173"/>
      <c r="K1611" s="170" t="s">
        <v>1308</v>
      </c>
    </row>
    <row r="1612" ht="15.75" customHeight="1">
      <c r="A1612" s="235">
        <v>46251.0</v>
      </c>
      <c r="B1612" s="172" t="s">
        <v>51</v>
      </c>
      <c r="C1612" s="172">
        <v>34.0</v>
      </c>
      <c r="D1612" s="172">
        <v>1.0</v>
      </c>
      <c r="E1612" s="172" t="s">
        <v>39</v>
      </c>
      <c r="F1612" s="172" t="s">
        <v>744</v>
      </c>
      <c r="G1612" s="173" t="s">
        <v>1920</v>
      </c>
      <c r="H1612" s="172">
        <v>17.0</v>
      </c>
      <c r="J1612" s="173"/>
      <c r="K1612" s="170" t="s">
        <v>1308</v>
      </c>
    </row>
    <row r="1613" ht="15.75" customHeight="1">
      <c r="A1613" s="235">
        <v>46251.0</v>
      </c>
      <c r="B1613" s="172" t="s">
        <v>51</v>
      </c>
      <c r="C1613" s="172">
        <v>32.0</v>
      </c>
      <c r="D1613" s="172">
        <v>1.0</v>
      </c>
      <c r="E1613" s="172" t="s">
        <v>39</v>
      </c>
      <c r="F1613" s="172" t="s">
        <v>377</v>
      </c>
      <c r="G1613" s="173" t="s">
        <v>1921</v>
      </c>
      <c r="H1613" s="172">
        <v>17.7</v>
      </c>
      <c r="J1613" s="173"/>
      <c r="K1613" s="170" t="s">
        <v>1308</v>
      </c>
    </row>
    <row r="1614" ht="15.75" customHeight="1">
      <c r="A1614" s="235">
        <v>46251.0</v>
      </c>
      <c r="B1614" s="172" t="s">
        <v>63</v>
      </c>
      <c r="C1614" s="172">
        <v>32.0</v>
      </c>
      <c r="D1614" s="172">
        <v>1.0</v>
      </c>
      <c r="E1614" s="172" t="s">
        <v>39</v>
      </c>
      <c r="F1614" s="172" t="s">
        <v>377</v>
      </c>
      <c r="G1614" s="173" t="s">
        <v>1922</v>
      </c>
      <c r="H1614" s="172">
        <v>21.3</v>
      </c>
      <c r="J1614" s="173"/>
      <c r="K1614" s="170" t="s">
        <v>1308</v>
      </c>
    </row>
    <row r="1615" ht="15.75" customHeight="1">
      <c r="A1615" s="235">
        <v>46251.0</v>
      </c>
      <c r="B1615" s="172" t="s">
        <v>63</v>
      </c>
      <c r="C1615" s="172">
        <v>36.0</v>
      </c>
      <c r="D1615" s="172">
        <v>1.0</v>
      </c>
      <c r="E1615" s="172" t="s">
        <v>441</v>
      </c>
      <c r="F1615" s="172" t="s">
        <v>490</v>
      </c>
      <c r="G1615" s="173" t="s">
        <v>1918</v>
      </c>
      <c r="H1615" s="172">
        <v>18.0</v>
      </c>
      <c r="J1615" s="173"/>
      <c r="K1615" s="170" t="s">
        <v>1308</v>
      </c>
    </row>
    <row r="1616" ht="15.75" customHeight="1">
      <c r="A1616" s="235">
        <v>46251.0</v>
      </c>
      <c r="B1616" s="172" t="s">
        <v>51</v>
      </c>
      <c r="C1616" s="172">
        <v>32.0</v>
      </c>
      <c r="D1616" s="172">
        <v>1.0</v>
      </c>
      <c r="E1616" s="172" t="s">
        <v>39</v>
      </c>
      <c r="F1616" s="172" t="s">
        <v>377</v>
      </c>
      <c r="G1616" s="173" t="s">
        <v>1923</v>
      </c>
      <c r="H1616" s="172">
        <v>20.0</v>
      </c>
      <c r="J1616" s="173"/>
      <c r="K1616" s="170" t="s">
        <v>1308</v>
      </c>
    </row>
    <row r="1617" ht="15.75" customHeight="1">
      <c r="A1617" s="235">
        <v>46251.0</v>
      </c>
      <c r="B1617" s="172" t="s">
        <v>94</v>
      </c>
      <c r="C1617" s="172">
        <v>36.0</v>
      </c>
      <c r="D1617" s="172">
        <v>1.0</v>
      </c>
      <c r="E1617" s="172" t="s">
        <v>441</v>
      </c>
      <c r="F1617" s="172" t="s">
        <v>490</v>
      </c>
      <c r="G1617" s="173" t="s">
        <v>1924</v>
      </c>
      <c r="H1617" s="172">
        <v>18.0</v>
      </c>
      <c r="J1617" s="173"/>
      <c r="K1617" s="170" t="s">
        <v>1308</v>
      </c>
    </row>
    <row r="1618" ht="15.75" customHeight="1">
      <c r="A1618" s="235">
        <v>46251.0</v>
      </c>
      <c r="B1618" s="172" t="s">
        <v>51</v>
      </c>
      <c r="C1618" s="172">
        <v>34.0</v>
      </c>
      <c r="D1618" s="172">
        <v>1.0</v>
      </c>
      <c r="E1618" s="172" t="s">
        <v>39</v>
      </c>
      <c r="F1618" s="172" t="s">
        <v>744</v>
      </c>
      <c r="G1618" s="173" t="s">
        <v>1925</v>
      </c>
      <c r="H1618" s="172">
        <v>18.0</v>
      </c>
      <c r="J1618" s="173"/>
      <c r="K1618" s="170" t="s">
        <v>1308</v>
      </c>
    </row>
    <row r="1619" ht="15.75" customHeight="1">
      <c r="A1619" s="235">
        <v>46251.0</v>
      </c>
      <c r="B1619" s="172" t="s">
        <v>51</v>
      </c>
      <c r="C1619" s="172">
        <v>32.0</v>
      </c>
      <c r="D1619" s="172">
        <v>1.0</v>
      </c>
      <c r="E1619" s="172" t="s">
        <v>39</v>
      </c>
      <c r="F1619" s="172" t="s">
        <v>377</v>
      </c>
      <c r="G1619" s="173" t="s">
        <v>1926</v>
      </c>
      <c r="H1619" s="172">
        <v>18.0</v>
      </c>
      <c r="J1619" s="173"/>
      <c r="K1619" s="170" t="s">
        <v>1308</v>
      </c>
    </row>
    <row r="1620" ht="15.75" customHeight="1">
      <c r="A1620" s="251">
        <v>46252.0</v>
      </c>
      <c r="B1620" s="172" t="s">
        <v>51</v>
      </c>
      <c r="C1620" s="172">
        <v>34.0</v>
      </c>
      <c r="D1620" s="172">
        <v>1.0</v>
      </c>
      <c r="E1620" s="172" t="s">
        <v>39</v>
      </c>
      <c r="F1620" s="172" t="s">
        <v>744</v>
      </c>
      <c r="G1620" s="173" t="s">
        <v>1927</v>
      </c>
      <c r="H1620" s="172">
        <v>22.3</v>
      </c>
      <c r="J1620" s="173"/>
      <c r="K1620" s="170" t="s">
        <v>1308</v>
      </c>
    </row>
    <row r="1621" ht="15.75" customHeight="1">
      <c r="A1621" s="235">
        <v>46252.0</v>
      </c>
      <c r="B1621" s="172" t="s">
        <v>57</v>
      </c>
      <c r="C1621" s="172">
        <v>32.0</v>
      </c>
      <c r="D1621" s="172">
        <v>1.0</v>
      </c>
      <c r="E1621" s="172" t="s">
        <v>39</v>
      </c>
      <c r="F1621" s="172" t="s">
        <v>398</v>
      </c>
      <c r="G1621" s="173" t="s">
        <v>1928</v>
      </c>
      <c r="H1621" s="172">
        <v>20.0</v>
      </c>
      <c r="J1621" s="173"/>
      <c r="K1621" s="170" t="s">
        <v>1308</v>
      </c>
    </row>
    <row r="1622" ht="15.75" customHeight="1">
      <c r="A1622" s="235">
        <v>46252.0</v>
      </c>
      <c r="B1622" s="172" t="s">
        <v>50</v>
      </c>
      <c r="C1622" s="172">
        <v>34.0</v>
      </c>
      <c r="D1622" s="172">
        <v>1.0</v>
      </c>
      <c r="E1622" s="172" t="s">
        <v>411</v>
      </c>
      <c r="F1622" s="172" t="s">
        <v>494</v>
      </c>
      <c r="G1622" s="173" t="s">
        <v>1929</v>
      </c>
      <c r="H1622" s="172">
        <v>18.6</v>
      </c>
      <c r="J1622" s="173"/>
      <c r="K1622" s="170" t="s">
        <v>1308</v>
      </c>
    </row>
    <row r="1623" ht="15.75" customHeight="1">
      <c r="A1623" s="235">
        <v>46252.0</v>
      </c>
      <c r="B1623" s="172" t="s">
        <v>115</v>
      </c>
      <c r="C1623" s="172">
        <v>34.0</v>
      </c>
      <c r="D1623" s="172">
        <v>1.0</v>
      </c>
      <c r="E1623" s="172" t="s">
        <v>411</v>
      </c>
      <c r="F1623" s="172" t="s">
        <v>494</v>
      </c>
      <c r="G1623" s="173" t="s">
        <v>1930</v>
      </c>
      <c r="H1623" s="172">
        <v>18.38</v>
      </c>
      <c r="J1623" s="173"/>
      <c r="K1623" s="170" t="s">
        <v>1308</v>
      </c>
    </row>
    <row r="1624" ht="15.75" customHeight="1">
      <c r="A1624" s="251">
        <v>46253.0</v>
      </c>
      <c r="B1624" s="172" t="s">
        <v>94</v>
      </c>
      <c r="C1624" s="172">
        <v>36.0</v>
      </c>
      <c r="D1624" s="172">
        <v>1.0</v>
      </c>
      <c r="E1624" s="172" t="s">
        <v>441</v>
      </c>
      <c r="F1624" s="172" t="s">
        <v>490</v>
      </c>
      <c r="G1624" s="173" t="s">
        <v>1931</v>
      </c>
      <c r="H1624" s="172">
        <v>18.0</v>
      </c>
      <c r="J1624" s="173"/>
      <c r="K1624" s="170" t="s">
        <v>1308</v>
      </c>
    </row>
    <row r="1625" ht="15.75" customHeight="1">
      <c r="A1625" s="252">
        <v>46253.0</v>
      </c>
      <c r="B1625" s="172" t="s">
        <v>94</v>
      </c>
      <c r="C1625" s="172">
        <v>36.0</v>
      </c>
      <c r="D1625" s="172">
        <v>1.0</v>
      </c>
      <c r="E1625" s="172" t="s">
        <v>441</v>
      </c>
      <c r="F1625" s="172" t="s">
        <v>490</v>
      </c>
      <c r="G1625" s="173" t="s">
        <v>1932</v>
      </c>
      <c r="H1625" s="172">
        <v>23.0</v>
      </c>
      <c r="J1625" s="173"/>
      <c r="K1625" s="170" t="s">
        <v>1308</v>
      </c>
    </row>
    <row r="1626" ht="15.75" customHeight="1">
      <c r="A1626" s="252">
        <v>46253.0</v>
      </c>
      <c r="B1626" s="172" t="s">
        <v>63</v>
      </c>
      <c r="C1626" s="172">
        <v>36.0</v>
      </c>
      <c r="D1626" s="172">
        <v>1.0</v>
      </c>
      <c r="E1626" s="172" t="s">
        <v>441</v>
      </c>
      <c r="F1626" s="172" t="s">
        <v>490</v>
      </c>
      <c r="G1626" s="173" t="s">
        <v>1933</v>
      </c>
      <c r="H1626" s="172">
        <v>20.0</v>
      </c>
      <c r="J1626" s="173"/>
      <c r="K1626" s="170" t="s">
        <v>1308</v>
      </c>
    </row>
    <row r="1627" ht="15.75" customHeight="1">
      <c r="A1627" s="251">
        <v>46254.0</v>
      </c>
      <c r="B1627" s="172" t="s">
        <v>50</v>
      </c>
      <c r="C1627" s="172">
        <v>34.0</v>
      </c>
      <c r="D1627" s="172">
        <v>1.0</v>
      </c>
      <c r="E1627" s="172" t="s">
        <v>411</v>
      </c>
      <c r="F1627" s="172" t="s">
        <v>494</v>
      </c>
      <c r="G1627" s="173" t="s">
        <v>1934</v>
      </c>
      <c r="H1627" s="172">
        <v>22.5</v>
      </c>
      <c r="J1627" s="173"/>
      <c r="K1627" s="170" t="s">
        <v>1308</v>
      </c>
    </row>
    <row r="1628" ht="15.75" customHeight="1">
      <c r="A1628" s="235">
        <v>46254.0</v>
      </c>
      <c r="B1628" s="172" t="s">
        <v>115</v>
      </c>
      <c r="C1628" s="172">
        <v>34.0</v>
      </c>
      <c r="D1628" s="172">
        <v>1.0</v>
      </c>
      <c r="E1628" s="172" t="s">
        <v>39</v>
      </c>
      <c r="F1628" s="172" t="s">
        <v>382</v>
      </c>
      <c r="G1628" s="173" t="s">
        <v>1935</v>
      </c>
      <c r="H1628" s="172">
        <v>19.4</v>
      </c>
      <c r="J1628" s="173"/>
      <c r="K1628" s="170" t="s">
        <v>1308</v>
      </c>
    </row>
    <row r="1629" ht="15.75" customHeight="1">
      <c r="A1629" s="235">
        <v>46254.0</v>
      </c>
      <c r="B1629" s="172" t="s">
        <v>63</v>
      </c>
      <c r="C1629" s="172">
        <v>36.0</v>
      </c>
      <c r="D1629" s="172">
        <v>1.0</v>
      </c>
      <c r="E1629" s="172" t="s">
        <v>441</v>
      </c>
      <c r="F1629" s="172" t="s">
        <v>490</v>
      </c>
      <c r="G1629" s="173" t="s">
        <v>1936</v>
      </c>
      <c r="H1629" s="172">
        <v>23.0</v>
      </c>
      <c r="J1629" s="173"/>
      <c r="K1629" s="170" t="s">
        <v>1308</v>
      </c>
    </row>
    <row r="1630" ht="15.75" customHeight="1">
      <c r="A1630" s="235">
        <v>46254.0</v>
      </c>
      <c r="B1630" s="172" t="s">
        <v>63</v>
      </c>
      <c r="C1630" s="172">
        <v>36.0</v>
      </c>
      <c r="D1630" s="172">
        <v>1.0</v>
      </c>
      <c r="E1630" s="172" t="s">
        <v>441</v>
      </c>
      <c r="F1630" s="172" t="s">
        <v>490</v>
      </c>
      <c r="G1630" s="173" t="s">
        <v>1937</v>
      </c>
      <c r="H1630" s="172">
        <v>20.0</v>
      </c>
      <c r="J1630" s="173"/>
      <c r="K1630" s="170" t="s">
        <v>1308</v>
      </c>
    </row>
    <row r="1631" ht="15.75" customHeight="1">
      <c r="A1631" s="235">
        <v>46254.0</v>
      </c>
      <c r="B1631" s="172" t="s">
        <v>50</v>
      </c>
      <c r="C1631" s="172">
        <v>36.0</v>
      </c>
      <c r="D1631" s="172">
        <v>1.0</v>
      </c>
      <c r="E1631" s="172" t="s">
        <v>441</v>
      </c>
      <c r="F1631" s="172" t="s">
        <v>490</v>
      </c>
      <c r="G1631" s="173" t="s">
        <v>1938</v>
      </c>
      <c r="H1631" s="172">
        <v>18.0</v>
      </c>
      <c r="J1631" s="173"/>
      <c r="K1631" s="170" t="s">
        <v>1308</v>
      </c>
    </row>
    <row r="1632" ht="15.75" customHeight="1">
      <c r="A1632" s="235">
        <v>46254.0</v>
      </c>
      <c r="B1632" s="172" t="s">
        <v>50</v>
      </c>
      <c r="C1632" s="172">
        <v>36.0</v>
      </c>
      <c r="D1632" s="172">
        <v>1.0</v>
      </c>
      <c r="E1632" s="172" t="s">
        <v>453</v>
      </c>
      <c r="F1632" s="172" t="s">
        <v>500</v>
      </c>
      <c r="G1632" s="173" t="s">
        <v>1939</v>
      </c>
      <c r="H1632" s="172">
        <v>18.0</v>
      </c>
      <c r="J1632" s="173"/>
      <c r="K1632" s="170" t="s">
        <v>1308</v>
      </c>
    </row>
    <row r="1633" ht="15.75" customHeight="1">
      <c r="A1633" s="251">
        <v>46255.0</v>
      </c>
      <c r="B1633" s="172" t="s">
        <v>50</v>
      </c>
      <c r="C1633" s="172">
        <v>36.0</v>
      </c>
      <c r="D1633" s="172">
        <v>1.0</v>
      </c>
      <c r="E1633" s="172" t="s">
        <v>441</v>
      </c>
      <c r="F1633" s="172" t="s">
        <v>490</v>
      </c>
      <c r="G1633" s="173" t="s">
        <v>1940</v>
      </c>
      <c r="H1633" s="172">
        <v>22.0</v>
      </c>
      <c r="J1633" s="173"/>
      <c r="K1633" s="170" t="s">
        <v>1308</v>
      </c>
    </row>
    <row r="1634" ht="15.75" customHeight="1">
      <c r="A1634" s="252">
        <v>46255.0</v>
      </c>
      <c r="B1634" s="172" t="s">
        <v>51</v>
      </c>
      <c r="C1634" s="172">
        <v>36.0</v>
      </c>
      <c r="D1634" s="172">
        <v>1.0</v>
      </c>
      <c r="E1634" s="172" t="s">
        <v>441</v>
      </c>
      <c r="F1634" s="172" t="s">
        <v>504</v>
      </c>
      <c r="G1634" s="173" t="s">
        <v>1941</v>
      </c>
      <c r="H1634" s="172">
        <v>20.7</v>
      </c>
      <c r="J1634" s="173"/>
      <c r="K1634" s="170" t="s">
        <v>1308</v>
      </c>
    </row>
    <row r="1635" ht="15.75" customHeight="1">
      <c r="A1635" s="252">
        <v>46255.0</v>
      </c>
      <c r="B1635" s="172" t="s">
        <v>57</v>
      </c>
      <c r="C1635" s="172">
        <v>32.0</v>
      </c>
      <c r="D1635" s="172">
        <v>1.0</v>
      </c>
      <c r="E1635" s="172" t="s">
        <v>411</v>
      </c>
      <c r="F1635" s="172" t="s">
        <v>428</v>
      </c>
      <c r="G1635" s="173" t="s">
        <v>1942</v>
      </c>
      <c r="H1635" s="172">
        <v>23.0</v>
      </c>
      <c r="J1635" s="173"/>
      <c r="K1635" s="170" t="s">
        <v>1308</v>
      </c>
    </row>
    <row r="1636" ht="15.75" customHeight="1">
      <c r="A1636" s="233">
        <v>46256.0</v>
      </c>
      <c r="B1636" s="172" t="s">
        <v>51</v>
      </c>
      <c r="C1636" s="172">
        <v>36.0</v>
      </c>
      <c r="D1636" s="172">
        <v>1.0</v>
      </c>
      <c r="E1636" s="172" t="s">
        <v>453</v>
      </c>
      <c r="F1636" s="172" t="s">
        <v>500</v>
      </c>
      <c r="G1636" s="173" t="s">
        <v>1943</v>
      </c>
      <c r="H1636" s="172">
        <v>18.0</v>
      </c>
      <c r="J1636" s="173"/>
      <c r="K1636" s="170" t="s">
        <v>1308</v>
      </c>
    </row>
    <row r="1637" ht="15.75" customHeight="1">
      <c r="A1637" s="235">
        <v>46256.0</v>
      </c>
      <c r="B1637" s="172" t="s">
        <v>50</v>
      </c>
      <c r="C1637" s="172">
        <v>34.0</v>
      </c>
      <c r="D1637" s="172">
        <v>1.0</v>
      </c>
      <c r="E1637" s="172" t="s">
        <v>39</v>
      </c>
      <c r="F1637" s="172" t="s">
        <v>386</v>
      </c>
      <c r="G1637" s="173" t="s">
        <v>1944</v>
      </c>
      <c r="H1637" s="172">
        <v>19.4</v>
      </c>
      <c r="J1637" s="173"/>
      <c r="K1637" s="170" t="s">
        <v>1308</v>
      </c>
    </row>
    <row r="1638" ht="15.75" customHeight="1">
      <c r="A1638" s="251">
        <v>46257.0</v>
      </c>
      <c r="B1638" s="172" t="s">
        <v>50</v>
      </c>
      <c r="C1638" s="172">
        <v>34.0</v>
      </c>
      <c r="D1638" s="172">
        <v>1.0</v>
      </c>
      <c r="E1638" s="172" t="s">
        <v>39</v>
      </c>
      <c r="F1638" s="172" t="s">
        <v>386</v>
      </c>
      <c r="G1638" s="173" t="s">
        <v>1945</v>
      </c>
      <c r="H1638" s="172">
        <v>17.3</v>
      </c>
      <c r="J1638" s="173"/>
      <c r="K1638" s="170" t="s">
        <v>1308</v>
      </c>
    </row>
    <row r="1639" ht="15.75" customHeight="1">
      <c r="A1639" s="235">
        <v>46257.0</v>
      </c>
      <c r="B1639" s="172" t="s">
        <v>50</v>
      </c>
      <c r="C1639" s="172">
        <v>34.0</v>
      </c>
      <c r="D1639" s="172">
        <v>1.0</v>
      </c>
      <c r="E1639" s="172" t="s">
        <v>39</v>
      </c>
      <c r="F1639" s="172" t="s">
        <v>386</v>
      </c>
      <c r="G1639" s="173" t="s">
        <v>1946</v>
      </c>
      <c r="H1639" s="172">
        <v>0.0</v>
      </c>
      <c r="I1639" s="173" t="s">
        <v>1947</v>
      </c>
      <c r="J1639" s="173"/>
      <c r="K1639" s="170" t="s">
        <v>1308</v>
      </c>
    </row>
    <row r="1640" ht="15.75" customHeight="1">
      <c r="A1640" s="235">
        <v>46257.0</v>
      </c>
      <c r="B1640" s="172" t="s">
        <v>115</v>
      </c>
      <c r="C1640" s="172">
        <v>34.0</v>
      </c>
      <c r="D1640" s="172">
        <v>1.0</v>
      </c>
      <c r="E1640" s="172" t="s">
        <v>39</v>
      </c>
      <c r="F1640" s="172" t="s">
        <v>386</v>
      </c>
      <c r="G1640" s="173" t="s">
        <v>1946</v>
      </c>
      <c r="H1640" s="172">
        <v>0.0</v>
      </c>
      <c r="I1640" s="173" t="s">
        <v>1947</v>
      </c>
      <c r="J1640" s="173"/>
      <c r="K1640" s="170" t="s">
        <v>1308</v>
      </c>
    </row>
    <row r="1641" ht="15.75" customHeight="1">
      <c r="A1641" s="235">
        <v>46257.0</v>
      </c>
      <c r="B1641" s="172" t="s">
        <v>57</v>
      </c>
      <c r="C1641" s="172">
        <v>32.0</v>
      </c>
      <c r="D1641" s="172">
        <v>1.0</v>
      </c>
      <c r="E1641" s="172" t="s">
        <v>411</v>
      </c>
      <c r="F1641" s="172" t="s">
        <v>428</v>
      </c>
      <c r="G1641" s="173" t="s">
        <v>1948</v>
      </c>
      <c r="H1641" s="172">
        <v>22.0</v>
      </c>
      <c r="J1641" s="173"/>
      <c r="K1641" s="170" t="s">
        <v>1308</v>
      </c>
    </row>
    <row r="1642" ht="15.75" customHeight="1">
      <c r="A1642" s="235">
        <v>46257.0</v>
      </c>
      <c r="B1642" s="172" t="s">
        <v>50</v>
      </c>
      <c r="C1642" s="172">
        <v>36.0</v>
      </c>
      <c r="D1642" s="172">
        <v>1.0</v>
      </c>
      <c r="E1642" s="172" t="s">
        <v>441</v>
      </c>
      <c r="F1642" s="172" t="s">
        <v>504</v>
      </c>
      <c r="G1642" s="173" t="s">
        <v>1949</v>
      </c>
      <c r="H1642" s="172">
        <v>18.0</v>
      </c>
      <c r="J1642" s="173"/>
      <c r="K1642" s="170" t="s">
        <v>1308</v>
      </c>
    </row>
    <row r="1643" ht="15.75" customHeight="1">
      <c r="A1643" s="235">
        <v>46257.0</v>
      </c>
      <c r="B1643" s="172" t="s">
        <v>51</v>
      </c>
      <c r="C1643" s="172">
        <v>36.0</v>
      </c>
      <c r="D1643" s="172">
        <v>1.0</v>
      </c>
      <c r="E1643" s="172" t="s">
        <v>411</v>
      </c>
      <c r="F1643" s="172" t="s">
        <v>416</v>
      </c>
      <c r="G1643" s="173" t="s">
        <v>1950</v>
      </c>
      <c r="H1643" s="172">
        <v>17.0</v>
      </c>
      <c r="J1643" s="173"/>
      <c r="K1643" s="170" t="s">
        <v>1308</v>
      </c>
    </row>
    <row r="1644" ht="15.75" customHeight="1">
      <c r="A1644" s="233">
        <v>46258.0</v>
      </c>
      <c r="B1644" s="172" t="s">
        <v>50</v>
      </c>
      <c r="C1644" s="172">
        <v>36.0</v>
      </c>
      <c r="D1644" s="172">
        <v>1.0</v>
      </c>
      <c r="E1644" s="172" t="s">
        <v>441</v>
      </c>
      <c r="F1644" s="172" t="s">
        <v>504</v>
      </c>
      <c r="G1644" s="173" t="s">
        <v>1951</v>
      </c>
      <c r="H1644" s="172">
        <v>22.0</v>
      </c>
      <c r="J1644" s="173"/>
      <c r="K1644" s="170" t="s">
        <v>1308</v>
      </c>
    </row>
    <row r="1645" ht="15.75" customHeight="1">
      <c r="A1645" s="252">
        <v>46258.0</v>
      </c>
      <c r="B1645" s="172" t="s">
        <v>51</v>
      </c>
      <c r="C1645" s="172">
        <v>36.0</v>
      </c>
      <c r="D1645" s="172">
        <v>1.0</v>
      </c>
      <c r="E1645" s="172" t="s">
        <v>411</v>
      </c>
      <c r="F1645" s="172" t="s">
        <v>428</v>
      </c>
      <c r="G1645" s="173" t="s">
        <v>1952</v>
      </c>
      <c r="H1645" s="172">
        <v>18.0</v>
      </c>
      <c r="J1645" s="173"/>
      <c r="K1645" s="170" t="s">
        <v>1308</v>
      </c>
    </row>
    <row r="1646" ht="15.75" customHeight="1">
      <c r="A1646" s="252">
        <v>46258.0</v>
      </c>
      <c r="B1646" s="172" t="s">
        <v>63</v>
      </c>
      <c r="C1646" s="172">
        <v>34.0</v>
      </c>
      <c r="D1646" s="172">
        <v>1.0</v>
      </c>
      <c r="E1646" s="172" t="s">
        <v>441</v>
      </c>
      <c r="F1646" s="172" t="s">
        <v>509</v>
      </c>
      <c r="G1646" s="173" t="s">
        <v>1953</v>
      </c>
      <c r="H1646" s="172">
        <v>20.0</v>
      </c>
      <c r="J1646" s="173"/>
      <c r="K1646" s="170" t="s">
        <v>1308</v>
      </c>
    </row>
    <row r="1647" ht="15.75" customHeight="1">
      <c r="A1647" s="251">
        <v>46259.0</v>
      </c>
      <c r="B1647" s="172" t="s">
        <v>50</v>
      </c>
      <c r="C1647" s="172">
        <v>36.0</v>
      </c>
      <c r="D1647" s="172">
        <v>1.0</v>
      </c>
      <c r="E1647" s="172" t="s">
        <v>441</v>
      </c>
      <c r="F1647" s="172" t="s">
        <v>504</v>
      </c>
      <c r="G1647" s="173" t="s">
        <v>1954</v>
      </c>
      <c r="H1647" s="172">
        <v>22.0</v>
      </c>
      <c r="J1647" s="173"/>
      <c r="K1647" s="170" t="s">
        <v>1308</v>
      </c>
    </row>
    <row r="1648" ht="15.75" customHeight="1">
      <c r="A1648" s="252">
        <v>46259.0</v>
      </c>
      <c r="B1648" s="172" t="s">
        <v>50</v>
      </c>
      <c r="C1648" s="172">
        <v>36.0</v>
      </c>
      <c r="D1648" s="172">
        <v>1.0</v>
      </c>
      <c r="E1648" s="172" t="s">
        <v>441</v>
      </c>
      <c r="F1648" s="172" t="s">
        <v>504</v>
      </c>
      <c r="G1648" s="173" t="s">
        <v>1955</v>
      </c>
      <c r="H1648" s="172">
        <v>18.0</v>
      </c>
      <c r="J1648" s="173"/>
      <c r="K1648" s="170" t="s">
        <v>1308</v>
      </c>
    </row>
    <row r="1649" ht="15.75" customHeight="1">
      <c r="A1649" s="252">
        <v>46259.0</v>
      </c>
      <c r="B1649" s="172" t="s">
        <v>50</v>
      </c>
      <c r="C1649" s="172">
        <v>36.0</v>
      </c>
      <c r="D1649" s="172">
        <v>1.0</v>
      </c>
      <c r="E1649" s="172" t="s">
        <v>441</v>
      </c>
      <c r="F1649" s="172" t="s">
        <v>504</v>
      </c>
      <c r="G1649" s="173" t="s">
        <v>1956</v>
      </c>
      <c r="H1649" s="172">
        <v>16.0</v>
      </c>
      <c r="J1649" s="173"/>
      <c r="K1649" s="170" t="s">
        <v>1308</v>
      </c>
    </row>
    <row r="1650" ht="15.75" customHeight="1">
      <c r="A1650" s="235">
        <v>46259.0</v>
      </c>
      <c r="B1650" s="172" t="s">
        <v>50</v>
      </c>
      <c r="C1650" s="172">
        <v>34.0</v>
      </c>
      <c r="D1650" s="172">
        <v>1.0</v>
      </c>
      <c r="E1650" s="172" t="s">
        <v>39</v>
      </c>
      <c r="F1650" s="172" t="s">
        <v>386</v>
      </c>
      <c r="G1650" s="173" t="s">
        <v>1957</v>
      </c>
      <c r="H1650" s="172">
        <v>18.0</v>
      </c>
      <c r="J1650" s="173"/>
      <c r="K1650" s="170" t="s">
        <v>1308</v>
      </c>
    </row>
    <row r="1651" ht="15.75" customHeight="1">
      <c r="A1651" s="235">
        <v>46259.0</v>
      </c>
      <c r="B1651" s="172" t="s">
        <v>94</v>
      </c>
      <c r="C1651" s="172">
        <v>34.0</v>
      </c>
      <c r="D1651" s="172">
        <v>1.0</v>
      </c>
      <c r="E1651" s="172" t="s">
        <v>39</v>
      </c>
      <c r="F1651" s="172" t="s">
        <v>386</v>
      </c>
      <c r="G1651" s="173" t="s">
        <v>1958</v>
      </c>
      <c r="H1651" s="172">
        <v>20.0</v>
      </c>
      <c r="J1651" s="173"/>
      <c r="K1651" s="170" t="s">
        <v>1308</v>
      </c>
    </row>
    <row r="1652" ht="15.75" customHeight="1">
      <c r="A1652" s="251">
        <v>46260.0</v>
      </c>
      <c r="B1652" s="172" t="s">
        <v>50</v>
      </c>
      <c r="C1652" s="172">
        <v>36.0</v>
      </c>
      <c r="D1652" s="172">
        <v>1.0</v>
      </c>
      <c r="E1652" s="172" t="s">
        <v>441</v>
      </c>
      <c r="F1652" s="172" t="s">
        <v>504</v>
      </c>
      <c r="G1652" s="173" t="s">
        <v>1959</v>
      </c>
      <c r="H1652" s="172">
        <v>18.0</v>
      </c>
      <c r="J1652" s="173"/>
      <c r="K1652" s="170" t="s">
        <v>1308</v>
      </c>
    </row>
    <row r="1653" ht="15.75" customHeight="1">
      <c r="A1653" s="252">
        <v>46260.0</v>
      </c>
      <c r="B1653" s="172" t="s">
        <v>50</v>
      </c>
      <c r="C1653" s="172">
        <v>36.0</v>
      </c>
      <c r="D1653" s="172">
        <v>1.0</v>
      </c>
      <c r="E1653" s="172" t="s">
        <v>441</v>
      </c>
      <c r="F1653" s="172" t="s">
        <v>504</v>
      </c>
      <c r="G1653" s="173" t="s">
        <v>1960</v>
      </c>
      <c r="H1653" s="172">
        <v>22.0</v>
      </c>
      <c r="J1653" s="173"/>
      <c r="K1653" s="170" t="s">
        <v>1308</v>
      </c>
    </row>
    <row r="1654" ht="15.75" customHeight="1">
      <c r="A1654" s="251">
        <v>46261.0</v>
      </c>
      <c r="B1654" s="172" t="s">
        <v>107</v>
      </c>
      <c r="C1654" s="172">
        <v>36.0</v>
      </c>
      <c r="D1654" s="172">
        <v>1.0</v>
      </c>
      <c r="E1654" s="172" t="s">
        <v>441</v>
      </c>
      <c r="F1654" s="172" t="s">
        <v>509</v>
      </c>
      <c r="G1654" s="173" t="s">
        <v>1961</v>
      </c>
      <c r="H1654" s="172">
        <v>23.0</v>
      </c>
      <c r="J1654" s="173"/>
      <c r="K1654" s="170" t="s">
        <v>1308</v>
      </c>
    </row>
    <row r="1655" ht="15.75" customHeight="1">
      <c r="A1655" s="252">
        <v>46261.0</v>
      </c>
      <c r="B1655" s="172" t="s">
        <v>51</v>
      </c>
      <c r="C1655" s="172">
        <v>32.0</v>
      </c>
      <c r="D1655" s="172">
        <v>1.0</v>
      </c>
      <c r="E1655" s="172" t="s">
        <v>441</v>
      </c>
      <c r="F1655" s="172" t="s">
        <v>459</v>
      </c>
      <c r="G1655" s="173" t="s">
        <v>1962</v>
      </c>
      <c r="H1655" s="172">
        <v>20.0</v>
      </c>
      <c r="J1655" s="173"/>
      <c r="K1655" s="170" t="s">
        <v>1308</v>
      </c>
    </row>
    <row r="1656" ht="15.75" customHeight="1">
      <c r="A1656" s="252">
        <v>46261.0</v>
      </c>
      <c r="B1656" s="172" t="s">
        <v>115</v>
      </c>
      <c r="C1656" s="172">
        <v>34.0</v>
      </c>
      <c r="D1656" s="172">
        <v>1.0</v>
      </c>
      <c r="E1656" s="172" t="s">
        <v>411</v>
      </c>
      <c r="F1656" s="172" t="s">
        <v>428</v>
      </c>
      <c r="G1656" s="173" t="s">
        <v>1963</v>
      </c>
      <c r="H1656" s="172">
        <v>20.0</v>
      </c>
      <c r="J1656" s="173"/>
      <c r="K1656" s="170" t="s">
        <v>1308</v>
      </c>
    </row>
    <row r="1657" ht="15.75" customHeight="1">
      <c r="A1657" s="252">
        <v>46261.0</v>
      </c>
      <c r="B1657" s="172" t="s">
        <v>107</v>
      </c>
      <c r="C1657" s="172">
        <v>36.0</v>
      </c>
      <c r="D1657" s="172">
        <v>1.0</v>
      </c>
      <c r="E1657" s="172" t="s">
        <v>441</v>
      </c>
      <c r="F1657" s="172" t="s">
        <v>509</v>
      </c>
      <c r="G1657" s="173" t="s">
        <v>1964</v>
      </c>
      <c r="H1657" s="172">
        <v>18.0</v>
      </c>
      <c r="J1657" s="173"/>
      <c r="K1657" s="170" t="s">
        <v>1308</v>
      </c>
    </row>
    <row r="1658" ht="15.75" customHeight="1">
      <c r="A1658" s="252">
        <v>46261.0</v>
      </c>
      <c r="B1658" s="172" t="s">
        <v>45</v>
      </c>
      <c r="C1658" s="172">
        <v>30.0</v>
      </c>
      <c r="D1658" s="172">
        <v>1.0</v>
      </c>
      <c r="E1658" s="172" t="s">
        <v>411</v>
      </c>
      <c r="F1658" s="172" t="s">
        <v>410</v>
      </c>
      <c r="G1658" s="173" t="s">
        <v>1965</v>
      </c>
      <c r="H1658" s="172">
        <v>19.0</v>
      </c>
      <c r="J1658" s="173"/>
      <c r="K1658" s="170" t="s">
        <v>1308</v>
      </c>
    </row>
    <row r="1659" ht="15.75" customHeight="1">
      <c r="A1659" s="252">
        <v>46261.0</v>
      </c>
      <c r="B1659" s="172" t="s">
        <v>107</v>
      </c>
      <c r="C1659" s="172">
        <v>32.0</v>
      </c>
      <c r="D1659" s="172">
        <v>1.0</v>
      </c>
      <c r="E1659" s="172" t="s">
        <v>441</v>
      </c>
      <c r="F1659" s="172" t="s">
        <v>459</v>
      </c>
      <c r="G1659" s="173" t="s">
        <v>1966</v>
      </c>
      <c r="H1659" s="172">
        <v>23.0</v>
      </c>
      <c r="J1659" s="173"/>
      <c r="K1659" s="170" t="s">
        <v>1308</v>
      </c>
    </row>
    <row r="1660" ht="15.75" customHeight="1">
      <c r="A1660" s="251">
        <v>46262.0</v>
      </c>
      <c r="B1660" s="172" t="s">
        <v>107</v>
      </c>
      <c r="C1660" s="172">
        <v>36.0</v>
      </c>
      <c r="D1660" s="172">
        <v>1.0</v>
      </c>
      <c r="E1660" s="172" t="s">
        <v>441</v>
      </c>
      <c r="F1660" s="172" t="s">
        <v>509</v>
      </c>
      <c r="G1660" s="173" t="s">
        <v>1967</v>
      </c>
      <c r="H1660" s="172">
        <v>20.0</v>
      </c>
      <c r="J1660" s="173"/>
      <c r="K1660" s="170" t="s">
        <v>1308</v>
      </c>
    </row>
    <row r="1661" ht="15.75" customHeight="1">
      <c r="A1661" s="252">
        <v>46262.0</v>
      </c>
      <c r="B1661" s="172" t="s">
        <v>107</v>
      </c>
      <c r="C1661" s="172">
        <v>36.0</v>
      </c>
      <c r="D1661" s="172">
        <v>1.0</v>
      </c>
      <c r="E1661" s="172" t="s">
        <v>441</v>
      </c>
      <c r="F1661" s="172" t="s">
        <v>509</v>
      </c>
      <c r="G1661" s="173" t="s">
        <v>1968</v>
      </c>
      <c r="H1661" s="172">
        <v>18.4</v>
      </c>
      <c r="J1661" s="173"/>
      <c r="K1661" s="170" t="s">
        <v>1308</v>
      </c>
    </row>
    <row r="1662" ht="15.75" customHeight="1">
      <c r="A1662" s="252">
        <v>46262.0</v>
      </c>
      <c r="B1662" s="172" t="s">
        <v>53</v>
      </c>
      <c r="C1662" s="172">
        <v>32.0</v>
      </c>
      <c r="D1662" s="172">
        <v>1.0</v>
      </c>
      <c r="E1662" s="172" t="s">
        <v>453</v>
      </c>
      <c r="F1662" s="172" t="s">
        <v>500</v>
      </c>
      <c r="G1662" s="173" t="s">
        <v>1969</v>
      </c>
      <c r="H1662" s="172">
        <v>21.0</v>
      </c>
      <c r="J1662" s="173"/>
      <c r="K1662" s="170" t="s">
        <v>1308</v>
      </c>
    </row>
    <row r="1663" ht="15.75" customHeight="1">
      <c r="A1663" s="251">
        <v>46263.0</v>
      </c>
      <c r="B1663" s="172" t="s">
        <v>115</v>
      </c>
      <c r="C1663" s="172">
        <v>32.0</v>
      </c>
      <c r="D1663" s="172">
        <v>1.0</v>
      </c>
      <c r="E1663" s="172" t="s">
        <v>39</v>
      </c>
      <c r="F1663" s="172" t="s">
        <v>398</v>
      </c>
      <c r="G1663" s="173" t="s">
        <v>1970</v>
      </c>
      <c r="H1663" s="172">
        <v>22.1</v>
      </c>
      <c r="J1663" s="173"/>
      <c r="K1663" s="170" t="s">
        <v>1308</v>
      </c>
    </row>
    <row r="1664" ht="15.75" customHeight="1">
      <c r="A1664" s="235">
        <v>46263.0</v>
      </c>
      <c r="B1664" s="172" t="s">
        <v>107</v>
      </c>
      <c r="C1664" s="172">
        <v>34.0</v>
      </c>
      <c r="D1664" s="172">
        <v>1.0</v>
      </c>
      <c r="E1664" s="172" t="s">
        <v>411</v>
      </c>
      <c r="F1664" s="172" t="s">
        <v>428</v>
      </c>
      <c r="G1664" s="173" t="s">
        <v>1971</v>
      </c>
      <c r="H1664" s="172">
        <v>20.0</v>
      </c>
      <c r="J1664" s="173"/>
      <c r="K1664" s="170" t="s">
        <v>1308</v>
      </c>
    </row>
    <row r="1665" ht="15.75" customHeight="1">
      <c r="A1665" s="235">
        <v>46263.0</v>
      </c>
      <c r="B1665" s="172" t="s">
        <v>63</v>
      </c>
      <c r="C1665" s="172">
        <v>36.0</v>
      </c>
      <c r="D1665" s="172">
        <v>1.0</v>
      </c>
      <c r="E1665" s="172" t="s">
        <v>441</v>
      </c>
      <c r="F1665" s="172" t="s">
        <v>490</v>
      </c>
      <c r="G1665" s="173" t="s">
        <v>1970</v>
      </c>
      <c r="H1665" s="172">
        <v>18.4</v>
      </c>
      <c r="J1665" s="173"/>
      <c r="K1665" s="170" t="s">
        <v>1308</v>
      </c>
    </row>
    <row r="1666" ht="15.75" customHeight="1">
      <c r="A1666" s="235">
        <v>46263.0</v>
      </c>
      <c r="B1666" s="172" t="s">
        <v>107</v>
      </c>
      <c r="C1666" s="172">
        <v>36.0</v>
      </c>
      <c r="D1666" s="172">
        <v>1.0</v>
      </c>
      <c r="E1666" s="172" t="s">
        <v>411</v>
      </c>
      <c r="F1666" s="172" t="s">
        <v>494</v>
      </c>
      <c r="G1666" s="173" t="s">
        <v>1972</v>
      </c>
      <c r="H1666" s="172">
        <v>17.0</v>
      </c>
      <c r="J1666" s="173"/>
      <c r="K1666" s="170" t="s">
        <v>1308</v>
      </c>
    </row>
    <row r="1667" ht="15.75" customHeight="1">
      <c r="A1667" s="235">
        <v>46263.0</v>
      </c>
      <c r="B1667" s="172" t="s">
        <v>63</v>
      </c>
      <c r="C1667" s="172">
        <v>36.0</v>
      </c>
      <c r="D1667" s="172">
        <v>1.0</v>
      </c>
      <c r="E1667" s="172" t="s">
        <v>411</v>
      </c>
      <c r="F1667" s="172" t="s">
        <v>410</v>
      </c>
      <c r="G1667" s="173" t="s">
        <v>1973</v>
      </c>
      <c r="H1667" s="172">
        <v>18.0</v>
      </c>
      <c r="J1667" s="173"/>
      <c r="K1667" s="170" t="s">
        <v>1308</v>
      </c>
    </row>
    <row r="1668" ht="15.75" customHeight="1">
      <c r="A1668" s="235">
        <v>46263.0</v>
      </c>
      <c r="B1668" s="172" t="s">
        <v>94</v>
      </c>
      <c r="C1668" s="172">
        <v>32.0</v>
      </c>
      <c r="D1668" s="172">
        <v>1.0</v>
      </c>
      <c r="E1668" s="172" t="s">
        <v>411</v>
      </c>
      <c r="F1668" s="172" t="s">
        <v>410</v>
      </c>
      <c r="G1668" s="337" t="s">
        <v>1639</v>
      </c>
      <c r="H1668" s="172">
        <v>22.55</v>
      </c>
      <c r="J1668" s="173"/>
      <c r="K1668" s="170" t="s">
        <v>1308</v>
      </c>
    </row>
    <row r="1669" ht="15.75" customHeight="1">
      <c r="A1669" s="235">
        <v>46263.0</v>
      </c>
      <c r="B1669" s="172" t="s">
        <v>57</v>
      </c>
      <c r="C1669" s="172">
        <v>32.0</v>
      </c>
      <c r="D1669" s="172">
        <v>1.0</v>
      </c>
      <c r="E1669" s="172" t="s">
        <v>39</v>
      </c>
      <c r="F1669" s="172" t="s">
        <v>398</v>
      </c>
      <c r="G1669" s="173" t="s">
        <v>1974</v>
      </c>
      <c r="H1669" s="172">
        <v>18.0</v>
      </c>
      <c r="J1669" s="173"/>
      <c r="K1669" s="170" t="s">
        <v>1308</v>
      </c>
    </row>
    <row r="1670" ht="15.75" customHeight="1">
      <c r="A1670" s="235">
        <v>46263.0</v>
      </c>
      <c r="B1670" s="172" t="s">
        <v>94</v>
      </c>
      <c r="C1670" s="172">
        <v>30.0</v>
      </c>
      <c r="D1670" s="172">
        <v>1.0</v>
      </c>
      <c r="E1670" s="172" t="s">
        <v>411</v>
      </c>
      <c r="F1670" s="172" t="s">
        <v>428</v>
      </c>
      <c r="G1670" s="173" t="s">
        <v>1975</v>
      </c>
      <c r="H1670" s="172">
        <v>20.0</v>
      </c>
      <c r="J1670" s="173"/>
      <c r="K1670" s="170" t="s">
        <v>1308</v>
      </c>
    </row>
    <row r="1671" ht="15.75" customHeight="1">
      <c r="A1671" s="235">
        <v>46263.0</v>
      </c>
      <c r="B1671" s="172" t="s">
        <v>107</v>
      </c>
      <c r="C1671" s="172">
        <v>36.0</v>
      </c>
      <c r="D1671" s="172">
        <v>1.0</v>
      </c>
      <c r="E1671" s="172" t="s">
        <v>411</v>
      </c>
      <c r="F1671" s="161"/>
      <c r="G1671" s="173" t="s">
        <v>1976</v>
      </c>
      <c r="H1671" s="172">
        <v>23.5</v>
      </c>
      <c r="J1671" s="173"/>
      <c r="K1671" s="170" t="s">
        <v>1308</v>
      </c>
    </row>
    <row r="1672" ht="15.75" customHeight="1">
      <c r="A1672" s="235">
        <v>46263.0</v>
      </c>
      <c r="B1672" s="172" t="s">
        <v>115</v>
      </c>
      <c r="C1672" s="172">
        <v>34.0</v>
      </c>
      <c r="D1672" s="172">
        <v>1.0</v>
      </c>
      <c r="E1672" s="172" t="s">
        <v>411</v>
      </c>
      <c r="F1672" s="161"/>
      <c r="G1672" s="173" t="s">
        <v>1977</v>
      </c>
      <c r="H1672" s="172">
        <v>20.7</v>
      </c>
      <c r="J1672" s="173"/>
      <c r="K1672" s="170" t="s">
        <v>1308</v>
      </c>
    </row>
    <row r="1673" ht="15.75" customHeight="1">
      <c r="A1673" s="235">
        <v>46263.0</v>
      </c>
      <c r="B1673" s="172" t="s">
        <v>94</v>
      </c>
      <c r="C1673" s="172">
        <v>34.0</v>
      </c>
      <c r="D1673" s="172">
        <v>1.0</v>
      </c>
      <c r="E1673" s="172" t="s">
        <v>411</v>
      </c>
      <c r="F1673" s="161"/>
      <c r="G1673" s="173" t="s">
        <v>1978</v>
      </c>
      <c r="H1673" s="172">
        <v>18.4</v>
      </c>
      <c r="J1673" s="173"/>
      <c r="K1673" s="170" t="s">
        <v>1308</v>
      </c>
    </row>
    <row r="1674" ht="15.75" customHeight="1">
      <c r="A1674" s="233">
        <v>46264.0</v>
      </c>
      <c r="B1674" s="172" t="s">
        <v>115</v>
      </c>
      <c r="C1674" s="172">
        <v>32.0</v>
      </c>
      <c r="D1674" s="172">
        <v>1.0</v>
      </c>
      <c r="E1674" s="172" t="s">
        <v>39</v>
      </c>
      <c r="F1674" s="172" t="s">
        <v>398</v>
      </c>
      <c r="G1674" s="173" t="s">
        <v>1979</v>
      </c>
      <c r="H1674" s="172">
        <v>20.0</v>
      </c>
      <c r="J1674" s="173"/>
      <c r="K1674" s="170" t="s">
        <v>1308</v>
      </c>
    </row>
    <row r="1675" ht="15.75" customHeight="1">
      <c r="A1675" s="235">
        <v>46264.0</v>
      </c>
      <c r="B1675" s="172" t="s">
        <v>107</v>
      </c>
      <c r="C1675" s="172">
        <v>32.0</v>
      </c>
      <c r="D1675" s="172">
        <v>1.0</v>
      </c>
      <c r="E1675" s="172" t="s">
        <v>453</v>
      </c>
      <c r="F1675" s="172" t="s">
        <v>500</v>
      </c>
      <c r="G1675" s="173" t="s">
        <v>1980</v>
      </c>
      <c r="H1675" s="172">
        <v>19.0</v>
      </c>
      <c r="J1675" s="173"/>
      <c r="K1675" s="170" t="s">
        <v>1308</v>
      </c>
    </row>
    <row r="1676" ht="15.75" customHeight="1">
      <c r="A1676" s="235">
        <v>46264.0</v>
      </c>
      <c r="B1676" s="172" t="s">
        <v>45</v>
      </c>
      <c r="C1676" s="172">
        <v>30.0</v>
      </c>
      <c r="D1676" s="172">
        <v>1.0</v>
      </c>
      <c r="E1676" s="172" t="s">
        <v>411</v>
      </c>
      <c r="F1676" s="161"/>
      <c r="G1676" s="173" t="s">
        <v>1981</v>
      </c>
      <c r="H1676" s="172">
        <v>23.8</v>
      </c>
      <c r="J1676" s="173"/>
      <c r="K1676" s="170" t="s">
        <v>1308</v>
      </c>
    </row>
    <row r="1677" ht="15.75" customHeight="1">
      <c r="A1677" s="235">
        <v>46264.0</v>
      </c>
      <c r="B1677" s="172" t="s">
        <v>94</v>
      </c>
      <c r="C1677" s="172">
        <v>32.0</v>
      </c>
      <c r="D1677" s="172">
        <v>1.0</v>
      </c>
      <c r="E1677" s="172" t="s">
        <v>331</v>
      </c>
      <c r="F1677" s="161"/>
      <c r="G1677" s="173" t="s">
        <v>1982</v>
      </c>
      <c r="H1677" s="172">
        <v>20.0</v>
      </c>
      <c r="J1677" s="173"/>
      <c r="K1677" s="170" t="s">
        <v>1308</v>
      </c>
    </row>
    <row r="1678" ht="15.75" customHeight="1">
      <c r="A1678" s="235">
        <v>46264.0</v>
      </c>
      <c r="B1678" s="172" t="s">
        <v>115</v>
      </c>
      <c r="C1678" s="172">
        <v>34.0</v>
      </c>
      <c r="D1678" s="172">
        <v>1.0</v>
      </c>
      <c r="E1678" s="172" t="s">
        <v>411</v>
      </c>
      <c r="F1678" s="172" t="s">
        <v>428</v>
      </c>
      <c r="G1678" s="173" t="s">
        <v>1983</v>
      </c>
      <c r="H1678" s="172">
        <v>20.0</v>
      </c>
      <c r="J1678" s="173"/>
      <c r="K1678" s="170" t="s">
        <v>1308</v>
      </c>
    </row>
    <row r="1679" ht="15.75" customHeight="1">
      <c r="A1679" s="251">
        <v>46265.0</v>
      </c>
      <c r="B1679" s="172" t="s">
        <v>51</v>
      </c>
      <c r="C1679" s="172">
        <v>32.0</v>
      </c>
      <c r="D1679" s="172">
        <v>1.0</v>
      </c>
      <c r="E1679" s="172" t="s">
        <v>441</v>
      </c>
      <c r="F1679" s="172" t="s">
        <v>459</v>
      </c>
      <c r="G1679" s="173" t="s">
        <v>1639</v>
      </c>
      <c r="H1679" s="172">
        <v>23.0</v>
      </c>
      <c r="J1679" s="173"/>
      <c r="K1679" s="170" t="s">
        <v>1308</v>
      </c>
    </row>
    <row r="1680" ht="15.75" customHeight="1">
      <c r="A1680" s="235">
        <v>46265.0</v>
      </c>
      <c r="B1680" s="172" t="s">
        <v>84</v>
      </c>
      <c r="C1680" s="172">
        <v>30.0</v>
      </c>
      <c r="D1680" s="172">
        <v>1.0</v>
      </c>
      <c r="E1680" s="172" t="s">
        <v>453</v>
      </c>
      <c r="F1680" s="172" t="s">
        <v>486</v>
      </c>
      <c r="G1680" s="173" t="s">
        <v>1984</v>
      </c>
      <c r="H1680" s="172">
        <v>22.0</v>
      </c>
      <c r="J1680" s="173"/>
      <c r="K1680" s="170" t="s">
        <v>1308</v>
      </c>
    </row>
    <row r="1681" ht="15.75" customHeight="1">
      <c r="A1681" s="358" t="s">
        <v>1985</v>
      </c>
      <c r="K1681" s="170"/>
    </row>
    <row r="1682" ht="15.75" customHeight="1">
      <c r="K1682" s="170"/>
    </row>
    <row r="1683" ht="15.75" customHeight="1">
      <c r="A1683" s="235">
        <v>46266.0</v>
      </c>
      <c r="B1683" s="172" t="s">
        <v>63</v>
      </c>
      <c r="C1683" s="172">
        <v>32.0</v>
      </c>
      <c r="D1683" s="172">
        <v>1.0</v>
      </c>
      <c r="E1683" s="172" t="s">
        <v>331</v>
      </c>
      <c r="F1683" s="161"/>
      <c r="G1683" s="173" t="s">
        <v>1986</v>
      </c>
      <c r="H1683" s="172">
        <v>17.6</v>
      </c>
      <c r="J1683" s="173"/>
      <c r="K1683" s="170" t="s">
        <v>1308</v>
      </c>
    </row>
    <row r="1684" ht="15.75" customHeight="1">
      <c r="A1684" s="235">
        <v>46266.0</v>
      </c>
      <c r="B1684" s="172" t="s">
        <v>45</v>
      </c>
      <c r="C1684" s="172">
        <v>30.0</v>
      </c>
      <c r="D1684" s="172">
        <v>1.0</v>
      </c>
      <c r="E1684" s="172" t="s">
        <v>331</v>
      </c>
      <c r="F1684" s="161"/>
      <c r="G1684" s="173" t="s">
        <v>1987</v>
      </c>
      <c r="H1684" s="172">
        <v>22.0</v>
      </c>
      <c r="J1684" s="173"/>
      <c r="K1684" s="170" t="s">
        <v>1308</v>
      </c>
    </row>
    <row r="1685" ht="15.75" customHeight="1">
      <c r="A1685" s="235">
        <v>46266.0</v>
      </c>
      <c r="B1685" s="172" t="s">
        <v>57</v>
      </c>
      <c r="C1685" s="172">
        <v>32.0</v>
      </c>
      <c r="D1685" s="172">
        <v>1.0</v>
      </c>
      <c r="E1685" s="172" t="s">
        <v>411</v>
      </c>
      <c r="F1685" s="161"/>
      <c r="G1685" s="173" t="s">
        <v>1988</v>
      </c>
      <c r="H1685" s="172">
        <v>18.0</v>
      </c>
      <c r="J1685" s="173"/>
      <c r="K1685" s="170" t="s">
        <v>1308</v>
      </c>
    </row>
    <row r="1686" ht="15.75" customHeight="1">
      <c r="A1686" s="235">
        <v>46266.0</v>
      </c>
      <c r="B1686" s="172" t="s">
        <v>52</v>
      </c>
      <c r="C1686" s="172">
        <v>34.0</v>
      </c>
      <c r="D1686" s="172">
        <v>1.0</v>
      </c>
      <c r="E1686" s="172" t="s">
        <v>411</v>
      </c>
      <c r="F1686" s="161"/>
      <c r="G1686" s="173" t="s">
        <v>1989</v>
      </c>
      <c r="H1686" s="172">
        <v>24.5</v>
      </c>
      <c r="J1686" s="173"/>
      <c r="K1686" s="170" t="s">
        <v>1308</v>
      </c>
    </row>
    <row r="1687" ht="15.75" customHeight="1">
      <c r="A1687" s="235">
        <v>46267.0</v>
      </c>
      <c r="B1687" s="172" t="s">
        <v>63</v>
      </c>
      <c r="C1687" s="172">
        <v>36.0</v>
      </c>
      <c r="D1687" s="172">
        <v>1.0</v>
      </c>
      <c r="E1687" s="172" t="s">
        <v>411</v>
      </c>
      <c r="F1687" s="161"/>
      <c r="G1687" s="173" t="s">
        <v>1990</v>
      </c>
      <c r="H1687" s="172">
        <v>20.0</v>
      </c>
      <c r="J1687" s="173"/>
      <c r="K1687" s="170" t="s">
        <v>1308</v>
      </c>
    </row>
    <row r="1688" ht="15.75" customHeight="1">
      <c r="A1688" s="233">
        <v>46268.0</v>
      </c>
      <c r="B1688" s="172" t="s">
        <v>84</v>
      </c>
      <c r="C1688" s="172">
        <v>34.0</v>
      </c>
      <c r="D1688" s="172">
        <v>1.0</v>
      </c>
      <c r="E1688" s="172" t="s">
        <v>411</v>
      </c>
      <c r="F1688" s="161"/>
      <c r="G1688" s="173" t="s">
        <v>1991</v>
      </c>
      <c r="H1688" s="172">
        <v>22.5</v>
      </c>
      <c r="J1688" s="173"/>
      <c r="K1688" s="170" t="s">
        <v>1308</v>
      </c>
    </row>
    <row r="1689" ht="15.75" customHeight="1">
      <c r="A1689" s="235">
        <v>46268.0</v>
      </c>
      <c r="B1689" s="172" t="s">
        <v>92</v>
      </c>
      <c r="C1689" s="172">
        <v>34.0</v>
      </c>
      <c r="D1689" s="172">
        <v>1.0</v>
      </c>
      <c r="E1689" s="172" t="s">
        <v>411</v>
      </c>
      <c r="F1689" s="161"/>
      <c r="G1689" s="173" t="s">
        <v>1992</v>
      </c>
      <c r="H1689" s="172">
        <v>24.5</v>
      </c>
      <c r="J1689" s="173"/>
      <c r="K1689" s="170" t="s">
        <v>1308</v>
      </c>
    </row>
    <row r="1690" ht="15.75" customHeight="1">
      <c r="A1690" s="235">
        <v>46268.0</v>
      </c>
      <c r="B1690" s="172" t="s">
        <v>84</v>
      </c>
      <c r="C1690" s="172">
        <v>32.0</v>
      </c>
      <c r="D1690" s="172">
        <v>1.0</v>
      </c>
      <c r="E1690" s="172" t="s">
        <v>411</v>
      </c>
      <c r="F1690" s="161"/>
      <c r="G1690" s="173" t="s">
        <v>1993</v>
      </c>
      <c r="H1690" s="172">
        <v>20.0</v>
      </c>
      <c r="J1690" s="173"/>
      <c r="K1690" s="170" t="s">
        <v>1308</v>
      </c>
    </row>
    <row r="1691" ht="15.75" customHeight="1">
      <c r="A1691" s="235">
        <v>46268.0</v>
      </c>
      <c r="B1691" s="172" t="s">
        <v>69</v>
      </c>
      <c r="C1691" s="172">
        <v>34.0</v>
      </c>
      <c r="D1691" s="172">
        <v>1.0</v>
      </c>
      <c r="E1691" s="172" t="s">
        <v>411</v>
      </c>
      <c r="F1691" s="161"/>
      <c r="G1691" s="173" t="s">
        <v>1994</v>
      </c>
      <c r="H1691" s="172">
        <v>25.0</v>
      </c>
      <c r="J1691" s="173"/>
      <c r="K1691" s="170" t="s">
        <v>1308</v>
      </c>
    </row>
    <row r="1692" ht="15.75" customHeight="1">
      <c r="A1692" s="235">
        <v>46268.0</v>
      </c>
      <c r="B1692" s="172" t="s">
        <v>84</v>
      </c>
      <c r="C1692" s="172">
        <v>34.0</v>
      </c>
      <c r="D1692" s="172">
        <v>1.0</v>
      </c>
      <c r="E1692" s="172" t="s">
        <v>39</v>
      </c>
      <c r="F1692" s="172" t="s">
        <v>406</v>
      </c>
      <c r="G1692" s="173" t="s">
        <v>1995</v>
      </c>
      <c r="H1692" s="172">
        <v>17.0</v>
      </c>
      <c r="J1692" s="173"/>
      <c r="K1692" s="170" t="s">
        <v>1308</v>
      </c>
    </row>
    <row r="1693" ht="15.75" customHeight="1">
      <c r="A1693" s="251">
        <v>46269.0</v>
      </c>
      <c r="B1693" s="172" t="s">
        <v>52</v>
      </c>
      <c r="C1693" s="172">
        <v>36.0</v>
      </c>
      <c r="D1693" s="172">
        <v>1.0</v>
      </c>
      <c r="E1693" s="172" t="s">
        <v>441</v>
      </c>
      <c r="F1693" s="172" t="s">
        <v>490</v>
      </c>
      <c r="G1693" s="173" t="s">
        <v>1996</v>
      </c>
      <c r="H1693" s="172">
        <v>18.0</v>
      </c>
      <c r="J1693" s="173"/>
      <c r="K1693" s="170" t="s">
        <v>1308</v>
      </c>
    </row>
    <row r="1694" ht="15.75" customHeight="1">
      <c r="A1694" s="252">
        <v>46269.0</v>
      </c>
      <c r="B1694" s="172" t="s">
        <v>69</v>
      </c>
      <c r="C1694" s="172">
        <v>40.0</v>
      </c>
      <c r="D1694" s="172">
        <v>1.0</v>
      </c>
      <c r="E1694" s="172" t="s">
        <v>441</v>
      </c>
      <c r="F1694" s="172" t="s">
        <v>504</v>
      </c>
      <c r="G1694" s="173" t="s">
        <v>1997</v>
      </c>
      <c r="H1694" s="172">
        <v>22.0</v>
      </c>
      <c r="J1694" s="173"/>
      <c r="K1694" s="170" t="s">
        <v>1308</v>
      </c>
    </row>
    <row r="1695" ht="15.75" customHeight="1">
      <c r="A1695" s="252">
        <v>46269.0</v>
      </c>
      <c r="B1695" s="172" t="s">
        <v>92</v>
      </c>
      <c r="C1695" s="172">
        <v>36.0</v>
      </c>
      <c r="D1695" s="172">
        <v>1.0</v>
      </c>
      <c r="E1695" s="172" t="s">
        <v>441</v>
      </c>
      <c r="F1695" s="172" t="s">
        <v>509</v>
      </c>
      <c r="G1695" s="173" t="s">
        <v>1998</v>
      </c>
      <c r="H1695" s="172">
        <v>18.5</v>
      </c>
      <c r="J1695" s="173"/>
      <c r="K1695" s="170" t="s">
        <v>1308</v>
      </c>
    </row>
    <row r="1696" ht="15.75" customHeight="1">
      <c r="A1696" s="235">
        <v>46269.0</v>
      </c>
      <c r="B1696" s="172" t="s">
        <v>52</v>
      </c>
      <c r="C1696" s="172">
        <v>34.0</v>
      </c>
      <c r="D1696" s="172">
        <v>1.0</v>
      </c>
      <c r="E1696" s="172" t="s">
        <v>331</v>
      </c>
      <c r="F1696" s="161"/>
      <c r="G1696" s="173" t="s">
        <v>1999</v>
      </c>
      <c r="H1696" s="172">
        <v>20.0</v>
      </c>
      <c r="J1696" s="173"/>
      <c r="K1696" s="170" t="s">
        <v>1308</v>
      </c>
    </row>
    <row r="1697" ht="15.75" customHeight="1">
      <c r="A1697" s="235">
        <v>46269.0</v>
      </c>
      <c r="B1697" s="172" t="s">
        <v>52</v>
      </c>
      <c r="C1697" s="172">
        <v>36.0</v>
      </c>
      <c r="D1697" s="172">
        <v>1.0</v>
      </c>
      <c r="E1697" s="172" t="s">
        <v>331</v>
      </c>
      <c r="F1697" s="161"/>
      <c r="G1697" s="173" t="s">
        <v>2000</v>
      </c>
      <c r="H1697" s="172">
        <v>17.0</v>
      </c>
      <c r="J1697" s="173"/>
      <c r="K1697" s="170" t="s">
        <v>1308</v>
      </c>
    </row>
    <row r="1698" ht="15.75" customHeight="1">
      <c r="A1698" s="235">
        <v>46269.0</v>
      </c>
      <c r="B1698" s="172" t="s">
        <v>92</v>
      </c>
      <c r="C1698" s="172">
        <v>36.0</v>
      </c>
      <c r="D1698" s="172">
        <v>1.0</v>
      </c>
      <c r="E1698" s="172" t="s">
        <v>441</v>
      </c>
      <c r="F1698" s="172" t="s">
        <v>509</v>
      </c>
      <c r="G1698" s="173" t="s">
        <v>2001</v>
      </c>
      <c r="H1698" s="172">
        <v>18.0</v>
      </c>
      <c r="J1698" s="173"/>
      <c r="K1698" s="170" t="s">
        <v>1308</v>
      </c>
    </row>
    <row r="1699" ht="15.75" customHeight="1">
      <c r="A1699" s="235">
        <v>46269.0</v>
      </c>
      <c r="B1699" s="172" t="s">
        <v>52</v>
      </c>
      <c r="C1699" s="172">
        <v>36.0</v>
      </c>
      <c r="D1699" s="172">
        <v>1.0</v>
      </c>
      <c r="E1699" s="172" t="s">
        <v>441</v>
      </c>
      <c r="F1699" s="172" t="s">
        <v>490</v>
      </c>
      <c r="G1699" s="173" t="s">
        <v>2002</v>
      </c>
      <c r="H1699" s="172">
        <v>20.0</v>
      </c>
      <c r="J1699" s="173"/>
      <c r="K1699" s="170" t="s">
        <v>1308</v>
      </c>
    </row>
    <row r="1700" ht="15.75" customHeight="1">
      <c r="A1700" s="235">
        <v>46269.0</v>
      </c>
      <c r="B1700" s="172" t="s">
        <v>92</v>
      </c>
      <c r="C1700" s="172">
        <v>36.0</v>
      </c>
      <c r="D1700" s="172">
        <v>1.0</v>
      </c>
      <c r="E1700" s="172" t="s">
        <v>441</v>
      </c>
      <c r="F1700" s="172" t="s">
        <v>509</v>
      </c>
      <c r="G1700" s="173" t="s">
        <v>2003</v>
      </c>
      <c r="H1700" s="172">
        <v>18.0</v>
      </c>
      <c r="J1700" s="173"/>
      <c r="K1700" s="170" t="s">
        <v>1308</v>
      </c>
    </row>
    <row r="1701" ht="15.75" customHeight="1">
      <c r="A1701" s="235">
        <v>46269.0</v>
      </c>
      <c r="B1701" s="172" t="s">
        <v>69</v>
      </c>
      <c r="C1701" s="172">
        <v>40.0</v>
      </c>
      <c r="D1701" s="172">
        <v>1.0</v>
      </c>
      <c r="E1701" s="172" t="s">
        <v>441</v>
      </c>
      <c r="F1701" s="172" t="s">
        <v>504</v>
      </c>
      <c r="G1701" s="173" t="s">
        <v>2004</v>
      </c>
      <c r="H1701" s="172">
        <v>20.0</v>
      </c>
      <c r="J1701" s="173"/>
      <c r="K1701" s="170" t="s">
        <v>1308</v>
      </c>
    </row>
    <row r="1702" ht="15.75" customHeight="1">
      <c r="A1702" s="235">
        <v>46269.0</v>
      </c>
      <c r="B1702" s="172" t="s">
        <v>69</v>
      </c>
      <c r="C1702" s="172">
        <v>40.0</v>
      </c>
      <c r="D1702" s="172">
        <v>1.0</v>
      </c>
      <c r="E1702" s="172" t="s">
        <v>441</v>
      </c>
      <c r="F1702" s="172" t="s">
        <v>504</v>
      </c>
      <c r="G1702" s="173" t="s">
        <v>2005</v>
      </c>
      <c r="H1702" s="172">
        <v>22.0</v>
      </c>
      <c r="J1702" s="173"/>
      <c r="K1702" s="170" t="s">
        <v>1308</v>
      </c>
    </row>
    <row r="1703" ht="15.75" customHeight="1">
      <c r="A1703" s="235">
        <v>46269.0</v>
      </c>
      <c r="B1703" s="172" t="s">
        <v>92</v>
      </c>
      <c r="C1703" s="172">
        <v>40.0</v>
      </c>
      <c r="D1703" s="172">
        <v>1.0</v>
      </c>
      <c r="E1703" s="172" t="s">
        <v>441</v>
      </c>
      <c r="F1703" s="172" t="s">
        <v>504</v>
      </c>
      <c r="G1703" s="173" t="s">
        <v>2006</v>
      </c>
      <c r="H1703" s="172">
        <v>20.0</v>
      </c>
      <c r="J1703" s="173"/>
      <c r="K1703" s="170" t="s">
        <v>1308</v>
      </c>
    </row>
    <row r="1704" ht="15.75" customHeight="1">
      <c r="A1704" s="235">
        <v>46269.0</v>
      </c>
      <c r="B1704" s="172" t="s">
        <v>52</v>
      </c>
      <c r="C1704" s="172">
        <v>40.0</v>
      </c>
      <c r="D1704" s="172">
        <v>1.0</v>
      </c>
      <c r="E1704" s="172" t="s">
        <v>441</v>
      </c>
      <c r="F1704" s="172" t="s">
        <v>504</v>
      </c>
      <c r="G1704" s="173" t="s">
        <v>2007</v>
      </c>
      <c r="H1704" s="172">
        <v>20.0</v>
      </c>
      <c r="J1704" s="173"/>
      <c r="K1704" s="170" t="s">
        <v>1308</v>
      </c>
    </row>
    <row r="1705" ht="15.75" customHeight="1">
      <c r="A1705" s="235">
        <v>46269.0</v>
      </c>
      <c r="B1705" s="172" t="s">
        <v>107</v>
      </c>
      <c r="C1705" s="172">
        <v>36.0</v>
      </c>
      <c r="D1705" s="172">
        <v>1.0</v>
      </c>
      <c r="E1705" s="172" t="s">
        <v>441</v>
      </c>
      <c r="F1705" s="172" t="s">
        <v>509</v>
      </c>
      <c r="G1705" s="173" t="s">
        <v>2008</v>
      </c>
      <c r="H1705" s="172">
        <v>18.0</v>
      </c>
      <c r="J1705" s="173"/>
      <c r="K1705" s="170" t="s">
        <v>1308</v>
      </c>
    </row>
    <row r="1706" ht="15.75" customHeight="1">
      <c r="A1706" s="235">
        <v>46269.0</v>
      </c>
      <c r="B1706" s="172" t="s">
        <v>52</v>
      </c>
      <c r="C1706" s="172">
        <v>34.0</v>
      </c>
      <c r="D1706" s="172">
        <v>1.0</v>
      </c>
      <c r="E1706" s="172" t="s">
        <v>441</v>
      </c>
      <c r="F1706" s="172" t="s">
        <v>513</v>
      </c>
      <c r="G1706" s="173" t="s">
        <v>2009</v>
      </c>
      <c r="H1706" s="172">
        <v>16.0</v>
      </c>
      <c r="J1706" s="173"/>
      <c r="K1706" s="170" t="s">
        <v>1308</v>
      </c>
    </row>
    <row r="1707" ht="15.75" customHeight="1">
      <c r="A1707" s="235">
        <v>46269.0</v>
      </c>
      <c r="B1707" s="172" t="s">
        <v>92</v>
      </c>
      <c r="C1707" s="172">
        <v>36.0</v>
      </c>
      <c r="D1707" s="172">
        <v>1.0</v>
      </c>
      <c r="E1707" s="172" t="s">
        <v>441</v>
      </c>
      <c r="F1707" s="172" t="s">
        <v>509</v>
      </c>
      <c r="G1707" s="173" t="s">
        <v>2010</v>
      </c>
      <c r="H1707" s="172">
        <v>18.0</v>
      </c>
      <c r="J1707" s="173"/>
      <c r="K1707" s="170" t="s">
        <v>1308</v>
      </c>
    </row>
    <row r="1708" ht="15.75" customHeight="1">
      <c r="A1708" s="235">
        <v>46269.0</v>
      </c>
      <c r="B1708" s="172" t="s">
        <v>52</v>
      </c>
      <c r="C1708" s="172">
        <v>40.0</v>
      </c>
      <c r="D1708" s="172">
        <v>1.0</v>
      </c>
      <c r="E1708" s="172" t="s">
        <v>441</v>
      </c>
      <c r="F1708" s="172" t="s">
        <v>504</v>
      </c>
      <c r="G1708" s="173" t="s">
        <v>2011</v>
      </c>
      <c r="H1708" s="172">
        <v>18.0</v>
      </c>
      <c r="J1708" s="173"/>
      <c r="K1708" s="170" t="s">
        <v>1308</v>
      </c>
    </row>
    <row r="1709" ht="15.75" customHeight="1">
      <c r="A1709" s="235">
        <v>46269.0</v>
      </c>
      <c r="B1709" s="172" t="s">
        <v>92</v>
      </c>
      <c r="C1709" s="172">
        <v>40.0</v>
      </c>
      <c r="D1709" s="172">
        <v>1.0</v>
      </c>
      <c r="E1709" s="172" t="s">
        <v>441</v>
      </c>
      <c r="F1709" s="172" t="s">
        <v>504</v>
      </c>
      <c r="G1709" s="173" t="s">
        <v>2012</v>
      </c>
      <c r="H1709" s="172">
        <v>20.0</v>
      </c>
      <c r="J1709" s="173"/>
      <c r="K1709" s="170" t="s">
        <v>1308</v>
      </c>
    </row>
    <row r="1710" ht="15.75" customHeight="1">
      <c r="A1710" s="235">
        <v>46269.0</v>
      </c>
      <c r="B1710" s="172" t="s">
        <v>45</v>
      </c>
      <c r="C1710" s="172">
        <v>30.0</v>
      </c>
      <c r="D1710" s="172">
        <v>1.0</v>
      </c>
      <c r="E1710" s="172" t="s">
        <v>453</v>
      </c>
      <c r="F1710" s="172" t="s">
        <v>500</v>
      </c>
      <c r="G1710" s="173" t="s">
        <v>2013</v>
      </c>
      <c r="H1710" s="172">
        <v>19.0</v>
      </c>
      <c r="I1710" s="173">
        <v>0.98</v>
      </c>
      <c r="J1710" s="173"/>
      <c r="K1710" s="170" t="s">
        <v>1308</v>
      </c>
    </row>
    <row r="1711" ht="15.75" customHeight="1">
      <c r="A1711" s="235">
        <v>46269.0</v>
      </c>
      <c r="B1711" s="172" t="s">
        <v>92</v>
      </c>
      <c r="C1711" s="172">
        <v>40.0</v>
      </c>
      <c r="D1711" s="172">
        <v>1.0</v>
      </c>
      <c r="E1711" s="172" t="s">
        <v>441</v>
      </c>
      <c r="F1711" s="172" t="s">
        <v>504</v>
      </c>
      <c r="G1711" s="173" t="s">
        <v>2014</v>
      </c>
      <c r="H1711" s="172">
        <v>18.0</v>
      </c>
      <c r="J1711" s="173"/>
      <c r="K1711" s="170" t="s">
        <v>1308</v>
      </c>
    </row>
    <row r="1712" ht="15.75" customHeight="1">
      <c r="A1712" s="251">
        <v>46270.0</v>
      </c>
      <c r="B1712" s="172" t="s">
        <v>84</v>
      </c>
      <c r="C1712" s="172">
        <v>34.0</v>
      </c>
      <c r="D1712" s="172">
        <v>1.0</v>
      </c>
      <c r="E1712" s="172" t="s">
        <v>453</v>
      </c>
      <c r="F1712" s="172" t="s">
        <v>500</v>
      </c>
      <c r="G1712" s="173" t="s">
        <v>2015</v>
      </c>
      <c r="H1712" s="172">
        <v>18.0</v>
      </c>
      <c r="J1712" s="173"/>
      <c r="K1712" s="170" t="s">
        <v>1308</v>
      </c>
    </row>
    <row r="1713" ht="15.75" customHeight="1">
      <c r="A1713" s="235">
        <v>46270.0</v>
      </c>
      <c r="B1713" s="172" t="s">
        <v>52</v>
      </c>
      <c r="C1713" s="172">
        <v>32.0</v>
      </c>
      <c r="D1713" s="172">
        <v>1.0</v>
      </c>
      <c r="E1713" s="172" t="s">
        <v>411</v>
      </c>
      <c r="F1713" s="172" t="s">
        <v>410</v>
      </c>
      <c r="G1713" s="173" t="s">
        <v>2016</v>
      </c>
      <c r="H1713" s="172">
        <v>18.8</v>
      </c>
      <c r="J1713" s="173"/>
      <c r="K1713" s="170" t="s">
        <v>1308</v>
      </c>
    </row>
    <row r="1714" ht="15.75" customHeight="1">
      <c r="A1714" s="235">
        <v>46270.0</v>
      </c>
      <c r="B1714" s="172" t="s">
        <v>84</v>
      </c>
      <c r="C1714" s="172">
        <v>32.0</v>
      </c>
      <c r="D1714" s="172">
        <v>1.0</v>
      </c>
      <c r="E1714" s="172" t="s">
        <v>411</v>
      </c>
      <c r="F1714" s="172" t="s">
        <v>416</v>
      </c>
      <c r="G1714" s="173" t="s">
        <v>2017</v>
      </c>
      <c r="H1714" s="172">
        <v>19.0</v>
      </c>
      <c r="J1714" s="173"/>
      <c r="K1714" s="170" t="s">
        <v>1308</v>
      </c>
    </row>
    <row r="1715" ht="15.75" customHeight="1">
      <c r="A1715" s="235">
        <v>46270.0</v>
      </c>
      <c r="B1715" s="172" t="s">
        <v>107</v>
      </c>
      <c r="C1715" s="172">
        <v>34.0</v>
      </c>
      <c r="D1715" s="172">
        <v>1.0</v>
      </c>
      <c r="E1715" s="172" t="s">
        <v>411</v>
      </c>
      <c r="F1715" s="172" t="s">
        <v>428</v>
      </c>
      <c r="G1715" s="173" t="s">
        <v>2018</v>
      </c>
      <c r="H1715" s="172">
        <v>19.8</v>
      </c>
      <c r="J1715" s="173"/>
      <c r="K1715" s="170" t="s">
        <v>1308</v>
      </c>
    </row>
    <row r="1716" ht="15.75" customHeight="1">
      <c r="A1716" s="235">
        <v>46270.0</v>
      </c>
      <c r="B1716" s="172" t="s">
        <v>92</v>
      </c>
      <c r="C1716" s="172">
        <v>34.0</v>
      </c>
      <c r="D1716" s="172">
        <v>1.0</v>
      </c>
      <c r="E1716" s="172" t="s">
        <v>331</v>
      </c>
      <c r="F1716" s="161"/>
      <c r="G1716" s="173" t="s">
        <v>2019</v>
      </c>
      <c r="H1716" s="172">
        <v>18.0</v>
      </c>
      <c r="J1716" s="173"/>
      <c r="K1716" s="170" t="s">
        <v>1308</v>
      </c>
    </row>
    <row r="1717" ht="15.75" customHeight="1">
      <c r="A1717" s="235">
        <v>46270.0</v>
      </c>
      <c r="B1717" s="172" t="s">
        <v>69</v>
      </c>
      <c r="C1717" s="172">
        <v>30.0</v>
      </c>
      <c r="D1717" s="172">
        <v>1.0</v>
      </c>
      <c r="E1717" s="172" t="s">
        <v>331</v>
      </c>
      <c r="F1717" s="161"/>
      <c r="G1717" s="173" t="s">
        <v>2020</v>
      </c>
      <c r="H1717" s="172">
        <v>17.0</v>
      </c>
      <c r="J1717" s="173"/>
      <c r="K1717" s="170" t="s">
        <v>1308</v>
      </c>
    </row>
    <row r="1718" ht="15.75" customHeight="1">
      <c r="A1718" s="235">
        <v>46270.0</v>
      </c>
      <c r="B1718" s="172" t="s">
        <v>84</v>
      </c>
      <c r="C1718" s="172">
        <v>38.0</v>
      </c>
      <c r="D1718" s="172">
        <v>1.0</v>
      </c>
      <c r="E1718" s="172" t="s">
        <v>39</v>
      </c>
      <c r="F1718" s="172" t="s">
        <v>390</v>
      </c>
      <c r="G1718" s="173" t="s">
        <v>2021</v>
      </c>
      <c r="H1718" s="172">
        <v>22.4</v>
      </c>
      <c r="J1718" s="173"/>
      <c r="K1718" s="170" t="s">
        <v>1308</v>
      </c>
    </row>
    <row r="1719" ht="15.75" customHeight="1">
      <c r="A1719" s="235">
        <v>46270.0</v>
      </c>
      <c r="B1719" s="172" t="s">
        <v>52</v>
      </c>
      <c r="C1719" s="172">
        <v>34.0</v>
      </c>
      <c r="D1719" s="172">
        <v>1.0</v>
      </c>
      <c r="E1719" s="172" t="s">
        <v>441</v>
      </c>
      <c r="F1719" s="172" t="s">
        <v>513</v>
      </c>
      <c r="G1719" s="173" t="s">
        <v>2022</v>
      </c>
      <c r="H1719" s="172">
        <v>22.0</v>
      </c>
      <c r="J1719" s="173"/>
      <c r="K1719" s="170" t="s">
        <v>1308</v>
      </c>
    </row>
    <row r="1720" ht="15.75" customHeight="1">
      <c r="A1720" s="235">
        <v>46270.0</v>
      </c>
      <c r="B1720" s="172" t="s">
        <v>52</v>
      </c>
      <c r="C1720" s="172">
        <v>34.0</v>
      </c>
      <c r="D1720" s="172">
        <v>1.0</v>
      </c>
      <c r="E1720" s="172" t="s">
        <v>441</v>
      </c>
      <c r="F1720" s="172" t="s">
        <v>513</v>
      </c>
      <c r="G1720" s="173" t="s">
        <v>2023</v>
      </c>
      <c r="H1720" s="172">
        <v>22.0</v>
      </c>
      <c r="J1720" s="173"/>
      <c r="K1720" s="170" t="s">
        <v>1308</v>
      </c>
    </row>
    <row r="1721" ht="15.75" customHeight="1">
      <c r="A1721" s="235">
        <v>46270.0</v>
      </c>
      <c r="B1721" s="172" t="s">
        <v>69</v>
      </c>
      <c r="C1721" s="172">
        <v>34.0</v>
      </c>
      <c r="D1721" s="172">
        <v>1.0</v>
      </c>
      <c r="E1721" s="172" t="s">
        <v>441</v>
      </c>
      <c r="F1721" s="172" t="s">
        <v>513</v>
      </c>
      <c r="G1721" s="173" t="s">
        <v>2023</v>
      </c>
      <c r="H1721" s="172">
        <v>22.0</v>
      </c>
      <c r="J1721" s="173"/>
      <c r="K1721" s="170" t="s">
        <v>1308</v>
      </c>
    </row>
    <row r="1722" ht="15.75" customHeight="1">
      <c r="A1722" s="235">
        <v>46270.0</v>
      </c>
      <c r="B1722" s="172" t="s">
        <v>52</v>
      </c>
      <c r="C1722" s="172">
        <v>34.0</v>
      </c>
      <c r="D1722" s="172">
        <v>1.0</v>
      </c>
      <c r="E1722" s="172" t="s">
        <v>441</v>
      </c>
      <c r="F1722" s="172" t="s">
        <v>513</v>
      </c>
      <c r="G1722" s="173" t="s">
        <v>2024</v>
      </c>
      <c r="H1722" s="172">
        <v>18.0</v>
      </c>
      <c r="J1722" s="173"/>
      <c r="K1722" s="170" t="s">
        <v>1308</v>
      </c>
    </row>
    <row r="1723" ht="15.75" customHeight="1">
      <c r="A1723" s="235">
        <v>46270.0</v>
      </c>
      <c r="B1723" s="172" t="s">
        <v>84</v>
      </c>
      <c r="C1723" s="172">
        <v>34.0</v>
      </c>
      <c r="D1723" s="172">
        <v>1.0</v>
      </c>
      <c r="E1723" s="172" t="s">
        <v>331</v>
      </c>
      <c r="F1723" s="172" t="s">
        <v>390</v>
      </c>
      <c r="G1723" s="173" t="s">
        <v>2025</v>
      </c>
      <c r="H1723" s="172">
        <v>22.0</v>
      </c>
      <c r="J1723" s="173"/>
      <c r="K1723" s="170" t="s">
        <v>1308</v>
      </c>
    </row>
    <row r="1724" ht="15.75" customHeight="1">
      <c r="A1724" s="235">
        <v>46270.0</v>
      </c>
      <c r="B1724" s="172" t="s">
        <v>92</v>
      </c>
      <c r="C1724" s="172">
        <v>38.0</v>
      </c>
      <c r="D1724" s="172">
        <v>1.0</v>
      </c>
      <c r="E1724" s="172" t="s">
        <v>441</v>
      </c>
      <c r="F1724" s="172" t="s">
        <v>504</v>
      </c>
      <c r="G1724" s="173" t="s">
        <v>2026</v>
      </c>
      <c r="H1724" s="172">
        <v>19.8</v>
      </c>
      <c r="J1724" s="173"/>
      <c r="K1724" s="170" t="s">
        <v>1308</v>
      </c>
    </row>
    <row r="1725" ht="15.75" customHeight="1">
      <c r="A1725" s="235">
        <v>46270.0</v>
      </c>
      <c r="B1725" s="172" t="s">
        <v>69</v>
      </c>
      <c r="C1725" s="172">
        <v>36.0</v>
      </c>
      <c r="D1725" s="172">
        <v>1.0</v>
      </c>
      <c r="E1725" s="172" t="s">
        <v>441</v>
      </c>
      <c r="F1725" s="172" t="s">
        <v>465</v>
      </c>
      <c r="G1725" s="173" t="s">
        <v>2027</v>
      </c>
      <c r="H1725" s="172">
        <v>22.0</v>
      </c>
      <c r="J1725" s="173"/>
      <c r="K1725" s="170" t="s">
        <v>1308</v>
      </c>
    </row>
    <row r="1726" ht="15.75" customHeight="1">
      <c r="A1726" s="235">
        <v>46270.0</v>
      </c>
      <c r="B1726" s="172" t="s">
        <v>69</v>
      </c>
      <c r="C1726" s="172">
        <v>34.0</v>
      </c>
      <c r="D1726" s="172">
        <v>1.0</v>
      </c>
      <c r="E1726" s="172" t="s">
        <v>441</v>
      </c>
      <c r="F1726" s="172" t="s">
        <v>513</v>
      </c>
      <c r="G1726" s="173" t="s">
        <v>2028</v>
      </c>
      <c r="H1726" s="172">
        <v>22.0</v>
      </c>
      <c r="J1726" s="173"/>
      <c r="K1726" s="170" t="s">
        <v>1308</v>
      </c>
    </row>
    <row r="1727" ht="15.75" customHeight="1">
      <c r="A1727" s="235">
        <v>46270.0</v>
      </c>
      <c r="B1727" s="172" t="s">
        <v>69</v>
      </c>
      <c r="C1727" s="172">
        <v>36.0</v>
      </c>
      <c r="D1727" s="172">
        <v>1.0</v>
      </c>
      <c r="E1727" s="172" t="s">
        <v>441</v>
      </c>
      <c r="F1727" s="172" t="s">
        <v>465</v>
      </c>
      <c r="G1727" s="173" t="s">
        <v>2029</v>
      </c>
      <c r="H1727" s="172">
        <v>17.0</v>
      </c>
      <c r="J1727" s="173"/>
      <c r="K1727" s="170" t="s">
        <v>1308</v>
      </c>
    </row>
    <row r="1728" ht="15.75" customHeight="1">
      <c r="A1728" s="235">
        <v>46270.0</v>
      </c>
      <c r="B1728" s="172" t="s">
        <v>69</v>
      </c>
      <c r="C1728" s="172">
        <v>34.0</v>
      </c>
      <c r="D1728" s="172">
        <v>1.0</v>
      </c>
      <c r="E1728" s="172" t="s">
        <v>441</v>
      </c>
      <c r="F1728" s="172" t="s">
        <v>513</v>
      </c>
      <c r="G1728" s="173" t="s">
        <v>2030</v>
      </c>
      <c r="H1728" s="172">
        <v>19.8</v>
      </c>
      <c r="J1728" s="173"/>
      <c r="K1728" s="170" t="s">
        <v>1308</v>
      </c>
    </row>
    <row r="1729" ht="15.75" customHeight="1">
      <c r="A1729" s="235">
        <v>46270.0</v>
      </c>
      <c r="B1729" s="172" t="s">
        <v>84</v>
      </c>
      <c r="C1729" s="172">
        <v>34.0</v>
      </c>
      <c r="D1729" s="172">
        <v>1.0</v>
      </c>
      <c r="E1729" s="172" t="s">
        <v>441</v>
      </c>
      <c r="F1729" s="172" t="s">
        <v>513</v>
      </c>
      <c r="G1729" s="173" t="s">
        <v>2031</v>
      </c>
      <c r="H1729" s="172">
        <v>20.0</v>
      </c>
      <c r="J1729" s="173"/>
      <c r="K1729" s="170" t="s">
        <v>1308</v>
      </c>
    </row>
    <row r="1730" ht="15.75" customHeight="1">
      <c r="A1730" s="235">
        <v>46270.0</v>
      </c>
      <c r="B1730" s="172" t="s">
        <v>84</v>
      </c>
      <c r="C1730" s="172">
        <v>36.0</v>
      </c>
      <c r="D1730" s="172">
        <v>1.0</v>
      </c>
      <c r="E1730" s="172" t="s">
        <v>411</v>
      </c>
      <c r="F1730" s="172" t="s">
        <v>494</v>
      </c>
      <c r="G1730" s="173" t="s">
        <v>2032</v>
      </c>
      <c r="H1730" s="172">
        <v>20.0</v>
      </c>
      <c r="J1730" s="173"/>
      <c r="K1730" s="170" t="s">
        <v>1308</v>
      </c>
    </row>
    <row r="1731" ht="15.75" customHeight="1">
      <c r="A1731" s="235">
        <v>46270.0</v>
      </c>
      <c r="B1731" s="172" t="s">
        <v>92</v>
      </c>
      <c r="C1731" s="172">
        <v>38.0</v>
      </c>
      <c r="D1731" s="172">
        <v>1.0</v>
      </c>
      <c r="E1731" s="172" t="s">
        <v>441</v>
      </c>
      <c r="F1731" s="172" t="s">
        <v>504</v>
      </c>
      <c r="G1731" s="173" t="s">
        <v>2033</v>
      </c>
      <c r="H1731" s="172">
        <v>18.0</v>
      </c>
      <c r="J1731" s="173"/>
      <c r="K1731" s="170" t="s">
        <v>1308</v>
      </c>
    </row>
    <row r="1732" ht="15.75" customHeight="1">
      <c r="A1732" s="235">
        <v>46270.0</v>
      </c>
      <c r="B1732" s="172" t="s">
        <v>69</v>
      </c>
      <c r="C1732" s="172">
        <v>34.0</v>
      </c>
      <c r="D1732" s="172">
        <v>1.0</v>
      </c>
      <c r="E1732" s="172" t="s">
        <v>441</v>
      </c>
      <c r="F1732" s="172" t="s">
        <v>513</v>
      </c>
      <c r="G1732" s="173" t="s">
        <v>2034</v>
      </c>
      <c r="H1732" s="172">
        <v>18.0</v>
      </c>
      <c r="J1732" s="173"/>
      <c r="K1732" s="170" t="s">
        <v>1308</v>
      </c>
    </row>
    <row r="1733" ht="15.75" customHeight="1">
      <c r="A1733" s="235">
        <v>46270.0</v>
      </c>
      <c r="B1733" s="172" t="s">
        <v>84</v>
      </c>
      <c r="C1733" s="172">
        <v>34.0</v>
      </c>
      <c r="D1733" s="172">
        <v>1.0</v>
      </c>
      <c r="E1733" s="172" t="s">
        <v>441</v>
      </c>
      <c r="F1733" s="172" t="s">
        <v>513</v>
      </c>
      <c r="G1733" s="173" t="s">
        <v>2035</v>
      </c>
      <c r="H1733" s="172">
        <v>22.0</v>
      </c>
      <c r="J1733" s="173"/>
      <c r="K1733" s="170" t="s">
        <v>1308</v>
      </c>
    </row>
    <row r="1734" ht="15.75" customHeight="1">
      <c r="A1734" s="235">
        <v>46270.0</v>
      </c>
      <c r="B1734" s="172" t="s">
        <v>92</v>
      </c>
      <c r="C1734" s="172">
        <v>38.0</v>
      </c>
      <c r="D1734" s="172">
        <v>1.0</v>
      </c>
      <c r="E1734" s="172" t="s">
        <v>39</v>
      </c>
      <c r="F1734" s="172" t="s">
        <v>390</v>
      </c>
      <c r="G1734" s="173" t="s">
        <v>2036</v>
      </c>
      <c r="H1734" s="172">
        <v>22.4</v>
      </c>
      <c r="J1734" s="173"/>
      <c r="K1734" s="170" t="s">
        <v>1308</v>
      </c>
    </row>
    <row r="1735" ht="15.75" customHeight="1">
      <c r="A1735" s="235">
        <v>46270.0</v>
      </c>
      <c r="B1735" s="172" t="s">
        <v>92</v>
      </c>
      <c r="C1735" s="172">
        <v>38.0</v>
      </c>
      <c r="D1735" s="172">
        <v>1.0</v>
      </c>
      <c r="E1735" s="172" t="s">
        <v>39</v>
      </c>
      <c r="F1735" s="172" t="s">
        <v>390</v>
      </c>
      <c r="G1735" s="173" t="s">
        <v>2037</v>
      </c>
      <c r="H1735" s="172">
        <v>20.0</v>
      </c>
      <c r="J1735" s="173"/>
      <c r="K1735" s="170" t="s">
        <v>1308</v>
      </c>
    </row>
    <row r="1736" ht="15.75" customHeight="1">
      <c r="A1736" s="235">
        <v>46270.0</v>
      </c>
      <c r="B1736" s="172" t="s">
        <v>69</v>
      </c>
      <c r="C1736" s="172">
        <v>36.0</v>
      </c>
      <c r="D1736" s="172">
        <v>1.0</v>
      </c>
      <c r="E1736" s="172" t="s">
        <v>441</v>
      </c>
      <c r="F1736" s="172" t="s">
        <v>465</v>
      </c>
      <c r="G1736" s="173" t="s">
        <v>2038</v>
      </c>
      <c r="H1736" s="172">
        <v>22.0</v>
      </c>
      <c r="J1736" s="173"/>
      <c r="K1736" s="170" t="s">
        <v>1308</v>
      </c>
    </row>
    <row r="1737" ht="15.75" customHeight="1">
      <c r="A1737" s="235">
        <v>46270.0</v>
      </c>
      <c r="B1737" s="172" t="s">
        <v>84</v>
      </c>
      <c r="C1737" s="172">
        <v>30.0</v>
      </c>
      <c r="D1737" s="172">
        <v>1.0</v>
      </c>
      <c r="E1737" s="172" t="s">
        <v>453</v>
      </c>
      <c r="F1737" s="172" t="s">
        <v>500</v>
      </c>
      <c r="G1737" s="173" t="s">
        <v>2039</v>
      </c>
      <c r="H1737" s="172">
        <v>18.0</v>
      </c>
      <c r="J1737" s="173"/>
      <c r="K1737" s="170" t="s">
        <v>1308</v>
      </c>
    </row>
    <row r="1738" ht="15.75" customHeight="1">
      <c r="A1738" s="235">
        <v>46270.0</v>
      </c>
      <c r="B1738" s="172" t="s">
        <v>52</v>
      </c>
      <c r="C1738" s="172">
        <v>32.0</v>
      </c>
      <c r="D1738" s="172">
        <v>1.0</v>
      </c>
      <c r="E1738" s="172" t="s">
        <v>453</v>
      </c>
      <c r="F1738" s="172" t="s">
        <v>500</v>
      </c>
      <c r="G1738" s="173" t="s">
        <v>2040</v>
      </c>
      <c r="H1738" s="172">
        <v>20.7</v>
      </c>
      <c r="J1738" s="173"/>
      <c r="K1738" s="170" t="s">
        <v>1308</v>
      </c>
    </row>
    <row r="1739" ht="15.75" customHeight="1">
      <c r="A1739" s="235">
        <v>46270.0</v>
      </c>
      <c r="B1739" s="172" t="s">
        <v>84</v>
      </c>
      <c r="C1739" s="172">
        <v>38.0</v>
      </c>
      <c r="D1739" s="172">
        <v>1.0</v>
      </c>
      <c r="E1739" s="172" t="s">
        <v>39</v>
      </c>
      <c r="F1739" s="172" t="s">
        <v>390</v>
      </c>
      <c r="G1739" s="173" t="s">
        <v>2041</v>
      </c>
      <c r="H1739" s="172">
        <v>18.0</v>
      </c>
      <c r="J1739" s="173"/>
      <c r="K1739" s="170" t="s">
        <v>1308</v>
      </c>
    </row>
    <row r="1740" ht="15.75" customHeight="1">
      <c r="A1740" s="235">
        <v>46270.0</v>
      </c>
      <c r="B1740" s="172" t="s">
        <v>84</v>
      </c>
      <c r="C1740" s="172">
        <v>34.0</v>
      </c>
      <c r="D1740" s="172">
        <v>1.0</v>
      </c>
      <c r="E1740" s="172" t="s">
        <v>441</v>
      </c>
      <c r="F1740" s="172" t="s">
        <v>513</v>
      </c>
      <c r="G1740" s="173" t="s">
        <v>2042</v>
      </c>
      <c r="H1740" s="172">
        <v>22.0</v>
      </c>
      <c r="J1740" s="173"/>
      <c r="K1740" s="170" t="s">
        <v>1308</v>
      </c>
    </row>
    <row r="1741" ht="15.75" customHeight="1">
      <c r="A1741" s="233">
        <v>46271.0</v>
      </c>
      <c r="B1741" s="172" t="s">
        <v>84</v>
      </c>
      <c r="C1741" s="172">
        <v>32.0</v>
      </c>
      <c r="D1741" s="172">
        <v>1.0</v>
      </c>
      <c r="E1741" s="172" t="s">
        <v>39</v>
      </c>
      <c r="F1741" s="172" t="s">
        <v>390</v>
      </c>
      <c r="G1741" s="173" t="s">
        <v>2043</v>
      </c>
      <c r="H1741" s="172">
        <v>20.0</v>
      </c>
      <c r="J1741" s="173"/>
      <c r="K1741" s="170" t="s">
        <v>1308</v>
      </c>
    </row>
    <row r="1742" ht="15.75" customHeight="1">
      <c r="A1742" s="235">
        <v>46271.0</v>
      </c>
      <c r="B1742" s="172" t="s">
        <v>84</v>
      </c>
      <c r="C1742" s="172">
        <v>32.0</v>
      </c>
      <c r="D1742" s="172">
        <v>1.0</v>
      </c>
      <c r="E1742" s="172" t="s">
        <v>39</v>
      </c>
      <c r="F1742" s="172" t="s">
        <v>390</v>
      </c>
      <c r="G1742" s="173" t="s">
        <v>2044</v>
      </c>
      <c r="H1742" s="172">
        <v>22.4</v>
      </c>
      <c r="J1742" s="173"/>
      <c r="K1742" s="170" t="s">
        <v>1308</v>
      </c>
    </row>
    <row r="1743" ht="15.75" customHeight="1">
      <c r="A1743" s="235">
        <v>46271.0</v>
      </c>
      <c r="B1743" s="172" t="s">
        <v>69</v>
      </c>
      <c r="C1743" s="172">
        <v>30.0</v>
      </c>
      <c r="D1743" s="172">
        <v>1.0</v>
      </c>
      <c r="E1743" s="172" t="s">
        <v>331</v>
      </c>
      <c r="F1743" s="161"/>
      <c r="G1743" s="173" t="s">
        <v>2045</v>
      </c>
      <c r="H1743" s="172">
        <v>17.0</v>
      </c>
      <c r="J1743" s="173"/>
      <c r="K1743" s="170" t="s">
        <v>1308</v>
      </c>
    </row>
    <row r="1744" ht="15.75" customHeight="1">
      <c r="A1744" s="235">
        <v>46271.0</v>
      </c>
      <c r="B1744" s="172" t="s">
        <v>84</v>
      </c>
      <c r="C1744" s="172">
        <v>32.0</v>
      </c>
      <c r="D1744" s="172">
        <v>1.0</v>
      </c>
      <c r="E1744" s="172" t="s">
        <v>39</v>
      </c>
      <c r="F1744" s="172" t="s">
        <v>390</v>
      </c>
      <c r="G1744" s="173" t="s">
        <v>2046</v>
      </c>
      <c r="H1744" s="172">
        <v>22.4</v>
      </c>
      <c r="J1744" s="173"/>
      <c r="K1744" s="170" t="s">
        <v>1308</v>
      </c>
    </row>
    <row r="1745" ht="15.75" customHeight="1">
      <c r="A1745" s="235">
        <v>46271.0</v>
      </c>
      <c r="B1745" s="172" t="s">
        <v>63</v>
      </c>
      <c r="C1745" s="172">
        <v>32.0</v>
      </c>
      <c r="D1745" s="172">
        <v>1.0</v>
      </c>
      <c r="E1745" s="172" t="s">
        <v>411</v>
      </c>
      <c r="F1745" s="172" t="s">
        <v>428</v>
      </c>
      <c r="G1745" s="173" t="s">
        <v>2047</v>
      </c>
      <c r="H1745" s="172">
        <v>22.5</v>
      </c>
      <c r="J1745" s="173"/>
      <c r="K1745" s="170" t="s">
        <v>1308</v>
      </c>
    </row>
    <row r="1746" ht="15.75" customHeight="1">
      <c r="A1746" s="235">
        <v>46271.0</v>
      </c>
      <c r="B1746" s="172" t="s">
        <v>52</v>
      </c>
      <c r="C1746" s="172">
        <v>38.0</v>
      </c>
      <c r="D1746" s="172">
        <v>1.0</v>
      </c>
      <c r="E1746" s="172" t="s">
        <v>411</v>
      </c>
      <c r="F1746" s="172" t="s">
        <v>494</v>
      </c>
      <c r="G1746" s="173" t="s">
        <v>2048</v>
      </c>
      <c r="H1746" s="172">
        <v>22.45</v>
      </c>
      <c r="J1746" s="173"/>
      <c r="K1746" s="170" t="s">
        <v>1308</v>
      </c>
    </row>
    <row r="1747" ht="15.75" customHeight="1">
      <c r="A1747" s="235">
        <v>46271.0</v>
      </c>
      <c r="B1747" s="172" t="s">
        <v>52</v>
      </c>
      <c r="C1747" s="172">
        <v>36.0</v>
      </c>
      <c r="D1747" s="172">
        <v>1.0</v>
      </c>
      <c r="E1747" s="172" t="s">
        <v>331</v>
      </c>
      <c r="F1747" s="161"/>
      <c r="G1747" s="173" t="s">
        <v>2049</v>
      </c>
      <c r="H1747" s="172">
        <v>20.0</v>
      </c>
      <c r="J1747" s="173"/>
      <c r="K1747" s="170" t="s">
        <v>1308</v>
      </c>
    </row>
    <row r="1748" ht="15.75" customHeight="1">
      <c r="A1748" s="235">
        <v>46271.0</v>
      </c>
      <c r="B1748" s="172" t="s">
        <v>52</v>
      </c>
      <c r="C1748" s="172">
        <v>38.0</v>
      </c>
      <c r="D1748" s="172">
        <v>1.0</v>
      </c>
      <c r="E1748" s="172" t="s">
        <v>411</v>
      </c>
      <c r="F1748" s="172" t="s">
        <v>472</v>
      </c>
      <c r="G1748" s="173" t="s">
        <v>2050</v>
      </c>
      <c r="H1748" s="172">
        <v>22.0</v>
      </c>
      <c r="J1748" s="173"/>
      <c r="K1748" s="170" t="s">
        <v>1308</v>
      </c>
    </row>
    <row r="1749" ht="15.75" customHeight="1">
      <c r="A1749" s="235">
        <v>46271.0</v>
      </c>
      <c r="B1749" s="172" t="s">
        <v>52</v>
      </c>
      <c r="C1749" s="172">
        <v>36.0</v>
      </c>
      <c r="D1749" s="172">
        <v>1.0</v>
      </c>
      <c r="E1749" s="172" t="s">
        <v>331</v>
      </c>
      <c r="F1749" s="161"/>
      <c r="G1749" s="173" t="s">
        <v>2051</v>
      </c>
      <c r="H1749" s="172">
        <v>17.0</v>
      </c>
      <c r="J1749" s="173"/>
      <c r="K1749" s="170" t="s">
        <v>1308</v>
      </c>
    </row>
    <row r="1750" ht="15.75" customHeight="1">
      <c r="A1750" s="235">
        <v>46271.0</v>
      </c>
      <c r="B1750" s="172" t="s">
        <v>107</v>
      </c>
      <c r="C1750" s="172">
        <v>34.0</v>
      </c>
      <c r="D1750" s="172">
        <v>1.0</v>
      </c>
      <c r="E1750" s="172" t="s">
        <v>441</v>
      </c>
      <c r="F1750" s="172" t="s">
        <v>513</v>
      </c>
      <c r="G1750" s="173" t="s">
        <v>2052</v>
      </c>
      <c r="H1750" s="172">
        <v>22.0</v>
      </c>
      <c r="J1750" s="173"/>
      <c r="K1750" s="170" t="s">
        <v>1308</v>
      </c>
    </row>
    <row r="1751" ht="15.75" customHeight="1">
      <c r="A1751" s="235">
        <v>46271.0</v>
      </c>
      <c r="B1751" s="172" t="s">
        <v>50</v>
      </c>
      <c r="C1751" s="172">
        <v>36.0</v>
      </c>
      <c r="D1751" s="172">
        <v>1.0</v>
      </c>
      <c r="E1751" s="172" t="s">
        <v>411</v>
      </c>
      <c r="F1751" s="172" t="s">
        <v>410</v>
      </c>
      <c r="G1751" s="173" t="s">
        <v>2053</v>
      </c>
      <c r="H1751" s="172">
        <v>18.0</v>
      </c>
      <c r="J1751" s="173"/>
      <c r="K1751" s="170" t="s">
        <v>1308</v>
      </c>
    </row>
    <row r="1752" ht="15.75" customHeight="1">
      <c r="A1752" s="235">
        <v>46271.0</v>
      </c>
      <c r="B1752" s="172" t="s">
        <v>84</v>
      </c>
      <c r="C1752" s="172">
        <v>32.0</v>
      </c>
      <c r="D1752" s="172">
        <v>1.0</v>
      </c>
      <c r="E1752" s="172" t="s">
        <v>453</v>
      </c>
      <c r="F1752" s="172" t="s">
        <v>500</v>
      </c>
      <c r="G1752" s="173" t="s">
        <v>2054</v>
      </c>
      <c r="H1752" s="172">
        <v>23.0</v>
      </c>
      <c r="J1752" s="173"/>
      <c r="K1752" s="170" t="s">
        <v>1308</v>
      </c>
    </row>
    <row r="1753" ht="15.75" customHeight="1">
      <c r="A1753" s="235">
        <v>46271.0</v>
      </c>
      <c r="B1753" s="172" t="s">
        <v>92</v>
      </c>
      <c r="C1753" s="172">
        <v>32.0</v>
      </c>
      <c r="D1753" s="172">
        <v>1.0</v>
      </c>
      <c r="E1753" s="172" t="s">
        <v>39</v>
      </c>
      <c r="F1753" s="172" t="s">
        <v>390</v>
      </c>
      <c r="G1753" s="173" t="s">
        <v>2055</v>
      </c>
      <c r="H1753" s="172">
        <v>19.0</v>
      </c>
      <c r="J1753" s="173"/>
      <c r="K1753" s="170" t="s">
        <v>1308</v>
      </c>
    </row>
    <row r="1754" ht="15.75" customHeight="1">
      <c r="A1754" s="235">
        <v>46271.0</v>
      </c>
      <c r="B1754" s="172" t="s">
        <v>92</v>
      </c>
      <c r="C1754" s="172">
        <v>34.0</v>
      </c>
      <c r="D1754" s="172">
        <v>1.0</v>
      </c>
      <c r="E1754" s="172" t="s">
        <v>441</v>
      </c>
      <c r="F1754" s="172" t="s">
        <v>513</v>
      </c>
      <c r="G1754" s="173" t="s">
        <v>2056</v>
      </c>
      <c r="H1754" s="172">
        <v>19.8</v>
      </c>
      <c r="J1754" s="173"/>
      <c r="K1754" s="170" t="s">
        <v>1308</v>
      </c>
    </row>
    <row r="1755" ht="15.75" customHeight="1">
      <c r="A1755" s="235">
        <v>46271.0</v>
      </c>
      <c r="B1755" s="172" t="s">
        <v>107</v>
      </c>
      <c r="C1755" s="172">
        <v>34.0</v>
      </c>
      <c r="D1755" s="172">
        <v>1.0</v>
      </c>
      <c r="E1755" s="172" t="s">
        <v>441</v>
      </c>
      <c r="F1755" s="172" t="s">
        <v>513</v>
      </c>
      <c r="G1755" s="173" t="s">
        <v>2057</v>
      </c>
      <c r="H1755" s="172">
        <v>18.0</v>
      </c>
      <c r="J1755" s="173"/>
      <c r="K1755" s="170" t="s">
        <v>1308</v>
      </c>
    </row>
    <row r="1756" ht="15.75" customHeight="1">
      <c r="A1756" s="235">
        <v>46271.0</v>
      </c>
      <c r="B1756" s="172" t="s">
        <v>52</v>
      </c>
      <c r="C1756" s="172">
        <v>32.0</v>
      </c>
      <c r="D1756" s="172">
        <v>1.0</v>
      </c>
      <c r="E1756" s="172" t="s">
        <v>453</v>
      </c>
      <c r="F1756" s="172" t="s">
        <v>500</v>
      </c>
      <c r="G1756" s="173" t="s">
        <v>2058</v>
      </c>
      <c r="H1756" s="172">
        <v>23.5</v>
      </c>
      <c r="J1756" s="173"/>
      <c r="K1756" s="170" t="s">
        <v>1308</v>
      </c>
    </row>
    <row r="1757" ht="15.75" customHeight="1">
      <c r="A1757" s="235">
        <v>46271.0</v>
      </c>
      <c r="B1757" s="172" t="s">
        <v>84</v>
      </c>
      <c r="C1757" s="172">
        <v>36.0</v>
      </c>
      <c r="D1757" s="172">
        <v>1.0</v>
      </c>
      <c r="E1757" s="172" t="s">
        <v>453</v>
      </c>
      <c r="F1757" s="172" t="s">
        <v>500</v>
      </c>
      <c r="G1757" s="173" t="s">
        <v>2059</v>
      </c>
      <c r="H1757" s="172">
        <v>21.0</v>
      </c>
      <c r="J1757" s="173"/>
      <c r="K1757" s="170" t="s">
        <v>1308</v>
      </c>
    </row>
    <row r="1758" ht="15.75" customHeight="1">
      <c r="A1758" s="251">
        <v>46272.0</v>
      </c>
      <c r="B1758" s="172" t="s">
        <v>69</v>
      </c>
      <c r="C1758" s="172">
        <v>32.0</v>
      </c>
      <c r="D1758" s="172">
        <v>1.0</v>
      </c>
      <c r="E1758" s="172" t="s">
        <v>411</v>
      </c>
      <c r="F1758" s="172" t="s">
        <v>428</v>
      </c>
      <c r="G1758" s="173" t="s">
        <v>2060</v>
      </c>
      <c r="H1758" s="172">
        <v>24.5</v>
      </c>
      <c r="J1758" s="173"/>
      <c r="K1758" s="170" t="s">
        <v>1308</v>
      </c>
    </row>
    <row r="1759" ht="15.75" customHeight="1">
      <c r="A1759" s="235">
        <v>46272.0</v>
      </c>
      <c r="B1759" s="172" t="s">
        <v>107</v>
      </c>
      <c r="C1759" s="172">
        <v>36.0</v>
      </c>
      <c r="D1759" s="172">
        <v>1.0</v>
      </c>
      <c r="E1759" s="172" t="s">
        <v>411</v>
      </c>
      <c r="F1759" s="172" t="s">
        <v>416</v>
      </c>
      <c r="G1759" s="173" t="s">
        <v>2061</v>
      </c>
      <c r="H1759" s="172">
        <v>21.5</v>
      </c>
      <c r="J1759" s="173"/>
      <c r="K1759" s="170" t="s">
        <v>1308</v>
      </c>
    </row>
    <row r="1760" ht="15.75" customHeight="1">
      <c r="A1760" s="235">
        <v>46272.0</v>
      </c>
      <c r="B1760" s="172" t="s">
        <v>92</v>
      </c>
      <c r="C1760" s="172">
        <v>32.0</v>
      </c>
      <c r="D1760" s="172">
        <v>1.0</v>
      </c>
      <c r="E1760" s="172" t="s">
        <v>39</v>
      </c>
      <c r="F1760" s="172" t="s">
        <v>390</v>
      </c>
      <c r="G1760" s="173" t="s">
        <v>2062</v>
      </c>
      <c r="H1760" s="172">
        <v>22.4</v>
      </c>
      <c r="J1760" s="173"/>
      <c r="K1760" s="170" t="s">
        <v>1308</v>
      </c>
    </row>
    <row r="1761" ht="15.75" customHeight="1">
      <c r="A1761" s="235">
        <v>46272.0</v>
      </c>
      <c r="B1761" s="172" t="s">
        <v>92</v>
      </c>
      <c r="C1761" s="172">
        <v>32.0</v>
      </c>
      <c r="D1761" s="172">
        <v>1.0</v>
      </c>
      <c r="E1761" s="172" t="s">
        <v>39</v>
      </c>
      <c r="F1761" s="172" t="s">
        <v>390</v>
      </c>
      <c r="G1761" s="173" t="s">
        <v>2062</v>
      </c>
      <c r="H1761" s="172">
        <v>22.4</v>
      </c>
      <c r="J1761" s="173"/>
      <c r="K1761" s="170" t="s">
        <v>1308</v>
      </c>
    </row>
    <row r="1762" ht="15.75" customHeight="1">
      <c r="A1762" s="161"/>
      <c r="B1762" s="172" t="s">
        <v>84</v>
      </c>
      <c r="C1762" s="161"/>
      <c r="D1762" s="172">
        <v>1.0</v>
      </c>
      <c r="E1762" s="161"/>
      <c r="F1762" s="161"/>
      <c r="H1762" s="161"/>
      <c r="J1762" s="173"/>
      <c r="K1762" s="170" t="s">
        <v>1308</v>
      </c>
    </row>
    <row r="1763" ht="15.75" customHeight="1">
      <c r="A1763" s="235">
        <v>46272.0</v>
      </c>
      <c r="B1763" s="172" t="s">
        <v>115</v>
      </c>
      <c r="C1763" s="172">
        <v>32.0</v>
      </c>
      <c r="D1763" s="172">
        <v>1.0</v>
      </c>
      <c r="E1763" s="172" t="s">
        <v>411</v>
      </c>
      <c r="F1763" s="172" t="s">
        <v>416</v>
      </c>
      <c r="G1763" s="173" t="s">
        <v>2063</v>
      </c>
      <c r="H1763" s="172">
        <v>20.0</v>
      </c>
      <c r="J1763" s="173"/>
      <c r="K1763" s="170" t="s">
        <v>1308</v>
      </c>
    </row>
    <row r="1764" ht="15.75" customHeight="1">
      <c r="A1764" s="235">
        <v>46272.0</v>
      </c>
      <c r="B1764" s="172" t="s">
        <v>92</v>
      </c>
      <c r="C1764" s="172">
        <v>34.0</v>
      </c>
      <c r="D1764" s="172">
        <v>1.0</v>
      </c>
      <c r="E1764" s="172" t="s">
        <v>411</v>
      </c>
      <c r="F1764" s="172" t="s">
        <v>428</v>
      </c>
      <c r="G1764" s="173" t="s">
        <v>2064</v>
      </c>
      <c r="H1764" s="172">
        <v>22.99</v>
      </c>
      <c r="J1764" s="173"/>
      <c r="K1764" s="170" t="s">
        <v>1308</v>
      </c>
    </row>
    <row r="1765" ht="15.75" customHeight="1">
      <c r="A1765" s="235">
        <v>46272.0</v>
      </c>
      <c r="B1765" s="172" t="s">
        <v>50</v>
      </c>
      <c r="C1765" s="172">
        <v>36.0</v>
      </c>
      <c r="D1765" s="172">
        <v>1.0</v>
      </c>
      <c r="E1765" s="172" t="s">
        <v>331</v>
      </c>
      <c r="F1765" s="161"/>
      <c r="G1765" s="173" t="s">
        <v>2065</v>
      </c>
      <c r="H1765" s="172">
        <v>17.0</v>
      </c>
      <c r="J1765" s="173"/>
      <c r="K1765" s="170" t="s">
        <v>1308</v>
      </c>
    </row>
    <row r="1766" ht="15.75" customHeight="1">
      <c r="A1766" s="235">
        <v>46272.0</v>
      </c>
      <c r="B1766" s="172" t="s">
        <v>92</v>
      </c>
      <c r="C1766" s="172">
        <v>36.0</v>
      </c>
      <c r="D1766" s="172">
        <v>1.0</v>
      </c>
      <c r="E1766" s="172" t="s">
        <v>441</v>
      </c>
      <c r="F1766" s="172" t="s">
        <v>517</v>
      </c>
      <c r="G1766" s="173" t="s">
        <v>2066</v>
      </c>
      <c r="H1766" s="172">
        <v>18.0</v>
      </c>
      <c r="J1766" s="173"/>
      <c r="K1766" s="170" t="s">
        <v>1308</v>
      </c>
    </row>
    <row r="1767" ht="15.75" customHeight="1">
      <c r="A1767" s="235">
        <v>46272.0</v>
      </c>
      <c r="B1767" s="172" t="s">
        <v>92</v>
      </c>
      <c r="C1767" s="172">
        <v>32.0</v>
      </c>
      <c r="D1767" s="172">
        <v>1.0</v>
      </c>
      <c r="E1767" s="172" t="s">
        <v>39</v>
      </c>
      <c r="F1767" s="172" t="s">
        <v>390</v>
      </c>
      <c r="G1767" s="173" t="s">
        <v>2067</v>
      </c>
      <c r="H1767" s="172">
        <v>22.4</v>
      </c>
      <c r="J1767" s="173"/>
      <c r="K1767" s="170" t="s">
        <v>1308</v>
      </c>
    </row>
    <row r="1768" ht="15.75" customHeight="1">
      <c r="A1768" s="235">
        <v>46272.0</v>
      </c>
      <c r="B1768" s="172" t="s">
        <v>63</v>
      </c>
      <c r="C1768" s="172">
        <v>32.0</v>
      </c>
      <c r="D1768" s="172">
        <v>1.0</v>
      </c>
      <c r="E1768" s="172" t="s">
        <v>411</v>
      </c>
      <c r="F1768" s="172" t="s">
        <v>410</v>
      </c>
      <c r="H1768" s="172">
        <v>20.0</v>
      </c>
      <c r="J1768" s="173"/>
      <c r="K1768" s="170" t="s">
        <v>1308</v>
      </c>
    </row>
    <row r="1769" ht="15.75" customHeight="1">
      <c r="A1769" s="235">
        <v>46272.0</v>
      </c>
      <c r="B1769" s="172" t="s">
        <v>107</v>
      </c>
      <c r="C1769" s="172">
        <v>34.0</v>
      </c>
      <c r="D1769" s="172">
        <v>1.0</v>
      </c>
      <c r="E1769" s="172" t="s">
        <v>411</v>
      </c>
      <c r="F1769" s="172" t="s">
        <v>428</v>
      </c>
      <c r="G1769" s="173" t="s">
        <v>2068</v>
      </c>
      <c r="H1769" s="172">
        <v>19.6</v>
      </c>
      <c r="J1769" s="173"/>
      <c r="K1769" s="170" t="s">
        <v>1308</v>
      </c>
    </row>
    <row r="1770" ht="15.75" customHeight="1">
      <c r="A1770" s="235">
        <v>46272.0</v>
      </c>
      <c r="B1770" s="172" t="s">
        <v>92</v>
      </c>
      <c r="C1770" s="172">
        <v>36.0</v>
      </c>
      <c r="D1770" s="172">
        <v>1.0</v>
      </c>
      <c r="E1770" s="172" t="s">
        <v>411</v>
      </c>
      <c r="F1770" s="172" t="s">
        <v>472</v>
      </c>
      <c r="G1770" s="173" t="s">
        <v>2069</v>
      </c>
      <c r="H1770" s="172">
        <v>24.5</v>
      </c>
      <c r="J1770" s="173"/>
      <c r="K1770" s="170" t="s">
        <v>1308</v>
      </c>
    </row>
    <row r="1771" ht="15.75" customHeight="1">
      <c r="A1771" s="235">
        <v>46272.0</v>
      </c>
      <c r="B1771" s="172" t="s">
        <v>92</v>
      </c>
      <c r="C1771" s="172">
        <v>32.0</v>
      </c>
      <c r="D1771" s="172">
        <v>1.0</v>
      </c>
      <c r="E1771" s="172" t="s">
        <v>411</v>
      </c>
      <c r="F1771" s="172" t="s">
        <v>494</v>
      </c>
      <c r="G1771" s="337" t="s">
        <v>2070</v>
      </c>
      <c r="H1771" s="172">
        <v>20.0</v>
      </c>
      <c r="J1771" s="173"/>
      <c r="K1771" s="170" t="s">
        <v>1308</v>
      </c>
    </row>
    <row r="1772" ht="15.75" customHeight="1">
      <c r="A1772" s="235">
        <v>46272.0</v>
      </c>
      <c r="B1772" s="172" t="s">
        <v>84</v>
      </c>
      <c r="C1772" s="172">
        <v>32.0</v>
      </c>
      <c r="D1772" s="172">
        <v>1.0</v>
      </c>
      <c r="E1772" s="172" t="s">
        <v>411</v>
      </c>
      <c r="F1772" s="172" t="s">
        <v>494</v>
      </c>
      <c r="G1772" s="173" t="s">
        <v>2070</v>
      </c>
      <c r="H1772" s="172">
        <v>20.0</v>
      </c>
      <c r="J1772" s="173"/>
      <c r="K1772" s="170" t="s">
        <v>1308</v>
      </c>
    </row>
    <row r="1773" ht="15.75" customHeight="1">
      <c r="A1773" s="235">
        <v>46272.0</v>
      </c>
      <c r="B1773" s="172" t="s">
        <v>92</v>
      </c>
      <c r="C1773" s="172">
        <v>32.0</v>
      </c>
      <c r="D1773" s="172">
        <v>1.0</v>
      </c>
      <c r="E1773" s="172" t="s">
        <v>39</v>
      </c>
      <c r="F1773" s="172" t="s">
        <v>372</v>
      </c>
      <c r="G1773" s="173" t="s">
        <v>2071</v>
      </c>
      <c r="H1773" s="172">
        <v>19.6</v>
      </c>
      <c r="J1773" s="173"/>
      <c r="K1773" s="170" t="s">
        <v>1308</v>
      </c>
    </row>
    <row r="1774" ht="15.75" customHeight="1">
      <c r="A1774" s="233">
        <v>46273.0</v>
      </c>
      <c r="B1774" s="172" t="s">
        <v>50</v>
      </c>
      <c r="C1774" s="172">
        <v>36.0</v>
      </c>
      <c r="D1774" s="172">
        <v>1.0</v>
      </c>
      <c r="E1774" s="172" t="s">
        <v>411</v>
      </c>
      <c r="F1774" s="172" t="s">
        <v>410</v>
      </c>
      <c r="G1774" s="173" t="s">
        <v>2072</v>
      </c>
      <c r="H1774" s="172">
        <v>18.0</v>
      </c>
      <c r="J1774" s="173"/>
      <c r="K1774" s="170" t="s">
        <v>1308</v>
      </c>
    </row>
    <row r="1775" ht="15.75" customHeight="1">
      <c r="A1775" s="235">
        <v>46273.0</v>
      </c>
      <c r="B1775" s="172" t="s">
        <v>92</v>
      </c>
      <c r="C1775" s="172">
        <v>36.0</v>
      </c>
      <c r="D1775" s="172">
        <v>1.0</v>
      </c>
      <c r="E1775" s="172" t="s">
        <v>411</v>
      </c>
      <c r="F1775" s="172" t="s">
        <v>472</v>
      </c>
      <c r="G1775" s="173" t="s">
        <v>2073</v>
      </c>
      <c r="H1775" s="172">
        <v>17.0</v>
      </c>
      <c r="J1775" s="173"/>
      <c r="K1775" s="170" t="s">
        <v>1308</v>
      </c>
    </row>
    <row r="1776" ht="15.75" customHeight="1">
      <c r="A1776" s="235">
        <v>46273.0</v>
      </c>
      <c r="B1776" s="172" t="s">
        <v>69</v>
      </c>
      <c r="C1776" s="172">
        <v>32.0</v>
      </c>
      <c r="D1776" s="172">
        <v>1.0</v>
      </c>
      <c r="E1776" s="172" t="s">
        <v>411</v>
      </c>
      <c r="F1776" s="172" t="s">
        <v>494</v>
      </c>
      <c r="G1776" s="173" t="s">
        <v>2074</v>
      </c>
      <c r="H1776" s="172">
        <v>18.5</v>
      </c>
      <c r="J1776" s="173"/>
      <c r="K1776" s="170" t="s">
        <v>1308</v>
      </c>
    </row>
    <row r="1777" ht="15.75" customHeight="1">
      <c r="A1777" s="235">
        <v>46274.0</v>
      </c>
      <c r="B1777" s="172" t="s">
        <v>52</v>
      </c>
      <c r="C1777" s="172">
        <v>30.0</v>
      </c>
      <c r="D1777" s="172">
        <v>1.0</v>
      </c>
      <c r="E1777" s="172" t="s">
        <v>39</v>
      </c>
      <c r="F1777" s="172" t="s">
        <v>386</v>
      </c>
      <c r="G1777" s="173" t="s">
        <v>2075</v>
      </c>
      <c r="H1777" s="172">
        <v>22.2</v>
      </c>
      <c r="J1777" s="173"/>
      <c r="K1777" s="170" t="s">
        <v>1308</v>
      </c>
    </row>
    <row r="1778" ht="15.75" customHeight="1">
      <c r="A1778" s="235">
        <v>46274.0</v>
      </c>
      <c r="B1778" s="172" t="s">
        <v>115</v>
      </c>
      <c r="C1778" s="172">
        <v>34.0</v>
      </c>
      <c r="D1778" s="172">
        <v>1.0</v>
      </c>
      <c r="E1778" s="172" t="s">
        <v>411</v>
      </c>
      <c r="F1778" s="172" t="s">
        <v>416</v>
      </c>
      <c r="G1778" s="173" t="s">
        <v>2076</v>
      </c>
      <c r="H1778" s="172">
        <v>22.99</v>
      </c>
      <c r="J1778" s="173"/>
      <c r="K1778" s="170" t="s">
        <v>1308</v>
      </c>
    </row>
    <row r="1779" ht="15.75" customHeight="1">
      <c r="A1779" s="235">
        <v>46274.0</v>
      </c>
      <c r="B1779" s="172" t="s">
        <v>52</v>
      </c>
      <c r="C1779" s="172">
        <v>30.0</v>
      </c>
      <c r="D1779" s="172">
        <v>1.0</v>
      </c>
      <c r="E1779" s="172" t="s">
        <v>39</v>
      </c>
      <c r="F1779" s="172" t="s">
        <v>386</v>
      </c>
      <c r="G1779" s="173" t="s">
        <v>2077</v>
      </c>
      <c r="H1779" s="172">
        <v>22.2</v>
      </c>
      <c r="J1779" s="173"/>
      <c r="K1779" s="170" t="s">
        <v>1308</v>
      </c>
    </row>
    <row r="1780" ht="15.75" customHeight="1">
      <c r="A1780" s="235">
        <v>46274.0</v>
      </c>
      <c r="B1780" s="172" t="s">
        <v>52</v>
      </c>
      <c r="C1780" s="172">
        <v>32.0</v>
      </c>
      <c r="D1780" s="172">
        <v>1.0</v>
      </c>
      <c r="E1780" s="172" t="s">
        <v>39</v>
      </c>
      <c r="F1780" s="172" t="s">
        <v>406</v>
      </c>
      <c r="G1780" s="173" t="s">
        <v>2078</v>
      </c>
      <c r="H1780" s="172">
        <v>18.0</v>
      </c>
      <c r="J1780" s="173"/>
      <c r="K1780" s="170" t="s">
        <v>1308</v>
      </c>
    </row>
    <row r="1781" ht="15.75" customHeight="1">
      <c r="A1781" s="235">
        <v>46274.0</v>
      </c>
      <c r="B1781" s="172" t="s">
        <v>52</v>
      </c>
      <c r="C1781" s="172">
        <v>32.0</v>
      </c>
      <c r="D1781" s="172">
        <v>1.0</v>
      </c>
      <c r="E1781" s="172" t="s">
        <v>39</v>
      </c>
      <c r="F1781" s="172" t="s">
        <v>406</v>
      </c>
      <c r="G1781" s="173" t="s">
        <v>2079</v>
      </c>
      <c r="H1781" s="172">
        <v>22.4</v>
      </c>
      <c r="J1781" s="173"/>
      <c r="K1781" s="170" t="s">
        <v>1308</v>
      </c>
    </row>
    <row r="1782" ht="15.75" customHeight="1">
      <c r="A1782" s="235">
        <v>46274.0</v>
      </c>
      <c r="B1782" s="172" t="s">
        <v>52</v>
      </c>
      <c r="C1782" s="172">
        <v>32.0</v>
      </c>
      <c r="D1782" s="172">
        <v>1.0</v>
      </c>
      <c r="E1782" s="172" t="s">
        <v>411</v>
      </c>
      <c r="F1782" s="172" t="s">
        <v>410</v>
      </c>
      <c r="G1782" s="173" t="s">
        <v>2080</v>
      </c>
      <c r="H1782" s="172">
        <v>23.5</v>
      </c>
      <c r="J1782" s="173"/>
      <c r="K1782" s="170" t="s">
        <v>1308</v>
      </c>
    </row>
    <row r="1783" ht="15.75" customHeight="1">
      <c r="A1783" s="235">
        <v>46274.0</v>
      </c>
      <c r="B1783" s="172" t="s">
        <v>107</v>
      </c>
      <c r="C1783" s="172">
        <v>32.0</v>
      </c>
      <c r="D1783" s="172">
        <v>1.0</v>
      </c>
      <c r="E1783" s="172" t="s">
        <v>411</v>
      </c>
      <c r="F1783" s="172" t="s">
        <v>472</v>
      </c>
      <c r="G1783" s="337" t="s">
        <v>2081</v>
      </c>
      <c r="H1783" s="172">
        <v>18.0</v>
      </c>
      <c r="J1783" s="173"/>
      <c r="K1783" s="170" t="s">
        <v>1308</v>
      </c>
    </row>
    <row r="1784" ht="15.75" customHeight="1">
      <c r="A1784" s="235">
        <v>46274.0</v>
      </c>
      <c r="B1784" s="172" t="s">
        <v>57</v>
      </c>
      <c r="C1784" s="172">
        <v>32.0</v>
      </c>
      <c r="D1784" s="172">
        <v>1.0</v>
      </c>
      <c r="E1784" s="172" t="s">
        <v>39</v>
      </c>
      <c r="F1784" s="172" t="s">
        <v>398</v>
      </c>
      <c r="G1784" s="173" t="s">
        <v>2082</v>
      </c>
      <c r="H1784" s="172">
        <v>20.0</v>
      </c>
      <c r="J1784" s="173"/>
      <c r="K1784" s="170" t="s">
        <v>1308</v>
      </c>
    </row>
    <row r="1785" ht="15.75" customHeight="1">
      <c r="A1785" s="235">
        <v>46274.0</v>
      </c>
      <c r="B1785" s="172" t="s">
        <v>57</v>
      </c>
      <c r="C1785" s="172">
        <v>32.0</v>
      </c>
      <c r="D1785" s="172">
        <v>1.0</v>
      </c>
      <c r="E1785" s="172" t="s">
        <v>39</v>
      </c>
      <c r="F1785" s="172" t="s">
        <v>398</v>
      </c>
      <c r="G1785" s="173" t="s">
        <v>2083</v>
      </c>
      <c r="H1785" s="172">
        <v>18.0</v>
      </c>
      <c r="J1785" s="173"/>
      <c r="K1785" s="170" t="s">
        <v>1308</v>
      </c>
    </row>
    <row r="1786" ht="15.75" customHeight="1">
      <c r="A1786" s="235">
        <v>46274.0</v>
      </c>
      <c r="B1786" s="172" t="s">
        <v>92</v>
      </c>
      <c r="C1786" s="172">
        <v>34.0</v>
      </c>
      <c r="D1786" s="172">
        <v>1.0</v>
      </c>
      <c r="E1786" s="172" t="s">
        <v>331</v>
      </c>
      <c r="F1786" s="161"/>
      <c r="G1786" s="173" t="s">
        <v>2084</v>
      </c>
      <c r="H1786" s="172">
        <v>18.0</v>
      </c>
      <c r="J1786" s="173"/>
      <c r="K1786" s="170" t="s">
        <v>1308</v>
      </c>
    </row>
    <row r="1787" ht="15.75" customHeight="1">
      <c r="A1787" s="235">
        <v>46275.0</v>
      </c>
      <c r="B1787" s="172" t="s">
        <v>52</v>
      </c>
      <c r="C1787" s="172">
        <v>30.0</v>
      </c>
      <c r="D1787" s="172">
        <v>1.0</v>
      </c>
      <c r="E1787" s="172" t="s">
        <v>39</v>
      </c>
      <c r="F1787" s="172" t="s">
        <v>386</v>
      </c>
      <c r="G1787" s="173" t="s">
        <v>2085</v>
      </c>
      <c r="H1787" s="172">
        <v>17.8</v>
      </c>
      <c r="J1787" s="173"/>
      <c r="K1787" s="170" t="s">
        <v>1308</v>
      </c>
    </row>
    <row r="1788" ht="15.75" customHeight="1">
      <c r="A1788" s="161"/>
      <c r="B1788" s="161"/>
      <c r="C1788" s="161"/>
      <c r="D1788" s="172">
        <v>1.0</v>
      </c>
      <c r="E1788" s="161"/>
      <c r="F1788" s="161"/>
      <c r="H1788" s="161"/>
      <c r="J1788" s="173"/>
      <c r="K1788" s="170" t="s">
        <v>1308</v>
      </c>
    </row>
    <row r="1789" ht="15.75" customHeight="1">
      <c r="A1789" s="161"/>
      <c r="B1789" s="161"/>
      <c r="C1789" s="161"/>
      <c r="D1789" s="172">
        <v>1.0</v>
      </c>
      <c r="E1789" s="161"/>
      <c r="F1789" s="161"/>
      <c r="H1789" s="161"/>
      <c r="J1789" s="173"/>
      <c r="K1789" s="170" t="s">
        <v>1308</v>
      </c>
    </row>
    <row r="1790" ht="15.75" customHeight="1">
      <c r="A1790" s="161"/>
      <c r="B1790" s="161"/>
      <c r="C1790" s="161"/>
      <c r="D1790" s="172">
        <v>1.0</v>
      </c>
      <c r="E1790" s="161"/>
      <c r="F1790" s="161"/>
      <c r="H1790" s="161"/>
      <c r="J1790" s="173"/>
      <c r="K1790" s="170" t="s">
        <v>1308</v>
      </c>
    </row>
    <row r="1791" ht="15.75" customHeight="1">
      <c r="A1791" s="161"/>
      <c r="B1791" s="161"/>
      <c r="C1791" s="161"/>
      <c r="D1791" s="172">
        <v>1.0</v>
      </c>
      <c r="E1791" s="161"/>
      <c r="F1791" s="161"/>
      <c r="H1791" s="161"/>
      <c r="J1791" s="173"/>
      <c r="K1791" s="170" t="s">
        <v>1308</v>
      </c>
    </row>
    <row r="1792" ht="15.75" customHeight="1">
      <c r="A1792" s="161"/>
      <c r="B1792" s="161"/>
      <c r="C1792" s="161"/>
      <c r="D1792" s="172">
        <v>1.0</v>
      </c>
      <c r="E1792" s="161"/>
      <c r="F1792" s="161"/>
      <c r="H1792" s="161"/>
      <c r="J1792" s="173"/>
      <c r="K1792" s="170" t="s">
        <v>1308</v>
      </c>
    </row>
    <row r="1793" ht="15.75" customHeight="1">
      <c r="A1793" s="161"/>
      <c r="B1793" s="161"/>
      <c r="C1793" s="161"/>
      <c r="D1793" s="172">
        <v>1.0</v>
      </c>
      <c r="E1793" s="161"/>
      <c r="F1793" s="161"/>
      <c r="H1793" s="161"/>
      <c r="J1793" s="173"/>
      <c r="K1793" s="170" t="s">
        <v>1308</v>
      </c>
    </row>
    <row r="1794" ht="15.75" customHeight="1">
      <c r="A1794" s="161"/>
      <c r="B1794" s="161"/>
      <c r="C1794" s="161"/>
      <c r="D1794" s="172">
        <v>1.0</v>
      </c>
      <c r="E1794" s="161"/>
      <c r="F1794" s="161"/>
      <c r="H1794" s="161"/>
      <c r="J1794" s="173"/>
      <c r="K1794" s="170" t="s">
        <v>1308</v>
      </c>
    </row>
    <row r="1795" ht="15.75" customHeight="1">
      <c r="A1795" s="161"/>
      <c r="B1795" s="161"/>
      <c r="C1795" s="161"/>
      <c r="D1795" s="172">
        <v>1.0</v>
      </c>
      <c r="E1795" s="161"/>
      <c r="F1795" s="161"/>
      <c r="H1795" s="161"/>
      <c r="J1795" s="173"/>
      <c r="K1795" s="170" t="s">
        <v>1308</v>
      </c>
    </row>
    <row r="1796" ht="15.75" customHeight="1">
      <c r="A1796" s="161"/>
      <c r="B1796" s="161"/>
      <c r="C1796" s="161"/>
      <c r="D1796" s="172">
        <v>1.0</v>
      </c>
      <c r="E1796" s="161"/>
      <c r="F1796" s="161"/>
      <c r="H1796" s="161"/>
      <c r="J1796" s="173"/>
      <c r="K1796" s="170" t="s">
        <v>1308</v>
      </c>
    </row>
    <row r="1797" ht="15.75" customHeight="1">
      <c r="A1797" s="161"/>
      <c r="B1797" s="161"/>
      <c r="C1797" s="161"/>
      <c r="D1797" s="172">
        <v>1.0</v>
      </c>
      <c r="E1797" s="161"/>
      <c r="F1797" s="161"/>
      <c r="H1797" s="161"/>
      <c r="J1797" s="173"/>
      <c r="K1797" s="170" t="s">
        <v>1308</v>
      </c>
    </row>
    <row r="1798" ht="15.75" customHeight="1">
      <c r="A1798" s="161"/>
      <c r="B1798" s="161"/>
      <c r="C1798" s="161"/>
      <c r="D1798" s="172">
        <v>1.0</v>
      </c>
      <c r="E1798" s="161"/>
      <c r="F1798" s="161"/>
      <c r="H1798" s="161"/>
      <c r="J1798" s="173"/>
      <c r="K1798" s="170" t="s">
        <v>1308</v>
      </c>
    </row>
    <row r="1799" ht="15.75" customHeight="1">
      <c r="A1799" s="161"/>
      <c r="B1799" s="161"/>
      <c r="C1799" s="161"/>
      <c r="D1799" s="172">
        <v>1.0</v>
      </c>
      <c r="E1799" s="161"/>
      <c r="F1799" s="161"/>
      <c r="H1799" s="161"/>
      <c r="J1799" s="173"/>
      <c r="K1799" s="170" t="s">
        <v>1308</v>
      </c>
    </row>
    <row r="1800" ht="15.75" customHeight="1">
      <c r="A1800" s="161"/>
      <c r="B1800" s="161"/>
      <c r="C1800" s="161"/>
      <c r="D1800" s="172">
        <v>1.0</v>
      </c>
      <c r="E1800" s="161"/>
      <c r="F1800" s="161"/>
      <c r="H1800" s="161"/>
      <c r="J1800" s="173"/>
      <c r="K1800" s="170" t="s">
        <v>1308</v>
      </c>
    </row>
    <row r="1801" ht="15.75" customHeight="1">
      <c r="A1801" s="161"/>
      <c r="B1801" s="161"/>
      <c r="C1801" s="161"/>
      <c r="D1801" s="172">
        <v>1.0</v>
      </c>
      <c r="E1801" s="161"/>
      <c r="F1801" s="161"/>
      <c r="H1801" s="161"/>
      <c r="J1801" s="173"/>
      <c r="K1801" s="170" t="s">
        <v>1308</v>
      </c>
    </row>
    <row r="1802" ht="15.75" customHeight="1">
      <c r="A1802" s="161"/>
      <c r="B1802" s="161"/>
      <c r="C1802" s="161"/>
      <c r="D1802" s="172">
        <v>1.0</v>
      </c>
      <c r="E1802" s="161"/>
      <c r="F1802" s="161"/>
      <c r="H1802" s="161"/>
      <c r="J1802" s="173"/>
      <c r="K1802" s="170" t="s">
        <v>1308</v>
      </c>
    </row>
    <row r="1803" ht="15.75" customHeight="1">
      <c r="A1803" s="161"/>
      <c r="B1803" s="161"/>
      <c r="C1803" s="161"/>
      <c r="D1803" s="172">
        <v>1.0</v>
      </c>
      <c r="E1803" s="161"/>
      <c r="F1803" s="161"/>
      <c r="H1803" s="161"/>
      <c r="J1803" s="173"/>
      <c r="K1803" s="170" t="s">
        <v>1308</v>
      </c>
    </row>
    <row r="1804" ht="15.75" customHeight="1">
      <c r="A1804" s="161"/>
      <c r="B1804" s="161"/>
      <c r="C1804" s="161"/>
      <c r="D1804" s="172">
        <v>1.0</v>
      </c>
      <c r="E1804" s="161"/>
      <c r="F1804" s="161"/>
      <c r="H1804" s="161"/>
      <c r="J1804" s="173"/>
      <c r="K1804" s="170" t="s">
        <v>1308</v>
      </c>
    </row>
    <row r="1805" ht="15.75" customHeight="1">
      <c r="A1805" s="161"/>
      <c r="B1805" s="161"/>
      <c r="C1805" s="161"/>
      <c r="D1805" s="172">
        <v>1.0</v>
      </c>
      <c r="E1805" s="161"/>
      <c r="F1805" s="161"/>
      <c r="H1805" s="161"/>
      <c r="J1805" s="173"/>
      <c r="K1805" s="170" t="s">
        <v>1308</v>
      </c>
    </row>
    <row r="1806" ht="15.75" customHeight="1">
      <c r="A1806" s="161"/>
      <c r="B1806" s="161"/>
      <c r="C1806" s="161"/>
      <c r="D1806" s="172">
        <v>1.0</v>
      </c>
      <c r="E1806" s="161"/>
      <c r="F1806" s="161"/>
      <c r="H1806" s="161"/>
      <c r="J1806" s="173"/>
      <c r="K1806" s="170" t="s">
        <v>1308</v>
      </c>
    </row>
    <row r="1807" ht="15.75" customHeight="1">
      <c r="A1807" s="161"/>
      <c r="B1807" s="161"/>
      <c r="C1807" s="161"/>
      <c r="D1807" s="172">
        <v>1.0</v>
      </c>
      <c r="E1807" s="161"/>
      <c r="F1807" s="161"/>
      <c r="H1807" s="161"/>
      <c r="J1807" s="173"/>
      <c r="K1807" s="170" t="s">
        <v>1308</v>
      </c>
    </row>
    <row r="1808" ht="15.75" customHeight="1">
      <c r="A1808" s="161"/>
      <c r="B1808" s="161"/>
      <c r="C1808" s="161"/>
      <c r="D1808" s="172">
        <v>1.0</v>
      </c>
      <c r="E1808" s="161"/>
      <c r="F1808" s="161"/>
      <c r="H1808" s="161"/>
      <c r="J1808" s="173"/>
      <c r="K1808" s="170" t="s">
        <v>1308</v>
      </c>
    </row>
    <row r="1809" ht="15.75" customHeight="1">
      <c r="A1809" s="161"/>
      <c r="B1809" s="161"/>
      <c r="C1809" s="161"/>
      <c r="D1809" s="172">
        <v>1.0</v>
      </c>
      <c r="E1809" s="161"/>
      <c r="F1809" s="161"/>
      <c r="H1809" s="161"/>
      <c r="J1809" s="173"/>
      <c r="K1809" s="170" t="s">
        <v>1308</v>
      </c>
    </row>
    <row r="1810" ht="15.75" customHeight="1">
      <c r="A1810" s="161"/>
      <c r="B1810" s="161"/>
      <c r="C1810" s="161"/>
      <c r="D1810" s="172">
        <v>1.0</v>
      </c>
      <c r="E1810" s="161"/>
      <c r="F1810" s="161"/>
      <c r="H1810" s="161"/>
      <c r="J1810" s="173"/>
      <c r="K1810" s="170" t="s">
        <v>1308</v>
      </c>
    </row>
    <row r="1811" ht="15.75" customHeight="1">
      <c r="A1811" s="161"/>
      <c r="B1811" s="161"/>
      <c r="C1811" s="161"/>
      <c r="D1811" s="172">
        <v>1.0</v>
      </c>
      <c r="E1811" s="161"/>
      <c r="F1811" s="161"/>
      <c r="H1811" s="161"/>
      <c r="J1811" s="173"/>
      <c r="K1811" s="170" t="s">
        <v>1308</v>
      </c>
    </row>
    <row r="1812" ht="15.75" customHeight="1">
      <c r="A1812" s="161"/>
      <c r="B1812" s="161"/>
      <c r="C1812" s="161"/>
      <c r="D1812" s="172">
        <v>1.0</v>
      </c>
      <c r="E1812" s="161"/>
      <c r="F1812" s="161"/>
      <c r="H1812" s="161"/>
      <c r="J1812" s="173"/>
      <c r="K1812" s="170" t="s">
        <v>1308</v>
      </c>
    </row>
    <row r="1813" ht="15.75" customHeight="1">
      <c r="A1813" s="161"/>
      <c r="B1813" s="161"/>
      <c r="C1813" s="161"/>
      <c r="D1813" s="172">
        <v>1.0</v>
      </c>
      <c r="E1813" s="161"/>
      <c r="F1813" s="161"/>
      <c r="H1813" s="161"/>
      <c r="J1813" s="173"/>
      <c r="K1813" s="170" t="s">
        <v>1308</v>
      </c>
    </row>
    <row r="1814" ht="15.75" customHeight="1">
      <c r="A1814" s="161"/>
      <c r="B1814" s="161"/>
      <c r="C1814" s="161"/>
      <c r="D1814" s="172">
        <v>1.0</v>
      </c>
      <c r="E1814" s="161"/>
      <c r="F1814" s="161"/>
      <c r="H1814" s="161"/>
      <c r="J1814" s="173"/>
      <c r="K1814" s="170" t="s">
        <v>1308</v>
      </c>
    </row>
    <row r="1815" ht="15.75" customHeight="1">
      <c r="A1815" s="161"/>
      <c r="B1815" s="161"/>
      <c r="C1815" s="161"/>
      <c r="D1815" s="172">
        <v>1.0</v>
      </c>
      <c r="E1815" s="161"/>
      <c r="F1815" s="161"/>
      <c r="H1815" s="161"/>
      <c r="J1815" s="173"/>
      <c r="K1815" s="170" t="s">
        <v>1308</v>
      </c>
    </row>
    <row r="1816" ht="15.75" customHeight="1">
      <c r="A1816" s="161"/>
      <c r="B1816" s="161"/>
      <c r="C1816" s="161"/>
      <c r="D1816" s="172">
        <v>1.0</v>
      </c>
      <c r="E1816" s="161"/>
      <c r="F1816" s="161"/>
      <c r="H1816" s="161"/>
      <c r="J1816" s="173"/>
      <c r="K1816" s="170" t="s">
        <v>1308</v>
      </c>
    </row>
    <row r="1817" ht="15.75" customHeight="1">
      <c r="A1817" s="161"/>
      <c r="B1817" s="161"/>
      <c r="C1817" s="161"/>
      <c r="D1817" s="172">
        <v>1.0</v>
      </c>
      <c r="E1817" s="161"/>
      <c r="F1817" s="161"/>
      <c r="H1817" s="161"/>
      <c r="J1817" s="173"/>
      <c r="K1817" s="170" t="s">
        <v>1308</v>
      </c>
    </row>
    <row r="1818" ht="15.75" customHeight="1">
      <c r="A1818" s="161"/>
      <c r="B1818" s="161"/>
      <c r="C1818" s="161"/>
      <c r="D1818" s="172">
        <v>1.0</v>
      </c>
      <c r="E1818" s="161"/>
      <c r="F1818" s="161"/>
      <c r="H1818" s="161"/>
      <c r="J1818" s="173"/>
      <c r="K1818" s="170" t="s">
        <v>1308</v>
      </c>
    </row>
    <row r="1819" ht="15.75" customHeight="1">
      <c r="A1819" s="161"/>
      <c r="B1819" s="161"/>
      <c r="C1819" s="161"/>
      <c r="D1819" s="172">
        <v>1.0</v>
      </c>
      <c r="E1819" s="161"/>
      <c r="F1819" s="161"/>
      <c r="H1819" s="161"/>
      <c r="J1819" s="173"/>
      <c r="K1819" s="170" t="s">
        <v>1308</v>
      </c>
    </row>
    <row r="1820" ht="15.75" customHeight="1">
      <c r="A1820" s="161"/>
      <c r="B1820" s="161"/>
      <c r="C1820" s="161"/>
      <c r="D1820" s="172">
        <v>1.0</v>
      </c>
      <c r="E1820" s="161"/>
      <c r="F1820" s="161"/>
      <c r="H1820" s="161"/>
      <c r="J1820" s="173"/>
      <c r="K1820" s="170" t="s">
        <v>1308</v>
      </c>
    </row>
    <row r="1821" ht="15.75" customHeight="1">
      <c r="A1821" s="161"/>
      <c r="B1821" s="161"/>
      <c r="C1821" s="161"/>
      <c r="D1821" s="172">
        <v>1.0</v>
      </c>
      <c r="E1821" s="161"/>
      <c r="F1821" s="161"/>
      <c r="H1821" s="161"/>
      <c r="J1821" s="173"/>
      <c r="K1821" s="170" t="s">
        <v>1308</v>
      </c>
    </row>
    <row r="1822" ht="15.75" customHeight="1">
      <c r="A1822" s="161"/>
      <c r="B1822" s="161"/>
      <c r="C1822" s="161"/>
      <c r="D1822" s="172">
        <v>1.0</v>
      </c>
      <c r="E1822" s="161"/>
      <c r="F1822" s="161"/>
      <c r="H1822" s="161"/>
      <c r="J1822" s="173"/>
      <c r="K1822" s="170" t="s">
        <v>1308</v>
      </c>
    </row>
    <row r="1823" ht="15.75" customHeight="1">
      <c r="A1823" s="161"/>
      <c r="B1823" s="161"/>
      <c r="C1823" s="161"/>
      <c r="D1823" s="172">
        <v>1.0</v>
      </c>
      <c r="E1823" s="161"/>
      <c r="F1823" s="161"/>
      <c r="H1823" s="161"/>
      <c r="J1823" s="173"/>
      <c r="K1823" s="170" t="s">
        <v>1308</v>
      </c>
    </row>
    <row r="1824" ht="15.75" customHeight="1">
      <c r="A1824" s="161"/>
      <c r="B1824" s="161"/>
      <c r="C1824" s="161"/>
      <c r="D1824" s="172">
        <v>1.0</v>
      </c>
      <c r="E1824" s="161"/>
      <c r="F1824" s="161"/>
      <c r="H1824" s="161"/>
      <c r="J1824" s="173"/>
      <c r="K1824" s="170" t="s">
        <v>1308</v>
      </c>
    </row>
    <row r="1825" ht="15.75" customHeight="1">
      <c r="A1825" s="161"/>
      <c r="B1825" s="161"/>
      <c r="C1825" s="161"/>
      <c r="D1825" s="172">
        <v>1.0</v>
      </c>
      <c r="E1825" s="161"/>
      <c r="F1825" s="161"/>
      <c r="H1825" s="161"/>
      <c r="J1825" s="173"/>
      <c r="K1825" s="170" t="s">
        <v>1308</v>
      </c>
    </row>
    <row r="1826" ht="15.75" customHeight="1">
      <c r="A1826" s="161"/>
      <c r="B1826" s="161"/>
      <c r="C1826" s="161"/>
      <c r="D1826" s="172">
        <v>1.0</v>
      </c>
      <c r="E1826" s="161"/>
      <c r="F1826" s="161"/>
      <c r="H1826" s="161"/>
      <c r="J1826" s="173"/>
      <c r="K1826" s="170" t="s">
        <v>1308</v>
      </c>
    </row>
    <row r="1827" ht="15.75" customHeight="1">
      <c r="A1827" s="161"/>
      <c r="B1827" s="161"/>
      <c r="C1827" s="161"/>
      <c r="D1827" s="172">
        <v>1.0</v>
      </c>
      <c r="E1827" s="161"/>
      <c r="F1827" s="161"/>
      <c r="H1827" s="161"/>
      <c r="J1827" s="173"/>
      <c r="K1827" s="170" t="s">
        <v>1308</v>
      </c>
    </row>
    <row r="1828" ht="15.75" customHeight="1">
      <c r="A1828" s="161"/>
      <c r="B1828" s="161"/>
      <c r="C1828" s="161"/>
      <c r="D1828" s="172">
        <v>1.0</v>
      </c>
      <c r="E1828" s="161"/>
      <c r="F1828" s="161"/>
      <c r="H1828" s="161"/>
      <c r="J1828" s="173"/>
      <c r="K1828" s="170" t="s">
        <v>1308</v>
      </c>
    </row>
    <row r="1829" ht="15.75" customHeight="1">
      <c r="A1829" s="161"/>
      <c r="B1829" s="161"/>
      <c r="C1829" s="161"/>
      <c r="D1829" s="172">
        <v>1.0</v>
      </c>
      <c r="E1829" s="161"/>
      <c r="F1829" s="161"/>
      <c r="H1829" s="161"/>
      <c r="J1829" s="173"/>
      <c r="K1829" s="170" t="s">
        <v>1308</v>
      </c>
    </row>
    <row r="1830" ht="15.75" customHeight="1">
      <c r="A1830" s="161"/>
      <c r="B1830" s="161"/>
      <c r="C1830" s="161"/>
      <c r="D1830" s="172">
        <v>1.0</v>
      </c>
      <c r="E1830" s="161"/>
      <c r="F1830" s="161"/>
      <c r="H1830" s="161"/>
      <c r="J1830" s="173"/>
      <c r="K1830" s="170" t="s">
        <v>1308</v>
      </c>
    </row>
    <row r="1831" ht="15.75" customHeight="1">
      <c r="A1831" s="161"/>
      <c r="B1831" s="161"/>
      <c r="C1831" s="161"/>
      <c r="D1831" s="172">
        <v>1.0</v>
      </c>
      <c r="E1831" s="161"/>
      <c r="F1831" s="161"/>
      <c r="H1831" s="161"/>
      <c r="J1831" s="173"/>
      <c r="K1831" s="170" t="s">
        <v>1308</v>
      </c>
    </row>
    <row r="1832" ht="15.75" customHeight="1">
      <c r="A1832" s="161"/>
      <c r="B1832" s="161"/>
      <c r="C1832" s="161"/>
      <c r="D1832" s="172">
        <v>1.0</v>
      </c>
      <c r="E1832" s="161"/>
      <c r="F1832" s="161"/>
      <c r="H1832" s="161"/>
      <c r="J1832" s="173"/>
      <c r="K1832" s="170" t="s">
        <v>1308</v>
      </c>
    </row>
    <row r="1833" ht="15.75" customHeight="1">
      <c r="A1833" s="161"/>
      <c r="B1833" s="161"/>
      <c r="C1833" s="161"/>
      <c r="D1833" s="172">
        <v>1.0</v>
      </c>
      <c r="E1833" s="161"/>
      <c r="F1833" s="161"/>
      <c r="H1833" s="161"/>
      <c r="J1833" s="173"/>
      <c r="K1833" s="170" t="s">
        <v>1308</v>
      </c>
    </row>
    <row r="1834" ht="15.75" customHeight="1">
      <c r="A1834" s="161"/>
      <c r="B1834" s="161"/>
      <c r="C1834" s="161"/>
      <c r="D1834" s="172">
        <v>1.0</v>
      </c>
      <c r="E1834" s="161"/>
      <c r="F1834" s="161"/>
      <c r="H1834" s="161"/>
      <c r="J1834" s="173"/>
      <c r="K1834" s="170" t="s">
        <v>1308</v>
      </c>
    </row>
    <row r="1835" ht="15.75" customHeight="1">
      <c r="A1835" s="161"/>
      <c r="B1835" s="161"/>
      <c r="C1835" s="161"/>
      <c r="D1835" s="172">
        <v>1.0</v>
      </c>
      <c r="E1835" s="161"/>
      <c r="F1835" s="161"/>
      <c r="H1835" s="161"/>
      <c r="J1835" s="173"/>
      <c r="K1835" s="170" t="s">
        <v>1308</v>
      </c>
    </row>
    <row r="1836" ht="15.75" customHeight="1">
      <c r="A1836" s="161"/>
      <c r="B1836" s="161"/>
      <c r="C1836" s="161"/>
      <c r="D1836" s="172">
        <v>1.0</v>
      </c>
      <c r="E1836" s="161"/>
      <c r="F1836" s="161"/>
      <c r="H1836" s="161"/>
      <c r="J1836" s="173"/>
      <c r="K1836" s="170" t="s">
        <v>1308</v>
      </c>
    </row>
    <row r="1837" ht="15.75" customHeight="1">
      <c r="A1837" s="161"/>
      <c r="B1837" s="161"/>
      <c r="C1837" s="161"/>
      <c r="D1837" s="172">
        <v>1.0</v>
      </c>
      <c r="E1837" s="161"/>
      <c r="F1837" s="161"/>
      <c r="H1837" s="161"/>
      <c r="J1837" s="173"/>
      <c r="K1837" s="170" t="s">
        <v>1308</v>
      </c>
    </row>
    <row r="1838" ht="15.75" customHeight="1">
      <c r="A1838" s="161"/>
      <c r="B1838" s="161"/>
      <c r="C1838" s="161"/>
      <c r="D1838" s="172">
        <v>1.0</v>
      </c>
      <c r="E1838" s="161"/>
      <c r="F1838" s="161"/>
      <c r="H1838" s="161"/>
      <c r="J1838" s="173"/>
      <c r="K1838" s="170" t="s">
        <v>1308</v>
      </c>
    </row>
    <row r="1839" ht="15.75" customHeight="1">
      <c r="A1839" s="161"/>
      <c r="B1839" s="161"/>
      <c r="C1839" s="161"/>
      <c r="D1839" s="172">
        <v>1.0</v>
      </c>
      <c r="E1839" s="161"/>
      <c r="F1839" s="161"/>
      <c r="H1839" s="161"/>
      <c r="J1839" s="173"/>
      <c r="K1839" s="170" t="s">
        <v>1308</v>
      </c>
    </row>
    <row r="1840" ht="15.75" customHeight="1">
      <c r="A1840" s="161"/>
      <c r="B1840" s="161"/>
      <c r="C1840" s="161"/>
      <c r="D1840" s="172">
        <v>1.0</v>
      </c>
      <c r="E1840" s="161"/>
      <c r="F1840" s="161"/>
      <c r="H1840" s="161"/>
      <c r="J1840" s="173"/>
      <c r="K1840" s="170" t="s">
        <v>1308</v>
      </c>
    </row>
    <row r="1841" ht="15.75" customHeight="1">
      <c r="A1841" s="161"/>
      <c r="B1841" s="161"/>
      <c r="C1841" s="161"/>
      <c r="D1841" s="172">
        <v>1.0</v>
      </c>
      <c r="E1841" s="161"/>
      <c r="F1841" s="161"/>
      <c r="H1841" s="161"/>
      <c r="J1841" s="173"/>
      <c r="K1841" s="170" t="s">
        <v>1308</v>
      </c>
    </row>
    <row r="1842" ht="15.75" customHeight="1">
      <c r="A1842" s="161"/>
      <c r="B1842" s="161"/>
      <c r="C1842" s="161"/>
      <c r="D1842" s="172">
        <v>1.0</v>
      </c>
      <c r="E1842" s="161"/>
      <c r="F1842" s="161"/>
      <c r="H1842" s="161"/>
      <c r="J1842" s="173"/>
      <c r="K1842" s="170" t="s">
        <v>1308</v>
      </c>
    </row>
    <row r="1843" ht="15.75" customHeight="1">
      <c r="A1843" s="161"/>
      <c r="B1843" s="161"/>
      <c r="C1843" s="161"/>
      <c r="D1843" s="172">
        <v>1.0</v>
      </c>
      <c r="E1843" s="161"/>
      <c r="F1843" s="161"/>
      <c r="H1843" s="161"/>
      <c r="J1843" s="173"/>
      <c r="K1843" s="170" t="s">
        <v>1308</v>
      </c>
    </row>
    <row r="1844" ht="15.75" customHeight="1">
      <c r="A1844" s="161"/>
      <c r="B1844" s="161"/>
      <c r="C1844" s="161"/>
      <c r="D1844" s="172">
        <v>1.0</v>
      </c>
      <c r="E1844" s="161"/>
      <c r="F1844" s="161"/>
      <c r="H1844" s="161"/>
      <c r="J1844" s="173"/>
      <c r="K1844" s="170" t="s">
        <v>1308</v>
      </c>
    </row>
    <row r="1845" ht="15.75" customHeight="1">
      <c r="A1845" s="161"/>
      <c r="B1845" s="161"/>
      <c r="C1845" s="161"/>
      <c r="D1845" s="172">
        <v>1.0</v>
      </c>
      <c r="E1845" s="161"/>
      <c r="F1845" s="161"/>
      <c r="H1845" s="161"/>
      <c r="J1845" s="173"/>
      <c r="K1845" s="170" t="s">
        <v>1308</v>
      </c>
    </row>
    <row r="1846" ht="15.75" customHeight="1">
      <c r="A1846" s="161"/>
      <c r="B1846" s="161"/>
      <c r="C1846" s="161"/>
      <c r="D1846" s="172">
        <v>1.0</v>
      </c>
      <c r="E1846" s="161"/>
      <c r="F1846" s="161"/>
      <c r="H1846" s="161"/>
      <c r="J1846" s="173"/>
      <c r="K1846" s="170" t="s">
        <v>1308</v>
      </c>
    </row>
    <row r="1847" ht="15.75" customHeight="1">
      <c r="A1847" s="161"/>
      <c r="B1847" s="161"/>
      <c r="C1847" s="161"/>
      <c r="D1847" s="172">
        <v>1.0</v>
      </c>
      <c r="E1847" s="161"/>
      <c r="F1847" s="161"/>
      <c r="H1847" s="161"/>
      <c r="J1847" s="173"/>
      <c r="K1847" s="170" t="s">
        <v>1308</v>
      </c>
    </row>
    <row r="1848" ht="15.75" customHeight="1">
      <c r="A1848" s="161"/>
      <c r="B1848" s="161"/>
      <c r="C1848" s="161"/>
      <c r="D1848" s="172">
        <v>1.0</v>
      </c>
      <c r="E1848" s="161"/>
      <c r="F1848" s="161"/>
      <c r="H1848" s="161"/>
      <c r="J1848" s="173"/>
      <c r="K1848" s="170" t="s">
        <v>1308</v>
      </c>
    </row>
    <row r="1849" ht="15.75" customHeight="1">
      <c r="A1849" s="161"/>
      <c r="B1849" s="161"/>
      <c r="C1849" s="161"/>
      <c r="D1849" s="172">
        <v>1.0</v>
      </c>
      <c r="E1849" s="161"/>
      <c r="F1849" s="161"/>
      <c r="H1849" s="161"/>
      <c r="J1849" s="173"/>
      <c r="K1849" s="170" t="s">
        <v>1308</v>
      </c>
    </row>
    <row r="1850" ht="15.75" customHeight="1">
      <c r="A1850" s="161"/>
      <c r="B1850" s="161"/>
      <c r="C1850" s="161"/>
      <c r="D1850" s="172">
        <v>1.0</v>
      </c>
      <c r="E1850" s="161"/>
      <c r="F1850" s="161"/>
      <c r="H1850" s="161"/>
      <c r="J1850" s="173"/>
      <c r="K1850" s="170" t="s">
        <v>1308</v>
      </c>
    </row>
    <row r="1851" ht="15.75" customHeight="1">
      <c r="A1851" s="161"/>
      <c r="B1851" s="161"/>
      <c r="C1851" s="161"/>
      <c r="D1851" s="172">
        <v>1.0</v>
      </c>
      <c r="E1851" s="161"/>
      <c r="F1851" s="161"/>
      <c r="H1851" s="161"/>
      <c r="J1851" s="173"/>
      <c r="K1851" s="170" t="s">
        <v>1308</v>
      </c>
    </row>
    <row r="1852" ht="15.75" customHeight="1">
      <c r="A1852" s="161"/>
      <c r="B1852" s="161"/>
      <c r="C1852" s="161"/>
      <c r="D1852" s="172">
        <v>1.0</v>
      </c>
      <c r="E1852" s="161"/>
      <c r="F1852" s="161"/>
      <c r="H1852" s="161"/>
      <c r="J1852" s="173"/>
      <c r="K1852" s="170" t="s">
        <v>1308</v>
      </c>
    </row>
    <row r="1853" ht="15.75" customHeight="1">
      <c r="A1853" s="161"/>
      <c r="B1853" s="161"/>
      <c r="C1853" s="161"/>
      <c r="D1853" s="172">
        <v>1.0</v>
      </c>
      <c r="E1853" s="161"/>
      <c r="F1853" s="161"/>
      <c r="H1853" s="161"/>
      <c r="J1853" s="173"/>
      <c r="K1853" s="170" t="s">
        <v>1308</v>
      </c>
    </row>
    <row r="1854" ht="15.75" customHeight="1">
      <c r="A1854" s="161"/>
      <c r="B1854" s="161"/>
      <c r="C1854" s="161"/>
      <c r="D1854" s="172">
        <v>1.0</v>
      </c>
      <c r="E1854" s="161"/>
      <c r="F1854" s="161"/>
      <c r="H1854" s="161"/>
      <c r="J1854" s="173"/>
      <c r="K1854" s="170" t="s">
        <v>1308</v>
      </c>
    </row>
    <row r="1855" ht="15.75" customHeight="1">
      <c r="A1855" s="161"/>
      <c r="B1855" s="161"/>
      <c r="C1855" s="161"/>
      <c r="D1855" s="172">
        <v>1.0</v>
      </c>
      <c r="E1855" s="161"/>
      <c r="F1855" s="161"/>
      <c r="H1855" s="161"/>
      <c r="J1855" s="173"/>
      <c r="K1855" s="170" t="s">
        <v>1308</v>
      </c>
    </row>
    <row r="1856" ht="15.75" customHeight="1">
      <c r="A1856" s="161"/>
      <c r="B1856" s="161"/>
      <c r="C1856" s="161"/>
      <c r="D1856" s="172">
        <v>1.0</v>
      </c>
      <c r="E1856" s="161"/>
      <c r="F1856" s="161"/>
      <c r="H1856" s="161"/>
      <c r="J1856" s="173"/>
      <c r="K1856" s="170" t="s">
        <v>1308</v>
      </c>
    </row>
    <row r="1857" ht="15.75" customHeight="1">
      <c r="A1857" s="161"/>
      <c r="B1857" s="161"/>
      <c r="C1857" s="161"/>
      <c r="D1857" s="172">
        <v>1.0</v>
      </c>
      <c r="E1857" s="161"/>
      <c r="F1857" s="161"/>
      <c r="H1857" s="161"/>
      <c r="J1857" s="173"/>
      <c r="K1857" s="170" t="s">
        <v>1308</v>
      </c>
    </row>
    <row r="1858" ht="15.75" customHeight="1">
      <c r="A1858" s="161"/>
      <c r="B1858" s="161"/>
      <c r="C1858" s="161"/>
      <c r="D1858" s="172">
        <v>1.0</v>
      </c>
      <c r="E1858" s="161"/>
      <c r="F1858" s="161"/>
      <c r="H1858" s="161"/>
      <c r="J1858" s="173"/>
      <c r="K1858" s="170" t="s">
        <v>1308</v>
      </c>
    </row>
    <row r="1859" ht="15.75" customHeight="1">
      <c r="A1859" s="161"/>
      <c r="B1859" s="161"/>
      <c r="C1859" s="161"/>
      <c r="D1859" s="172">
        <v>1.0</v>
      </c>
      <c r="E1859" s="161"/>
      <c r="F1859" s="161"/>
      <c r="H1859" s="161"/>
      <c r="J1859" s="173"/>
      <c r="K1859" s="170" t="s">
        <v>1308</v>
      </c>
    </row>
    <row r="1860" ht="15.75" customHeight="1">
      <c r="A1860" s="161"/>
      <c r="B1860" s="161"/>
      <c r="C1860" s="161"/>
      <c r="D1860" s="172">
        <v>1.0</v>
      </c>
      <c r="E1860" s="161"/>
      <c r="F1860" s="161"/>
      <c r="H1860" s="161"/>
      <c r="J1860" s="173"/>
      <c r="K1860" s="170" t="s">
        <v>1308</v>
      </c>
    </row>
    <row r="1861" ht="15.75" customHeight="1">
      <c r="A1861" s="161"/>
      <c r="B1861" s="161"/>
      <c r="C1861" s="161"/>
      <c r="D1861" s="172">
        <v>1.0</v>
      </c>
      <c r="E1861" s="161"/>
      <c r="F1861" s="161"/>
      <c r="H1861" s="161"/>
      <c r="J1861" s="173"/>
      <c r="K1861" s="170" t="s">
        <v>1308</v>
      </c>
    </row>
    <row r="1862" ht="15.75" customHeight="1">
      <c r="A1862" s="161"/>
      <c r="B1862" s="161"/>
      <c r="C1862" s="161"/>
      <c r="D1862" s="172">
        <v>1.0</v>
      </c>
      <c r="E1862" s="161"/>
      <c r="F1862" s="161"/>
      <c r="H1862" s="161"/>
      <c r="J1862" s="173"/>
      <c r="K1862" s="170" t="s">
        <v>1308</v>
      </c>
    </row>
    <row r="1863" ht="15.75" customHeight="1">
      <c r="A1863" s="161"/>
      <c r="B1863" s="161"/>
      <c r="C1863" s="161"/>
      <c r="D1863" s="172">
        <v>1.0</v>
      </c>
      <c r="E1863" s="161"/>
      <c r="F1863" s="161"/>
      <c r="H1863" s="161"/>
      <c r="J1863" s="173"/>
      <c r="K1863" s="170" t="s">
        <v>1308</v>
      </c>
    </row>
    <row r="1864" ht="15.75" customHeight="1">
      <c r="A1864" s="161"/>
      <c r="B1864" s="161"/>
      <c r="C1864" s="161"/>
      <c r="D1864" s="172">
        <v>1.0</v>
      </c>
      <c r="E1864" s="161"/>
      <c r="F1864" s="161"/>
      <c r="H1864" s="161"/>
      <c r="J1864" s="173"/>
      <c r="K1864" s="170" t="s">
        <v>1308</v>
      </c>
    </row>
    <row r="1865" ht="15.75" customHeight="1">
      <c r="A1865" s="161"/>
      <c r="B1865" s="161"/>
      <c r="C1865" s="161"/>
      <c r="D1865" s="172">
        <v>1.0</v>
      </c>
      <c r="E1865" s="161"/>
      <c r="F1865" s="161"/>
      <c r="H1865" s="161"/>
      <c r="J1865" s="173"/>
      <c r="K1865" s="170" t="s">
        <v>1308</v>
      </c>
    </row>
    <row r="1866" ht="15.75" customHeight="1">
      <c r="A1866" s="161"/>
      <c r="B1866" s="161"/>
      <c r="C1866" s="161"/>
      <c r="D1866" s="172">
        <v>1.0</v>
      </c>
      <c r="E1866" s="161"/>
      <c r="F1866" s="161"/>
      <c r="H1866" s="161"/>
      <c r="J1866" s="173"/>
      <c r="K1866" s="170" t="s">
        <v>1308</v>
      </c>
    </row>
    <row r="1867" ht="15.75" customHeight="1">
      <c r="A1867" s="161"/>
      <c r="B1867" s="161"/>
      <c r="C1867" s="161"/>
      <c r="D1867" s="172">
        <v>1.0</v>
      </c>
      <c r="E1867" s="161"/>
      <c r="F1867" s="161"/>
      <c r="H1867" s="161"/>
      <c r="J1867" s="173"/>
      <c r="K1867" s="170" t="s">
        <v>1308</v>
      </c>
    </row>
    <row r="1868" ht="15.75" customHeight="1">
      <c r="A1868" s="161"/>
      <c r="B1868" s="161"/>
      <c r="C1868" s="161"/>
      <c r="D1868" s="172">
        <v>1.0</v>
      </c>
      <c r="E1868" s="161"/>
      <c r="F1868" s="161"/>
      <c r="H1868" s="161"/>
      <c r="J1868" s="173"/>
      <c r="K1868" s="170" t="s">
        <v>1308</v>
      </c>
    </row>
    <row r="1869" ht="15.75" customHeight="1">
      <c r="A1869" s="161"/>
      <c r="B1869" s="161"/>
      <c r="C1869" s="161"/>
      <c r="D1869" s="172">
        <v>1.0</v>
      </c>
      <c r="E1869" s="161"/>
      <c r="F1869" s="161"/>
      <c r="H1869" s="161"/>
      <c r="J1869" s="173"/>
      <c r="K1869" s="170" t="s">
        <v>1308</v>
      </c>
    </row>
    <row r="1870" ht="15.75" customHeight="1">
      <c r="A1870" s="161"/>
      <c r="B1870" s="161"/>
      <c r="C1870" s="161"/>
      <c r="D1870" s="172">
        <v>1.0</v>
      </c>
      <c r="E1870" s="161"/>
      <c r="F1870" s="161"/>
      <c r="H1870" s="161"/>
      <c r="J1870" s="173"/>
      <c r="K1870" s="170" t="s">
        <v>1308</v>
      </c>
    </row>
    <row r="1871" ht="15.75" customHeight="1">
      <c r="A1871" s="161"/>
      <c r="B1871" s="161"/>
      <c r="C1871" s="161"/>
      <c r="D1871" s="172">
        <v>1.0</v>
      </c>
      <c r="E1871" s="161"/>
      <c r="F1871" s="161"/>
      <c r="H1871" s="161"/>
      <c r="J1871" s="173"/>
      <c r="K1871" s="170" t="s">
        <v>1308</v>
      </c>
    </row>
    <row r="1872" ht="15.75" customHeight="1">
      <c r="A1872" s="161"/>
      <c r="B1872" s="161"/>
      <c r="C1872" s="161"/>
      <c r="D1872" s="172">
        <v>1.0</v>
      </c>
      <c r="E1872" s="161"/>
      <c r="F1872" s="161"/>
      <c r="H1872" s="161"/>
      <c r="J1872" s="173"/>
      <c r="K1872" s="170" t="s">
        <v>1308</v>
      </c>
    </row>
    <row r="1873" ht="15.75" customHeight="1">
      <c r="A1873" s="161"/>
      <c r="B1873" s="161"/>
      <c r="C1873" s="161"/>
      <c r="D1873" s="172">
        <v>1.0</v>
      </c>
      <c r="E1873" s="161"/>
      <c r="F1873" s="161"/>
      <c r="H1873" s="161"/>
      <c r="J1873" s="173"/>
      <c r="K1873" s="170" t="s">
        <v>1308</v>
      </c>
    </row>
    <row r="1874" ht="15.75" customHeight="1">
      <c r="A1874" s="161"/>
      <c r="B1874" s="161"/>
      <c r="C1874" s="161"/>
      <c r="D1874" s="172">
        <v>1.0</v>
      </c>
      <c r="E1874" s="161"/>
      <c r="F1874" s="161"/>
      <c r="H1874" s="161"/>
      <c r="J1874" s="173"/>
      <c r="K1874" s="170" t="s">
        <v>1308</v>
      </c>
    </row>
    <row r="1875" ht="15.75" customHeight="1">
      <c r="A1875" s="161"/>
      <c r="B1875" s="161"/>
      <c r="C1875" s="161"/>
      <c r="D1875" s="172">
        <v>1.0</v>
      </c>
      <c r="E1875" s="161"/>
      <c r="F1875" s="161"/>
      <c r="H1875" s="161"/>
      <c r="J1875" s="173"/>
      <c r="K1875" s="170" t="s">
        <v>1308</v>
      </c>
    </row>
    <row r="1876" ht="15.75" customHeight="1">
      <c r="A1876" s="161"/>
      <c r="B1876" s="161"/>
      <c r="C1876" s="161"/>
      <c r="D1876" s="172">
        <v>1.0</v>
      </c>
      <c r="E1876" s="161"/>
      <c r="F1876" s="161"/>
      <c r="H1876" s="161"/>
      <c r="J1876" s="173"/>
      <c r="K1876" s="170" t="s">
        <v>1308</v>
      </c>
    </row>
    <row r="1877" ht="15.75" customHeight="1">
      <c r="A1877" s="161"/>
      <c r="B1877" s="161"/>
      <c r="C1877" s="161"/>
      <c r="D1877" s="172">
        <v>1.0</v>
      </c>
      <c r="E1877" s="161"/>
      <c r="F1877" s="161"/>
      <c r="H1877" s="161"/>
      <c r="J1877" s="173"/>
      <c r="K1877" s="170" t="s">
        <v>1308</v>
      </c>
    </row>
    <row r="1878" ht="15.75" customHeight="1">
      <c r="A1878" s="161"/>
      <c r="B1878" s="161"/>
      <c r="C1878" s="161"/>
      <c r="D1878" s="172">
        <v>1.0</v>
      </c>
      <c r="E1878" s="161"/>
      <c r="F1878" s="161"/>
      <c r="H1878" s="161"/>
      <c r="J1878" s="173"/>
      <c r="K1878" s="170" t="s">
        <v>1308</v>
      </c>
    </row>
    <row r="1879" ht="15.75" customHeight="1">
      <c r="A1879" s="161"/>
      <c r="B1879" s="161"/>
      <c r="C1879" s="161"/>
      <c r="D1879" s="172">
        <v>1.0</v>
      </c>
      <c r="E1879" s="161"/>
      <c r="F1879" s="161"/>
      <c r="H1879" s="161"/>
      <c r="J1879" s="173"/>
      <c r="K1879" s="170" t="s">
        <v>1308</v>
      </c>
    </row>
    <row r="1880" ht="15.75" customHeight="1">
      <c r="A1880" s="161"/>
      <c r="B1880" s="161"/>
      <c r="C1880" s="161"/>
      <c r="D1880" s="172">
        <v>1.0</v>
      </c>
      <c r="E1880" s="161"/>
      <c r="F1880" s="161"/>
      <c r="H1880" s="161"/>
      <c r="J1880" s="173"/>
      <c r="K1880" s="170" t="s">
        <v>1308</v>
      </c>
    </row>
    <row r="1881" ht="15.75" customHeight="1">
      <c r="A1881" s="161"/>
      <c r="B1881" s="161"/>
      <c r="C1881" s="161"/>
      <c r="D1881" s="172">
        <v>1.0</v>
      </c>
      <c r="E1881" s="161"/>
      <c r="F1881" s="161"/>
      <c r="H1881" s="161"/>
      <c r="J1881" s="173"/>
      <c r="K1881" s="170" t="s">
        <v>1308</v>
      </c>
    </row>
    <row r="1882" ht="15.75" customHeight="1">
      <c r="A1882" s="161"/>
      <c r="B1882" s="161"/>
      <c r="C1882" s="161"/>
      <c r="D1882" s="172">
        <v>1.0</v>
      </c>
      <c r="E1882" s="161"/>
      <c r="F1882" s="161"/>
      <c r="H1882" s="161"/>
      <c r="J1882" s="173"/>
      <c r="K1882" s="170" t="s">
        <v>1308</v>
      </c>
    </row>
    <row r="1883" ht="15.75" customHeight="1">
      <c r="A1883" s="161"/>
      <c r="B1883" s="161"/>
      <c r="C1883" s="161"/>
      <c r="D1883" s="172">
        <v>1.0</v>
      </c>
      <c r="E1883" s="161"/>
      <c r="F1883" s="161"/>
      <c r="H1883" s="161"/>
      <c r="J1883" s="173"/>
      <c r="K1883" s="170" t="s">
        <v>1308</v>
      </c>
    </row>
    <row r="1884" ht="15.75" customHeight="1">
      <c r="A1884" s="161"/>
      <c r="B1884" s="161"/>
      <c r="C1884" s="161"/>
      <c r="D1884" s="172">
        <v>1.0</v>
      </c>
      <c r="E1884" s="161"/>
      <c r="F1884" s="161"/>
      <c r="H1884" s="161"/>
      <c r="J1884" s="173"/>
      <c r="K1884" s="170" t="s">
        <v>1308</v>
      </c>
    </row>
    <row r="1885" ht="15.75" customHeight="1">
      <c r="A1885" s="161"/>
      <c r="B1885" s="161"/>
      <c r="C1885" s="161"/>
      <c r="D1885" s="172">
        <v>1.0</v>
      </c>
      <c r="E1885" s="161"/>
      <c r="F1885" s="161"/>
      <c r="H1885" s="161"/>
      <c r="J1885" s="173"/>
      <c r="K1885" s="170" t="s">
        <v>1308</v>
      </c>
    </row>
    <row r="1886" ht="15.75" customHeight="1">
      <c r="A1886" s="161"/>
      <c r="B1886" s="161"/>
      <c r="C1886" s="161"/>
      <c r="D1886" s="172">
        <v>1.0</v>
      </c>
      <c r="E1886" s="161"/>
      <c r="F1886" s="161"/>
      <c r="H1886" s="161"/>
      <c r="J1886" s="173"/>
      <c r="K1886" s="170" t="s">
        <v>1308</v>
      </c>
    </row>
    <row r="1887" ht="15.75" customHeight="1">
      <c r="A1887" s="161"/>
      <c r="B1887" s="161"/>
      <c r="C1887" s="161"/>
      <c r="D1887" s="172">
        <v>1.0</v>
      </c>
      <c r="E1887" s="161"/>
      <c r="F1887" s="161"/>
      <c r="H1887" s="161"/>
      <c r="J1887" s="173"/>
      <c r="K1887" s="170" t="s">
        <v>1308</v>
      </c>
    </row>
    <row r="1888" ht="15.75" customHeight="1">
      <c r="A1888" s="161"/>
      <c r="B1888" s="161"/>
      <c r="C1888" s="161"/>
      <c r="D1888" s="172">
        <v>1.0</v>
      </c>
      <c r="E1888" s="161"/>
      <c r="F1888" s="161"/>
      <c r="H1888" s="161"/>
      <c r="J1888" s="173"/>
      <c r="K1888" s="170" t="s">
        <v>1308</v>
      </c>
    </row>
    <row r="1889" ht="15.75" customHeight="1">
      <c r="A1889" s="161"/>
      <c r="B1889" s="161"/>
      <c r="C1889" s="161"/>
      <c r="D1889" s="172">
        <v>1.0</v>
      </c>
      <c r="E1889" s="161"/>
      <c r="F1889" s="161"/>
      <c r="H1889" s="161"/>
      <c r="J1889" s="173"/>
      <c r="K1889" s="170" t="s">
        <v>1308</v>
      </c>
    </row>
    <row r="1890" ht="15.75" customHeight="1">
      <c r="A1890" s="161"/>
      <c r="B1890" s="161"/>
      <c r="C1890" s="161"/>
      <c r="D1890" s="172">
        <v>1.0</v>
      </c>
      <c r="E1890" s="161"/>
      <c r="F1890" s="161"/>
      <c r="H1890" s="161"/>
      <c r="J1890" s="173"/>
      <c r="K1890" s="170" t="s">
        <v>1308</v>
      </c>
    </row>
    <row r="1891" ht="15.75" customHeight="1">
      <c r="A1891" s="161"/>
      <c r="B1891" s="161"/>
      <c r="C1891" s="161"/>
      <c r="D1891" s="172">
        <v>1.0</v>
      </c>
      <c r="E1891" s="161"/>
      <c r="F1891" s="161"/>
      <c r="H1891" s="161"/>
      <c r="J1891" s="173"/>
      <c r="K1891" s="170" t="s">
        <v>1308</v>
      </c>
    </row>
    <row r="1892" ht="15.75" customHeight="1">
      <c r="A1892" s="161"/>
      <c r="B1892" s="161"/>
      <c r="C1892" s="161"/>
      <c r="D1892" s="172">
        <v>1.0</v>
      </c>
      <c r="E1892" s="161"/>
      <c r="F1892" s="161"/>
      <c r="H1892" s="161"/>
      <c r="J1892" s="173"/>
      <c r="K1892" s="170" t="s">
        <v>1308</v>
      </c>
    </row>
    <row r="1893" ht="15.75" customHeight="1">
      <c r="A1893" s="161"/>
      <c r="B1893" s="161"/>
      <c r="C1893" s="161"/>
      <c r="D1893" s="172">
        <v>1.0</v>
      </c>
      <c r="E1893" s="161"/>
      <c r="F1893" s="161"/>
      <c r="H1893" s="161"/>
      <c r="J1893" s="173"/>
      <c r="K1893" s="170" t="s">
        <v>1308</v>
      </c>
    </row>
    <row r="1894" ht="15.75" customHeight="1">
      <c r="A1894" s="161"/>
      <c r="B1894" s="161"/>
      <c r="C1894" s="161"/>
      <c r="D1894" s="172">
        <v>1.0</v>
      </c>
      <c r="E1894" s="161"/>
      <c r="F1894" s="161"/>
      <c r="H1894" s="161"/>
      <c r="J1894" s="173"/>
      <c r="K1894" s="170" t="s">
        <v>1308</v>
      </c>
    </row>
    <row r="1895" ht="15.75" customHeight="1">
      <c r="A1895" s="161"/>
      <c r="B1895" s="161"/>
      <c r="C1895" s="161"/>
      <c r="D1895" s="172">
        <v>1.0</v>
      </c>
      <c r="E1895" s="161"/>
      <c r="F1895" s="161"/>
      <c r="H1895" s="161"/>
      <c r="J1895" s="173"/>
      <c r="K1895" s="170" t="s">
        <v>1308</v>
      </c>
    </row>
    <row r="1896" ht="15.75" customHeight="1">
      <c r="A1896" s="161"/>
      <c r="B1896" s="161"/>
      <c r="C1896" s="161"/>
      <c r="D1896" s="172">
        <v>1.0</v>
      </c>
      <c r="E1896" s="161"/>
      <c r="F1896" s="161"/>
      <c r="H1896" s="161"/>
      <c r="J1896" s="173"/>
      <c r="K1896" s="170" t="s">
        <v>1308</v>
      </c>
    </row>
    <row r="1897" ht="15.75" customHeight="1">
      <c r="A1897" s="161"/>
      <c r="B1897" s="161"/>
      <c r="C1897" s="161"/>
      <c r="D1897" s="172">
        <v>1.0</v>
      </c>
      <c r="E1897" s="161"/>
      <c r="F1897" s="161"/>
      <c r="H1897" s="161"/>
      <c r="J1897" s="173"/>
      <c r="K1897" s="170" t="s">
        <v>1308</v>
      </c>
    </row>
    <row r="1898" ht="15.75" customHeight="1">
      <c r="A1898" s="161"/>
      <c r="B1898" s="161"/>
      <c r="C1898" s="161"/>
      <c r="D1898" s="172">
        <v>1.0</v>
      </c>
      <c r="E1898" s="161"/>
      <c r="F1898" s="161"/>
      <c r="H1898" s="161"/>
      <c r="J1898" s="173"/>
      <c r="K1898" s="170" t="s">
        <v>1308</v>
      </c>
    </row>
    <row r="1899" ht="15.75" customHeight="1">
      <c r="A1899" s="161"/>
      <c r="B1899" s="161"/>
      <c r="C1899" s="161"/>
      <c r="D1899" s="172">
        <v>1.0</v>
      </c>
      <c r="E1899" s="161"/>
      <c r="F1899" s="161"/>
      <c r="H1899" s="161"/>
      <c r="J1899" s="173"/>
      <c r="K1899" s="170" t="s">
        <v>1308</v>
      </c>
    </row>
    <row r="1900" ht="15.75" customHeight="1">
      <c r="A1900" s="161"/>
      <c r="B1900" s="161"/>
      <c r="C1900" s="161"/>
      <c r="D1900" s="172">
        <v>1.0</v>
      </c>
      <c r="E1900" s="161"/>
      <c r="F1900" s="161"/>
      <c r="H1900" s="161"/>
      <c r="J1900" s="173"/>
      <c r="K1900" s="170" t="s">
        <v>1308</v>
      </c>
    </row>
    <row r="1901" ht="15.75" customHeight="1">
      <c r="A1901" s="161"/>
      <c r="B1901" s="161"/>
      <c r="C1901" s="161"/>
      <c r="D1901" s="172">
        <v>1.0</v>
      </c>
      <c r="E1901" s="161"/>
      <c r="F1901" s="161"/>
      <c r="H1901" s="161"/>
      <c r="J1901" s="173"/>
      <c r="K1901" s="170" t="s">
        <v>1308</v>
      </c>
    </row>
    <row r="1902" ht="15.75" customHeight="1">
      <c r="A1902" s="161"/>
      <c r="B1902" s="161"/>
      <c r="C1902" s="161"/>
      <c r="D1902" s="172">
        <v>1.0</v>
      </c>
      <c r="E1902" s="161"/>
      <c r="F1902" s="161"/>
      <c r="H1902" s="161"/>
      <c r="J1902" s="173"/>
      <c r="K1902" s="170" t="s">
        <v>1308</v>
      </c>
    </row>
    <row r="1903" ht="15.75" customHeight="1">
      <c r="A1903" s="161"/>
      <c r="B1903" s="161"/>
      <c r="C1903" s="161"/>
      <c r="D1903" s="172">
        <v>1.0</v>
      </c>
      <c r="E1903" s="161"/>
      <c r="F1903" s="161"/>
      <c r="H1903" s="161"/>
      <c r="J1903" s="173"/>
      <c r="K1903" s="170" t="s">
        <v>1308</v>
      </c>
    </row>
    <row r="1904" ht="15.75" customHeight="1">
      <c r="A1904" s="161"/>
      <c r="B1904" s="161"/>
      <c r="C1904" s="161"/>
      <c r="D1904" s="172">
        <v>1.0</v>
      </c>
      <c r="E1904" s="161"/>
      <c r="F1904" s="161"/>
      <c r="H1904" s="161"/>
      <c r="J1904" s="173"/>
      <c r="K1904" s="170" t="s">
        <v>1308</v>
      </c>
    </row>
    <row r="1905" ht="15.75" customHeight="1">
      <c r="A1905" s="161"/>
      <c r="B1905" s="161"/>
      <c r="C1905" s="161"/>
      <c r="D1905" s="172">
        <v>1.0</v>
      </c>
      <c r="E1905" s="161"/>
      <c r="F1905" s="161"/>
      <c r="H1905" s="161"/>
      <c r="J1905" s="173"/>
    </row>
    <row r="1906" ht="15.75" customHeight="1">
      <c r="A1906" s="161"/>
      <c r="B1906" s="161"/>
      <c r="C1906" s="161"/>
      <c r="D1906" s="172">
        <v>1.0</v>
      </c>
      <c r="E1906" s="161"/>
      <c r="F1906" s="161"/>
      <c r="H1906" s="161"/>
      <c r="J1906" s="173"/>
    </row>
    <row r="1907" ht="15.75" customHeight="1">
      <c r="A1907" s="161"/>
      <c r="B1907" s="161"/>
      <c r="C1907" s="161"/>
      <c r="D1907" s="172">
        <v>1.0</v>
      </c>
      <c r="E1907" s="161"/>
      <c r="F1907" s="161"/>
      <c r="H1907" s="161"/>
      <c r="J1907" s="173"/>
    </row>
    <row r="1908" ht="15.75" customHeight="1">
      <c r="A1908" s="161"/>
      <c r="B1908" s="161"/>
      <c r="C1908" s="161"/>
      <c r="D1908" s="172">
        <v>1.0</v>
      </c>
      <c r="E1908" s="161"/>
      <c r="F1908" s="161"/>
      <c r="H1908" s="161"/>
      <c r="J1908" s="173"/>
    </row>
    <row r="1909" ht="15.75" customHeight="1">
      <c r="A1909" s="161"/>
      <c r="B1909" s="161"/>
      <c r="C1909" s="161"/>
      <c r="D1909" s="172">
        <v>1.0</v>
      </c>
      <c r="E1909" s="161"/>
      <c r="F1909" s="161"/>
      <c r="H1909" s="161"/>
      <c r="J1909" s="173"/>
    </row>
    <row r="1910" ht="15.75" customHeight="1">
      <c r="A1910" s="161"/>
      <c r="B1910" s="161"/>
      <c r="C1910" s="161"/>
      <c r="D1910" s="172">
        <v>1.0</v>
      </c>
      <c r="E1910" s="161"/>
      <c r="F1910" s="161"/>
      <c r="H1910" s="161"/>
      <c r="J1910" s="173"/>
    </row>
    <row r="1911" ht="15.75" customHeight="1">
      <c r="A1911" s="161"/>
      <c r="B1911" s="161"/>
      <c r="C1911" s="161"/>
      <c r="D1911" s="172">
        <v>1.0</v>
      </c>
      <c r="E1911" s="161"/>
      <c r="F1911" s="161"/>
      <c r="H1911" s="161"/>
      <c r="J1911" s="173"/>
    </row>
    <row r="1912" ht="15.75" customHeight="1">
      <c r="A1912" s="161"/>
      <c r="B1912" s="161"/>
      <c r="C1912" s="161"/>
      <c r="D1912" s="172">
        <v>1.0</v>
      </c>
      <c r="E1912" s="161"/>
      <c r="F1912" s="161"/>
      <c r="H1912" s="161"/>
      <c r="J1912" s="173"/>
    </row>
    <row r="1913" ht="15.75" customHeight="1">
      <c r="A1913" s="161"/>
      <c r="B1913" s="161"/>
      <c r="C1913" s="161"/>
      <c r="D1913" s="172">
        <v>1.0</v>
      </c>
      <c r="E1913" s="161"/>
      <c r="F1913" s="161"/>
      <c r="H1913" s="161"/>
      <c r="J1913" s="173"/>
    </row>
    <row r="1914" ht="15.75" customHeight="1">
      <c r="A1914" s="161"/>
      <c r="B1914" s="161"/>
      <c r="C1914" s="161"/>
      <c r="D1914" s="172">
        <v>1.0</v>
      </c>
      <c r="E1914" s="161"/>
      <c r="F1914" s="161"/>
      <c r="H1914" s="161"/>
      <c r="J1914" s="173"/>
    </row>
    <row r="1915" ht="15.75" customHeight="1">
      <c r="A1915" s="161"/>
      <c r="B1915" s="161"/>
      <c r="C1915" s="161"/>
      <c r="D1915" s="172">
        <v>1.0</v>
      </c>
      <c r="E1915" s="161"/>
      <c r="F1915" s="161"/>
      <c r="H1915" s="161"/>
      <c r="J1915" s="173"/>
    </row>
    <row r="1916" ht="15.75" customHeight="1">
      <c r="A1916" s="161"/>
      <c r="B1916" s="161"/>
      <c r="C1916" s="161"/>
      <c r="D1916" s="172">
        <v>1.0</v>
      </c>
      <c r="E1916" s="161"/>
      <c r="F1916" s="161"/>
      <c r="H1916" s="161"/>
      <c r="J1916" s="173"/>
    </row>
    <row r="1917" ht="15.75" customHeight="1">
      <c r="A1917" s="161"/>
      <c r="B1917" s="161"/>
      <c r="C1917" s="161"/>
      <c r="D1917" s="172">
        <v>1.0</v>
      </c>
      <c r="E1917" s="161"/>
      <c r="F1917" s="161"/>
      <c r="H1917" s="161"/>
      <c r="J1917" s="173"/>
    </row>
    <row r="1918" ht="15.75" customHeight="1">
      <c r="A1918" s="161"/>
      <c r="B1918" s="161"/>
      <c r="C1918" s="161"/>
      <c r="D1918" s="172">
        <v>1.0</v>
      </c>
      <c r="E1918" s="161"/>
      <c r="F1918" s="161"/>
      <c r="H1918" s="161"/>
      <c r="J1918" s="173"/>
    </row>
    <row r="1919" ht="15.75" customHeight="1">
      <c r="A1919" s="161"/>
      <c r="B1919" s="161"/>
      <c r="C1919" s="161"/>
      <c r="D1919" s="172">
        <v>1.0</v>
      </c>
      <c r="E1919" s="161"/>
      <c r="F1919" s="161"/>
      <c r="H1919" s="161"/>
      <c r="J1919" s="173"/>
    </row>
    <row r="1920" ht="15.75" customHeight="1">
      <c r="A1920" s="161"/>
      <c r="B1920" s="161"/>
      <c r="C1920" s="161"/>
      <c r="D1920" s="172">
        <v>1.0</v>
      </c>
      <c r="E1920" s="161"/>
      <c r="F1920" s="161"/>
      <c r="H1920" s="161"/>
      <c r="J1920" s="173"/>
    </row>
    <row r="1921" ht="15.75" customHeight="1">
      <c r="A1921" s="161"/>
      <c r="B1921" s="161"/>
      <c r="C1921" s="161"/>
      <c r="D1921" s="172">
        <v>1.0</v>
      </c>
      <c r="E1921" s="161"/>
      <c r="F1921" s="161"/>
      <c r="H1921" s="161"/>
      <c r="J1921" s="173"/>
    </row>
    <row r="1922" ht="15.75" customHeight="1">
      <c r="A1922" s="161"/>
      <c r="B1922" s="161"/>
      <c r="C1922" s="161"/>
      <c r="D1922" s="172">
        <v>1.0</v>
      </c>
      <c r="E1922" s="161"/>
      <c r="F1922" s="161"/>
      <c r="H1922" s="161"/>
      <c r="J1922" s="173"/>
    </row>
    <row r="1923" ht="15.75" customHeight="1">
      <c r="A1923" s="161"/>
      <c r="B1923" s="161"/>
      <c r="C1923" s="161"/>
      <c r="D1923" s="172">
        <v>1.0</v>
      </c>
      <c r="E1923" s="161"/>
      <c r="F1923" s="161"/>
      <c r="H1923" s="161"/>
      <c r="J1923" s="173"/>
    </row>
    <row r="1924" ht="15.75" customHeight="1">
      <c r="A1924" s="161"/>
      <c r="B1924" s="161"/>
      <c r="C1924" s="161"/>
      <c r="D1924" s="172">
        <v>1.0</v>
      </c>
      <c r="E1924" s="161"/>
      <c r="F1924" s="161"/>
      <c r="H1924" s="161"/>
      <c r="J1924" s="173"/>
    </row>
    <row r="1925" ht="15.75" customHeight="1">
      <c r="A1925" s="161"/>
      <c r="B1925" s="161"/>
      <c r="C1925" s="161"/>
      <c r="D1925" s="172">
        <v>1.0</v>
      </c>
      <c r="E1925" s="161"/>
      <c r="F1925" s="161"/>
      <c r="H1925" s="161"/>
      <c r="J1925" s="173"/>
    </row>
    <row r="1926" ht="15.75" customHeight="1">
      <c r="A1926" s="161"/>
      <c r="B1926" s="161"/>
      <c r="C1926" s="161"/>
      <c r="D1926" s="172">
        <v>1.0</v>
      </c>
      <c r="E1926" s="161"/>
      <c r="F1926" s="161"/>
      <c r="H1926" s="161"/>
      <c r="J1926" s="173"/>
    </row>
    <row r="1927" ht="15.75" customHeight="1">
      <c r="A1927" s="161"/>
      <c r="B1927" s="161"/>
      <c r="C1927" s="161"/>
      <c r="D1927" s="172">
        <v>1.0</v>
      </c>
      <c r="E1927" s="161"/>
      <c r="F1927" s="161"/>
      <c r="H1927" s="161"/>
      <c r="J1927" s="173"/>
    </row>
    <row r="1928" ht="15.75" customHeight="1">
      <c r="A1928" s="161"/>
      <c r="B1928" s="161"/>
      <c r="C1928" s="161"/>
      <c r="D1928" s="172">
        <v>1.0</v>
      </c>
      <c r="E1928" s="161"/>
      <c r="F1928" s="161"/>
      <c r="H1928" s="161"/>
      <c r="J1928" s="173"/>
    </row>
    <row r="1929" ht="15.75" customHeight="1">
      <c r="A1929" s="161"/>
      <c r="B1929" s="161"/>
      <c r="C1929" s="161"/>
      <c r="D1929" s="172">
        <v>1.0</v>
      </c>
      <c r="E1929" s="161"/>
      <c r="F1929" s="161"/>
      <c r="H1929" s="161"/>
      <c r="J1929" s="173"/>
    </row>
    <row r="1930" ht="15.75" customHeight="1">
      <c r="A1930" s="161"/>
      <c r="B1930" s="161"/>
      <c r="C1930" s="161"/>
      <c r="D1930" s="172">
        <v>1.0</v>
      </c>
      <c r="E1930" s="161"/>
      <c r="F1930" s="161"/>
      <c r="H1930" s="161"/>
      <c r="J1930" s="173"/>
    </row>
    <row r="1931" ht="15.75" customHeight="1">
      <c r="A1931" s="161"/>
      <c r="B1931" s="161"/>
      <c r="C1931" s="161"/>
      <c r="D1931" s="172">
        <v>1.0</v>
      </c>
      <c r="E1931" s="161"/>
      <c r="F1931" s="161"/>
      <c r="H1931" s="161"/>
      <c r="J1931" s="173"/>
    </row>
    <row r="1932" ht="15.75" customHeight="1">
      <c r="A1932" s="161"/>
      <c r="B1932" s="161"/>
      <c r="C1932" s="161"/>
      <c r="D1932" s="172">
        <v>1.0</v>
      </c>
      <c r="E1932" s="161"/>
      <c r="F1932" s="161"/>
      <c r="H1932" s="161"/>
      <c r="J1932" s="173"/>
    </row>
    <row r="1933" ht="15.75" customHeight="1">
      <c r="A1933" s="161"/>
      <c r="B1933" s="161"/>
      <c r="C1933" s="161"/>
      <c r="D1933" s="172">
        <v>1.0</v>
      </c>
      <c r="E1933" s="161"/>
      <c r="F1933" s="161"/>
      <c r="H1933" s="161"/>
      <c r="J1933" s="173"/>
    </row>
    <row r="1934" ht="15.75" customHeight="1">
      <c r="A1934" s="161"/>
      <c r="B1934" s="161"/>
      <c r="C1934" s="161"/>
      <c r="D1934" s="172">
        <v>1.0</v>
      </c>
      <c r="E1934" s="161"/>
      <c r="F1934" s="161"/>
      <c r="H1934" s="161"/>
      <c r="J1934" s="173"/>
    </row>
    <row r="1935" ht="15.75" customHeight="1">
      <c r="A1935" s="161"/>
      <c r="B1935" s="161"/>
      <c r="C1935" s="161"/>
      <c r="D1935" s="172">
        <v>1.0</v>
      </c>
      <c r="E1935" s="161"/>
      <c r="F1935" s="161"/>
      <c r="H1935" s="161"/>
      <c r="J1935" s="173"/>
    </row>
    <row r="1936" ht="15.75" customHeight="1">
      <c r="A1936" s="161"/>
      <c r="B1936" s="161"/>
      <c r="C1936" s="161"/>
      <c r="D1936" s="172">
        <v>1.0</v>
      </c>
      <c r="E1936" s="161"/>
      <c r="F1936" s="161"/>
      <c r="H1936" s="161"/>
      <c r="J1936" s="173"/>
    </row>
    <row r="1937" ht="15.75" customHeight="1">
      <c r="A1937" s="161"/>
      <c r="B1937" s="161"/>
      <c r="C1937" s="161"/>
      <c r="D1937" s="172">
        <v>1.0</v>
      </c>
      <c r="E1937" s="161"/>
      <c r="F1937" s="161"/>
      <c r="H1937" s="161"/>
      <c r="J1937" s="173"/>
    </row>
    <row r="1938" ht="15.75" customHeight="1">
      <c r="A1938" s="161"/>
      <c r="B1938" s="161"/>
      <c r="C1938" s="161"/>
      <c r="D1938" s="172">
        <v>1.0</v>
      </c>
      <c r="E1938" s="161"/>
      <c r="F1938" s="161"/>
      <c r="H1938" s="161"/>
      <c r="J1938" s="173"/>
    </row>
    <row r="1939" ht="15.75" customHeight="1">
      <c r="A1939" s="161"/>
      <c r="B1939" s="161"/>
      <c r="C1939" s="161"/>
      <c r="D1939" s="172">
        <v>1.0</v>
      </c>
      <c r="E1939" s="161"/>
      <c r="F1939" s="161"/>
      <c r="H1939" s="161"/>
      <c r="J1939" s="173"/>
    </row>
    <row r="1940" ht="15.75" customHeight="1">
      <c r="A1940" s="161"/>
      <c r="B1940" s="161"/>
      <c r="C1940" s="161"/>
      <c r="D1940" s="172">
        <v>1.0</v>
      </c>
      <c r="E1940" s="161"/>
      <c r="F1940" s="161"/>
      <c r="H1940" s="161"/>
      <c r="J1940" s="173"/>
    </row>
    <row r="1941" ht="15.75" customHeight="1">
      <c r="A1941" s="161"/>
      <c r="B1941" s="161"/>
      <c r="C1941" s="161"/>
      <c r="D1941" s="172">
        <v>1.0</v>
      </c>
      <c r="E1941" s="161"/>
      <c r="F1941" s="161"/>
      <c r="H1941" s="161"/>
      <c r="J1941" s="173"/>
    </row>
    <row r="1942" ht="15.75" customHeight="1">
      <c r="A1942" s="161"/>
      <c r="B1942" s="161"/>
      <c r="C1942" s="161"/>
      <c r="D1942" s="172">
        <v>1.0</v>
      </c>
      <c r="E1942" s="161"/>
      <c r="F1942" s="161"/>
      <c r="H1942" s="161"/>
      <c r="J1942" s="173"/>
    </row>
    <row r="1943" ht="15.75" customHeight="1">
      <c r="A1943" s="161"/>
      <c r="B1943" s="161"/>
      <c r="C1943" s="161"/>
      <c r="D1943" s="172">
        <v>1.0</v>
      </c>
      <c r="E1943" s="161"/>
      <c r="F1943" s="161"/>
      <c r="H1943" s="161"/>
      <c r="J1943" s="173"/>
    </row>
    <row r="1944" ht="15.75" customHeight="1">
      <c r="A1944" s="161"/>
      <c r="B1944" s="161"/>
      <c r="C1944" s="161"/>
      <c r="D1944" s="172">
        <v>1.0</v>
      </c>
      <c r="E1944" s="161"/>
      <c r="F1944" s="161"/>
      <c r="H1944" s="161"/>
      <c r="J1944" s="173"/>
    </row>
    <row r="1945" ht="15.75" customHeight="1">
      <c r="A1945" s="161"/>
      <c r="B1945" s="161"/>
      <c r="C1945" s="161"/>
      <c r="D1945" s="172">
        <v>1.0</v>
      </c>
      <c r="E1945" s="161"/>
      <c r="F1945" s="161"/>
      <c r="H1945" s="161"/>
      <c r="J1945" s="173"/>
    </row>
    <row r="1946" ht="15.75" customHeight="1">
      <c r="A1946" s="161"/>
      <c r="B1946" s="161"/>
      <c r="C1946" s="161"/>
      <c r="D1946" s="172">
        <v>1.0</v>
      </c>
      <c r="E1946" s="161"/>
      <c r="F1946" s="161"/>
      <c r="H1946" s="161"/>
      <c r="J1946" s="173"/>
    </row>
    <row r="1947" ht="15.75" customHeight="1">
      <c r="A1947" s="161"/>
      <c r="B1947" s="161"/>
      <c r="C1947" s="161"/>
      <c r="D1947" s="172">
        <v>1.0</v>
      </c>
      <c r="E1947" s="161"/>
      <c r="F1947" s="161"/>
      <c r="H1947" s="161"/>
      <c r="J1947" s="173"/>
    </row>
    <row r="1948" ht="15.75" customHeight="1">
      <c r="A1948" s="161"/>
      <c r="B1948" s="161"/>
      <c r="C1948" s="161"/>
      <c r="D1948" s="172">
        <v>1.0</v>
      </c>
      <c r="E1948" s="161"/>
      <c r="F1948" s="161"/>
      <c r="H1948" s="161"/>
      <c r="J1948" s="173"/>
    </row>
    <row r="1949" ht="15.75" customHeight="1">
      <c r="A1949" s="161"/>
      <c r="B1949" s="161"/>
      <c r="C1949" s="161"/>
      <c r="D1949" s="172">
        <v>1.0</v>
      </c>
      <c r="E1949" s="161"/>
      <c r="F1949" s="161"/>
      <c r="H1949" s="161"/>
      <c r="J1949" s="173"/>
    </row>
    <row r="1950" ht="15.75" customHeight="1">
      <c r="A1950" s="161"/>
      <c r="B1950" s="161"/>
      <c r="C1950" s="161"/>
      <c r="D1950" s="172">
        <v>1.0</v>
      </c>
      <c r="E1950" s="161"/>
      <c r="F1950" s="161"/>
      <c r="H1950" s="161"/>
      <c r="J1950" s="173"/>
    </row>
    <row r="1951" ht="15.75" customHeight="1">
      <c r="A1951" s="161"/>
      <c r="B1951" s="161"/>
      <c r="C1951" s="161"/>
      <c r="D1951" s="172">
        <v>1.0</v>
      </c>
      <c r="E1951" s="161"/>
      <c r="F1951" s="161"/>
      <c r="H1951" s="161"/>
      <c r="J1951" s="173"/>
    </row>
    <row r="1952" ht="15.75" customHeight="1">
      <c r="A1952" s="161"/>
      <c r="B1952" s="161"/>
      <c r="C1952" s="161"/>
      <c r="D1952" s="172">
        <v>1.0</v>
      </c>
      <c r="E1952" s="161"/>
      <c r="F1952" s="161"/>
      <c r="H1952" s="161"/>
      <c r="J1952" s="173"/>
    </row>
    <row r="1953" ht="15.75" customHeight="1">
      <c r="A1953" s="161"/>
      <c r="B1953" s="161"/>
      <c r="C1953" s="161"/>
      <c r="D1953" s="172">
        <v>1.0</v>
      </c>
      <c r="E1953" s="161"/>
      <c r="F1953" s="161"/>
      <c r="H1953" s="161"/>
      <c r="J1953" s="173"/>
    </row>
    <row r="1954" ht="15.75" customHeight="1">
      <c r="A1954" s="161"/>
      <c r="B1954" s="161"/>
      <c r="C1954" s="161"/>
      <c r="D1954" s="172">
        <v>1.0</v>
      </c>
      <c r="E1954" s="161"/>
      <c r="F1954" s="161"/>
      <c r="H1954" s="161"/>
      <c r="J1954" s="173"/>
    </row>
    <row r="1955" ht="15.75" customHeight="1">
      <c r="A1955" s="161"/>
      <c r="B1955" s="161"/>
      <c r="C1955" s="161"/>
      <c r="D1955" s="172">
        <v>1.0</v>
      </c>
      <c r="E1955" s="161"/>
      <c r="F1955" s="161"/>
      <c r="H1955" s="161"/>
      <c r="J1955" s="173"/>
    </row>
    <row r="1956" ht="15.75" customHeight="1">
      <c r="A1956" s="161"/>
      <c r="B1956" s="161"/>
      <c r="C1956" s="161"/>
      <c r="D1956" s="172">
        <v>1.0</v>
      </c>
      <c r="E1956" s="161"/>
      <c r="F1956" s="161"/>
      <c r="H1956" s="161"/>
      <c r="J1956" s="173"/>
    </row>
    <row r="1957" ht="15.75" customHeight="1">
      <c r="A1957" s="161"/>
      <c r="B1957" s="161"/>
      <c r="C1957" s="161"/>
      <c r="D1957" s="172">
        <v>1.0</v>
      </c>
      <c r="E1957" s="161"/>
      <c r="F1957" s="161"/>
      <c r="H1957" s="161"/>
      <c r="J1957" s="173"/>
    </row>
    <row r="1958" ht="15.75" customHeight="1">
      <c r="A1958" s="161"/>
      <c r="B1958" s="161"/>
      <c r="C1958" s="161"/>
      <c r="D1958" s="172">
        <v>1.0</v>
      </c>
      <c r="E1958" s="161"/>
      <c r="F1958" s="161"/>
      <c r="H1958" s="161"/>
      <c r="J1958" s="173"/>
    </row>
    <row r="1959" ht="15.75" customHeight="1">
      <c r="A1959" s="161"/>
      <c r="B1959" s="161"/>
      <c r="C1959" s="161"/>
      <c r="D1959" s="172">
        <v>1.0</v>
      </c>
      <c r="E1959" s="161"/>
      <c r="F1959" s="161"/>
      <c r="H1959" s="161"/>
      <c r="J1959" s="173"/>
    </row>
    <row r="1960" ht="15.75" customHeight="1">
      <c r="A1960" s="161"/>
      <c r="B1960" s="161"/>
      <c r="C1960" s="161"/>
      <c r="D1960" s="172">
        <v>1.0</v>
      </c>
      <c r="E1960" s="161"/>
      <c r="F1960" s="161"/>
      <c r="H1960" s="161"/>
      <c r="J1960" s="173"/>
    </row>
    <row r="1961" ht="15.75" customHeight="1">
      <c r="A1961" s="161"/>
      <c r="B1961" s="161"/>
      <c r="C1961" s="161"/>
      <c r="D1961" s="172">
        <v>1.0</v>
      </c>
      <c r="E1961" s="161"/>
      <c r="F1961" s="161"/>
      <c r="H1961" s="161"/>
      <c r="J1961" s="173"/>
    </row>
    <row r="1962" ht="15.75" customHeight="1">
      <c r="A1962" s="161"/>
      <c r="B1962" s="161"/>
      <c r="C1962" s="161"/>
      <c r="D1962" s="172">
        <v>1.0</v>
      </c>
      <c r="E1962" s="161"/>
      <c r="F1962" s="161"/>
      <c r="H1962" s="161"/>
      <c r="J1962" s="173"/>
    </row>
    <row r="1963" ht="15.75" customHeight="1">
      <c r="A1963" s="161"/>
      <c r="B1963" s="161"/>
      <c r="C1963" s="161"/>
      <c r="D1963" s="172">
        <v>1.0</v>
      </c>
      <c r="E1963" s="161"/>
      <c r="F1963" s="161"/>
      <c r="H1963" s="161"/>
      <c r="J1963" s="173"/>
    </row>
    <row r="1964" ht="15.75" customHeight="1">
      <c r="A1964" s="161"/>
      <c r="B1964" s="161"/>
      <c r="C1964" s="161"/>
      <c r="D1964" s="172">
        <v>1.0</v>
      </c>
      <c r="E1964" s="161"/>
      <c r="F1964" s="161"/>
      <c r="H1964" s="161"/>
      <c r="J1964" s="173"/>
    </row>
    <row r="1965" ht="15.75" customHeight="1">
      <c r="A1965" s="161"/>
      <c r="B1965" s="161"/>
      <c r="C1965" s="161"/>
      <c r="D1965" s="172">
        <v>1.0</v>
      </c>
      <c r="E1965" s="161"/>
      <c r="F1965" s="161"/>
      <c r="H1965" s="161"/>
      <c r="J1965" s="173"/>
    </row>
    <row r="1966" ht="15.75" customHeight="1">
      <c r="A1966" s="161"/>
      <c r="B1966" s="161"/>
      <c r="C1966" s="161"/>
      <c r="D1966" s="172">
        <v>1.0</v>
      </c>
      <c r="E1966" s="161"/>
      <c r="F1966" s="161"/>
      <c r="H1966" s="161"/>
      <c r="J1966" s="173"/>
    </row>
    <row r="1967" ht="15.75" customHeight="1">
      <c r="A1967" s="161"/>
      <c r="B1967" s="161"/>
      <c r="C1967" s="161"/>
      <c r="D1967" s="172">
        <v>1.0</v>
      </c>
      <c r="E1967" s="161"/>
      <c r="F1967" s="161"/>
      <c r="H1967" s="161"/>
      <c r="J1967" s="173"/>
    </row>
    <row r="1968" ht="15.75" customHeight="1">
      <c r="A1968" s="161"/>
      <c r="B1968" s="161"/>
      <c r="C1968" s="161"/>
      <c r="D1968" s="172">
        <v>1.0</v>
      </c>
      <c r="E1968" s="161"/>
      <c r="F1968" s="161"/>
      <c r="H1968" s="161"/>
      <c r="J1968" s="173"/>
    </row>
    <row r="1969" ht="15.75" customHeight="1">
      <c r="A1969" s="161"/>
      <c r="B1969" s="161"/>
      <c r="C1969" s="161"/>
      <c r="D1969" s="172">
        <v>1.0</v>
      </c>
      <c r="E1969" s="161"/>
      <c r="F1969" s="161"/>
      <c r="H1969" s="161"/>
      <c r="J1969" s="173"/>
    </row>
    <row r="1970" ht="15.75" customHeight="1">
      <c r="A1970" s="161"/>
      <c r="B1970" s="161"/>
      <c r="C1970" s="161"/>
      <c r="D1970" s="172">
        <v>1.0</v>
      </c>
      <c r="E1970" s="161"/>
      <c r="F1970" s="161"/>
      <c r="H1970" s="161"/>
      <c r="J1970" s="173"/>
    </row>
    <row r="1971" ht="15.75" customHeight="1">
      <c r="A1971" s="161"/>
      <c r="B1971" s="161"/>
      <c r="C1971" s="161"/>
      <c r="D1971" s="172">
        <v>1.0</v>
      </c>
      <c r="E1971" s="161"/>
      <c r="F1971" s="161"/>
      <c r="H1971" s="161"/>
      <c r="J1971" s="173"/>
    </row>
    <row r="1972" ht="15.75" customHeight="1">
      <c r="A1972" s="161"/>
      <c r="B1972" s="161"/>
      <c r="C1972" s="161"/>
      <c r="D1972" s="172">
        <v>1.0</v>
      </c>
      <c r="E1972" s="161"/>
      <c r="F1972" s="161"/>
      <c r="H1972" s="161"/>
      <c r="J1972" s="173"/>
    </row>
    <row r="1973" ht="15.75" customHeight="1">
      <c r="A1973" s="161"/>
      <c r="B1973" s="161"/>
      <c r="C1973" s="161"/>
      <c r="D1973" s="172">
        <v>1.0</v>
      </c>
      <c r="E1973" s="161"/>
      <c r="F1973" s="161"/>
      <c r="H1973" s="161"/>
      <c r="J1973" s="173"/>
    </row>
    <row r="1974" ht="15.75" customHeight="1">
      <c r="A1974" s="161"/>
      <c r="B1974" s="161"/>
      <c r="C1974" s="161"/>
      <c r="D1974" s="172">
        <v>1.0</v>
      </c>
      <c r="E1974" s="161"/>
      <c r="F1974" s="161"/>
      <c r="H1974" s="161"/>
      <c r="J1974" s="173"/>
    </row>
    <row r="1975" ht="15.75" customHeight="1">
      <c r="A1975" s="161"/>
      <c r="B1975" s="161"/>
      <c r="C1975" s="161"/>
      <c r="D1975" s="172">
        <v>1.0</v>
      </c>
      <c r="E1975" s="161"/>
      <c r="F1975" s="161"/>
      <c r="H1975" s="161"/>
      <c r="J1975" s="173"/>
    </row>
    <row r="1976" ht="15.75" customHeight="1">
      <c r="A1976" s="161"/>
      <c r="B1976" s="161"/>
      <c r="C1976" s="161"/>
      <c r="D1976" s="172">
        <v>1.0</v>
      </c>
      <c r="E1976" s="161"/>
      <c r="F1976" s="161"/>
      <c r="H1976" s="161"/>
      <c r="J1976" s="173"/>
    </row>
    <row r="1977" ht="15.75" customHeight="1">
      <c r="A1977" s="161"/>
      <c r="B1977" s="161"/>
      <c r="C1977" s="161"/>
      <c r="D1977" s="172">
        <v>1.0</v>
      </c>
      <c r="E1977" s="161"/>
      <c r="F1977" s="161"/>
      <c r="H1977" s="161"/>
      <c r="J1977" s="173"/>
    </row>
    <row r="1978" ht="15.75" customHeight="1">
      <c r="A1978" s="161"/>
      <c r="B1978" s="161"/>
      <c r="C1978" s="161"/>
      <c r="D1978" s="172">
        <v>1.0</v>
      </c>
      <c r="E1978" s="161"/>
      <c r="F1978" s="161"/>
      <c r="H1978" s="161"/>
      <c r="J1978" s="173"/>
    </row>
    <row r="1979" ht="15.75" customHeight="1">
      <c r="A1979" s="161"/>
      <c r="B1979" s="161"/>
      <c r="C1979" s="161"/>
      <c r="D1979" s="172">
        <v>1.0</v>
      </c>
      <c r="E1979" s="161"/>
      <c r="F1979" s="161"/>
      <c r="H1979" s="161"/>
      <c r="J1979" s="173"/>
    </row>
    <row r="1980" ht="15.75" customHeight="1">
      <c r="A1980" s="161"/>
      <c r="B1980" s="161"/>
      <c r="C1980" s="161"/>
      <c r="D1980" s="172">
        <v>1.0</v>
      </c>
      <c r="E1980" s="161"/>
      <c r="F1980" s="161"/>
      <c r="H1980" s="161"/>
      <c r="J1980" s="173"/>
    </row>
    <row r="1981" ht="15.75" customHeight="1">
      <c r="A1981" s="161"/>
      <c r="B1981" s="161"/>
      <c r="C1981" s="161"/>
      <c r="D1981" s="172">
        <v>1.0</v>
      </c>
      <c r="E1981" s="161"/>
      <c r="F1981" s="161"/>
      <c r="H1981" s="161"/>
      <c r="J1981" s="173"/>
    </row>
    <row r="1982" ht="15.75" customHeight="1">
      <c r="A1982" s="161"/>
      <c r="B1982" s="161"/>
      <c r="C1982" s="161"/>
      <c r="D1982" s="172">
        <v>1.0</v>
      </c>
      <c r="E1982" s="161"/>
      <c r="F1982" s="161"/>
      <c r="H1982" s="161"/>
      <c r="J1982" s="173"/>
    </row>
    <row r="1983" ht="15.75" customHeight="1">
      <c r="A1983" s="161"/>
      <c r="B1983" s="161"/>
      <c r="C1983" s="161"/>
      <c r="D1983" s="172">
        <v>1.0</v>
      </c>
      <c r="E1983" s="161"/>
      <c r="F1983" s="161"/>
      <c r="H1983" s="161"/>
      <c r="J1983" s="173"/>
    </row>
    <row r="1984" ht="15.75" customHeight="1">
      <c r="A1984" s="161"/>
      <c r="B1984" s="161"/>
      <c r="C1984" s="161"/>
      <c r="D1984" s="172">
        <v>1.0</v>
      </c>
      <c r="E1984" s="161"/>
      <c r="F1984" s="161"/>
      <c r="H1984" s="161"/>
      <c r="J1984" s="173"/>
    </row>
    <row r="1985" ht="15.75" customHeight="1">
      <c r="A1985" s="161"/>
      <c r="B1985" s="161"/>
      <c r="C1985" s="161"/>
      <c r="D1985" s="172">
        <v>1.0</v>
      </c>
      <c r="E1985" s="161"/>
      <c r="F1985" s="161"/>
      <c r="H1985" s="161"/>
      <c r="J1985" s="173"/>
    </row>
    <row r="1986" ht="15.75" customHeight="1">
      <c r="A1986" s="161"/>
      <c r="B1986" s="161"/>
      <c r="C1986" s="161"/>
      <c r="D1986" s="172">
        <v>1.0</v>
      </c>
      <c r="E1986" s="161"/>
      <c r="F1986" s="161"/>
      <c r="H1986" s="161"/>
      <c r="J1986" s="173"/>
    </row>
    <row r="1987" ht="15.75" customHeight="1">
      <c r="A1987" s="161"/>
      <c r="B1987" s="161"/>
      <c r="C1987" s="161"/>
      <c r="D1987" s="172">
        <v>1.0</v>
      </c>
      <c r="E1987" s="161"/>
      <c r="F1987" s="161"/>
      <c r="H1987" s="161"/>
      <c r="J1987" s="173"/>
    </row>
    <row r="1988" ht="15.75" customHeight="1">
      <c r="A1988" s="161"/>
      <c r="B1988" s="161"/>
      <c r="C1988" s="161"/>
      <c r="D1988" s="172">
        <v>1.0</v>
      </c>
      <c r="E1988" s="161"/>
      <c r="F1988" s="161"/>
      <c r="H1988" s="161"/>
      <c r="J1988" s="173"/>
    </row>
    <row r="1989" ht="15.75" customHeight="1">
      <c r="A1989" s="161"/>
      <c r="B1989" s="161"/>
      <c r="C1989" s="161"/>
      <c r="D1989" s="172">
        <v>1.0</v>
      </c>
      <c r="E1989" s="161"/>
      <c r="F1989" s="161"/>
      <c r="H1989" s="161"/>
      <c r="J1989" s="173"/>
    </row>
    <row r="1990" ht="15.75" customHeight="1">
      <c r="A1990" s="161"/>
      <c r="B1990" s="161"/>
      <c r="C1990" s="161"/>
      <c r="D1990" s="172">
        <v>1.0</v>
      </c>
      <c r="E1990" s="161"/>
      <c r="F1990" s="161"/>
      <c r="H1990" s="161"/>
      <c r="J1990" s="173"/>
    </row>
    <row r="1991" ht="15.75" customHeight="1">
      <c r="A1991" s="161"/>
      <c r="B1991" s="161"/>
      <c r="C1991" s="161"/>
      <c r="D1991" s="172">
        <v>1.0</v>
      </c>
      <c r="E1991" s="161"/>
      <c r="F1991" s="161"/>
      <c r="H1991" s="161"/>
      <c r="J1991" s="173"/>
    </row>
    <row r="1992" ht="15.75" customHeight="1">
      <c r="A1992" s="161"/>
      <c r="B1992" s="161"/>
      <c r="C1992" s="161"/>
      <c r="D1992" s="172">
        <v>1.0</v>
      </c>
      <c r="E1992" s="161"/>
      <c r="F1992" s="161"/>
      <c r="H1992" s="161"/>
      <c r="J1992" s="173"/>
    </row>
    <row r="1993" ht="15.75" customHeight="1">
      <c r="A1993" s="161"/>
      <c r="B1993" s="161"/>
      <c r="C1993" s="161"/>
      <c r="D1993" s="172">
        <v>1.0</v>
      </c>
      <c r="E1993" s="161"/>
      <c r="F1993" s="161"/>
      <c r="H1993" s="161"/>
      <c r="J1993" s="173"/>
    </row>
    <row r="1994" ht="15.75" customHeight="1">
      <c r="A1994" s="161"/>
      <c r="B1994" s="161"/>
      <c r="C1994" s="161"/>
      <c r="D1994" s="172">
        <v>1.0</v>
      </c>
      <c r="E1994" s="161"/>
      <c r="F1994" s="161"/>
      <c r="H1994" s="161"/>
      <c r="J1994" s="173"/>
    </row>
    <row r="1995" ht="15.75" customHeight="1">
      <c r="A1995" s="161"/>
      <c r="B1995" s="161"/>
      <c r="C1995" s="161"/>
      <c r="D1995" s="172">
        <v>1.0</v>
      </c>
      <c r="E1995" s="161"/>
      <c r="F1995" s="161"/>
      <c r="H1995" s="161"/>
      <c r="J1995" s="173"/>
    </row>
    <row r="1996" ht="15.75" customHeight="1">
      <c r="A1996" s="161"/>
      <c r="B1996" s="161"/>
      <c r="C1996" s="161"/>
      <c r="D1996" s="172">
        <v>1.0</v>
      </c>
      <c r="E1996" s="161"/>
      <c r="F1996" s="161"/>
      <c r="H1996" s="161"/>
      <c r="J1996" s="173"/>
    </row>
    <row r="1997" ht="15.75" customHeight="1">
      <c r="A1997" s="161"/>
      <c r="B1997" s="161"/>
      <c r="C1997" s="161"/>
      <c r="D1997" s="172">
        <v>1.0</v>
      </c>
      <c r="E1997" s="161"/>
      <c r="F1997" s="161"/>
      <c r="H1997" s="161"/>
      <c r="J1997" s="173"/>
    </row>
    <row r="1998" ht="15.75" customHeight="1">
      <c r="A1998" s="161"/>
      <c r="B1998" s="161"/>
      <c r="C1998" s="161"/>
      <c r="D1998" s="172">
        <v>1.0</v>
      </c>
      <c r="E1998" s="161"/>
      <c r="F1998" s="161"/>
      <c r="H1998" s="161"/>
      <c r="J1998" s="173"/>
    </row>
    <row r="1999" ht="15.75" customHeight="1">
      <c r="A1999" s="161"/>
      <c r="B1999" s="161"/>
      <c r="C1999" s="161"/>
      <c r="D1999" s="172">
        <v>1.0</v>
      </c>
      <c r="E1999" s="161"/>
      <c r="F1999" s="161"/>
      <c r="H1999" s="161"/>
      <c r="J1999" s="173"/>
    </row>
    <row r="2000" ht="15.75" customHeight="1">
      <c r="A2000" s="161"/>
      <c r="B2000" s="161"/>
      <c r="C2000" s="161"/>
      <c r="D2000" s="172">
        <v>1.0</v>
      </c>
      <c r="E2000" s="161"/>
      <c r="F2000" s="161"/>
      <c r="H2000" s="161"/>
      <c r="J2000" s="173"/>
    </row>
    <row r="2001" ht="15.75" customHeight="1">
      <c r="A2001" s="161"/>
      <c r="B2001" s="161"/>
      <c r="C2001" s="161"/>
      <c r="D2001" s="172">
        <v>1.0</v>
      </c>
      <c r="E2001" s="161"/>
      <c r="F2001" s="161"/>
      <c r="H2001" s="161"/>
      <c r="J2001" s="173"/>
    </row>
    <row r="2002" ht="15.75" customHeight="1">
      <c r="A2002" s="161"/>
      <c r="B2002" s="161"/>
      <c r="C2002" s="161"/>
      <c r="D2002" s="172">
        <v>1.0</v>
      </c>
      <c r="E2002" s="161"/>
      <c r="F2002" s="161"/>
      <c r="H2002" s="161"/>
      <c r="J2002" s="173"/>
    </row>
    <row r="2003" ht="15.75" customHeight="1">
      <c r="A2003" s="161"/>
      <c r="B2003" s="161"/>
      <c r="C2003" s="161"/>
      <c r="D2003" s="172">
        <v>1.0</v>
      </c>
      <c r="E2003" s="161"/>
      <c r="F2003" s="161"/>
      <c r="H2003" s="161"/>
      <c r="J2003" s="173"/>
    </row>
    <row r="2004" ht="15.75" customHeight="1">
      <c r="A2004" s="161"/>
      <c r="B2004" s="161"/>
      <c r="C2004" s="161"/>
      <c r="D2004" s="172">
        <v>1.0</v>
      </c>
      <c r="E2004" s="161"/>
      <c r="F2004" s="161"/>
      <c r="H2004" s="161"/>
      <c r="J2004" s="173"/>
    </row>
    <row r="2005" ht="15.75" customHeight="1">
      <c r="A2005" s="161"/>
      <c r="B2005" s="161"/>
      <c r="C2005" s="161"/>
      <c r="D2005" s="172">
        <v>1.0</v>
      </c>
      <c r="E2005" s="161"/>
      <c r="F2005" s="161"/>
      <c r="H2005" s="161"/>
      <c r="J2005" s="173"/>
    </row>
    <row r="2006" ht="15.75" customHeight="1">
      <c r="A2006" s="161"/>
      <c r="B2006" s="161"/>
      <c r="C2006" s="161"/>
      <c r="D2006" s="172">
        <v>1.0</v>
      </c>
      <c r="E2006" s="161"/>
      <c r="F2006" s="161"/>
      <c r="H2006" s="161"/>
      <c r="J2006" s="173"/>
    </row>
    <row r="2007" ht="15.75" customHeight="1">
      <c r="A2007" s="161"/>
      <c r="B2007" s="161"/>
      <c r="C2007" s="161"/>
      <c r="D2007" s="172">
        <v>1.0</v>
      </c>
      <c r="E2007" s="161"/>
      <c r="F2007" s="161"/>
      <c r="H2007" s="161"/>
      <c r="J2007" s="173"/>
    </row>
    <row r="2008" ht="15.75" customHeight="1">
      <c r="A2008" s="161"/>
      <c r="B2008" s="161"/>
      <c r="C2008" s="161"/>
      <c r="D2008" s="172">
        <v>1.0</v>
      </c>
      <c r="E2008" s="161"/>
      <c r="F2008" s="161"/>
      <c r="H2008" s="161"/>
      <c r="J2008" s="173"/>
    </row>
    <row r="2009" ht="15.75" customHeight="1">
      <c r="A2009" s="161"/>
      <c r="B2009" s="161"/>
      <c r="C2009" s="161"/>
      <c r="D2009" s="172">
        <v>1.0</v>
      </c>
      <c r="E2009" s="161"/>
      <c r="F2009" s="161"/>
      <c r="H2009" s="161"/>
      <c r="J2009" s="173"/>
    </row>
    <row r="2010" ht="15.75" customHeight="1">
      <c r="A2010" s="161"/>
      <c r="B2010" s="161"/>
      <c r="C2010" s="161"/>
      <c r="D2010" s="172">
        <v>1.0</v>
      </c>
      <c r="E2010" s="161"/>
      <c r="F2010" s="161"/>
      <c r="H2010" s="161"/>
      <c r="J2010" s="173"/>
    </row>
    <row r="2011" ht="15.75" customHeight="1">
      <c r="A2011" s="161"/>
      <c r="B2011" s="161"/>
      <c r="C2011" s="161"/>
      <c r="D2011" s="172">
        <v>1.0</v>
      </c>
      <c r="E2011" s="161"/>
      <c r="F2011" s="161"/>
      <c r="H2011" s="161"/>
      <c r="J2011" s="173"/>
    </row>
    <row r="2012" ht="15.75" customHeight="1">
      <c r="A2012" s="161"/>
      <c r="B2012" s="161"/>
      <c r="C2012" s="161"/>
      <c r="D2012" s="172">
        <v>1.0</v>
      </c>
      <c r="E2012" s="161"/>
      <c r="F2012" s="161"/>
      <c r="H2012" s="161"/>
      <c r="J2012" s="173"/>
    </row>
  </sheetData>
  <mergeCells count="5">
    <mergeCell ref="A145:K145"/>
    <mergeCell ref="A445:H446"/>
    <mergeCell ref="B1255:K1255"/>
    <mergeCell ref="A1562:J1563"/>
    <mergeCell ref="A1681:J1682"/>
  </mergeCells>
  <dataValidations>
    <dataValidation type="list" allowBlank="1" showErrorMessage="1" sqref="E14:E17">
      <formula1>"Safie,Abbas,Ammar,abdullah,Name"</formula1>
    </dataValidation>
    <dataValidation type="list" allowBlank="1" showErrorMessage="1" sqref="E62 E82 E180:E181 E187">
      <formula1>"Safie,Abbas,Ammar,abdullah,Name"</formula1>
    </dataValidation>
    <dataValidation type="list" allowBlank="1" showErrorMessage="1" sqref="J1:J144 J146:J179 J182:J186 J188:J223 J225:J236">
      <formula1>"Yes,No,return"</formula1>
    </dataValidation>
    <dataValidation type="list" allowBlank="1" showErrorMessage="1" sqref="C12:C17">
      <formula1>"32,34,36"</formula1>
    </dataValidation>
    <dataValidation type="list" allowBlank="1" showErrorMessage="1" sqref="B180:B181 B187">
      <formula1>"501 Selvedge,501 Light Blue,501 Mid Blue,501 Navy Blue,501 Black,511 Light Blue,511 Navy Blue"</formula1>
    </dataValidation>
    <dataValidation type="list" allowBlank="1" showErrorMessage="1" sqref="J180:J181 J187">
      <formula1>"Yes,No"</formula1>
    </dataValidation>
    <dataValidation type="list" allowBlank="1" showErrorMessage="1" sqref="K12:K14 L15:L16 K17 K21:K22 K31">
      <formula1>"Complete,In Process"</formula1>
    </dataValidation>
    <dataValidation type="list" allowBlank="1" showErrorMessage="1" sqref="B1:B144 B146:B179 B182:B186 B188:B235 B239 B241:B243 B245:B250 B252 B254:B260 B262:B265 B267:B444 B447:B734 B736:B1034 B1036:B1254 B1256:B1405 B1407:B1561 B1564:B1680 B1683:B2012">
      <formula1>"501 Black,501 Light Blue,501 Navy Blue,501 Selvedge,511 Black,511 Navy Blue,511 Mid Blue,501 Mid Blue,511 Grey,511 Light blue,501 Grey,511 Light Blue L30,514 Navy,501 Shorts,501 Mid Blue L30,511 Blackish,502 Navy Blue,502 Black"</formula1>
    </dataValidation>
    <dataValidation type="list" allowBlank="1" showErrorMessage="1" sqref="C62">
      <formula1>"32,34,36"</formula1>
    </dataValidation>
    <dataValidation type="list" allowBlank="1" showErrorMessage="1" sqref="B240 B244 B251 B253 B261 B266">
      <formula1>"501 Selvedge,501 Light Blue,501 Mid Blue,501 Navy Blue,501 Black,511 Light Blue,511 Navy Blue,511 Mid Blue,511 Black"</formula1>
    </dataValidation>
    <dataValidation type="list" allowBlank="1" showErrorMessage="1" sqref="C2:C11 C18:C61 C63:C81 C83:C144 C146:C179 C182:C186 C188:C235 C239 C241:C243 C245:C250 C252 C254:C260 C262:C265 C267:C444 C447:C734 C736:C1254 C1256:C1405 C1407:C1561 C1564:C1680 C1683:C2012">
      <formula1>"30,32,34,36,33,38,40"</formula1>
    </dataValidation>
    <dataValidation type="list" allowBlank="1" showErrorMessage="1" sqref="F1353">
      <formula1>'Accounts Data'!$A:$A</formula1>
    </dataValidation>
    <dataValidation type="list" allowBlank="1" showErrorMessage="1" sqref="E8:E9">
      <formula1>"Safie,Abbas,Ammar,abdullah,Hamza"</formula1>
    </dataValidation>
    <dataValidation type="list" allowBlank="1" showErrorMessage="1" sqref="K15:K16">
      <formula1>"Complete,No"</formula1>
    </dataValidation>
    <dataValidation type="list" allowBlank="1" showErrorMessage="1" sqref="C82 C180:C181 C187 C236:C238 C240 C244 C251 C253 C261 C266">
      <formula1>"30,32,34,36"</formula1>
    </dataValidation>
    <dataValidation type="list" allowBlank="1" showErrorMessage="1" sqref="F1:F144 F146:F444 F447:F1254 F1256:F1352 F1354:F1405 F1407:F1561 F1564:F1680 F1683:F2012">
      <formula1>'Accounts Data'!$A:$A</formula1>
    </dataValidation>
    <dataValidation type="list" allowBlank="1" showErrorMessage="1" sqref="K2:K11 K179:K182 K184:K185 K187 K190">
      <formula1>"Complete,In Process"</formula1>
    </dataValidation>
    <dataValidation type="list" allowBlank="1" showErrorMessage="1" sqref="E12:E13 E21:E22 E31">
      <formula1>"Safie,Abbas,Ammar,abdullah,Hamza"</formula1>
    </dataValidation>
    <dataValidation type="list" allowBlank="1" showErrorMessage="1" sqref="E1:E7 E10:E11 E18:E20 E23:E30 E32:E61 E63:E81 E83:E144 E146:E179 E182:E186 E188:E444 E447:E734 E736:E1254 E1256:E1405 E1407:E1561 E1564:E1680 E1683:E2012">
      <formula1>"Ammar,Aali,Umar,Faizan,Abdullah Khan,Abbas,Abdullah Malik"</formula1>
    </dataValidation>
    <dataValidation type="list" allowBlank="1" showErrorMessage="1" sqref="B236:B238">
      <formula1>"501 Selvedge,501 Light Blue,501 Mid Blue,501 Navy Blue,501 Black,511 Light Blue,511 Navy Blue,511 Mid Blue"</formula1>
    </dataValidation>
  </dataValidations>
  <hyperlinks>
    <hyperlink r:id="rId1" ref="G70"/>
    <hyperlink r:id="rId2" ref="G166"/>
    <hyperlink r:id="rId3" ref="G169"/>
    <hyperlink r:id="rId4" ref="G178"/>
    <hyperlink r:id="rId5" ref="G182"/>
    <hyperlink r:id="rId6" ref="G184"/>
    <hyperlink r:id="rId7" ref="G186"/>
    <hyperlink r:id="rId8" ref="G189"/>
    <hyperlink r:id="rId9" ref="G194"/>
    <hyperlink r:id="rId10" ref="G204"/>
    <hyperlink r:id="rId11" ref="G244"/>
    <hyperlink r:id="rId12" ref="G253"/>
    <hyperlink r:id="rId13" ref="G254"/>
    <hyperlink r:id="rId14" ref="G256"/>
    <hyperlink r:id="rId15" ref="G258"/>
    <hyperlink r:id="rId16" ref="A260"/>
    <hyperlink r:id="rId17" ref="G260"/>
    <hyperlink r:id="rId18" ref="G261"/>
    <hyperlink r:id="rId19" ref="G262"/>
    <hyperlink r:id="rId20" ref="G263"/>
    <hyperlink r:id="rId21" ref="G265"/>
    <hyperlink r:id="rId22" ref="G267"/>
    <hyperlink r:id="rId23" ref="G268"/>
    <hyperlink r:id="rId24" ref="G269"/>
    <hyperlink r:id="rId25" ref="G270"/>
    <hyperlink r:id="rId26" ref="G271"/>
    <hyperlink r:id="rId27" ref="G278"/>
    <hyperlink r:id="rId28" ref="G280"/>
    <hyperlink r:id="rId29" ref="G291"/>
    <hyperlink r:id="rId30" ref="G295"/>
    <hyperlink r:id="rId31" ref="G296"/>
    <hyperlink r:id="rId32" ref="G298"/>
    <hyperlink r:id="rId33" ref="G305"/>
    <hyperlink r:id="rId34" ref="G307"/>
    <hyperlink r:id="rId35" ref="G309"/>
    <hyperlink r:id="rId36" ref="G314"/>
    <hyperlink r:id="rId37" ref="G315"/>
    <hyperlink r:id="rId38" ref="G318"/>
    <hyperlink r:id="rId39" ref="G319"/>
    <hyperlink r:id="rId40" ref="G325"/>
    <hyperlink r:id="rId41" ref="G327"/>
    <hyperlink r:id="rId42" ref="G329"/>
    <hyperlink r:id="rId43" ref="G338"/>
    <hyperlink r:id="rId44" ref="G339"/>
    <hyperlink r:id="rId45" ref="G350"/>
    <hyperlink r:id="rId46" ref="G357"/>
    <hyperlink r:id="rId47" ref="G364"/>
    <hyperlink r:id="rId48" ref="G365"/>
    <hyperlink r:id="rId49" ref="G367"/>
    <hyperlink r:id="rId50" ref="G389"/>
    <hyperlink r:id="rId51" ref="G390"/>
    <hyperlink r:id="rId52" ref="G401"/>
    <hyperlink r:id="rId53" ref="G408"/>
    <hyperlink r:id="rId54" ref="G409"/>
    <hyperlink r:id="rId55" ref="G411"/>
    <hyperlink r:id="rId56" ref="G412"/>
    <hyperlink r:id="rId57" ref="G415"/>
    <hyperlink r:id="rId58" ref="G419"/>
    <hyperlink r:id="rId59" ref="G425"/>
    <hyperlink r:id="rId60" ref="G426"/>
    <hyperlink r:id="rId61" ref="G427"/>
    <hyperlink r:id="rId62" ref="G429"/>
    <hyperlink r:id="rId63" ref="G431"/>
    <hyperlink r:id="rId64" ref="G432"/>
    <hyperlink r:id="rId65" ref="G433"/>
    <hyperlink r:id="rId66" ref="G438"/>
    <hyperlink r:id="rId67" ref="G529"/>
    <hyperlink r:id="rId68" ref="G749"/>
    <hyperlink r:id="rId69" ref="G750"/>
  </hyperlinks>
  <printOptions/>
  <pageMargins bottom="0.75" footer="0.0" header="0.0" left="0.7" right="0.7" top="0.75"/>
  <pageSetup orientation="landscape"/>
  <drawing r:id="rId7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3.5"/>
    <col customWidth="1" min="3" max="3" width="27.38"/>
    <col customWidth="1" min="4" max="4" width="25.75"/>
    <col customWidth="1" min="5" max="5" width="30.38"/>
    <col customWidth="1" min="6" max="6" width="18.63"/>
    <col customWidth="1" min="7" max="7" width="16.63"/>
    <col customWidth="1" min="8" max="8" width="19.13"/>
    <col customWidth="1" min="9" max="9" width="18.88"/>
    <col customWidth="1" min="10" max="10" width="30.75"/>
    <col customWidth="1" min="11" max="11" width="22.75"/>
    <col customWidth="1" min="12" max="12" width="26.0"/>
    <col customWidth="1" min="13" max="13" width="26.63"/>
  </cols>
  <sheetData>
    <row r="1">
      <c r="A1" s="202"/>
      <c r="B1" s="202" t="s">
        <v>349</v>
      </c>
      <c r="C1" s="202" t="s">
        <v>350</v>
      </c>
      <c r="D1" s="202" t="s">
        <v>351</v>
      </c>
      <c r="E1" s="202" t="s">
        <v>353</v>
      </c>
      <c r="F1" s="202" t="s">
        <v>354</v>
      </c>
      <c r="G1" s="202" t="s">
        <v>355</v>
      </c>
      <c r="H1" s="202" t="s">
        <v>356</v>
      </c>
      <c r="I1" s="202" t="s">
        <v>357</v>
      </c>
      <c r="J1" s="202" t="s">
        <v>358</v>
      </c>
      <c r="K1" s="202" t="s">
        <v>359</v>
      </c>
      <c r="L1" s="202" t="s">
        <v>360</v>
      </c>
      <c r="M1" s="202" t="s">
        <v>357</v>
      </c>
    </row>
    <row r="2">
      <c r="A2" s="202"/>
      <c r="B2" s="172" t="s">
        <v>361</v>
      </c>
      <c r="C2" s="172" t="s">
        <v>39</v>
      </c>
      <c r="D2" s="172" t="s">
        <v>362</v>
      </c>
      <c r="E2" s="172" t="s">
        <v>363</v>
      </c>
      <c r="F2" s="161"/>
      <c r="G2" s="172" t="s">
        <v>364</v>
      </c>
      <c r="H2" s="172" t="s">
        <v>365</v>
      </c>
      <c r="I2" s="161">
        <f>447478058070</f>
        <v>447478058070</v>
      </c>
    </row>
    <row r="3">
      <c r="A3" s="172" t="s">
        <v>366</v>
      </c>
      <c r="B3" s="172" t="s">
        <v>361</v>
      </c>
      <c r="C3" s="172" t="s">
        <v>39</v>
      </c>
      <c r="D3" s="172" t="s">
        <v>367</v>
      </c>
      <c r="E3" s="172" t="s">
        <v>368</v>
      </c>
      <c r="F3" s="172" t="s">
        <v>369</v>
      </c>
      <c r="G3" s="172" t="s">
        <v>370</v>
      </c>
      <c r="H3" s="172" t="s">
        <v>365</v>
      </c>
      <c r="I3" s="161">
        <f>447988520316</f>
        <v>447988520316</v>
      </c>
    </row>
    <row r="4">
      <c r="A4" s="172" t="s">
        <v>372</v>
      </c>
      <c r="B4" s="172" t="s">
        <v>361</v>
      </c>
      <c r="C4" s="172" t="s">
        <v>39</v>
      </c>
      <c r="D4" s="172" t="s">
        <v>373</v>
      </c>
      <c r="E4" s="172" t="s">
        <v>374</v>
      </c>
      <c r="F4" s="172" t="s">
        <v>375</v>
      </c>
      <c r="G4" s="172" t="s">
        <v>376</v>
      </c>
      <c r="H4" s="172" t="s">
        <v>365</v>
      </c>
      <c r="I4" s="172">
        <v>4.47828704794E11</v>
      </c>
    </row>
    <row r="5">
      <c r="A5" s="172" t="s">
        <v>377</v>
      </c>
      <c r="B5" s="172" t="s">
        <v>361</v>
      </c>
      <c r="C5" s="172" t="s">
        <v>39</v>
      </c>
      <c r="D5" s="172"/>
      <c r="E5" s="172" t="s">
        <v>378</v>
      </c>
      <c r="F5" s="172" t="s">
        <v>379</v>
      </c>
      <c r="G5" s="172" t="s">
        <v>380</v>
      </c>
      <c r="H5" s="172"/>
      <c r="I5" s="172">
        <v>4.47462229237E11</v>
      </c>
    </row>
    <row r="6">
      <c r="A6" s="172" t="s">
        <v>382</v>
      </c>
      <c r="B6" s="172" t="s">
        <v>361</v>
      </c>
      <c r="C6" s="172" t="s">
        <v>39</v>
      </c>
      <c r="D6" s="172" t="s">
        <v>383</v>
      </c>
      <c r="E6" s="172" t="s">
        <v>384</v>
      </c>
      <c r="F6" s="161"/>
      <c r="G6" s="172" t="s">
        <v>385</v>
      </c>
      <c r="H6" s="172" t="s">
        <v>365</v>
      </c>
      <c r="I6" s="172">
        <v>4.47352767339E11</v>
      </c>
    </row>
    <row r="7">
      <c r="A7" s="172" t="s">
        <v>386</v>
      </c>
      <c r="B7" s="172" t="s">
        <v>361</v>
      </c>
      <c r="C7" s="172" t="s">
        <v>39</v>
      </c>
      <c r="D7" s="172" t="s">
        <v>387</v>
      </c>
      <c r="E7" s="172" t="s">
        <v>388</v>
      </c>
      <c r="F7" s="172"/>
      <c r="G7" s="172" t="s">
        <v>389</v>
      </c>
      <c r="H7" s="172"/>
      <c r="I7" s="172">
        <v>4.47480260601E11</v>
      </c>
    </row>
    <row r="8">
      <c r="A8" s="172" t="s">
        <v>390</v>
      </c>
      <c r="B8" s="172" t="s">
        <v>349</v>
      </c>
      <c r="C8" s="172" t="s">
        <v>39</v>
      </c>
      <c r="D8" s="172" t="s">
        <v>392</v>
      </c>
      <c r="E8" s="172" t="s">
        <v>393</v>
      </c>
      <c r="F8" s="172"/>
      <c r="G8" s="172" t="s">
        <v>390</v>
      </c>
      <c r="H8" s="172"/>
      <c r="I8" s="172">
        <v>4.47473963657E11</v>
      </c>
    </row>
    <row r="9">
      <c r="A9" s="205">
        <v>46082.0</v>
      </c>
      <c r="B9" s="172" t="s">
        <v>394</v>
      </c>
      <c r="C9" s="172" t="s">
        <v>39</v>
      </c>
      <c r="D9" s="172" t="s">
        <v>395</v>
      </c>
      <c r="E9" s="172" t="s">
        <v>396</v>
      </c>
      <c r="F9" s="172"/>
      <c r="G9" s="205">
        <v>46082.0</v>
      </c>
      <c r="H9" s="172"/>
      <c r="I9" s="172" t="s">
        <v>397</v>
      </c>
    </row>
    <row r="10">
      <c r="A10" s="172" t="s">
        <v>398</v>
      </c>
      <c r="B10" s="172" t="s">
        <v>361</v>
      </c>
      <c r="C10" s="172" t="s">
        <v>39</v>
      </c>
      <c r="D10" s="172"/>
      <c r="E10" s="172" t="s">
        <v>399</v>
      </c>
      <c r="F10" s="172" t="s">
        <v>400</v>
      </c>
      <c r="G10" s="172" t="s">
        <v>401</v>
      </c>
      <c r="H10" s="172"/>
      <c r="I10" s="172">
        <v>4.47480265249E11</v>
      </c>
    </row>
    <row r="11">
      <c r="A11" s="172" t="s">
        <v>403</v>
      </c>
      <c r="B11" s="172" t="s">
        <v>349</v>
      </c>
      <c r="C11" s="172" t="s">
        <v>39</v>
      </c>
      <c r="D11" s="172" t="s">
        <v>404</v>
      </c>
      <c r="E11" s="172"/>
      <c r="F11" s="161"/>
      <c r="G11" s="172" t="s">
        <v>405</v>
      </c>
      <c r="H11" s="172"/>
      <c r="I11" s="172"/>
    </row>
    <row r="12">
      <c r="A12" s="172" t="s">
        <v>406</v>
      </c>
      <c r="B12" s="172" t="s">
        <v>349</v>
      </c>
      <c r="C12" s="172" t="s">
        <v>39</v>
      </c>
      <c r="D12" s="172"/>
      <c r="E12" s="172"/>
      <c r="F12" s="161"/>
      <c r="G12" s="172"/>
      <c r="H12" s="172"/>
      <c r="I12" s="172"/>
    </row>
    <row r="13">
      <c r="A13" s="172" t="s">
        <v>407</v>
      </c>
      <c r="B13" s="172" t="s">
        <v>394</v>
      </c>
      <c r="C13" s="172" t="s">
        <v>39</v>
      </c>
      <c r="D13" s="172"/>
      <c r="E13" s="172" t="s">
        <v>408</v>
      </c>
      <c r="F13" s="161"/>
      <c r="G13" s="172" t="s">
        <v>407</v>
      </c>
      <c r="H13" s="172" t="s">
        <v>365</v>
      </c>
      <c r="I13" s="172"/>
    </row>
    <row r="14">
      <c r="A14" s="172" t="s">
        <v>410</v>
      </c>
      <c r="B14" s="172" t="s">
        <v>349</v>
      </c>
      <c r="C14" s="172" t="s">
        <v>411</v>
      </c>
      <c r="D14" s="176" t="s">
        <v>412</v>
      </c>
      <c r="E14" s="172" t="s">
        <v>413</v>
      </c>
      <c r="F14" s="161"/>
      <c r="G14" s="172" t="s">
        <v>414</v>
      </c>
      <c r="H14" s="172" t="s">
        <v>365</v>
      </c>
      <c r="I14" s="172" t="s">
        <v>415</v>
      </c>
    </row>
    <row r="15">
      <c r="A15" s="172" t="s">
        <v>416</v>
      </c>
      <c r="B15" s="172" t="s">
        <v>349</v>
      </c>
      <c r="C15" s="172" t="s">
        <v>411</v>
      </c>
      <c r="D15" s="176" t="s">
        <v>417</v>
      </c>
      <c r="E15" s="172" t="s">
        <v>418</v>
      </c>
      <c r="F15" s="161"/>
      <c r="G15" s="172" t="s">
        <v>419</v>
      </c>
      <c r="H15" s="172" t="s">
        <v>365</v>
      </c>
      <c r="I15" s="172" t="s">
        <v>420</v>
      </c>
    </row>
    <row r="16">
      <c r="A16" s="172" t="s">
        <v>421</v>
      </c>
      <c r="B16" s="172" t="s">
        <v>394</v>
      </c>
      <c r="C16" s="172" t="s">
        <v>422</v>
      </c>
      <c r="D16" s="172" t="s">
        <v>423</v>
      </c>
      <c r="E16" s="172" t="s">
        <v>424</v>
      </c>
      <c r="F16" s="161"/>
      <c r="G16" s="172" t="s">
        <v>425</v>
      </c>
      <c r="H16" s="172" t="s">
        <v>426</v>
      </c>
      <c r="I16" s="172" t="s">
        <v>427</v>
      </c>
    </row>
    <row r="17">
      <c r="A17" s="172" t="s">
        <v>428</v>
      </c>
      <c r="B17" s="172" t="s">
        <v>349</v>
      </c>
      <c r="C17" s="172" t="s">
        <v>411</v>
      </c>
      <c r="D17" s="172" t="s">
        <v>429</v>
      </c>
      <c r="E17" s="172" t="s">
        <v>430</v>
      </c>
      <c r="F17" s="161"/>
      <c r="G17" s="172" t="s">
        <v>431</v>
      </c>
      <c r="H17" s="172" t="s">
        <v>365</v>
      </c>
      <c r="I17" s="172">
        <v>4.47848474201E11</v>
      </c>
      <c r="J17" s="181" t="s">
        <v>432</v>
      </c>
    </row>
    <row r="18">
      <c r="A18" s="172" t="s">
        <v>434</v>
      </c>
      <c r="B18" s="172" t="s">
        <v>394</v>
      </c>
      <c r="C18" s="172" t="s">
        <v>411</v>
      </c>
      <c r="D18" s="172" t="s">
        <v>435</v>
      </c>
      <c r="E18" s="172" t="s">
        <v>436</v>
      </c>
      <c r="F18" s="172" t="s">
        <v>437</v>
      </c>
      <c r="G18" s="172" t="s">
        <v>438</v>
      </c>
      <c r="H18" s="172" t="s">
        <v>365</v>
      </c>
      <c r="I18" s="161"/>
    </row>
    <row r="19">
      <c r="A19" s="172" t="s">
        <v>439</v>
      </c>
      <c r="B19" s="172" t="s">
        <v>394</v>
      </c>
      <c r="C19" s="172" t="s">
        <v>441</v>
      </c>
      <c r="D19" s="172" t="s">
        <v>442</v>
      </c>
      <c r="E19" s="172" t="s">
        <v>443</v>
      </c>
      <c r="F19" s="172" t="s">
        <v>444</v>
      </c>
      <c r="G19" s="172" t="s">
        <v>445</v>
      </c>
      <c r="H19" s="161"/>
      <c r="I19" s="161"/>
    </row>
    <row r="20">
      <c r="A20" s="172" t="s">
        <v>446</v>
      </c>
      <c r="B20" s="172" t="s">
        <v>394</v>
      </c>
      <c r="C20" s="172" t="s">
        <v>441</v>
      </c>
      <c r="D20" s="172" t="s">
        <v>447</v>
      </c>
      <c r="E20" s="172" t="s">
        <v>448</v>
      </c>
      <c r="F20" s="172" t="s">
        <v>449</v>
      </c>
      <c r="G20" s="172" t="s">
        <v>450</v>
      </c>
      <c r="H20" s="172" t="s">
        <v>365</v>
      </c>
      <c r="I20" s="172">
        <v>7.737144022E9</v>
      </c>
      <c r="M20" s="173" t="s">
        <v>451</v>
      </c>
    </row>
    <row r="21">
      <c r="A21" s="172" t="s">
        <v>452</v>
      </c>
      <c r="B21" s="172" t="s">
        <v>394</v>
      </c>
      <c r="C21" s="172" t="s">
        <v>453</v>
      </c>
      <c r="D21" s="172" t="s">
        <v>455</v>
      </c>
      <c r="E21" s="172" t="s">
        <v>456</v>
      </c>
      <c r="F21" s="172" t="s">
        <v>457</v>
      </c>
      <c r="G21" s="172" t="s">
        <v>458</v>
      </c>
      <c r="H21" s="172" t="s">
        <v>365</v>
      </c>
      <c r="I21" s="172">
        <v>7.828707785E9</v>
      </c>
    </row>
    <row r="22">
      <c r="A22" s="208" t="s">
        <v>459</v>
      </c>
      <c r="B22" s="172" t="s">
        <v>349</v>
      </c>
      <c r="C22" s="172" t="s">
        <v>441</v>
      </c>
      <c r="D22" s="172" t="s">
        <v>460</v>
      </c>
      <c r="E22" s="172" t="s">
        <v>461</v>
      </c>
      <c r="F22" s="172" t="s">
        <v>462</v>
      </c>
      <c r="G22" s="209" t="s">
        <v>464</v>
      </c>
      <c r="H22" s="172" t="s">
        <v>365</v>
      </c>
      <c r="I22" s="172">
        <v>7.828726424E9</v>
      </c>
    </row>
    <row r="23">
      <c r="A23" s="208" t="s">
        <v>465</v>
      </c>
      <c r="B23" s="172" t="s">
        <v>349</v>
      </c>
      <c r="C23" s="172" t="s">
        <v>441</v>
      </c>
      <c r="D23" s="172" t="s">
        <v>460</v>
      </c>
      <c r="E23" s="172" t="s">
        <v>466</v>
      </c>
      <c r="F23" s="172" t="s">
        <v>467</v>
      </c>
      <c r="G23" s="209" t="s">
        <v>468</v>
      </c>
      <c r="H23" s="172" t="s">
        <v>365</v>
      </c>
      <c r="I23" s="172">
        <v>7.454757687E9</v>
      </c>
    </row>
    <row r="24">
      <c r="A24" s="172" t="s">
        <v>441</v>
      </c>
      <c r="B24" s="172" t="s">
        <v>349</v>
      </c>
      <c r="C24" s="172" t="s">
        <v>441</v>
      </c>
      <c r="D24" s="172" t="s">
        <v>460</v>
      </c>
      <c r="E24" s="172" t="s">
        <v>470</v>
      </c>
      <c r="F24" s="161"/>
      <c r="G24" s="208" t="s">
        <v>471</v>
      </c>
      <c r="H24" s="172" t="s">
        <v>365</v>
      </c>
      <c r="I24" s="172">
        <v>7.454756691E9</v>
      </c>
    </row>
    <row r="25">
      <c r="A25" s="172" t="s">
        <v>472</v>
      </c>
      <c r="B25" s="172" t="s">
        <v>349</v>
      </c>
      <c r="C25" s="172" t="s">
        <v>411</v>
      </c>
      <c r="D25" s="182" t="s">
        <v>473</v>
      </c>
      <c r="E25" s="172" t="s">
        <v>474</v>
      </c>
      <c r="F25" s="172" t="s">
        <v>475</v>
      </c>
      <c r="G25" s="172" t="s">
        <v>476</v>
      </c>
      <c r="H25" s="172" t="s">
        <v>365</v>
      </c>
      <c r="I25" s="172">
        <v>7.348024514E9</v>
      </c>
    </row>
    <row r="26">
      <c r="A26" s="172" t="s">
        <v>477</v>
      </c>
      <c r="B26" s="172" t="s">
        <v>394</v>
      </c>
      <c r="C26" s="172" t="s">
        <v>453</v>
      </c>
      <c r="D26" s="172" t="s">
        <v>478</v>
      </c>
      <c r="E26" s="172" t="s">
        <v>479</v>
      </c>
      <c r="F26" s="172" t="s">
        <v>480</v>
      </c>
      <c r="G26" s="172" t="s">
        <v>481</v>
      </c>
      <c r="H26" s="172" t="s">
        <v>365</v>
      </c>
      <c r="I26" s="172">
        <v>7.348024762E9</v>
      </c>
    </row>
    <row r="27">
      <c r="A27" s="172" t="s">
        <v>482</v>
      </c>
      <c r="B27" s="172" t="s">
        <v>394</v>
      </c>
      <c r="C27" s="172" t="s">
        <v>453</v>
      </c>
      <c r="D27" s="172" t="s">
        <v>483</v>
      </c>
      <c r="E27" s="172" t="s">
        <v>484</v>
      </c>
      <c r="F27" s="172" t="s">
        <v>480</v>
      </c>
      <c r="G27" s="172" t="s">
        <v>485</v>
      </c>
      <c r="H27" s="172" t="s">
        <v>365</v>
      </c>
      <c r="I27" s="172">
        <v>7.470184889E9</v>
      </c>
    </row>
    <row r="28">
      <c r="A28" s="172" t="s">
        <v>486</v>
      </c>
      <c r="B28" s="172" t="s">
        <v>349</v>
      </c>
      <c r="C28" s="172" t="s">
        <v>453</v>
      </c>
      <c r="D28" s="172" t="s">
        <v>487</v>
      </c>
      <c r="E28" s="210" t="s">
        <v>488</v>
      </c>
      <c r="F28" s="172" t="s">
        <v>480</v>
      </c>
      <c r="G28" s="172" t="s">
        <v>489</v>
      </c>
      <c r="H28" s="172" t="s">
        <v>365</v>
      </c>
      <c r="I28" s="172">
        <v>7.480261542E9</v>
      </c>
    </row>
    <row r="29">
      <c r="A29" s="208" t="s">
        <v>490</v>
      </c>
      <c r="B29" s="172" t="s">
        <v>349</v>
      </c>
      <c r="C29" s="172" t="s">
        <v>441</v>
      </c>
      <c r="D29" s="172" t="s">
        <v>460</v>
      </c>
      <c r="E29" s="211" t="s">
        <v>491</v>
      </c>
      <c r="F29" s="172" t="s">
        <v>462</v>
      </c>
      <c r="G29" s="209" t="s">
        <v>493</v>
      </c>
      <c r="H29" s="172" t="s">
        <v>365</v>
      </c>
      <c r="I29" s="172">
        <v>7.348571124E9</v>
      </c>
    </row>
    <row r="30">
      <c r="A30" s="212" t="s">
        <v>494</v>
      </c>
      <c r="B30" s="172" t="s">
        <v>349</v>
      </c>
      <c r="C30" s="172" t="s">
        <v>411</v>
      </c>
      <c r="D30" s="182" t="s">
        <v>495</v>
      </c>
      <c r="E30" s="172" t="s">
        <v>496</v>
      </c>
      <c r="F30" s="172" t="s">
        <v>475</v>
      </c>
      <c r="G30" s="213" t="s">
        <v>497</v>
      </c>
      <c r="H30" s="172" t="s">
        <v>498</v>
      </c>
      <c r="I30" s="172">
        <v>7.446369274E9</v>
      </c>
    </row>
    <row r="31">
      <c r="A31" s="172" t="s">
        <v>500</v>
      </c>
      <c r="B31" s="172" t="s">
        <v>349</v>
      </c>
      <c r="C31" s="172" t="s">
        <v>453</v>
      </c>
      <c r="D31" s="172" t="s">
        <v>501</v>
      </c>
      <c r="E31" s="172" t="s">
        <v>502</v>
      </c>
      <c r="F31" s="172" t="s">
        <v>480</v>
      </c>
      <c r="G31" s="172" t="s">
        <v>503</v>
      </c>
      <c r="H31" s="172" t="s">
        <v>365</v>
      </c>
      <c r="I31" s="172">
        <v>7.462231582E9</v>
      </c>
    </row>
    <row r="32">
      <c r="A32" s="172" t="s">
        <v>504</v>
      </c>
      <c r="B32" s="172" t="s">
        <v>349</v>
      </c>
      <c r="C32" s="172" t="s">
        <v>441</v>
      </c>
      <c r="D32" s="172" t="s">
        <v>505</v>
      </c>
      <c r="E32" s="172" t="s">
        <v>506</v>
      </c>
      <c r="F32" s="172"/>
      <c r="G32" s="172" t="s">
        <v>508</v>
      </c>
      <c r="H32" s="172" t="s">
        <v>365</v>
      </c>
      <c r="I32" s="172">
        <v>7.346086097E9</v>
      </c>
    </row>
    <row r="33">
      <c r="A33" s="172" t="s">
        <v>509</v>
      </c>
      <c r="B33" s="172" t="s">
        <v>349</v>
      </c>
      <c r="C33" s="172" t="s">
        <v>441</v>
      </c>
      <c r="D33" s="172" t="s">
        <v>510</v>
      </c>
      <c r="E33" s="172" t="s">
        <v>511</v>
      </c>
      <c r="F33" s="161"/>
      <c r="G33" s="209" t="s">
        <v>512</v>
      </c>
      <c r="H33" s="172" t="s">
        <v>365</v>
      </c>
      <c r="I33" s="172">
        <v>7.346447334E9</v>
      </c>
    </row>
    <row r="34">
      <c r="A34" s="172" t="s">
        <v>513</v>
      </c>
      <c r="B34" s="172" t="s">
        <v>349</v>
      </c>
      <c r="C34" s="172" t="s">
        <v>441</v>
      </c>
      <c r="D34" s="172" t="s">
        <v>514</v>
      </c>
      <c r="E34" s="172" t="s">
        <v>515</v>
      </c>
      <c r="F34" s="161"/>
      <c r="G34" s="214" t="s">
        <v>516</v>
      </c>
      <c r="H34" s="172" t="s">
        <v>365</v>
      </c>
      <c r="I34" s="172">
        <v>7.342797535E9</v>
      </c>
    </row>
    <row r="35">
      <c r="A35" s="172" t="s">
        <v>517</v>
      </c>
      <c r="B35" s="172" t="s">
        <v>349</v>
      </c>
      <c r="C35" s="172" t="s">
        <v>441</v>
      </c>
      <c r="D35" s="172" t="s">
        <v>518</v>
      </c>
      <c r="E35" s="172" t="s">
        <v>519</v>
      </c>
      <c r="F35" s="161"/>
      <c r="G35" s="172" t="s">
        <v>521</v>
      </c>
      <c r="H35" s="172" t="s">
        <v>365</v>
      </c>
      <c r="I35" s="172">
        <v>7.436736691E9</v>
      </c>
    </row>
    <row r="36">
      <c r="A36" s="172" t="s">
        <v>522</v>
      </c>
      <c r="B36" s="172" t="s">
        <v>394</v>
      </c>
      <c r="C36" s="172" t="s">
        <v>331</v>
      </c>
      <c r="D36" s="172" t="s">
        <v>523</v>
      </c>
      <c r="E36" s="172" t="s">
        <v>524</v>
      </c>
      <c r="F36" s="161"/>
      <c r="G36" s="172" t="s">
        <v>525</v>
      </c>
      <c r="H36" s="172" t="s">
        <v>526</v>
      </c>
      <c r="I36" s="172">
        <v>7.348336083E9</v>
      </c>
    </row>
    <row r="37">
      <c r="A37" s="172" t="s">
        <v>527</v>
      </c>
      <c r="B37" s="172" t="s">
        <v>528</v>
      </c>
      <c r="C37" s="172" t="s">
        <v>331</v>
      </c>
      <c r="D37" s="172" t="s">
        <v>529</v>
      </c>
      <c r="E37" s="172" t="s">
        <v>530</v>
      </c>
      <c r="F37" s="161"/>
      <c r="G37" s="172" t="s">
        <v>531</v>
      </c>
      <c r="H37" s="172" t="s">
        <v>532</v>
      </c>
      <c r="I37" s="172">
        <v>7.882507146E9</v>
      </c>
    </row>
    <row r="38">
      <c r="A38" s="172" t="s">
        <v>534</v>
      </c>
      <c r="B38" s="172" t="s">
        <v>394</v>
      </c>
      <c r="C38" s="172" t="s">
        <v>331</v>
      </c>
      <c r="D38" s="172" t="s">
        <v>535</v>
      </c>
      <c r="E38" s="172" t="s">
        <v>536</v>
      </c>
      <c r="F38" s="161"/>
      <c r="G38" s="172" t="s">
        <v>537</v>
      </c>
      <c r="H38" s="161"/>
      <c r="I38" s="172">
        <v>7.787816539E9</v>
      </c>
    </row>
    <row r="39">
      <c r="A39" s="172" t="s">
        <v>538</v>
      </c>
      <c r="B39" s="172" t="s">
        <v>349</v>
      </c>
      <c r="C39" s="172" t="s">
        <v>331</v>
      </c>
      <c r="D39" s="172" t="s">
        <v>539</v>
      </c>
      <c r="E39" s="172" t="s">
        <v>540</v>
      </c>
      <c r="F39" s="161"/>
      <c r="G39" s="172" t="s">
        <v>541</v>
      </c>
      <c r="H39" s="172" t="s">
        <v>542</v>
      </c>
      <c r="I39" s="172">
        <v>7.346907897E9</v>
      </c>
    </row>
    <row r="40">
      <c r="A40" s="161"/>
      <c r="B40" s="161"/>
      <c r="C40" s="161"/>
      <c r="D40" s="161"/>
      <c r="E40" s="161"/>
      <c r="F40" s="161"/>
      <c r="G40" s="161"/>
      <c r="H40" s="161"/>
      <c r="I40" s="161"/>
    </row>
    <row r="41">
      <c r="A41" s="161"/>
      <c r="B41" s="161"/>
      <c r="C41" s="161"/>
      <c r="D41" s="161"/>
      <c r="E41" s="161"/>
      <c r="F41" s="161"/>
      <c r="G41" s="161"/>
      <c r="H41" s="161"/>
      <c r="I41" s="161"/>
    </row>
    <row r="42">
      <c r="A42" s="161"/>
      <c r="B42" s="161"/>
      <c r="C42" s="161"/>
      <c r="D42" s="161"/>
      <c r="E42" s="161"/>
      <c r="F42" s="161"/>
      <c r="G42" s="161"/>
      <c r="H42" s="161"/>
      <c r="I42" s="161"/>
    </row>
    <row r="43">
      <c r="A43" s="161"/>
      <c r="B43" s="161"/>
      <c r="C43" s="161"/>
      <c r="D43" s="161"/>
      <c r="E43" s="161"/>
      <c r="F43" s="161"/>
      <c r="G43" s="161"/>
      <c r="H43" s="161"/>
      <c r="I43" s="161"/>
    </row>
    <row r="44">
      <c r="A44" s="161"/>
      <c r="B44" s="161"/>
      <c r="C44" s="161"/>
      <c r="D44" s="161"/>
      <c r="E44" s="161"/>
      <c r="F44" s="161"/>
      <c r="G44" s="161"/>
      <c r="H44" s="161"/>
      <c r="I44" s="161"/>
    </row>
    <row r="45">
      <c r="A45" s="161"/>
      <c r="B45" s="161"/>
      <c r="C45" s="161"/>
      <c r="D45" s="161"/>
      <c r="E45" s="161"/>
      <c r="F45" s="161"/>
      <c r="G45" s="161"/>
      <c r="H45" s="161"/>
      <c r="I45" s="161"/>
    </row>
    <row r="46">
      <c r="A46" s="161"/>
      <c r="B46" s="161"/>
      <c r="C46" s="161"/>
      <c r="D46" s="161"/>
      <c r="E46" s="161"/>
      <c r="F46" s="161"/>
      <c r="G46" s="161"/>
      <c r="H46" s="161"/>
      <c r="I46" s="161"/>
    </row>
    <row r="47">
      <c r="A47" s="161"/>
      <c r="B47" s="161"/>
      <c r="C47" s="161"/>
      <c r="D47" s="161"/>
      <c r="E47" s="161"/>
      <c r="F47" s="161"/>
      <c r="G47" s="161"/>
      <c r="H47" s="161"/>
      <c r="I47" s="161"/>
    </row>
    <row r="48">
      <c r="A48" s="161"/>
      <c r="B48" s="161"/>
      <c r="C48" s="161"/>
      <c r="D48" s="161"/>
      <c r="E48" s="161"/>
      <c r="F48" s="161"/>
      <c r="G48" s="161"/>
      <c r="H48" s="161"/>
      <c r="I48" s="161"/>
    </row>
    <row r="49">
      <c r="A49" s="161"/>
      <c r="B49" s="161"/>
      <c r="C49" s="161"/>
      <c r="D49" s="161"/>
      <c r="E49" s="161"/>
      <c r="F49" s="161"/>
      <c r="G49" s="161"/>
      <c r="H49" s="161"/>
      <c r="I49" s="161"/>
    </row>
    <row r="50">
      <c r="A50" s="161"/>
      <c r="B50" s="161"/>
      <c r="C50" s="161"/>
      <c r="D50" s="161"/>
      <c r="E50" s="161"/>
      <c r="F50" s="161"/>
      <c r="G50" s="161"/>
      <c r="H50" s="161"/>
      <c r="I50" s="161"/>
    </row>
    <row r="51">
      <c r="A51" s="161"/>
      <c r="B51" s="161"/>
      <c r="C51" s="161"/>
      <c r="D51" s="161"/>
      <c r="E51" s="161"/>
      <c r="F51" s="161"/>
      <c r="G51" s="161"/>
      <c r="H51" s="161"/>
      <c r="I51" s="161"/>
    </row>
    <row r="52">
      <c r="A52" s="161"/>
      <c r="B52" s="161"/>
      <c r="C52" s="161"/>
      <c r="D52" s="161"/>
      <c r="E52" s="161"/>
      <c r="F52" s="161"/>
      <c r="G52" s="161"/>
      <c r="H52" s="161"/>
      <c r="I52" s="161"/>
    </row>
    <row r="53">
      <c r="A53" s="161"/>
      <c r="B53" s="161"/>
      <c r="C53" s="161"/>
      <c r="D53" s="161"/>
      <c r="E53" s="161"/>
      <c r="F53" s="161"/>
      <c r="G53" s="161"/>
      <c r="H53" s="161"/>
      <c r="I53" s="161"/>
    </row>
    <row r="54">
      <c r="A54" s="161"/>
      <c r="B54" s="161"/>
      <c r="C54" s="161"/>
      <c r="D54" s="161"/>
      <c r="E54" s="161"/>
      <c r="F54" s="161"/>
      <c r="G54" s="161"/>
      <c r="H54" s="161"/>
      <c r="I54" s="161"/>
    </row>
    <row r="55">
      <c r="A55" s="161"/>
      <c r="B55" s="161"/>
      <c r="C55" s="161"/>
      <c r="D55" s="161"/>
      <c r="E55" s="161"/>
      <c r="F55" s="161"/>
      <c r="G55" s="161"/>
      <c r="H55" s="161"/>
      <c r="I55" s="161"/>
    </row>
    <row r="56">
      <c r="A56" s="161"/>
      <c r="B56" s="161"/>
      <c r="C56" s="161"/>
      <c r="D56" s="161"/>
      <c r="E56" s="161"/>
      <c r="F56" s="161"/>
      <c r="G56" s="161"/>
      <c r="H56" s="161"/>
      <c r="I56" s="161"/>
    </row>
    <row r="57">
      <c r="A57" s="161"/>
      <c r="B57" s="161"/>
      <c r="C57" s="161"/>
      <c r="D57" s="161"/>
      <c r="E57" s="161"/>
      <c r="F57" s="161"/>
      <c r="G57" s="161"/>
      <c r="H57" s="161"/>
      <c r="I57" s="161"/>
    </row>
    <row r="58">
      <c r="A58" s="161"/>
      <c r="B58" s="161"/>
      <c r="C58" s="161"/>
      <c r="D58" s="161"/>
      <c r="E58" s="161"/>
      <c r="F58" s="161"/>
      <c r="G58" s="161"/>
      <c r="H58" s="161"/>
      <c r="I58" s="161"/>
    </row>
    <row r="59">
      <c r="A59" s="161"/>
      <c r="B59" s="161"/>
      <c r="C59" s="161"/>
      <c r="D59" s="161"/>
      <c r="E59" s="161"/>
      <c r="F59" s="161"/>
      <c r="G59" s="161"/>
      <c r="H59" s="161"/>
      <c r="I59" s="161"/>
    </row>
    <row r="60">
      <c r="A60" s="161"/>
      <c r="B60" s="161"/>
      <c r="C60" s="161"/>
      <c r="D60" s="161"/>
      <c r="E60" s="161"/>
      <c r="F60" s="161"/>
      <c r="G60" s="161"/>
      <c r="H60" s="161"/>
      <c r="I60" s="161"/>
    </row>
    <row r="61">
      <c r="A61" s="161"/>
      <c r="B61" s="161"/>
      <c r="C61" s="161"/>
      <c r="D61" s="161"/>
      <c r="E61" s="161"/>
      <c r="F61" s="161"/>
      <c r="G61" s="161"/>
      <c r="H61" s="161"/>
      <c r="I61" s="161"/>
    </row>
    <row r="62">
      <c r="A62" s="161"/>
      <c r="B62" s="161"/>
      <c r="C62" s="161"/>
      <c r="D62" s="161"/>
      <c r="E62" s="161"/>
      <c r="F62" s="161"/>
      <c r="G62" s="161"/>
      <c r="H62" s="161"/>
      <c r="I62" s="161"/>
    </row>
    <row r="63">
      <c r="A63" s="161"/>
      <c r="B63" s="161"/>
      <c r="C63" s="161"/>
      <c r="D63" s="161"/>
      <c r="E63" s="161"/>
      <c r="F63" s="161"/>
      <c r="G63" s="161"/>
      <c r="H63" s="161"/>
      <c r="I63" s="161"/>
    </row>
    <row r="64">
      <c r="A64" s="161"/>
      <c r="B64" s="161"/>
      <c r="C64" s="161"/>
      <c r="D64" s="161"/>
      <c r="E64" s="161"/>
      <c r="F64" s="161"/>
      <c r="G64" s="161"/>
      <c r="H64" s="161"/>
      <c r="I64" s="161"/>
    </row>
    <row r="65">
      <c r="A65" s="161"/>
      <c r="B65" s="161"/>
      <c r="C65" s="161"/>
      <c r="D65" s="161"/>
      <c r="E65" s="161"/>
      <c r="F65" s="161"/>
      <c r="G65" s="161"/>
      <c r="H65" s="161"/>
      <c r="I65" s="161"/>
    </row>
    <row r="66">
      <c r="A66" s="161"/>
      <c r="B66" s="161"/>
      <c r="C66" s="161"/>
      <c r="D66" s="161"/>
      <c r="E66" s="161"/>
      <c r="F66" s="161"/>
      <c r="G66" s="161"/>
      <c r="H66" s="161"/>
      <c r="I66" s="161"/>
    </row>
    <row r="67">
      <c r="A67" s="161"/>
      <c r="B67" s="161"/>
      <c r="C67" s="161"/>
      <c r="D67" s="161"/>
      <c r="E67" s="161"/>
      <c r="F67" s="161"/>
      <c r="G67" s="161"/>
      <c r="H67" s="161"/>
      <c r="I67" s="161"/>
    </row>
    <row r="68">
      <c r="A68" s="161"/>
      <c r="B68" s="161"/>
      <c r="C68" s="161"/>
      <c r="D68" s="161"/>
      <c r="E68" s="161"/>
      <c r="F68" s="161"/>
      <c r="G68" s="161"/>
      <c r="H68" s="161"/>
      <c r="I68" s="161"/>
    </row>
    <row r="69">
      <c r="A69" s="161"/>
      <c r="B69" s="161"/>
      <c r="C69" s="161"/>
      <c r="D69" s="161"/>
      <c r="E69" s="161"/>
      <c r="F69" s="161"/>
      <c r="G69" s="161"/>
      <c r="H69" s="161"/>
      <c r="I69" s="161"/>
    </row>
    <row r="70">
      <c r="A70" s="161"/>
      <c r="B70" s="161"/>
      <c r="C70" s="161"/>
      <c r="D70" s="161"/>
      <c r="E70" s="161"/>
      <c r="F70" s="161"/>
      <c r="G70" s="161"/>
      <c r="H70" s="161"/>
      <c r="I70" s="161"/>
    </row>
    <row r="71">
      <c r="A71" s="161"/>
      <c r="B71" s="161"/>
      <c r="C71" s="161"/>
      <c r="D71" s="161"/>
      <c r="E71" s="161"/>
      <c r="F71" s="161"/>
      <c r="G71" s="161"/>
      <c r="H71" s="161"/>
      <c r="I71" s="161"/>
    </row>
    <row r="72">
      <c r="A72" s="161"/>
      <c r="B72" s="161"/>
      <c r="C72" s="161"/>
      <c r="D72" s="161"/>
      <c r="E72" s="161"/>
      <c r="F72" s="161"/>
      <c r="G72" s="161"/>
      <c r="H72" s="161"/>
      <c r="I72" s="161"/>
    </row>
    <row r="73">
      <c r="A73" s="161"/>
      <c r="B73" s="161"/>
      <c r="C73" s="161"/>
      <c r="D73" s="161"/>
      <c r="E73" s="161"/>
      <c r="F73" s="161"/>
      <c r="G73" s="161"/>
      <c r="H73" s="161"/>
      <c r="I73" s="161"/>
    </row>
    <row r="74">
      <c r="A74" s="161"/>
      <c r="B74" s="161"/>
      <c r="C74" s="161"/>
      <c r="D74" s="161"/>
      <c r="E74" s="161"/>
      <c r="F74" s="161"/>
      <c r="G74" s="161"/>
      <c r="H74" s="161"/>
      <c r="I74" s="161"/>
    </row>
    <row r="75">
      <c r="A75" s="161"/>
      <c r="B75" s="161"/>
      <c r="C75" s="161"/>
      <c r="D75" s="161"/>
      <c r="E75" s="161"/>
      <c r="F75" s="161"/>
      <c r="G75" s="161"/>
      <c r="H75" s="161"/>
      <c r="I75" s="161"/>
    </row>
    <row r="76">
      <c r="A76" s="161"/>
      <c r="B76" s="161"/>
      <c r="C76" s="161"/>
      <c r="D76" s="161"/>
      <c r="E76" s="161"/>
      <c r="F76" s="161"/>
      <c r="G76" s="161"/>
      <c r="H76" s="161"/>
      <c r="I76" s="161"/>
    </row>
    <row r="77">
      <c r="A77" s="161"/>
      <c r="B77" s="161"/>
      <c r="C77" s="161"/>
      <c r="D77" s="161"/>
      <c r="E77" s="161"/>
      <c r="F77" s="161"/>
      <c r="G77" s="161"/>
      <c r="H77" s="161"/>
      <c r="I77" s="161"/>
    </row>
    <row r="78">
      <c r="A78" s="161"/>
      <c r="B78" s="161"/>
      <c r="C78" s="161"/>
      <c r="D78" s="161"/>
      <c r="E78" s="161"/>
      <c r="F78" s="161"/>
      <c r="G78" s="161"/>
      <c r="H78" s="161"/>
      <c r="I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</row>
    <row r="84">
      <c r="A84" s="161"/>
      <c r="B84" s="161"/>
      <c r="C84" s="161"/>
      <c r="D84" s="161"/>
      <c r="E84" s="161"/>
      <c r="F84" s="161"/>
      <c r="G84" s="161"/>
      <c r="H84" s="161"/>
      <c r="I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</row>
    <row r="940">
      <c r="A940" s="161"/>
      <c r="B940" s="161"/>
      <c r="C940" s="161"/>
      <c r="D940" s="161"/>
      <c r="E940" s="161"/>
      <c r="F940" s="161"/>
      <c r="G940" s="161"/>
      <c r="H940" s="161"/>
      <c r="I940" s="161"/>
    </row>
    <row r="941">
      <c r="A941" s="161"/>
      <c r="B941" s="161"/>
      <c r="C941" s="161"/>
      <c r="D941" s="161"/>
      <c r="E941" s="161"/>
      <c r="F941" s="161"/>
      <c r="G941" s="161"/>
      <c r="H941" s="161"/>
      <c r="I941" s="161"/>
    </row>
    <row r="942">
      <c r="A942" s="161"/>
      <c r="B942" s="161"/>
      <c r="C942" s="161"/>
      <c r="D942" s="161"/>
      <c r="E942" s="161"/>
      <c r="F942" s="161"/>
      <c r="G942" s="161"/>
      <c r="H942" s="161"/>
      <c r="I942" s="161"/>
    </row>
    <row r="943">
      <c r="A943" s="161"/>
      <c r="B943" s="161"/>
      <c r="C943" s="161"/>
      <c r="D943" s="161"/>
      <c r="E943" s="161"/>
      <c r="F943" s="161"/>
      <c r="G943" s="161"/>
      <c r="H943" s="161"/>
      <c r="I943" s="161"/>
    </row>
    <row r="944">
      <c r="A944" s="161"/>
      <c r="B944" s="161"/>
      <c r="C944" s="161"/>
      <c r="D944" s="161"/>
      <c r="E944" s="161"/>
      <c r="F944" s="161"/>
      <c r="G944" s="161"/>
      <c r="H944" s="161"/>
      <c r="I944" s="161"/>
    </row>
    <row r="945">
      <c r="A945" s="161"/>
      <c r="B945" s="161"/>
      <c r="C945" s="161"/>
      <c r="D945" s="161"/>
      <c r="E945" s="161"/>
      <c r="F945" s="161"/>
      <c r="G945" s="161"/>
      <c r="H945" s="161"/>
      <c r="I945" s="161"/>
    </row>
    <row r="946">
      <c r="A946" s="161"/>
      <c r="B946" s="161"/>
      <c r="C946" s="161"/>
      <c r="D946" s="161"/>
      <c r="E946" s="161"/>
      <c r="F946" s="161"/>
      <c r="G946" s="161"/>
      <c r="H946" s="161"/>
      <c r="I946" s="161"/>
    </row>
    <row r="947">
      <c r="A947" s="161"/>
      <c r="B947" s="161"/>
      <c r="C947" s="161"/>
      <c r="D947" s="161"/>
      <c r="E947" s="161"/>
      <c r="F947" s="161"/>
      <c r="G947" s="161"/>
      <c r="H947" s="161"/>
      <c r="I947" s="161"/>
    </row>
    <row r="948">
      <c r="A948" s="161"/>
      <c r="B948" s="161"/>
      <c r="C948" s="161"/>
      <c r="D948" s="161"/>
      <c r="E948" s="161"/>
      <c r="F948" s="161"/>
      <c r="G948" s="161"/>
      <c r="H948" s="161"/>
      <c r="I948" s="161"/>
    </row>
    <row r="949">
      <c r="A949" s="161"/>
      <c r="B949" s="161"/>
      <c r="C949" s="161"/>
      <c r="D949" s="161"/>
      <c r="E949" s="161"/>
      <c r="F949" s="161"/>
      <c r="G949" s="161"/>
      <c r="H949" s="161"/>
      <c r="I949" s="161"/>
    </row>
    <row r="950">
      <c r="A950" s="161"/>
      <c r="B950" s="161"/>
      <c r="C950" s="161"/>
      <c r="D950" s="161"/>
      <c r="E950" s="161"/>
      <c r="F950" s="161"/>
      <c r="G950" s="161"/>
      <c r="H950" s="161"/>
      <c r="I950" s="161"/>
    </row>
    <row r="951">
      <c r="A951" s="161"/>
      <c r="B951" s="161"/>
      <c r="C951" s="161"/>
      <c r="D951" s="161"/>
      <c r="E951" s="161"/>
      <c r="F951" s="161"/>
      <c r="G951" s="161"/>
      <c r="H951" s="161"/>
      <c r="I951" s="161"/>
    </row>
    <row r="952">
      <c r="A952" s="161"/>
      <c r="B952" s="161"/>
      <c r="C952" s="161"/>
      <c r="D952" s="161"/>
      <c r="E952" s="161"/>
      <c r="F952" s="161"/>
      <c r="G952" s="161"/>
      <c r="H952" s="161"/>
      <c r="I952" s="161"/>
    </row>
    <row r="953">
      <c r="A953" s="161"/>
      <c r="B953" s="161"/>
      <c r="C953" s="161"/>
      <c r="D953" s="161"/>
      <c r="E953" s="161"/>
      <c r="F953" s="161"/>
      <c r="G953" s="161"/>
      <c r="H953" s="161"/>
      <c r="I953" s="161"/>
    </row>
    <row r="954">
      <c r="A954" s="161"/>
      <c r="B954" s="161"/>
      <c r="C954" s="161"/>
      <c r="D954" s="161"/>
      <c r="E954" s="161"/>
      <c r="F954" s="161"/>
      <c r="G954" s="161"/>
      <c r="H954" s="161"/>
      <c r="I954" s="161"/>
    </row>
    <row r="955">
      <c r="A955" s="161"/>
      <c r="B955" s="161"/>
      <c r="C955" s="161"/>
      <c r="D955" s="161"/>
      <c r="E955" s="161"/>
      <c r="F955" s="161"/>
      <c r="G955" s="161"/>
      <c r="H955" s="161"/>
      <c r="I955" s="161"/>
    </row>
    <row r="956">
      <c r="A956" s="161"/>
      <c r="B956" s="161"/>
      <c r="C956" s="161"/>
      <c r="D956" s="161"/>
      <c r="E956" s="161"/>
      <c r="F956" s="161"/>
      <c r="G956" s="161"/>
      <c r="H956" s="161"/>
      <c r="I956" s="161"/>
    </row>
    <row r="957">
      <c r="A957" s="161"/>
      <c r="B957" s="161"/>
      <c r="C957" s="161"/>
      <c r="D957" s="161"/>
      <c r="E957" s="161"/>
      <c r="F957" s="161"/>
      <c r="G957" s="161"/>
      <c r="H957" s="161"/>
      <c r="I957" s="161"/>
    </row>
    <row r="958">
      <c r="A958" s="161"/>
      <c r="B958" s="161"/>
      <c r="C958" s="161"/>
      <c r="D958" s="161"/>
      <c r="E958" s="161"/>
      <c r="F958" s="161"/>
      <c r="G958" s="161"/>
      <c r="H958" s="161"/>
      <c r="I958" s="161"/>
    </row>
    <row r="959">
      <c r="A959" s="161"/>
      <c r="B959" s="161"/>
      <c r="C959" s="161"/>
      <c r="D959" s="161"/>
      <c r="E959" s="161"/>
      <c r="F959" s="161"/>
      <c r="G959" s="161"/>
      <c r="H959" s="161"/>
      <c r="I959" s="161"/>
    </row>
    <row r="960">
      <c r="A960" s="161"/>
      <c r="B960" s="161"/>
      <c r="C960" s="161"/>
      <c r="D960" s="161"/>
      <c r="E960" s="161"/>
      <c r="F960" s="161"/>
      <c r="G960" s="161"/>
      <c r="H960" s="161"/>
      <c r="I960" s="161"/>
    </row>
    <row r="961">
      <c r="A961" s="161"/>
      <c r="B961" s="161"/>
      <c r="C961" s="161"/>
      <c r="D961" s="161"/>
      <c r="E961" s="161"/>
      <c r="F961" s="161"/>
      <c r="G961" s="161"/>
      <c r="H961" s="161"/>
      <c r="I961" s="161"/>
    </row>
    <row r="962">
      <c r="A962" s="161"/>
      <c r="B962" s="161"/>
      <c r="C962" s="161"/>
      <c r="D962" s="161"/>
      <c r="E962" s="161"/>
      <c r="F962" s="161"/>
      <c r="G962" s="161"/>
      <c r="H962" s="161"/>
      <c r="I962" s="161"/>
    </row>
    <row r="963">
      <c r="A963" s="161"/>
      <c r="B963" s="161"/>
      <c r="C963" s="161"/>
      <c r="D963" s="161"/>
      <c r="E963" s="161"/>
      <c r="F963" s="161"/>
      <c r="G963" s="161"/>
      <c r="H963" s="161"/>
      <c r="I963" s="161"/>
    </row>
    <row r="964">
      <c r="A964" s="161"/>
      <c r="B964" s="161"/>
      <c r="C964" s="161"/>
      <c r="D964" s="161"/>
      <c r="E964" s="161"/>
      <c r="F964" s="161"/>
      <c r="G964" s="161"/>
      <c r="H964" s="161"/>
      <c r="I964" s="161"/>
    </row>
    <row r="965">
      <c r="A965" s="161"/>
      <c r="B965" s="161"/>
      <c r="C965" s="161"/>
      <c r="D965" s="161"/>
      <c r="E965" s="161"/>
      <c r="F965" s="161"/>
      <c r="G965" s="161"/>
      <c r="H965" s="161"/>
      <c r="I965" s="161"/>
    </row>
    <row r="966">
      <c r="A966" s="161"/>
      <c r="B966" s="161"/>
      <c r="C966" s="161"/>
      <c r="D966" s="161"/>
      <c r="E966" s="161"/>
      <c r="F966" s="161"/>
      <c r="G966" s="161"/>
      <c r="H966" s="161"/>
      <c r="I966" s="161"/>
    </row>
    <row r="967">
      <c r="A967" s="161"/>
      <c r="B967" s="161"/>
      <c r="C967" s="161"/>
      <c r="D967" s="161"/>
      <c r="E967" s="161"/>
      <c r="F967" s="161"/>
      <c r="G967" s="161"/>
      <c r="H967" s="161"/>
      <c r="I967" s="161"/>
    </row>
    <row r="968">
      <c r="A968" s="161"/>
      <c r="B968" s="161"/>
      <c r="C968" s="161"/>
      <c r="D968" s="161"/>
      <c r="E968" s="161"/>
      <c r="F968" s="161"/>
      <c r="G968" s="161"/>
      <c r="H968" s="161"/>
      <c r="I968" s="161"/>
    </row>
    <row r="969">
      <c r="A969" s="161"/>
      <c r="B969" s="161"/>
      <c r="C969" s="161"/>
      <c r="D969" s="161"/>
      <c r="E969" s="161"/>
      <c r="F969" s="161"/>
      <c r="G969" s="161"/>
      <c r="H969" s="161"/>
      <c r="I969" s="161"/>
    </row>
    <row r="970">
      <c r="A970" s="161"/>
      <c r="B970" s="161"/>
      <c r="C970" s="161"/>
      <c r="D970" s="161"/>
      <c r="E970" s="161"/>
      <c r="F970" s="161"/>
      <c r="G970" s="161"/>
      <c r="H970" s="161"/>
      <c r="I970" s="161"/>
    </row>
    <row r="971">
      <c r="A971" s="161"/>
      <c r="B971" s="161"/>
      <c r="C971" s="161"/>
      <c r="D971" s="161"/>
      <c r="E971" s="161"/>
      <c r="F971" s="161"/>
      <c r="G971" s="161"/>
      <c r="H971" s="161"/>
      <c r="I971" s="161"/>
    </row>
    <row r="972">
      <c r="A972" s="161"/>
      <c r="B972" s="161"/>
      <c r="C972" s="161"/>
      <c r="D972" s="161"/>
      <c r="E972" s="161"/>
      <c r="F972" s="161"/>
      <c r="G972" s="161"/>
      <c r="H972" s="161"/>
      <c r="I972" s="161"/>
    </row>
    <row r="973">
      <c r="A973" s="161"/>
      <c r="B973" s="161"/>
      <c r="C973" s="161"/>
      <c r="D973" s="161"/>
      <c r="E973" s="161"/>
      <c r="F973" s="161"/>
      <c r="G973" s="161"/>
      <c r="H973" s="161"/>
      <c r="I973" s="161"/>
    </row>
    <row r="974">
      <c r="A974" s="161"/>
      <c r="B974" s="161"/>
      <c r="C974" s="161"/>
      <c r="D974" s="161"/>
      <c r="E974" s="161"/>
      <c r="F974" s="161"/>
      <c r="G974" s="161"/>
      <c r="H974" s="161"/>
      <c r="I974" s="161"/>
    </row>
    <row r="975">
      <c r="A975" s="161"/>
      <c r="B975" s="161"/>
      <c r="C975" s="161"/>
      <c r="D975" s="161"/>
      <c r="E975" s="161"/>
      <c r="F975" s="161"/>
      <c r="G975" s="161"/>
      <c r="H975" s="161"/>
      <c r="I975" s="161"/>
    </row>
    <row r="976">
      <c r="A976" s="161"/>
      <c r="B976" s="161"/>
      <c r="C976" s="161"/>
      <c r="D976" s="161"/>
      <c r="E976" s="161"/>
      <c r="F976" s="161"/>
      <c r="G976" s="161"/>
      <c r="H976" s="161"/>
      <c r="I976" s="161"/>
    </row>
    <row r="977">
      <c r="A977" s="161"/>
      <c r="B977" s="161"/>
      <c r="C977" s="161"/>
      <c r="D977" s="161"/>
      <c r="E977" s="161"/>
      <c r="F977" s="161"/>
      <c r="G977" s="161"/>
      <c r="H977" s="161"/>
      <c r="I977" s="161"/>
    </row>
    <row r="978">
      <c r="A978" s="161"/>
      <c r="B978" s="161"/>
      <c r="C978" s="161"/>
      <c r="D978" s="161"/>
      <c r="E978" s="161"/>
      <c r="F978" s="161"/>
      <c r="G978" s="161"/>
      <c r="H978" s="161"/>
      <c r="I978" s="161"/>
    </row>
    <row r="979">
      <c r="A979" s="161"/>
      <c r="B979" s="161"/>
      <c r="C979" s="161"/>
      <c r="D979" s="161"/>
      <c r="E979" s="161"/>
      <c r="F979" s="161"/>
      <c r="G979" s="161"/>
      <c r="H979" s="161"/>
      <c r="I979" s="161"/>
    </row>
    <row r="980">
      <c r="A980" s="161"/>
      <c r="B980" s="161"/>
      <c r="C980" s="161"/>
      <c r="D980" s="161"/>
      <c r="E980" s="161"/>
      <c r="F980" s="161"/>
      <c r="G980" s="161"/>
      <c r="H980" s="161"/>
      <c r="I980" s="161"/>
    </row>
    <row r="981">
      <c r="A981" s="161"/>
      <c r="B981" s="161"/>
      <c r="C981" s="161"/>
      <c r="D981" s="161"/>
      <c r="E981" s="161"/>
      <c r="F981" s="161"/>
      <c r="G981" s="161"/>
      <c r="H981" s="161"/>
      <c r="I981" s="161"/>
    </row>
    <row r="982">
      <c r="A982" s="161"/>
      <c r="B982" s="161"/>
      <c r="C982" s="161"/>
      <c r="D982" s="161"/>
      <c r="E982" s="161"/>
      <c r="F982" s="161"/>
      <c r="G982" s="161"/>
      <c r="H982" s="161"/>
      <c r="I982" s="161"/>
    </row>
    <row r="983">
      <c r="A983" s="161"/>
      <c r="B983" s="161"/>
      <c r="C983" s="161"/>
      <c r="D983" s="161"/>
      <c r="E983" s="161"/>
      <c r="F983" s="161"/>
      <c r="G983" s="161"/>
      <c r="H983" s="161"/>
      <c r="I983" s="161"/>
    </row>
    <row r="984">
      <c r="A984" s="161"/>
      <c r="B984" s="161"/>
      <c r="C984" s="161"/>
      <c r="D984" s="161"/>
      <c r="E984" s="161"/>
      <c r="F984" s="161"/>
      <c r="G984" s="161"/>
      <c r="H984" s="161"/>
      <c r="I984" s="161"/>
    </row>
    <row r="985">
      <c r="A985" s="161"/>
      <c r="B985" s="161"/>
      <c r="C985" s="161"/>
      <c r="D985" s="161"/>
      <c r="E985" s="161"/>
      <c r="F985" s="161"/>
      <c r="G985" s="161"/>
      <c r="H985" s="161"/>
      <c r="I985" s="161"/>
    </row>
    <row r="986">
      <c r="A986" s="161"/>
      <c r="B986" s="161"/>
      <c r="C986" s="161"/>
      <c r="D986" s="161"/>
      <c r="E986" s="161"/>
      <c r="F986" s="161"/>
      <c r="G986" s="161"/>
      <c r="H986" s="161"/>
      <c r="I986" s="161"/>
    </row>
    <row r="987">
      <c r="A987" s="161"/>
      <c r="B987" s="161"/>
      <c r="C987" s="161"/>
      <c r="D987" s="161"/>
      <c r="E987" s="161"/>
      <c r="F987" s="161"/>
      <c r="G987" s="161"/>
      <c r="H987" s="161"/>
      <c r="I987" s="161"/>
    </row>
    <row r="988">
      <c r="A988" s="161"/>
      <c r="B988" s="161"/>
      <c r="C988" s="161"/>
      <c r="D988" s="161"/>
      <c r="E988" s="161"/>
      <c r="F988" s="161"/>
      <c r="G988" s="161"/>
      <c r="H988" s="161"/>
      <c r="I988" s="161"/>
    </row>
    <row r="989">
      <c r="A989" s="161"/>
      <c r="B989" s="161"/>
      <c r="C989" s="161"/>
      <c r="D989" s="161"/>
      <c r="E989" s="161"/>
      <c r="F989" s="161"/>
      <c r="G989" s="161"/>
      <c r="H989" s="161"/>
      <c r="I989" s="161"/>
    </row>
    <row r="990">
      <c r="A990" s="161"/>
      <c r="B990" s="161"/>
      <c r="C990" s="161"/>
      <c r="D990" s="161"/>
      <c r="E990" s="161"/>
      <c r="F990" s="161"/>
      <c r="G990" s="161"/>
      <c r="H990" s="161"/>
      <c r="I990" s="161"/>
    </row>
    <row r="991">
      <c r="A991" s="161"/>
      <c r="B991" s="161"/>
      <c r="C991" s="161"/>
      <c r="D991" s="161"/>
      <c r="E991" s="161"/>
      <c r="F991" s="161"/>
      <c r="G991" s="161"/>
      <c r="H991" s="161"/>
      <c r="I991" s="161"/>
    </row>
    <row r="992">
      <c r="A992" s="161"/>
      <c r="B992" s="161"/>
      <c r="C992" s="161"/>
      <c r="D992" s="161"/>
      <c r="E992" s="161"/>
      <c r="F992" s="161"/>
      <c r="G992" s="161"/>
      <c r="H992" s="161"/>
      <c r="I992" s="161"/>
    </row>
    <row r="993">
      <c r="A993" s="161"/>
      <c r="B993" s="161"/>
      <c r="C993" s="161"/>
      <c r="D993" s="161"/>
      <c r="E993" s="161"/>
      <c r="F993" s="161"/>
      <c r="G993" s="161"/>
      <c r="H993" s="161"/>
      <c r="I993" s="161"/>
    </row>
    <row r="994">
      <c r="A994" s="161"/>
      <c r="B994" s="161"/>
      <c r="C994" s="161"/>
      <c r="D994" s="161"/>
      <c r="E994" s="161"/>
      <c r="F994" s="161"/>
      <c r="G994" s="161"/>
      <c r="H994" s="161"/>
      <c r="I994" s="161"/>
    </row>
    <row r="995">
      <c r="A995" s="161"/>
      <c r="B995" s="161"/>
      <c r="C995" s="161"/>
      <c r="D995" s="161"/>
      <c r="E995" s="161"/>
      <c r="F995" s="161"/>
      <c r="G995" s="161"/>
      <c r="H995" s="161"/>
      <c r="I995" s="161"/>
    </row>
    <row r="996">
      <c r="A996" s="161"/>
      <c r="B996" s="161"/>
      <c r="C996" s="161"/>
      <c r="D996" s="161"/>
      <c r="E996" s="161"/>
      <c r="F996" s="161"/>
      <c r="G996" s="161"/>
      <c r="H996" s="161"/>
      <c r="I996" s="161"/>
    </row>
    <row r="997">
      <c r="A997" s="161"/>
      <c r="B997" s="161"/>
      <c r="C997" s="161"/>
      <c r="D997" s="161"/>
      <c r="E997" s="161"/>
      <c r="F997" s="161"/>
      <c r="G997" s="161"/>
      <c r="H997" s="161"/>
      <c r="I997" s="161"/>
    </row>
    <row r="998">
      <c r="A998" s="161"/>
      <c r="B998" s="161"/>
      <c r="C998" s="161"/>
      <c r="D998" s="161"/>
      <c r="E998" s="161"/>
      <c r="F998" s="161"/>
      <c r="G998" s="161"/>
      <c r="H998" s="161"/>
      <c r="I998" s="161"/>
    </row>
    <row r="999">
      <c r="A999" s="161"/>
      <c r="B999" s="161"/>
      <c r="C999" s="161"/>
      <c r="D999" s="161"/>
      <c r="E999" s="161"/>
      <c r="F999" s="161"/>
      <c r="G999" s="161"/>
      <c r="H999" s="161"/>
      <c r="I999" s="161"/>
    </row>
    <row r="1000">
      <c r="A1000" s="161"/>
      <c r="B1000" s="161"/>
      <c r="C1000" s="161"/>
      <c r="D1000" s="161"/>
      <c r="E1000" s="161"/>
      <c r="F1000" s="161"/>
      <c r="G1000" s="161"/>
      <c r="H1000" s="161"/>
      <c r="I1000" s="161"/>
    </row>
    <row r="1001">
      <c r="A1001" s="161"/>
      <c r="B1001" s="161"/>
      <c r="C1001" s="161"/>
      <c r="D1001" s="161"/>
      <c r="E1001" s="161"/>
      <c r="F1001" s="161"/>
      <c r="G1001" s="161"/>
      <c r="H1001" s="161"/>
      <c r="I1001" s="161"/>
    </row>
    <row r="1002">
      <c r="A1002" s="161"/>
      <c r="B1002" s="161"/>
      <c r="C1002" s="161"/>
      <c r="D1002" s="161"/>
      <c r="E1002" s="161"/>
      <c r="F1002" s="161"/>
      <c r="G1002" s="161"/>
      <c r="H1002" s="161"/>
      <c r="I1002" s="161"/>
    </row>
    <row r="1003">
      <c r="A1003" s="161"/>
      <c r="B1003" s="161"/>
      <c r="C1003" s="161"/>
      <c r="D1003" s="161"/>
      <c r="E1003" s="161"/>
      <c r="F1003" s="161"/>
      <c r="G1003" s="161"/>
      <c r="H1003" s="161"/>
      <c r="I1003" s="161"/>
    </row>
    <row r="1004">
      <c r="A1004" s="161"/>
      <c r="B1004" s="161"/>
      <c r="C1004" s="161"/>
      <c r="D1004" s="161"/>
      <c r="E1004" s="161"/>
      <c r="F1004" s="161"/>
      <c r="G1004" s="161"/>
      <c r="H1004" s="161"/>
      <c r="I1004" s="161"/>
    </row>
    <row r="1005">
      <c r="A1005" s="161"/>
      <c r="B1005" s="161"/>
      <c r="C1005" s="161"/>
      <c r="D1005" s="161"/>
      <c r="E1005" s="161"/>
      <c r="F1005" s="161"/>
      <c r="G1005" s="161"/>
      <c r="H1005" s="161"/>
      <c r="I1005" s="161"/>
    </row>
    <row r="1006">
      <c r="A1006" s="161"/>
      <c r="B1006" s="161"/>
      <c r="C1006" s="161"/>
      <c r="D1006" s="161"/>
      <c r="E1006" s="161"/>
      <c r="F1006" s="161"/>
      <c r="G1006" s="161"/>
      <c r="H1006" s="161"/>
      <c r="I1006" s="161"/>
    </row>
    <row r="1007">
      <c r="A1007" s="161"/>
      <c r="B1007" s="161"/>
      <c r="C1007" s="161"/>
      <c r="D1007" s="161"/>
      <c r="E1007" s="161"/>
      <c r="F1007" s="161"/>
      <c r="G1007" s="161"/>
      <c r="H1007" s="161"/>
      <c r="I1007" s="161"/>
    </row>
    <row r="1008">
      <c r="A1008" s="161"/>
      <c r="B1008" s="161"/>
      <c r="C1008" s="161"/>
      <c r="D1008" s="161"/>
      <c r="E1008" s="161"/>
      <c r="F1008" s="161"/>
      <c r="G1008" s="161"/>
      <c r="H1008" s="161"/>
      <c r="I1008" s="161"/>
    </row>
  </sheetData>
  <dataValidations>
    <dataValidation type="list" allowBlank="1" showErrorMessage="1" sqref="C2:C1008">
      <formula1>"Ammar,Faizan shah,Umar,Abdullah Khan,Abdullah Malik,Aali"</formula1>
    </dataValidation>
    <dataValidation type="list" allowBlank="1" showErrorMessage="1" sqref="B1:B1008">
      <formula1>"Active,Blocked,Restricted,Rest"</formula1>
    </dataValidation>
  </dataValidations>
  <hyperlinks>
    <hyperlink r:id="rId1" ref="J1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9.75"/>
    <col customWidth="1" min="3" max="3" width="28.5"/>
    <col customWidth="1" min="4" max="4" width="23.25"/>
    <col customWidth="1" min="5" max="5" width="40.88"/>
  </cols>
  <sheetData>
    <row r="1">
      <c r="A1" s="172" t="s">
        <v>719</v>
      </c>
      <c r="B1" s="173" t="s">
        <v>721</v>
      </c>
      <c r="C1" s="173" t="s">
        <v>359</v>
      </c>
      <c r="D1" s="173" t="s">
        <v>360</v>
      </c>
      <c r="E1" s="239" t="s">
        <v>722</v>
      </c>
    </row>
    <row r="2">
      <c r="A2" s="172" t="s">
        <v>724</v>
      </c>
      <c r="B2" s="173" t="s">
        <v>725</v>
      </c>
      <c r="C2" s="173" t="s">
        <v>726</v>
      </c>
      <c r="D2" s="173" t="s">
        <v>727</v>
      </c>
      <c r="E2" s="240"/>
    </row>
    <row r="3">
      <c r="A3" s="172" t="s">
        <v>410</v>
      </c>
      <c r="B3" s="173" t="s">
        <v>729</v>
      </c>
      <c r="C3" s="173" t="s">
        <v>730</v>
      </c>
      <c r="D3" s="173" t="s">
        <v>727</v>
      </c>
      <c r="E3" s="240"/>
    </row>
    <row r="4">
      <c r="A4" s="172" t="s">
        <v>366</v>
      </c>
      <c r="B4" s="173" t="s">
        <v>731</v>
      </c>
      <c r="C4" s="173" t="s">
        <v>732</v>
      </c>
      <c r="D4" s="173" t="s">
        <v>727</v>
      </c>
      <c r="E4" s="240"/>
    </row>
    <row r="5">
      <c r="A5" s="172" t="s">
        <v>428</v>
      </c>
      <c r="B5" s="173" t="s">
        <v>734</v>
      </c>
      <c r="C5" s="173" t="s">
        <v>735</v>
      </c>
      <c r="D5" s="173" t="s">
        <v>727</v>
      </c>
      <c r="E5" s="240"/>
    </row>
    <row r="6">
      <c r="A6" s="172" t="s">
        <v>416</v>
      </c>
      <c r="B6" s="173" t="s">
        <v>736</v>
      </c>
      <c r="C6" s="173" t="s">
        <v>737</v>
      </c>
      <c r="D6" s="173" t="s">
        <v>738</v>
      </c>
      <c r="E6" s="241" t="s">
        <v>739</v>
      </c>
    </row>
    <row r="7">
      <c r="A7" s="172" t="s">
        <v>421</v>
      </c>
      <c r="B7" s="173" t="s">
        <v>736</v>
      </c>
      <c r="C7" s="173" t="s">
        <v>737</v>
      </c>
      <c r="D7" s="173" t="s">
        <v>740</v>
      </c>
      <c r="E7" s="241" t="s">
        <v>739</v>
      </c>
    </row>
    <row r="8">
      <c r="A8" s="172" t="s">
        <v>372</v>
      </c>
      <c r="B8" s="173" t="s">
        <v>741</v>
      </c>
      <c r="C8" s="173" t="s">
        <v>742</v>
      </c>
      <c r="D8" s="173" t="s">
        <v>743</v>
      </c>
      <c r="E8" s="241" t="s">
        <v>739</v>
      </c>
    </row>
    <row r="9">
      <c r="A9" s="172" t="s">
        <v>744</v>
      </c>
      <c r="B9" s="173" t="s">
        <v>741</v>
      </c>
      <c r="C9" s="173" t="s">
        <v>742</v>
      </c>
      <c r="D9" s="173" t="s">
        <v>745</v>
      </c>
      <c r="E9" s="241" t="s">
        <v>739</v>
      </c>
    </row>
    <row r="10">
      <c r="A10" s="172" t="s">
        <v>452</v>
      </c>
      <c r="B10" s="173" t="s">
        <v>746</v>
      </c>
      <c r="C10" s="173" t="s">
        <v>747</v>
      </c>
      <c r="D10" s="173" t="s">
        <v>727</v>
      </c>
      <c r="E10" s="241" t="s">
        <v>739</v>
      </c>
      <c r="G10" s="172"/>
    </row>
    <row r="11">
      <c r="A11" s="172" t="s">
        <v>446</v>
      </c>
      <c r="B11" s="173" t="s">
        <v>748</v>
      </c>
      <c r="C11" s="173" t="s">
        <v>749</v>
      </c>
      <c r="D11" s="173" t="s">
        <v>750</v>
      </c>
      <c r="E11" s="241" t="s">
        <v>739</v>
      </c>
    </row>
    <row r="12">
      <c r="A12" s="172" t="s">
        <v>459</v>
      </c>
      <c r="B12" s="173" t="s">
        <v>752</v>
      </c>
      <c r="C12" s="173" t="s">
        <v>753</v>
      </c>
      <c r="D12" s="173" t="s">
        <v>754</v>
      </c>
      <c r="E12" s="241" t="s">
        <v>739</v>
      </c>
    </row>
    <row r="13">
      <c r="A13" s="172" t="s">
        <v>465</v>
      </c>
      <c r="B13" s="173" t="s">
        <v>752</v>
      </c>
      <c r="C13" s="173" t="s">
        <v>755</v>
      </c>
      <c r="D13" s="173" t="s">
        <v>756</v>
      </c>
      <c r="E13" s="241" t="s">
        <v>739</v>
      </c>
    </row>
    <row r="14">
      <c r="A14" s="172" t="s">
        <v>441</v>
      </c>
      <c r="B14" s="173" t="s">
        <v>748</v>
      </c>
      <c r="C14" s="173" t="s">
        <v>749</v>
      </c>
      <c r="D14" s="173" t="s">
        <v>758</v>
      </c>
      <c r="E14" s="241" t="s">
        <v>739</v>
      </c>
    </row>
    <row r="15">
      <c r="A15" s="172" t="s">
        <v>472</v>
      </c>
      <c r="B15" s="173" t="s">
        <v>759</v>
      </c>
      <c r="C15" s="173" t="s">
        <v>760</v>
      </c>
      <c r="E15" s="240"/>
      <c r="G15" s="172"/>
    </row>
    <row r="16">
      <c r="A16" s="172" t="s">
        <v>490</v>
      </c>
      <c r="B16" s="173" t="s">
        <v>759</v>
      </c>
      <c r="C16" s="173" t="s">
        <v>760</v>
      </c>
      <c r="E16" s="240"/>
      <c r="G16" s="172"/>
    </row>
    <row r="17">
      <c r="A17" s="172" t="s">
        <v>382</v>
      </c>
      <c r="B17" s="173" t="s">
        <v>762</v>
      </c>
      <c r="C17" s="173" t="s">
        <v>763</v>
      </c>
      <c r="D17" s="173" t="s">
        <v>764</v>
      </c>
      <c r="E17" s="240"/>
      <c r="G17" s="172"/>
    </row>
    <row r="18">
      <c r="A18" s="172" t="s">
        <v>377</v>
      </c>
      <c r="B18" s="173" t="s">
        <v>762</v>
      </c>
      <c r="C18" s="173" t="s">
        <v>763</v>
      </c>
      <c r="D18" s="173" t="s">
        <v>765</v>
      </c>
      <c r="E18" s="240"/>
    </row>
    <row r="19">
      <c r="A19" s="172" t="s">
        <v>486</v>
      </c>
      <c r="B19" s="173" t="s">
        <v>767</v>
      </c>
      <c r="C19" s="173" t="s">
        <v>768</v>
      </c>
      <c r="E19" s="240"/>
    </row>
    <row r="20">
      <c r="A20" s="172" t="s">
        <v>500</v>
      </c>
      <c r="B20" s="173" t="s">
        <v>767</v>
      </c>
      <c r="C20" s="173" t="s">
        <v>768</v>
      </c>
      <c r="E20" s="240"/>
    </row>
    <row r="21">
      <c r="A21" s="172" t="s">
        <v>504</v>
      </c>
      <c r="B21" s="173" t="s">
        <v>769</v>
      </c>
      <c r="C21" s="173" t="s">
        <v>770</v>
      </c>
      <c r="D21" s="173" t="s">
        <v>771</v>
      </c>
      <c r="E21" s="240"/>
    </row>
    <row r="22">
      <c r="A22" s="172" t="s">
        <v>509</v>
      </c>
      <c r="B22" s="173" t="s">
        <v>769</v>
      </c>
      <c r="C22" s="173" t="s">
        <v>770</v>
      </c>
      <c r="D22" s="173" t="s">
        <v>772</v>
      </c>
      <c r="E22" s="240"/>
    </row>
    <row r="23">
      <c r="A23" s="172" t="s">
        <v>398</v>
      </c>
      <c r="B23" s="173" t="s">
        <v>773</v>
      </c>
      <c r="C23" s="173" t="s">
        <v>774</v>
      </c>
      <c r="D23" s="173" t="s">
        <v>775</v>
      </c>
      <c r="E23" s="240"/>
    </row>
    <row r="24">
      <c r="A24" s="172" t="s">
        <v>386</v>
      </c>
      <c r="B24" s="173" t="s">
        <v>773</v>
      </c>
      <c r="C24" s="173" t="s">
        <v>774</v>
      </c>
      <c r="D24" s="173" t="s">
        <v>776</v>
      </c>
      <c r="E24" s="240"/>
    </row>
    <row r="25">
      <c r="A25" s="172" t="s">
        <v>428</v>
      </c>
      <c r="B25" s="173" t="s">
        <v>734</v>
      </c>
      <c r="C25" s="173" t="s">
        <v>735</v>
      </c>
      <c r="E25" s="240"/>
    </row>
    <row r="26">
      <c r="A26" s="172" t="s">
        <v>494</v>
      </c>
      <c r="B26" s="173" t="s">
        <v>777</v>
      </c>
      <c r="C26" s="173" t="s">
        <v>778</v>
      </c>
      <c r="E26" s="240"/>
    </row>
    <row r="27">
      <c r="A27" s="161"/>
      <c r="E27" s="240"/>
    </row>
    <row r="28">
      <c r="A28" s="161"/>
      <c r="E28" s="240"/>
    </row>
    <row r="29">
      <c r="A29" s="161"/>
      <c r="E29" s="240"/>
    </row>
    <row r="30">
      <c r="A30" s="161"/>
      <c r="E30" s="240"/>
    </row>
    <row r="31">
      <c r="A31" s="161"/>
      <c r="E31" s="240"/>
    </row>
    <row r="32">
      <c r="A32" s="161"/>
      <c r="E32" s="240"/>
    </row>
    <row r="33">
      <c r="A33" s="161"/>
      <c r="E33" s="240"/>
    </row>
    <row r="34">
      <c r="A34" s="161"/>
      <c r="E34" s="240"/>
    </row>
    <row r="35">
      <c r="A35" s="161"/>
      <c r="E35" s="240"/>
    </row>
    <row r="36">
      <c r="A36" s="161"/>
      <c r="E36" s="240"/>
    </row>
    <row r="37">
      <c r="A37" s="161"/>
      <c r="E37" s="240"/>
    </row>
    <row r="38">
      <c r="A38" s="161"/>
      <c r="E38" s="240"/>
    </row>
    <row r="39">
      <c r="A39" s="161"/>
      <c r="E39" s="240"/>
    </row>
    <row r="40">
      <c r="A40" s="161"/>
      <c r="E40" s="240"/>
    </row>
    <row r="41">
      <c r="A41" s="161"/>
      <c r="E41" s="240"/>
    </row>
    <row r="42">
      <c r="A42" s="161"/>
      <c r="E42" s="240"/>
    </row>
    <row r="43">
      <c r="A43" s="161"/>
      <c r="E43" s="240"/>
    </row>
    <row r="44">
      <c r="A44" s="161"/>
      <c r="E44" s="240"/>
    </row>
    <row r="45">
      <c r="A45" s="161"/>
      <c r="E45" s="240"/>
    </row>
    <row r="46">
      <c r="A46" s="161"/>
      <c r="E46" s="240"/>
    </row>
    <row r="47">
      <c r="A47" s="161"/>
      <c r="E47" s="240"/>
    </row>
    <row r="48">
      <c r="A48" s="161"/>
      <c r="E48" s="240"/>
    </row>
    <row r="49">
      <c r="A49" s="161"/>
      <c r="E49" s="240"/>
    </row>
    <row r="50">
      <c r="A50" s="161"/>
      <c r="E50" s="240"/>
    </row>
    <row r="51">
      <c r="A51" s="161"/>
      <c r="E51" s="240"/>
    </row>
    <row r="52">
      <c r="A52" s="161"/>
      <c r="E52" s="240"/>
    </row>
    <row r="53">
      <c r="A53" s="161"/>
      <c r="E53" s="240"/>
    </row>
    <row r="54">
      <c r="A54" s="161"/>
      <c r="E54" s="240"/>
    </row>
    <row r="55">
      <c r="A55" s="161"/>
      <c r="E55" s="240"/>
    </row>
    <row r="56">
      <c r="A56" s="161"/>
      <c r="E56" s="240"/>
    </row>
    <row r="57">
      <c r="A57" s="161"/>
      <c r="E57" s="240"/>
    </row>
    <row r="58">
      <c r="A58" s="161"/>
      <c r="E58" s="240"/>
    </row>
    <row r="59">
      <c r="A59" s="161"/>
      <c r="E59" s="240"/>
    </row>
    <row r="60">
      <c r="A60" s="161"/>
      <c r="E60" s="240"/>
    </row>
    <row r="61">
      <c r="A61" s="161"/>
      <c r="E61" s="240"/>
    </row>
    <row r="62">
      <c r="A62" s="161"/>
      <c r="E62" s="240"/>
    </row>
    <row r="63">
      <c r="A63" s="161"/>
      <c r="E63" s="240"/>
    </row>
    <row r="64">
      <c r="A64" s="161"/>
      <c r="E64" s="240"/>
    </row>
    <row r="65">
      <c r="A65" s="161"/>
      <c r="E65" s="240"/>
    </row>
    <row r="66">
      <c r="A66" s="161"/>
      <c r="E66" s="240"/>
    </row>
    <row r="67">
      <c r="A67" s="161"/>
      <c r="E67" s="240"/>
    </row>
    <row r="68">
      <c r="A68" s="161"/>
      <c r="E68" s="240"/>
    </row>
    <row r="69">
      <c r="A69" s="161"/>
      <c r="E69" s="240"/>
    </row>
    <row r="70">
      <c r="A70" s="161"/>
      <c r="E70" s="240"/>
    </row>
    <row r="71">
      <c r="A71" s="161"/>
      <c r="E71" s="240"/>
    </row>
    <row r="72">
      <c r="A72" s="161"/>
      <c r="E72" s="240"/>
    </row>
    <row r="73">
      <c r="A73" s="161"/>
      <c r="E73" s="240"/>
    </row>
    <row r="74">
      <c r="A74" s="161"/>
      <c r="E74" s="240"/>
    </row>
    <row r="75">
      <c r="A75" s="161"/>
      <c r="E75" s="240"/>
    </row>
    <row r="76">
      <c r="A76" s="161"/>
      <c r="E76" s="240"/>
    </row>
    <row r="77">
      <c r="A77" s="161"/>
      <c r="E77" s="240"/>
    </row>
    <row r="78">
      <c r="A78" s="161"/>
      <c r="E78" s="240"/>
    </row>
    <row r="79">
      <c r="A79" s="161"/>
      <c r="E79" s="240"/>
    </row>
    <row r="80">
      <c r="A80" s="161"/>
      <c r="E80" s="240"/>
    </row>
    <row r="81">
      <c r="A81" s="161"/>
      <c r="E81" s="240"/>
    </row>
    <row r="82">
      <c r="A82" s="161"/>
      <c r="E82" s="240"/>
    </row>
    <row r="83">
      <c r="A83" s="161"/>
      <c r="E83" s="240"/>
    </row>
    <row r="84">
      <c r="A84" s="161"/>
      <c r="E84" s="240"/>
    </row>
    <row r="85">
      <c r="A85" s="161"/>
      <c r="E85" s="240"/>
    </row>
    <row r="86">
      <c r="A86" s="161"/>
      <c r="E86" s="240"/>
    </row>
    <row r="87">
      <c r="A87" s="161"/>
      <c r="E87" s="240"/>
    </row>
    <row r="88">
      <c r="A88" s="161"/>
      <c r="E88" s="240"/>
    </row>
    <row r="89">
      <c r="A89" s="161"/>
      <c r="E89" s="240"/>
    </row>
    <row r="90">
      <c r="A90" s="161"/>
      <c r="E90" s="240"/>
    </row>
    <row r="91">
      <c r="A91" s="161"/>
      <c r="E91" s="240"/>
    </row>
    <row r="92">
      <c r="A92" s="161"/>
      <c r="E92" s="240"/>
    </row>
    <row r="93">
      <c r="A93" s="161"/>
      <c r="E93" s="240"/>
    </row>
    <row r="94">
      <c r="A94" s="161"/>
      <c r="E94" s="240"/>
    </row>
    <row r="95">
      <c r="A95" s="161"/>
      <c r="E95" s="240"/>
    </row>
    <row r="96">
      <c r="A96" s="161"/>
      <c r="E96" s="240"/>
    </row>
    <row r="97">
      <c r="A97" s="161"/>
      <c r="E97" s="240"/>
    </row>
    <row r="98">
      <c r="A98" s="161"/>
      <c r="E98" s="240"/>
    </row>
    <row r="99">
      <c r="A99" s="161"/>
      <c r="E99" s="240"/>
    </row>
    <row r="100">
      <c r="A100" s="161"/>
      <c r="E100" s="240"/>
    </row>
    <row r="101">
      <c r="A101" s="161"/>
      <c r="E101" s="240"/>
    </row>
    <row r="102">
      <c r="A102" s="161"/>
      <c r="E102" s="240"/>
    </row>
    <row r="103">
      <c r="A103" s="161"/>
      <c r="E103" s="240"/>
    </row>
    <row r="104">
      <c r="A104" s="161"/>
      <c r="E104" s="240"/>
    </row>
    <row r="105">
      <c r="A105" s="161"/>
      <c r="E105" s="240"/>
    </row>
    <row r="106">
      <c r="A106" s="161"/>
      <c r="E106" s="240"/>
    </row>
    <row r="107">
      <c r="A107" s="161"/>
      <c r="E107" s="240"/>
    </row>
    <row r="108">
      <c r="A108" s="161"/>
      <c r="E108" s="240"/>
    </row>
    <row r="109">
      <c r="A109" s="161"/>
      <c r="E109" s="240"/>
    </row>
    <row r="110">
      <c r="A110" s="161"/>
      <c r="E110" s="240"/>
    </row>
    <row r="111">
      <c r="A111" s="161"/>
      <c r="E111" s="240"/>
    </row>
    <row r="112">
      <c r="A112" s="161"/>
      <c r="E112" s="240"/>
    </row>
    <row r="113">
      <c r="A113" s="161"/>
      <c r="E113" s="240"/>
    </row>
    <row r="114">
      <c r="A114" s="161"/>
      <c r="E114" s="240"/>
    </row>
    <row r="115">
      <c r="A115" s="161"/>
      <c r="E115" s="240"/>
    </row>
    <row r="116">
      <c r="A116" s="161"/>
      <c r="E116" s="240"/>
    </row>
    <row r="117">
      <c r="A117" s="161"/>
      <c r="E117" s="240"/>
    </row>
    <row r="118">
      <c r="A118" s="161"/>
      <c r="E118" s="240"/>
    </row>
    <row r="119">
      <c r="A119" s="161"/>
      <c r="E119" s="240"/>
    </row>
    <row r="120">
      <c r="A120" s="161"/>
      <c r="E120" s="240"/>
    </row>
    <row r="121">
      <c r="A121" s="161"/>
      <c r="E121" s="240"/>
    </row>
    <row r="122">
      <c r="A122" s="161"/>
      <c r="E122" s="240"/>
    </row>
    <row r="123">
      <c r="A123" s="161"/>
      <c r="E123" s="240"/>
    </row>
    <row r="124">
      <c r="A124" s="161"/>
      <c r="E124" s="240"/>
    </row>
    <row r="125">
      <c r="A125" s="161"/>
      <c r="E125" s="240"/>
    </row>
    <row r="126">
      <c r="A126" s="161"/>
      <c r="E126" s="240"/>
    </row>
    <row r="127">
      <c r="A127" s="161"/>
      <c r="E127" s="240"/>
    </row>
    <row r="128">
      <c r="A128" s="161"/>
      <c r="E128" s="240"/>
    </row>
    <row r="129">
      <c r="A129" s="161"/>
      <c r="E129" s="240"/>
    </row>
    <row r="130">
      <c r="A130" s="161"/>
      <c r="E130" s="240"/>
    </row>
    <row r="131">
      <c r="A131" s="161"/>
      <c r="E131" s="240"/>
    </row>
    <row r="132">
      <c r="A132" s="161"/>
      <c r="E132" s="240"/>
    </row>
    <row r="133">
      <c r="A133" s="161"/>
      <c r="E133" s="240"/>
    </row>
    <row r="134">
      <c r="A134" s="161"/>
      <c r="E134" s="240"/>
    </row>
    <row r="135">
      <c r="A135" s="161"/>
      <c r="E135" s="240"/>
    </row>
    <row r="136">
      <c r="A136" s="161"/>
      <c r="E136" s="240"/>
    </row>
    <row r="137">
      <c r="A137" s="161"/>
      <c r="E137" s="240"/>
    </row>
    <row r="138">
      <c r="A138" s="161"/>
      <c r="E138" s="240"/>
    </row>
    <row r="139">
      <c r="A139" s="161"/>
      <c r="E139" s="240"/>
    </row>
    <row r="140">
      <c r="A140" s="161"/>
      <c r="E140" s="240"/>
    </row>
    <row r="141">
      <c r="A141" s="161"/>
      <c r="E141" s="240"/>
    </row>
    <row r="142">
      <c r="A142" s="161"/>
      <c r="E142" s="240"/>
    </row>
    <row r="143">
      <c r="A143" s="161"/>
      <c r="E143" s="240"/>
    </row>
    <row r="144">
      <c r="A144" s="161"/>
      <c r="E144" s="240"/>
    </row>
    <row r="145">
      <c r="A145" s="161"/>
      <c r="E145" s="240"/>
    </row>
    <row r="146">
      <c r="A146" s="161"/>
      <c r="E146" s="240"/>
    </row>
    <row r="147">
      <c r="A147" s="161"/>
      <c r="E147" s="240"/>
    </row>
    <row r="148">
      <c r="A148" s="161"/>
      <c r="E148" s="240"/>
    </row>
    <row r="149">
      <c r="A149" s="161"/>
      <c r="E149" s="240"/>
    </row>
    <row r="150">
      <c r="A150" s="161"/>
      <c r="E150" s="240"/>
    </row>
    <row r="151">
      <c r="A151" s="161"/>
      <c r="E151" s="240"/>
    </row>
    <row r="152">
      <c r="A152" s="161"/>
      <c r="E152" s="240"/>
    </row>
    <row r="153">
      <c r="A153" s="161"/>
      <c r="E153" s="240"/>
    </row>
    <row r="154">
      <c r="A154" s="161"/>
      <c r="E154" s="240"/>
    </row>
    <row r="155">
      <c r="A155" s="161"/>
      <c r="E155" s="240"/>
    </row>
    <row r="156">
      <c r="A156" s="161"/>
      <c r="E156" s="240"/>
    </row>
    <row r="157">
      <c r="A157" s="161"/>
      <c r="E157" s="240"/>
    </row>
    <row r="158">
      <c r="A158" s="161"/>
      <c r="E158" s="240"/>
    </row>
    <row r="159">
      <c r="A159" s="161"/>
      <c r="E159" s="240"/>
    </row>
    <row r="160">
      <c r="A160" s="161"/>
      <c r="E160" s="240"/>
    </row>
    <row r="161">
      <c r="A161" s="161"/>
      <c r="E161" s="240"/>
    </row>
    <row r="162">
      <c r="A162" s="161"/>
      <c r="E162" s="240"/>
    </row>
    <row r="163">
      <c r="A163" s="161"/>
      <c r="E163" s="240"/>
    </row>
    <row r="164">
      <c r="A164" s="161"/>
      <c r="E164" s="240"/>
    </row>
    <row r="165">
      <c r="A165" s="161"/>
      <c r="E165" s="240"/>
    </row>
    <row r="166">
      <c r="A166" s="161"/>
      <c r="E166" s="240"/>
    </row>
    <row r="167">
      <c r="A167" s="161"/>
      <c r="E167" s="240"/>
    </row>
    <row r="168">
      <c r="A168" s="161"/>
      <c r="E168" s="240"/>
    </row>
    <row r="169">
      <c r="A169" s="161"/>
      <c r="E169" s="240"/>
    </row>
    <row r="170">
      <c r="A170" s="161"/>
      <c r="E170" s="240"/>
    </row>
    <row r="171">
      <c r="A171" s="161"/>
      <c r="E171" s="240"/>
    </row>
    <row r="172">
      <c r="A172" s="161"/>
      <c r="E172" s="240"/>
    </row>
    <row r="173">
      <c r="A173" s="161"/>
      <c r="E173" s="240"/>
    </row>
    <row r="174">
      <c r="A174" s="161"/>
      <c r="E174" s="240"/>
    </row>
    <row r="175">
      <c r="A175" s="161"/>
      <c r="E175" s="240"/>
    </row>
    <row r="176">
      <c r="A176" s="161"/>
      <c r="E176" s="240"/>
    </row>
    <row r="177">
      <c r="A177" s="161"/>
      <c r="E177" s="240"/>
    </row>
    <row r="178">
      <c r="A178" s="161"/>
      <c r="E178" s="240"/>
    </row>
    <row r="179">
      <c r="A179" s="161"/>
      <c r="E179" s="240"/>
    </row>
    <row r="180">
      <c r="A180" s="161"/>
      <c r="E180" s="240"/>
    </row>
    <row r="181">
      <c r="A181" s="161"/>
      <c r="E181" s="240"/>
    </row>
    <row r="182">
      <c r="A182" s="161"/>
      <c r="E182" s="240"/>
    </row>
    <row r="183">
      <c r="A183" s="161"/>
      <c r="E183" s="240"/>
    </row>
    <row r="184">
      <c r="A184" s="161"/>
      <c r="E184" s="240"/>
    </row>
    <row r="185">
      <c r="A185" s="161"/>
      <c r="E185" s="240"/>
    </row>
    <row r="186">
      <c r="A186" s="161"/>
      <c r="E186" s="240"/>
    </row>
    <row r="187">
      <c r="A187" s="161"/>
      <c r="E187" s="240"/>
    </row>
    <row r="188">
      <c r="A188" s="161"/>
      <c r="E188" s="240"/>
    </row>
    <row r="189">
      <c r="A189" s="161"/>
      <c r="E189" s="240"/>
    </row>
    <row r="190">
      <c r="A190" s="161"/>
      <c r="E190" s="240"/>
    </row>
    <row r="191">
      <c r="A191" s="161"/>
      <c r="E191" s="240"/>
    </row>
    <row r="192">
      <c r="A192" s="161"/>
      <c r="E192" s="240"/>
    </row>
    <row r="193">
      <c r="A193" s="161"/>
      <c r="E193" s="240"/>
    </row>
    <row r="194">
      <c r="A194" s="161"/>
      <c r="E194" s="240"/>
    </row>
    <row r="195">
      <c r="A195" s="161"/>
      <c r="E195" s="240"/>
    </row>
    <row r="196">
      <c r="A196" s="161"/>
      <c r="E196" s="240"/>
    </row>
    <row r="197">
      <c r="A197" s="161"/>
      <c r="E197" s="240"/>
    </row>
    <row r="198">
      <c r="A198" s="161"/>
      <c r="E198" s="240"/>
    </row>
    <row r="199">
      <c r="A199" s="161"/>
      <c r="E199" s="240"/>
    </row>
    <row r="200">
      <c r="A200" s="161"/>
      <c r="E200" s="240"/>
    </row>
    <row r="201">
      <c r="A201" s="161"/>
      <c r="E201" s="240"/>
    </row>
    <row r="202">
      <c r="A202" s="161"/>
      <c r="E202" s="240"/>
    </row>
    <row r="203">
      <c r="A203" s="161"/>
      <c r="E203" s="240"/>
    </row>
    <row r="204">
      <c r="A204" s="161"/>
      <c r="E204" s="240"/>
    </row>
    <row r="205">
      <c r="A205" s="161"/>
      <c r="E205" s="240"/>
    </row>
    <row r="206">
      <c r="A206" s="161"/>
      <c r="E206" s="240"/>
    </row>
    <row r="207">
      <c r="A207" s="161"/>
      <c r="E207" s="240"/>
    </row>
    <row r="208">
      <c r="A208" s="161"/>
      <c r="E208" s="240"/>
    </row>
    <row r="209">
      <c r="A209" s="161"/>
      <c r="E209" s="240"/>
    </row>
    <row r="210">
      <c r="A210" s="161"/>
      <c r="E210" s="240"/>
    </row>
    <row r="211">
      <c r="A211" s="161"/>
      <c r="E211" s="240"/>
    </row>
    <row r="212">
      <c r="A212" s="161"/>
      <c r="E212" s="240"/>
    </row>
    <row r="213">
      <c r="A213" s="161"/>
      <c r="E213" s="240"/>
    </row>
    <row r="214">
      <c r="A214" s="161"/>
      <c r="E214" s="240"/>
    </row>
    <row r="215">
      <c r="A215" s="161"/>
      <c r="E215" s="240"/>
    </row>
    <row r="216">
      <c r="A216" s="161"/>
      <c r="E216" s="240"/>
    </row>
    <row r="217">
      <c r="A217" s="161"/>
      <c r="E217" s="240"/>
    </row>
    <row r="218">
      <c r="A218" s="161"/>
      <c r="E218" s="240"/>
    </row>
    <row r="219">
      <c r="A219" s="161"/>
      <c r="E219" s="240"/>
    </row>
    <row r="220">
      <c r="A220" s="161"/>
      <c r="E220" s="240"/>
    </row>
    <row r="221">
      <c r="A221" s="161"/>
      <c r="E221" s="240"/>
    </row>
    <row r="222">
      <c r="A222" s="161"/>
      <c r="E222" s="240"/>
    </row>
    <row r="223">
      <c r="A223" s="161"/>
      <c r="E223" s="240"/>
    </row>
    <row r="224">
      <c r="A224" s="161"/>
      <c r="E224" s="240"/>
    </row>
    <row r="225">
      <c r="A225" s="161"/>
      <c r="E225" s="240"/>
    </row>
    <row r="226">
      <c r="A226" s="161"/>
      <c r="E226" s="240"/>
    </row>
    <row r="227">
      <c r="A227" s="161"/>
      <c r="E227" s="240"/>
    </row>
    <row r="228">
      <c r="A228" s="161"/>
      <c r="E228" s="240"/>
    </row>
    <row r="229">
      <c r="A229" s="161"/>
      <c r="E229" s="240"/>
    </row>
    <row r="230">
      <c r="A230" s="161"/>
      <c r="E230" s="240"/>
    </row>
    <row r="231">
      <c r="A231" s="161"/>
      <c r="E231" s="240"/>
    </row>
    <row r="232">
      <c r="A232" s="161"/>
      <c r="E232" s="240"/>
    </row>
    <row r="233">
      <c r="A233" s="161"/>
      <c r="E233" s="240"/>
    </row>
    <row r="234">
      <c r="A234" s="161"/>
      <c r="E234" s="240"/>
    </row>
    <row r="235">
      <c r="A235" s="161"/>
      <c r="E235" s="240"/>
    </row>
    <row r="236">
      <c r="A236" s="161"/>
      <c r="E236" s="240"/>
    </row>
    <row r="237">
      <c r="A237" s="161"/>
      <c r="E237" s="240"/>
    </row>
    <row r="238">
      <c r="A238" s="161"/>
      <c r="E238" s="240"/>
    </row>
    <row r="239">
      <c r="A239" s="161"/>
      <c r="E239" s="240"/>
    </row>
    <row r="240">
      <c r="A240" s="161"/>
      <c r="E240" s="240"/>
    </row>
    <row r="241">
      <c r="A241" s="161"/>
      <c r="E241" s="240"/>
    </row>
    <row r="242">
      <c r="A242" s="161"/>
      <c r="E242" s="240"/>
    </row>
    <row r="243">
      <c r="A243" s="161"/>
      <c r="E243" s="240"/>
    </row>
    <row r="244">
      <c r="A244" s="161"/>
      <c r="E244" s="240"/>
    </row>
    <row r="245">
      <c r="A245" s="161"/>
      <c r="E245" s="240"/>
    </row>
    <row r="246">
      <c r="A246" s="161"/>
      <c r="E246" s="240"/>
    </row>
    <row r="247">
      <c r="A247" s="161"/>
      <c r="E247" s="240"/>
    </row>
    <row r="248">
      <c r="A248" s="161"/>
      <c r="E248" s="240"/>
    </row>
    <row r="249">
      <c r="A249" s="161"/>
      <c r="E249" s="240"/>
    </row>
    <row r="250">
      <c r="A250" s="161"/>
      <c r="E250" s="240"/>
    </row>
    <row r="251">
      <c r="A251" s="161"/>
      <c r="E251" s="240"/>
    </row>
    <row r="252">
      <c r="A252" s="161"/>
      <c r="E252" s="240"/>
    </row>
    <row r="253">
      <c r="A253" s="161"/>
      <c r="E253" s="240"/>
    </row>
    <row r="254">
      <c r="A254" s="161"/>
      <c r="E254" s="240"/>
    </row>
    <row r="255">
      <c r="A255" s="161"/>
      <c r="E255" s="240"/>
    </row>
    <row r="256">
      <c r="A256" s="161"/>
      <c r="E256" s="240"/>
    </row>
    <row r="257">
      <c r="A257" s="161"/>
      <c r="E257" s="240"/>
    </row>
    <row r="258">
      <c r="A258" s="161"/>
      <c r="E258" s="240"/>
    </row>
    <row r="259">
      <c r="A259" s="161"/>
      <c r="E259" s="240"/>
    </row>
    <row r="260">
      <c r="A260" s="161"/>
      <c r="E260" s="240"/>
    </row>
    <row r="261">
      <c r="A261" s="161"/>
      <c r="E261" s="240"/>
    </row>
    <row r="262">
      <c r="A262" s="161"/>
      <c r="E262" s="240"/>
    </row>
    <row r="263">
      <c r="A263" s="161"/>
      <c r="E263" s="240"/>
    </row>
    <row r="264">
      <c r="A264" s="161"/>
      <c r="E264" s="240"/>
    </row>
    <row r="265">
      <c r="A265" s="161"/>
      <c r="E265" s="240"/>
    </row>
    <row r="266">
      <c r="A266" s="161"/>
      <c r="E266" s="240"/>
    </row>
    <row r="267">
      <c r="A267" s="161"/>
      <c r="E267" s="240"/>
    </row>
    <row r="268">
      <c r="A268" s="161"/>
      <c r="E268" s="240"/>
    </row>
    <row r="269">
      <c r="A269" s="161"/>
      <c r="E269" s="240"/>
    </row>
    <row r="270">
      <c r="A270" s="161"/>
      <c r="E270" s="240"/>
    </row>
    <row r="271">
      <c r="A271" s="161"/>
      <c r="E271" s="240"/>
    </row>
    <row r="272">
      <c r="A272" s="161"/>
      <c r="E272" s="240"/>
    </row>
    <row r="273">
      <c r="A273" s="161"/>
      <c r="E273" s="240"/>
    </row>
    <row r="274">
      <c r="A274" s="161"/>
      <c r="E274" s="240"/>
    </row>
    <row r="275">
      <c r="A275" s="161"/>
      <c r="E275" s="240"/>
    </row>
    <row r="276">
      <c r="A276" s="161"/>
      <c r="E276" s="240"/>
    </row>
    <row r="277">
      <c r="A277" s="161"/>
      <c r="E277" s="240"/>
    </row>
    <row r="278">
      <c r="A278" s="161"/>
      <c r="E278" s="240"/>
    </row>
    <row r="279">
      <c r="A279" s="161"/>
      <c r="E279" s="240"/>
    </row>
    <row r="280">
      <c r="A280" s="161"/>
      <c r="E280" s="240"/>
    </row>
    <row r="281">
      <c r="A281" s="161"/>
      <c r="E281" s="240"/>
    </row>
    <row r="282">
      <c r="A282" s="161"/>
      <c r="E282" s="240"/>
    </row>
    <row r="283">
      <c r="A283" s="161"/>
      <c r="E283" s="240"/>
    </row>
    <row r="284">
      <c r="A284" s="161"/>
      <c r="E284" s="240"/>
    </row>
    <row r="285">
      <c r="A285" s="161"/>
      <c r="E285" s="240"/>
    </row>
    <row r="286">
      <c r="A286" s="161"/>
      <c r="E286" s="240"/>
    </row>
    <row r="287">
      <c r="A287" s="161"/>
      <c r="E287" s="240"/>
    </row>
    <row r="288">
      <c r="A288" s="161"/>
      <c r="E288" s="240"/>
    </row>
    <row r="289">
      <c r="A289" s="161"/>
      <c r="E289" s="240"/>
    </row>
    <row r="290">
      <c r="A290" s="161"/>
      <c r="E290" s="240"/>
    </row>
    <row r="291">
      <c r="A291" s="161"/>
      <c r="E291" s="240"/>
    </row>
    <row r="292">
      <c r="A292" s="161"/>
      <c r="E292" s="240"/>
    </row>
    <row r="293">
      <c r="A293" s="161"/>
      <c r="E293" s="240"/>
    </row>
    <row r="294">
      <c r="A294" s="161"/>
      <c r="E294" s="240"/>
    </row>
    <row r="295">
      <c r="A295" s="161"/>
      <c r="E295" s="240"/>
    </row>
    <row r="296">
      <c r="A296" s="161"/>
      <c r="E296" s="240"/>
    </row>
    <row r="297">
      <c r="A297" s="161"/>
      <c r="E297" s="240"/>
    </row>
    <row r="298">
      <c r="A298" s="161"/>
      <c r="E298" s="240"/>
    </row>
    <row r="299">
      <c r="A299" s="161"/>
      <c r="E299" s="240"/>
    </row>
    <row r="300">
      <c r="A300" s="161"/>
      <c r="E300" s="240"/>
    </row>
    <row r="301">
      <c r="A301" s="161"/>
      <c r="E301" s="240"/>
    </row>
    <row r="302">
      <c r="A302" s="161"/>
      <c r="E302" s="240"/>
    </row>
    <row r="303">
      <c r="A303" s="161"/>
      <c r="E303" s="240"/>
    </row>
    <row r="304">
      <c r="A304" s="161"/>
      <c r="E304" s="240"/>
    </row>
    <row r="305">
      <c r="A305" s="161"/>
      <c r="E305" s="240"/>
    </row>
    <row r="306">
      <c r="A306" s="161"/>
      <c r="E306" s="240"/>
    </row>
    <row r="307">
      <c r="A307" s="161"/>
      <c r="E307" s="240"/>
    </row>
    <row r="308">
      <c r="A308" s="161"/>
      <c r="E308" s="240"/>
    </row>
    <row r="309">
      <c r="A309" s="161"/>
      <c r="E309" s="240"/>
    </row>
    <row r="310">
      <c r="A310" s="161"/>
      <c r="E310" s="240"/>
    </row>
    <row r="311">
      <c r="A311" s="161"/>
      <c r="E311" s="240"/>
    </row>
    <row r="312">
      <c r="A312" s="161"/>
      <c r="E312" s="240"/>
    </row>
    <row r="313">
      <c r="A313" s="161"/>
      <c r="E313" s="240"/>
    </row>
    <row r="314">
      <c r="A314" s="161"/>
      <c r="E314" s="240"/>
    </row>
    <row r="315">
      <c r="A315" s="161"/>
      <c r="E315" s="240"/>
    </row>
    <row r="316">
      <c r="A316" s="161"/>
      <c r="E316" s="240"/>
    </row>
    <row r="317">
      <c r="A317" s="161"/>
      <c r="E317" s="240"/>
    </row>
    <row r="318">
      <c r="A318" s="161"/>
      <c r="E318" s="240"/>
    </row>
    <row r="319">
      <c r="A319" s="161"/>
      <c r="E319" s="240"/>
    </row>
    <row r="320">
      <c r="A320" s="161"/>
      <c r="E320" s="240"/>
    </row>
    <row r="321">
      <c r="A321" s="161"/>
      <c r="E321" s="240"/>
    </row>
    <row r="322">
      <c r="A322" s="161"/>
      <c r="E322" s="240"/>
    </row>
    <row r="323">
      <c r="A323" s="161"/>
      <c r="E323" s="240"/>
    </row>
    <row r="324">
      <c r="A324" s="161"/>
      <c r="E324" s="240"/>
    </row>
    <row r="325">
      <c r="A325" s="161"/>
      <c r="E325" s="240"/>
    </row>
    <row r="326">
      <c r="A326" s="161"/>
      <c r="E326" s="240"/>
    </row>
    <row r="327">
      <c r="A327" s="161"/>
      <c r="E327" s="240"/>
    </row>
    <row r="328">
      <c r="A328" s="161"/>
      <c r="E328" s="240"/>
    </row>
    <row r="329">
      <c r="A329" s="161"/>
      <c r="E329" s="240"/>
    </row>
    <row r="330">
      <c r="A330" s="161"/>
      <c r="E330" s="240"/>
    </row>
    <row r="331">
      <c r="A331" s="161"/>
      <c r="E331" s="240"/>
    </row>
    <row r="332">
      <c r="A332" s="161"/>
      <c r="E332" s="240"/>
    </row>
    <row r="333">
      <c r="A333" s="161"/>
      <c r="E333" s="240"/>
    </row>
    <row r="334">
      <c r="A334" s="161"/>
      <c r="E334" s="240"/>
    </row>
    <row r="335">
      <c r="A335" s="161"/>
      <c r="E335" s="240"/>
    </row>
    <row r="336">
      <c r="A336" s="161"/>
      <c r="E336" s="240"/>
    </row>
    <row r="337">
      <c r="A337" s="161"/>
      <c r="E337" s="240"/>
    </row>
    <row r="338">
      <c r="A338" s="161"/>
      <c r="E338" s="240"/>
    </row>
    <row r="339">
      <c r="A339" s="161"/>
      <c r="E339" s="240"/>
    </row>
    <row r="340">
      <c r="A340" s="161"/>
      <c r="E340" s="240"/>
    </row>
    <row r="341">
      <c r="A341" s="161"/>
      <c r="E341" s="240"/>
    </row>
    <row r="342">
      <c r="A342" s="161"/>
      <c r="E342" s="240"/>
    </row>
    <row r="343">
      <c r="A343" s="161"/>
      <c r="E343" s="240"/>
    </row>
    <row r="344">
      <c r="A344" s="161"/>
      <c r="E344" s="240"/>
    </row>
    <row r="345">
      <c r="A345" s="161"/>
      <c r="E345" s="240"/>
    </row>
    <row r="346">
      <c r="A346" s="161"/>
      <c r="E346" s="240"/>
    </row>
    <row r="347">
      <c r="A347" s="161"/>
      <c r="E347" s="240"/>
    </row>
    <row r="348">
      <c r="A348" s="161"/>
      <c r="E348" s="240"/>
    </row>
    <row r="349">
      <c r="A349" s="161"/>
      <c r="E349" s="240"/>
    </row>
    <row r="350">
      <c r="A350" s="161"/>
      <c r="E350" s="240"/>
    </row>
    <row r="351">
      <c r="A351" s="161"/>
      <c r="E351" s="240"/>
    </row>
    <row r="352">
      <c r="A352" s="161"/>
      <c r="E352" s="240"/>
    </row>
    <row r="353">
      <c r="A353" s="161"/>
      <c r="E353" s="240"/>
    </row>
    <row r="354">
      <c r="A354" s="161"/>
      <c r="E354" s="240"/>
    </row>
    <row r="355">
      <c r="A355" s="161"/>
      <c r="E355" s="240"/>
    </row>
    <row r="356">
      <c r="A356" s="161"/>
      <c r="E356" s="240"/>
    </row>
    <row r="357">
      <c r="A357" s="161"/>
      <c r="E357" s="240"/>
    </row>
    <row r="358">
      <c r="A358" s="161"/>
      <c r="E358" s="240"/>
    </row>
    <row r="359">
      <c r="A359" s="161"/>
      <c r="E359" s="240"/>
    </row>
    <row r="360">
      <c r="A360" s="161"/>
      <c r="E360" s="240"/>
    </row>
    <row r="361">
      <c r="A361" s="161"/>
      <c r="E361" s="240"/>
    </row>
    <row r="362">
      <c r="A362" s="161"/>
      <c r="E362" s="240"/>
    </row>
    <row r="363">
      <c r="A363" s="161"/>
      <c r="E363" s="240"/>
    </row>
    <row r="364">
      <c r="A364" s="161"/>
      <c r="E364" s="240"/>
    </row>
    <row r="365">
      <c r="A365" s="161"/>
      <c r="E365" s="240"/>
    </row>
    <row r="366">
      <c r="A366" s="161"/>
      <c r="E366" s="240"/>
    </row>
    <row r="367">
      <c r="A367" s="161"/>
      <c r="E367" s="240"/>
    </row>
    <row r="368">
      <c r="A368" s="161"/>
      <c r="E368" s="240"/>
    </row>
    <row r="369">
      <c r="A369" s="161"/>
      <c r="E369" s="240"/>
    </row>
    <row r="370">
      <c r="A370" s="161"/>
      <c r="E370" s="240"/>
    </row>
    <row r="371">
      <c r="A371" s="161"/>
      <c r="E371" s="240"/>
    </row>
    <row r="372">
      <c r="A372" s="161"/>
      <c r="E372" s="240"/>
    </row>
    <row r="373">
      <c r="A373" s="161"/>
      <c r="E373" s="240"/>
    </row>
    <row r="374">
      <c r="A374" s="161"/>
      <c r="E374" s="240"/>
    </row>
    <row r="375">
      <c r="A375" s="161"/>
      <c r="E375" s="240"/>
    </row>
    <row r="376">
      <c r="A376" s="161"/>
      <c r="E376" s="240"/>
    </row>
    <row r="377">
      <c r="A377" s="161"/>
      <c r="E377" s="240"/>
    </row>
    <row r="378">
      <c r="A378" s="161"/>
      <c r="E378" s="240"/>
    </row>
    <row r="379">
      <c r="A379" s="161"/>
      <c r="E379" s="240"/>
    </row>
    <row r="380">
      <c r="A380" s="161"/>
      <c r="E380" s="240"/>
    </row>
    <row r="381">
      <c r="A381" s="161"/>
      <c r="E381" s="240"/>
    </row>
    <row r="382">
      <c r="A382" s="161"/>
      <c r="E382" s="240"/>
    </row>
    <row r="383">
      <c r="A383" s="161"/>
      <c r="E383" s="240"/>
    </row>
    <row r="384">
      <c r="A384" s="161"/>
      <c r="E384" s="240"/>
    </row>
    <row r="385">
      <c r="A385" s="161"/>
      <c r="E385" s="240"/>
    </row>
    <row r="386">
      <c r="A386" s="161"/>
      <c r="E386" s="240"/>
    </row>
    <row r="387">
      <c r="A387" s="161"/>
      <c r="E387" s="240"/>
    </row>
    <row r="388">
      <c r="A388" s="161"/>
      <c r="E388" s="240"/>
    </row>
    <row r="389">
      <c r="A389" s="161"/>
      <c r="E389" s="240"/>
    </row>
    <row r="390">
      <c r="A390" s="161"/>
      <c r="E390" s="240"/>
    </row>
    <row r="391">
      <c r="A391" s="161"/>
      <c r="E391" s="240"/>
    </row>
    <row r="392">
      <c r="A392" s="161"/>
      <c r="E392" s="240"/>
    </row>
    <row r="393">
      <c r="A393" s="161"/>
      <c r="E393" s="240"/>
    </row>
    <row r="394">
      <c r="A394" s="161"/>
      <c r="E394" s="240"/>
    </row>
    <row r="395">
      <c r="A395" s="161"/>
      <c r="E395" s="240"/>
    </row>
    <row r="396">
      <c r="A396" s="161"/>
      <c r="E396" s="240"/>
    </row>
    <row r="397">
      <c r="A397" s="161"/>
      <c r="E397" s="240"/>
    </row>
    <row r="398">
      <c r="A398" s="161"/>
      <c r="E398" s="240"/>
    </row>
    <row r="399">
      <c r="A399" s="161"/>
      <c r="E399" s="240"/>
    </row>
    <row r="400">
      <c r="A400" s="161"/>
      <c r="E400" s="240"/>
    </row>
    <row r="401">
      <c r="A401" s="161"/>
      <c r="E401" s="240"/>
    </row>
    <row r="402">
      <c r="A402" s="161"/>
      <c r="E402" s="240"/>
    </row>
    <row r="403">
      <c r="A403" s="161"/>
      <c r="E403" s="240"/>
    </row>
    <row r="404">
      <c r="A404" s="161"/>
      <c r="E404" s="240"/>
    </row>
    <row r="405">
      <c r="A405" s="161"/>
      <c r="E405" s="240"/>
    </row>
    <row r="406">
      <c r="A406" s="161"/>
      <c r="E406" s="240"/>
    </row>
    <row r="407">
      <c r="A407" s="161"/>
      <c r="E407" s="240"/>
    </row>
    <row r="408">
      <c r="A408" s="161"/>
      <c r="E408" s="240"/>
    </row>
    <row r="409">
      <c r="A409" s="161"/>
      <c r="E409" s="240"/>
    </row>
    <row r="410">
      <c r="A410" s="161"/>
      <c r="E410" s="240"/>
    </row>
    <row r="411">
      <c r="A411" s="161"/>
      <c r="E411" s="240"/>
    </row>
    <row r="412">
      <c r="A412" s="161"/>
      <c r="E412" s="240"/>
    </row>
    <row r="413">
      <c r="A413" s="161"/>
      <c r="E413" s="240"/>
    </row>
    <row r="414">
      <c r="A414" s="161"/>
      <c r="E414" s="240"/>
    </row>
    <row r="415">
      <c r="A415" s="161"/>
      <c r="E415" s="240"/>
    </row>
    <row r="416">
      <c r="A416" s="161"/>
      <c r="E416" s="240"/>
    </row>
    <row r="417">
      <c r="A417" s="161"/>
      <c r="E417" s="240"/>
    </row>
    <row r="418">
      <c r="A418" s="161"/>
      <c r="E418" s="240"/>
    </row>
    <row r="419">
      <c r="A419" s="161"/>
      <c r="E419" s="240"/>
    </row>
    <row r="420">
      <c r="A420" s="161"/>
      <c r="E420" s="240"/>
    </row>
    <row r="421">
      <c r="A421" s="161"/>
      <c r="E421" s="240"/>
    </row>
    <row r="422">
      <c r="A422" s="161"/>
      <c r="E422" s="240"/>
    </row>
    <row r="423">
      <c r="A423" s="161"/>
      <c r="E423" s="240"/>
    </row>
    <row r="424">
      <c r="A424" s="161"/>
      <c r="E424" s="240"/>
    </row>
    <row r="425">
      <c r="A425" s="161"/>
      <c r="E425" s="240"/>
    </row>
    <row r="426">
      <c r="A426" s="161"/>
      <c r="E426" s="240"/>
    </row>
    <row r="427">
      <c r="A427" s="161"/>
      <c r="E427" s="240"/>
    </row>
    <row r="428">
      <c r="A428" s="161"/>
      <c r="E428" s="240"/>
    </row>
    <row r="429">
      <c r="A429" s="161"/>
      <c r="E429" s="240"/>
    </row>
    <row r="430">
      <c r="A430" s="161"/>
      <c r="E430" s="240"/>
    </row>
    <row r="431">
      <c r="A431" s="161"/>
      <c r="E431" s="240"/>
    </row>
    <row r="432">
      <c r="A432" s="161"/>
      <c r="E432" s="240"/>
    </row>
    <row r="433">
      <c r="A433" s="161"/>
      <c r="E433" s="240"/>
    </row>
    <row r="434">
      <c r="A434" s="161"/>
      <c r="E434" s="240"/>
    </row>
    <row r="435">
      <c r="A435" s="161"/>
      <c r="E435" s="240"/>
    </row>
    <row r="436">
      <c r="A436" s="161"/>
      <c r="E436" s="240"/>
    </row>
    <row r="437">
      <c r="A437" s="161"/>
      <c r="E437" s="240"/>
    </row>
    <row r="438">
      <c r="A438" s="161"/>
      <c r="E438" s="240"/>
    </row>
    <row r="439">
      <c r="A439" s="161"/>
      <c r="E439" s="240"/>
    </row>
    <row r="440">
      <c r="A440" s="161"/>
      <c r="E440" s="240"/>
    </row>
    <row r="441">
      <c r="A441" s="161"/>
      <c r="E441" s="240"/>
    </row>
    <row r="442">
      <c r="A442" s="161"/>
      <c r="E442" s="240"/>
    </row>
    <row r="443">
      <c r="A443" s="161"/>
      <c r="E443" s="240"/>
    </row>
    <row r="444">
      <c r="A444" s="161"/>
      <c r="E444" s="240"/>
    </row>
    <row r="445">
      <c r="A445" s="161"/>
      <c r="E445" s="240"/>
    </row>
    <row r="446">
      <c r="A446" s="161"/>
      <c r="E446" s="240"/>
    </row>
    <row r="447">
      <c r="A447" s="161"/>
      <c r="E447" s="240"/>
    </row>
    <row r="448">
      <c r="A448" s="161"/>
      <c r="E448" s="240"/>
    </row>
    <row r="449">
      <c r="A449" s="161"/>
      <c r="E449" s="240"/>
    </row>
    <row r="450">
      <c r="A450" s="161"/>
      <c r="E450" s="240"/>
    </row>
    <row r="451">
      <c r="A451" s="161"/>
      <c r="E451" s="240"/>
    </row>
    <row r="452">
      <c r="A452" s="161"/>
      <c r="E452" s="240"/>
    </row>
    <row r="453">
      <c r="A453" s="161"/>
      <c r="E453" s="240"/>
    </row>
    <row r="454">
      <c r="A454" s="161"/>
      <c r="E454" s="240"/>
    </row>
    <row r="455">
      <c r="A455" s="161"/>
      <c r="E455" s="240"/>
    </row>
    <row r="456">
      <c r="A456" s="161"/>
      <c r="E456" s="240"/>
    </row>
    <row r="457">
      <c r="A457" s="161"/>
      <c r="E457" s="240"/>
    </row>
    <row r="458">
      <c r="A458" s="161"/>
      <c r="E458" s="240"/>
    </row>
    <row r="459">
      <c r="A459" s="161"/>
      <c r="E459" s="240"/>
    </row>
    <row r="460">
      <c r="A460" s="161"/>
      <c r="E460" s="240"/>
    </row>
    <row r="461">
      <c r="A461" s="161"/>
      <c r="E461" s="240"/>
    </row>
    <row r="462">
      <c r="A462" s="161"/>
      <c r="E462" s="240"/>
    </row>
    <row r="463">
      <c r="A463" s="161"/>
      <c r="E463" s="240"/>
    </row>
    <row r="464">
      <c r="A464" s="161"/>
      <c r="E464" s="240"/>
    </row>
    <row r="465">
      <c r="A465" s="161"/>
      <c r="E465" s="240"/>
    </row>
    <row r="466">
      <c r="A466" s="161"/>
      <c r="E466" s="240"/>
    </row>
    <row r="467">
      <c r="A467" s="161"/>
      <c r="E467" s="240"/>
    </row>
    <row r="468">
      <c r="A468" s="161"/>
      <c r="E468" s="240"/>
    </row>
    <row r="469">
      <c r="A469" s="161"/>
      <c r="E469" s="240"/>
    </row>
    <row r="470">
      <c r="A470" s="161"/>
      <c r="E470" s="240"/>
    </row>
    <row r="471">
      <c r="A471" s="161"/>
      <c r="E471" s="240"/>
    </row>
    <row r="472">
      <c r="A472" s="161"/>
      <c r="E472" s="240"/>
    </row>
    <row r="473">
      <c r="A473" s="161"/>
      <c r="E473" s="240"/>
    </row>
    <row r="474">
      <c r="A474" s="161"/>
      <c r="E474" s="240"/>
    </row>
    <row r="475">
      <c r="A475" s="161"/>
      <c r="E475" s="240"/>
    </row>
    <row r="476">
      <c r="A476" s="161"/>
      <c r="E476" s="240"/>
    </row>
    <row r="477">
      <c r="A477" s="161"/>
      <c r="E477" s="240"/>
    </row>
    <row r="478">
      <c r="A478" s="161"/>
      <c r="E478" s="240"/>
    </row>
    <row r="479">
      <c r="A479" s="161"/>
      <c r="E479" s="240"/>
    </row>
    <row r="480">
      <c r="A480" s="161"/>
      <c r="E480" s="240"/>
    </row>
    <row r="481">
      <c r="A481" s="161"/>
      <c r="E481" s="240"/>
    </row>
    <row r="482">
      <c r="A482" s="161"/>
      <c r="E482" s="240"/>
    </row>
    <row r="483">
      <c r="A483" s="161"/>
      <c r="E483" s="240"/>
    </row>
    <row r="484">
      <c r="A484" s="161"/>
      <c r="E484" s="240"/>
    </row>
    <row r="485">
      <c r="A485" s="161"/>
      <c r="E485" s="240"/>
    </row>
    <row r="486">
      <c r="A486" s="161"/>
      <c r="E486" s="240"/>
    </row>
    <row r="487">
      <c r="A487" s="161"/>
      <c r="E487" s="240"/>
    </row>
    <row r="488">
      <c r="A488" s="161"/>
      <c r="E488" s="240"/>
    </row>
    <row r="489">
      <c r="A489" s="161"/>
      <c r="E489" s="240"/>
    </row>
    <row r="490">
      <c r="A490" s="161"/>
      <c r="E490" s="240"/>
    </row>
    <row r="491">
      <c r="A491" s="161"/>
      <c r="E491" s="240"/>
    </row>
    <row r="492">
      <c r="A492" s="161"/>
      <c r="E492" s="240"/>
    </row>
    <row r="493">
      <c r="A493" s="161"/>
      <c r="E493" s="240"/>
    </row>
    <row r="494">
      <c r="A494" s="161"/>
      <c r="E494" s="240"/>
    </row>
    <row r="495">
      <c r="A495" s="161"/>
      <c r="E495" s="240"/>
    </row>
    <row r="496">
      <c r="A496" s="161"/>
      <c r="E496" s="240"/>
    </row>
    <row r="497">
      <c r="A497" s="161"/>
      <c r="E497" s="240"/>
    </row>
    <row r="498">
      <c r="A498" s="161"/>
      <c r="E498" s="240"/>
    </row>
    <row r="499">
      <c r="A499" s="161"/>
      <c r="E499" s="240"/>
    </row>
    <row r="500">
      <c r="A500" s="161"/>
      <c r="E500" s="240"/>
    </row>
    <row r="501">
      <c r="A501" s="161"/>
      <c r="E501" s="240"/>
    </row>
    <row r="502">
      <c r="A502" s="161"/>
      <c r="E502" s="240"/>
    </row>
    <row r="503">
      <c r="A503" s="161"/>
      <c r="E503" s="240"/>
    </row>
    <row r="504">
      <c r="A504" s="161"/>
      <c r="E504" s="240"/>
    </row>
    <row r="505">
      <c r="A505" s="161"/>
      <c r="E505" s="240"/>
    </row>
    <row r="506">
      <c r="A506" s="161"/>
      <c r="E506" s="240"/>
    </row>
    <row r="507">
      <c r="A507" s="161"/>
      <c r="E507" s="240"/>
    </row>
    <row r="508">
      <c r="A508" s="161"/>
      <c r="E508" s="240"/>
    </row>
    <row r="509">
      <c r="A509" s="161"/>
      <c r="E509" s="240"/>
    </row>
    <row r="510">
      <c r="A510" s="161"/>
      <c r="E510" s="240"/>
    </row>
    <row r="511">
      <c r="A511" s="161"/>
      <c r="E511" s="240"/>
    </row>
    <row r="512">
      <c r="A512" s="161"/>
      <c r="E512" s="240"/>
    </row>
    <row r="513">
      <c r="A513" s="161"/>
      <c r="E513" s="240"/>
    </row>
    <row r="514">
      <c r="A514" s="161"/>
      <c r="E514" s="240"/>
    </row>
    <row r="515">
      <c r="A515" s="161"/>
      <c r="E515" s="240"/>
    </row>
    <row r="516">
      <c r="A516" s="161"/>
      <c r="E516" s="240"/>
    </row>
    <row r="517">
      <c r="A517" s="161"/>
      <c r="E517" s="240"/>
    </row>
    <row r="518">
      <c r="A518" s="161"/>
      <c r="E518" s="240"/>
    </row>
    <row r="519">
      <c r="A519" s="161"/>
      <c r="E519" s="240"/>
    </row>
    <row r="520">
      <c r="A520" s="161"/>
      <c r="E520" s="240"/>
    </row>
    <row r="521">
      <c r="A521" s="161"/>
      <c r="E521" s="240"/>
    </row>
    <row r="522">
      <c r="A522" s="161"/>
      <c r="E522" s="240"/>
    </row>
    <row r="523">
      <c r="A523" s="161"/>
      <c r="E523" s="240"/>
    </row>
    <row r="524">
      <c r="A524" s="161"/>
      <c r="E524" s="240"/>
    </row>
    <row r="525">
      <c r="A525" s="161"/>
      <c r="E525" s="240"/>
    </row>
    <row r="526">
      <c r="A526" s="161"/>
      <c r="E526" s="240"/>
    </row>
    <row r="527">
      <c r="A527" s="161"/>
      <c r="E527" s="240"/>
    </row>
    <row r="528">
      <c r="A528" s="161"/>
      <c r="E528" s="240"/>
    </row>
    <row r="529">
      <c r="A529" s="161"/>
      <c r="E529" s="240"/>
    </row>
    <row r="530">
      <c r="A530" s="161"/>
      <c r="E530" s="240"/>
    </row>
    <row r="531">
      <c r="A531" s="161"/>
      <c r="E531" s="240"/>
    </row>
    <row r="532">
      <c r="A532" s="161"/>
      <c r="E532" s="240"/>
    </row>
    <row r="533">
      <c r="A533" s="161"/>
      <c r="E533" s="240"/>
    </row>
    <row r="534">
      <c r="A534" s="161"/>
      <c r="E534" s="240"/>
    </row>
    <row r="535">
      <c r="A535" s="161"/>
      <c r="E535" s="240"/>
    </row>
    <row r="536">
      <c r="A536" s="161"/>
      <c r="E536" s="240"/>
    </row>
    <row r="537">
      <c r="A537" s="161"/>
      <c r="E537" s="240"/>
    </row>
    <row r="538">
      <c r="A538" s="161"/>
      <c r="E538" s="240"/>
    </row>
    <row r="539">
      <c r="A539" s="161"/>
      <c r="E539" s="240"/>
    </row>
    <row r="540">
      <c r="A540" s="161"/>
      <c r="E540" s="240"/>
    </row>
    <row r="541">
      <c r="A541" s="161"/>
      <c r="E541" s="240"/>
    </row>
    <row r="542">
      <c r="A542" s="161"/>
      <c r="E542" s="240"/>
    </row>
    <row r="543">
      <c r="A543" s="161"/>
      <c r="E543" s="240"/>
    </row>
    <row r="544">
      <c r="A544" s="161"/>
      <c r="E544" s="240"/>
    </row>
    <row r="545">
      <c r="A545" s="161"/>
      <c r="E545" s="240"/>
    </row>
    <row r="546">
      <c r="A546" s="161"/>
      <c r="E546" s="240"/>
    </row>
    <row r="547">
      <c r="A547" s="161"/>
      <c r="E547" s="240"/>
    </row>
    <row r="548">
      <c r="A548" s="161"/>
      <c r="E548" s="240"/>
    </row>
    <row r="549">
      <c r="A549" s="161"/>
      <c r="E549" s="240"/>
    </row>
    <row r="550">
      <c r="A550" s="161"/>
      <c r="E550" s="240"/>
    </row>
    <row r="551">
      <c r="A551" s="161"/>
      <c r="E551" s="240"/>
    </row>
    <row r="552">
      <c r="A552" s="161"/>
      <c r="E552" s="240"/>
    </row>
    <row r="553">
      <c r="A553" s="161"/>
      <c r="E553" s="240"/>
    </row>
    <row r="554">
      <c r="A554" s="161"/>
      <c r="E554" s="240"/>
    </row>
    <row r="555">
      <c r="A555" s="161"/>
      <c r="E555" s="240"/>
    </row>
    <row r="556">
      <c r="A556" s="161"/>
      <c r="E556" s="240"/>
    </row>
    <row r="557">
      <c r="A557" s="161"/>
      <c r="E557" s="240"/>
    </row>
    <row r="558">
      <c r="A558" s="161"/>
      <c r="E558" s="240"/>
    </row>
    <row r="559">
      <c r="A559" s="161"/>
      <c r="E559" s="240"/>
    </row>
    <row r="560">
      <c r="A560" s="161"/>
      <c r="E560" s="240"/>
    </row>
    <row r="561">
      <c r="A561" s="161"/>
      <c r="E561" s="240"/>
    </row>
    <row r="562">
      <c r="A562" s="161"/>
      <c r="E562" s="240"/>
    </row>
    <row r="563">
      <c r="A563" s="161"/>
      <c r="E563" s="240"/>
    </row>
    <row r="564">
      <c r="A564" s="161"/>
      <c r="E564" s="240"/>
    </row>
    <row r="565">
      <c r="A565" s="161"/>
      <c r="E565" s="240"/>
    </row>
    <row r="566">
      <c r="A566" s="161"/>
      <c r="E566" s="240"/>
    </row>
    <row r="567">
      <c r="A567" s="161"/>
      <c r="E567" s="240"/>
    </row>
    <row r="568">
      <c r="A568" s="161"/>
      <c r="E568" s="240"/>
    </row>
    <row r="569">
      <c r="A569" s="161"/>
      <c r="E569" s="240"/>
    </row>
    <row r="570">
      <c r="A570" s="161"/>
      <c r="E570" s="240"/>
    </row>
    <row r="571">
      <c r="A571" s="161"/>
      <c r="E571" s="240"/>
    </row>
    <row r="572">
      <c r="A572" s="161"/>
      <c r="E572" s="240"/>
    </row>
    <row r="573">
      <c r="A573" s="161"/>
      <c r="E573" s="240"/>
    </row>
    <row r="574">
      <c r="A574" s="161"/>
      <c r="E574" s="240"/>
    </row>
    <row r="575">
      <c r="A575" s="161"/>
      <c r="E575" s="240"/>
    </row>
    <row r="576">
      <c r="A576" s="161"/>
      <c r="E576" s="240"/>
    </row>
    <row r="577">
      <c r="A577" s="161"/>
      <c r="E577" s="240"/>
    </row>
    <row r="578">
      <c r="A578" s="161"/>
      <c r="E578" s="240"/>
    </row>
    <row r="579">
      <c r="A579" s="161"/>
      <c r="E579" s="240"/>
    </row>
    <row r="580">
      <c r="A580" s="161"/>
      <c r="E580" s="240"/>
    </row>
    <row r="581">
      <c r="A581" s="161"/>
      <c r="E581" s="240"/>
    </row>
    <row r="582">
      <c r="A582" s="161"/>
      <c r="E582" s="240"/>
    </row>
    <row r="583">
      <c r="A583" s="161"/>
      <c r="E583" s="240"/>
    </row>
    <row r="584">
      <c r="A584" s="161"/>
      <c r="E584" s="240"/>
    </row>
    <row r="585">
      <c r="A585" s="161"/>
      <c r="E585" s="240"/>
    </row>
    <row r="586">
      <c r="A586" s="161"/>
      <c r="E586" s="240"/>
    </row>
    <row r="587">
      <c r="A587" s="161"/>
      <c r="E587" s="240"/>
    </row>
    <row r="588">
      <c r="A588" s="161"/>
      <c r="E588" s="240"/>
    </row>
    <row r="589">
      <c r="A589" s="161"/>
      <c r="E589" s="240"/>
    </row>
    <row r="590">
      <c r="A590" s="161"/>
      <c r="E590" s="240"/>
    </row>
    <row r="591">
      <c r="A591" s="161"/>
      <c r="E591" s="240"/>
    </row>
    <row r="592">
      <c r="A592" s="161"/>
      <c r="E592" s="240"/>
    </row>
    <row r="593">
      <c r="A593" s="161"/>
      <c r="E593" s="240"/>
    </row>
    <row r="594">
      <c r="A594" s="161"/>
      <c r="E594" s="240"/>
    </row>
    <row r="595">
      <c r="A595" s="161"/>
      <c r="E595" s="240"/>
    </row>
    <row r="596">
      <c r="A596" s="161"/>
      <c r="E596" s="240"/>
    </row>
    <row r="597">
      <c r="A597" s="161"/>
      <c r="E597" s="240"/>
    </row>
    <row r="598">
      <c r="A598" s="161"/>
      <c r="E598" s="240"/>
    </row>
    <row r="599">
      <c r="A599" s="161"/>
      <c r="E599" s="240"/>
    </row>
    <row r="600">
      <c r="A600" s="161"/>
      <c r="E600" s="240"/>
    </row>
    <row r="601">
      <c r="A601" s="161"/>
      <c r="E601" s="240"/>
    </row>
    <row r="602">
      <c r="A602" s="161"/>
      <c r="E602" s="240"/>
    </row>
    <row r="603">
      <c r="A603" s="161"/>
      <c r="E603" s="240"/>
    </row>
    <row r="604">
      <c r="A604" s="161"/>
      <c r="E604" s="240"/>
    </row>
    <row r="605">
      <c r="A605" s="161"/>
      <c r="E605" s="240"/>
    </row>
    <row r="606">
      <c r="A606" s="161"/>
      <c r="E606" s="240"/>
    </row>
    <row r="607">
      <c r="A607" s="161"/>
      <c r="E607" s="240"/>
    </row>
    <row r="608">
      <c r="A608" s="161"/>
      <c r="E608" s="240"/>
    </row>
    <row r="609">
      <c r="A609" s="161"/>
      <c r="E609" s="240"/>
    </row>
    <row r="610">
      <c r="A610" s="161"/>
      <c r="E610" s="240"/>
    </row>
    <row r="611">
      <c r="A611" s="161"/>
      <c r="E611" s="240"/>
    </row>
    <row r="612">
      <c r="A612" s="161"/>
      <c r="E612" s="240"/>
    </row>
    <row r="613">
      <c r="A613" s="161"/>
      <c r="E613" s="240"/>
    </row>
    <row r="614">
      <c r="A614" s="161"/>
      <c r="E614" s="240"/>
    </row>
    <row r="615">
      <c r="A615" s="161"/>
      <c r="E615" s="240"/>
    </row>
    <row r="616">
      <c r="A616" s="161"/>
      <c r="E616" s="240"/>
    </row>
    <row r="617">
      <c r="A617" s="161"/>
      <c r="E617" s="240"/>
    </row>
    <row r="618">
      <c r="A618" s="161"/>
      <c r="E618" s="240"/>
    </row>
    <row r="619">
      <c r="A619" s="161"/>
      <c r="E619" s="240"/>
    </row>
    <row r="620">
      <c r="A620" s="161"/>
      <c r="E620" s="240"/>
    </row>
    <row r="621">
      <c r="A621" s="161"/>
      <c r="E621" s="240"/>
    </row>
    <row r="622">
      <c r="A622" s="161"/>
      <c r="E622" s="240"/>
    </row>
    <row r="623">
      <c r="A623" s="161"/>
      <c r="E623" s="240"/>
    </row>
    <row r="624">
      <c r="A624" s="161"/>
      <c r="E624" s="240"/>
    </row>
    <row r="625">
      <c r="A625" s="161"/>
      <c r="E625" s="240"/>
    </row>
    <row r="626">
      <c r="A626" s="161"/>
      <c r="E626" s="240"/>
    </row>
    <row r="627">
      <c r="A627" s="161"/>
      <c r="E627" s="240"/>
    </row>
    <row r="628">
      <c r="A628" s="161"/>
      <c r="E628" s="240"/>
    </row>
    <row r="629">
      <c r="A629" s="161"/>
      <c r="E629" s="240"/>
    </row>
    <row r="630">
      <c r="A630" s="161"/>
      <c r="E630" s="240"/>
    </row>
    <row r="631">
      <c r="A631" s="161"/>
      <c r="E631" s="240"/>
    </row>
    <row r="632">
      <c r="A632" s="161"/>
      <c r="E632" s="240"/>
    </row>
    <row r="633">
      <c r="A633" s="161"/>
      <c r="E633" s="240"/>
    </row>
    <row r="634">
      <c r="A634" s="161"/>
      <c r="E634" s="240"/>
    </row>
    <row r="635">
      <c r="A635" s="161"/>
      <c r="E635" s="240"/>
    </row>
    <row r="636">
      <c r="A636" s="161"/>
      <c r="E636" s="240"/>
    </row>
    <row r="637">
      <c r="A637" s="161"/>
      <c r="E637" s="240"/>
    </row>
    <row r="638">
      <c r="A638" s="161"/>
      <c r="E638" s="240"/>
    </row>
    <row r="639">
      <c r="A639" s="161"/>
      <c r="E639" s="240"/>
    </row>
    <row r="640">
      <c r="A640" s="161"/>
      <c r="E640" s="240"/>
    </row>
    <row r="641">
      <c r="A641" s="161"/>
      <c r="E641" s="240"/>
    </row>
    <row r="642">
      <c r="A642" s="161"/>
      <c r="E642" s="240"/>
    </row>
    <row r="643">
      <c r="A643" s="161"/>
      <c r="E643" s="240"/>
    </row>
    <row r="644">
      <c r="A644" s="161"/>
      <c r="E644" s="240"/>
    </row>
    <row r="645">
      <c r="A645" s="161"/>
      <c r="E645" s="240"/>
    </row>
    <row r="646">
      <c r="A646" s="161"/>
      <c r="E646" s="240"/>
    </row>
    <row r="647">
      <c r="A647" s="161"/>
      <c r="E647" s="240"/>
    </row>
    <row r="648">
      <c r="A648" s="161"/>
      <c r="E648" s="240"/>
    </row>
    <row r="649">
      <c r="A649" s="161"/>
      <c r="E649" s="240"/>
    </row>
    <row r="650">
      <c r="A650" s="161"/>
      <c r="E650" s="240"/>
    </row>
    <row r="651">
      <c r="A651" s="161"/>
      <c r="E651" s="240"/>
    </row>
    <row r="652">
      <c r="A652" s="161"/>
      <c r="E652" s="240"/>
    </row>
    <row r="653">
      <c r="A653" s="161"/>
      <c r="E653" s="240"/>
    </row>
    <row r="654">
      <c r="A654" s="161"/>
      <c r="E654" s="240"/>
    </row>
    <row r="655">
      <c r="A655" s="161"/>
      <c r="E655" s="240"/>
    </row>
    <row r="656">
      <c r="A656" s="161"/>
      <c r="E656" s="240"/>
    </row>
    <row r="657">
      <c r="A657" s="161"/>
      <c r="E657" s="240"/>
    </row>
    <row r="658">
      <c r="A658" s="161"/>
      <c r="E658" s="240"/>
    </row>
    <row r="659">
      <c r="A659" s="161"/>
      <c r="E659" s="240"/>
    </row>
    <row r="660">
      <c r="A660" s="161"/>
      <c r="E660" s="240"/>
    </row>
    <row r="661">
      <c r="A661" s="161"/>
      <c r="E661" s="240"/>
    </row>
    <row r="662">
      <c r="A662" s="161"/>
      <c r="E662" s="240"/>
    </row>
    <row r="663">
      <c r="A663" s="161"/>
      <c r="E663" s="240"/>
    </row>
    <row r="664">
      <c r="A664" s="161"/>
      <c r="E664" s="240"/>
    </row>
    <row r="665">
      <c r="A665" s="161"/>
      <c r="E665" s="240"/>
    </row>
    <row r="666">
      <c r="A666" s="161"/>
      <c r="E666" s="240"/>
    </row>
    <row r="667">
      <c r="A667" s="161"/>
      <c r="E667" s="240"/>
    </row>
    <row r="668">
      <c r="A668" s="161"/>
      <c r="E668" s="240"/>
    </row>
    <row r="669">
      <c r="A669" s="161"/>
      <c r="E669" s="240"/>
    </row>
    <row r="670">
      <c r="A670" s="161"/>
      <c r="E670" s="240"/>
    </row>
    <row r="671">
      <c r="A671" s="161"/>
      <c r="E671" s="240"/>
    </row>
    <row r="672">
      <c r="A672" s="161"/>
      <c r="E672" s="240"/>
    </row>
    <row r="673">
      <c r="A673" s="161"/>
      <c r="E673" s="240"/>
    </row>
    <row r="674">
      <c r="A674" s="161"/>
      <c r="E674" s="240"/>
    </row>
    <row r="675">
      <c r="A675" s="161"/>
      <c r="E675" s="240"/>
    </row>
    <row r="676">
      <c r="A676" s="161"/>
      <c r="E676" s="240"/>
    </row>
    <row r="677">
      <c r="A677" s="161"/>
      <c r="E677" s="240"/>
    </row>
    <row r="678">
      <c r="A678" s="161"/>
      <c r="E678" s="240"/>
    </row>
    <row r="679">
      <c r="A679" s="161"/>
      <c r="E679" s="240"/>
    </row>
    <row r="680">
      <c r="A680" s="161"/>
      <c r="E680" s="240"/>
    </row>
    <row r="681">
      <c r="A681" s="161"/>
      <c r="E681" s="240"/>
    </row>
    <row r="682">
      <c r="A682" s="161"/>
      <c r="E682" s="240"/>
    </row>
    <row r="683">
      <c r="A683" s="161"/>
      <c r="E683" s="240"/>
    </row>
    <row r="684">
      <c r="A684" s="161"/>
      <c r="E684" s="240"/>
    </row>
    <row r="685">
      <c r="A685" s="161"/>
      <c r="E685" s="240"/>
    </row>
    <row r="686">
      <c r="A686" s="161"/>
      <c r="E686" s="240"/>
    </row>
    <row r="687">
      <c r="A687" s="161"/>
      <c r="E687" s="240"/>
    </row>
    <row r="688">
      <c r="A688" s="161"/>
      <c r="E688" s="240"/>
    </row>
    <row r="689">
      <c r="A689" s="161"/>
      <c r="E689" s="240"/>
    </row>
    <row r="690">
      <c r="A690" s="161"/>
      <c r="E690" s="240"/>
    </row>
    <row r="691">
      <c r="A691" s="161"/>
      <c r="E691" s="240"/>
    </row>
    <row r="692">
      <c r="A692" s="161"/>
      <c r="E692" s="240"/>
    </row>
    <row r="693">
      <c r="A693" s="161"/>
      <c r="E693" s="240"/>
    </row>
    <row r="694">
      <c r="A694" s="161"/>
      <c r="E694" s="240"/>
    </row>
    <row r="695">
      <c r="A695" s="161"/>
      <c r="E695" s="240"/>
    </row>
    <row r="696">
      <c r="A696" s="161"/>
      <c r="E696" s="240"/>
    </row>
    <row r="697">
      <c r="A697" s="161"/>
      <c r="E697" s="240"/>
    </row>
    <row r="698">
      <c r="A698" s="161"/>
      <c r="E698" s="240"/>
    </row>
    <row r="699">
      <c r="A699" s="161"/>
      <c r="E699" s="240"/>
    </row>
    <row r="700">
      <c r="A700" s="161"/>
      <c r="E700" s="240"/>
    </row>
    <row r="701">
      <c r="A701" s="161"/>
      <c r="E701" s="240"/>
    </row>
    <row r="702">
      <c r="A702" s="161"/>
      <c r="E702" s="240"/>
    </row>
    <row r="703">
      <c r="A703" s="161"/>
      <c r="E703" s="240"/>
    </row>
    <row r="704">
      <c r="A704" s="161"/>
      <c r="E704" s="240"/>
    </row>
    <row r="705">
      <c r="A705" s="161"/>
      <c r="E705" s="240"/>
    </row>
    <row r="706">
      <c r="A706" s="161"/>
      <c r="E706" s="240"/>
    </row>
    <row r="707">
      <c r="A707" s="161"/>
      <c r="E707" s="240"/>
    </row>
    <row r="708">
      <c r="A708" s="161"/>
      <c r="E708" s="240"/>
    </row>
    <row r="709">
      <c r="A709" s="161"/>
      <c r="E709" s="240"/>
    </row>
    <row r="710">
      <c r="A710" s="161"/>
      <c r="E710" s="240"/>
    </row>
    <row r="711">
      <c r="A711" s="161"/>
      <c r="E711" s="240"/>
    </row>
    <row r="712">
      <c r="A712" s="161"/>
      <c r="E712" s="240"/>
    </row>
    <row r="713">
      <c r="A713" s="161"/>
      <c r="E713" s="240"/>
    </row>
    <row r="714">
      <c r="A714" s="161"/>
      <c r="E714" s="240"/>
    </row>
    <row r="715">
      <c r="A715" s="161"/>
      <c r="E715" s="240"/>
    </row>
    <row r="716">
      <c r="A716" s="161"/>
      <c r="E716" s="240"/>
    </row>
    <row r="717">
      <c r="A717" s="161"/>
      <c r="E717" s="240"/>
    </row>
    <row r="718">
      <c r="A718" s="161"/>
      <c r="E718" s="240"/>
    </row>
    <row r="719">
      <c r="A719" s="161"/>
      <c r="E719" s="240"/>
    </row>
    <row r="720">
      <c r="A720" s="161"/>
      <c r="E720" s="240"/>
    </row>
    <row r="721">
      <c r="A721" s="161"/>
      <c r="E721" s="240"/>
    </row>
    <row r="722">
      <c r="A722" s="161"/>
      <c r="E722" s="240"/>
    </row>
    <row r="723">
      <c r="A723" s="161"/>
      <c r="E723" s="240"/>
    </row>
    <row r="724">
      <c r="A724" s="161"/>
      <c r="E724" s="240"/>
    </row>
    <row r="725">
      <c r="A725" s="161"/>
      <c r="E725" s="240"/>
    </row>
    <row r="726">
      <c r="A726" s="161"/>
      <c r="E726" s="240"/>
    </row>
    <row r="727">
      <c r="A727" s="161"/>
      <c r="E727" s="240"/>
    </row>
    <row r="728">
      <c r="A728" s="161"/>
      <c r="E728" s="240"/>
    </row>
    <row r="729">
      <c r="A729" s="161"/>
      <c r="E729" s="240"/>
    </row>
    <row r="730">
      <c r="A730" s="161"/>
      <c r="E730" s="240"/>
    </row>
    <row r="731">
      <c r="A731" s="161"/>
      <c r="E731" s="240"/>
    </row>
    <row r="732">
      <c r="A732" s="161"/>
      <c r="E732" s="240"/>
    </row>
    <row r="733">
      <c r="A733" s="161"/>
      <c r="E733" s="240"/>
    </row>
    <row r="734">
      <c r="A734" s="161"/>
      <c r="E734" s="240"/>
    </row>
    <row r="735">
      <c r="A735" s="161"/>
      <c r="E735" s="240"/>
    </row>
    <row r="736">
      <c r="A736" s="161"/>
      <c r="E736" s="240"/>
    </row>
    <row r="737">
      <c r="A737" s="161"/>
      <c r="E737" s="240"/>
    </row>
    <row r="738">
      <c r="A738" s="161"/>
      <c r="E738" s="240"/>
    </row>
    <row r="739">
      <c r="A739" s="161"/>
      <c r="E739" s="240"/>
    </row>
    <row r="740">
      <c r="A740" s="161"/>
      <c r="E740" s="240"/>
    </row>
    <row r="741">
      <c r="A741" s="161"/>
      <c r="E741" s="240"/>
    </row>
    <row r="742">
      <c r="A742" s="161"/>
      <c r="E742" s="240"/>
    </row>
    <row r="743">
      <c r="A743" s="161"/>
      <c r="E743" s="240"/>
    </row>
    <row r="744">
      <c r="A744" s="161"/>
      <c r="E744" s="240"/>
    </row>
    <row r="745">
      <c r="A745" s="161"/>
      <c r="E745" s="240"/>
    </row>
    <row r="746">
      <c r="A746" s="161"/>
      <c r="E746" s="240"/>
    </row>
    <row r="747">
      <c r="A747" s="161"/>
      <c r="E747" s="240"/>
    </row>
    <row r="748">
      <c r="A748" s="161"/>
      <c r="E748" s="240"/>
    </row>
    <row r="749">
      <c r="A749" s="161"/>
      <c r="E749" s="240"/>
    </row>
    <row r="750">
      <c r="A750" s="161"/>
      <c r="E750" s="240"/>
    </row>
    <row r="751">
      <c r="A751" s="161"/>
      <c r="E751" s="240"/>
    </row>
    <row r="752">
      <c r="A752" s="161"/>
      <c r="E752" s="240"/>
    </row>
    <row r="753">
      <c r="A753" s="161"/>
      <c r="E753" s="240"/>
    </row>
    <row r="754">
      <c r="A754" s="161"/>
      <c r="E754" s="240"/>
    </row>
    <row r="755">
      <c r="A755" s="161"/>
      <c r="E755" s="240"/>
    </row>
    <row r="756">
      <c r="A756" s="161"/>
      <c r="E756" s="240"/>
    </row>
    <row r="757">
      <c r="A757" s="161"/>
      <c r="E757" s="240"/>
    </row>
    <row r="758">
      <c r="A758" s="161"/>
      <c r="E758" s="240"/>
    </row>
    <row r="759">
      <c r="A759" s="161"/>
      <c r="E759" s="240"/>
    </row>
    <row r="760">
      <c r="A760" s="161"/>
      <c r="E760" s="240"/>
    </row>
    <row r="761">
      <c r="A761" s="161"/>
      <c r="E761" s="240"/>
    </row>
    <row r="762">
      <c r="A762" s="161"/>
      <c r="E762" s="240"/>
    </row>
    <row r="763">
      <c r="A763" s="161"/>
      <c r="E763" s="240"/>
    </row>
    <row r="764">
      <c r="A764" s="161"/>
      <c r="E764" s="240"/>
    </row>
    <row r="765">
      <c r="A765" s="161"/>
      <c r="E765" s="240"/>
    </row>
    <row r="766">
      <c r="A766" s="161"/>
      <c r="E766" s="240"/>
    </row>
    <row r="767">
      <c r="A767" s="161"/>
      <c r="E767" s="240"/>
    </row>
    <row r="768">
      <c r="A768" s="161"/>
      <c r="E768" s="240"/>
    </row>
    <row r="769">
      <c r="A769" s="161"/>
      <c r="E769" s="240"/>
    </row>
    <row r="770">
      <c r="A770" s="161"/>
      <c r="E770" s="240"/>
    </row>
    <row r="771">
      <c r="A771" s="161"/>
      <c r="E771" s="240"/>
    </row>
    <row r="772">
      <c r="A772" s="161"/>
      <c r="E772" s="240"/>
    </row>
    <row r="773">
      <c r="A773" s="161"/>
      <c r="E773" s="240"/>
    </row>
    <row r="774">
      <c r="A774" s="161"/>
      <c r="E774" s="240"/>
    </row>
    <row r="775">
      <c r="A775" s="161"/>
      <c r="E775" s="240"/>
    </row>
    <row r="776">
      <c r="A776" s="161"/>
      <c r="E776" s="240"/>
    </row>
    <row r="777">
      <c r="A777" s="161"/>
      <c r="E777" s="240"/>
    </row>
    <row r="778">
      <c r="A778" s="161"/>
      <c r="E778" s="240"/>
    </row>
    <row r="779">
      <c r="A779" s="161"/>
      <c r="E779" s="240"/>
    </row>
    <row r="780">
      <c r="A780" s="161"/>
      <c r="E780" s="240"/>
    </row>
    <row r="781">
      <c r="A781" s="161"/>
      <c r="E781" s="240"/>
    </row>
    <row r="782">
      <c r="A782" s="161"/>
      <c r="E782" s="240"/>
    </row>
    <row r="783">
      <c r="A783" s="161"/>
      <c r="E783" s="240"/>
    </row>
    <row r="784">
      <c r="A784" s="161"/>
      <c r="E784" s="240"/>
    </row>
    <row r="785">
      <c r="A785" s="161"/>
      <c r="E785" s="240"/>
    </row>
    <row r="786">
      <c r="A786" s="161"/>
      <c r="E786" s="240"/>
    </row>
    <row r="787">
      <c r="A787" s="161"/>
      <c r="E787" s="240"/>
    </row>
    <row r="788">
      <c r="A788" s="161"/>
      <c r="E788" s="240"/>
    </row>
    <row r="789">
      <c r="A789" s="161"/>
      <c r="E789" s="240"/>
    </row>
    <row r="790">
      <c r="A790" s="161"/>
      <c r="E790" s="240"/>
    </row>
    <row r="791">
      <c r="A791" s="161"/>
      <c r="E791" s="240"/>
    </row>
    <row r="792">
      <c r="A792" s="161"/>
      <c r="E792" s="240"/>
    </row>
    <row r="793">
      <c r="A793" s="161"/>
      <c r="E793" s="240"/>
    </row>
    <row r="794">
      <c r="A794" s="161"/>
      <c r="E794" s="240"/>
    </row>
    <row r="795">
      <c r="A795" s="161"/>
      <c r="E795" s="240"/>
    </row>
    <row r="796">
      <c r="A796" s="161"/>
      <c r="E796" s="240"/>
    </row>
    <row r="797">
      <c r="A797" s="161"/>
      <c r="E797" s="240"/>
    </row>
    <row r="798">
      <c r="A798" s="161"/>
      <c r="E798" s="240"/>
    </row>
    <row r="799">
      <c r="A799" s="161"/>
      <c r="E799" s="240"/>
    </row>
    <row r="800">
      <c r="A800" s="161"/>
      <c r="E800" s="240"/>
    </row>
    <row r="801">
      <c r="A801" s="161"/>
      <c r="E801" s="240"/>
    </row>
    <row r="802">
      <c r="A802" s="161"/>
      <c r="E802" s="240"/>
    </row>
    <row r="803">
      <c r="A803" s="161"/>
      <c r="E803" s="240"/>
    </row>
    <row r="804">
      <c r="A804" s="161"/>
      <c r="E804" s="240"/>
    </row>
    <row r="805">
      <c r="A805" s="161"/>
      <c r="E805" s="240"/>
    </row>
    <row r="806">
      <c r="A806" s="161"/>
      <c r="E806" s="240"/>
    </row>
    <row r="807">
      <c r="A807" s="161"/>
      <c r="E807" s="240"/>
    </row>
    <row r="808">
      <c r="A808" s="161"/>
      <c r="E808" s="240"/>
    </row>
    <row r="809">
      <c r="A809" s="161"/>
      <c r="E809" s="240"/>
    </row>
    <row r="810">
      <c r="A810" s="161"/>
      <c r="E810" s="240"/>
    </row>
    <row r="811">
      <c r="A811" s="161"/>
      <c r="E811" s="240"/>
    </row>
    <row r="812">
      <c r="A812" s="161"/>
      <c r="E812" s="240"/>
    </row>
    <row r="813">
      <c r="A813" s="161"/>
      <c r="E813" s="240"/>
    </row>
    <row r="814">
      <c r="A814" s="161"/>
      <c r="E814" s="240"/>
    </row>
    <row r="815">
      <c r="A815" s="161"/>
      <c r="E815" s="240"/>
    </row>
    <row r="816">
      <c r="A816" s="161"/>
      <c r="E816" s="240"/>
    </row>
    <row r="817">
      <c r="A817" s="161"/>
      <c r="E817" s="240"/>
    </row>
    <row r="818">
      <c r="A818" s="161"/>
      <c r="E818" s="240"/>
    </row>
    <row r="819">
      <c r="A819" s="161"/>
      <c r="E819" s="240"/>
    </row>
    <row r="820">
      <c r="A820" s="161"/>
      <c r="E820" s="240"/>
    </row>
    <row r="821">
      <c r="A821" s="161"/>
      <c r="E821" s="240"/>
    </row>
    <row r="822">
      <c r="A822" s="161"/>
      <c r="E822" s="240"/>
    </row>
    <row r="823">
      <c r="A823" s="161"/>
      <c r="E823" s="240"/>
    </row>
    <row r="824">
      <c r="A824" s="161"/>
      <c r="E824" s="240"/>
    </row>
    <row r="825">
      <c r="A825" s="161"/>
      <c r="E825" s="240"/>
    </row>
    <row r="826">
      <c r="A826" s="161"/>
      <c r="E826" s="240"/>
    </row>
    <row r="827">
      <c r="A827" s="161"/>
      <c r="E827" s="240"/>
    </row>
    <row r="828">
      <c r="A828" s="161"/>
      <c r="E828" s="240"/>
    </row>
    <row r="829">
      <c r="A829" s="161"/>
      <c r="E829" s="240"/>
    </row>
    <row r="830">
      <c r="A830" s="161"/>
      <c r="E830" s="240"/>
    </row>
    <row r="831">
      <c r="A831" s="161"/>
      <c r="E831" s="240"/>
    </row>
    <row r="832">
      <c r="A832" s="161"/>
      <c r="E832" s="240"/>
    </row>
    <row r="833">
      <c r="A833" s="161"/>
      <c r="E833" s="240"/>
    </row>
    <row r="834">
      <c r="A834" s="161"/>
      <c r="E834" s="240"/>
    </row>
    <row r="835">
      <c r="A835" s="161"/>
      <c r="E835" s="240"/>
    </row>
    <row r="836">
      <c r="A836" s="161"/>
      <c r="E836" s="240"/>
    </row>
    <row r="837">
      <c r="A837" s="161"/>
      <c r="E837" s="240"/>
    </row>
    <row r="838">
      <c r="A838" s="161"/>
      <c r="E838" s="240"/>
    </row>
    <row r="839">
      <c r="A839" s="161"/>
      <c r="E839" s="240"/>
    </row>
    <row r="840">
      <c r="A840" s="161"/>
      <c r="E840" s="240"/>
    </row>
    <row r="841">
      <c r="A841" s="161"/>
      <c r="E841" s="240"/>
    </row>
    <row r="842">
      <c r="A842" s="161"/>
      <c r="E842" s="240"/>
    </row>
    <row r="843">
      <c r="A843" s="161"/>
      <c r="E843" s="240"/>
    </row>
    <row r="844">
      <c r="A844" s="161"/>
      <c r="E844" s="240"/>
    </row>
    <row r="845">
      <c r="A845" s="161"/>
      <c r="E845" s="240"/>
    </row>
    <row r="846">
      <c r="A846" s="161"/>
      <c r="E846" s="240"/>
    </row>
    <row r="847">
      <c r="A847" s="161"/>
      <c r="E847" s="240"/>
    </row>
    <row r="848">
      <c r="A848" s="161"/>
      <c r="E848" s="240"/>
    </row>
    <row r="849">
      <c r="A849" s="161"/>
      <c r="E849" s="240"/>
    </row>
    <row r="850">
      <c r="A850" s="161"/>
      <c r="E850" s="240"/>
    </row>
    <row r="851">
      <c r="A851" s="161"/>
      <c r="E851" s="240"/>
    </row>
    <row r="852">
      <c r="A852" s="161"/>
      <c r="E852" s="240"/>
    </row>
    <row r="853">
      <c r="A853" s="161"/>
      <c r="E853" s="240"/>
    </row>
    <row r="854">
      <c r="A854" s="161"/>
      <c r="E854" s="240"/>
    </row>
    <row r="855">
      <c r="A855" s="161"/>
      <c r="E855" s="240"/>
    </row>
    <row r="856">
      <c r="A856" s="161"/>
      <c r="E856" s="240"/>
    </row>
    <row r="857">
      <c r="A857" s="161"/>
      <c r="E857" s="240"/>
    </row>
    <row r="858">
      <c r="A858" s="161"/>
      <c r="E858" s="240"/>
    </row>
    <row r="859">
      <c r="A859" s="161"/>
      <c r="E859" s="240"/>
    </row>
    <row r="860">
      <c r="A860" s="161"/>
      <c r="E860" s="240"/>
    </row>
    <row r="861">
      <c r="A861" s="161"/>
      <c r="E861" s="240"/>
    </row>
    <row r="862">
      <c r="A862" s="161"/>
      <c r="E862" s="240"/>
    </row>
    <row r="863">
      <c r="A863" s="161"/>
      <c r="E863" s="240"/>
    </row>
    <row r="864">
      <c r="A864" s="161"/>
      <c r="E864" s="240"/>
    </row>
    <row r="865">
      <c r="A865" s="161"/>
      <c r="E865" s="240"/>
    </row>
    <row r="866">
      <c r="A866" s="161"/>
      <c r="E866" s="240"/>
    </row>
    <row r="867">
      <c r="A867" s="161"/>
      <c r="E867" s="240"/>
    </row>
    <row r="868">
      <c r="A868" s="161"/>
      <c r="E868" s="240"/>
    </row>
    <row r="869">
      <c r="A869" s="161"/>
      <c r="E869" s="240"/>
    </row>
    <row r="870">
      <c r="A870" s="161"/>
      <c r="E870" s="240"/>
    </row>
    <row r="871">
      <c r="A871" s="161"/>
      <c r="E871" s="240"/>
    </row>
    <row r="872">
      <c r="A872" s="161"/>
      <c r="E872" s="240"/>
    </row>
    <row r="873">
      <c r="A873" s="161"/>
      <c r="E873" s="240"/>
    </row>
    <row r="874">
      <c r="A874" s="161"/>
      <c r="E874" s="240"/>
    </row>
    <row r="875">
      <c r="A875" s="161"/>
      <c r="E875" s="240"/>
    </row>
    <row r="876">
      <c r="A876" s="161"/>
      <c r="E876" s="240"/>
    </row>
    <row r="877">
      <c r="A877" s="161"/>
      <c r="E877" s="240"/>
    </row>
    <row r="878">
      <c r="A878" s="161"/>
      <c r="E878" s="240"/>
    </row>
    <row r="879">
      <c r="A879" s="161"/>
      <c r="E879" s="240"/>
    </row>
    <row r="880">
      <c r="A880" s="161"/>
      <c r="E880" s="240"/>
    </row>
    <row r="881">
      <c r="A881" s="161"/>
      <c r="E881" s="240"/>
    </row>
    <row r="882">
      <c r="A882" s="161"/>
      <c r="E882" s="240"/>
    </row>
    <row r="883">
      <c r="A883" s="161"/>
      <c r="E883" s="240"/>
    </row>
    <row r="884">
      <c r="A884" s="161"/>
      <c r="E884" s="240"/>
    </row>
    <row r="885">
      <c r="A885" s="161"/>
      <c r="E885" s="240"/>
    </row>
    <row r="886">
      <c r="A886" s="161"/>
      <c r="E886" s="240"/>
    </row>
    <row r="887">
      <c r="A887" s="161"/>
      <c r="E887" s="240"/>
    </row>
    <row r="888">
      <c r="A888" s="161"/>
      <c r="E888" s="240"/>
    </row>
    <row r="889">
      <c r="A889" s="161"/>
      <c r="E889" s="240"/>
    </row>
    <row r="890">
      <c r="A890" s="161"/>
      <c r="E890" s="240"/>
    </row>
    <row r="891">
      <c r="A891" s="161"/>
      <c r="E891" s="240"/>
    </row>
    <row r="892">
      <c r="A892" s="161"/>
      <c r="E892" s="240"/>
    </row>
    <row r="893">
      <c r="A893" s="161"/>
      <c r="E893" s="240"/>
    </row>
    <row r="894">
      <c r="A894" s="161"/>
      <c r="E894" s="240"/>
    </row>
    <row r="895">
      <c r="A895" s="161"/>
      <c r="E895" s="240"/>
    </row>
    <row r="896">
      <c r="A896" s="161"/>
      <c r="E896" s="240"/>
    </row>
    <row r="897">
      <c r="A897" s="161"/>
      <c r="E897" s="240"/>
    </row>
    <row r="898">
      <c r="A898" s="161"/>
      <c r="E898" s="240"/>
    </row>
    <row r="899">
      <c r="A899" s="161"/>
      <c r="E899" s="240"/>
    </row>
    <row r="900">
      <c r="A900" s="161"/>
      <c r="E900" s="240"/>
    </row>
    <row r="901">
      <c r="A901" s="161"/>
      <c r="E901" s="240"/>
    </row>
    <row r="902">
      <c r="A902" s="161"/>
      <c r="E902" s="240"/>
    </row>
    <row r="903">
      <c r="A903" s="161"/>
      <c r="E903" s="240"/>
    </row>
    <row r="904">
      <c r="A904" s="161"/>
      <c r="E904" s="240"/>
    </row>
    <row r="905">
      <c r="A905" s="161"/>
      <c r="E905" s="240"/>
    </row>
    <row r="906">
      <c r="A906" s="161"/>
      <c r="E906" s="240"/>
    </row>
    <row r="907">
      <c r="A907" s="161"/>
      <c r="E907" s="240"/>
    </row>
    <row r="908">
      <c r="A908" s="161"/>
      <c r="E908" s="240"/>
    </row>
    <row r="909">
      <c r="A909" s="161"/>
      <c r="E909" s="240"/>
    </row>
    <row r="910">
      <c r="A910" s="161"/>
      <c r="E910" s="240"/>
    </row>
    <row r="911">
      <c r="A911" s="161"/>
      <c r="E911" s="240"/>
    </row>
    <row r="912">
      <c r="A912" s="161"/>
      <c r="E912" s="240"/>
    </row>
    <row r="913">
      <c r="A913" s="161"/>
      <c r="E913" s="240"/>
    </row>
    <row r="914">
      <c r="A914" s="161"/>
      <c r="E914" s="240"/>
    </row>
    <row r="915">
      <c r="A915" s="161"/>
      <c r="E915" s="240"/>
    </row>
    <row r="916">
      <c r="A916" s="161"/>
      <c r="E916" s="240"/>
    </row>
    <row r="917">
      <c r="A917" s="161"/>
      <c r="E917" s="240"/>
    </row>
    <row r="918">
      <c r="A918" s="161"/>
      <c r="E918" s="240"/>
    </row>
    <row r="919">
      <c r="A919" s="161"/>
      <c r="E919" s="240"/>
    </row>
    <row r="920">
      <c r="A920" s="161"/>
      <c r="E920" s="240"/>
    </row>
    <row r="921">
      <c r="A921" s="161"/>
      <c r="E921" s="240"/>
    </row>
    <row r="922">
      <c r="A922" s="161"/>
      <c r="E922" s="240"/>
    </row>
    <row r="923">
      <c r="A923" s="161"/>
      <c r="E923" s="240"/>
    </row>
    <row r="924">
      <c r="A924" s="161"/>
      <c r="E924" s="240"/>
    </row>
    <row r="925">
      <c r="A925" s="161"/>
      <c r="E925" s="240"/>
    </row>
    <row r="926">
      <c r="A926" s="161"/>
      <c r="E926" s="240"/>
    </row>
    <row r="927">
      <c r="A927" s="161"/>
      <c r="E927" s="240"/>
    </row>
    <row r="928">
      <c r="A928" s="161"/>
      <c r="E928" s="240"/>
    </row>
    <row r="929">
      <c r="A929" s="161"/>
      <c r="E929" s="240"/>
    </row>
    <row r="930">
      <c r="A930" s="161"/>
      <c r="E930" s="240"/>
    </row>
    <row r="931">
      <c r="A931" s="161"/>
      <c r="E931" s="240"/>
    </row>
    <row r="932">
      <c r="A932" s="161"/>
      <c r="E932" s="240"/>
    </row>
    <row r="933">
      <c r="A933" s="161"/>
      <c r="E933" s="240"/>
    </row>
    <row r="934">
      <c r="A934" s="161"/>
      <c r="E934" s="240"/>
    </row>
    <row r="935">
      <c r="A935" s="161"/>
      <c r="E935" s="240"/>
    </row>
    <row r="936">
      <c r="A936" s="161"/>
      <c r="E936" s="240"/>
    </row>
    <row r="937">
      <c r="A937" s="161"/>
      <c r="E937" s="240"/>
    </row>
    <row r="938">
      <c r="A938" s="161"/>
      <c r="E938" s="240"/>
    </row>
    <row r="939">
      <c r="A939" s="161"/>
      <c r="E939" s="240"/>
    </row>
    <row r="940">
      <c r="A940" s="161"/>
      <c r="E940" s="240"/>
    </row>
    <row r="941">
      <c r="A941" s="161"/>
      <c r="E941" s="240"/>
    </row>
    <row r="942">
      <c r="A942" s="161"/>
      <c r="E942" s="240"/>
    </row>
    <row r="943">
      <c r="A943" s="161"/>
      <c r="E943" s="240"/>
    </row>
    <row r="944">
      <c r="A944" s="161"/>
      <c r="E944" s="240"/>
    </row>
    <row r="945">
      <c r="A945" s="161"/>
      <c r="E945" s="240"/>
    </row>
    <row r="946">
      <c r="A946" s="161"/>
      <c r="E946" s="240"/>
    </row>
    <row r="947">
      <c r="A947" s="161"/>
      <c r="E947" s="240"/>
    </row>
    <row r="948">
      <c r="A948" s="161"/>
      <c r="E948" s="240"/>
    </row>
    <row r="949">
      <c r="A949" s="161"/>
      <c r="E949" s="240"/>
    </row>
    <row r="950">
      <c r="A950" s="161"/>
      <c r="E950" s="240"/>
    </row>
    <row r="951">
      <c r="A951" s="161"/>
      <c r="E951" s="240"/>
    </row>
    <row r="952">
      <c r="A952" s="161"/>
      <c r="E952" s="240"/>
    </row>
    <row r="953">
      <c r="A953" s="161"/>
      <c r="E953" s="240"/>
    </row>
    <row r="954">
      <c r="A954" s="161"/>
      <c r="E954" s="240"/>
    </row>
    <row r="955">
      <c r="A955" s="161"/>
      <c r="E955" s="240"/>
    </row>
    <row r="956">
      <c r="A956" s="161"/>
      <c r="E956" s="240"/>
    </row>
    <row r="957">
      <c r="A957" s="161"/>
      <c r="E957" s="240"/>
    </row>
    <row r="958">
      <c r="A958" s="161"/>
      <c r="E958" s="240"/>
    </row>
    <row r="959">
      <c r="A959" s="161"/>
      <c r="E959" s="240"/>
    </row>
    <row r="960">
      <c r="A960" s="161"/>
      <c r="E960" s="240"/>
    </row>
    <row r="961">
      <c r="A961" s="161"/>
      <c r="E961" s="240"/>
    </row>
    <row r="962">
      <c r="A962" s="161"/>
      <c r="E962" s="240"/>
    </row>
    <row r="963">
      <c r="A963" s="161"/>
      <c r="E963" s="240"/>
    </row>
    <row r="964">
      <c r="A964" s="161"/>
      <c r="E964" s="240"/>
    </row>
    <row r="965">
      <c r="A965" s="161"/>
      <c r="E965" s="240"/>
    </row>
    <row r="966">
      <c r="A966" s="161"/>
      <c r="E966" s="240"/>
    </row>
    <row r="967">
      <c r="A967" s="161"/>
      <c r="E967" s="240"/>
    </row>
    <row r="968">
      <c r="A968" s="161"/>
      <c r="E968" s="240"/>
    </row>
    <row r="969">
      <c r="A969" s="161"/>
      <c r="E969" s="240"/>
    </row>
    <row r="970">
      <c r="A970" s="161"/>
      <c r="E970" s="240"/>
    </row>
    <row r="971">
      <c r="A971" s="161"/>
      <c r="E971" s="240"/>
    </row>
    <row r="972">
      <c r="A972" s="161"/>
      <c r="E972" s="240"/>
    </row>
    <row r="973">
      <c r="A973" s="161"/>
      <c r="E973" s="240"/>
    </row>
    <row r="974">
      <c r="A974" s="161"/>
      <c r="E974" s="240"/>
    </row>
    <row r="975">
      <c r="A975" s="161"/>
      <c r="E975" s="240"/>
    </row>
    <row r="976">
      <c r="A976" s="161"/>
      <c r="E976" s="240"/>
    </row>
    <row r="977">
      <c r="A977" s="161"/>
      <c r="E977" s="240"/>
    </row>
    <row r="978">
      <c r="A978" s="161"/>
      <c r="E978" s="240"/>
    </row>
    <row r="979">
      <c r="A979" s="161"/>
      <c r="E979" s="240"/>
    </row>
    <row r="980">
      <c r="A980" s="161"/>
      <c r="E980" s="240"/>
    </row>
    <row r="981">
      <c r="A981" s="161"/>
      <c r="E981" s="240"/>
    </row>
    <row r="982">
      <c r="A982" s="161"/>
      <c r="E982" s="240"/>
    </row>
    <row r="983">
      <c r="A983" s="161"/>
      <c r="E983" s="240"/>
    </row>
    <row r="984">
      <c r="A984" s="161"/>
      <c r="E984" s="240"/>
    </row>
    <row r="985">
      <c r="A985" s="161"/>
      <c r="E985" s="240"/>
    </row>
    <row r="986">
      <c r="A986" s="161"/>
      <c r="E986" s="240"/>
    </row>
    <row r="987">
      <c r="A987" s="161"/>
      <c r="E987" s="240"/>
    </row>
    <row r="988">
      <c r="A988" s="161"/>
      <c r="E988" s="240"/>
    </row>
    <row r="989">
      <c r="A989" s="161"/>
      <c r="E989" s="240"/>
    </row>
    <row r="990">
      <c r="A990" s="161"/>
      <c r="E990" s="240"/>
    </row>
    <row r="991">
      <c r="A991" s="161"/>
      <c r="E991" s="240"/>
    </row>
    <row r="992">
      <c r="A992" s="161"/>
      <c r="E992" s="240"/>
    </row>
    <row r="993">
      <c r="A993" s="161"/>
      <c r="E993" s="240"/>
    </row>
    <row r="994">
      <c r="A994" s="161"/>
      <c r="E994" s="240"/>
    </row>
    <row r="995">
      <c r="A995" s="161"/>
      <c r="E995" s="240"/>
    </row>
    <row r="996">
      <c r="A996" s="161"/>
      <c r="E996" s="240"/>
    </row>
    <row r="997">
      <c r="A997" s="161"/>
      <c r="E997" s="240"/>
    </row>
    <row r="998">
      <c r="A998" s="161"/>
      <c r="E998" s="240"/>
    </row>
    <row r="999">
      <c r="A999" s="161"/>
      <c r="E999" s="240"/>
    </row>
    <row r="1000">
      <c r="A1000" s="161"/>
      <c r="E1000" s="240"/>
    </row>
    <row r="1001">
      <c r="A1001" s="161"/>
      <c r="E1001" s="240"/>
    </row>
  </sheetData>
  <dataValidations>
    <dataValidation type="list" allowBlank="1" showErrorMessage="1" sqref="A1:A1001">
      <formula1>'Accounts Data'!$A:$A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75"/>
    <col customWidth="1" min="3" max="3" width="11.75"/>
    <col customWidth="1" min="4" max="4" width="33.25"/>
    <col customWidth="1" min="5" max="5" width="23.88"/>
    <col customWidth="1" min="6" max="6" width="25.25"/>
    <col customWidth="1" min="7" max="7" width="45.13"/>
    <col customWidth="1" min="8" max="8" width="34.75"/>
  </cols>
  <sheetData>
    <row r="1">
      <c r="A1" s="254" t="s">
        <v>0</v>
      </c>
      <c r="B1" s="254" t="s">
        <v>719</v>
      </c>
      <c r="C1" s="254" t="s">
        <v>874</v>
      </c>
      <c r="D1" s="254" t="s">
        <v>359</v>
      </c>
      <c r="E1" s="254" t="s">
        <v>721</v>
      </c>
      <c r="F1" s="256" t="s">
        <v>875</v>
      </c>
      <c r="G1" s="241" t="s">
        <v>722</v>
      </c>
    </row>
    <row r="2">
      <c r="A2" s="235">
        <v>46174.0</v>
      </c>
      <c r="B2" s="173" t="s">
        <v>878</v>
      </c>
      <c r="C2" s="227">
        <v>210.0</v>
      </c>
      <c r="D2" s="31" t="str">
        <f t="array" ref="D2">IF(E2="","",_xlfn.XLOOKUP(E2,Accounts!B:B,Accounts!C:C,""))</f>
        <v>Ac: 38991926 C: 04-00-06</v>
      </c>
      <c r="E2" s="31" t="str">
        <f t="array" ref="E2">IF(B2="","",_xlfn.XLOOKUP(B2,Accounts!A:A,Accounts!B:B,""))</f>
        <v>Saria Monzo</v>
      </c>
      <c r="F2" s="31" t="str">
        <f t="array" ref="F2">IF(E2="","",_xlfn.XLOOKUP(E2,Accounts!B:B,Accounts!D:D,""))</f>
        <v>Nill </v>
      </c>
      <c r="G2" s="272" t="str">
        <f t="array" ref="G2:G50498">IF(B2:B50498="","",IFERROR(VLOOKUP(B2:B50498,Accounts!A:E,5,FALSE),""))</f>
        <v/>
      </c>
    </row>
    <row r="3">
      <c r="A3" s="235">
        <v>46176.0</v>
      </c>
      <c r="B3" s="173" t="s">
        <v>410</v>
      </c>
      <c r="C3" s="227">
        <v>203.0</v>
      </c>
      <c r="D3" s="31" t="str">
        <f t="array" ref="D3">IF(E3="","",_xlfn.XLOOKUP(E3,Accounts!B:B,Accounts!C:C,""))</f>
        <v>Ac: 00174781 C: 04-19-19</v>
      </c>
      <c r="E3" s="31" t="str">
        <f t="array" ref="E3">IF(B3="","",_xlfn.XLOOKUP(B3,Accounts!A:A,Accounts!B:B,""))</f>
        <v>Abbas Taptap</v>
      </c>
      <c r="F3" s="31" t="str">
        <f t="array" ref="F3">IF(E3="","",_xlfn.XLOOKUP(E3,Accounts!B:B,Accounts!D:D,""))</f>
        <v>Nill </v>
      </c>
      <c r="G3" s="272"/>
    </row>
    <row r="4">
      <c r="A4" s="235">
        <v>46176.0</v>
      </c>
      <c r="B4" s="173" t="s">
        <v>416</v>
      </c>
      <c r="C4" s="227">
        <v>131.0</v>
      </c>
      <c r="D4" s="31" t="str">
        <f t="array" ref="D4">IF(E4="","",_xlfn.XLOOKUP(E4,Accounts!B:B,Accounts!C:C,""))</f>
        <v>Ac: 00879986 C: 04-09-72</v>
      </c>
      <c r="E4" s="31" t="str">
        <f t="array" ref="E4">IF(B4="","",_xlfn.XLOOKUP(B4,Accounts!A:A,Accounts!B:B,""))</f>
        <v>Abbas Nsave</v>
      </c>
      <c r="F4" s="31" t="str">
        <f t="array" ref="F4">IF(E4="","",_xlfn.XLOOKUP(E4,Accounts!B:B,Accounts!D:D,""))</f>
        <v>Ac: 39641166 C: 23-08-01</v>
      </c>
      <c r="G4" s="272" t="s">
        <v>739</v>
      </c>
    </row>
    <row r="5">
      <c r="A5" s="235">
        <v>46176.0</v>
      </c>
      <c r="B5" s="173" t="s">
        <v>421</v>
      </c>
      <c r="C5" s="227">
        <v>86.0</v>
      </c>
      <c r="D5" s="31" t="str">
        <f t="array" ref="D5">IF(E5="","",_xlfn.XLOOKUP(E5,Accounts!B:B,Accounts!C:C,""))</f>
        <v>Ac: 00879986 C: 04-09-72</v>
      </c>
      <c r="E5" s="31" t="str">
        <f t="array" ref="E5">IF(B5="","",_xlfn.XLOOKUP(B5,Accounts!A:A,Accounts!B:B,""))</f>
        <v>Abbas Nsave</v>
      </c>
      <c r="F5" s="31" t="str">
        <f t="array" ref="F5">IF(E5="","",_xlfn.XLOOKUP(E5,Accounts!B:B,Accounts!D:D,""))</f>
        <v>Ac: 39641166 C: 23-08-01</v>
      </c>
      <c r="G5" s="272" t="s">
        <v>739</v>
      </c>
    </row>
    <row r="6">
      <c r="A6" s="235">
        <v>46176.0</v>
      </c>
      <c r="B6" s="173" t="s">
        <v>899</v>
      </c>
      <c r="C6" s="227">
        <v>124.0</v>
      </c>
      <c r="D6" s="31" t="str">
        <f t="array" ref="D6">IF(E6="","",_xlfn.XLOOKUP(E6,Accounts!B:B,Accounts!C:C,""))</f>
        <v>Ac: 36409799 C: 04-00-06</v>
      </c>
      <c r="E6" s="31" t="str">
        <f t="array" ref="E6">IF(B6="","",_xlfn.XLOOKUP(B6,Accounts!A:A,Accounts!B:B,""))</f>
        <v>Sarim Monzo </v>
      </c>
      <c r="F6" s="31" t="str">
        <f t="array" ref="F6">IF(E6="","",_xlfn.XLOOKUP(E6,Accounts!B:B,Accounts!D:D,""))</f>
        <v>Nill </v>
      </c>
      <c r="G6" s="272"/>
    </row>
    <row r="7">
      <c r="A7" s="235">
        <v>46186.0</v>
      </c>
      <c r="B7" s="173" t="s">
        <v>724</v>
      </c>
      <c r="C7" s="227">
        <v>104.6</v>
      </c>
      <c r="D7" s="31" t="str">
        <f t="array" ref="D7">IF(E7="","",_xlfn.XLOOKUP(E7,Accounts!B:B,Accounts!C:C,""))</f>
        <v>Ac: 20946673 C: 04-00-05</v>
      </c>
      <c r="E7" s="31" t="str">
        <f t="array" ref="E7">IF(B7="","",_xlfn.XLOOKUP(B7,Accounts!A:A,Accounts!B:B,""))</f>
        <v>Hamza Monzo </v>
      </c>
      <c r="F7" s="31" t="str">
        <f t="array" ref="F7">IF(E7="","",_xlfn.XLOOKUP(E7,Accounts!B:B,Accounts!D:D,""))</f>
        <v>Nill </v>
      </c>
      <c r="G7" s="272"/>
    </row>
    <row r="8">
      <c r="A8" s="278">
        <v>46188.0</v>
      </c>
      <c r="B8" s="173" t="s">
        <v>744</v>
      </c>
      <c r="C8" s="184">
        <v>54.0</v>
      </c>
      <c r="D8" s="31" t="str">
        <f t="array" ref="D8">IF(E8="","",_xlfn.XLOOKUP(E8,Accounts!B:B,Accounts!C:C,""))</f>
        <v>Ac: 00888379 C: 04-09-72</v>
      </c>
      <c r="E8" s="31" t="str">
        <f t="array" ref="E8">IF(B8="","",_xlfn.XLOOKUP(B8,Accounts!A:A,Accounts!B:B,""))</f>
        <v>Nosheen Nsave</v>
      </c>
      <c r="F8" s="31" t="str">
        <f t="array" ref="F8">IF(E8="","",_xlfn.XLOOKUP(E8,Accounts!B:B,Accounts!D:D,""))</f>
        <v>Ac: 15204491 C: 23-08-01</v>
      </c>
      <c r="G8" s="272" t="s">
        <v>739</v>
      </c>
    </row>
    <row r="9">
      <c r="A9" s="278">
        <v>46188.0</v>
      </c>
      <c r="B9" s="173" t="s">
        <v>372</v>
      </c>
      <c r="C9" s="227">
        <v>22.0</v>
      </c>
      <c r="D9" s="31" t="str">
        <f t="array" ref="D9">IF(E9="","",_xlfn.XLOOKUP(E9,Accounts!B:B,Accounts!C:C,""))</f>
        <v>Ac: 00888379 C: 04-09-72</v>
      </c>
      <c r="E9" s="31" t="str">
        <f t="array" ref="E9">IF(B9="","",_xlfn.XLOOKUP(B9,Accounts!A:A,Accounts!B:B,""))</f>
        <v>Nosheen Nsave</v>
      </c>
      <c r="F9" s="31" t="str">
        <f t="array" ref="F9">IF(E9="","",_xlfn.XLOOKUP(E9,Accounts!B:B,Accounts!D:D,""))</f>
        <v>Ac: 15204491 C: 23-08-01</v>
      </c>
      <c r="G9" s="272" t="s">
        <v>739</v>
      </c>
    </row>
    <row r="10">
      <c r="A10" s="278">
        <v>46188.0</v>
      </c>
      <c r="B10" s="173" t="s">
        <v>428</v>
      </c>
      <c r="C10" s="227">
        <v>234.0</v>
      </c>
      <c r="D10" s="31" t="str">
        <f t="array" ref="D10">IF(E10="","",_xlfn.XLOOKUP(E10,Accounts!B:B,Accounts!C:C,""))</f>
        <v>Ac: 36409799 C: 04-00-06</v>
      </c>
      <c r="E10" s="31" t="str">
        <f t="array" ref="E10">IF(B10="","",_xlfn.XLOOKUP(B10,Accounts!A:A,Accounts!B:B,""))</f>
        <v>Sarim Monzo </v>
      </c>
      <c r="F10" s="31" t="str">
        <f t="array" ref="F10">IF(E10="","",_xlfn.XLOOKUP(E10,Accounts!B:B,Accounts!D:D,""))</f>
        <v>Nill </v>
      </c>
      <c r="G10" s="272"/>
    </row>
    <row r="11">
      <c r="A11" s="278">
        <v>46188.0</v>
      </c>
      <c r="B11" s="173" t="s">
        <v>366</v>
      </c>
      <c r="C11" s="227">
        <v>164.0</v>
      </c>
      <c r="D11" s="31" t="str">
        <f t="array" ref="D11">IF(E11="","",_xlfn.XLOOKUP(E11,Accounts!B:B,Accounts!C:C,""))</f>
        <v>Ac: 38991926 C: 04-00-06</v>
      </c>
      <c r="E11" s="31" t="str">
        <f t="array" ref="E11">IF(B11="","",_xlfn.XLOOKUP(B11,Accounts!A:A,Accounts!B:B,""))</f>
        <v>Saria Monzo</v>
      </c>
      <c r="F11" s="31" t="str">
        <f t="array" ref="F11">IF(E11="","",_xlfn.XLOOKUP(E11,Accounts!B:B,Accounts!D:D,""))</f>
        <v>Nill </v>
      </c>
      <c r="G11" s="272"/>
    </row>
    <row r="12">
      <c r="A12" s="278">
        <v>46190.0</v>
      </c>
      <c r="B12" s="173" t="s">
        <v>724</v>
      </c>
      <c r="C12" s="227">
        <v>25.0</v>
      </c>
      <c r="D12" s="31" t="str">
        <f t="array" ref="D12">IF(E12="","",_xlfn.XLOOKUP(E12,Accounts!B:B,Accounts!C:C,""))</f>
        <v>Ac: 20946673 C: 04-00-05</v>
      </c>
      <c r="E12" s="31" t="str">
        <f t="array" ref="E12">IF(B12="","",_xlfn.XLOOKUP(B12,Accounts!A:A,Accounts!B:B,""))</f>
        <v>Hamza Monzo </v>
      </c>
      <c r="F12" s="31" t="str">
        <f t="array" ref="F12">IF(E12="","",_xlfn.XLOOKUP(E12,Accounts!B:B,Accounts!D:D,""))</f>
        <v>Nill </v>
      </c>
      <c r="G12" s="272"/>
    </row>
    <row r="13">
      <c r="A13" s="278">
        <v>46190.0</v>
      </c>
      <c r="B13" s="173" t="s">
        <v>452</v>
      </c>
      <c r="C13" s="178">
        <v>62.1</v>
      </c>
      <c r="D13" s="31" t="str">
        <f t="array" ref="D13">IF(E13="","",_xlfn.XLOOKUP(E13,Accounts!B:B,Accounts!C:C,""))</f>
        <v>Ac: 00920476 C: 04-09-72</v>
      </c>
      <c r="E13" s="31" t="str">
        <f t="array" ref="E13">IF(B13="","",_xlfn.XLOOKUP(B13,Accounts!A:A,Accounts!B:B,""))</f>
        <v>Ali Nsave</v>
      </c>
      <c r="F13" s="31" t="str">
        <f t="array" ref="F13">IF(E13="","",_xlfn.XLOOKUP(E13,Accounts!B:B,Accounts!D:D,""))</f>
        <v>Nill </v>
      </c>
      <c r="G13" s="272" t="s">
        <v>739</v>
      </c>
    </row>
    <row r="14">
      <c r="A14" s="278">
        <v>46190.0</v>
      </c>
      <c r="B14" s="173" t="s">
        <v>421</v>
      </c>
      <c r="C14" s="227">
        <v>138.5</v>
      </c>
      <c r="D14" s="31" t="str">
        <f t="array" ref="D14">IF(E14="","",_xlfn.XLOOKUP(E14,Accounts!B:B,Accounts!C:C,""))</f>
        <v>Ac: 00879986 C: 04-09-72</v>
      </c>
      <c r="E14" s="31" t="str">
        <f t="array" ref="E14">IF(B14="","",_xlfn.XLOOKUP(B14,Accounts!A:A,Accounts!B:B,""))</f>
        <v>Abbas Nsave</v>
      </c>
      <c r="F14" s="31" t="str">
        <f t="array" ref="F14">IF(E14="","",_xlfn.XLOOKUP(E14,Accounts!B:B,Accounts!D:D,""))</f>
        <v>Ac: 39641166 C: 23-08-01</v>
      </c>
      <c r="G14" s="272" t="s">
        <v>739</v>
      </c>
    </row>
    <row r="15">
      <c r="A15" s="278">
        <v>46190.0</v>
      </c>
      <c r="B15" s="173" t="s">
        <v>410</v>
      </c>
      <c r="C15" s="227">
        <v>175.0</v>
      </c>
      <c r="D15" s="31" t="str">
        <f t="array" ref="D15">IF(E15="","",_xlfn.XLOOKUP(E15,Accounts!B:B,Accounts!C:C,""))</f>
        <v>Ac: 00174781 C: 04-19-19</v>
      </c>
      <c r="E15" s="31" t="str">
        <f t="array" ref="E15">IF(B15="","",_xlfn.XLOOKUP(B15,Accounts!A:A,Accounts!B:B,""))</f>
        <v>Abbas Taptap</v>
      </c>
      <c r="F15" s="31" t="str">
        <f t="array" ref="F15">IF(E15="","",_xlfn.XLOOKUP(E15,Accounts!B:B,Accounts!D:D,""))</f>
        <v>Nill </v>
      </c>
      <c r="G15" s="272"/>
    </row>
    <row r="16">
      <c r="A16" s="278">
        <v>46190.0</v>
      </c>
      <c r="B16" s="173" t="s">
        <v>416</v>
      </c>
      <c r="C16" s="227">
        <v>164.0</v>
      </c>
      <c r="D16" s="31" t="str">
        <f t="array" ref="D16">IF(E16="","",_xlfn.XLOOKUP(E16,Accounts!B:B,Accounts!C:C,""))</f>
        <v>Ac: 00879986 C: 04-09-72</v>
      </c>
      <c r="E16" s="31" t="str">
        <f t="array" ref="E16">IF(B16="","",_xlfn.XLOOKUP(B16,Accounts!A:A,Accounts!B:B,""))</f>
        <v>Abbas Nsave</v>
      </c>
      <c r="F16" s="31" t="str">
        <f t="array" ref="F16">IF(E16="","",_xlfn.XLOOKUP(E16,Accounts!B:B,Accounts!D:D,""))</f>
        <v>Ac: 39641166 C: 23-08-01</v>
      </c>
      <c r="G16" s="272" t="s">
        <v>739</v>
      </c>
    </row>
    <row r="17">
      <c r="A17" s="278">
        <v>46202.0</v>
      </c>
      <c r="B17" s="173" t="s">
        <v>428</v>
      </c>
      <c r="C17" s="227">
        <v>304.47</v>
      </c>
      <c r="D17" s="31" t="str">
        <f t="array" ref="D17">IF(E17="","",_xlfn.XLOOKUP(E17,Accounts!B:B,Accounts!C:C,""))</f>
        <v>Ac: 36409799 C: 04-00-06</v>
      </c>
      <c r="E17" s="31" t="str">
        <f t="array" ref="E17">IF(B17="","",_xlfn.XLOOKUP(B17,Accounts!A:A,Accounts!B:B,""))</f>
        <v>Sarim Monzo </v>
      </c>
      <c r="F17" s="31" t="str">
        <f t="array" ref="F17">IF(E17="","",_xlfn.XLOOKUP(E17,Accounts!B:B,Accounts!D:D,""))</f>
        <v>Nill </v>
      </c>
      <c r="G17" s="272"/>
    </row>
    <row r="18">
      <c r="A18" s="278">
        <v>46202.0</v>
      </c>
      <c r="B18" s="173" t="s">
        <v>410</v>
      </c>
      <c r="C18" s="227">
        <v>238.0</v>
      </c>
      <c r="D18" s="31" t="str">
        <f t="array" ref="D18">IF(E18="","",_xlfn.XLOOKUP(E18,Accounts!B:B,Accounts!C:C,""))</f>
        <v>Ac: 00174781 C: 04-19-19</v>
      </c>
      <c r="E18" s="31" t="str">
        <f t="array" ref="E18">IF(B18="","",_xlfn.XLOOKUP(B18,Accounts!A:A,Accounts!B:B,""))</f>
        <v>Abbas Taptap</v>
      </c>
      <c r="F18" s="31" t="str">
        <f t="array" ref="F18">IF(E18="","",_xlfn.XLOOKUP(E18,Accounts!B:B,Accounts!D:D,""))</f>
        <v>Nill </v>
      </c>
      <c r="G18" s="272"/>
    </row>
    <row r="19">
      <c r="A19" s="278">
        <v>46202.0</v>
      </c>
      <c r="B19" s="173" t="s">
        <v>416</v>
      </c>
      <c r="C19" s="227">
        <v>250.0</v>
      </c>
      <c r="D19" s="31" t="str">
        <f t="array" ref="D19">IF(E19="","",_xlfn.XLOOKUP(E19,Accounts!B:B,Accounts!C:C,""))</f>
        <v>Ac: 00879986 C: 04-09-72</v>
      </c>
      <c r="E19" s="31" t="str">
        <f t="array" ref="E19">IF(B19="","",_xlfn.XLOOKUP(B19,Accounts!A:A,Accounts!B:B,""))</f>
        <v>Abbas Nsave</v>
      </c>
      <c r="F19" s="31" t="str">
        <f t="array" ref="F19">IF(E19="","",_xlfn.XLOOKUP(E19,Accounts!B:B,Accounts!D:D,""))</f>
        <v>Ac: 39641166 C: 23-08-01</v>
      </c>
      <c r="G19" s="272" t="s">
        <v>739</v>
      </c>
    </row>
    <row r="20">
      <c r="A20" s="278">
        <v>46202.0</v>
      </c>
      <c r="B20" s="173" t="s">
        <v>446</v>
      </c>
      <c r="C20" s="227">
        <v>190.0</v>
      </c>
      <c r="D20" s="31" t="str">
        <f t="array" ref="D20">IF(E20="","",_xlfn.XLOOKUP(E20,Accounts!B:B,Accounts!C:C,""))</f>
        <v>Ac: 00910931 C: 04-09-72</v>
      </c>
      <c r="E20" s="31" t="str">
        <f t="array" ref="E20">IF(B20="","",_xlfn.XLOOKUP(B20,Accounts!A:A,Accounts!B:B,""))</f>
        <v>Faizan Nsave</v>
      </c>
      <c r="F20" s="31" t="str">
        <f t="array" ref="F20">IF(E20="","",_xlfn.XLOOKUP(E20,Accounts!B:B,Accounts!D:D,""))</f>
        <v>Ac: 39645240 C: 23-08-01</v>
      </c>
      <c r="G20" s="241" t="s">
        <v>739</v>
      </c>
      <c r="H20" s="173">
        <v>190.0</v>
      </c>
    </row>
    <row r="21">
      <c r="A21" s="278">
        <v>46202.0</v>
      </c>
      <c r="B21" s="173" t="s">
        <v>421</v>
      </c>
      <c r="C21" s="227">
        <v>180.0</v>
      </c>
      <c r="D21" s="31" t="str">
        <f t="array" ref="D21">IF(E21="","",_xlfn.XLOOKUP(E21,Accounts!B:B,Accounts!C:C,""))</f>
        <v>Ac: 00879986 C: 04-09-72</v>
      </c>
      <c r="E21" s="31" t="str">
        <f t="array" ref="E21">IF(B21="","",_xlfn.XLOOKUP(B21,Accounts!A:A,Accounts!B:B,""))</f>
        <v>Abbas Nsave</v>
      </c>
      <c r="F21" s="31" t="str">
        <f t="array" ref="F21">IF(E21="","",_xlfn.XLOOKUP(E21,Accounts!B:B,Accounts!D:D,""))</f>
        <v>Ac: 39641166 C: 23-08-01</v>
      </c>
      <c r="G21" s="272" t="s">
        <v>739</v>
      </c>
    </row>
    <row r="22">
      <c r="A22" s="278">
        <v>46180.0</v>
      </c>
      <c r="B22" s="173" t="s">
        <v>366</v>
      </c>
      <c r="C22" s="173">
        <v>251.0</v>
      </c>
      <c r="D22" s="31" t="str">
        <f t="array" ref="D22">IF(E22="","",_xlfn.XLOOKUP(E22,Accounts!B:B,Accounts!C:C,""))</f>
        <v>Ac: 38991926 C: 04-00-06</v>
      </c>
      <c r="E22" s="31" t="str">
        <f t="array" ref="E22">IF(B22="","",_xlfn.XLOOKUP(B22,Accounts!A:A,Accounts!B:B,""))</f>
        <v>Saria Monzo</v>
      </c>
      <c r="F22" s="31" t="str">
        <f t="array" ref="F22">IF(E22="","",_xlfn.XLOOKUP(E22,Accounts!B:B,Accounts!D:D,""))</f>
        <v>Nill </v>
      </c>
      <c r="G22" s="272"/>
    </row>
    <row r="23">
      <c r="A23" s="278">
        <v>46180.0</v>
      </c>
      <c r="B23" s="173" t="s">
        <v>459</v>
      </c>
      <c r="C23" s="227">
        <v>118.5</v>
      </c>
      <c r="D23" s="31" t="str">
        <f t="array" ref="D23">IF(E23="","",_xlfn.XLOOKUP(E23,Accounts!B:B,Accounts!C:C,""))</f>
        <v>Ac: 00904790 C: 04-09-72</v>
      </c>
      <c r="E23" s="31" t="str">
        <f t="array" ref="E23">IF(B23="","",_xlfn.XLOOKUP(B23,Accounts!A:A,Accounts!B:B,""))</f>
        <v>Hamza Nsave </v>
      </c>
      <c r="F23" s="31" t="str">
        <f t="array" ref="F23">IF(E23="","",_xlfn.XLOOKUP(E23,Accounts!B:B,Accounts!D:D,""))</f>
        <v>Ac: 15204401 C: 23-08-01</v>
      </c>
      <c r="G23" s="272" t="s">
        <v>739</v>
      </c>
    </row>
    <row r="24">
      <c r="A24" s="278">
        <v>46180.0</v>
      </c>
      <c r="B24" s="173" t="s">
        <v>465</v>
      </c>
      <c r="C24" s="227">
        <v>125.0</v>
      </c>
      <c r="D24" s="31" t="str">
        <f t="array" ref="D24">IF(E24="","",_xlfn.XLOOKUP(E24,Accounts!B:B,Accounts!C:C,""))</f>
        <v>Ac: 00904790 C: 04-09-72</v>
      </c>
      <c r="E24" s="31" t="str">
        <f t="array" ref="E24">IF(B24="","",_xlfn.XLOOKUP(B24,Accounts!A:A,Accounts!B:B,""))</f>
        <v>Hamza Nsave </v>
      </c>
      <c r="F24" s="31" t="str">
        <f t="array" ref="F24">IF(E24="","",_xlfn.XLOOKUP(E24,Accounts!B:B,Accounts!D:D,""))</f>
        <v>Ac: 15204401 C: 23-08-01</v>
      </c>
      <c r="G24" s="272" t="s">
        <v>739</v>
      </c>
    </row>
    <row r="25">
      <c r="A25" s="278">
        <v>46180.0</v>
      </c>
      <c r="B25" s="173" t="s">
        <v>446</v>
      </c>
      <c r="C25" s="227">
        <v>37.5</v>
      </c>
      <c r="D25" s="31" t="str">
        <f t="array" ref="D25">IF(E25="","",_xlfn.XLOOKUP(E25,Accounts!B:B,Accounts!C:C,""))</f>
        <v>Ac: 00910931 C: 04-09-72</v>
      </c>
      <c r="E25" s="31" t="str">
        <f t="array" ref="E25">IF(B25="","",_xlfn.XLOOKUP(B25,Accounts!A:A,Accounts!B:B,""))</f>
        <v>Faizan Nsave</v>
      </c>
      <c r="F25" s="31" t="str">
        <f t="array" ref="F25">IF(E25="","",_xlfn.XLOOKUP(E25,Accounts!B:B,Accounts!D:D,""))</f>
        <v>Ac: 39645240 C: 23-08-01</v>
      </c>
      <c r="G25" s="272" t="s">
        <v>739</v>
      </c>
    </row>
    <row r="26">
      <c r="A26" s="278">
        <v>46180.0</v>
      </c>
      <c r="B26" s="173" t="s">
        <v>441</v>
      </c>
      <c r="C26" s="227">
        <v>59.5</v>
      </c>
      <c r="D26" s="31" t="str">
        <f t="array" ref="D26">IF(E26="","",_xlfn.XLOOKUP(E26,Accounts!B:B,Accounts!C:C,""))</f>
        <v>Ac: 00910931 C: 04-09-72</v>
      </c>
      <c r="E26" s="31" t="str">
        <f t="array" ref="E26">IF(B26="","",_xlfn.XLOOKUP(B26,Accounts!A:A,Accounts!B:B,""))</f>
        <v>Faizan Nsave</v>
      </c>
      <c r="F26" s="31" t="str">
        <f t="array" ref="F26">IF(E26="","",_xlfn.XLOOKUP(E26,Accounts!B:B,Accounts!D:D,""))</f>
        <v>Ac: 39645240 C: 23-08-01</v>
      </c>
      <c r="G26" s="272" t="s">
        <v>739</v>
      </c>
    </row>
    <row r="27">
      <c r="A27" s="278">
        <v>46180.0</v>
      </c>
      <c r="B27" s="173" t="s">
        <v>744</v>
      </c>
      <c r="C27" s="173">
        <v>64.22</v>
      </c>
      <c r="D27" s="31" t="str">
        <f t="array" ref="D27">IF(E27="","",_xlfn.XLOOKUP(E27,Accounts!B:B,Accounts!C:C,""))</f>
        <v>Ac: 00888379 C: 04-09-72</v>
      </c>
      <c r="E27" s="31" t="str">
        <f t="array" ref="E27">IF(B27="","",_xlfn.XLOOKUP(B27,Accounts!A:A,Accounts!B:B,""))</f>
        <v>Nosheen Nsave</v>
      </c>
      <c r="F27" s="31" t="str">
        <f t="array" ref="F27">IF(E27="","",_xlfn.XLOOKUP(E27,Accounts!B:B,Accounts!D:D,""))</f>
        <v>Ac: 15204491 C: 23-08-01</v>
      </c>
      <c r="G27" s="272" t="s">
        <v>739</v>
      </c>
    </row>
    <row r="28">
      <c r="A28" s="278">
        <v>46217.0</v>
      </c>
      <c r="B28" s="173" t="s">
        <v>416</v>
      </c>
      <c r="C28" s="173">
        <v>58.65</v>
      </c>
      <c r="D28" s="31" t="str">
        <f t="array" ref="D28">IF(E28="","",_xlfn.XLOOKUP(E28,Accounts!B:B,Accounts!C:C,""))</f>
        <v>Ac: 00879986 C: 04-09-72</v>
      </c>
      <c r="E28" s="31" t="str">
        <f t="array" ref="E28">IF(B28="","",_xlfn.XLOOKUP(B28,Accounts!A:A,Accounts!B:B,""))</f>
        <v>Abbas Nsave</v>
      </c>
      <c r="F28" s="31" t="str">
        <f t="array" ref="F28">IF(E28="","",_xlfn.XLOOKUP(E28,Accounts!B:B,Accounts!D:D,""))</f>
        <v>Ac: 39641166 C: 23-08-01</v>
      </c>
      <c r="G28" s="272" t="s">
        <v>739</v>
      </c>
    </row>
    <row r="29">
      <c r="A29" s="278">
        <v>46217.0</v>
      </c>
      <c r="B29" s="173" t="s">
        <v>465</v>
      </c>
      <c r="C29" s="173">
        <v>23.5</v>
      </c>
      <c r="D29" s="31" t="str">
        <f t="array" ref="D29">IF(E29="","",_xlfn.XLOOKUP(E29,Accounts!B:B,Accounts!C:C,""))</f>
        <v>Ac: 00904790 C: 04-09-72</v>
      </c>
      <c r="E29" s="31" t="str">
        <f t="array" ref="E29">IF(B29="","",_xlfn.XLOOKUP(B29,Accounts!A:A,Accounts!B:B,""))</f>
        <v>Hamza Nsave </v>
      </c>
      <c r="F29" s="31" t="str">
        <f t="array" ref="F29">IF(E29="","",_xlfn.XLOOKUP(E29,Accounts!B:B,Accounts!D:D,""))</f>
        <v>Ac: 15204401 C: 23-08-01</v>
      </c>
      <c r="G29" s="272" t="s">
        <v>739</v>
      </c>
    </row>
    <row r="30">
      <c r="A30" s="278">
        <v>46217.0</v>
      </c>
      <c r="B30" s="173" t="s">
        <v>459</v>
      </c>
      <c r="C30" s="173">
        <v>59.0</v>
      </c>
      <c r="D30" s="31" t="str">
        <f t="array" ref="D30">IF(E30="","",_xlfn.XLOOKUP(E30,Accounts!B:B,Accounts!C:C,""))</f>
        <v>Ac: 00904790 C: 04-09-72</v>
      </c>
      <c r="E30" s="31" t="str">
        <f t="array" ref="E30">IF(B30="","",_xlfn.XLOOKUP(B30,Accounts!A:A,Accounts!B:B,""))</f>
        <v>Hamza Nsave </v>
      </c>
      <c r="F30" s="31" t="str">
        <f t="array" ref="F30">IF(E30="","",_xlfn.XLOOKUP(E30,Accounts!B:B,Accounts!D:D,""))</f>
        <v>Ac: 15204401 C: 23-08-01</v>
      </c>
      <c r="G30" s="272" t="s">
        <v>739</v>
      </c>
    </row>
    <row r="31">
      <c r="A31" s="278">
        <v>46217.0</v>
      </c>
      <c r="B31" s="173" t="s">
        <v>372</v>
      </c>
      <c r="C31" s="173">
        <v>135.0</v>
      </c>
      <c r="D31" s="31" t="str">
        <f t="array" ref="D31">IF(E31="","",_xlfn.XLOOKUP(E31,Accounts!B:B,Accounts!C:C,""))</f>
        <v>Ac: 00888379 C: 04-09-72</v>
      </c>
      <c r="E31" s="31" t="str">
        <f t="array" ref="E31">IF(B31="","",_xlfn.XLOOKUP(B31,Accounts!A:A,Accounts!B:B,""))</f>
        <v>Nosheen Nsave</v>
      </c>
      <c r="F31" s="31" t="str">
        <f t="array" ref="F31">IF(E31="","",_xlfn.XLOOKUP(E31,Accounts!B:B,Accounts!D:D,""))</f>
        <v>Ac: 15204491 C: 23-08-01</v>
      </c>
      <c r="G31" s="272" t="s">
        <v>739</v>
      </c>
    </row>
    <row r="32">
      <c r="A32" s="278">
        <v>46227.0</v>
      </c>
      <c r="B32" s="173" t="s">
        <v>472</v>
      </c>
      <c r="C32" s="227">
        <v>90.0</v>
      </c>
      <c r="D32" s="278"/>
      <c r="E32" s="31" t="str">
        <f t="array" ref="E32">IF(B32="","",_xlfn.XLOOKUP(B32,Accounts!A:A,Accounts!B:B,""))</f>
        <v>Abbas Ifast</v>
      </c>
      <c r="F32" s="31" t="str">
        <f t="array" ref="F32">IF(E32="","",_xlfn.XLOOKUP(E32,Accounts!B:B,Accounts!D:D,""))</f>
        <v/>
      </c>
      <c r="G32" s="272"/>
    </row>
    <row r="33">
      <c r="A33" s="278">
        <v>46227.0</v>
      </c>
      <c r="B33" s="173" t="s">
        <v>366</v>
      </c>
      <c r="C33" s="227">
        <v>265.0</v>
      </c>
      <c r="D33" s="31" t="str">
        <f t="array" ref="D33">IF(E33="","",_xlfn.XLOOKUP(E33,Accounts!B:B,Accounts!C:C,""))</f>
        <v>Ac: 38991926 C: 04-00-06</v>
      </c>
      <c r="E33" s="31" t="str">
        <f t="array" ref="E33">IF(B33="","",_xlfn.XLOOKUP(B33,Accounts!A:A,Accounts!B:B,""))</f>
        <v>Saria Monzo</v>
      </c>
      <c r="F33" s="31" t="str">
        <f t="array" ref="F33">IF(E33="","",_xlfn.XLOOKUP(E33,Accounts!B:B,Accounts!D:D,""))</f>
        <v>Nill </v>
      </c>
      <c r="G33" s="272"/>
    </row>
    <row r="34">
      <c r="A34" s="278">
        <v>46227.0</v>
      </c>
      <c r="B34" s="173" t="s">
        <v>372</v>
      </c>
      <c r="C34" s="227">
        <v>200.0</v>
      </c>
      <c r="D34" s="31" t="str">
        <f t="array" ref="D34">IF(E34="","",_xlfn.XLOOKUP(E34,Accounts!B:B,Accounts!C:C,""))</f>
        <v>Ac: 00888379 C: 04-09-72</v>
      </c>
      <c r="E34" s="31" t="str">
        <f t="array" ref="E34">IF(B34="","",_xlfn.XLOOKUP(B34,Accounts!A:A,Accounts!B:B,""))</f>
        <v>Nosheen Nsave</v>
      </c>
      <c r="F34" s="31" t="str">
        <f t="array" ref="F34">IF(E34="","",_xlfn.XLOOKUP(E34,Accounts!B:B,Accounts!D:D,""))</f>
        <v>Ac: 15204491 C: 23-08-01</v>
      </c>
      <c r="G34" s="272" t="s">
        <v>739</v>
      </c>
    </row>
    <row r="35">
      <c r="A35" s="278">
        <v>46227.0</v>
      </c>
      <c r="B35" s="173" t="s">
        <v>744</v>
      </c>
      <c r="C35" s="227">
        <v>55.0</v>
      </c>
      <c r="D35" s="31" t="str">
        <f t="array" ref="D35">IF(E35="","",_xlfn.XLOOKUP(E35,Accounts!B:B,Accounts!C:C,""))</f>
        <v>Ac: 00888379 C: 04-09-72</v>
      </c>
      <c r="E35" s="31" t="str">
        <f t="array" ref="E35">IF(B35="","",_xlfn.XLOOKUP(B35,Accounts!A:A,Accounts!B:B,""))</f>
        <v>Nosheen Nsave</v>
      </c>
      <c r="F35" s="31" t="str">
        <f t="array" ref="F35">IF(E35="","",_xlfn.XLOOKUP(E35,Accounts!B:B,Accounts!D:D,""))</f>
        <v>Ac: 15204491 C: 23-08-01</v>
      </c>
      <c r="G35" s="272" t="s">
        <v>739</v>
      </c>
    </row>
    <row r="36">
      <c r="A36" s="278">
        <v>46228.0</v>
      </c>
      <c r="B36" s="173" t="s">
        <v>459</v>
      </c>
      <c r="C36" s="227">
        <v>22.0</v>
      </c>
      <c r="D36" s="31" t="str">
        <f t="array" ref="D36">IF(E36="","",_xlfn.XLOOKUP(E36,Accounts!B:B,Accounts!C:C,""))</f>
        <v>Ac: 00904790 C: 04-09-72</v>
      </c>
      <c r="E36" s="31" t="str">
        <f t="array" ref="E36">IF(B36="","",_xlfn.XLOOKUP(B36,Accounts!A:A,Accounts!B:B,""))</f>
        <v>Hamza Nsave </v>
      </c>
      <c r="F36" s="31" t="str">
        <f t="array" ref="F36">IF(E36="","",_xlfn.XLOOKUP(E36,Accounts!B:B,Accounts!D:D,""))</f>
        <v>Ac: 15204401 C: 23-08-01</v>
      </c>
      <c r="G36" s="272" t="s">
        <v>739</v>
      </c>
    </row>
    <row r="37">
      <c r="A37" s="278">
        <v>46228.0</v>
      </c>
      <c r="B37" s="173" t="s">
        <v>465</v>
      </c>
      <c r="C37" s="227">
        <v>152.0</v>
      </c>
      <c r="D37" s="31" t="str">
        <f t="array" ref="D37">IF(E37="","",_xlfn.XLOOKUP(E37,Accounts!B:B,Accounts!C:C,""))</f>
        <v>Ac: 00904790 C: 04-09-72</v>
      </c>
      <c r="E37" s="31" t="str">
        <f t="array" ref="E37">IF(B37="","",_xlfn.XLOOKUP(B37,Accounts!A:A,Accounts!B:B,""))</f>
        <v>Hamza Nsave </v>
      </c>
      <c r="F37" s="31" t="str">
        <f t="array" ref="F37">IF(E37="","",_xlfn.XLOOKUP(E37,Accounts!B:B,Accounts!D:D,""))</f>
        <v>Ac: 15204401 C: 23-08-01</v>
      </c>
      <c r="G37" s="272" t="s">
        <v>739</v>
      </c>
    </row>
    <row r="38">
      <c r="A38" s="278">
        <v>46228.0</v>
      </c>
      <c r="B38" s="173" t="s">
        <v>490</v>
      </c>
      <c r="C38" s="227">
        <v>75.0</v>
      </c>
      <c r="D38" s="31" t="str">
        <f t="array" ref="D38">IF(E38="","",_xlfn.XLOOKUP(E38,Accounts!B:B,Accounts!C:C,""))</f>
        <v>Ac: 00496939 C: 04-00-01</v>
      </c>
      <c r="E38" s="31" t="str">
        <f t="array" ref="E38">IF(B38="","",_xlfn.XLOOKUP(B38,Accounts!A:A,Accounts!B:B,""))</f>
        <v>Abbas Ifast</v>
      </c>
      <c r="F38" s="31" t="str">
        <f t="array" ref="F38">IF(E38="","",_xlfn.XLOOKUP(E38,Accounts!B:B,Accounts!D:D,""))</f>
        <v/>
      </c>
      <c r="G38" s="272"/>
    </row>
    <row r="39">
      <c r="A39" s="278">
        <v>46235.0</v>
      </c>
      <c r="B39" s="173" t="s">
        <v>410</v>
      </c>
      <c r="C39" s="227">
        <v>95.0</v>
      </c>
      <c r="D39" s="31" t="str">
        <f t="array" ref="D39">IF(E39="","",_xlfn.XLOOKUP(E39,Accounts!B:B,Accounts!C:C,""))</f>
        <v>Ac: 00174781 C: 04-19-19</v>
      </c>
      <c r="E39" s="31" t="str">
        <f t="array" ref="E39">IF(B39="","",_xlfn.XLOOKUP(B39,Accounts!A:A,Accounts!B:B,""))</f>
        <v>Abbas Taptap</v>
      </c>
      <c r="F39" s="31" t="str">
        <f t="array" ref="F39">IF(E39="","",_xlfn.XLOOKUP(E39,Accounts!B:B,Accounts!D:D,""))</f>
        <v>Nill </v>
      </c>
      <c r="G39" s="272"/>
    </row>
    <row r="40">
      <c r="A40" s="278">
        <v>46235.0</v>
      </c>
      <c r="B40" s="173" t="s">
        <v>472</v>
      </c>
      <c r="C40" s="227">
        <v>165.0</v>
      </c>
      <c r="D40" s="31" t="str">
        <f t="array" ref="D40">IF(E40="","",_xlfn.XLOOKUP(E40,Accounts!B:B,Accounts!C:C,""))</f>
        <v>Ac: 00496939 C: 04-00-01</v>
      </c>
      <c r="E40" s="31" t="str">
        <f t="array" ref="E40">IF(B40="","",_xlfn.XLOOKUP(B40,Accounts!A:A,Accounts!B:B,""))</f>
        <v>Abbas Ifast</v>
      </c>
      <c r="F40" s="31" t="str">
        <f t="array" ref="F40">IF(E40="","",_xlfn.XLOOKUP(E40,Accounts!B:B,Accounts!D:D,""))</f>
        <v/>
      </c>
      <c r="G40" s="272"/>
    </row>
    <row r="41">
      <c r="A41" s="278">
        <v>46235.0</v>
      </c>
      <c r="B41" s="173" t="s">
        <v>416</v>
      </c>
      <c r="C41" s="227">
        <v>136.0</v>
      </c>
      <c r="D41" s="31" t="str">
        <f t="array" ref="D41">IF(E41="","",_xlfn.XLOOKUP(E41,Accounts!B:B,Accounts!C:C,""))</f>
        <v>Ac: 00879986 C: 04-09-72</v>
      </c>
      <c r="E41" s="31" t="str">
        <f t="array" ref="E41">IF(B41="","",_xlfn.XLOOKUP(B41,Accounts!A:A,Accounts!B:B,""))</f>
        <v>Abbas Nsave</v>
      </c>
      <c r="F41" s="31" t="str">
        <f t="array" ref="F41">IF(E41="","",_xlfn.XLOOKUP(E41,Accounts!B:B,Accounts!D:D,""))</f>
        <v>Ac: 39641166 C: 23-08-01</v>
      </c>
      <c r="G41" s="272" t="s">
        <v>739</v>
      </c>
    </row>
    <row r="42">
      <c r="A42" s="278">
        <v>46235.0</v>
      </c>
      <c r="B42" s="173" t="s">
        <v>366</v>
      </c>
      <c r="C42" s="227">
        <v>40.0</v>
      </c>
      <c r="D42" s="31" t="str">
        <f t="array" ref="D42">IF(E42="","",_xlfn.XLOOKUP(E42,Accounts!B:B,Accounts!C:C,""))</f>
        <v>Ac: 38991926 C: 04-00-06</v>
      </c>
      <c r="E42" s="31" t="str">
        <f t="array" ref="E42">IF(B42="","",_xlfn.XLOOKUP(B42,Accounts!A:A,Accounts!B:B,""))</f>
        <v>Saria Monzo</v>
      </c>
      <c r="F42" s="31" t="str">
        <f t="array" ref="F42">IF(E42="","",_xlfn.XLOOKUP(E42,Accounts!B:B,Accounts!D:D,""))</f>
        <v>Nill </v>
      </c>
      <c r="G42" s="272"/>
    </row>
    <row r="43">
      <c r="A43" s="278">
        <v>46235.0</v>
      </c>
      <c r="B43" s="173" t="s">
        <v>372</v>
      </c>
      <c r="C43" s="227">
        <v>30.0</v>
      </c>
      <c r="D43" s="31" t="str">
        <f t="array" ref="D43">IF(E43="","",_xlfn.XLOOKUP(E43,Accounts!B:B,Accounts!C:C,""))</f>
        <v>Ac: 00888379 C: 04-09-72</v>
      </c>
      <c r="E43" s="31" t="str">
        <f t="array" ref="E43">IF(B43="","",_xlfn.XLOOKUP(B43,Accounts!A:A,Accounts!B:B,""))</f>
        <v>Nosheen Nsave</v>
      </c>
      <c r="F43" s="31" t="str">
        <f t="array" ref="F43">IF(E43="","",_xlfn.XLOOKUP(E43,Accounts!B:B,Accounts!D:D,""))</f>
        <v>Ac: 15204491 C: 23-08-01</v>
      </c>
      <c r="G43" s="272" t="s">
        <v>739</v>
      </c>
    </row>
    <row r="44">
      <c r="A44" s="278">
        <v>46235.0</v>
      </c>
      <c r="B44" s="173" t="s">
        <v>382</v>
      </c>
      <c r="C44" s="227">
        <v>39.0</v>
      </c>
      <c r="D44" s="31" t="str">
        <f t="array" ref="D44">IF(E44="","",_xlfn.XLOOKUP(E44,Accounts!B:B,Accounts!C:C,""))</f>
        <v>Ac: 00766403 C: 04-19-19</v>
      </c>
      <c r="E44" s="31" t="str">
        <f t="array" ref="E44">IF(B44="","",_xlfn.XLOOKUP(B44,Accounts!A:A,Accounts!B:B,""))</f>
        <v>Abbas Taptap Personal</v>
      </c>
      <c r="F44" s="31" t="str">
        <f t="array" ref="F44">IF(E44="","",_xlfn.XLOOKUP(E44,Accounts!B:B,Accounts!D:D,""))</f>
        <v>Ac: 39645220 C: 23-08-01</v>
      </c>
      <c r="G44" s="272"/>
    </row>
    <row r="45">
      <c r="A45" s="278">
        <v>46240.0</v>
      </c>
      <c r="B45" s="173" t="s">
        <v>372</v>
      </c>
      <c r="C45" s="227">
        <v>290.0</v>
      </c>
      <c r="D45" s="31" t="str">
        <f t="array" ref="D45">IF(E45="","",_xlfn.XLOOKUP(E45,Accounts!B:B,Accounts!C:C,""))</f>
        <v>Ac: 00888379 C: 04-09-72</v>
      </c>
      <c r="E45" s="31" t="str">
        <f t="array" ref="E45">IF(B45="","",_xlfn.XLOOKUP(B45,Accounts!A:A,Accounts!B:B,""))</f>
        <v>Nosheen Nsave</v>
      </c>
      <c r="F45" s="31" t="str">
        <f t="array" ref="F45">IF(E45="","",_xlfn.XLOOKUP(E45,Accounts!B:B,Accounts!D:D,""))</f>
        <v>Ac: 15204491 C: 23-08-01</v>
      </c>
      <c r="G45" s="272" t="s">
        <v>739</v>
      </c>
    </row>
    <row r="46">
      <c r="A46" s="278">
        <v>46240.0</v>
      </c>
      <c r="B46" s="173" t="s">
        <v>366</v>
      </c>
      <c r="C46" s="227">
        <v>210.0</v>
      </c>
      <c r="D46" s="31" t="str">
        <f t="array" ref="D46">IF(E46="","",_xlfn.XLOOKUP(E46,Accounts!B:B,Accounts!C:C,""))</f>
        <v>Ac: 38991926 C: 04-00-06</v>
      </c>
      <c r="E46" s="31" t="str">
        <f t="array" ref="E46">IF(B46="","",_xlfn.XLOOKUP(B46,Accounts!A:A,Accounts!B:B,""))</f>
        <v>Saria Monzo</v>
      </c>
      <c r="F46" s="31" t="str">
        <f t="array" ref="F46">IF(E46="","",_xlfn.XLOOKUP(E46,Accounts!B:B,Accounts!D:D,""))</f>
        <v>Nill </v>
      </c>
      <c r="G46" s="272"/>
    </row>
    <row r="47">
      <c r="A47" s="278">
        <v>46244.0</v>
      </c>
      <c r="B47" s="173" t="s">
        <v>465</v>
      </c>
      <c r="C47" s="227">
        <v>38.5</v>
      </c>
      <c r="D47" s="31" t="str">
        <f t="array" ref="D47">IF(E47="","",_xlfn.XLOOKUP(E47,Accounts!B:B,Accounts!C:C,""))</f>
        <v>Ac: 00904790 C: 04-09-72</v>
      </c>
      <c r="E47" s="31" t="str">
        <f t="array" ref="E47">IF(B47="","",_xlfn.XLOOKUP(B47,Accounts!A:A,Accounts!B:B,""))</f>
        <v>Hamza Nsave </v>
      </c>
      <c r="F47" s="31" t="str">
        <f t="array" ref="F47">IF(E47="","",_xlfn.XLOOKUP(E47,Accounts!B:B,Accounts!D:D,""))</f>
        <v>Ac: 15204401 C: 23-08-01</v>
      </c>
      <c r="G47" s="272" t="s">
        <v>739</v>
      </c>
    </row>
    <row r="48">
      <c r="A48" s="278">
        <v>46244.0</v>
      </c>
      <c r="B48" s="173" t="s">
        <v>459</v>
      </c>
      <c r="C48" s="227">
        <v>79.5</v>
      </c>
      <c r="D48" s="31" t="str">
        <f t="array" ref="D48">IF(E48="","",_xlfn.XLOOKUP(E48,Accounts!B:B,Accounts!C:C,""))</f>
        <v>Ac: 00904790 C: 04-09-72</v>
      </c>
      <c r="E48" s="31" t="str">
        <f t="array" ref="E48">IF(B48="","",_xlfn.XLOOKUP(B48,Accounts!A:A,Accounts!B:B,""))</f>
        <v>Hamza Nsave </v>
      </c>
      <c r="F48" s="31" t="str">
        <f t="array" ref="F48">IF(E48="","",_xlfn.XLOOKUP(E48,Accounts!B:B,Accounts!D:D,""))</f>
        <v>Ac: 15204401 C: 23-08-01</v>
      </c>
      <c r="G48" s="272" t="s">
        <v>739</v>
      </c>
    </row>
    <row r="49">
      <c r="A49" s="278">
        <v>46244.0</v>
      </c>
      <c r="B49" s="173" t="s">
        <v>410</v>
      </c>
      <c r="C49" s="227">
        <v>136.54</v>
      </c>
      <c r="D49" s="31" t="str">
        <f t="array" ref="D49">IF(E49="","",_xlfn.XLOOKUP(E49,Accounts!B:B,Accounts!C:C,""))</f>
        <v>Ac: 00174781 C: 04-19-19</v>
      </c>
      <c r="E49" s="31" t="str">
        <f t="array" ref="E49">IF(B49="","",_xlfn.XLOOKUP(B49,Accounts!A:A,Accounts!B:B,""))</f>
        <v>Abbas Taptap</v>
      </c>
      <c r="F49" s="31" t="str">
        <f t="array" ref="F49">IF(E49="","",_xlfn.XLOOKUP(E49,Accounts!B:B,Accounts!D:D,""))</f>
        <v>Nill </v>
      </c>
      <c r="G49" s="272"/>
    </row>
    <row r="50">
      <c r="A50" s="278">
        <v>46244.0</v>
      </c>
      <c r="B50" s="173" t="s">
        <v>472</v>
      </c>
      <c r="C50" s="227">
        <v>80.0</v>
      </c>
      <c r="D50" s="31" t="str">
        <f t="array" ref="D50">IF(E50="","",_xlfn.XLOOKUP(E50,Accounts!B:B,Accounts!C:C,""))</f>
        <v>Ac: 00496939 C: 04-00-01</v>
      </c>
      <c r="E50" s="31" t="str">
        <f t="array" ref="E50">IF(B50="","",_xlfn.XLOOKUP(B50,Accounts!A:A,Accounts!B:B,""))</f>
        <v>Abbas Ifast</v>
      </c>
      <c r="F50" s="31" t="str">
        <f t="array" ref="F50">IF(E50="","",_xlfn.XLOOKUP(E50,Accounts!B:B,Accounts!D:D,""))</f>
        <v/>
      </c>
      <c r="G50" s="272"/>
    </row>
    <row r="51">
      <c r="A51" s="278">
        <v>46250.0</v>
      </c>
      <c r="B51" s="173" t="s">
        <v>416</v>
      </c>
      <c r="C51" s="227">
        <v>216.93</v>
      </c>
      <c r="D51" s="31" t="str">
        <f t="array" ref="D51">IF(E51="","",_xlfn.XLOOKUP(E51,Accounts!B:B,Accounts!C:C,""))</f>
        <v>Ac: 00879986 C: 04-09-72</v>
      </c>
      <c r="E51" s="31" t="str">
        <f t="array" ref="E51">IF(B51="","",_xlfn.XLOOKUP(B51,Accounts!A:A,Accounts!B:B,""))</f>
        <v>Abbas Nsave</v>
      </c>
      <c r="F51" s="31" t="str">
        <f t="array" ref="F51">IF(E51="","",_xlfn.XLOOKUP(E51,Accounts!B:B,Accounts!D:D,""))</f>
        <v>Ac: 39641166 C: 23-08-01</v>
      </c>
      <c r="G51" s="272" t="s">
        <v>739</v>
      </c>
    </row>
    <row r="52">
      <c r="A52" s="278">
        <v>46258.0</v>
      </c>
      <c r="B52" s="173" t="s">
        <v>465</v>
      </c>
      <c r="C52" s="227">
        <v>95.5</v>
      </c>
      <c r="D52" s="31" t="str">
        <f t="array" ref="D52">IF(E52="","",_xlfn.XLOOKUP(E52,Accounts!B:B,Accounts!C:C,""))</f>
        <v>Ac: 00904790 C: 04-09-72</v>
      </c>
      <c r="E52" s="31" t="str">
        <f t="array" ref="E52">IF(B52="","",_xlfn.XLOOKUP(B52,Accounts!A:A,Accounts!B:B,""))</f>
        <v>Hamza Nsave </v>
      </c>
      <c r="F52" s="31" t="str">
        <f t="array" ref="F52">IF(E52="","",_xlfn.XLOOKUP(E52,Accounts!B:B,Accounts!D:D,""))</f>
        <v>Ac: 15204401 C: 23-08-01</v>
      </c>
      <c r="G52" s="272" t="s">
        <v>739</v>
      </c>
    </row>
    <row r="53">
      <c r="A53" s="278">
        <v>46258.0</v>
      </c>
      <c r="B53" s="173" t="s">
        <v>441</v>
      </c>
      <c r="C53" s="227">
        <v>54.5</v>
      </c>
      <c r="D53" s="31" t="str">
        <f t="array" ref="D53">IF(E53="","",_xlfn.XLOOKUP(E53,Accounts!B:B,Accounts!C:C,""))</f>
        <v>Ac: 00910931 C: 04-09-72</v>
      </c>
      <c r="E53" s="31" t="str">
        <f t="array" ref="E53">IF(B53="","",_xlfn.XLOOKUP(B53,Accounts!A:A,Accounts!B:B,""))</f>
        <v>Faizan Nsave</v>
      </c>
      <c r="F53" s="31" t="str">
        <f t="array" ref="F53">IF(E53="","",_xlfn.XLOOKUP(E53,Accounts!B:B,Accounts!D:D,""))</f>
        <v>Ac: 39645240 C: 23-08-01</v>
      </c>
      <c r="G53" s="272" t="s">
        <v>739</v>
      </c>
    </row>
    <row r="54">
      <c r="A54" s="278">
        <v>46258.0</v>
      </c>
      <c r="B54" s="173" t="s">
        <v>490</v>
      </c>
      <c r="C54" s="227">
        <v>234.0</v>
      </c>
      <c r="D54" s="31" t="str">
        <f t="array" ref="D54">IF(E54="","",_xlfn.XLOOKUP(E54,Accounts!B:B,Accounts!C:C,""))</f>
        <v>Ac: 00496939 C: 04-00-01</v>
      </c>
      <c r="E54" s="31" t="str">
        <f t="array" ref="E54">IF(B54="","",_xlfn.XLOOKUP(B54,Accounts!A:A,Accounts!B:B,""))</f>
        <v>Abbas Ifast</v>
      </c>
      <c r="F54" s="31" t="str">
        <f t="array" ref="F54">IF(E54="","",_xlfn.XLOOKUP(E54,Accounts!B:B,Accounts!D:D,""))</f>
        <v/>
      </c>
      <c r="G54" s="272"/>
    </row>
    <row r="55">
      <c r="A55" s="278">
        <v>46258.0</v>
      </c>
      <c r="B55" s="173" t="s">
        <v>428</v>
      </c>
      <c r="C55" s="227">
        <v>172.0</v>
      </c>
      <c r="D55" s="31" t="str">
        <f t="array" ref="D55">IF(E55="","",_xlfn.XLOOKUP(E55,Accounts!B:B,Accounts!C:C,""))</f>
        <v>Ac: 36409799 C: 04-00-06</v>
      </c>
      <c r="E55" s="31" t="str">
        <f t="array" ref="E55">IF(B55="","",_xlfn.XLOOKUP(B55,Accounts!A:A,Accounts!B:B,""))</f>
        <v>Sarim Monzo </v>
      </c>
      <c r="F55" s="31" t="str">
        <f t="array" ref="F55">IF(E55="","",_xlfn.XLOOKUP(E55,Accounts!B:B,Accounts!D:D,""))</f>
        <v>Nill </v>
      </c>
      <c r="G55" s="272"/>
    </row>
    <row r="56">
      <c r="A56" s="278">
        <v>46258.0</v>
      </c>
      <c r="B56" s="173" t="s">
        <v>372</v>
      </c>
      <c r="C56" s="227">
        <v>214.0</v>
      </c>
      <c r="D56" s="31" t="str">
        <f t="array" ref="D56">IF(E56="","",_xlfn.XLOOKUP(E56,Accounts!B:B,Accounts!C:C,""))</f>
        <v>Ac: 00888379 C: 04-09-72</v>
      </c>
      <c r="E56" s="31" t="str">
        <f t="array" ref="E56">IF(B56="","",_xlfn.XLOOKUP(B56,Accounts!A:A,Accounts!B:B,""))</f>
        <v>Nosheen Nsave</v>
      </c>
      <c r="F56" s="31" t="str">
        <f t="array" ref="F56">IF(E56="","",_xlfn.XLOOKUP(E56,Accounts!B:B,Accounts!D:D,""))</f>
        <v>Ac: 15204491 C: 23-08-01</v>
      </c>
      <c r="G56" s="272" t="s">
        <v>739</v>
      </c>
    </row>
    <row r="57">
      <c r="A57" s="278">
        <v>46258.0</v>
      </c>
      <c r="B57" s="173" t="s">
        <v>744</v>
      </c>
      <c r="C57" s="227">
        <v>103.0</v>
      </c>
      <c r="D57" s="31" t="str">
        <f t="array" ref="D57">IF(E57="","",_xlfn.XLOOKUP(E57,Accounts!B:B,Accounts!C:C,""))</f>
        <v>Ac: 00888379 C: 04-09-72</v>
      </c>
      <c r="E57" s="31" t="str">
        <f t="array" ref="E57">IF(B57="","",_xlfn.XLOOKUP(B57,Accounts!A:A,Accounts!B:B,""))</f>
        <v>Nosheen Nsave</v>
      </c>
      <c r="F57" s="31" t="str">
        <f t="array" ref="F57">IF(E57="","",_xlfn.XLOOKUP(E57,Accounts!B:B,Accounts!D:D,""))</f>
        <v>Ac: 15204491 C: 23-08-01</v>
      </c>
      <c r="G57" s="272" t="s">
        <v>739</v>
      </c>
    </row>
    <row r="58">
      <c r="A58" s="278">
        <v>46258.0</v>
      </c>
      <c r="B58" s="173" t="s">
        <v>366</v>
      </c>
      <c r="C58" s="227">
        <v>124.65</v>
      </c>
      <c r="D58" s="31" t="str">
        <f t="array" ref="D58">IF(E58="","",_xlfn.XLOOKUP(E58,Accounts!B:B,Accounts!C:C,""))</f>
        <v>Ac: 38991926 C: 04-00-06</v>
      </c>
      <c r="E58" s="31" t="str">
        <f t="array" ref="E58">IF(B58="","",_xlfn.XLOOKUP(B58,Accounts!A:A,Accounts!B:B,""))</f>
        <v>Saria Monzo</v>
      </c>
      <c r="F58" s="31" t="str">
        <f t="array" ref="F58">IF(E58="","",_xlfn.XLOOKUP(E58,Accounts!B:B,Accounts!D:D,""))</f>
        <v>Nill </v>
      </c>
      <c r="G58" s="272"/>
    </row>
    <row r="59">
      <c r="A59" s="278">
        <v>46258.0</v>
      </c>
      <c r="B59" s="173" t="s">
        <v>382</v>
      </c>
      <c r="C59" s="178">
        <v>43.0</v>
      </c>
      <c r="D59" s="31" t="str">
        <f t="array" ref="D59">IF(E59="","",_xlfn.XLOOKUP(E59,Accounts!B:B,Accounts!C:C,""))</f>
        <v>Ac: 00766403 C: 04-19-19</v>
      </c>
      <c r="E59" s="31" t="str">
        <f t="array" ref="E59">IF(B59="","",_xlfn.XLOOKUP(B59,Accounts!A:A,Accounts!B:B,""))</f>
        <v>Abbas Taptap Personal</v>
      </c>
      <c r="F59" s="31" t="str">
        <f t="array" ref="F59">IF(E59="","",_xlfn.XLOOKUP(E59,Accounts!B:B,Accounts!D:D,""))</f>
        <v>Ac: 39645220 C: 23-08-01</v>
      </c>
      <c r="G59" s="272"/>
    </row>
    <row r="60">
      <c r="A60" s="278">
        <v>46258.0</v>
      </c>
      <c r="B60" s="173" t="s">
        <v>377</v>
      </c>
      <c r="C60" s="178">
        <v>78.5</v>
      </c>
      <c r="D60" s="31" t="str">
        <f t="array" ref="D60">IF(E60="","",_xlfn.XLOOKUP(E60,Accounts!B:B,Accounts!C:C,""))</f>
        <v>Ac: 00766403 C: 04-19-19</v>
      </c>
      <c r="E60" s="31" t="str">
        <f t="array" ref="E60">IF(B60="","",_xlfn.XLOOKUP(B60,Accounts!A:A,Accounts!B:B,""))</f>
        <v>Abbas Taptap Personal</v>
      </c>
      <c r="F60" s="31" t="str">
        <f t="array" ref="F60">IF(E60="","",_xlfn.XLOOKUP(E60,Accounts!B:B,Accounts!D:D,""))</f>
        <v>Ac: 39645220 C: 23-08-01</v>
      </c>
      <c r="G60" s="272"/>
    </row>
    <row r="61">
      <c r="A61" s="278">
        <v>46260.0</v>
      </c>
      <c r="B61" s="173" t="s">
        <v>410</v>
      </c>
      <c r="C61" s="227">
        <v>17.0</v>
      </c>
      <c r="D61" s="31" t="str">
        <f t="array" ref="D61">IF(E61="","",_xlfn.XLOOKUP(E61,Accounts!B:B,Accounts!C:C,""))</f>
        <v>Ac: 00174781 C: 04-19-19</v>
      </c>
      <c r="E61" s="31" t="str">
        <f t="array" ref="E61">IF(B61="","",_xlfn.XLOOKUP(B61,Accounts!A:A,Accounts!B:B,""))</f>
        <v>Abbas Taptap</v>
      </c>
      <c r="F61" s="31" t="str">
        <f t="array" ref="F61">IF(E61="","",_xlfn.XLOOKUP(E61,Accounts!B:B,Accounts!D:D,""))</f>
        <v>Nill </v>
      </c>
      <c r="G61" s="272"/>
    </row>
    <row r="62">
      <c r="A62" s="278">
        <v>46261.0</v>
      </c>
      <c r="B62" s="173" t="s">
        <v>472</v>
      </c>
      <c r="C62" s="178">
        <v>40.92</v>
      </c>
      <c r="D62" s="31" t="str">
        <f t="array" ref="D62">IF(E62="","",_xlfn.XLOOKUP(E62,Accounts!B:B,Accounts!C:C,""))</f>
        <v>Ac: 00496939 C: 04-00-01</v>
      </c>
      <c r="E62" s="31" t="str">
        <f t="array" ref="E62">IF(B62="","",_xlfn.XLOOKUP(B62,Accounts!A:A,Accounts!B:B,""))</f>
        <v>Abbas Ifast</v>
      </c>
      <c r="F62" s="31" t="str">
        <f t="array" ref="F62">IF(E62="","",_xlfn.XLOOKUP(E62,Accounts!B:B,Accounts!D:D,""))</f>
        <v/>
      </c>
      <c r="G62" s="272"/>
    </row>
    <row r="63">
      <c r="A63" s="278">
        <v>46262.0</v>
      </c>
      <c r="B63" s="173" t="s">
        <v>500</v>
      </c>
      <c r="C63" s="227">
        <v>35.9</v>
      </c>
      <c r="D63" s="31" t="str">
        <f t="array" ref="D63">IF(E63="","",_xlfn.XLOOKUP(E63,Accounts!B:B,Accounts!C:C,""))</f>
        <v>Ac: 01016857 C: 04-09-72</v>
      </c>
      <c r="E63" s="31" t="str">
        <f t="array" ref="E63">IF(B63="","",_xlfn.XLOOKUP(B63,Accounts!A:A,Accounts!B:B,""))</f>
        <v>Abdullah Nsave</v>
      </c>
      <c r="F63" s="31" t="str">
        <f t="array" ref="F63">IF(E63="","",_xlfn.XLOOKUP(E63,Accounts!B:B,Accounts!D:D,""))</f>
        <v/>
      </c>
      <c r="G63" s="272"/>
    </row>
    <row r="64">
      <c r="A64" s="278">
        <v>46263.0</v>
      </c>
      <c r="B64" s="173" t="s">
        <v>486</v>
      </c>
      <c r="C64" s="227">
        <v>78.5</v>
      </c>
      <c r="D64" s="31" t="str">
        <f t="array" ref="D64">IF(E64="","",_xlfn.XLOOKUP(E64,Accounts!B:B,Accounts!C:C,""))</f>
        <v>Ac: 01016857 C: 04-09-72</v>
      </c>
      <c r="E64" s="31" t="str">
        <f t="array" ref="E64">IF(B64="","",_xlfn.XLOOKUP(B64,Accounts!A:A,Accounts!B:B,""))</f>
        <v>Abdullah Nsave</v>
      </c>
      <c r="F64" s="31" t="str">
        <f t="array" ref="F64">IF(E64="","",_xlfn.XLOOKUP(E64,Accounts!B:B,Accounts!D:D,""))</f>
        <v/>
      </c>
      <c r="G64" s="272"/>
    </row>
    <row r="65">
      <c r="A65" s="278">
        <v>46270.0</v>
      </c>
      <c r="B65" s="173" t="s">
        <v>490</v>
      </c>
      <c r="C65" s="227">
        <v>160.0</v>
      </c>
      <c r="D65" s="31" t="str">
        <f t="array" ref="D65">IF(E65="","",_xlfn.XLOOKUP(E65,Accounts!B:B,Accounts!C:C,""))</f>
        <v>Ac: 00496939 C: 04-00-01</v>
      </c>
      <c r="E65" s="31" t="str">
        <f t="array" ref="E65">IF(B65="","",_xlfn.XLOOKUP(B65,Accounts!A:A,Accounts!B:B,""))</f>
        <v>Abbas Ifast</v>
      </c>
      <c r="F65" s="31" t="str">
        <f t="array" ref="F65">IF(E65="","",_xlfn.XLOOKUP(E65,Accounts!B:B,Accounts!D:D,""))</f>
        <v/>
      </c>
      <c r="G65" s="272"/>
    </row>
    <row r="66">
      <c r="A66" s="278">
        <v>46273.0</v>
      </c>
      <c r="B66" s="173" t="s">
        <v>504</v>
      </c>
      <c r="C66" s="173">
        <v>40.0</v>
      </c>
      <c r="D66" s="31" t="str">
        <f t="array" ref="D66">IF(E66="","",_xlfn.XLOOKUP(E66,Accounts!B:B,Accounts!C:C,""))</f>
        <v>Ac: 01016540 C: 04-09-72</v>
      </c>
      <c r="E66" s="31" t="str">
        <f t="array" ref="E66">IF(B66="","",_xlfn.XLOOKUP(B66,Accounts!A:A,Accounts!B:B,""))</f>
        <v>Syeda Khola Shah</v>
      </c>
      <c r="F66" s="31" t="str">
        <f t="array" ref="F66">IF(E66="","",_xlfn.XLOOKUP(E66,Accounts!B:B,Accounts!D:D,""))</f>
        <v>Ac: 39642226 C: 23-08-01</v>
      </c>
      <c r="G66" s="272"/>
    </row>
    <row r="67">
      <c r="A67" s="278">
        <v>46273.0</v>
      </c>
      <c r="B67" s="173" t="s">
        <v>509</v>
      </c>
      <c r="C67" s="173">
        <v>43.0</v>
      </c>
      <c r="D67" s="31" t="str">
        <f t="array" ref="D67">IF(E67="","",_xlfn.XLOOKUP(E67,Accounts!B:B,Accounts!C:C,""))</f>
        <v>Ac: 01016540 C: 04-09-72</v>
      </c>
      <c r="E67" s="31" t="str">
        <f t="array" ref="E67">IF(B67="","",_xlfn.XLOOKUP(B67,Accounts!A:A,Accounts!B:B,""))</f>
        <v>Syeda Khola Shah</v>
      </c>
      <c r="F67" s="31" t="str">
        <f t="array" ref="F67">IF(E67="","",_xlfn.XLOOKUP(E67,Accounts!B:B,Accounts!D:D,""))</f>
        <v>Ac: 39642226 C: 23-08-01</v>
      </c>
      <c r="G67" s="272"/>
    </row>
    <row r="68">
      <c r="A68" s="278">
        <v>46273.0</v>
      </c>
      <c r="B68" s="173" t="s">
        <v>398</v>
      </c>
      <c r="C68" s="227">
        <v>40.0</v>
      </c>
      <c r="D68" s="31" t="str">
        <f t="array" ref="D68">IF(E68="","",_xlfn.XLOOKUP(E68,Accounts!B:B,Accounts!C:C,""))</f>
        <v>Ac: 01016535 C: 040972</v>
      </c>
      <c r="E68" s="31" t="str">
        <f t="array" ref="E68">IF(B68="","",_xlfn.XLOOKUP(B68,Accounts!A:A,Accounts!B:B,""))</f>
        <v>Summiya Hassan</v>
      </c>
      <c r="F68" s="31" t="str">
        <f t="array" ref="F68">IF(E68="","",_xlfn.XLOOKUP(E68,Accounts!B:B,Accounts!D:D,""))</f>
        <v>Ac: 39642250 C: 23-08-01</v>
      </c>
      <c r="G68" s="272"/>
    </row>
    <row r="69">
      <c r="A69" s="278">
        <v>46273.0</v>
      </c>
      <c r="B69" s="173" t="s">
        <v>398</v>
      </c>
      <c r="C69" s="227">
        <v>60.0</v>
      </c>
      <c r="D69" s="31" t="str">
        <f t="array" ref="D69">IF(E69="","",_xlfn.XLOOKUP(E69,Accounts!B:B,Accounts!C:C,""))</f>
        <v>Ac: 01016535 C: 040972</v>
      </c>
      <c r="E69" s="31" t="str">
        <f t="array" ref="E69">IF(B69="","",_xlfn.XLOOKUP(B69,Accounts!A:A,Accounts!B:B,""))</f>
        <v>Summiya Hassan</v>
      </c>
      <c r="F69" s="31" t="str">
        <f t="array" ref="F69">IF(E69="","",_xlfn.XLOOKUP(E69,Accounts!B:B,Accounts!D:D,""))</f>
        <v>Ac: 39642250 C: 23-08-01</v>
      </c>
      <c r="G69" s="272"/>
    </row>
    <row r="70">
      <c r="A70" s="278">
        <v>46273.0</v>
      </c>
      <c r="B70" s="173" t="s">
        <v>386</v>
      </c>
      <c r="C70" s="227">
        <v>74.5</v>
      </c>
      <c r="D70" s="31" t="str">
        <f t="array" ref="D70">IF(E70="","",_xlfn.XLOOKUP(E70,Accounts!B:B,Accounts!C:C,""))</f>
        <v>Ac: 01016535 C: 040972</v>
      </c>
      <c r="E70" s="31" t="str">
        <f t="array" ref="E70">IF(B70="","",_xlfn.XLOOKUP(B70,Accounts!A:A,Accounts!B:B,""))</f>
        <v>Summiya Hassan</v>
      </c>
      <c r="F70" s="31" t="str">
        <f t="array" ref="F70">IF(E70="","",_xlfn.XLOOKUP(E70,Accounts!B:B,Accounts!D:D,""))</f>
        <v>Ac: 39642250 C: 23-08-01</v>
      </c>
      <c r="G70" s="272"/>
    </row>
    <row r="71">
      <c r="A71" s="278">
        <v>46273.0</v>
      </c>
      <c r="B71" s="173" t="s">
        <v>382</v>
      </c>
      <c r="C71" s="173">
        <v>90.16</v>
      </c>
      <c r="D71" s="31" t="str">
        <f t="array" ref="D71">IF(E71="","",_xlfn.XLOOKUP(E71,Accounts!B:B,Accounts!C:C,""))</f>
        <v/>
      </c>
      <c r="F71" s="31" t="str">
        <f t="array" ref="F71">IF(E71="","",_xlfn.XLOOKUP(E71,Accounts!B:B,Accounts!D:D,""))</f>
        <v/>
      </c>
      <c r="G71" s="272"/>
    </row>
    <row r="72">
      <c r="A72" s="278">
        <v>46273.0</v>
      </c>
      <c r="B72" s="173" t="s">
        <v>428</v>
      </c>
      <c r="C72" s="173">
        <v>23.5</v>
      </c>
      <c r="D72" s="31" t="str">
        <f t="array" ref="D72">IF(E72="","",_xlfn.XLOOKUP(E72,Accounts!B:B,Accounts!C:C,""))</f>
        <v/>
      </c>
      <c r="F72" s="173" t="s">
        <v>1095</v>
      </c>
      <c r="G72" s="272"/>
    </row>
    <row r="73">
      <c r="A73" s="278">
        <v>46273.0</v>
      </c>
      <c r="B73" s="173" t="s">
        <v>494</v>
      </c>
      <c r="C73" s="173">
        <v>56.5</v>
      </c>
      <c r="D73" s="31" t="str">
        <f t="array" ref="D73">IF(E73="","",_xlfn.XLOOKUP(E73,Accounts!B:B,Accounts!C:C,""))</f>
        <v/>
      </c>
      <c r="F73" s="31" t="str">
        <f t="array" ref="F73">IF(E73="","",_xlfn.XLOOKUP(E73,Accounts!B:B,Accounts!D:D,""))</f>
        <v/>
      </c>
      <c r="G73" s="272"/>
    </row>
    <row r="74">
      <c r="B74" s="31"/>
      <c r="D74" s="31" t="str">
        <f t="array" ref="D74">IF(E74="","",_xlfn.XLOOKUP(E74,Accounts!B:B,Accounts!C:C,""))</f>
        <v/>
      </c>
      <c r="F74" s="31" t="str">
        <f t="array" ref="F74">IF(E74="","",_xlfn.XLOOKUP(E74,Accounts!B:B,Accounts!D:D,""))</f>
        <v/>
      </c>
      <c r="G74" s="272" t="s">
        <v>1099</v>
      </c>
    </row>
    <row r="75">
      <c r="B75" s="31"/>
      <c r="D75" s="31" t="str">
        <f t="array" ref="D75">IF(E75="","",_xlfn.XLOOKUP(E75,Accounts!B:B,Accounts!C:C,""))</f>
        <v/>
      </c>
      <c r="F75" s="31" t="str">
        <f t="array" ref="F75">IF(E75="","",_xlfn.XLOOKUP(E75,Accounts!B:B,Accounts!D:D,""))</f>
        <v/>
      </c>
      <c r="G75" s="272" t="s">
        <v>1099</v>
      </c>
    </row>
    <row r="76">
      <c r="B76" s="31"/>
      <c r="D76" s="31" t="str">
        <f t="array" ref="D76">IF(E76="","",_xlfn.XLOOKUP(E76,Accounts!B:B,Accounts!C:C,""))</f>
        <v/>
      </c>
      <c r="F76" s="31" t="str">
        <f t="array" ref="F76">IF(E76="","",_xlfn.XLOOKUP(E76,Accounts!B:B,Accounts!D:D,""))</f>
        <v/>
      </c>
      <c r="G76" s="272" t="s">
        <v>1099</v>
      </c>
    </row>
    <row r="77">
      <c r="B77" s="31"/>
      <c r="D77" s="31" t="str">
        <f t="array" ref="D77">IF(E77="","",_xlfn.XLOOKUP(E77,Accounts!B:B,Accounts!C:C,""))</f>
        <v/>
      </c>
      <c r="F77" s="31" t="str">
        <f t="array" ref="F77">IF(E77="","",_xlfn.XLOOKUP(E77,Accounts!B:B,Accounts!D:D,""))</f>
        <v/>
      </c>
      <c r="G77" s="272" t="s">
        <v>1099</v>
      </c>
    </row>
    <row r="78">
      <c r="B78" s="31"/>
      <c r="D78" s="31" t="str">
        <f t="array" ref="D78">IF(E78="","",_xlfn.XLOOKUP(E78,Accounts!B:B,Accounts!C:C,""))</f>
        <v/>
      </c>
      <c r="F78" s="31" t="str">
        <f t="array" ref="F78">IF(E78="","",_xlfn.XLOOKUP(E78,Accounts!B:B,Accounts!D:D,""))</f>
        <v/>
      </c>
      <c r="G78" s="272" t="s">
        <v>1099</v>
      </c>
    </row>
    <row r="79">
      <c r="B79" s="31"/>
      <c r="D79" s="31" t="str">
        <f t="array" ref="D79">IF(E79="","",_xlfn.XLOOKUP(E79,Accounts!B:B,Accounts!C:C,""))</f>
        <v/>
      </c>
      <c r="F79" s="31" t="str">
        <f t="array" ref="F79">IF(E79="","",_xlfn.XLOOKUP(E79,Accounts!B:B,Accounts!D:D,""))</f>
        <v/>
      </c>
      <c r="G79" s="272" t="s">
        <v>1099</v>
      </c>
    </row>
    <row r="80">
      <c r="B80" s="31"/>
      <c r="D80" s="31" t="str">
        <f t="array" ref="D80">IF(E80="","",_xlfn.XLOOKUP(E80,Accounts!B:B,Accounts!C:C,""))</f>
        <v/>
      </c>
      <c r="F80" s="31" t="str">
        <f t="array" ref="F80">IF(E80="","",_xlfn.XLOOKUP(E80,Accounts!B:B,Accounts!D:D,""))</f>
        <v/>
      </c>
      <c r="G80" s="272" t="s">
        <v>1099</v>
      </c>
    </row>
    <row r="81">
      <c r="B81" s="31"/>
      <c r="D81" s="31" t="str">
        <f t="array" ref="D81">IF(E81="","",_xlfn.XLOOKUP(E81,Accounts!B:B,Accounts!C:C,""))</f>
        <v/>
      </c>
      <c r="F81" s="31" t="str">
        <f t="array" ref="F81">IF(E81="","",_xlfn.XLOOKUP(E81,Accounts!B:B,Accounts!D:D,""))</f>
        <v/>
      </c>
      <c r="G81" s="272" t="s">
        <v>1099</v>
      </c>
    </row>
    <row r="82">
      <c r="B82" s="31"/>
      <c r="D82" s="31" t="str">
        <f t="array" ref="D82">IF(E82="","",_xlfn.XLOOKUP(E82,Accounts!B:B,Accounts!C:C,""))</f>
        <v/>
      </c>
      <c r="F82" s="31" t="str">
        <f t="array" ref="F82">IF(E82="","",_xlfn.XLOOKUP(E82,Accounts!B:B,Accounts!D:D,""))</f>
        <v/>
      </c>
      <c r="G82" s="272" t="s">
        <v>1099</v>
      </c>
    </row>
    <row r="83">
      <c r="B83" s="31"/>
      <c r="D83" s="31" t="str">
        <f t="array" ref="D83">IF(E83="","",_xlfn.XLOOKUP(E83,Accounts!B:B,Accounts!C:C,""))</f>
        <v/>
      </c>
      <c r="F83" s="31" t="str">
        <f t="array" ref="F83">IF(E83="","",_xlfn.XLOOKUP(E83,Accounts!B:B,Accounts!D:D,""))</f>
        <v/>
      </c>
      <c r="G83" s="272" t="s">
        <v>1099</v>
      </c>
    </row>
    <row r="84">
      <c r="B84" s="31"/>
      <c r="D84" s="31" t="str">
        <f t="array" ref="D84">IF(E84="","",_xlfn.XLOOKUP(E84,Accounts!B:B,Accounts!C:C,""))</f>
        <v/>
      </c>
      <c r="F84" s="31" t="str">
        <f t="array" ref="F84">IF(E84="","",_xlfn.XLOOKUP(E84,Accounts!B:B,Accounts!D:D,""))</f>
        <v/>
      </c>
      <c r="G84" s="272" t="s">
        <v>1099</v>
      </c>
    </row>
    <row r="85">
      <c r="B85" s="31"/>
      <c r="D85" s="31" t="str">
        <f t="array" ref="D85">IF(E85="","",_xlfn.XLOOKUP(E85,Accounts!B:B,Accounts!C:C,""))</f>
        <v/>
      </c>
      <c r="F85" s="31" t="str">
        <f t="array" ref="F85">IF(E85="","",_xlfn.XLOOKUP(E85,Accounts!B:B,Accounts!D:D,""))</f>
        <v/>
      </c>
      <c r="G85" s="272" t="s">
        <v>1099</v>
      </c>
    </row>
    <row r="86">
      <c r="B86" s="31"/>
      <c r="D86" s="31" t="str">
        <f t="array" ref="D86">IF(E86="","",_xlfn.XLOOKUP(E86,Accounts!B:B,Accounts!C:C,""))</f>
        <v/>
      </c>
      <c r="F86" s="31" t="str">
        <f t="array" ref="F86">IF(E86="","",_xlfn.XLOOKUP(E86,Accounts!B:B,Accounts!D:D,""))</f>
        <v/>
      </c>
      <c r="G86" s="272" t="s">
        <v>1099</v>
      </c>
    </row>
    <row r="87">
      <c r="B87" s="31"/>
      <c r="D87" s="31" t="str">
        <f t="array" ref="D87">IF(E87="","",_xlfn.XLOOKUP(E87,Accounts!B:B,Accounts!C:C,""))</f>
        <v/>
      </c>
      <c r="F87" s="31" t="str">
        <f t="array" ref="F87">IF(E87="","",_xlfn.XLOOKUP(E87,Accounts!B:B,Accounts!D:D,""))</f>
        <v/>
      </c>
      <c r="G87" s="272" t="s">
        <v>1099</v>
      </c>
    </row>
    <row r="88">
      <c r="B88" s="31"/>
      <c r="D88" s="31" t="str">
        <f t="array" ref="D88">IF(E88="","",_xlfn.XLOOKUP(E88,Accounts!B:B,Accounts!C:C,""))</f>
        <v/>
      </c>
      <c r="F88" s="31" t="str">
        <f t="array" ref="F88">IF(E88="","",_xlfn.XLOOKUP(E88,Accounts!B:B,Accounts!D:D,""))</f>
        <v/>
      </c>
      <c r="G88" s="272" t="s">
        <v>1099</v>
      </c>
    </row>
    <row r="89">
      <c r="B89" s="31"/>
      <c r="D89" s="31" t="str">
        <f t="array" ref="D89">IF(E89="","",_xlfn.XLOOKUP(E89,Accounts!B:B,Accounts!C:C,""))</f>
        <v/>
      </c>
      <c r="F89" s="31" t="str">
        <f t="array" ref="F89">IF(E89="","",_xlfn.XLOOKUP(E89,Accounts!B:B,Accounts!D:D,""))</f>
        <v/>
      </c>
      <c r="G89" s="272" t="s">
        <v>1099</v>
      </c>
    </row>
    <row r="90">
      <c r="B90" s="31"/>
      <c r="D90" s="31" t="str">
        <f t="array" ref="D90">IF(E90="","",_xlfn.XLOOKUP(E90,Accounts!B:B,Accounts!C:C,""))</f>
        <v/>
      </c>
      <c r="F90" s="31" t="str">
        <f t="array" ref="F90">IF(E90="","",_xlfn.XLOOKUP(E90,Accounts!B:B,Accounts!D:D,""))</f>
        <v/>
      </c>
      <c r="G90" s="272" t="s">
        <v>1099</v>
      </c>
    </row>
    <row r="91">
      <c r="B91" s="31"/>
      <c r="D91" s="31" t="str">
        <f t="array" ref="D91">IF(E91="","",_xlfn.XLOOKUP(E91,Accounts!B:B,Accounts!C:C,""))</f>
        <v/>
      </c>
      <c r="F91" s="31" t="str">
        <f t="array" ref="F91">IF(E91="","",_xlfn.XLOOKUP(E91,Accounts!B:B,Accounts!D:D,""))</f>
        <v/>
      </c>
      <c r="G91" s="272" t="s">
        <v>1099</v>
      </c>
    </row>
    <row r="92">
      <c r="B92" s="31"/>
      <c r="D92" s="31" t="str">
        <f t="array" ref="D92">IF(E92="","",_xlfn.XLOOKUP(E92,Accounts!B:B,Accounts!C:C,""))</f>
        <v/>
      </c>
      <c r="F92" s="31" t="str">
        <f t="array" ref="F92">IF(E92="","",_xlfn.XLOOKUP(E92,Accounts!B:B,Accounts!D:D,""))</f>
        <v/>
      </c>
      <c r="G92" s="272" t="s">
        <v>1099</v>
      </c>
    </row>
    <row r="93">
      <c r="B93" s="31"/>
      <c r="D93" s="31" t="str">
        <f t="array" ref="D93">IF(E93="","",_xlfn.XLOOKUP(E93,Accounts!B:B,Accounts!C:C,""))</f>
        <v/>
      </c>
      <c r="F93" s="31" t="str">
        <f t="array" ref="F93">IF(E93="","",_xlfn.XLOOKUP(E93,Accounts!B:B,Accounts!D:D,""))</f>
        <v/>
      </c>
      <c r="G93" s="272" t="s">
        <v>1099</v>
      </c>
    </row>
    <row r="94">
      <c r="B94" s="31"/>
      <c r="D94" s="31" t="str">
        <f t="array" ref="D94">IF(E94="","",_xlfn.XLOOKUP(E94,Accounts!B:B,Accounts!C:C,""))</f>
        <v/>
      </c>
      <c r="F94" s="31" t="str">
        <f t="array" ref="F94">IF(E94="","",_xlfn.XLOOKUP(E94,Accounts!B:B,Accounts!D:D,""))</f>
        <v/>
      </c>
      <c r="G94" s="272" t="s">
        <v>1099</v>
      </c>
    </row>
    <row r="95">
      <c r="B95" s="31"/>
      <c r="D95" s="31" t="str">
        <f t="array" ref="D95">IF(E95="","",_xlfn.XLOOKUP(E95,Accounts!B:B,Accounts!C:C,""))</f>
        <v/>
      </c>
      <c r="F95" s="31" t="str">
        <f t="array" ref="F95">IF(E95="","",_xlfn.XLOOKUP(E95,Accounts!B:B,Accounts!D:D,""))</f>
        <v/>
      </c>
      <c r="G95" s="272" t="s">
        <v>1099</v>
      </c>
    </row>
    <row r="96">
      <c r="B96" s="31"/>
      <c r="D96" s="31" t="str">
        <f t="array" ref="D96">IF(E96="","",_xlfn.XLOOKUP(E96,Accounts!B:B,Accounts!C:C,""))</f>
        <v/>
      </c>
      <c r="F96" s="31" t="str">
        <f t="array" ref="F96">IF(E96="","",_xlfn.XLOOKUP(E96,Accounts!B:B,Accounts!D:D,""))</f>
        <v/>
      </c>
      <c r="G96" s="272" t="s">
        <v>1099</v>
      </c>
    </row>
    <row r="97">
      <c r="B97" s="31"/>
      <c r="D97" s="31" t="str">
        <f t="array" ref="D97">IF(E97="","",_xlfn.XLOOKUP(E97,Accounts!B:B,Accounts!C:C,""))</f>
        <v/>
      </c>
      <c r="F97" s="31" t="str">
        <f t="array" ref="F97">IF(E97="","",_xlfn.XLOOKUP(E97,Accounts!B:B,Accounts!D:D,""))</f>
        <v/>
      </c>
      <c r="G97" s="272" t="s">
        <v>1099</v>
      </c>
    </row>
    <row r="98">
      <c r="B98" s="31"/>
      <c r="D98" s="31" t="str">
        <f t="array" ref="D98">IF(E98="","",_xlfn.XLOOKUP(E98,Accounts!B:B,Accounts!C:C,""))</f>
        <v/>
      </c>
      <c r="F98" s="31" t="str">
        <f t="array" ref="F98">IF(E98="","",_xlfn.XLOOKUP(E98,Accounts!B:B,Accounts!D:D,""))</f>
        <v/>
      </c>
      <c r="G98" s="272" t="s">
        <v>1099</v>
      </c>
    </row>
    <row r="99">
      <c r="B99" s="31"/>
      <c r="D99" s="31" t="str">
        <f t="array" ref="D99">IF(E99="","",_xlfn.XLOOKUP(E99,Accounts!B:B,Accounts!C:C,""))</f>
        <v/>
      </c>
      <c r="F99" s="31" t="str">
        <f t="array" ref="F99">IF(E99="","",_xlfn.XLOOKUP(E99,Accounts!B:B,Accounts!D:D,""))</f>
        <v/>
      </c>
      <c r="G99" s="272" t="s">
        <v>1099</v>
      </c>
    </row>
    <row r="100">
      <c r="B100" s="31"/>
      <c r="D100" s="31" t="str">
        <f t="array" ref="D100">IF(E100="","",_xlfn.XLOOKUP(E100,Accounts!B:B,Accounts!C:C,""))</f>
        <v/>
      </c>
      <c r="F100" s="31" t="str">
        <f t="array" ref="F100">IF(E100="","",_xlfn.XLOOKUP(E100,Accounts!B:B,Accounts!D:D,""))</f>
        <v/>
      </c>
      <c r="G100" s="272" t="s">
        <v>1099</v>
      </c>
    </row>
    <row r="101">
      <c r="B101" s="31"/>
      <c r="D101" s="31" t="str">
        <f t="array" ref="D101">IF(E101="","",_xlfn.XLOOKUP(E101,Accounts!B:B,Accounts!C:C,""))</f>
        <v/>
      </c>
      <c r="F101" s="31" t="str">
        <f t="array" ref="F101">IF(E101="","",_xlfn.XLOOKUP(E101,Accounts!B:B,Accounts!D:D,""))</f>
        <v/>
      </c>
      <c r="G101" s="272" t="s">
        <v>1099</v>
      </c>
    </row>
    <row r="102">
      <c r="B102" s="31"/>
      <c r="D102" s="31" t="str">
        <f t="array" ref="D102">IF(E102="","",_xlfn.XLOOKUP(E102,Accounts!B:B,Accounts!C:C,""))</f>
        <v/>
      </c>
      <c r="F102" s="31" t="str">
        <f t="array" ref="F102">IF(E102="","",_xlfn.XLOOKUP(E102,Accounts!B:B,Accounts!D:D,""))</f>
        <v/>
      </c>
      <c r="G102" s="272" t="s">
        <v>1099</v>
      </c>
    </row>
    <row r="103">
      <c r="B103" s="31"/>
      <c r="D103" s="31" t="str">
        <f t="array" ref="D103">IF(E103="","",_xlfn.XLOOKUP(E103,Accounts!B:B,Accounts!C:C,""))</f>
        <v/>
      </c>
      <c r="F103" s="31" t="str">
        <f t="array" ref="F103">IF(E103="","",_xlfn.XLOOKUP(E103,Accounts!B:B,Accounts!D:D,""))</f>
        <v/>
      </c>
      <c r="G103" s="272" t="s">
        <v>1099</v>
      </c>
    </row>
    <row r="104">
      <c r="B104" s="31"/>
      <c r="D104" s="31" t="str">
        <f t="array" ref="D104">IF(E104="","",_xlfn.XLOOKUP(E104,Accounts!B:B,Accounts!C:C,""))</f>
        <v/>
      </c>
      <c r="F104" s="31" t="str">
        <f t="array" ref="F104">IF(E104="","",_xlfn.XLOOKUP(E104,Accounts!B:B,Accounts!D:D,""))</f>
        <v/>
      </c>
      <c r="G104" s="272" t="s">
        <v>1099</v>
      </c>
    </row>
    <row r="105">
      <c r="B105" s="31"/>
      <c r="D105" s="31" t="str">
        <f t="array" ref="D105">IF(E105="","",_xlfn.XLOOKUP(E105,Accounts!B:B,Accounts!C:C,""))</f>
        <v/>
      </c>
      <c r="F105" s="31" t="str">
        <f t="array" ref="F105">IF(E105="","",_xlfn.XLOOKUP(E105,Accounts!B:B,Accounts!D:D,""))</f>
        <v/>
      </c>
      <c r="G105" s="272" t="s">
        <v>1099</v>
      </c>
    </row>
    <row r="106">
      <c r="B106" s="31"/>
      <c r="D106" s="31" t="str">
        <f t="array" ref="D106">IF(E106="","",_xlfn.XLOOKUP(E106,Accounts!B:B,Accounts!C:C,""))</f>
        <v/>
      </c>
      <c r="F106" s="31" t="str">
        <f t="array" ref="F106">IF(E106="","",_xlfn.XLOOKUP(E106,Accounts!B:B,Accounts!D:D,""))</f>
        <v/>
      </c>
      <c r="G106" s="272" t="s">
        <v>1099</v>
      </c>
    </row>
    <row r="107">
      <c r="B107" s="31"/>
      <c r="D107" s="31" t="str">
        <f t="array" ref="D107">IF(E107="","",_xlfn.XLOOKUP(E107,Accounts!B:B,Accounts!C:C,""))</f>
        <v/>
      </c>
      <c r="F107" s="31" t="str">
        <f t="array" ref="F107">IF(E107="","",_xlfn.XLOOKUP(E107,Accounts!B:B,Accounts!D:D,""))</f>
        <v/>
      </c>
      <c r="G107" s="272" t="s">
        <v>1099</v>
      </c>
    </row>
    <row r="108">
      <c r="B108" s="31"/>
      <c r="D108" s="31" t="str">
        <f t="array" ref="D108">IF(E108="","",_xlfn.XLOOKUP(E108,Accounts!B:B,Accounts!C:C,""))</f>
        <v/>
      </c>
      <c r="G108" s="272" t="s">
        <v>1099</v>
      </c>
    </row>
    <row r="109">
      <c r="B109" s="31"/>
      <c r="D109" s="31" t="str">
        <f t="array" ref="D109">IF(E109="","",_xlfn.XLOOKUP(E109,Accounts!B:B,Accounts!C:C,""))</f>
        <v/>
      </c>
      <c r="G109" s="272" t="s">
        <v>1099</v>
      </c>
    </row>
    <row r="110">
      <c r="B110" s="31"/>
      <c r="D110" s="31" t="str">
        <f t="array" ref="D110">IF(E110="","",_xlfn.XLOOKUP(E110,Accounts!B:B,Accounts!C:C,""))</f>
        <v/>
      </c>
      <c r="G110" s="272" t="s">
        <v>1099</v>
      </c>
    </row>
    <row r="111">
      <c r="B111" s="31"/>
      <c r="D111" s="31" t="str">
        <f t="array" ref="D111">IF(E111="","",_xlfn.XLOOKUP(E111,Accounts!B:B,Accounts!C:C,""))</f>
        <v/>
      </c>
      <c r="G111" s="272" t="s">
        <v>1099</v>
      </c>
    </row>
    <row r="112">
      <c r="B112" s="31"/>
      <c r="D112" s="31" t="str">
        <f t="array" ref="D112">IF(E112="","",_xlfn.XLOOKUP(E112,Accounts!B:B,Accounts!C:C,""))</f>
        <v/>
      </c>
      <c r="G112" s="272" t="s">
        <v>1099</v>
      </c>
    </row>
    <row r="113">
      <c r="B113" s="31"/>
      <c r="D113" s="31" t="str">
        <f t="array" ref="D113">IF(E113="","",_xlfn.XLOOKUP(E113,Accounts!B:B,Accounts!C:C,""))</f>
        <v/>
      </c>
      <c r="G113" s="272" t="s">
        <v>1099</v>
      </c>
    </row>
    <row r="114">
      <c r="B114" s="31"/>
      <c r="D114" s="31" t="str">
        <f t="array" ref="D114">IF(E114="","",_xlfn.XLOOKUP(E114,Accounts!B:B,Accounts!C:C,""))</f>
        <v/>
      </c>
      <c r="G114" s="272" t="s">
        <v>1099</v>
      </c>
    </row>
    <row r="115">
      <c r="B115" s="31"/>
      <c r="D115" s="31" t="str">
        <f t="array" ref="D115">IF(E115="","",_xlfn.XLOOKUP(E115,Accounts!B:B,Accounts!C:C,""))</f>
        <v/>
      </c>
      <c r="G115" s="272" t="s">
        <v>1099</v>
      </c>
    </row>
    <row r="116">
      <c r="B116" s="31"/>
      <c r="D116" s="31" t="str">
        <f t="array" ref="D116">IF(E116="","",_xlfn.XLOOKUP(E116,Accounts!B:B,Accounts!C:C,""))</f>
        <v/>
      </c>
      <c r="G116" s="272" t="s">
        <v>1099</v>
      </c>
    </row>
    <row r="117">
      <c r="B117" s="31"/>
      <c r="D117" s="31" t="str">
        <f t="array" ref="D117">IF(E117="","",_xlfn.XLOOKUP(E117,Accounts!B:B,Accounts!C:C,""))</f>
        <v/>
      </c>
      <c r="G117" s="272" t="s">
        <v>1099</v>
      </c>
    </row>
    <row r="118">
      <c r="B118" s="31"/>
      <c r="D118" s="31" t="str">
        <f t="array" ref="D118">IF(E118="","",_xlfn.XLOOKUP(E118,Accounts!B:B,Accounts!C:C,""))</f>
        <v/>
      </c>
      <c r="G118" s="272" t="s">
        <v>1099</v>
      </c>
    </row>
    <row r="119">
      <c r="B119" s="31"/>
      <c r="D119" s="31" t="str">
        <f t="array" ref="D119">IF(E119="","",_xlfn.XLOOKUP(E119,Accounts!B:B,Accounts!C:C,""))</f>
        <v/>
      </c>
      <c r="G119" s="272" t="s">
        <v>1099</v>
      </c>
    </row>
    <row r="120">
      <c r="B120" s="31"/>
      <c r="D120" s="31" t="str">
        <f t="array" ref="D120">IF(E120="","",_xlfn.XLOOKUP(E120,Accounts!B:B,Accounts!C:C,""))</f>
        <v/>
      </c>
      <c r="G120" s="272" t="s">
        <v>1099</v>
      </c>
    </row>
    <row r="121">
      <c r="B121" s="31"/>
      <c r="D121" s="31" t="str">
        <f t="array" ref="D121">IF(E121="","",_xlfn.XLOOKUP(E121,Accounts!B:B,Accounts!C:C,""))</f>
        <v/>
      </c>
      <c r="G121" s="272" t="s">
        <v>1099</v>
      </c>
    </row>
    <row r="122">
      <c r="B122" s="31"/>
      <c r="D122" s="31" t="str">
        <f t="array" ref="D122">IF(E122="","",_xlfn.XLOOKUP(E122,Accounts!B:B,Accounts!C:C,""))</f>
        <v/>
      </c>
      <c r="G122" s="272" t="s">
        <v>1099</v>
      </c>
    </row>
    <row r="123">
      <c r="B123" s="31"/>
      <c r="D123" s="31" t="str">
        <f t="array" ref="D123">IF(E123="","",_xlfn.XLOOKUP(E123,Accounts!B:B,Accounts!C:C,""))</f>
        <v/>
      </c>
      <c r="G123" s="272" t="s">
        <v>1099</v>
      </c>
    </row>
    <row r="124">
      <c r="B124" s="31"/>
      <c r="D124" s="31" t="str">
        <f t="array" ref="D124">IF(E124="","",_xlfn.XLOOKUP(E124,Accounts!B:B,Accounts!C:C,""))</f>
        <v/>
      </c>
      <c r="G124" s="272" t="s">
        <v>1099</v>
      </c>
    </row>
    <row r="125">
      <c r="B125" s="31"/>
      <c r="D125" s="31" t="str">
        <f t="array" ref="D125">IF(E125="","",_xlfn.XLOOKUP(E125,Accounts!B:B,Accounts!C:C,""))</f>
        <v/>
      </c>
      <c r="G125" s="272" t="s">
        <v>1099</v>
      </c>
    </row>
    <row r="126">
      <c r="B126" s="31"/>
      <c r="D126" s="31" t="str">
        <f t="array" ref="D126">IF(E126="","",_xlfn.XLOOKUP(E126,Accounts!B:B,Accounts!C:C,""))</f>
        <v/>
      </c>
      <c r="G126" s="272" t="s">
        <v>1099</v>
      </c>
    </row>
    <row r="127">
      <c r="B127" s="31"/>
      <c r="D127" s="31" t="str">
        <f t="array" ref="D127">IF(E127="","",_xlfn.XLOOKUP(E127,Accounts!B:B,Accounts!C:C,""))</f>
        <v/>
      </c>
      <c r="G127" s="272" t="s">
        <v>1099</v>
      </c>
    </row>
    <row r="128">
      <c r="B128" s="31"/>
      <c r="D128" s="31" t="str">
        <f t="array" ref="D128">IF(E128="","",_xlfn.XLOOKUP(E128,Accounts!B:B,Accounts!C:C,""))</f>
        <v/>
      </c>
      <c r="G128" s="272" t="s">
        <v>1099</v>
      </c>
    </row>
    <row r="129">
      <c r="B129" s="31"/>
      <c r="D129" s="31" t="str">
        <f t="array" ref="D129">IF(E129="","",_xlfn.XLOOKUP(E129,Accounts!B:B,Accounts!C:C,""))</f>
        <v/>
      </c>
      <c r="G129" s="272" t="s">
        <v>1099</v>
      </c>
    </row>
    <row r="130">
      <c r="B130" s="31"/>
      <c r="D130" s="31" t="str">
        <f t="array" ref="D130">IF(E130="","",_xlfn.XLOOKUP(E130,Accounts!B:B,Accounts!C:C,""))</f>
        <v/>
      </c>
      <c r="G130" s="272" t="s">
        <v>1099</v>
      </c>
    </row>
    <row r="131">
      <c r="B131" s="31"/>
      <c r="D131" s="31" t="str">
        <f t="array" ref="D131">IF(E131="","",_xlfn.XLOOKUP(E131,Accounts!B:B,Accounts!C:C,""))</f>
        <v/>
      </c>
      <c r="G131" s="272" t="s">
        <v>1099</v>
      </c>
    </row>
    <row r="132">
      <c r="B132" s="31"/>
      <c r="D132" s="31" t="str">
        <f t="array" ref="D132">IF(E132="","",_xlfn.XLOOKUP(E132,Accounts!B:B,Accounts!C:C,""))</f>
        <v/>
      </c>
      <c r="G132" s="272" t="s">
        <v>1099</v>
      </c>
    </row>
    <row r="133">
      <c r="B133" s="31"/>
      <c r="D133" s="31" t="str">
        <f t="array" ref="D133">IF(E133="","",_xlfn.XLOOKUP(E133,Accounts!B:B,Accounts!C:C,""))</f>
        <v/>
      </c>
      <c r="G133" s="272" t="s">
        <v>1099</v>
      </c>
    </row>
    <row r="134">
      <c r="B134" s="31"/>
      <c r="D134" s="31" t="str">
        <f t="array" ref="D134">IF(E134="","",_xlfn.XLOOKUP(E134,Accounts!B:B,Accounts!C:C,""))</f>
        <v/>
      </c>
      <c r="G134" s="272" t="s">
        <v>1099</v>
      </c>
    </row>
    <row r="135">
      <c r="B135" s="31"/>
      <c r="D135" s="31" t="str">
        <f t="array" ref="D135">IF(E135="","",_xlfn.XLOOKUP(E135,Accounts!B:B,Accounts!C:C,""))</f>
        <v/>
      </c>
      <c r="G135" s="272" t="s">
        <v>1099</v>
      </c>
    </row>
    <row r="136">
      <c r="B136" s="31"/>
      <c r="D136" s="31" t="str">
        <f t="array" ref="D136">IF(E136="","",_xlfn.XLOOKUP(E136,Accounts!B:B,Accounts!C:C,""))</f>
        <v/>
      </c>
      <c r="G136" s="272" t="s">
        <v>1099</v>
      </c>
    </row>
    <row r="137">
      <c r="B137" s="31"/>
      <c r="D137" s="31" t="str">
        <f t="array" ref="D137">IF(E137="","",_xlfn.XLOOKUP(E137,Accounts!B:B,Accounts!C:C,""))</f>
        <v/>
      </c>
      <c r="G137" s="272" t="s">
        <v>1099</v>
      </c>
    </row>
    <row r="138">
      <c r="B138" s="31"/>
      <c r="D138" s="31" t="str">
        <f t="array" ref="D138">IF(E138="","",_xlfn.XLOOKUP(E138,Accounts!B:B,Accounts!C:C,""))</f>
        <v/>
      </c>
      <c r="G138" s="272" t="s">
        <v>1099</v>
      </c>
    </row>
    <row r="139">
      <c r="B139" s="31"/>
      <c r="D139" s="31" t="str">
        <f t="array" ref="D139">IF(E139="","",_xlfn.XLOOKUP(E139,Accounts!B:B,Accounts!C:C,""))</f>
        <v/>
      </c>
      <c r="G139" s="272" t="s">
        <v>1099</v>
      </c>
    </row>
    <row r="140">
      <c r="B140" s="31"/>
      <c r="D140" s="31" t="str">
        <f t="array" ref="D140">IF(E140="","",_xlfn.XLOOKUP(E140,Accounts!B:B,Accounts!C:C,""))</f>
        <v/>
      </c>
      <c r="G140" s="272" t="s">
        <v>1099</v>
      </c>
    </row>
    <row r="141">
      <c r="B141" s="31"/>
      <c r="D141" s="31" t="str">
        <f t="array" ref="D141">IF(E141="","",_xlfn.XLOOKUP(E141,Accounts!B:B,Accounts!C:C,""))</f>
        <v/>
      </c>
      <c r="G141" s="272" t="s">
        <v>1099</v>
      </c>
    </row>
    <row r="142">
      <c r="B142" s="31"/>
      <c r="D142" s="31" t="str">
        <f t="array" ref="D142">IF(E142="","",_xlfn.XLOOKUP(E142,Accounts!B:B,Accounts!C:C,""))</f>
        <v/>
      </c>
      <c r="G142" s="272" t="s">
        <v>1099</v>
      </c>
    </row>
    <row r="143">
      <c r="B143" s="31"/>
      <c r="D143" s="31" t="str">
        <f t="array" ref="D143">IF(E143="","",_xlfn.XLOOKUP(E143,Accounts!B:B,Accounts!C:C,""))</f>
        <v/>
      </c>
      <c r="G143" s="272" t="s">
        <v>1099</v>
      </c>
    </row>
    <row r="144">
      <c r="B144" s="31"/>
      <c r="D144" s="31" t="str">
        <f t="array" ref="D144">IF(E144="","",_xlfn.XLOOKUP(E144,Accounts!B:B,Accounts!C:C,""))</f>
        <v/>
      </c>
      <c r="G144" s="272" t="s">
        <v>1099</v>
      </c>
    </row>
    <row r="145">
      <c r="B145" s="31"/>
      <c r="D145" s="31" t="str">
        <f t="array" ref="D145">IF(E145="","",_xlfn.XLOOKUP(E145,Accounts!B:B,Accounts!C:C,""))</f>
        <v/>
      </c>
      <c r="G145" s="272" t="s">
        <v>1099</v>
      </c>
    </row>
    <row r="146">
      <c r="B146" s="31"/>
      <c r="D146" s="31" t="str">
        <f t="array" ref="D146">IF(E146="","",_xlfn.XLOOKUP(E146,Accounts!B:B,Accounts!C:C,""))</f>
        <v/>
      </c>
      <c r="G146" s="272" t="s">
        <v>1099</v>
      </c>
    </row>
    <row r="147">
      <c r="B147" s="31"/>
      <c r="D147" s="31" t="str">
        <f t="array" ref="D147">IF(E147="","",_xlfn.XLOOKUP(E147,Accounts!B:B,Accounts!C:C,""))</f>
        <v/>
      </c>
      <c r="G147" s="272" t="s">
        <v>1099</v>
      </c>
    </row>
    <row r="148">
      <c r="B148" s="31"/>
      <c r="D148" s="31" t="str">
        <f t="array" ref="D148">IF(E148="","",_xlfn.XLOOKUP(E148,Accounts!B:B,Accounts!C:C,""))</f>
        <v/>
      </c>
      <c r="G148" s="272" t="s">
        <v>1099</v>
      </c>
    </row>
    <row r="149">
      <c r="B149" s="31"/>
      <c r="D149" s="31" t="str">
        <f t="array" ref="D149">IF(E149="","",_xlfn.XLOOKUP(E149,Accounts!B:B,Accounts!C:C,""))</f>
        <v/>
      </c>
      <c r="G149" s="272" t="s">
        <v>1099</v>
      </c>
    </row>
    <row r="150">
      <c r="B150" s="31"/>
      <c r="G150" s="272" t="s">
        <v>1099</v>
      </c>
    </row>
    <row r="151">
      <c r="B151" s="31"/>
      <c r="G151" s="272" t="s">
        <v>1099</v>
      </c>
    </row>
    <row r="152">
      <c r="B152" s="31"/>
      <c r="G152" s="272" t="s">
        <v>1099</v>
      </c>
    </row>
    <row r="153">
      <c r="B153" s="31"/>
      <c r="G153" s="272" t="s">
        <v>1099</v>
      </c>
    </row>
    <row r="154">
      <c r="B154" s="31"/>
      <c r="G154" s="272" t="s">
        <v>1099</v>
      </c>
    </row>
    <row r="155">
      <c r="B155" s="31"/>
      <c r="G155" s="272" t="s">
        <v>1099</v>
      </c>
    </row>
    <row r="156">
      <c r="B156" s="31"/>
      <c r="G156" s="272" t="s">
        <v>1099</v>
      </c>
    </row>
    <row r="157">
      <c r="B157" s="31"/>
      <c r="G157" s="272" t="s">
        <v>1099</v>
      </c>
    </row>
    <row r="158">
      <c r="B158" s="31"/>
      <c r="G158" s="272" t="s">
        <v>1099</v>
      </c>
    </row>
    <row r="159">
      <c r="B159" s="31"/>
      <c r="G159" s="272" t="s">
        <v>1099</v>
      </c>
    </row>
    <row r="160">
      <c r="B160" s="31"/>
      <c r="G160" s="272" t="s">
        <v>1099</v>
      </c>
    </row>
    <row r="161">
      <c r="B161" s="31"/>
      <c r="G161" s="272" t="s">
        <v>1099</v>
      </c>
    </row>
    <row r="162">
      <c r="B162" s="31"/>
      <c r="G162" s="272" t="s">
        <v>1099</v>
      </c>
    </row>
    <row r="163">
      <c r="B163" s="31"/>
      <c r="G163" s="272" t="s">
        <v>1099</v>
      </c>
    </row>
    <row r="164">
      <c r="B164" s="31"/>
      <c r="G164" s="272" t="s">
        <v>1099</v>
      </c>
    </row>
    <row r="165">
      <c r="B165" s="31"/>
      <c r="G165" s="272" t="s">
        <v>1099</v>
      </c>
    </row>
    <row r="166">
      <c r="B166" s="31"/>
      <c r="G166" s="272" t="s">
        <v>1099</v>
      </c>
    </row>
    <row r="167">
      <c r="B167" s="31"/>
      <c r="G167" s="272" t="s">
        <v>1099</v>
      </c>
    </row>
    <row r="168">
      <c r="B168" s="31"/>
      <c r="G168" s="272" t="s">
        <v>1099</v>
      </c>
    </row>
    <row r="169">
      <c r="B169" s="31"/>
      <c r="G169" s="272" t="s">
        <v>1099</v>
      </c>
    </row>
    <row r="170">
      <c r="B170" s="31"/>
      <c r="G170" s="272" t="s">
        <v>1099</v>
      </c>
    </row>
    <row r="171">
      <c r="B171" s="31"/>
      <c r="G171" s="272" t="s">
        <v>1099</v>
      </c>
    </row>
    <row r="172">
      <c r="B172" s="31"/>
      <c r="G172" s="272" t="s">
        <v>1099</v>
      </c>
    </row>
    <row r="173">
      <c r="B173" s="31"/>
      <c r="G173" s="272" t="s">
        <v>1099</v>
      </c>
    </row>
    <row r="174">
      <c r="B174" s="31"/>
      <c r="G174" s="272" t="s">
        <v>1099</v>
      </c>
    </row>
    <row r="175">
      <c r="B175" s="31"/>
      <c r="G175" s="272" t="s">
        <v>1099</v>
      </c>
    </row>
    <row r="176">
      <c r="B176" s="31"/>
      <c r="G176" s="272" t="s">
        <v>1099</v>
      </c>
    </row>
    <row r="177">
      <c r="B177" s="31"/>
      <c r="G177" s="272" t="s">
        <v>1099</v>
      </c>
    </row>
    <row r="178">
      <c r="B178" s="31"/>
      <c r="G178" s="272" t="s">
        <v>1099</v>
      </c>
    </row>
    <row r="179">
      <c r="B179" s="31"/>
      <c r="G179" s="272" t="s">
        <v>1099</v>
      </c>
    </row>
    <row r="180">
      <c r="B180" s="31"/>
      <c r="G180" s="272" t="s">
        <v>1099</v>
      </c>
    </row>
    <row r="181">
      <c r="B181" s="31"/>
      <c r="G181" s="272" t="s">
        <v>1099</v>
      </c>
    </row>
    <row r="182">
      <c r="B182" s="31"/>
      <c r="G182" s="272" t="s">
        <v>1099</v>
      </c>
    </row>
    <row r="183">
      <c r="B183" s="31"/>
      <c r="G183" s="272" t="s">
        <v>1099</v>
      </c>
    </row>
    <row r="184">
      <c r="B184" s="31"/>
      <c r="G184" s="272" t="s">
        <v>1099</v>
      </c>
    </row>
    <row r="185">
      <c r="B185" s="31"/>
      <c r="G185" s="272" t="s">
        <v>1099</v>
      </c>
    </row>
    <row r="186">
      <c r="B186" s="31"/>
      <c r="G186" s="272" t="s">
        <v>1099</v>
      </c>
    </row>
    <row r="187">
      <c r="B187" s="31"/>
      <c r="G187" s="272" t="s">
        <v>1099</v>
      </c>
    </row>
    <row r="188">
      <c r="B188" s="31"/>
      <c r="G188" s="272" t="s">
        <v>1099</v>
      </c>
    </row>
    <row r="189">
      <c r="B189" s="31"/>
      <c r="G189" s="272" t="s">
        <v>1099</v>
      </c>
    </row>
    <row r="190">
      <c r="B190" s="31"/>
      <c r="G190" s="272" t="s">
        <v>1099</v>
      </c>
    </row>
    <row r="191">
      <c r="B191" s="31"/>
      <c r="G191" s="272" t="s">
        <v>1099</v>
      </c>
    </row>
    <row r="192">
      <c r="B192" s="31"/>
      <c r="G192" s="272" t="s">
        <v>1099</v>
      </c>
    </row>
    <row r="193">
      <c r="B193" s="31"/>
      <c r="G193" s="272" t="s">
        <v>1099</v>
      </c>
    </row>
    <row r="194">
      <c r="B194" s="31"/>
      <c r="G194" s="272" t="s">
        <v>1099</v>
      </c>
    </row>
    <row r="195">
      <c r="B195" s="31"/>
      <c r="G195" s="272" t="s">
        <v>1099</v>
      </c>
    </row>
    <row r="196">
      <c r="B196" s="31"/>
      <c r="G196" s="272" t="s">
        <v>1099</v>
      </c>
    </row>
    <row r="197">
      <c r="B197" s="31"/>
      <c r="G197" s="272" t="s">
        <v>1099</v>
      </c>
    </row>
    <row r="198">
      <c r="B198" s="31"/>
      <c r="G198" s="272" t="s">
        <v>1099</v>
      </c>
    </row>
    <row r="199">
      <c r="B199" s="31"/>
      <c r="G199" s="272" t="s">
        <v>1099</v>
      </c>
    </row>
    <row r="200">
      <c r="B200" s="31"/>
      <c r="G200" s="272" t="s">
        <v>1099</v>
      </c>
    </row>
    <row r="201">
      <c r="B201" s="31"/>
      <c r="G201" s="272" t="s">
        <v>1099</v>
      </c>
    </row>
    <row r="202">
      <c r="B202" s="31"/>
      <c r="G202" s="272" t="s">
        <v>1099</v>
      </c>
    </row>
    <row r="203">
      <c r="B203" s="31"/>
      <c r="G203" s="272" t="s">
        <v>1099</v>
      </c>
    </row>
    <row r="204">
      <c r="B204" s="31"/>
      <c r="G204" s="272" t="s">
        <v>1099</v>
      </c>
    </row>
    <row r="205">
      <c r="B205" s="31"/>
      <c r="G205" s="272" t="s">
        <v>1099</v>
      </c>
    </row>
    <row r="206">
      <c r="B206" s="31"/>
      <c r="G206" s="272" t="s">
        <v>1099</v>
      </c>
    </row>
    <row r="207">
      <c r="B207" s="31"/>
      <c r="G207" s="272" t="s">
        <v>1099</v>
      </c>
    </row>
    <row r="208">
      <c r="B208" s="31"/>
      <c r="G208" s="272" t="s">
        <v>1099</v>
      </c>
    </row>
    <row r="209">
      <c r="B209" s="31"/>
      <c r="G209" s="272" t="s">
        <v>1099</v>
      </c>
    </row>
    <row r="210">
      <c r="B210" s="31"/>
      <c r="G210" s="272" t="s">
        <v>1099</v>
      </c>
    </row>
    <row r="211">
      <c r="B211" s="31"/>
      <c r="G211" s="272" t="s">
        <v>1099</v>
      </c>
    </row>
    <row r="212">
      <c r="B212" s="31"/>
      <c r="G212" s="272" t="s">
        <v>1099</v>
      </c>
    </row>
    <row r="213">
      <c r="B213" s="31"/>
      <c r="G213" s="272" t="s">
        <v>1099</v>
      </c>
    </row>
    <row r="214">
      <c r="B214" s="31"/>
      <c r="G214" s="272" t="s">
        <v>1099</v>
      </c>
    </row>
    <row r="215">
      <c r="B215" s="31"/>
      <c r="G215" s="272" t="s">
        <v>1099</v>
      </c>
    </row>
    <row r="216">
      <c r="B216" s="31"/>
      <c r="G216" s="272" t="s">
        <v>1099</v>
      </c>
    </row>
    <row r="217">
      <c r="B217" s="31"/>
      <c r="G217" s="272" t="s">
        <v>1099</v>
      </c>
    </row>
    <row r="218">
      <c r="B218" s="31"/>
      <c r="G218" s="272" t="s">
        <v>1099</v>
      </c>
    </row>
    <row r="219">
      <c r="B219" s="31"/>
      <c r="G219" s="272" t="s">
        <v>1099</v>
      </c>
    </row>
    <row r="220">
      <c r="B220" s="31"/>
      <c r="G220" s="272" t="s">
        <v>1099</v>
      </c>
    </row>
    <row r="221">
      <c r="B221" s="31"/>
      <c r="G221" s="272" t="s">
        <v>1099</v>
      </c>
    </row>
    <row r="222">
      <c r="B222" s="31"/>
      <c r="G222" s="272" t="s">
        <v>1099</v>
      </c>
    </row>
    <row r="223">
      <c r="B223" s="31"/>
      <c r="G223" s="272" t="s">
        <v>1099</v>
      </c>
    </row>
    <row r="224">
      <c r="B224" s="31"/>
      <c r="G224" s="272" t="s">
        <v>1099</v>
      </c>
    </row>
    <row r="225">
      <c r="B225" s="31"/>
      <c r="G225" s="272" t="s">
        <v>1099</v>
      </c>
    </row>
    <row r="226">
      <c r="B226" s="31"/>
      <c r="G226" s="272" t="s">
        <v>1099</v>
      </c>
    </row>
    <row r="227">
      <c r="B227" s="31"/>
      <c r="G227" s="272" t="s">
        <v>1099</v>
      </c>
    </row>
    <row r="228">
      <c r="B228" s="31"/>
      <c r="G228" s="272" t="s">
        <v>1099</v>
      </c>
    </row>
    <row r="229">
      <c r="B229" s="31"/>
      <c r="G229" s="272" t="s">
        <v>1099</v>
      </c>
    </row>
    <row r="230">
      <c r="B230" s="31"/>
      <c r="G230" s="272" t="s">
        <v>1099</v>
      </c>
    </row>
    <row r="231">
      <c r="B231" s="31"/>
      <c r="G231" s="272" t="s">
        <v>1099</v>
      </c>
    </row>
    <row r="232">
      <c r="B232" s="31"/>
      <c r="G232" s="272" t="s">
        <v>1099</v>
      </c>
    </row>
    <row r="233">
      <c r="B233" s="31"/>
      <c r="G233" s="272" t="s">
        <v>1099</v>
      </c>
    </row>
    <row r="234">
      <c r="B234" s="31"/>
      <c r="G234" s="272" t="s">
        <v>1099</v>
      </c>
    </row>
    <row r="235">
      <c r="B235" s="31"/>
      <c r="G235" s="272" t="s">
        <v>1099</v>
      </c>
    </row>
    <row r="236">
      <c r="B236" s="31"/>
      <c r="G236" s="272" t="s">
        <v>1099</v>
      </c>
    </row>
    <row r="237">
      <c r="B237" s="31"/>
      <c r="G237" s="272" t="s">
        <v>1099</v>
      </c>
    </row>
    <row r="238">
      <c r="B238" s="31"/>
      <c r="G238" s="272" t="s">
        <v>1099</v>
      </c>
    </row>
    <row r="239">
      <c r="B239" s="31"/>
      <c r="G239" s="272" t="s">
        <v>1099</v>
      </c>
    </row>
    <row r="240">
      <c r="B240" s="31"/>
      <c r="G240" s="272" t="s">
        <v>1099</v>
      </c>
    </row>
    <row r="241">
      <c r="B241" s="31"/>
      <c r="G241" s="272" t="s">
        <v>1099</v>
      </c>
    </row>
    <row r="242">
      <c r="B242" s="31"/>
      <c r="G242" s="272" t="s">
        <v>1099</v>
      </c>
    </row>
    <row r="243">
      <c r="B243" s="31"/>
      <c r="G243" s="272" t="s">
        <v>1099</v>
      </c>
    </row>
    <row r="244">
      <c r="B244" s="31"/>
      <c r="G244" s="272" t="s">
        <v>1099</v>
      </c>
    </row>
    <row r="245">
      <c r="B245" s="31"/>
      <c r="G245" s="272" t="s">
        <v>1099</v>
      </c>
    </row>
    <row r="246">
      <c r="B246" s="31"/>
      <c r="G246" s="272" t="s">
        <v>1099</v>
      </c>
    </row>
    <row r="247">
      <c r="B247" s="31"/>
      <c r="G247" s="272" t="s">
        <v>1099</v>
      </c>
    </row>
    <row r="248">
      <c r="B248" s="31"/>
      <c r="G248" s="272" t="s">
        <v>1099</v>
      </c>
    </row>
    <row r="249">
      <c r="B249" s="31"/>
      <c r="G249" s="272" t="s">
        <v>1099</v>
      </c>
    </row>
    <row r="250">
      <c r="B250" s="31"/>
      <c r="G250" s="272" t="s">
        <v>1099</v>
      </c>
    </row>
    <row r="251">
      <c r="B251" s="31"/>
      <c r="G251" s="272" t="s">
        <v>1099</v>
      </c>
    </row>
    <row r="252">
      <c r="B252" s="31"/>
      <c r="G252" s="272" t="s">
        <v>1099</v>
      </c>
    </row>
    <row r="253">
      <c r="B253" s="31"/>
      <c r="G253" s="272" t="s">
        <v>1099</v>
      </c>
    </row>
    <row r="254">
      <c r="B254" s="31"/>
      <c r="G254" s="272" t="s">
        <v>1099</v>
      </c>
    </row>
    <row r="255">
      <c r="B255" s="31"/>
      <c r="G255" s="272" t="s">
        <v>1099</v>
      </c>
    </row>
    <row r="256">
      <c r="B256" s="31"/>
      <c r="G256" s="272" t="s">
        <v>1099</v>
      </c>
    </row>
    <row r="257">
      <c r="B257" s="31"/>
      <c r="G257" s="272" t="s">
        <v>1099</v>
      </c>
    </row>
    <row r="258">
      <c r="B258" s="31"/>
      <c r="G258" s="272" t="s">
        <v>1099</v>
      </c>
    </row>
    <row r="259">
      <c r="B259" s="31"/>
      <c r="G259" s="272" t="s">
        <v>1099</v>
      </c>
    </row>
    <row r="260">
      <c r="B260" s="31"/>
      <c r="G260" s="272" t="s">
        <v>1099</v>
      </c>
    </row>
    <row r="261">
      <c r="B261" s="31"/>
      <c r="G261" s="272" t="s">
        <v>1099</v>
      </c>
    </row>
    <row r="262">
      <c r="B262" s="31"/>
      <c r="G262" s="272" t="s">
        <v>1099</v>
      </c>
    </row>
    <row r="263">
      <c r="B263" s="31"/>
      <c r="G263" s="272" t="s">
        <v>1099</v>
      </c>
    </row>
    <row r="264">
      <c r="B264" s="31"/>
      <c r="G264" s="272" t="s">
        <v>1099</v>
      </c>
    </row>
    <row r="265">
      <c r="B265" s="31"/>
      <c r="G265" s="272" t="s">
        <v>1099</v>
      </c>
    </row>
    <row r="266">
      <c r="B266" s="31"/>
      <c r="G266" s="272" t="s">
        <v>1099</v>
      </c>
    </row>
    <row r="267">
      <c r="B267" s="31"/>
      <c r="G267" s="272" t="s">
        <v>1099</v>
      </c>
    </row>
    <row r="268">
      <c r="B268" s="31"/>
      <c r="G268" s="272" t="s">
        <v>1099</v>
      </c>
    </row>
    <row r="269">
      <c r="B269" s="31"/>
      <c r="G269" s="272" t="s">
        <v>1099</v>
      </c>
    </row>
    <row r="270">
      <c r="B270" s="31"/>
      <c r="G270" s="272" t="s">
        <v>1099</v>
      </c>
    </row>
    <row r="271">
      <c r="B271" s="31"/>
      <c r="G271" s="272" t="s">
        <v>1099</v>
      </c>
    </row>
    <row r="272">
      <c r="B272" s="31"/>
      <c r="G272" s="272" t="s">
        <v>1099</v>
      </c>
    </row>
    <row r="273">
      <c r="B273" s="31"/>
      <c r="G273" s="272" t="s">
        <v>1099</v>
      </c>
    </row>
    <row r="274">
      <c r="B274" s="31"/>
      <c r="G274" s="272" t="s">
        <v>1099</v>
      </c>
    </row>
    <row r="275">
      <c r="B275" s="31"/>
      <c r="G275" s="272" t="s">
        <v>1099</v>
      </c>
    </row>
    <row r="276">
      <c r="B276" s="31"/>
      <c r="G276" s="272" t="s">
        <v>1099</v>
      </c>
    </row>
    <row r="277">
      <c r="B277" s="31"/>
      <c r="G277" s="272" t="s">
        <v>1099</v>
      </c>
    </row>
    <row r="278">
      <c r="B278" s="31"/>
      <c r="G278" s="272" t="s">
        <v>1099</v>
      </c>
    </row>
    <row r="279">
      <c r="B279" s="31"/>
      <c r="G279" s="272" t="s">
        <v>1099</v>
      </c>
    </row>
    <row r="280">
      <c r="B280" s="31"/>
      <c r="G280" s="272" t="s">
        <v>1099</v>
      </c>
    </row>
    <row r="281">
      <c r="B281" s="31"/>
      <c r="G281" s="272" t="s">
        <v>1099</v>
      </c>
    </row>
    <row r="282">
      <c r="B282" s="31"/>
      <c r="G282" s="272" t="s">
        <v>1099</v>
      </c>
    </row>
    <row r="283">
      <c r="B283" s="31"/>
      <c r="G283" s="272" t="s">
        <v>1099</v>
      </c>
    </row>
    <row r="284">
      <c r="B284" s="31"/>
      <c r="G284" s="272" t="s">
        <v>1099</v>
      </c>
    </row>
    <row r="285">
      <c r="B285" s="31"/>
      <c r="G285" s="272" t="s">
        <v>1099</v>
      </c>
    </row>
    <row r="286">
      <c r="B286" s="31"/>
      <c r="G286" s="272" t="s">
        <v>1099</v>
      </c>
    </row>
    <row r="287">
      <c r="B287" s="31"/>
      <c r="G287" s="272" t="s">
        <v>1099</v>
      </c>
    </row>
    <row r="288">
      <c r="B288" s="31"/>
      <c r="G288" s="272" t="s">
        <v>1099</v>
      </c>
    </row>
    <row r="289">
      <c r="B289" s="31"/>
      <c r="G289" s="272" t="s">
        <v>1099</v>
      </c>
    </row>
    <row r="290">
      <c r="B290" s="31"/>
      <c r="G290" s="272" t="s">
        <v>1099</v>
      </c>
    </row>
    <row r="291">
      <c r="B291" s="31"/>
      <c r="G291" s="272" t="s">
        <v>1099</v>
      </c>
    </row>
    <row r="292">
      <c r="B292" s="31"/>
      <c r="G292" s="272" t="s">
        <v>1099</v>
      </c>
    </row>
    <row r="293">
      <c r="B293" s="31"/>
      <c r="G293" s="272" t="s">
        <v>1099</v>
      </c>
    </row>
    <row r="294">
      <c r="B294" s="31"/>
      <c r="G294" s="272" t="s">
        <v>1099</v>
      </c>
    </row>
    <row r="295">
      <c r="B295" s="31"/>
      <c r="G295" s="272" t="s">
        <v>1099</v>
      </c>
    </row>
    <row r="296">
      <c r="B296" s="31"/>
      <c r="G296" s="272" t="s">
        <v>1099</v>
      </c>
    </row>
    <row r="297">
      <c r="B297" s="31"/>
      <c r="G297" s="272" t="s">
        <v>1099</v>
      </c>
    </row>
    <row r="298">
      <c r="B298" s="31"/>
      <c r="G298" s="272" t="s">
        <v>1099</v>
      </c>
    </row>
    <row r="299">
      <c r="B299" s="31"/>
      <c r="G299" s="272" t="s">
        <v>1099</v>
      </c>
    </row>
    <row r="300">
      <c r="B300" s="31"/>
      <c r="G300" s="272" t="s">
        <v>1099</v>
      </c>
    </row>
    <row r="301">
      <c r="B301" s="31"/>
      <c r="G301" s="272" t="s">
        <v>1099</v>
      </c>
    </row>
    <row r="302">
      <c r="B302" s="31"/>
      <c r="G302" s="272" t="s">
        <v>1099</v>
      </c>
    </row>
    <row r="303">
      <c r="B303" s="31"/>
      <c r="G303" s="272" t="s">
        <v>1099</v>
      </c>
    </row>
    <row r="304">
      <c r="B304" s="31"/>
      <c r="G304" s="272" t="s">
        <v>1099</v>
      </c>
    </row>
    <row r="305">
      <c r="B305" s="31"/>
      <c r="G305" s="272" t="s">
        <v>1099</v>
      </c>
    </row>
    <row r="306">
      <c r="B306" s="31"/>
      <c r="G306" s="272" t="s">
        <v>1099</v>
      </c>
    </row>
    <row r="307">
      <c r="B307" s="31"/>
      <c r="G307" s="272" t="s">
        <v>1099</v>
      </c>
    </row>
    <row r="308">
      <c r="B308" s="31"/>
      <c r="G308" s="272" t="s">
        <v>1099</v>
      </c>
    </row>
    <row r="309">
      <c r="B309" s="31"/>
      <c r="G309" s="272" t="s">
        <v>1099</v>
      </c>
    </row>
    <row r="310">
      <c r="B310" s="31"/>
      <c r="G310" s="272" t="s">
        <v>1099</v>
      </c>
    </row>
    <row r="311">
      <c r="B311" s="31"/>
      <c r="G311" s="272" t="s">
        <v>1099</v>
      </c>
    </row>
    <row r="312">
      <c r="B312" s="31"/>
      <c r="G312" s="272" t="s">
        <v>1099</v>
      </c>
    </row>
    <row r="313">
      <c r="B313" s="31"/>
      <c r="G313" s="272" t="s">
        <v>1099</v>
      </c>
    </row>
    <row r="314">
      <c r="B314" s="31"/>
      <c r="G314" s="272" t="s">
        <v>1099</v>
      </c>
    </row>
    <row r="315">
      <c r="B315" s="31"/>
      <c r="G315" s="272" t="s">
        <v>1099</v>
      </c>
    </row>
    <row r="316">
      <c r="B316" s="31"/>
      <c r="G316" s="272" t="s">
        <v>1099</v>
      </c>
    </row>
    <row r="317">
      <c r="B317" s="31"/>
      <c r="G317" s="272" t="s">
        <v>1099</v>
      </c>
    </row>
    <row r="318">
      <c r="B318" s="31"/>
      <c r="G318" s="272" t="s">
        <v>1099</v>
      </c>
    </row>
    <row r="319">
      <c r="B319" s="31"/>
      <c r="G319" s="272" t="s">
        <v>1099</v>
      </c>
    </row>
    <row r="320">
      <c r="B320" s="31"/>
      <c r="G320" s="272" t="s">
        <v>1099</v>
      </c>
    </row>
    <row r="321">
      <c r="B321" s="31"/>
      <c r="G321" s="272" t="s">
        <v>1099</v>
      </c>
    </row>
    <row r="322">
      <c r="B322" s="31"/>
      <c r="G322" s="272" t="s">
        <v>1099</v>
      </c>
    </row>
    <row r="323">
      <c r="B323" s="31"/>
      <c r="G323" s="272" t="s">
        <v>1099</v>
      </c>
    </row>
    <row r="324">
      <c r="B324" s="31"/>
      <c r="G324" s="272" t="s">
        <v>1099</v>
      </c>
    </row>
    <row r="325">
      <c r="B325" s="31"/>
      <c r="G325" s="272" t="s">
        <v>1099</v>
      </c>
    </row>
    <row r="326">
      <c r="B326" s="31"/>
      <c r="G326" s="272" t="s">
        <v>1099</v>
      </c>
    </row>
    <row r="327">
      <c r="B327" s="31"/>
      <c r="G327" s="272" t="s">
        <v>1099</v>
      </c>
    </row>
    <row r="328">
      <c r="B328" s="31"/>
      <c r="G328" s="272" t="s">
        <v>1099</v>
      </c>
    </row>
    <row r="329">
      <c r="B329" s="31"/>
      <c r="G329" s="272" t="s">
        <v>1099</v>
      </c>
    </row>
    <row r="330">
      <c r="B330" s="31"/>
      <c r="G330" s="272" t="s">
        <v>1099</v>
      </c>
    </row>
    <row r="331">
      <c r="B331" s="31"/>
      <c r="G331" s="272" t="s">
        <v>1099</v>
      </c>
    </row>
    <row r="332">
      <c r="B332" s="31"/>
      <c r="G332" s="272" t="s">
        <v>1099</v>
      </c>
    </row>
    <row r="333">
      <c r="B333" s="31"/>
      <c r="G333" s="272" t="s">
        <v>1099</v>
      </c>
    </row>
    <row r="334">
      <c r="B334" s="31"/>
      <c r="G334" s="272" t="s">
        <v>1099</v>
      </c>
    </row>
    <row r="335">
      <c r="B335" s="31"/>
      <c r="G335" s="272" t="s">
        <v>1099</v>
      </c>
    </row>
    <row r="336">
      <c r="B336" s="31"/>
      <c r="G336" s="272" t="s">
        <v>1099</v>
      </c>
    </row>
    <row r="337">
      <c r="B337" s="31"/>
      <c r="G337" s="272" t="s">
        <v>1099</v>
      </c>
    </row>
    <row r="338">
      <c r="B338" s="31"/>
      <c r="G338" s="272" t="s">
        <v>1099</v>
      </c>
    </row>
    <row r="339">
      <c r="B339" s="31"/>
      <c r="G339" s="272" t="s">
        <v>1099</v>
      </c>
    </row>
    <row r="340">
      <c r="B340" s="31"/>
      <c r="G340" s="272" t="s">
        <v>1099</v>
      </c>
    </row>
    <row r="341">
      <c r="B341" s="31"/>
      <c r="G341" s="272" t="s">
        <v>1099</v>
      </c>
    </row>
    <row r="342">
      <c r="B342" s="31"/>
      <c r="G342" s="272" t="s">
        <v>1099</v>
      </c>
    </row>
    <row r="343">
      <c r="B343" s="31"/>
      <c r="G343" s="272" t="s">
        <v>1099</v>
      </c>
    </row>
    <row r="344">
      <c r="B344" s="31"/>
      <c r="G344" s="272" t="s">
        <v>1099</v>
      </c>
    </row>
    <row r="345">
      <c r="B345" s="31"/>
      <c r="G345" s="272" t="s">
        <v>1099</v>
      </c>
    </row>
    <row r="346">
      <c r="B346" s="31"/>
      <c r="G346" s="272" t="s">
        <v>1099</v>
      </c>
    </row>
    <row r="347">
      <c r="B347" s="31"/>
      <c r="G347" s="272" t="s">
        <v>1099</v>
      </c>
    </row>
    <row r="348">
      <c r="B348" s="31"/>
      <c r="G348" s="272" t="s">
        <v>1099</v>
      </c>
    </row>
    <row r="349">
      <c r="B349" s="31"/>
      <c r="G349" s="272" t="s">
        <v>1099</v>
      </c>
    </row>
    <row r="350">
      <c r="B350" s="31"/>
      <c r="G350" s="272" t="s">
        <v>1099</v>
      </c>
    </row>
    <row r="351">
      <c r="B351" s="31"/>
      <c r="G351" s="272" t="s">
        <v>1099</v>
      </c>
    </row>
    <row r="352">
      <c r="B352" s="31"/>
      <c r="G352" s="272" t="s">
        <v>1099</v>
      </c>
    </row>
    <row r="353">
      <c r="B353" s="31"/>
      <c r="G353" s="272" t="s">
        <v>1099</v>
      </c>
    </row>
    <row r="354">
      <c r="B354" s="31"/>
      <c r="G354" s="272" t="s">
        <v>1099</v>
      </c>
    </row>
    <row r="355">
      <c r="B355" s="31"/>
      <c r="G355" s="272" t="s">
        <v>1099</v>
      </c>
    </row>
    <row r="356">
      <c r="B356" s="31"/>
      <c r="G356" s="272" t="s">
        <v>1099</v>
      </c>
    </row>
    <row r="357">
      <c r="B357" s="31"/>
      <c r="G357" s="272" t="s">
        <v>1099</v>
      </c>
    </row>
    <row r="358">
      <c r="B358" s="31"/>
      <c r="G358" s="272" t="s">
        <v>1099</v>
      </c>
    </row>
    <row r="359">
      <c r="B359" s="31"/>
      <c r="G359" s="272" t="s">
        <v>1099</v>
      </c>
    </row>
    <row r="360">
      <c r="B360" s="31"/>
      <c r="G360" s="272" t="s">
        <v>1099</v>
      </c>
    </row>
    <row r="361">
      <c r="B361" s="31"/>
      <c r="G361" s="272" t="s">
        <v>1099</v>
      </c>
    </row>
    <row r="362">
      <c r="B362" s="31"/>
      <c r="G362" s="272" t="s">
        <v>1099</v>
      </c>
    </row>
    <row r="363">
      <c r="B363" s="31"/>
      <c r="G363" s="272" t="s">
        <v>1099</v>
      </c>
    </row>
    <row r="364">
      <c r="B364" s="31"/>
      <c r="G364" s="272" t="s">
        <v>1099</v>
      </c>
    </row>
    <row r="365">
      <c r="B365" s="31"/>
      <c r="G365" s="272" t="s">
        <v>1099</v>
      </c>
    </row>
    <row r="366">
      <c r="B366" s="31"/>
      <c r="G366" s="272" t="s">
        <v>1099</v>
      </c>
    </row>
    <row r="367">
      <c r="B367" s="31"/>
      <c r="G367" s="272" t="s">
        <v>1099</v>
      </c>
    </row>
    <row r="368">
      <c r="B368" s="31"/>
      <c r="G368" s="272" t="s">
        <v>1099</v>
      </c>
    </row>
    <row r="369">
      <c r="B369" s="31"/>
      <c r="G369" s="272" t="s">
        <v>1099</v>
      </c>
    </row>
    <row r="370">
      <c r="B370" s="31"/>
      <c r="G370" s="272" t="s">
        <v>1099</v>
      </c>
    </row>
    <row r="371">
      <c r="B371" s="31"/>
      <c r="G371" s="272" t="s">
        <v>1099</v>
      </c>
    </row>
    <row r="372">
      <c r="B372" s="31"/>
      <c r="G372" s="272" t="s">
        <v>1099</v>
      </c>
    </row>
    <row r="373">
      <c r="B373" s="31"/>
      <c r="G373" s="272" t="s">
        <v>1099</v>
      </c>
    </row>
    <row r="374">
      <c r="B374" s="31"/>
      <c r="G374" s="272" t="s">
        <v>1099</v>
      </c>
    </row>
    <row r="375">
      <c r="B375" s="31"/>
      <c r="G375" s="272" t="s">
        <v>1099</v>
      </c>
    </row>
    <row r="376">
      <c r="B376" s="31"/>
      <c r="G376" s="272" t="s">
        <v>1099</v>
      </c>
    </row>
    <row r="377">
      <c r="B377" s="31"/>
      <c r="G377" s="272" t="s">
        <v>1099</v>
      </c>
    </row>
    <row r="378">
      <c r="B378" s="31"/>
      <c r="G378" s="272" t="s">
        <v>1099</v>
      </c>
    </row>
    <row r="379">
      <c r="B379" s="31"/>
      <c r="G379" s="272" t="s">
        <v>1099</v>
      </c>
    </row>
    <row r="380">
      <c r="B380" s="31"/>
      <c r="G380" s="272" t="s">
        <v>1099</v>
      </c>
    </row>
    <row r="381">
      <c r="B381" s="31"/>
      <c r="G381" s="272" t="s">
        <v>1099</v>
      </c>
    </row>
    <row r="382">
      <c r="B382" s="31"/>
      <c r="G382" s="272" t="s">
        <v>1099</v>
      </c>
    </row>
    <row r="383">
      <c r="B383" s="31"/>
      <c r="G383" s="272" t="s">
        <v>1099</v>
      </c>
    </row>
    <row r="384">
      <c r="B384" s="31"/>
      <c r="G384" s="272" t="s">
        <v>1099</v>
      </c>
    </row>
    <row r="385">
      <c r="B385" s="31"/>
      <c r="G385" s="272" t="s">
        <v>1099</v>
      </c>
    </row>
    <row r="386">
      <c r="B386" s="31"/>
      <c r="G386" s="272" t="s">
        <v>1099</v>
      </c>
    </row>
    <row r="387">
      <c r="B387" s="31"/>
      <c r="G387" s="272" t="s">
        <v>1099</v>
      </c>
    </row>
    <row r="388">
      <c r="B388" s="31"/>
      <c r="G388" s="272" t="s">
        <v>1099</v>
      </c>
    </row>
    <row r="389">
      <c r="B389" s="31"/>
      <c r="G389" s="272" t="s">
        <v>1099</v>
      </c>
    </row>
    <row r="390">
      <c r="B390" s="31"/>
      <c r="G390" s="272" t="s">
        <v>1099</v>
      </c>
    </row>
    <row r="391">
      <c r="B391" s="31"/>
      <c r="G391" s="272" t="s">
        <v>1099</v>
      </c>
    </row>
    <row r="392">
      <c r="B392" s="31"/>
      <c r="G392" s="272" t="s">
        <v>1099</v>
      </c>
    </row>
    <row r="393">
      <c r="B393" s="31"/>
      <c r="G393" s="272" t="s">
        <v>1099</v>
      </c>
    </row>
    <row r="394">
      <c r="B394" s="31"/>
      <c r="G394" s="272" t="s">
        <v>1099</v>
      </c>
    </row>
    <row r="395">
      <c r="B395" s="31"/>
      <c r="G395" s="272" t="s">
        <v>1099</v>
      </c>
    </row>
    <row r="396">
      <c r="B396" s="31"/>
      <c r="G396" s="272" t="s">
        <v>1099</v>
      </c>
    </row>
    <row r="397">
      <c r="B397" s="31"/>
      <c r="G397" s="272" t="s">
        <v>1099</v>
      </c>
    </row>
    <row r="398">
      <c r="B398" s="31"/>
      <c r="G398" s="272" t="s">
        <v>1099</v>
      </c>
    </row>
    <row r="399">
      <c r="B399" s="31"/>
      <c r="G399" s="272" t="s">
        <v>1099</v>
      </c>
    </row>
    <row r="400">
      <c r="B400" s="31"/>
      <c r="G400" s="272" t="s">
        <v>1099</v>
      </c>
    </row>
    <row r="401">
      <c r="B401" s="31"/>
      <c r="G401" s="272" t="s">
        <v>1099</v>
      </c>
    </row>
    <row r="402">
      <c r="B402" s="31"/>
      <c r="G402" s="272" t="s">
        <v>1099</v>
      </c>
    </row>
    <row r="403">
      <c r="B403" s="31"/>
      <c r="G403" s="272" t="s">
        <v>1099</v>
      </c>
    </row>
    <row r="404">
      <c r="B404" s="31"/>
      <c r="G404" s="272" t="s">
        <v>1099</v>
      </c>
    </row>
    <row r="405">
      <c r="B405" s="31"/>
      <c r="G405" s="272" t="s">
        <v>1099</v>
      </c>
    </row>
    <row r="406">
      <c r="B406" s="31"/>
      <c r="G406" s="272" t="s">
        <v>1099</v>
      </c>
    </row>
    <row r="407">
      <c r="B407" s="31"/>
      <c r="G407" s="272" t="s">
        <v>1099</v>
      </c>
    </row>
    <row r="408">
      <c r="B408" s="31"/>
      <c r="G408" s="272" t="s">
        <v>1099</v>
      </c>
    </row>
    <row r="409">
      <c r="B409" s="31"/>
      <c r="G409" s="272" t="s">
        <v>1099</v>
      </c>
    </row>
    <row r="410">
      <c r="B410" s="31"/>
      <c r="G410" s="272" t="s">
        <v>1099</v>
      </c>
    </row>
    <row r="411">
      <c r="B411" s="31"/>
      <c r="G411" s="272" t="s">
        <v>1099</v>
      </c>
    </row>
    <row r="412">
      <c r="B412" s="31"/>
      <c r="G412" s="272" t="s">
        <v>1099</v>
      </c>
    </row>
    <row r="413">
      <c r="B413" s="31"/>
      <c r="G413" s="272" t="s">
        <v>1099</v>
      </c>
    </row>
    <row r="414">
      <c r="B414" s="31"/>
      <c r="G414" s="272" t="s">
        <v>1099</v>
      </c>
    </row>
    <row r="415">
      <c r="B415" s="31"/>
      <c r="G415" s="272" t="s">
        <v>1099</v>
      </c>
    </row>
    <row r="416">
      <c r="B416" s="31"/>
      <c r="G416" s="272" t="s">
        <v>1099</v>
      </c>
    </row>
    <row r="417">
      <c r="B417" s="31"/>
      <c r="G417" s="272" t="s">
        <v>1099</v>
      </c>
    </row>
    <row r="418">
      <c r="B418" s="31"/>
      <c r="G418" s="272" t="s">
        <v>1099</v>
      </c>
    </row>
    <row r="419">
      <c r="B419" s="31"/>
      <c r="G419" s="272" t="s">
        <v>1099</v>
      </c>
    </row>
    <row r="420">
      <c r="B420" s="31"/>
      <c r="G420" s="272" t="s">
        <v>1099</v>
      </c>
    </row>
    <row r="421">
      <c r="B421" s="31"/>
      <c r="G421" s="272" t="s">
        <v>1099</v>
      </c>
    </row>
    <row r="422">
      <c r="B422" s="31"/>
      <c r="G422" s="272" t="s">
        <v>1099</v>
      </c>
    </row>
    <row r="423">
      <c r="B423" s="31"/>
      <c r="G423" s="272" t="s">
        <v>1099</v>
      </c>
    </row>
    <row r="424">
      <c r="B424" s="31"/>
      <c r="G424" s="272" t="s">
        <v>1099</v>
      </c>
    </row>
    <row r="425">
      <c r="B425" s="31"/>
      <c r="G425" s="272" t="s">
        <v>1099</v>
      </c>
    </row>
    <row r="426">
      <c r="B426" s="31"/>
      <c r="G426" s="272" t="s">
        <v>1099</v>
      </c>
    </row>
    <row r="427">
      <c r="B427" s="31"/>
      <c r="G427" s="272" t="s">
        <v>1099</v>
      </c>
    </row>
    <row r="428">
      <c r="B428" s="31"/>
      <c r="G428" s="272" t="s">
        <v>1099</v>
      </c>
    </row>
    <row r="429">
      <c r="B429" s="31"/>
      <c r="G429" s="272" t="s">
        <v>1099</v>
      </c>
    </row>
    <row r="430">
      <c r="B430" s="31"/>
      <c r="G430" s="272" t="s">
        <v>1099</v>
      </c>
    </row>
    <row r="431">
      <c r="B431" s="31"/>
      <c r="G431" s="272" t="s">
        <v>1099</v>
      </c>
    </row>
    <row r="432">
      <c r="B432" s="31"/>
      <c r="G432" s="272" t="s">
        <v>1099</v>
      </c>
    </row>
    <row r="433">
      <c r="B433" s="31"/>
      <c r="G433" s="272" t="s">
        <v>1099</v>
      </c>
    </row>
    <row r="434">
      <c r="B434" s="31"/>
      <c r="G434" s="272" t="s">
        <v>1099</v>
      </c>
    </row>
    <row r="435">
      <c r="B435" s="31"/>
      <c r="G435" s="272" t="s">
        <v>1099</v>
      </c>
    </row>
    <row r="436">
      <c r="B436" s="31"/>
      <c r="G436" s="272" t="s">
        <v>1099</v>
      </c>
    </row>
    <row r="437">
      <c r="B437" s="31"/>
      <c r="G437" s="272" t="s">
        <v>1099</v>
      </c>
    </row>
    <row r="438">
      <c r="B438" s="31"/>
      <c r="G438" s="272" t="s">
        <v>1099</v>
      </c>
    </row>
    <row r="439">
      <c r="B439" s="31"/>
      <c r="G439" s="272" t="s">
        <v>1099</v>
      </c>
    </row>
    <row r="440">
      <c r="B440" s="31"/>
      <c r="G440" s="272" t="s">
        <v>1099</v>
      </c>
    </row>
    <row r="441">
      <c r="B441" s="31"/>
      <c r="G441" s="272" t="s">
        <v>1099</v>
      </c>
    </row>
    <row r="442">
      <c r="B442" s="31"/>
      <c r="G442" s="272" t="s">
        <v>1099</v>
      </c>
    </row>
    <row r="443">
      <c r="B443" s="31"/>
      <c r="G443" s="272" t="s">
        <v>1099</v>
      </c>
    </row>
    <row r="444">
      <c r="B444" s="31"/>
      <c r="G444" s="272" t="s">
        <v>1099</v>
      </c>
    </row>
    <row r="445">
      <c r="B445" s="31"/>
      <c r="G445" s="272" t="s">
        <v>1099</v>
      </c>
    </row>
    <row r="446">
      <c r="B446" s="31"/>
      <c r="G446" s="272" t="s">
        <v>1099</v>
      </c>
    </row>
    <row r="447">
      <c r="B447" s="31"/>
      <c r="G447" s="272" t="s">
        <v>1099</v>
      </c>
    </row>
    <row r="448">
      <c r="B448" s="31"/>
      <c r="G448" s="272" t="s">
        <v>1099</v>
      </c>
    </row>
    <row r="449">
      <c r="B449" s="31"/>
      <c r="G449" s="272" t="s">
        <v>1099</v>
      </c>
    </row>
    <row r="450">
      <c r="B450" s="31"/>
      <c r="G450" s="272" t="s">
        <v>1099</v>
      </c>
    </row>
    <row r="451">
      <c r="B451" s="31"/>
      <c r="G451" s="272" t="s">
        <v>1099</v>
      </c>
    </row>
    <row r="452">
      <c r="B452" s="31"/>
      <c r="G452" s="272" t="s">
        <v>1099</v>
      </c>
    </row>
    <row r="453">
      <c r="B453" s="31"/>
      <c r="G453" s="272" t="s">
        <v>1099</v>
      </c>
    </row>
    <row r="454">
      <c r="B454" s="31"/>
      <c r="G454" s="272" t="s">
        <v>1099</v>
      </c>
    </row>
    <row r="455">
      <c r="B455" s="31"/>
      <c r="G455" s="272" t="s">
        <v>1099</v>
      </c>
    </row>
    <row r="456">
      <c r="B456" s="31"/>
      <c r="G456" s="272" t="s">
        <v>1099</v>
      </c>
    </row>
    <row r="457">
      <c r="B457" s="31"/>
      <c r="G457" s="272" t="s">
        <v>1099</v>
      </c>
    </row>
    <row r="458">
      <c r="B458" s="31"/>
      <c r="G458" s="272" t="s">
        <v>1099</v>
      </c>
    </row>
    <row r="459">
      <c r="B459" s="31"/>
      <c r="G459" s="272" t="s">
        <v>1099</v>
      </c>
    </row>
    <row r="460">
      <c r="B460" s="31"/>
      <c r="G460" s="272" t="s">
        <v>1099</v>
      </c>
    </row>
    <row r="461">
      <c r="B461" s="31"/>
      <c r="G461" s="272" t="s">
        <v>1099</v>
      </c>
    </row>
    <row r="462">
      <c r="B462" s="31"/>
      <c r="G462" s="272" t="s">
        <v>1099</v>
      </c>
    </row>
    <row r="463">
      <c r="B463" s="31"/>
      <c r="G463" s="272" t="s">
        <v>1099</v>
      </c>
    </row>
    <row r="464">
      <c r="B464" s="31"/>
      <c r="G464" s="272" t="s">
        <v>1099</v>
      </c>
    </row>
    <row r="465">
      <c r="B465" s="31"/>
      <c r="G465" s="272" t="s">
        <v>1099</v>
      </c>
    </row>
    <row r="466">
      <c r="B466" s="31"/>
      <c r="G466" s="272" t="s">
        <v>1099</v>
      </c>
    </row>
    <row r="467">
      <c r="B467" s="31"/>
      <c r="G467" s="272" t="s">
        <v>1099</v>
      </c>
    </row>
    <row r="468">
      <c r="B468" s="31"/>
      <c r="G468" s="272" t="s">
        <v>1099</v>
      </c>
    </row>
    <row r="469">
      <c r="B469" s="31"/>
      <c r="G469" s="272" t="s">
        <v>1099</v>
      </c>
    </row>
    <row r="470">
      <c r="B470" s="31"/>
      <c r="G470" s="272" t="s">
        <v>1099</v>
      </c>
    </row>
    <row r="471">
      <c r="B471" s="31"/>
      <c r="G471" s="272" t="s">
        <v>1099</v>
      </c>
    </row>
    <row r="472">
      <c r="B472" s="31"/>
      <c r="G472" s="272" t="s">
        <v>1099</v>
      </c>
    </row>
    <row r="473">
      <c r="B473" s="31"/>
      <c r="G473" s="272" t="s">
        <v>1099</v>
      </c>
    </row>
    <row r="474">
      <c r="B474" s="31"/>
      <c r="G474" s="272" t="s">
        <v>1099</v>
      </c>
    </row>
    <row r="475">
      <c r="B475" s="31"/>
      <c r="G475" s="272" t="s">
        <v>1099</v>
      </c>
    </row>
    <row r="476">
      <c r="B476" s="31"/>
      <c r="G476" s="272" t="s">
        <v>1099</v>
      </c>
    </row>
    <row r="477">
      <c r="B477" s="31"/>
      <c r="G477" s="272" t="s">
        <v>1099</v>
      </c>
    </row>
    <row r="478">
      <c r="B478" s="31"/>
      <c r="G478" s="272" t="s">
        <v>1099</v>
      </c>
    </row>
    <row r="479">
      <c r="B479" s="31"/>
      <c r="G479" s="272" t="s">
        <v>1099</v>
      </c>
    </row>
    <row r="480">
      <c r="B480" s="31"/>
      <c r="G480" s="272" t="s">
        <v>1099</v>
      </c>
    </row>
    <row r="481">
      <c r="B481" s="31"/>
      <c r="G481" s="272" t="s">
        <v>1099</v>
      </c>
    </row>
    <row r="482">
      <c r="B482" s="31"/>
      <c r="G482" s="272" t="s">
        <v>1099</v>
      </c>
    </row>
    <row r="483">
      <c r="B483" s="31"/>
      <c r="G483" s="272" t="s">
        <v>1099</v>
      </c>
    </row>
    <row r="484">
      <c r="B484" s="31"/>
      <c r="G484" s="272" t="s">
        <v>1099</v>
      </c>
    </row>
    <row r="485">
      <c r="B485" s="31"/>
      <c r="G485" s="272" t="s">
        <v>1099</v>
      </c>
    </row>
    <row r="486">
      <c r="B486" s="31"/>
      <c r="G486" s="272" t="s">
        <v>1099</v>
      </c>
    </row>
    <row r="487">
      <c r="B487" s="31"/>
      <c r="G487" s="272" t="s">
        <v>1099</v>
      </c>
    </row>
    <row r="488">
      <c r="B488" s="31"/>
      <c r="G488" s="272" t="s">
        <v>1099</v>
      </c>
    </row>
    <row r="489">
      <c r="B489" s="31"/>
      <c r="G489" s="272" t="s">
        <v>1099</v>
      </c>
    </row>
    <row r="490">
      <c r="B490" s="31"/>
      <c r="G490" s="272" t="s">
        <v>1099</v>
      </c>
    </row>
    <row r="491">
      <c r="B491" s="31"/>
      <c r="G491" s="272" t="s">
        <v>1099</v>
      </c>
    </row>
    <row r="492">
      <c r="B492" s="31"/>
      <c r="G492" s="272" t="s">
        <v>1099</v>
      </c>
    </row>
    <row r="493">
      <c r="B493" s="31"/>
      <c r="G493" s="272" t="s">
        <v>1099</v>
      </c>
    </row>
    <row r="494">
      <c r="B494" s="31"/>
      <c r="G494" s="272" t="s">
        <v>1099</v>
      </c>
    </row>
    <row r="495">
      <c r="B495" s="31"/>
      <c r="G495" s="272" t="s">
        <v>1099</v>
      </c>
    </row>
    <row r="496">
      <c r="B496" s="31"/>
      <c r="G496" s="272" t="s">
        <v>1099</v>
      </c>
    </row>
    <row r="497">
      <c r="B497" s="31"/>
      <c r="G497" s="272" t="s">
        <v>1099</v>
      </c>
    </row>
    <row r="498">
      <c r="B498" s="31"/>
      <c r="G498" s="272" t="s">
        <v>1099</v>
      </c>
    </row>
    <row r="499">
      <c r="B499" s="31"/>
      <c r="G499" s="272" t="s">
        <v>1099</v>
      </c>
    </row>
    <row r="500">
      <c r="B500" s="31"/>
      <c r="G500" s="272" t="s">
        <v>1099</v>
      </c>
    </row>
    <row r="501">
      <c r="B501" s="31"/>
      <c r="G501" s="272" t="s">
        <v>1099</v>
      </c>
    </row>
    <row r="502">
      <c r="B502" s="31"/>
      <c r="G502" s="272" t="s">
        <v>1099</v>
      </c>
    </row>
    <row r="503">
      <c r="B503" s="31"/>
      <c r="G503" s="272" t="s">
        <v>1099</v>
      </c>
    </row>
    <row r="504">
      <c r="B504" s="31"/>
      <c r="G504" s="272" t="s">
        <v>1099</v>
      </c>
    </row>
    <row r="505">
      <c r="B505" s="31"/>
      <c r="G505" s="272" t="s">
        <v>1099</v>
      </c>
    </row>
    <row r="506">
      <c r="B506" s="31"/>
      <c r="G506" s="272" t="s">
        <v>1099</v>
      </c>
    </row>
    <row r="507">
      <c r="B507" s="31"/>
      <c r="G507" s="272" t="s">
        <v>1099</v>
      </c>
    </row>
    <row r="508">
      <c r="B508" s="31"/>
      <c r="G508" s="272" t="s">
        <v>1099</v>
      </c>
    </row>
    <row r="509">
      <c r="B509" s="31"/>
      <c r="G509" s="272" t="s">
        <v>1099</v>
      </c>
    </row>
    <row r="510">
      <c r="B510" s="31"/>
      <c r="G510" s="272" t="s">
        <v>1099</v>
      </c>
    </row>
    <row r="511">
      <c r="B511" s="31"/>
      <c r="G511" s="272" t="s">
        <v>1099</v>
      </c>
    </row>
    <row r="512">
      <c r="B512" s="31"/>
      <c r="G512" s="272" t="s">
        <v>1099</v>
      </c>
    </row>
    <row r="513">
      <c r="B513" s="31"/>
      <c r="G513" s="272" t="s">
        <v>1099</v>
      </c>
    </row>
    <row r="514">
      <c r="B514" s="31"/>
      <c r="G514" s="272" t="s">
        <v>1099</v>
      </c>
    </row>
    <row r="515">
      <c r="B515" s="31"/>
      <c r="G515" s="272" t="s">
        <v>1099</v>
      </c>
    </row>
    <row r="516">
      <c r="B516" s="31"/>
      <c r="G516" s="272" t="s">
        <v>1099</v>
      </c>
    </row>
    <row r="517">
      <c r="B517" s="31"/>
      <c r="G517" s="272" t="s">
        <v>1099</v>
      </c>
    </row>
    <row r="518">
      <c r="B518" s="31"/>
      <c r="G518" s="272" t="s">
        <v>1099</v>
      </c>
    </row>
    <row r="519">
      <c r="B519" s="31"/>
      <c r="G519" s="272" t="s">
        <v>1099</v>
      </c>
    </row>
    <row r="520">
      <c r="B520" s="31"/>
      <c r="G520" s="272" t="s">
        <v>1099</v>
      </c>
    </row>
    <row r="521">
      <c r="B521" s="31"/>
      <c r="G521" s="272" t="s">
        <v>1099</v>
      </c>
    </row>
    <row r="522">
      <c r="B522" s="31"/>
      <c r="G522" s="272" t="s">
        <v>1099</v>
      </c>
    </row>
    <row r="523">
      <c r="B523" s="31"/>
      <c r="G523" s="272" t="s">
        <v>1099</v>
      </c>
    </row>
    <row r="524">
      <c r="B524" s="31"/>
      <c r="G524" s="272" t="s">
        <v>1099</v>
      </c>
    </row>
    <row r="525">
      <c r="B525" s="31"/>
      <c r="G525" s="272" t="s">
        <v>1099</v>
      </c>
    </row>
    <row r="526">
      <c r="B526" s="31"/>
      <c r="G526" s="272" t="s">
        <v>1099</v>
      </c>
    </row>
    <row r="527">
      <c r="B527" s="31"/>
      <c r="G527" s="272" t="s">
        <v>1099</v>
      </c>
    </row>
    <row r="528">
      <c r="B528" s="31"/>
      <c r="G528" s="272" t="s">
        <v>1099</v>
      </c>
    </row>
    <row r="529">
      <c r="B529" s="31"/>
      <c r="G529" s="272" t="s">
        <v>1099</v>
      </c>
    </row>
    <row r="530">
      <c r="B530" s="31"/>
      <c r="G530" s="272" t="s">
        <v>1099</v>
      </c>
    </row>
    <row r="531">
      <c r="B531" s="31"/>
      <c r="G531" s="272" t="s">
        <v>1099</v>
      </c>
    </row>
    <row r="532">
      <c r="B532" s="31"/>
      <c r="G532" s="272" t="s">
        <v>1099</v>
      </c>
    </row>
    <row r="533">
      <c r="B533" s="31"/>
      <c r="G533" s="272" t="s">
        <v>1099</v>
      </c>
    </row>
    <row r="534">
      <c r="B534" s="31"/>
      <c r="G534" s="272" t="s">
        <v>1099</v>
      </c>
    </row>
    <row r="535">
      <c r="B535" s="31"/>
      <c r="G535" s="272" t="s">
        <v>1099</v>
      </c>
    </row>
    <row r="536">
      <c r="B536" s="31"/>
      <c r="G536" s="272" t="s">
        <v>1099</v>
      </c>
    </row>
    <row r="537">
      <c r="B537" s="31"/>
      <c r="G537" s="272" t="s">
        <v>1099</v>
      </c>
    </row>
    <row r="538">
      <c r="B538" s="31"/>
      <c r="G538" s="272" t="s">
        <v>1099</v>
      </c>
    </row>
    <row r="539">
      <c r="B539" s="31"/>
      <c r="G539" s="272" t="s">
        <v>1099</v>
      </c>
    </row>
    <row r="540">
      <c r="B540" s="31"/>
      <c r="G540" s="272" t="s">
        <v>1099</v>
      </c>
    </row>
    <row r="541">
      <c r="B541" s="31"/>
      <c r="G541" s="272" t="s">
        <v>1099</v>
      </c>
    </row>
    <row r="542">
      <c r="B542" s="31"/>
      <c r="G542" s="272" t="s">
        <v>1099</v>
      </c>
    </row>
    <row r="543">
      <c r="B543" s="31"/>
      <c r="G543" s="272" t="s">
        <v>1099</v>
      </c>
    </row>
    <row r="544">
      <c r="B544" s="31"/>
      <c r="G544" s="272" t="s">
        <v>1099</v>
      </c>
    </row>
    <row r="545">
      <c r="B545" s="31"/>
      <c r="G545" s="272" t="s">
        <v>1099</v>
      </c>
    </row>
    <row r="546">
      <c r="B546" s="31"/>
      <c r="G546" s="272" t="s">
        <v>1099</v>
      </c>
    </row>
    <row r="547">
      <c r="B547" s="31"/>
      <c r="G547" s="272" t="s">
        <v>1099</v>
      </c>
    </row>
    <row r="548">
      <c r="B548" s="31"/>
      <c r="G548" s="272" t="s">
        <v>1099</v>
      </c>
    </row>
    <row r="549">
      <c r="B549" s="31"/>
      <c r="G549" s="272" t="s">
        <v>1099</v>
      </c>
    </row>
    <row r="550">
      <c r="B550" s="31"/>
      <c r="G550" s="272" t="s">
        <v>1099</v>
      </c>
    </row>
    <row r="551">
      <c r="B551" s="31"/>
      <c r="G551" s="272" t="s">
        <v>1099</v>
      </c>
    </row>
    <row r="552">
      <c r="B552" s="31"/>
      <c r="G552" s="272" t="s">
        <v>1099</v>
      </c>
    </row>
    <row r="553">
      <c r="B553" s="31"/>
      <c r="G553" s="272" t="s">
        <v>1099</v>
      </c>
    </row>
    <row r="554">
      <c r="B554" s="31"/>
      <c r="G554" s="272" t="s">
        <v>1099</v>
      </c>
    </row>
    <row r="555">
      <c r="B555" s="31"/>
      <c r="G555" s="272" t="s">
        <v>1099</v>
      </c>
    </row>
    <row r="556">
      <c r="B556" s="31"/>
      <c r="G556" s="272" t="s">
        <v>1099</v>
      </c>
    </row>
    <row r="557">
      <c r="B557" s="31"/>
      <c r="G557" s="272" t="s">
        <v>1099</v>
      </c>
    </row>
    <row r="558">
      <c r="B558" s="31"/>
      <c r="G558" s="272" t="s">
        <v>1099</v>
      </c>
    </row>
    <row r="559">
      <c r="B559" s="31"/>
      <c r="G559" s="272" t="s">
        <v>1099</v>
      </c>
    </row>
    <row r="560">
      <c r="B560" s="31"/>
      <c r="G560" s="272" t="s">
        <v>1099</v>
      </c>
    </row>
    <row r="561">
      <c r="B561" s="31"/>
      <c r="G561" s="272" t="s">
        <v>1099</v>
      </c>
    </row>
    <row r="562">
      <c r="B562" s="31"/>
      <c r="G562" s="272" t="s">
        <v>1099</v>
      </c>
    </row>
    <row r="563">
      <c r="B563" s="31"/>
      <c r="G563" s="272" t="s">
        <v>1099</v>
      </c>
    </row>
    <row r="564">
      <c r="B564" s="31"/>
      <c r="G564" s="272" t="s">
        <v>1099</v>
      </c>
    </row>
    <row r="565">
      <c r="B565" s="31"/>
      <c r="G565" s="272" t="s">
        <v>1099</v>
      </c>
    </row>
    <row r="566">
      <c r="B566" s="31"/>
      <c r="G566" s="272" t="s">
        <v>1099</v>
      </c>
    </row>
    <row r="567">
      <c r="B567" s="31"/>
      <c r="G567" s="272" t="s">
        <v>1099</v>
      </c>
    </row>
    <row r="568">
      <c r="B568" s="31"/>
      <c r="G568" s="272" t="s">
        <v>1099</v>
      </c>
    </row>
    <row r="569">
      <c r="B569" s="31"/>
      <c r="G569" s="272" t="s">
        <v>1099</v>
      </c>
    </row>
    <row r="570">
      <c r="B570" s="31"/>
      <c r="G570" s="272" t="s">
        <v>1099</v>
      </c>
    </row>
    <row r="571">
      <c r="B571" s="31"/>
      <c r="G571" s="272" t="s">
        <v>1099</v>
      </c>
    </row>
    <row r="572">
      <c r="B572" s="31"/>
      <c r="G572" s="272" t="s">
        <v>1099</v>
      </c>
    </row>
    <row r="573">
      <c r="B573" s="31"/>
      <c r="G573" s="272" t="s">
        <v>1099</v>
      </c>
    </row>
    <row r="574">
      <c r="B574" s="31"/>
      <c r="G574" s="272" t="s">
        <v>1099</v>
      </c>
    </row>
    <row r="575">
      <c r="B575" s="31"/>
      <c r="G575" s="272" t="s">
        <v>1099</v>
      </c>
    </row>
    <row r="576">
      <c r="B576" s="31"/>
      <c r="G576" s="272" t="s">
        <v>1099</v>
      </c>
    </row>
    <row r="577">
      <c r="B577" s="31"/>
      <c r="G577" s="272" t="s">
        <v>1099</v>
      </c>
    </row>
    <row r="578">
      <c r="B578" s="31"/>
      <c r="G578" s="272" t="s">
        <v>1099</v>
      </c>
    </row>
    <row r="579">
      <c r="B579" s="31"/>
      <c r="G579" s="272" t="s">
        <v>1099</v>
      </c>
    </row>
    <row r="580">
      <c r="B580" s="31"/>
      <c r="G580" s="272" t="s">
        <v>1099</v>
      </c>
    </row>
    <row r="581">
      <c r="B581" s="31"/>
      <c r="G581" s="272" t="s">
        <v>1099</v>
      </c>
    </row>
    <row r="582">
      <c r="B582" s="31"/>
      <c r="G582" s="272" t="s">
        <v>1099</v>
      </c>
    </row>
    <row r="583">
      <c r="B583" s="31"/>
      <c r="G583" s="272" t="s">
        <v>1099</v>
      </c>
    </row>
    <row r="584">
      <c r="B584" s="31"/>
      <c r="G584" s="272" t="s">
        <v>1099</v>
      </c>
    </row>
    <row r="585">
      <c r="B585" s="31"/>
      <c r="G585" s="272" t="s">
        <v>1099</v>
      </c>
    </row>
    <row r="586">
      <c r="B586" s="31"/>
      <c r="G586" s="272" t="s">
        <v>1099</v>
      </c>
    </row>
    <row r="587">
      <c r="B587" s="31"/>
      <c r="G587" s="272" t="s">
        <v>1099</v>
      </c>
    </row>
    <row r="588">
      <c r="B588" s="31"/>
      <c r="G588" s="272" t="s">
        <v>1099</v>
      </c>
    </row>
    <row r="589">
      <c r="B589" s="31"/>
      <c r="G589" s="272" t="s">
        <v>1099</v>
      </c>
    </row>
    <row r="590">
      <c r="B590" s="31"/>
      <c r="G590" s="272" t="s">
        <v>1099</v>
      </c>
    </row>
    <row r="591">
      <c r="B591" s="31"/>
      <c r="G591" s="272" t="s">
        <v>1099</v>
      </c>
    </row>
    <row r="592">
      <c r="B592" s="31"/>
      <c r="G592" s="272" t="s">
        <v>1099</v>
      </c>
    </row>
    <row r="593">
      <c r="B593" s="31"/>
      <c r="G593" s="272" t="s">
        <v>1099</v>
      </c>
    </row>
    <row r="594">
      <c r="B594" s="31"/>
      <c r="G594" s="272" t="s">
        <v>1099</v>
      </c>
    </row>
    <row r="595">
      <c r="B595" s="31"/>
      <c r="G595" s="272" t="s">
        <v>1099</v>
      </c>
    </row>
    <row r="596">
      <c r="B596" s="31"/>
      <c r="G596" s="272" t="s">
        <v>1099</v>
      </c>
    </row>
    <row r="597">
      <c r="B597" s="31"/>
      <c r="G597" s="272" t="s">
        <v>1099</v>
      </c>
    </row>
    <row r="598">
      <c r="B598" s="31"/>
      <c r="G598" s="272" t="s">
        <v>1099</v>
      </c>
    </row>
    <row r="599">
      <c r="B599" s="31"/>
      <c r="G599" s="272" t="s">
        <v>1099</v>
      </c>
    </row>
    <row r="600">
      <c r="B600" s="31"/>
      <c r="G600" s="272" t="s">
        <v>1099</v>
      </c>
    </row>
    <row r="601">
      <c r="B601" s="31"/>
      <c r="G601" s="272" t="s">
        <v>1099</v>
      </c>
    </row>
    <row r="602">
      <c r="B602" s="31"/>
      <c r="G602" s="272" t="s">
        <v>1099</v>
      </c>
    </row>
    <row r="603">
      <c r="B603" s="31"/>
      <c r="G603" s="272" t="s">
        <v>1099</v>
      </c>
    </row>
    <row r="604">
      <c r="B604" s="31"/>
      <c r="G604" s="272" t="s">
        <v>1099</v>
      </c>
    </row>
    <row r="605">
      <c r="B605" s="31"/>
      <c r="G605" s="272" t="s">
        <v>1099</v>
      </c>
    </row>
    <row r="606">
      <c r="B606" s="31"/>
      <c r="G606" s="272" t="s">
        <v>1099</v>
      </c>
    </row>
    <row r="607">
      <c r="B607" s="31"/>
      <c r="G607" s="272" t="s">
        <v>1099</v>
      </c>
    </row>
    <row r="608">
      <c r="B608" s="31"/>
      <c r="G608" s="272" t="s">
        <v>1099</v>
      </c>
    </row>
    <row r="609">
      <c r="B609" s="31"/>
      <c r="G609" s="272" t="s">
        <v>1099</v>
      </c>
    </row>
    <row r="610">
      <c r="B610" s="31"/>
      <c r="G610" s="272" t="s">
        <v>1099</v>
      </c>
    </row>
    <row r="611">
      <c r="B611" s="31"/>
      <c r="G611" s="272" t="s">
        <v>1099</v>
      </c>
    </row>
    <row r="612">
      <c r="B612" s="31"/>
      <c r="G612" s="272" t="s">
        <v>1099</v>
      </c>
    </row>
    <row r="613">
      <c r="B613" s="31"/>
      <c r="G613" s="272" t="s">
        <v>1099</v>
      </c>
    </row>
    <row r="614">
      <c r="B614" s="31"/>
      <c r="G614" s="272" t="s">
        <v>1099</v>
      </c>
    </row>
    <row r="615">
      <c r="B615" s="31"/>
      <c r="G615" s="272" t="s">
        <v>1099</v>
      </c>
    </row>
    <row r="616">
      <c r="B616" s="31"/>
      <c r="G616" s="272" t="s">
        <v>1099</v>
      </c>
    </row>
    <row r="617">
      <c r="B617" s="31"/>
      <c r="G617" s="272" t="s">
        <v>1099</v>
      </c>
    </row>
    <row r="618">
      <c r="B618" s="31"/>
      <c r="G618" s="272" t="s">
        <v>1099</v>
      </c>
    </row>
    <row r="619">
      <c r="B619" s="31"/>
      <c r="G619" s="272" t="s">
        <v>1099</v>
      </c>
    </row>
    <row r="620">
      <c r="B620" s="31"/>
      <c r="G620" s="272" t="s">
        <v>1099</v>
      </c>
    </row>
    <row r="621">
      <c r="B621" s="31"/>
      <c r="G621" s="272" t="s">
        <v>1099</v>
      </c>
    </row>
    <row r="622">
      <c r="B622" s="31"/>
      <c r="G622" s="272" t="s">
        <v>1099</v>
      </c>
    </row>
    <row r="623">
      <c r="B623" s="31"/>
      <c r="G623" s="272" t="s">
        <v>1099</v>
      </c>
    </row>
    <row r="624">
      <c r="B624" s="31"/>
      <c r="G624" s="272" t="s">
        <v>1099</v>
      </c>
    </row>
    <row r="625">
      <c r="B625" s="31"/>
      <c r="G625" s="272" t="s">
        <v>1099</v>
      </c>
    </row>
    <row r="626">
      <c r="B626" s="31"/>
      <c r="G626" s="272" t="s">
        <v>1099</v>
      </c>
    </row>
    <row r="627">
      <c r="B627" s="31"/>
      <c r="G627" s="272" t="s">
        <v>1099</v>
      </c>
    </row>
    <row r="628">
      <c r="B628" s="31"/>
      <c r="G628" s="272" t="s">
        <v>1099</v>
      </c>
    </row>
    <row r="629">
      <c r="B629" s="31"/>
      <c r="G629" s="272" t="s">
        <v>1099</v>
      </c>
    </row>
    <row r="630">
      <c r="B630" s="31"/>
      <c r="G630" s="272" t="s">
        <v>1099</v>
      </c>
    </row>
    <row r="631">
      <c r="B631" s="31"/>
      <c r="G631" s="272" t="s">
        <v>1099</v>
      </c>
    </row>
    <row r="632">
      <c r="B632" s="31"/>
      <c r="G632" s="272" t="s">
        <v>1099</v>
      </c>
    </row>
    <row r="633">
      <c r="B633" s="31"/>
      <c r="G633" s="272" t="s">
        <v>1099</v>
      </c>
    </row>
    <row r="634">
      <c r="B634" s="31"/>
      <c r="G634" s="272" t="s">
        <v>1099</v>
      </c>
    </row>
    <row r="635">
      <c r="B635" s="31"/>
      <c r="G635" s="272" t="s">
        <v>1099</v>
      </c>
    </row>
    <row r="636">
      <c r="B636" s="31"/>
      <c r="G636" s="272" t="s">
        <v>1099</v>
      </c>
    </row>
    <row r="637">
      <c r="B637" s="31"/>
      <c r="G637" s="272" t="s">
        <v>1099</v>
      </c>
    </row>
    <row r="638">
      <c r="B638" s="31"/>
      <c r="G638" s="272" t="s">
        <v>1099</v>
      </c>
    </row>
    <row r="639">
      <c r="B639" s="31"/>
      <c r="G639" s="272" t="s">
        <v>1099</v>
      </c>
    </row>
    <row r="640">
      <c r="B640" s="31"/>
      <c r="G640" s="272" t="s">
        <v>1099</v>
      </c>
    </row>
    <row r="641">
      <c r="B641" s="31"/>
      <c r="G641" s="272" t="s">
        <v>1099</v>
      </c>
    </row>
    <row r="642">
      <c r="B642" s="31"/>
      <c r="G642" s="272" t="s">
        <v>1099</v>
      </c>
    </row>
    <row r="643">
      <c r="B643" s="31"/>
      <c r="G643" s="272" t="s">
        <v>1099</v>
      </c>
    </row>
    <row r="644">
      <c r="B644" s="31"/>
      <c r="G644" s="272" t="s">
        <v>1099</v>
      </c>
    </row>
    <row r="645">
      <c r="B645" s="31"/>
      <c r="G645" s="272" t="s">
        <v>1099</v>
      </c>
    </row>
    <row r="646">
      <c r="B646" s="31"/>
      <c r="G646" s="272" t="s">
        <v>1099</v>
      </c>
    </row>
    <row r="647">
      <c r="B647" s="31"/>
      <c r="G647" s="272" t="s">
        <v>1099</v>
      </c>
    </row>
    <row r="648">
      <c r="B648" s="31"/>
      <c r="G648" s="272" t="s">
        <v>1099</v>
      </c>
    </row>
    <row r="649">
      <c r="B649" s="31"/>
      <c r="G649" s="272" t="s">
        <v>1099</v>
      </c>
    </row>
    <row r="650">
      <c r="B650" s="31"/>
      <c r="G650" s="272" t="s">
        <v>1099</v>
      </c>
    </row>
    <row r="651">
      <c r="B651" s="31"/>
      <c r="G651" s="272" t="s">
        <v>1099</v>
      </c>
    </row>
    <row r="652">
      <c r="B652" s="31"/>
      <c r="G652" s="272" t="s">
        <v>1099</v>
      </c>
    </row>
    <row r="653">
      <c r="B653" s="31"/>
      <c r="G653" s="272" t="s">
        <v>1099</v>
      </c>
    </row>
    <row r="654">
      <c r="B654" s="31"/>
      <c r="G654" s="272" t="s">
        <v>1099</v>
      </c>
    </row>
    <row r="655">
      <c r="B655" s="31"/>
      <c r="G655" s="272" t="s">
        <v>1099</v>
      </c>
    </row>
    <row r="656">
      <c r="B656" s="31"/>
      <c r="G656" s="272" t="s">
        <v>1099</v>
      </c>
    </row>
    <row r="657">
      <c r="B657" s="31"/>
      <c r="G657" s="272" t="s">
        <v>1099</v>
      </c>
    </row>
    <row r="658">
      <c r="B658" s="31"/>
      <c r="G658" s="272" t="s">
        <v>1099</v>
      </c>
    </row>
    <row r="659">
      <c r="B659" s="31"/>
      <c r="G659" s="272" t="s">
        <v>1099</v>
      </c>
    </row>
    <row r="660">
      <c r="B660" s="31"/>
      <c r="G660" s="272" t="s">
        <v>1099</v>
      </c>
    </row>
    <row r="661">
      <c r="B661" s="31"/>
      <c r="G661" s="272" t="s">
        <v>1099</v>
      </c>
    </row>
    <row r="662">
      <c r="B662" s="31"/>
      <c r="G662" s="272" t="s">
        <v>1099</v>
      </c>
    </row>
    <row r="663">
      <c r="B663" s="31"/>
      <c r="G663" s="272" t="s">
        <v>1099</v>
      </c>
    </row>
    <row r="664">
      <c r="B664" s="31"/>
      <c r="G664" s="272" t="s">
        <v>1099</v>
      </c>
    </row>
    <row r="665">
      <c r="B665" s="31"/>
      <c r="G665" s="272" t="s">
        <v>1099</v>
      </c>
    </row>
    <row r="666">
      <c r="B666" s="31"/>
      <c r="G666" s="272" t="s">
        <v>1099</v>
      </c>
    </row>
    <row r="667">
      <c r="B667" s="31"/>
      <c r="G667" s="272" t="s">
        <v>1099</v>
      </c>
    </row>
    <row r="668">
      <c r="B668" s="31"/>
      <c r="G668" s="272" t="s">
        <v>1099</v>
      </c>
    </row>
    <row r="669">
      <c r="B669" s="31"/>
      <c r="G669" s="272" t="s">
        <v>1099</v>
      </c>
    </row>
    <row r="670">
      <c r="B670" s="31"/>
      <c r="G670" s="272" t="s">
        <v>1099</v>
      </c>
    </row>
    <row r="671">
      <c r="B671" s="31"/>
      <c r="G671" s="272" t="s">
        <v>1099</v>
      </c>
    </row>
    <row r="672">
      <c r="B672" s="31"/>
      <c r="G672" s="272" t="s">
        <v>1099</v>
      </c>
    </row>
    <row r="673">
      <c r="B673" s="31"/>
      <c r="G673" s="272" t="s">
        <v>1099</v>
      </c>
    </row>
    <row r="674">
      <c r="B674" s="31"/>
      <c r="G674" s="272" t="s">
        <v>1099</v>
      </c>
    </row>
    <row r="675">
      <c r="B675" s="31"/>
      <c r="G675" s="272" t="s">
        <v>1099</v>
      </c>
    </row>
    <row r="676">
      <c r="B676" s="31"/>
      <c r="G676" s="272" t="s">
        <v>1099</v>
      </c>
    </row>
    <row r="677">
      <c r="B677" s="31"/>
      <c r="G677" s="272" t="s">
        <v>1099</v>
      </c>
    </row>
    <row r="678">
      <c r="B678" s="31"/>
      <c r="G678" s="272" t="s">
        <v>1099</v>
      </c>
    </row>
    <row r="679">
      <c r="B679" s="31"/>
      <c r="G679" s="272" t="s">
        <v>1099</v>
      </c>
    </row>
    <row r="680">
      <c r="B680" s="31"/>
      <c r="G680" s="272" t="s">
        <v>1099</v>
      </c>
    </row>
    <row r="681">
      <c r="B681" s="31"/>
      <c r="G681" s="272" t="s">
        <v>1099</v>
      </c>
    </row>
    <row r="682">
      <c r="B682" s="31"/>
      <c r="G682" s="272" t="s">
        <v>1099</v>
      </c>
    </row>
    <row r="683">
      <c r="B683" s="31"/>
      <c r="G683" s="272" t="s">
        <v>1099</v>
      </c>
    </row>
    <row r="684">
      <c r="B684" s="31"/>
      <c r="G684" s="272" t="s">
        <v>1099</v>
      </c>
    </row>
    <row r="685">
      <c r="B685" s="31"/>
      <c r="G685" s="272" t="s">
        <v>1099</v>
      </c>
    </row>
    <row r="686">
      <c r="B686" s="31"/>
      <c r="G686" s="272" t="s">
        <v>1099</v>
      </c>
    </row>
    <row r="687">
      <c r="B687" s="31"/>
      <c r="G687" s="272" t="s">
        <v>1099</v>
      </c>
    </row>
    <row r="688">
      <c r="B688" s="31"/>
      <c r="G688" s="272" t="s">
        <v>1099</v>
      </c>
    </row>
    <row r="689">
      <c r="B689" s="31"/>
      <c r="G689" s="272" t="s">
        <v>1099</v>
      </c>
    </row>
    <row r="690">
      <c r="B690" s="31"/>
      <c r="G690" s="272" t="s">
        <v>1099</v>
      </c>
    </row>
    <row r="691">
      <c r="B691" s="31"/>
      <c r="G691" s="272" t="s">
        <v>1099</v>
      </c>
    </row>
    <row r="692">
      <c r="B692" s="31"/>
      <c r="G692" s="272" t="s">
        <v>1099</v>
      </c>
    </row>
    <row r="693">
      <c r="B693" s="31"/>
      <c r="G693" s="272" t="s">
        <v>1099</v>
      </c>
    </row>
    <row r="694">
      <c r="B694" s="31"/>
      <c r="G694" s="272" t="s">
        <v>1099</v>
      </c>
    </row>
    <row r="695">
      <c r="B695" s="31"/>
      <c r="G695" s="272" t="s">
        <v>1099</v>
      </c>
    </row>
    <row r="696">
      <c r="B696" s="31"/>
      <c r="G696" s="272" t="s">
        <v>1099</v>
      </c>
    </row>
    <row r="697">
      <c r="B697" s="31"/>
      <c r="G697" s="272" t="s">
        <v>1099</v>
      </c>
    </row>
    <row r="698">
      <c r="B698" s="31"/>
      <c r="G698" s="272" t="s">
        <v>1099</v>
      </c>
    </row>
    <row r="699">
      <c r="B699" s="31"/>
      <c r="G699" s="272" t="s">
        <v>1099</v>
      </c>
    </row>
    <row r="700">
      <c r="B700" s="31"/>
      <c r="G700" s="272" t="s">
        <v>1099</v>
      </c>
    </row>
    <row r="701">
      <c r="B701" s="31"/>
      <c r="G701" s="272" t="s">
        <v>1099</v>
      </c>
    </row>
    <row r="702">
      <c r="B702" s="31"/>
      <c r="G702" s="272" t="s">
        <v>1099</v>
      </c>
    </row>
    <row r="703">
      <c r="B703" s="31"/>
      <c r="G703" s="272" t="s">
        <v>1099</v>
      </c>
    </row>
    <row r="704">
      <c r="B704" s="31"/>
      <c r="G704" s="272" t="s">
        <v>1099</v>
      </c>
    </row>
    <row r="705">
      <c r="B705" s="31"/>
      <c r="G705" s="272" t="s">
        <v>1099</v>
      </c>
    </row>
    <row r="706">
      <c r="B706" s="31"/>
      <c r="G706" s="272" t="s">
        <v>1099</v>
      </c>
    </row>
    <row r="707">
      <c r="B707" s="31"/>
      <c r="G707" s="272" t="s">
        <v>1099</v>
      </c>
    </row>
    <row r="708">
      <c r="B708" s="31"/>
      <c r="G708" s="272" t="s">
        <v>1099</v>
      </c>
    </row>
    <row r="709">
      <c r="B709" s="31"/>
      <c r="G709" s="272" t="s">
        <v>1099</v>
      </c>
    </row>
    <row r="710">
      <c r="B710" s="31"/>
      <c r="G710" s="272" t="s">
        <v>1099</v>
      </c>
    </row>
    <row r="711">
      <c r="B711" s="31"/>
      <c r="G711" s="272" t="s">
        <v>1099</v>
      </c>
    </row>
    <row r="712">
      <c r="B712" s="31"/>
      <c r="G712" s="272" t="s">
        <v>1099</v>
      </c>
    </row>
    <row r="713">
      <c r="B713" s="31"/>
      <c r="G713" s="272" t="s">
        <v>1099</v>
      </c>
    </row>
    <row r="714">
      <c r="B714" s="31"/>
      <c r="G714" s="272" t="s">
        <v>1099</v>
      </c>
    </row>
    <row r="715">
      <c r="B715" s="31"/>
      <c r="G715" s="272" t="s">
        <v>1099</v>
      </c>
    </row>
    <row r="716">
      <c r="B716" s="31"/>
      <c r="G716" s="272" t="s">
        <v>1099</v>
      </c>
    </row>
    <row r="717">
      <c r="B717" s="31"/>
      <c r="G717" s="272" t="s">
        <v>1099</v>
      </c>
    </row>
    <row r="718">
      <c r="B718" s="31"/>
      <c r="G718" s="272" t="s">
        <v>1099</v>
      </c>
    </row>
    <row r="719">
      <c r="B719" s="31"/>
      <c r="G719" s="272" t="s">
        <v>1099</v>
      </c>
    </row>
    <row r="720">
      <c r="B720" s="31"/>
      <c r="G720" s="272" t="s">
        <v>1099</v>
      </c>
    </row>
    <row r="721">
      <c r="B721" s="31"/>
      <c r="G721" s="272" t="s">
        <v>1099</v>
      </c>
    </row>
    <row r="722">
      <c r="B722" s="31"/>
      <c r="G722" s="272" t="s">
        <v>1099</v>
      </c>
    </row>
    <row r="723">
      <c r="B723" s="31"/>
      <c r="G723" s="272" t="s">
        <v>1099</v>
      </c>
    </row>
    <row r="724">
      <c r="B724" s="31"/>
      <c r="G724" s="272" t="s">
        <v>1099</v>
      </c>
    </row>
    <row r="725">
      <c r="B725" s="31"/>
      <c r="G725" s="272" t="s">
        <v>1099</v>
      </c>
    </row>
    <row r="726">
      <c r="B726" s="31"/>
      <c r="G726" s="272" t="s">
        <v>1099</v>
      </c>
    </row>
    <row r="727">
      <c r="B727" s="31"/>
      <c r="G727" s="272" t="s">
        <v>1099</v>
      </c>
    </row>
    <row r="728">
      <c r="B728" s="31"/>
      <c r="G728" s="272" t="s">
        <v>1099</v>
      </c>
    </row>
    <row r="729">
      <c r="B729" s="31"/>
      <c r="G729" s="272" t="s">
        <v>1099</v>
      </c>
    </row>
    <row r="730">
      <c r="B730" s="31"/>
      <c r="G730" s="272" t="s">
        <v>1099</v>
      </c>
    </row>
    <row r="731">
      <c r="B731" s="31"/>
      <c r="G731" s="272" t="s">
        <v>1099</v>
      </c>
    </row>
    <row r="732">
      <c r="B732" s="31"/>
      <c r="G732" s="272" t="s">
        <v>1099</v>
      </c>
    </row>
    <row r="733">
      <c r="B733" s="31"/>
      <c r="G733" s="272" t="s">
        <v>1099</v>
      </c>
    </row>
    <row r="734">
      <c r="B734" s="31"/>
      <c r="G734" s="272" t="s">
        <v>1099</v>
      </c>
    </row>
    <row r="735">
      <c r="B735" s="31"/>
      <c r="G735" s="272" t="s">
        <v>1099</v>
      </c>
    </row>
    <row r="736">
      <c r="B736" s="31"/>
      <c r="G736" s="272" t="s">
        <v>1099</v>
      </c>
    </row>
    <row r="737">
      <c r="B737" s="31"/>
      <c r="G737" s="272" t="s">
        <v>1099</v>
      </c>
    </row>
    <row r="738">
      <c r="B738" s="31"/>
      <c r="G738" s="272" t="s">
        <v>1099</v>
      </c>
    </row>
    <row r="739">
      <c r="B739" s="31"/>
      <c r="G739" s="272" t="s">
        <v>1099</v>
      </c>
    </row>
    <row r="740">
      <c r="B740" s="31"/>
      <c r="G740" s="272" t="s">
        <v>1099</v>
      </c>
    </row>
    <row r="741">
      <c r="B741" s="31"/>
      <c r="G741" s="272" t="s">
        <v>1099</v>
      </c>
    </row>
    <row r="742">
      <c r="B742" s="31"/>
      <c r="G742" s="272" t="s">
        <v>1099</v>
      </c>
    </row>
    <row r="743">
      <c r="B743" s="31"/>
      <c r="G743" s="272" t="s">
        <v>1099</v>
      </c>
    </row>
    <row r="744">
      <c r="B744" s="31"/>
      <c r="G744" s="272" t="s">
        <v>1099</v>
      </c>
    </row>
    <row r="745">
      <c r="B745" s="31"/>
      <c r="G745" s="272" t="s">
        <v>1099</v>
      </c>
    </row>
    <row r="746">
      <c r="B746" s="31"/>
      <c r="G746" s="272" t="s">
        <v>1099</v>
      </c>
    </row>
    <row r="747">
      <c r="B747" s="31"/>
      <c r="G747" s="272" t="s">
        <v>1099</v>
      </c>
    </row>
    <row r="748">
      <c r="B748" s="31"/>
      <c r="G748" s="272" t="s">
        <v>1099</v>
      </c>
    </row>
    <row r="749">
      <c r="B749" s="31"/>
      <c r="G749" s="272" t="s">
        <v>1099</v>
      </c>
    </row>
    <row r="750">
      <c r="B750" s="31"/>
      <c r="G750" s="272" t="s">
        <v>1099</v>
      </c>
    </row>
    <row r="751">
      <c r="B751" s="31"/>
      <c r="G751" s="272" t="s">
        <v>1099</v>
      </c>
    </row>
    <row r="752">
      <c r="B752" s="31"/>
      <c r="G752" s="272" t="s">
        <v>1099</v>
      </c>
    </row>
    <row r="753">
      <c r="B753" s="31"/>
      <c r="G753" s="272" t="s">
        <v>1099</v>
      </c>
    </row>
    <row r="754">
      <c r="B754" s="31"/>
      <c r="G754" s="272" t="s">
        <v>1099</v>
      </c>
    </row>
    <row r="755">
      <c r="B755" s="31"/>
      <c r="G755" s="272" t="s">
        <v>1099</v>
      </c>
    </row>
    <row r="756">
      <c r="B756" s="31"/>
      <c r="G756" s="272" t="s">
        <v>1099</v>
      </c>
    </row>
    <row r="757">
      <c r="B757" s="31"/>
      <c r="G757" s="272" t="s">
        <v>1099</v>
      </c>
    </row>
    <row r="758">
      <c r="B758" s="31"/>
      <c r="G758" s="272" t="s">
        <v>1099</v>
      </c>
    </row>
    <row r="759">
      <c r="B759" s="31"/>
      <c r="G759" s="272" t="s">
        <v>1099</v>
      </c>
    </row>
    <row r="760">
      <c r="B760" s="31"/>
      <c r="G760" s="272" t="s">
        <v>1099</v>
      </c>
    </row>
    <row r="761">
      <c r="B761" s="31"/>
      <c r="G761" s="272" t="s">
        <v>1099</v>
      </c>
    </row>
    <row r="762">
      <c r="B762" s="31"/>
      <c r="G762" s="272" t="s">
        <v>1099</v>
      </c>
    </row>
    <row r="763">
      <c r="B763" s="31"/>
      <c r="G763" s="272" t="s">
        <v>1099</v>
      </c>
    </row>
    <row r="764">
      <c r="B764" s="31"/>
      <c r="G764" s="272" t="s">
        <v>1099</v>
      </c>
    </row>
    <row r="765">
      <c r="B765" s="31"/>
      <c r="G765" s="272" t="s">
        <v>1099</v>
      </c>
    </row>
    <row r="766">
      <c r="B766" s="31"/>
      <c r="G766" s="272" t="s">
        <v>1099</v>
      </c>
    </row>
    <row r="767">
      <c r="B767" s="31"/>
      <c r="G767" s="272" t="s">
        <v>1099</v>
      </c>
    </row>
    <row r="768">
      <c r="B768" s="31"/>
      <c r="G768" s="272" t="s">
        <v>1099</v>
      </c>
    </row>
    <row r="769">
      <c r="B769" s="31"/>
      <c r="G769" s="272" t="s">
        <v>1099</v>
      </c>
    </row>
    <row r="770">
      <c r="B770" s="31"/>
      <c r="G770" s="272" t="s">
        <v>1099</v>
      </c>
    </row>
    <row r="771">
      <c r="B771" s="31"/>
      <c r="G771" s="272" t="s">
        <v>1099</v>
      </c>
    </row>
    <row r="772">
      <c r="B772" s="31"/>
      <c r="G772" s="272" t="s">
        <v>1099</v>
      </c>
    </row>
    <row r="773">
      <c r="B773" s="31"/>
      <c r="G773" s="272" t="s">
        <v>1099</v>
      </c>
    </row>
    <row r="774">
      <c r="B774" s="31"/>
      <c r="G774" s="272" t="s">
        <v>1099</v>
      </c>
    </row>
    <row r="775">
      <c r="B775" s="31"/>
      <c r="G775" s="272" t="s">
        <v>1099</v>
      </c>
    </row>
    <row r="776">
      <c r="B776" s="31"/>
      <c r="G776" s="272" t="s">
        <v>1099</v>
      </c>
    </row>
    <row r="777">
      <c r="B777" s="31"/>
      <c r="G777" s="272" t="s">
        <v>1099</v>
      </c>
    </row>
    <row r="778">
      <c r="B778" s="31"/>
      <c r="G778" s="272" t="s">
        <v>1099</v>
      </c>
    </row>
    <row r="779">
      <c r="B779" s="31"/>
      <c r="G779" s="272" t="s">
        <v>1099</v>
      </c>
    </row>
    <row r="780">
      <c r="B780" s="31"/>
      <c r="G780" s="272" t="s">
        <v>1099</v>
      </c>
    </row>
    <row r="781">
      <c r="B781" s="31"/>
      <c r="G781" s="272" t="s">
        <v>1099</v>
      </c>
    </row>
    <row r="782">
      <c r="B782" s="31"/>
      <c r="G782" s="272" t="s">
        <v>1099</v>
      </c>
    </row>
    <row r="783">
      <c r="B783" s="31"/>
      <c r="G783" s="272" t="s">
        <v>1099</v>
      </c>
    </row>
    <row r="784">
      <c r="B784" s="31"/>
      <c r="G784" s="272" t="s">
        <v>1099</v>
      </c>
    </row>
    <row r="785">
      <c r="B785" s="31"/>
      <c r="G785" s="272" t="s">
        <v>1099</v>
      </c>
    </row>
    <row r="786">
      <c r="B786" s="31"/>
      <c r="G786" s="272" t="s">
        <v>1099</v>
      </c>
    </row>
    <row r="787">
      <c r="B787" s="31"/>
      <c r="G787" s="272" t="s">
        <v>1099</v>
      </c>
    </row>
    <row r="788">
      <c r="B788" s="31"/>
      <c r="G788" s="272" t="s">
        <v>1099</v>
      </c>
    </row>
    <row r="789">
      <c r="B789" s="31"/>
      <c r="G789" s="272" t="s">
        <v>1099</v>
      </c>
    </row>
    <row r="790">
      <c r="B790" s="31"/>
      <c r="G790" s="272" t="s">
        <v>1099</v>
      </c>
    </row>
    <row r="791">
      <c r="B791" s="31"/>
      <c r="G791" s="272" t="s">
        <v>1099</v>
      </c>
    </row>
    <row r="792">
      <c r="B792" s="31"/>
      <c r="G792" s="272" t="s">
        <v>1099</v>
      </c>
    </row>
    <row r="793">
      <c r="B793" s="31"/>
      <c r="G793" s="272" t="s">
        <v>1099</v>
      </c>
    </row>
    <row r="794">
      <c r="B794" s="31"/>
      <c r="G794" s="272" t="s">
        <v>1099</v>
      </c>
    </row>
    <row r="795">
      <c r="B795" s="31"/>
      <c r="G795" s="272" t="s">
        <v>1099</v>
      </c>
    </row>
    <row r="796">
      <c r="B796" s="31"/>
      <c r="G796" s="272" t="s">
        <v>1099</v>
      </c>
    </row>
    <row r="797">
      <c r="B797" s="31"/>
      <c r="G797" s="272" t="s">
        <v>1099</v>
      </c>
    </row>
    <row r="798">
      <c r="B798" s="31"/>
      <c r="G798" s="272" t="s">
        <v>1099</v>
      </c>
    </row>
    <row r="799">
      <c r="B799" s="31"/>
      <c r="G799" s="272" t="s">
        <v>1099</v>
      </c>
    </row>
    <row r="800">
      <c r="B800" s="31"/>
      <c r="G800" s="272" t="s">
        <v>1099</v>
      </c>
    </row>
    <row r="801">
      <c r="B801" s="31"/>
      <c r="G801" s="272" t="s">
        <v>1099</v>
      </c>
    </row>
    <row r="802">
      <c r="B802" s="31"/>
      <c r="G802" s="272" t="s">
        <v>1099</v>
      </c>
    </row>
    <row r="803">
      <c r="B803" s="31"/>
      <c r="G803" s="272" t="s">
        <v>1099</v>
      </c>
    </row>
    <row r="804">
      <c r="B804" s="31"/>
      <c r="G804" s="272" t="s">
        <v>1099</v>
      </c>
    </row>
    <row r="805">
      <c r="B805" s="31"/>
      <c r="G805" s="272" t="s">
        <v>1099</v>
      </c>
    </row>
    <row r="806">
      <c r="B806" s="31"/>
      <c r="G806" s="272" t="s">
        <v>1099</v>
      </c>
    </row>
    <row r="807">
      <c r="B807" s="31"/>
      <c r="G807" s="272" t="s">
        <v>1099</v>
      </c>
    </row>
    <row r="808">
      <c r="B808" s="31"/>
      <c r="G808" s="272" t="s">
        <v>1099</v>
      </c>
    </row>
    <row r="809">
      <c r="B809" s="31"/>
      <c r="G809" s="272" t="s">
        <v>1099</v>
      </c>
    </row>
    <row r="810">
      <c r="B810" s="31"/>
      <c r="G810" s="272" t="s">
        <v>1099</v>
      </c>
    </row>
    <row r="811">
      <c r="B811" s="31"/>
      <c r="G811" s="272" t="s">
        <v>1099</v>
      </c>
    </row>
    <row r="812">
      <c r="B812" s="31"/>
      <c r="G812" s="272" t="s">
        <v>1099</v>
      </c>
    </row>
    <row r="813">
      <c r="B813" s="31"/>
      <c r="G813" s="272" t="s">
        <v>1099</v>
      </c>
    </row>
    <row r="814">
      <c r="B814" s="31"/>
      <c r="G814" s="272" t="s">
        <v>1099</v>
      </c>
    </row>
    <row r="815">
      <c r="B815" s="31"/>
      <c r="G815" s="272" t="s">
        <v>1099</v>
      </c>
    </row>
    <row r="816">
      <c r="B816" s="31"/>
      <c r="G816" s="272" t="s">
        <v>1099</v>
      </c>
    </row>
    <row r="817">
      <c r="B817" s="31"/>
      <c r="G817" s="272" t="s">
        <v>1099</v>
      </c>
    </row>
    <row r="818">
      <c r="B818" s="31"/>
      <c r="G818" s="272" t="s">
        <v>1099</v>
      </c>
    </row>
    <row r="819">
      <c r="B819" s="31"/>
      <c r="G819" s="272" t="s">
        <v>1099</v>
      </c>
    </row>
    <row r="820">
      <c r="B820" s="31"/>
      <c r="G820" s="272" t="s">
        <v>1099</v>
      </c>
    </row>
    <row r="821">
      <c r="B821" s="31"/>
      <c r="G821" s="272" t="s">
        <v>1099</v>
      </c>
    </row>
    <row r="822">
      <c r="B822" s="31"/>
      <c r="G822" s="272" t="s">
        <v>1099</v>
      </c>
    </row>
    <row r="823">
      <c r="B823" s="31"/>
      <c r="G823" s="272" t="s">
        <v>1099</v>
      </c>
    </row>
    <row r="824">
      <c r="B824" s="31"/>
      <c r="G824" s="272" t="s">
        <v>1099</v>
      </c>
    </row>
    <row r="825">
      <c r="B825" s="31"/>
      <c r="G825" s="272" t="s">
        <v>1099</v>
      </c>
    </row>
    <row r="826">
      <c r="B826" s="31"/>
      <c r="G826" s="272" t="s">
        <v>1099</v>
      </c>
    </row>
    <row r="827">
      <c r="B827" s="31"/>
      <c r="G827" s="272" t="s">
        <v>1099</v>
      </c>
    </row>
    <row r="828">
      <c r="B828" s="31"/>
      <c r="G828" s="272" t="s">
        <v>1099</v>
      </c>
    </row>
    <row r="829">
      <c r="B829" s="31"/>
      <c r="G829" s="272" t="s">
        <v>1099</v>
      </c>
    </row>
    <row r="830">
      <c r="B830" s="31"/>
      <c r="G830" s="272" t="s">
        <v>1099</v>
      </c>
    </row>
    <row r="831">
      <c r="B831" s="31"/>
      <c r="G831" s="272" t="s">
        <v>1099</v>
      </c>
    </row>
    <row r="832">
      <c r="B832" s="31"/>
      <c r="G832" s="272" t="s">
        <v>1099</v>
      </c>
    </row>
    <row r="833">
      <c r="B833" s="31"/>
      <c r="G833" s="272" t="s">
        <v>1099</v>
      </c>
    </row>
    <row r="834">
      <c r="B834" s="31"/>
      <c r="G834" s="272" t="s">
        <v>1099</v>
      </c>
    </row>
    <row r="835">
      <c r="B835" s="31"/>
      <c r="G835" s="272" t="s">
        <v>1099</v>
      </c>
    </row>
    <row r="836">
      <c r="B836" s="31"/>
      <c r="G836" s="272" t="s">
        <v>1099</v>
      </c>
    </row>
    <row r="837">
      <c r="B837" s="31"/>
      <c r="G837" s="272" t="s">
        <v>1099</v>
      </c>
    </row>
    <row r="838">
      <c r="B838" s="31"/>
      <c r="G838" s="272" t="s">
        <v>1099</v>
      </c>
    </row>
    <row r="839">
      <c r="B839" s="31"/>
      <c r="G839" s="272" t="s">
        <v>1099</v>
      </c>
    </row>
    <row r="840">
      <c r="B840" s="31"/>
      <c r="G840" s="272" t="s">
        <v>1099</v>
      </c>
    </row>
    <row r="841">
      <c r="B841" s="31"/>
      <c r="G841" s="272" t="s">
        <v>1099</v>
      </c>
    </row>
    <row r="842">
      <c r="B842" s="31"/>
      <c r="G842" s="272" t="s">
        <v>1099</v>
      </c>
    </row>
    <row r="843">
      <c r="B843" s="31"/>
      <c r="G843" s="272" t="s">
        <v>1099</v>
      </c>
    </row>
    <row r="844">
      <c r="B844" s="31"/>
      <c r="G844" s="272" t="s">
        <v>1099</v>
      </c>
    </row>
    <row r="845">
      <c r="B845" s="31"/>
      <c r="G845" s="272" t="s">
        <v>1099</v>
      </c>
    </row>
    <row r="846">
      <c r="B846" s="31"/>
      <c r="G846" s="272" t="s">
        <v>1099</v>
      </c>
    </row>
    <row r="847">
      <c r="B847" s="31"/>
      <c r="G847" s="272" t="s">
        <v>1099</v>
      </c>
    </row>
    <row r="848">
      <c r="B848" s="31"/>
      <c r="G848" s="272" t="s">
        <v>1099</v>
      </c>
    </row>
    <row r="849">
      <c r="B849" s="31"/>
      <c r="G849" s="272" t="s">
        <v>1099</v>
      </c>
    </row>
    <row r="850">
      <c r="B850" s="31"/>
      <c r="G850" s="272" t="s">
        <v>1099</v>
      </c>
    </row>
    <row r="851">
      <c r="B851" s="31"/>
      <c r="G851" s="272" t="s">
        <v>1099</v>
      </c>
    </row>
    <row r="852">
      <c r="B852" s="31"/>
      <c r="G852" s="272" t="s">
        <v>1099</v>
      </c>
    </row>
    <row r="853">
      <c r="B853" s="31"/>
      <c r="G853" s="272" t="s">
        <v>1099</v>
      </c>
    </row>
    <row r="854">
      <c r="B854" s="31"/>
      <c r="G854" s="272" t="s">
        <v>1099</v>
      </c>
    </row>
    <row r="855">
      <c r="B855" s="31"/>
      <c r="G855" s="272" t="s">
        <v>1099</v>
      </c>
    </row>
    <row r="856">
      <c r="B856" s="31"/>
      <c r="G856" s="272" t="s">
        <v>1099</v>
      </c>
    </row>
    <row r="857">
      <c r="B857" s="31"/>
      <c r="G857" s="272" t="s">
        <v>1099</v>
      </c>
    </row>
    <row r="858">
      <c r="B858" s="31"/>
      <c r="G858" s="272" t="s">
        <v>1099</v>
      </c>
    </row>
    <row r="859">
      <c r="B859" s="31"/>
      <c r="G859" s="272" t="s">
        <v>1099</v>
      </c>
    </row>
    <row r="860">
      <c r="B860" s="31"/>
      <c r="G860" s="272" t="s">
        <v>1099</v>
      </c>
    </row>
    <row r="861">
      <c r="B861" s="31"/>
      <c r="G861" s="272" t="s">
        <v>1099</v>
      </c>
    </row>
    <row r="862">
      <c r="B862" s="31"/>
      <c r="G862" s="272" t="s">
        <v>1099</v>
      </c>
    </row>
    <row r="863">
      <c r="B863" s="31"/>
      <c r="G863" s="272" t="s">
        <v>1099</v>
      </c>
    </row>
    <row r="864">
      <c r="B864" s="31"/>
      <c r="G864" s="272" t="s">
        <v>1099</v>
      </c>
    </row>
    <row r="865">
      <c r="B865" s="31"/>
      <c r="G865" s="272" t="s">
        <v>1099</v>
      </c>
    </row>
    <row r="866">
      <c r="B866" s="31"/>
      <c r="G866" s="272" t="s">
        <v>1099</v>
      </c>
    </row>
    <row r="867">
      <c r="B867" s="31"/>
      <c r="G867" s="272" t="s">
        <v>1099</v>
      </c>
    </row>
    <row r="868">
      <c r="B868" s="31"/>
      <c r="G868" s="272" t="s">
        <v>1099</v>
      </c>
    </row>
    <row r="869">
      <c r="B869" s="31"/>
      <c r="G869" s="272" t="s">
        <v>1099</v>
      </c>
    </row>
    <row r="870">
      <c r="B870" s="31"/>
      <c r="G870" s="272" t="s">
        <v>1099</v>
      </c>
    </row>
    <row r="871">
      <c r="B871" s="31"/>
      <c r="G871" s="272" t="s">
        <v>1099</v>
      </c>
    </row>
    <row r="872">
      <c r="B872" s="31"/>
      <c r="G872" s="272" t="s">
        <v>1099</v>
      </c>
    </row>
    <row r="873">
      <c r="B873" s="31"/>
      <c r="G873" s="272" t="s">
        <v>1099</v>
      </c>
    </row>
    <row r="874">
      <c r="B874" s="31"/>
      <c r="G874" s="272" t="s">
        <v>1099</v>
      </c>
    </row>
    <row r="875">
      <c r="B875" s="31"/>
      <c r="G875" s="272" t="s">
        <v>1099</v>
      </c>
    </row>
    <row r="876">
      <c r="B876" s="31"/>
      <c r="G876" s="272" t="s">
        <v>1099</v>
      </c>
    </row>
    <row r="877">
      <c r="B877" s="31"/>
      <c r="G877" s="272" t="s">
        <v>1099</v>
      </c>
    </row>
    <row r="878">
      <c r="B878" s="31"/>
      <c r="G878" s="272" t="s">
        <v>1099</v>
      </c>
    </row>
    <row r="879">
      <c r="B879" s="31"/>
      <c r="G879" s="272" t="s">
        <v>1099</v>
      </c>
    </row>
    <row r="880">
      <c r="B880" s="31"/>
      <c r="G880" s="272" t="s">
        <v>1099</v>
      </c>
    </row>
    <row r="881">
      <c r="B881" s="31"/>
      <c r="G881" s="272" t="s">
        <v>1099</v>
      </c>
    </row>
    <row r="882">
      <c r="B882" s="31"/>
      <c r="G882" s="272" t="s">
        <v>1099</v>
      </c>
    </row>
    <row r="883">
      <c r="B883" s="31"/>
      <c r="G883" s="272" t="s">
        <v>1099</v>
      </c>
    </row>
    <row r="884">
      <c r="B884" s="31"/>
      <c r="G884" s="272" t="s">
        <v>1099</v>
      </c>
    </row>
    <row r="885">
      <c r="B885" s="31"/>
      <c r="G885" s="272" t="s">
        <v>1099</v>
      </c>
    </row>
    <row r="886">
      <c r="B886" s="31"/>
      <c r="G886" s="272" t="s">
        <v>1099</v>
      </c>
    </row>
    <row r="887">
      <c r="B887" s="31"/>
      <c r="G887" s="272" t="s">
        <v>1099</v>
      </c>
    </row>
    <row r="888">
      <c r="B888" s="31"/>
      <c r="G888" s="272" t="s">
        <v>1099</v>
      </c>
    </row>
    <row r="889">
      <c r="B889" s="31"/>
      <c r="G889" s="272" t="s">
        <v>1099</v>
      </c>
    </row>
    <row r="890">
      <c r="B890" s="31"/>
      <c r="G890" s="272" t="s">
        <v>1099</v>
      </c>
    </row>
    <row r="891">
      <c r="B891" s="31"/>
      <c r="G891" s="272" t="s">
        <v>1099</v>
      </c>
    </row>
    <row r="892">
      <c r="B892" s="31"/>
      <c r="G892" s="272" t="s">
        <v>1099</v>
      </c>
    </row>
    <row r="893">
      <c r="B893" s="31"/>
      <c r="G893" s="272" t="s">
        <v>1099</v>
      </c>
    </row>
    <row r="894">
      <c r="B894" s="31"/>
      <c r="G894" s="272" t="s">
        <v>1099</v>
      </c>
    </row>
    <row r="895">
      <c r="B895" s="31"/>
      <c r="G895" s="272" t="s">
        <v>1099</v>
      </c>
    </row>
    <row r="896">
      <c r="B896" s="31"/>
      <c r="G896" s="272" t="s">
        <v>1099</v>
      </c>
    </row>
    <row r="897">
      <c r="B897" s="31"/>
      <c r="G897" s="272" t="s">
        <v>1099</v>
      </c>
    </row>
    <row r="898">
      <c r="B898" s="31"/>
      <c r="G898" s="272" t="s">
        <v>1099</v>
      </c>
    </row>
    <row r="899">
      <c r="B899" s="31"/>
      <c r="G899" s="272" t="s">
        <v>1099</v>
      </c>
    </row>
    <row r="900">
      <c r="B900" s="31"/>
      <c r="G900" s="272" t="s">
        <v>1099</v>
      </c>
    </row>
    <row r="901">
      <c r="B901" s="31"/>
      <c r="G901" s="272" t="s">
        <v>1099</v>
      </c>
    </row>
    <row r="902">
      <c r="B902" s="31"/>
      <c r="G902" s="272" t="s">
        <v>1099</v>
      </c>
    </row>
    <row r="903">
      <c r="B903" s="31"/>
      <c r="G903" s="272" t="s">
        <v>1099</v>
      </c>
    </row>
    <row r="904">
      <c r="B904" s="31"/>
      <c r="G904" s="272" t="s">
        <v>1099</v>
      </c>
    </row>
    <row r="905">
      <c r="B905" s="31"/>
      <c r="G905" s="272" t="s">
        <v>1099</v>
      </c>
    </row>
    <row r="906">
      <c r="B906" s="31"/>
      <c r="G906" s="272" t="s">
        <v>1099</v>
      </c>
    </row>
    <row r="907">
      <c r="B907" s="31"/>
      <c r="G907" s="272" t="s">
        <v>1099</v>
      </c>
    </row>
    <row r="908">
      <c r="B908" s="31"/>
      <c r="G908" s="272" t="s">
        <v>1099</v>
      </c>
    </row>
    <row r="909">
      <c r="B909" s="31"/>
      <c r="G909" s="272" t="s">
        <v>1099</v>
      </c>
    </row>
    <row r="910">
      <c r="B910" s="31"/>
      <c r="G910" s="272" t="s">
        <v>1099</v>
      </c>
    </row>
    <row r="911">
      <c r="B911" s="31"/>
      <c r="G911" s="272" t="s">
        <v>1099</v>
      </c>
    </row>
    <row r="912">
      <c r="B912" s="31"/>
      <c r="G912" s="272" t="s">
        <v>1099</v>
      </c>
    </row>
    <row r="913">
      <c r="B913" s="31"/>
      <c r="G913" s="272" t="s">
        <v>1099</v>
      </c>
    </row>
    <row r="914">
      <c r="B914" s="31"/>
      <c r="G914" s="272" t="s">
        <v>1099</v>
      </c>
    </row>
    <row r="915">
      <c r="B915" s="31"/>
      <c r="G915" s="272" t="s">
        <v>1099</v>
      </c>
    </row>
    <row r="916">
      <c r="B916" s="31"/>
      <c r="G916" s="272" t="s">
        <v>1099</v>
      </c>
    </row>
    <row r="917">
      <c r="B917" s="31"/>
      <c r="G917" s="272" t="s">
        <v>1099</v>
      </c>
    </row>
    <row r="918">
      <c r="B918" s="31"/>
      <c r="G918" s="272" t="s">
        <v>1099</v>
      </c>
    </row>
    <row r="919">
      <c r="B919" s="31"/>
      <c r="G919" s="272" t="s">
        <v>1099</v>
      </c>
    </row>
    <row r="920">
      <c r="B920" s="31"/>
      <c r="G920" s="272" t="s">
        <v>1099</v>
      </c>
    </row>
    <row r="921">
      <c r="B921" s="31"/>
      <c r="G921" s="272" t="s">
        <v>1099</v>
      </c>
    </row>
    <row r="922">
      <c r="B922" s="31"/>
      <c r="G922" s="272" t="s">
        <v>1099</v>
      </c>
    </row>
    <row r="923">
      <c r="B923" s="31"/>
      <c r="G923" s="272" t="s">
        <v>1099</v>
      </c>
    </row>
    <row r="924">
      <c r="B924" s="31"/>
      <c r="G924" s="272" t="s">
        <v>1099</v>
      </c>
    </row>
    <row r="925">
      <c r="B925" s="31"/>
      <c r="G925" s="272" t="s">
        <v>1099</v>
      </c>
    </row>
    <row r="926">
      <c r="B926" s="31"/>
      <c r="G926" s="272" t="s">
        <v>1099</v>
      </c>
    </row>
    <row r="927">
      <c r="B927" s="31"/>
      <c r="G927" s="272" t="s">
        <v>1099</v>
      </c>
    </row>
    <row r="928">
      <c r="B928" s="31"/>
      <c r="G928" s="272" t="s">
        <v>1099</v>
      </c>
    </row>
    <row r="929">
      <c r="B929" s="31"/>
      <c r="G929" s="272" t="s">
        <v>1099</v>
      </c>
    </row>
    <row r="930">
      <c r="B930" s="31"/>
      <c r="G930" s="272" t="s">
        <v>1099</v>
      </c>
    </row>
    <row r="931">
      <c r="B931" s="31"/>
      <c r="G931" s="272" t="s">
        <v>1099</v>
      </c>
    </row>
    <row r="932">
      <c r="B932" s="31"/>
      <c r="G932" s="272" t="s">
        <v>1099</v>
      </c>
    </row>
    <row r="933">
      <c r="B933" s="31"/>
      <c r="G933" s="272" t="s">
        <v>1099</v>
      </c>
    </row>
    <row r="934">
      <c r="B934" s="31"/>
      <c r="G934" s="272" t="s">
        <v>1099</v>
      </c>
    </row>
    <row r="935">
      <c r="B935" s="31"/>
      <c r="G935" s="272" t="s">
        <v>1099</v>
      </c>
    </row>
    <row r="936">
      <c r="B936" s="31"/>
      <c r="G936" s="272" t="s">
        <v>1099</v>
      </c>
    </row>
    <row r="937">
      <c r="B937" s="31"/>
      <c r="G937" s="272" t="s">
        <v>1099</v>
      </c>
    </row>
    <row r="938">
      <c r="B938" s="31"/>
      <c r="G938" s="272" t="s">
        <v>1099</v>
      </c>
    </row>
    <row r="939">
      <c r="B939" s="31"/>
      <c r="G939" s="272" t="s">
        <v>1099</v>
      </c>
    </row>
    <row r="940">
      <c r="B940" s="31"/>
      <c r="G940" s="272" t="s">
        <v>1099</v>
      </c>
    </row>
    <row r="941">
      <c r="B941" s="31"/>
      <c r="G941" s="272" t="s">
        <v>1099</v>
      </c>
    </row>
    <row r="942">
      <c r="B942" s="31"/>
      <c r="G942" s="272" t="s">
        <v>1099</v>
      </c>
    </row>
    <row r="943">
      <c r="B943" s="31"/>
      <c r="G943" s="272" t="s">
        <v>1099</v>
      </c>
    </row>
    <row r="944">
      <c r="B944" s="31"/>
      <c r="G944" s="272" t="s">
        <v>1099</v>
      </c>
    </row>
    <row r="945">
      <c r="B945" s="31"/>
      <c r="G945" s="272" t="s">
        <v>1099</v>
      </c>
    </row>
    <row r="946">
      <c r="B946" s="31"/>
      <c r="G946" s="272" t="s">
        <v>1099</v>
      </c>
    </row>
    <row r="947">
      <c r="B947" s="31"/>
      <c r="G947" s="272" t="s">
        <v>1099</v>
      </c>
    </row>
    <row r="948">
      <c r="B948" s="31"/>
      <c r="G948" s="272" t="s">
        <v>1099</v>
      </c>
    </row>
    <row r="949">
      <c r="B949" s="31"/>
      <c r="G949" s="272" t="s">
        <v>1099</v>
      </c>
    </row>
    <row r="950">
      <c r="B950" s="31"/>
      <c r="G950" s="272" t="s">
        <v>1099</v>
      </c>
    </row>
    <row r="951">
      <c r="B951" s="31"/>
      <c r="G951" s="272" t="s">
        <v>1099</v>
      </c>
    </row>
    <row r="952">
      <c r="B952" s="31"/>
      <c r="G952" s="272" t="s">
        <v>1099</v>
      </c>
    </row>
    <row r="953">
      <c r="B953" s="31"/>
      <c r="G953" s="272" t="s">
        <v>1099</v>
      </c>
    </row>
    <row r="954">
      <c r="B954" s="31"/>
      <c r="G954" s="272" t="s">
        <v>1099</v>
      </c>
    </row>
    <row r="955">
      <c r="B955" s="31"/>
      <c r="G955" s="272" t="s">
        <v>1099</v>
      </c>
    </row>
    <row r="956">
      <c r="B956" s="31"/>
      <c r="G956" s="272" t="s">
        <v>1099</v>
      </c>
    </row>
    <row r="957">
      <c r="B957" s="31"/>
      <c r="G957" s="272" t="s">
        <v>1099</v>
      </c>
    </row>
    <row r="958">
      <c r="B958" s="31"/>
      <c r="G958" s="272" t="s">
        <v>1099</v>
      </c>
    </row>
    <row r="959">
      <c r="B959" s="31"/>
      <c r="G959" s="272" t="s">
        <v>1099</v>
      </c>
    </row>
    <row r="960">
      <c r="B960" s="31"/>
      <c r="G960" s="272" t="s">
        <v>1099</v>
      </c>
    </row>
    <row r="961">
      <c r="B961" s="31"/>
      <c r="G961" s="272" t="s">
        <v>1099</v>
      </c>
    </row>
    <row r="962">
      <c r="B962" s="31"/>
      <c r="G962" s="272" t="s">
        <v>1099</v>
      </c>
    </row>
    <row r="963">
      <c r="B963" s="31"/>
      <c r="G963" s="272" t="s">
        <v>1099</v>
      </c>
    </row>
    <row r="964">
      <c r="B964" s="31"/>
      <c r="G964" s="272" t="s">
        <v>1099</v>
      </c>
    </row>
    <row r="965">
      <c r="B965" s="31"/>
      <c r="G965" s="272" t="s">
        <v>1099</v>
      </c>
    </row>
    <row r="966">
      <c r="B966" s="31"/>
      <c r="G966" s="272" t="s">
        <v>1099</v>
      </c>
    </row>
    <row r="967">
      <c r="B967" s="31"/>
      <c r="G967" s="272" t="s">
        <v>1099</v>
      </c>
    </row>
    <row r="968">
      <c r="B968" s="31"/>
      <c r="G968" s="272" t="s">
        <v>1099</v>
      </c>
    </row>
    <row r="969">
      <c r="B969" s="31"/>
      <c r="G969" s="272" t="s">
        <v>1099</v>
      </c>
    </row>
    <row r="970">
      <c r="B970" s="31"/>
      <c r="G970" s="272" t="s">
        <v>1099</v>
      </c>
    </row>
    <row r="971">
      <c r="B971" s="31"/>
      <c r="G971" s="272" t="s">
        <v>1099</v>
      </c>
    </row>
    <row r="972">
      <c r="B972" s="31"/>
      <c r="G972" s="272" t="s">
        <v>1099</v>
      </c>
    </row>
    <row r="973">
      <c r="B973" s="31"/>
      <c r="G973" s="272" t="s">
        <v>1099</v>
      </c>
    </row>
    <row r="974">
      <c r="B974" s="31"/>
      <c r="G974" s="272" t="s">
        <v>1099</v>
      </c>
    </row>
    <row r="975">
      <c r="B975" s="31"/>
      <c r="G975" s="272" t="s">
        <v>1099</v>
      </c>
    </row>
    <row r="976">
      <c r="B976" s="31"/>
      <c r="G976" s="272" t="s">
        <v>1099</v>
      </c>
    </row>
    <row r="977">
      <c r="B977" s="31"/>
      <c r="G977" s="272" t="s">
        <v>1099</v>
      </c>
    </row>
    <row r="978">
      <c r="B978" s="31"/>
      <c r="G978" s="272" t="s">
        <v>1099</v>
      </c>
    </row>
    <row r="979">
      <c r="B979" s="31"/>
      <c r="G979" s="272" t="s">
        <v>1099</v>
      </c>
    </row>
    <row r="980">
      <c r="B980" s="31"/>
      <c r="G980" s="272" t="s">
        <v>1099</v>
      </c>
    </row>
    <row r="981">
      <c r="B981" s="31"/>
      <c r="G981" s="272" t="s">
        <v>1099</v>
      </c>
    </row>
    <row r="982">
      <c r="B982" s="31"/>
      <c r="G982" s="272" t="s">
        <v>1099</v>
      </c>
    </row>
    <row r="983">
      <c r="B983" s="31"/>
      <c r="G983" s="272" t="s">
        <v>1099</v>
      </c>
    </row>
    <row r="984">
      <c r="B984" s="31"/>
      <c r="G984" s="272" t="s">
        <v>1099</v>
      </c>
    </row>
    <row r="985">
      <c r="B985" s="31"/>
      <c r="G985" s="272" t="s">
        <v>1099</v>
      </c>
    </row>
    <row r="986">
      <c r="B986" s="31"/>
      <c r="G986" s="272" t="s">
        <v>1099</v>
      </c>
    </row>
    <row r="987">
      <c r="B987" s="31"/>
      <c r="G987" s="272" t="s">
        <v>1099</v>
      </c>
    </row>
    <row r="988">
      <c r="B988" s="31"/>
      <c r="G988" s="272" t="s">
        <v>1099</v>
      </c>
    </row>
    <row r="989">
      <c r="B989" s="31"/>
      <c r="G989" s="272" t="s">
        <v>1099</v>
      </c>
    </row>
    <row r="990">
      <c r="B990" s="31"/>
      <c r="G990" s="272" t="s">
        <v>1099</v>
      </c>
    </row>
    <row r="991">
      <c r="B991" s="31"/>
      <c r="G991" s="272" t="s">
        <v>1099</v>
      </c>
    </row>
    <row r="992">
      <c r="B992" s="31"/>
      <c r="G992" s="272" t="s">
        <v>1099</v>
      </c>
    </row>
    <row r="993">
      <c r="B993" s="31"/>
      <c r="G993" s="272" t="s">
        <v>1099</v>
      </c>
    </row>
    <row r="994">
      <c r="B994" s="31"/>
      <c r="G994" s="272" t="s">
        <v>1099</v>
      </c>
    </row>
    <row r="995">
      <c r="B995" s="31"/>
      <c r="G995" s="272" t="s">
        <v>1099</v>
      </c>
    </row>
    <row r="996">
      <c r="B996" s="31"/>
      <c r="G996" s="272" t="s">
        <v>1099</v>
      </c>
    </row>
    <row r="997">
      <c r="B997" s="31"/>
      <c r="G997" s="272" t="s">
        <v>1099</v>
      </c>
    </row>
    <row r="998">
      <c r="B998" s="31"/>
      <c r="G998" s="272" t="s">
        <v>1099</v>
      </c>
    </row>
    <row r="999">
      <c r="B999" s="31"/>
      <c r="G999" s="272" t="s">
        <v>1099</v>
      </c>
    </row>
    <row r="1000">
      <c r="B1000" s="31"/>
      <c r="G1000" s="272" t="s">
        <v>1099</v>
      </c>
    </row>
    <row r="1001">
      <c r="B1001" s="31"/>
      <c r="G1001" s="272" t="s">
        <v>1099</v>
      </c>
    </row>
    <row r="1002">
      <c r="B1002" s="31"/>
      <c r="G1002" s="272" t="s">
        <v>1099</v>
      </c>
    </row>
    <row r="1003">
      <c r="B1003" s="31"/>
      <c r="G1003" s="272" t="s">
        <v>1099</v>
      </c>
    </row>
    <row r="1004">
      <c r="B1004" s="31"/>
      <c r="G1004" s="272" t="s">
        <v>1099</v>
      </c>
    </row>
    <row r="1005">
      <c r="B1005" s="31"/>
      <c r="G1005" s="272" t="s">
        <v>1099</v>
      </c>
    </row>
    <row r="1006">
      <c r="B1006" s="31"/>
      <c r="G1006" s="272" t="s">
        <v>1099</v>
      </c>
    </row>
    <row r="1007">
      <c r="B1007" s="31"/>
      <c r="G1007" s="272" t="s">
        <v>1099</v>
      </c>
    </row>
    <row r="1008">
      <c r="B1008" s="31"/>
      <c r="G1008" s="272" t="s">
        <v>1099</v>
      </c>
    </row>
    <row r="1009">
      <c r="B1009" s="31"/>
      <c r="G1009" s="272" t="s">
        <v>1099</v>
      </c>
    </row>
    <row r="1010">
      <c r="B1010" s="31"/>
      <c r="G1010" s="272" t="s">
        <v>1099</v>
      </c>
    </row>
    <row r="1011">
      <c r="B1011" s="31"/>
      <c r="G1011" s="272" t="s">
        <v>1099</v>
      </c>
    </row>
    <row r="1012">
      <c r="B1012" s="31"/>
      <c r="G1012" s="272" t="s">
        <v>1099</v>
      </c>
    </row>
    <row r="1013">
      <c r="B1013" s="31"/>
      <c r="G1013" s="272" t="s">
        <v>1099</v>
      </c>
    </row>
    <row r="1014">
      <c r="B1014" s="31"/>
      <c r="G1014" s="272" t="s">
        <v>1099</v>
      </c>
    </row>
    <row r="1015">
      <c r="B1015" s="31"/>
      <c r="G1015" s="272" t="s">
        <v>1099</v>
      </c>
    </row>
    <row r="1016">
      <c r="B1016" s="31"/>
      <c r="G1016" s="272" t="s">
        <v>1099</v>
      </c>
    </row>
    <row r="1017">
      <c r="B1017" s="31"/>
      <c r="G1017" s="272" t="s">
        <v>1099</v>
      </c>
    </row>
    <row r="1018">
      <c r="B1018" s="31"/>
      <c r="G1018" s="272" t="s">
        <v>1099</v>
      </c>
    </row>
    <row r="1019">
      <c r="B1019" s="31"/>
      <c r="G1019" s="272" t="s">
        <v>1099</v>
      </c>
    </row>
    <row r="1020">
      <c r="B1020" s="31"/>
      <c r="G1020" s="272" t="s">
        <v>1099</v>
      </c>
    </row>
    <row r="1021">
      <c r="B1021" s="31"/>
      <c r="G1021" s="272" t="s">
        <v>1099</v>
      </c>
    </row>
    <row r="1022">
      <c r="B1022" s="31"/>
      <c r="G1022" s="272" t="s">
        <v>1099</v>
      </c>
    </row>
    <row r="1023">
      <c r="B1023" s="31"/>
      <c r="G1023" s="272" t="s">
        <v>1099</v>
      </c>
    </row>
    <row r="1024">
      <c r="B1024" s="31"/>
      <c r="G1024" s="272" t="s">
        <v>1099</v>
      </c>
    </row>
    <row r="1025">
      <c r="B1025" s="31"/>
      <c r="G1025" s="272" t="s">
        <v>1099</v>
      </c>
    </row>
    <row r="1026">
      <c r="B1026" s="31"/>
      <c r="G1026" s="272" t="s">
        <v>1099</v>
      </c>
    </row>
    <row r="1027">
      <c r="B1027" s="31"/>
      <c r="G1027" s="272" t="s">
        <v>1099</v>
      </c>
    </row>
    <row r="1028">
      <c r="B1028" s="31"/>
      <c r="G1028" s="272" t="s">
        <v>1099</v>
      </c>
    </row>
    <row r="1029">
      <c r="B1029" s="31"/>
      <c r="G1029" s="272" t="s">
        <v>1099</v>
      </c>
    </row>
    <row r="1030">
      <c r="B1030" s="31"/>
      <c r="G1030" s="272" t="s">
        <v>1099</v>
      </c>
    </row>
    <row r="1031">
      <c r="B1031" s="31"/>
      <c r="G1031" s="272" t="s">
        <v>1099</v>
      </c>
    </row>
    <row r="1032">
      <c r="B1032" s="31"/>
      <c r="G1032" s="272" t="s">
        <v>1099</v>
      </c>
    </row>
    <row r="1033">
      <c r="B1033" s="31"/>
      <c r="G1033" s="272" t="s">
        <v>1099</v>
      </c>
    </row>
    <row r="1034">
      <c r="B1034" s="31"/>
      <c r="G1034" s="272" t="s">
        <v>1099</v>
      </c>
    </row>
    <row r="1035">
      <c r="B1035" s="31"/>
      <c r="G1035" s="272" t="s">
        <v>1099</v>
      </c>
    </row>
    <row r="1036">
      <c r="B1036" s="31"/>
      <c r="G1036" s="272" t="s">
        <v>1099</v>
      </c>
    </row>
    <row r="1037">
      <c r="B1037" s="31"/>
      <c r="G1037" s="272" t="s">
        <v>1099</v>
      </c>
    </row>
    <row r="1038">
      <c r="B1038" s="31"/>
      <c r="G1038" s="272" t="s">
        <v>1099</v>
      </c>
    </row>
    <row r="1039">
      <c r="B1039" s="31"/>
      <c r="G1039" s="272" t="s">
        <v>1099</v>
      </c>
    </row>
    <row r="1040">
      <c r="B1040" s="31"/>
      <c r="G1040" s="272" t="s">
        <v>1099</v>
      </c>
    </row>
    <row r="1041">
      <c r="B1041" s="31"/>
      <c r="G1041" s="272" t="s">
        <v>1099</v>
      </c>
    </row>
    <row r="1042">
      <c r="B1042" s="31"/>
      <c r="G1042" s="272" t="s">
        <v>1099</v>
      </c>
    </row>
    <row r="1043">
      <c r="B1043" s="31"/>
      <c r="G1043" s="272" t="s">
        <v>1099</v>
      </c>
    </row>
    <row r="1044">
      <c r="B1044" s="31"/>
      <c r="G1044" s="272" t="s">
        <v>1099</v>
      </c>
    </row>
    <row r="1045">
      <c r="B1045" s="31"/>
      <c r="G1045" s="272" t="s">
        <v>1099</v>
      </c>
    </row>
    <row r="1046">
      <c r="B1046" s="31"/>
      <c r="G1046" s="272" t="s">
        <v>1099</v>
      </c>
    </row>
    <row r="1047">
      <c r="B1047" s="31"/>
      <c r="G1047" s="272" t="s">
        <v>1099</v>
      </c>
    </row>
    <row r="1048">
      <c r="B1048" s="31"/>
      <c r="G1048" s="272" t="s">
        <v>1099</v>
      </c>
    </row>
    <row r="1049">
      <c r="B1049" s="31"/>
      <c r="G1049" s="272" t="s">
        <v>1099</v>
      </c>
    </row>
    <row r="1050">
      <c r="B1050" s="31"/>
      <c r="G1050" s="272" t="s">
        <v>1099</v>
      </c>
    </row>
    <row r="1051">
      <c r="B1051" s="31"/>
      <c r="G1051" s="272" t="s">
        <v>1099</v>
      </c>
    </row>
    <row r="1052">
      <c r="B1052" s="31"/>
      <c r="G1052" s="272" t="s">
        <v>1099</v>
      </c>
    </row>
    <row r="1053">
      <c r="B1053" s="31"/>
      <c r="G1053" s="272" t="s">
        <v>1099</v>
      </c>
    </row>
    <row r="1054">
      <c r="B1054" s="31"/>
      <c r="G1054" s="272" t="s">
        <v>1099</v>
      </c>
    </row>
    <row r="1055">
      <c r="B1055" s="31"/>
      <c r="G1055" s="272" t="s">
        <v>1099</v>
      </c>
    </row>
    <row r="1056">
      <c r="B1056" s="31"/>
      <c r="G1056" s="272" t="s">
        <v>1099</v>
      </c>
    </row>
    <row r="1057">
      <c r="B1057" s="31"/>
      <c r="G1057" s="272" t="s">
        <v>1099</v>
      </c>
    </row>
    <row r="1058">
      <c r="B1058" s="31"/>
      <c r="G1058" s="272" t="s">
        <v>1099</v>
      </c>
    </row>
    <row r="1059">
      <c r="B1059" s="31"/>
      <c r="G1059" s="272" t="s">
        <v>1099</v>
      </c>
    </row>
    <row r="1060">
      <c r="B1060" s="31"/>
      <c r="G1060" s="272" t="s">
        <v>1099</v>
      </c>
    </row>
    <row r="1061">
      <c r="B1061" s="31"/>
      <c r="G1061" s="272" t="s">
        <v>1099</v>
      </c>
    </row>
    <row r="1062">
      <c r="B1062" s="31"/>
      <c r="G1062" s="272" t="s">
        <v>1099</v>
      </c>
    </row>
    <row r="1063">
      <c r="B1063" s="31"/>
      <c r="G1063" s="272" t="s">
        <v>1099</v>
      </c>
    </row>
    <row r="1064">
      <c r="B1064" s="31"/>
      <c r="G1064" s="272" t="s">
        <v>1099</v>
      </c>
    </row>
    <row r="1065">
      <c r="B1065" s="31"/>
      <c r="G1065" s="272" t="s">
        <v>1099</v>
      </c>
    </row>
    <row r="1066">
      <c r="B1066" s="31"/>
      <c r="G1066" s="272" t="s">
        <v>1099</v>
      </c>
    </row>
    <row r="1067">
      <c r="B1067" s="31"/>
      <c r="G1067" s="272" t="s">
        <v>1099</v>
      </c>
    </row>
    <row r="1068">
      <c r="B1068" s="31"/>
      <c r="G1068" s="272" t="s">
        <v>1099</v>
      </c>
    </row>
    <row r="1069">
      <c r="B1069" s="31"/>
      <c r="G1069" s="272" t="s">
        <v>1099</v>
      </c>
    </row>
    <row r="1070">
      <c r="B1070" s="31"/>
      <c r="G1070" s="272" t="s">
        <v>1099</v>
      </c>
    </row>
    <row r="1071">
      <c r="B1071" s="31"/>
      <c r="G1071" s="272" t="s">
        <v>1099</v>
      </c>
    </row>
    <row r="1072">
      <c r="B1072" s="31"/>
      <c r="G1072" s="272" t="s">
        <v>1099</v>
      </c>
    </row>
    <row r="1073">
      <c r="B1073" s="31"/>
      <c r="G1073" s="272" t="s">
        <v>1099</v>
      </c>
    </row>
    <row r="1074">
      <c r="B1074" s="31"/>
      <c r="G1074" s="272" t="s">
        <v>1099</v>
      </c>
    </row>
    <row r="1075">
      <c r="B1075" s="31"/>
      <c r="G1075" s="272" t="s">
        <v>1099</v>
      </c>
    </row>
    <row r="1076">
      <c r="B1076" s="31"/>
      <c r="G1076" s="272" t="s">
        <v>1099</v>
      </c>
    </row>
    <row r="1077">
      <c r="B1077" s="31"/>
      <c r="G1077" s="272" t="s">
        <v>1099</v>
      </c>
    </row>
    <row r="1078">
      <c r="B1078" s="31"/>
      <c r="G1078" s="272" t="s">
        <v>1099</v>
      </c>
    </row>
    <row r="1079">
      <c r="B1079" s="31"/>
      <c r="G1079" s="272" t="s">
        <v>1099</v>
      </c>
    </row>
    <row r="1080">
      <c r="B1080" s="31"/>
      <c r="G1080" s="272" t="s">
        <v>1099</v>
      </c>
    </row>
    <row r="1081">
      <c r="B1081" s="31"/>
      <c r="G1081" s="272" t="s">
        <v>1099</v>
      </c>
    </row>
    <row r="1082">
      <c r="B1082" s="31"/>
      <c r="G1082" s="272" t="s">
        <v>1099</v>
      </c>
    </row>
    <row r="1083">
      <c r="B1083" s="31"/>
      <c r="G1083" s="272" t="s">
        <v>1099</v>
      </c>
    </row>
    <row r="1084">
      <c r="B1084" s="31"/>
      <c r="G1084" s="272" t="s">
        <v>1099</v>
      </c>
    </row>
    <row r="1085">
      <c r="B1085" s="31"/>
      <c r="G1085" s="272" t="s">
        <v>1099</v>
      </c>
    </row>
    <row r="1086">
      <c r="B1086" s="31"/>
      <c r="G1086" s="272" t="s">
        <v>1099</v>
      </c>
    </row>
    <row r="1087">
      <c r="B1087" s="31"/>
      <c r="G1087" s="272" t="s">
        <v>1099</v>
      </c>
    </row>
    <row r="1088">
      <c r="B1088" s="31"/>
      <c r="G1088" s="272" t="s">
        <v>1099</v>
      </c>
    </row>
    <row r="1089">
      <c r="B1089" s="31"/>
      <c r="G1089" s="272" t="s">
        <v>1099</v>
      </c>
    </row>
    <row r="1090">
      <c r="B1090" s="31"/>
      <c r="G1090" s="272" t="s">
        <v>1099</v>
      </c>
    </row>
    <row r="1091">
      <c r="B1091" s="31"/>
      <c r="G1091" s="272" t="s">
        <v>1099</v>
      </c>
    </row>
    <row r="1092">
      <c r="B1092" s="31"/>
      <c r="G1092" s="272" t="s">
        <v>1099</v>
      </c>
    </row>
    <row r="1093">
      <c r="B1093" s="31"/>
      <c r="G1093" s="272" t="s">
        <v>1099</v>
      </c>
    </row>
    <row r="1094">
      <c r="B1094" s="31"/>
      <c r="G1094" s="272" t="s">
        <v>1099</v>
      </c>
    </row>
    <row r="1095">
      <c r="B1095" s="31"/>
      <c r="G1095" s="272" t="s">
        <v>1099</v>
      </c>
    </row>
    <row r="1096">
      <c r="B1096" s="31"/>
      <c r="G1096" s="272" t="s">
        <v>1099</v>
      </c>
    </row>
    <row r="1097">
      <c r="B1097" s="31"/>
      <c r="G1097" s="272" t="s">
        <v>1099</v>
      </c>
    </row>
    <row r="1098">
      <c r="B1098" s="31"/>
      <c r="G1098" s="272" t="s">
        <v>1099</v>
      </c>
    </row>
    <row r="1099">
      <c r="B1099" s="31"/>
      <c r="G1099" s="272" t="s">
        <v>1099</v>
      </c>
    </row>
    <row r="1100">
      <c r="B1100" s="31"/>
      <c r="G1100" s="272" t="s">
        <v>1099</v>
      </c>
    </row>
    <row r="1101">
      <c r="B1101" s="31"/>
      <c r="G1101" s="272" t="s">
        <v>1099</v>
      </c>
    </row>
    <row r="1102">
      <c r="B1102" s="31"/>
      <c r="G1102" s="272" t="s">
        <v>1099</v>
      </c>
    </row>
    <row r="1103">
      <c r="B1103" s="31"/>
      <c r="G1103" s="272" t="s">
        <v>1099</v>
      </c>
    </row>
    <row r="1104">
      <c r="B1104" s="31"/>
      <c r="G1104" s="272" t="s">
        <v>1099</v>
      </c>
    </row>
    <row r="1105">
      <c r="B1105" s="31"/>
      <c r="G1105" s="272" t="s">
        <v>1099</v>
      </c>
    </row>
    <row r="1106">
      <c r="B1106" s="31"/>
      <c r="G1106" s="272" t="s">
        <v>1099</v>
      </c>
    </row>
    <row r="1107">
      <c r="B1107" s="31"/>
      <c r="G1107" s="272" t="s">
        <v>1099</v>
      </c>
    </row>
    <row r="1108">
      <c r="B1108" s="31"/>
      <c r="G1108" s="272" t="s">
        <v>1099</v>
      </c>
    </row>
    <row r="1109">
      <c r="B1109" s="31"/>
      <c r="G1109" s="272" t="s">
        <v>1099</v>
      </c>
    </row>
    <row r="1110">
      <c r="B1110" s="31"/>
      <c r="G1110" s="272" t="s">
        <v>1099</v>
      </c>
    </row>
    <row r="1111">
      <c r="B1111" s="31"/>
      <c r="G1111" s="272" t="s">
        <v>1099</v>
      </c>
    </row>
    <row r="1112">
      <c r="B1112" s="31"/>
      <c r="G1112" s="272" t="s">
        <v>1099</v>
      </c>
    </row>
    <row r="1113">
      <c r="B1113" s="31"/>
      <c r="G1113" s="272" t="s">
        <v>1099</v>
      </c>
    </row>
    <row r="1114">
      <c r="B1114" s="31"/>
      <c r="G1114" s="272" t="s">
        <v>1099</v>
      </c>
    </row>
    <row r="1115">
      <c r="B1115" s="31"/>
      <c r="G1115" s="272" t="s">
        <v>1099</v>
      </c>
    </row>
    <row r="1116">
      <c r="B1116" s="31"/>
      <c r="G1116" s="272" t="s">
        <v>1099</v>
      </c>
    </row>
    <row r="1117">
      <c r="B1117" s="31"/>
      <c r="G1117" s="272" t="s">
        <v>1099</v>
      </c>
    </row>
    <row r="1118">
      <c r="B1118" s="31"/>
      <c r="G1118" s="272" t="s">
        <v>1099</v>
      </c>
    </row>
    <row r="1119">
      <c r="B1119" s="31"/>
      <c r="G1119" s="272" t="s">
        <v>1099</v>
      </c>
    </row>
    <row r="1120">
      <c r="B1120" s="31"/>
      <c r="G1120" s="272" t="s">
        <v>1099</v>
      </c>
    </row>
    <row r="1121">
      <c r="B1121" s="31"/>
      <c r="G1121" s="272" t="s">
        <v>1099</v>
      </c>
    </row>
    <row r="1122">
      <c r="B1122" s="31"/>
      <c r="G1122" s="272" t="s">
        <v>1099</v>
      </c>
    </row>
    <row r="1123">
      <c r="B1123" s="31"/>
      <c r="G1123" s="272" t="s">
        <v>1099</v>
      </c>
    </row>
    <row r="1124">
      <c r="B1124" s="31"/>
      <c r="G1124" s="272" t="s">
        <v>1099</v>
      </c>
    </row>
    <row r="1125">
      <c r="B1125" s="31"/>
      <c r="G1125" s="272" t="s">
        <v>1099</v>
      </c>
    </row>
    <row r="1126">
      <c r="B1126" s="31"/>
      <c r="G1126" s="272" t="s">
        <v>1099</v>
      </c>
    </row>
    <row r="1127">
      <c r="B1127" s="31"/>
      <c r="G1127" s="272" t="s">
        <v>1099</v>
      </c>
    </row>
    <row r="1128">
      <c r="B1128" s="31"/>
      <c r="G1128" s="272" t="s">
        <v>1099</v>
      </c>
    </row>
    <row r="1129">
      <c r="B1129" s="31"/>
      <c r="G1129" s="272" t="s">
        <v>1099</v>
      </c>
    </row>
    <row r="1130">
      <c r="B1130" s="31"/>
      <c r="G1130" s="272" t="s">
        <v>1099</v>
      </c>
    </row>
    <row r="1131">
      <c r="B1131" s="31"/>
      <c r="G1131" s="272" t="s">
        <v>1099</v>
      </c>
    </row>
    <row r="1132">
      <c r="B1132" s="31"/>
      <c r="G1132" s="272" t="s">
        <v>1099</v>
      </c>
    </row>
    <row r="1133">
      <c r="B1133" s="31"/>
      <c r="G1133" s="272" t="s">
        <v>1099</v>
      </c>
    </row>
    <row r="1134">
      <c r="B1134" s="31"/>
      <c r="G1134" s="272" t="s">
        <v>1099</v>
      </c>
    </row>
    <row r="1135">
      <c r="B1135" s="31"/>
      <c r="G1135" s="272" t="s">
        <v>1099</v>
      </c>
    </row>
    <row r="1136">
      <c r="B1136" s="31"/>
      <c r="G1136" s="272" t="s">
        <v>1099</v>
      </c>
    </row>
    <row r="1137">
      <c r="B1137" s="31"/>
      <c r="G1137" s="272" t="s">
        <v>1099</v>
      </c>
    </row>
    <row r="1138">
      <c r="B1138" s="31"/>
      <c r="G1138" s="272" t="s">
        <v>1099</v>
      </c>
    </row>
    <row r="1139">
      <c r="B1139" s="31"/>
      <c r="G1139" s="272" t="s">
        <v>1099</v>
      </c>
    </row>
    <row r="1140">
      <c r="B1140" s="31"/>
      <c r="G1140" s="272" t="s">
        <v>1099</v>
      </c>
    </row>
    <row r="1141">
      <c r="B1141" s="31"/>
      <c r="G1141" s="272" t="s">
        <v>1099</v>
      </c>
    </row>
    <row r="1142">
      <c r="B1142" s="31"/>
      <c r="G1142" s="272" t="s">
        <v>1099</v>
      </c>
    </row>
    <row r="1143">
      <c r="B1143" s="31"/>
      <c r="G1143" s="272" t="s">
        <v>1099</v>
      </c>
    </row>
    <row r="1144">
      <c r="B1144" s="31"/>
      <c r="G1144" s="272" t="s">
        <v>1099</v>
      </c>
    </row>
    <row r="1145">
      <c r="B1145" s="31"/>
      <c r="G1145" s="272" t="s">
        <v>1099</v>
      </c>
    </row>
    <row r="1146">
      <c r="B1146" s="31"/>
      <c r="G1146" s="272" t="s">
        <v>1099</v>
      </c>
    </row>
    <row r="1147">
      <c r="B1147" s="31"/>
      <c r="G1147" s="272" t="s">
        <v>1099</v>
      </c>
    </row>
    <row r="1148">
      <c r="B1148" s="31"/>
      <c r="G1148" s="272" t="s">
        <v>1099</v>
      </c>
    </row>
    <row r="1149">
      <c r="B1149" s="31"/>
      <c r="G1149" s="272" t="s">
        <v>1099</v>
      </c>
    </row>
    <row r="1150">
      <c r="B1150" s="31"/>
      <c r="G1150" s="272" t="s">
        <v>1099</v>
      </c>
    </row>
    <row r="1151">
      <c r="B1151" s="31"/>
      <c r="G1151" s="272" t="s">
        <v>1099</v>
      </c>
    </row>
    <row r="1152">
      <c r="B1152" s="31"/>
      <c r="G1152" s="272" t="s">
        <v>1099</v>
      </c>
    </row>
    <row r="1153">
      <c r="B1153" s="31"/>
      <c r="G1153" s="272" t="s">
        <v>1099</v>
      </c>
    </row>
    <row r="1154">
      <c r="B1154" s="31"/>
      <c r="G1154" s="272" t="s">
        <v>1099</v>
      </c>
    </row>
    <row r="1155">
      <c r="B1155" s="31"/>
      <c r="G1155" s="272" t="s">
        <v>1099</v>
      </c>
    </row>
    <row r="1156">
      <c r="B1156" s="31"/>
      <c r="G1156" s="272" t="s">
        <v>1099</v>
      </c>
    </row>
    <row r="1157">
      <c r="B1157" s="31"/>
      <c r="G1157" s="272" t="s">
        <v>1099</v>
      </c>
    </row>
    <row r="1158">
      <c r="B1158" s="31"/>
      <c r="G1158" s="272" t="s">
        <v>1099</v>
      </c>
    </row>
    <row r="1159">
      <c r="B1159" s="31"/>
      <c r="G1159" s="272" t="s">
        <v>1099</v>
      </c>
    </row>
    <row r="1160">
      <c r="B1160" s="31"/>
      <c r="G1160" s="272" t="s">
        <v>1099</v>
      </c>
    </row>
    <row r="1161">
      <c r="B1161" s="31"/>
      <c r="G1161" s="272" t="s">
        <v>1099</v>
      </c>
    </row>
    <row r="1162">
      <c r="B1162" s="31"/>
      <c r="G1162" s="272" t="s">
        <v>1099</v>
      </c>
    </row>
    <row r="1163">
      <c r="B1163" s="31"/>
      <c r="G1163" s="272" t="s">
        <v>1099</v>
      </c>
    </row>
    <row r="1164">
      <c r="B1164" s="31"/>
      <c r="G1164" s="272" t="s">
        <v>1099</v>
      </c>
    </row>
    <row r="1165">
      <c r="B1165" s="31"/>
      <c r="G1165" s="272" t="s">
        <v>1099</v>
      </c>
    </row>
    <row r="1166">
      <c r="B1166" s="31"/>
      <c r="G1166" s="272" t="s">
        <v>1099</v>
      </c>
    </row>
    <row r="1167">
      <c r="B1167" s="31"/>
      <c r="G1167" s="272" t="s">
        <v>1099</v>
      </c>
    </row>
    <row r="1168">
      <c r="B1168" s="31"/>
      <c r="G1168" s="272" t="s">
        <v>1099</v>
      </c>
    </row>
    <row r="1169">
      <c r="B1169" s="31"/>
      <c r="G1169" s="272" t="s">
        <v>1099</v>
      </c>
    </row>
    <row r="1170">
      <c r="B1170" s="31"/>
      <c r="G1170" s="272" t="s">
        <v>1099</v>
      </c>
    </row>
    <row r="1171">
      <c r="B1171" s="31"/>
      <c r="G1171" s="272" t="s">
        <v>1099</v>
      </c>
    </row>
    <row r="1172">
      <c r="B1172" s="31"/>
      <c r="G1172" s="272" t="s">
        <v>1099</v>
      </c>
    </row>
    <row r="1173">
      <c r="B1173" s="31"/>
      <c r="G1173" s="272" t="s">
        <v>1099</v>
      </c>
    </row>
    <row r="1174">
      <c r="B1174" s="31"/>
      <c r="G1174" s="272" t="s">
        <v>1099</v>
      </c>
    </row>
    <row r="1175">
      <c r="B1175" s="31"/>
      <c r="G1175" s="272" t="s">
        <v>1099</v>
      </c>
    </row>
    <row r="1176">
      <c r="B1176" s="31"/>
      <c r="G1176" s="272" t="s">
        <v>1099</v>
      </c>
    </row>
    <row r="1177">
      <c r="B1177" s="31"/>
      <c r="G1177" s="272" t="s">
        <v>1099</v>
      </c>
    </row>
    <row r="1178">
      <c r="B1178" s="31"/>
      <c r="G1178" s="272" t="s">
        <v>1099</v>
      </c>
    </row>
    <row r="1179">
      <c r="B1179" s="31"/>
      <c r="G1179" s="272" t="s">
        <v>1099</v>
      </c>
    </row>
    <row r="1180">
      <c r="B1180" s="31"/>
      <c r="G1180" s="272" t="s">
        <v>1099</v>
      </c>
    </row>
    <row r="1181">
      <c r="B1181" s="31"/>
      <c r="G1181" s="272" t="s">
        <v>1099</v>
      </c>
    </row>
    <row r="1182">
      <c r="B1182" s="31"/>
      <c r="G1182" s="272" t="s">
        <v>1099</v>
      </c>
    </row>
    <row r="1183">
      <c r="B1183" s="31"/>
      <c r="G1183" s="272" t="s">
        <v>1099</v>
      </c>
    </row>
    <row r="1184">
      <c r="B1184" s="31"/>
      <c r="G1184" s="272" t="s">
        <v>1099</v>
      </c>
    </row>
    <row r="1185">
      <c r="B1185" s="31"/>
      <c r="G1185" s="272" t="s">
        <v>1099</v>
      </c>
    </row>
    <row r="1186">
      <c r="B1186" s="31"/>
      <c r="G1186" s="272" t="s">
        <v>1099</v>
      </c>
    </row>
    <row r="1187">
      <c r="B1187" s="31"/>
      <c r="G1187" s="272" t="s">
        <v>1099</v>
      </c>
    </row>
    <row r="1188">
      <c r="B1188" s="31"/>
      <c r="G1188" s="272" t="s">
        <v>1099</v>
      </c>
    </row>
    <row r="1189">
      <c r="B1189" s="31"/>
      <c r="G1189" s="272" t="s">
        <v>1099</v>
      </c>
    </row>
    <row r="1190">
      <c r="B1190" s="31"/>
      <c r="G1190" s="272" t="s">
        <v>1099</v>
      </c>
    </row>
    <row r="1191">
      <c r="B1191" s="31"/>
      <c r="G1191" s="272" t="s">
        <v>1099</v>
      </c>
    </row>
    <row r="1192">
      <c r="B1192" s="31"/>
      <c r="G1192" s="272" t="s">
        <v>1099</v>
      </c>
    </row>
    <row r="1193">
      <c r="B1193" s="31"/>
      <c r="G1193" s="272" t="s">
        <v>1099</v>
      </c>
    </row>
    <row r="1194">
      <c r="B1194" s="31"/>
      <c r="G1194" s="272" t="s">
        <v>1099</v>
      </c>
    </row>
    <row r="1195">
      <c r="B1195" s="31"/>
      <c r="G1195" s="272" t="s">
        <v>1099</v>
      </c>
    </row>
    <row r="1196">
      <c r="B1196" s="31"/>
      <c r="G1196" s="272" t="s">
        <v>1099</v>
      </c>
    </row>
    <row r="1197">
      <c r="B1197" s="31"/>
      <c r="G1197" s="272" t="s">
        <v>1099</v>
      </c>
    </row>
    <row r="1198">
      <c r="B1198" s="31"/>
      <c r="G1198" s="272" t="s">
        <v>1099</v>
      </c>
    </row>
    <row r="1199">
      <c r="B1199" s="31"/>
      <c r="G1199" s="272" t="s">
        <v>1099</v>
      </c>
    </row>
    <row r="1200">
      <c r="B1200" s="31"/>
      <c r="G1200" s="272" t="s">
        <v>1099</v>
      </c>
    </row>
    <row r="1201">
      <c r="B1201" s="31"/>
      <c r="G1201" s="272" t="s">
        <v>1099</v>
      </c>
    </row>
    <row r="1202">
      <c r="B1202" s="31"/>
      <c r="G1202" s="272" t="s">
        <v>1099</v>
      </c>
    </row>
    <row r="1203">
      <c r="B1203" s="31"/>
      <c r="G1203" s="272" t="s">
        <v>1099</v>
      </c>
    </row>
    <row r="1204">
      <c r="B1204" s="31"/>
      <c r="G1204" s="272" t="s">
        <v>1099</v>
      </c>
    </row>
    <row r="1205">
      <c r="B1205" s="31"/>
      <c r="G1205" s="272" t="s">
        <v>1099</v>
      </c>
    </row>
    <row r="1206">
      <c r="B1206" s="31"/>
      <c r="G1206" s="272" t="s">
        <v>1099</v>
      </c>
    </row>
    <row r="1207">
      <c r="B1207" s="31"/>
      <c r="G1207" s="272" t="s">
        <v>1099</v>
      </c>
    </row>
    <row r="1208">
      <c r="B1208" s="31"/>
      <c r="G1208" s="272" t="s">
        <v>1099</v>
      </c>
    </row>
    <row r="1209">
      <c r="B1209" s="31"/>
      <c r="G1209" s="272" t="s">
        <v>1099</v>
      </c>
    </row>
    <row r="1210">
      <c r="B1210" s="31"/>
      <c r="G1210" s="272" t="s">
        <v>1099</v>
      </c>
    </row>
    <row r="1211">
      <c r="B1211" s="31"/>
      <c r="G1211" s="272" t="s">
        <v>1099</v>
      </c>
    </row>
    <row r="1212">
      <c r="B1212" s="31"/>
      <c r="G1212" s="272" t="s">
        <v>1099</v>
      </c>
    </row>
    <row r="1213">
      <c r="B1213" s="31"/>
      <c r="G1213" s="272" t="s">
        <v>1099</v>
      </c>
    </row>
    <row r="1214">
      <c r="B1214" s="31"/>
      <c r="G1214" s="272" t="s">
        <v>1099</v>
      </c>
    </row>
    <row r="1215">
      <c r="B1215" s="31"/>
      <c r="G1215" s="272" t="s">
        <v>1099</v>
      </c>
    </row>
    <row r="1216">
      <c r="B1216" s="31"/>
      <c r="G1216" s="272" t="s">
        <v>1099</v>
      </c>
    </row>
    <row r="1217">
      <c r="B1217" s="31"/>
      <c r="G1217" s="272" t="s">
        <v>1099</v>
      </c>
    </row>
    <row r="1218">
      <c r="B1218" s="31"/>
      <c r="G1218" s="272" t="s">
        <v>1099</v>
      </c>
    </row>
    <row r="1219">
      <c r="B1219" s="31"/>
      <c r="G1219" s="272" t="s">
        <v>1099</v>
      </c>
    </row>
    <row r="1220">
      <c r="B1220" s="31"/>
      <c r="G1220" s="272" t="s">
        <v>1099</v>
      </c>
    </row>
    <row r="1221">
      <c r="B1221" s="31"/>
      <c r="G1221" s="272" t="s">
        <v>1099</v>
      </c>
    </row>
    <row r="1222">
      <c r="B1222" s="31"/>
      <c r="G1222" s="272" t="s">
        <v>1099</v>
      </c>
    </row>
    <row r="1223">
      <c r="B1223" s="31"/>
      <c r="G1223" s="272" t="s">
        <v>1099</v>
      </c>
    </row>
    <row r="1224">
      <c r="B1224" s="31"/>
      <c r="G1224" s="272" t="s">
        <v>1099</v>
      </c>
    </row>
    <row r="1225">
      <c r="B1225" s="31"/>
      <c r="G1225" s="272" t="s">
        <v>1099</v>
      </c>
    </row>
    <row r="1226">
      <c r="B1226" s="31"/>
      <c r="G1226" s="272" t="s">
        <v>1099</v>
      </c>
    </row>
    <row r="1227">
      <c r="B1227" s="31"/>
      <c r="G1227" s="272" t="s">
        <v>1099</v>
      </c>
    </row>
    <row r="1228">
      <c r="B1228" s="31"/>
      <c r="G1228" s="272" t="s">
        <v>1099</v>
      </c>
    </row>
    <row r="1229">
      <c r="B1229" s="31"/>
      <c r="G1229" s="272" t="s">
        <v>1099</v>
      </c>
    </row>
    <row r="1230">
      <c r="B1230" s="31"/>
      <c r="G1230" s="272" t="s">
        <v>1099</v>
      </c>
    </row>
    <row r="1231">
      <c r="B1231" s="31"/>
      <c r="G1231" s="272" t="s">
        <v>1099</v>
      </c>
    </row>
    <row r="1232">
      <c r="B1232" s="31"/>
      <c r="G1232" s="272" t="s">
        <v>1099</v>
      </c>
    </row>
    <row r="1233">
      <c r="B1233" s="31"/>
      <c r="G1233" s="272" t="s">
        <v>1099</v>
      </c>
    </row>
    <row r="1234">
      <c r="B1234" s="31"/>
      <c r="G1234" s="272" t="s">
        <v>1099</v>
      </c>
    </row>
    <row r="1235">
      <c r="B1235" s="31"/>
      <c r="G1235" s="272" t="s">
        <v>1099</v>
      </c>
    </row>
    <row r="1236">
      <c r="B1236" s="31"/>
      <c r="G1236" s="272" t="s">
        <v>1099</v>
      </c>
    </row>
    <row r="1237">
      <c r="B1237" s="31"/>
      <c r="G1237" s="272" t="s">
        <v>1099</v>
      </c>
    </row>
    <row r="1238">
      <c r="B1238" s="31"/>
      <c r="G1238" s="272" t="s">
        <v>1099</v>
      </c>
    </row>
    <row r="1239">
      <c r="B1239" s="31"/>
      <c r="G1239" s="272" t="s">
        <v>1099</v>
      </c>
    </row>
    <row r="1240">
      <c r="B1240" s="31"/>
      <c r="G1240" s="272" t="s">
        <v>1099</v>
      </c>
    </row>
    <row r="1241">
      <c r="B1241" s="31"/>
      <c r="G1241" s="272" t="s">
        <v>1099</v>
      </c>
    </row>
    <row r="1242">
      <c r="B1242" s="31"/>
      <c r="G1242" s="272" t="s">
        <v>1099</v>
      </c>
    </row>
    <row r="1243">
      <c r="B1243" s="31"/>
      <c r="G1243" s="272" t="s">
        <v>1099</v>
      </c>
    </row>
    <row r="1244">
      <c r="B1244" s="31"/>
      <c r="G1244" s="272" t="s">
        <v>1099</v>
      </c>
    </row>
    <row r="1245">
      <c r="B1245" s="31"/>
      <c r="G1245" s="272" t="s">
        <v>1099</v>
      </c>
    </row>
    <row r="1246">
      <c r="B1246" s="31"/>
      <c r="G1246" s="272" t="s">
        <v>1099</v>
      </c>
    </row>
    <row r="1247">
      <c r="B1247" s="31"/>
      <c r="G1247" s="272" t="s">
        <v>1099</v>
      </c>
    </row>
    <row r="1248">
      <c r="B1248" s="31"/>
      <c r="G1248" s="272" t="s">
        <v>1099</v>
      </c>
    </row>
    <row r="1249">
      <c r="B1249" s="31"/>
      <c r="G1249" s="272" t="s">
        <v>1099</v>
      </c>
    </row>
    <row r="1250">
      <c r="B1250" s="31"/>
      <c r="G1250" s="272" t="s">
        <v>1099</v>
      </c>
    </row>
    <row r="1251">
      <c r="B1251" s="31"/>
      <c r="G1251" s="272" t="s">
        <v>1099</v>
      </c>
    </row>
    <row r="1252">
      <c r="B1252" s="31"/>
      <c r="G1252" s="272" t="s">
        <v>1099</v>
      </c>
    </row>
    <row r="1253">
      <c r="B1253" s="31"/>
      <c r="G1253" s="272" t="s">
        <v>1099</v>
      </c>
    </row>
    <row r="1254">
      <c r="B1254" s="31"/>
      <c r="G1254" s="272" t="s">
        <v>1099</v>
      </c>
    </row>
    <row r="1255">
      <c r="B1255" s="31"/>
      <c r="G1255" s="272" t="s">
        <v>1099</v>
      </c>
    </row>
    <row r="1256">
      <c r="B1256" s="31"/>
      <c r="G1256" s="272" t="s">
        <v>1099</v>
      </c>
    </row>
    <row r="1257">
      <c r="B1257" s="31"/>
      <c r="G1257" s="272" t="s">
        <v>1099</v>
      </c>
    </row>
    <row r="1258">
      <c r="B1258" s="31"/>
      <c r="G1258" s="272" t="s">
        <v>1099</v>
      </c>
    </row>
    <row r="1259">
      <c r="B1259" s="31"/>
      <c r="G1259" s="272" t="s">
        <v>1099</v>
      </c>
    </row>
    <row r="1260">
      <c r="B1260" s="31"/>
      <c r="G1260" s="272" t="s">
        <v>1099</v>
      </c>
    </row>
    <row r="1261">
      <c r="B1261" s="31"/>
      <c r="G1261" s="272" t="s">
        <v>1099</v>
      </c>
    </row>
    <row r="1262">
      <c r="B1262" s="31"/>
      <c r="G1262" s="272" t="s">
        <v>1099</v>
      </c>
    </row>
    <row r="1263">
      <c r="B1263" s="31"/>
      <c r="G1263" s="272" t="s">
        <v>1099</v>
      </c>
    </row>
    <row r="1264">
      <c r="B1264" s="31"/>
      <c r="G1264" s="272" t="s">
        <v>1099</v>
      </c>
    </row>
    <row r="1265">
      <c r="B1265" s="31"/>
      <c r="G1265" s="272" t="s">
        <v>1099</v>
      </c>
    </row>
    <row r="1266">
      <c r="B1266" s="31"/>
      <c r="G1266" s="272" t="s">
        <v>1099</v>
      </c>
    </row>
    <row r="1267">
      <c r="B1267" s="31"/>
      <c r="G1267" s="272" t="s">
        <v>1099</v>
      </c>
    </row>
    <row r="1268">
      <c r="B1268" s="31"/>
      <c r="G1268" s="272" t="s">
        <v>1099</v>
      </c>
    </row>
    <row r="1269">
      <c r="B1269" s="31"/>
      <c r="G1269" s="272" t="s">
        <v>1099</v>
      </c>
    </row>
    <row r="1270">
      <c r="B1270" s="31"/>
      <c r="G1270" s="272" t="s">
        <v>1099</v>
      </c>
    </row>
    <row r="1271">
      <c r="B1271" s="31"/>
      <c r="G1271" s="272" t="s">
        <v>1099</v>
      </c>
    </row>
    <row r="1272">
      <c r="B1272" s="31"/>
      <c r="G1272" s="272" t="s">
        <v>1099</v>
      </c>
    </row>
    <row r="1273">
      <c r="B1273" s="31"/>
      <c r="G1273" s="272" t="s">
        <v>1099</v>
      </c>
    </row>
    <row r="1274">
      <c r="B1274" s="31"/>
      <c r="G1274" s="272" t="s">
        <v>1099</v>
      </c>
    </row>
    <row r="1275">
      <c r="B1275" s="31"/>
      <c r="G1275" s="272" t="s">
        <v>1099</v>
      </c>
    </row>
    <row r="1276">
      <c r="B1276" s="31"/>
      <c r="G1276" s="272" t="s">
        <v>1099</v>
      </c>
    </row>
    <row r="1277">
      <c r="B1277" s="31"/>
      <c r="G1277" s="272" t="s">
        <v>1099</v>
      </c>
    </row>
    <row r="1278">
      <c r="B1278" s="31"/>
      <c r="G1278" s="272" t="s">
        <v>1099</v>
      </c>
    </row>
    <row r="1279">
      <c r="B1279" s="31"/>
      <c r="G1279" s="272" t="s">
        <v>1099</v>
      </c>
    </row>
    <row r="1280">
      <c r="B1280" s="31"/>
      <c r="G1280" s="272" t="s">
        <v>1099</v>
      </c>
    </row>
    <row r="1281">
      <c r="B1281" s="31"/>
      <c r="G1281" s="272" t="s">
        <v>1099</v>
      </c>
    </row>
    <row r="1282">
      <c r="B1282" s="31"/>
      <c r="G1282" s="272" t="s">
        <v>1099</v>
      </c>
    </row>
    <row r="1283">
      <c r="B1283" s="31"/>
      <c r="G1283" s="272" t="s">
        <v>1099</v>
      </c>
    </row>
    <row r="1284">
      <c r="B1284" s="31"/>
      <c r="G1284" s="272" t="s">
        <v>1099</v>
      </c>
    </row>
    <row r="1285">
      <c r="B1285" s="31"/>
      <c r="G1285" s="272" t="s">
        <v>1099</v>
      </c>
    </row>
    <row r="1286">
      <c r="B1286" s="31"/>
      <c r="G1286" s="272" t="s">
        <v>1099</v>
      </c>
    </row>
    <row r="1287">
      <c r="B1287" s="31"/>
      <c r="G1287" s="272" t="s">
        <v>1099</v>
      </c>
    </row>
    <row r="1288">
      <c r="B1288" s="31"/>
      <c r="G1288" s="272" t="s">
        <v>1099</v>
      </c>
    </row>
    <row r="1289">
      <c r="B1289" s="31"/>
      <c r="G1289" s="272" t="s">
        <v>1099</v>
      </c>
    </row>
    <row r="1290">
      <c r="B1290" s="31"/>
      <c r="G1290" s="272" t="s">
        <v>1099</v>
      </c>
    </row>
    <row r="1291">
      <c r="B1291" s="31"/>
      <c r="G1291" s="272" t="s">
        <v>1099</v>
      </c>
    </row>
    <row r="1292">
      <c r="B1292" s="31"/>
      <c r="G1292" s="272" t="s">
        <v>1099</v>
      </c>
    </row>
    <row r="1293">
      <c r="B1293" s="31"/>
      <c r="G1293" s="272" t="s">
        <v>1099</v>
      </c>
    </row>
    <row r="1294">
      <c r="B1294" s="31"/>
      <c r="G1294" s="272" t="s">
        <v>1099</v>
      </c>
    </row>
    <row r="1295">
      <c r="B1295" s="31"/>
      <c r="G1295" s="272" t="s">
        <v>1099</v>
      </c>
    </row>
    <row r="1296">
      <c r="B1296" s="31"/>
      <c r="G1296" s="272" t="s">
        <v>1099</v>
      </c>
    </row>
    <row r="1297">
      <c r="B1297" s="31"/>
      <c r="G1297" s="272" t="s">
        <v>1099</v>
      </c>
    </row>
    <row r="1298">
      <c r="B1298" s="31"/>
      <c r="G1298" s="272" t="s">
        <v>1099</v>
      </c>
    </row>
    <row r="1299">
      <c r="B1299" s="31"/>
      <c r="G1299" s="272" t="s">
        <v>1099</v>
      </c>
    </row>
    <row r="1300">
      <c r="B1300" s="31"/>
      <c r="G1300" s="272" t="s">
        <v>1099</v>
      </c>
    </row>
    <row r="1301">
      <c r="B1301" s="31"/>
      <c r="G1301" s="272" t="s">
        <v>1099</v>
      </c>
    </row>
    <row r="1302">
      <c r="B1302" s="31"/>
      <c r="G1302" s="272" t="s">
        <v>1099</v>
      </c>
    </row>
    <row r="1303">
      <c r="B1303" s="31"/>
      <c r="G1303" s="272" t="s">
        <v>1099</v>
      </c>
    </row>
    <row r="1304">
      <c r="B1304" s="31"/>
      <c r="G1304" s="272" t="s">
        <v>1099</v>
      </c>
    </row>
    <row r="1305">
      <c r="B1305" s="31"/>
      <c r="G1305" s="272" t="s">
        <v>1099</v>
      </c>
    </row>
    <row r="1306">
      <c r="B1306" s="31"/>
      <c r="G1306" s="272" t="s">
        <v>1099</v>
      </c>
    </row>
    <row r="1307">
      <c r="B1307" s="31"/>
      <c r="G1307" s="272" t="s">
        <v>1099</v>
      </c>
    </row>
    <row r="1308">
      <c r="B1308" s="31"/>
      <c r="G1308" s="272" t="s">
        <v>1099</v>
      </c>
    </row>
    <row r="1309">
      <c r="B1309" s="31"/>
      <c r="G1309" s="272" t="s">
        <v>1099</v>
      </c>
    </row>
    <row r="1310">
      <c r="B1310" s="31"/>
      <c r="G1310" s="272" t="s">
        <v>1099</v>
      </c>
    </row>
    <row r="1311">
      <c r="B1311" s="31"/>
      <c r="G1311" s="272" t="s">
        <v>1099</v>
      </c>
    </row>
    <row r="1312">
      <c r="B1312" s="31"/>
      <c r="G1312" s="272" t="s">
        <v>1099</v>
      </c>
    </row>
    <row r="1313">
      <c r="B1313" s="31"/>
      <c r="G1313" s="272" t="s">
        <v>1099</v>
      </c>
    </row>
    <row r="1314">
      <c r="B1314" s="31"/>
      <c r="G1314" s="272" t="s">
        <v>1099</v>
      </c>
    </row>
    <row r="1315">
      <c r="B1315" s="31"/>
      <c r="G1315" s="272" t="s">
        <v>1099</v>
      </c>
    </row>
    <row r="1316">
      <c r="B1316" s="31"/>
      <c r="G1316" s="272" t="s">
        <v>1099</v>
      </c>
    </row>
    <row r="1317">
      <c r="B1317" s="31"/>
      <c r="G1317" s="272" t="s">
        <v>1099</v>
      </c>
    </row>
    <row r="1318">
      <c r="B1318" s="31"/>
      <c r="G1318" s="272" t="s">
        <v>1099</v>
      </c>
    </row>
    <row r="1319">
      <c r="B1319" s="31"/>
      <c r="G1319" s="272" t="s">
        <v>1099</v>
      </c>
    </row>
    <row r="1320">
      <c r="B1320" s="31"/>
      <c r="G1320" s="272" t="s">
        <v>1099</v>
      </c>
    </row>
    <row r="1321">
      <c r="B1321" s="31"/>
      <c r="G1321" s="272" t="s">
        <v>1099</v>
      </c>
    </row>
    <row r="1322">
      <c r="B1322" s="31"/>
      <c r="G1322" s="272" t="s">
        <v>1099</v>
      </c>
    </row>
    <row r="1323">
      <c r="B1323" s="31"/>
      <c r="G1323" s="272" t="s">
        <v>1099</v>
      </c>
    </row>
    <row r="1324">
      <c r="B1324" s="31"/>
      <c r="G1324" s="272" t="s">
        <v>1099</v>
      </c>
    </row>
    <row r="1325">
      <c r="B1325" s="31"/>
      <c r="G1325" s="272" t="s">
        <v>1099</v>
      </c>
    </row>
    <row r="1326">
      <c r="B1326" s="31"/>
      <c r="G1326" s="272" t="s">
        <v>1099</v>
      </c>
    </row>
    <row r="1327">
      <c r="B1327" s="31"/>
      <c r="G1327" s="272" t="s">
        <v>1099</v>
      </c>
    </row>
    <row r="1328">
      <c r="B1328" s="31"/>
      <c r="G1328" s="272" t="s">
        <v>1099</v>
      </c>
    </row>
    <row r="1329">
      <c r="B1329" s="31"/>
      <c r="G1329" s="272" t="s">
        <v>1099</v>
      </c>
    </row>
    <row r="1330">
      <c r="B1330" s="31"/>
      <c r="G1330" s="272" t="s">
        <v>1099</v>
      </c>
    </row>
    <row r="1331">
      <c r="B1331" s="31"/>
      <c r="G1331" s="272" t="s">
        <v>1099</v>
      </c>
    </row>
    <row r="1332">
      <c r="B1332" s="31"/>
      <c r="G1332" s="272" t="s">
        <v>1099</v>
      </c>
    </row>
    <row r="1333">
      <c r="B1333" s="31"/>
      <c r="G1333" s="272" t="s">
        <v>1099</v>
      </c>
    </row>
    <row r="1334">
      <c r="B1334" s="31"/>
      <c r="G1334" s="272" t="s">
        <v>1099</v>
      </c>
    </row>
    <row r="1335">
      <c r="B1335" s="31"/>
      <c r="G1335" s="272" t="s">
        <v>1099</v>
      </c>
    </row>
    <row r="1336">
      <c r="B1336" s="31"/>
      <c r="G1336" s="272" t="s">
        <v>1099</v>
      </c>
    </row>
    <row r="1337">
      <c r="B1337" s="31"/>
      <c r="G1337" s="272" t="s">
        <v>1099</v>
      </c>
    </row>
    <row r="1338">
      <c r="B1338" s="31"/>
      <c r="G1338" s="272" t="s">
        <v>1099</v>
      </c>
    </row>
    <row r="1339">
      <c r="B1339" s="31"/>
      <c r="G1339" s="272" t="s">
        <v>1099</v>
      </c>
    </row>
    <row r="1340">
      <c r="B1340" s="31"/>
      <c r="G1340" s="272" t="s">
        <v>1099</v>
      </c>
    </row>
    <row r="1341">
      <c r="B1341" s="31"/>
      <c r="G1341" s="272" t="s">
        <v>1099</v>
      </c>
    </row>
    <row r="1342">
      <c r="B1342" s="31"/>
      <c r="G1342" s="272" t="s">
        <v>1099</v>
      </c>
    </row>
    <row r="1343">
      <c r="B1343" s="31"/>
      <c r="G1343" s="272" t="s">
        <v>1099</v>
      </c>
    </row>
    <row r="1344">
      <c r="B1344" s="31"/>
      <c r="G1344" s="272" t="s">
        <v>1099</v>
      </c>
    </row>
    <row r="1345">
      <c r="B1345" s="31"/>
      <c r="G1345" s="272" t="s">
        <v>1099</v>
      </c>
    </row>
    <row r="1346">
      <c r="B1346" s="31"/>
      <c r="G1346" s="272" t="s">
        <v>1099</v>
      </c>
    </row>
    <row r="1347">
      <c r="B1347" s="31"/>
      <c r="G1347" s="272" t="s">
        <v>1099</v>
      </c>
    </row>
    <row r="1348">
      <c r="B1348" s="31"/>
      <c r="G1348" s="272" t="s">
        <v>1099</v>
      </c>
    </row>
    <row r="1349">
      <c r="B1349" s="31"/>
      <c r="G1349" s="272" t="s">
        <v>1099</v>
      </c>
    </row>
    <row r="1350">
      <c r="B1350" s="31"/>
      <c r="G1350" s="272" t="s">
        <v>1099</v>
      </c>
    </row>
    <row r="1351">
      <c r="B1351" s="31"/>
      <c r="G1351" s="272" t="s">
        <v>1099</v>
      </c>
    </row>
    <row r="1352">
      <c r="B1352" s="31"/>
      <c r="G1352" s="272" t="s">
        <v>1099</v>
      </c>
    </row>
    <row r="1353">
      <c r="B1353" s="31"/>
      <c r="G1353" s="272" t="s">
        <v>1099</v>
      </c>
    </row>
    <row r="1354">
      <c r="B1354" s="31"/>
      <c r="G1354" s="272" t="s">
        <v>1099</v>
      </c>
    </row>
    <row r="1355">
      <c r="B1355" s="31"/>
      <c r="G1355" s="272" t="s">
        <v>1099</v>
      </c>
    </row>
    <row r="1356">
      <c r="B1356" s="31"/>
      <c r="G1356" s="272" t="s">
        <v>1099</v>
      </c>
    </row>
    <row r="1357">
      <c r="B1357" s="31"/>
      <c r="G1357" s="272" t="s">
        <v>1099</v>
      </c>
    </row>
    <row r="1358">
      <c r="B1358" s="31"/>
      <c r="G1358" s="272" t="s">
        <v>1099</v>
      </c>
    </row>
    <row r="1359">
      <c r="B1359" s="31"/>
      <c r="G1359" s="272" t="s">
        <v>1099</v>
      </c>
    </row>
    <row r="1360">
      <c r="B1360" s="31"/>
      <c r="G1360" s="272" t="s">
        <v>1099</v>
      </c>
    </row>
    <row r="1361">
      <c r="B1361" s="31"/>
      <c r="G1361" s="272" t="s">
        <v>1099</v>
      </c>
    </row>
    <row r="1362">
      <c r="B1362" s="31"/>
      <c r="G1362" s="272" t="s">
        <v>1099</v>
      </c>
    </row>
    <row r="1363">
      <c r="B1363" s="31"/>
      <c r="G1363" s="272" t="s">
        <v>1099</v>
      </c>
    </row>
    <row r="1364">
      <c r="B1364" s="31"/>
      <c r="G1364" s="272" t="s">
        <v>1099</v>
      </c>
    </row>
    <row r="1365">
      <c r="B1365" s="31"/>
      <c r="G1365" s="272" t="s">
        <v>1099</v>
      </c>
    </row>
    <row r="1366">
      <c r="B1366" s="31"/>
      <c r="G1366" s="272" t="s">
        <v>1099</v>
      </c>
    </row>
    <row r="1367">
      <c r="B1367" s="31"/>
      <c r="G1367" s="272" t="s">
        <v>1099</v>
      </c>
    </row>
    <row r="1368">
      <c r="B1368" s="31"/>
      <c r="G1368" s="272" t="s">
        <v>1099</v>
      </c>
    </row>
    <row r="1369">
      <c r="B1369" s="31"/>
      <c r="G1369" s="272" t="s">
        <v>1099</v>
      </c>
    </row>
    <row r="1370">
      <c r="B1370" s="31"/>
      <c r="G1370" s="272" t="s">
        <v>1099</v>
      </c>
    </row>
    <row r="1371">
      <c r="B1371" s="31"/>
      <c r="G1371" s="272" t="s">
        <v>1099</v>
      </c>
    </row>
    <row r="1372">
      <c r="B1372" s="31"/>
      <c r="G1372" s="272" t="s">
        <v>1099</v>
      </c>
    </row>
    <row r="1373">
      <c r="B1373" s="31"/>
      <c r="G1373" s="272" t="s">
        <v>1099</v>
      </c>
    </row>
    <row r="1374">
      <c r="B1374" s="31"/>
      <c r="G1374" s="272" t="s">
        <v>1099</v>
      </c>
    </row>
    <row r="1375">
      <c r="B1375" s="31"/>
      <c r="G1375" s="272" t="s">
        <v>1099</v>
      </c>
    </row>
    <row r="1376">
      <c r="B1376" s="31"/>
      <c r="G1376" s="272" t="s">
        <v>1099</v>
      </c>
    </row>
    <row r="1377">
      <c r="B1377" s="31"/>
      <c r="G1377" s="272" t="s">
        <v>1099</v>
      </c>
    </row>
    <row r="1378">
      <c r="B1378" s="31"/>
      <c r="G1378" s="272" t="s">
        <v>1099</v>
      </c>
    </row>
    <row r="1379">
      <c r="B1379" s="31"/>
      <c r="G1379" s="272" t="s">
        <v>1099</v>
      </c>
    </row>
    <row r="1380">
      <c r="B1380" s="31"/>
      <c r="G1380" s="272" t="s">
        <v>1099</v>
      </c>
    </row>
    <row r="1381">
      <c r="B1381" s="31"/>
      <c r="G1381" s="272" t="s">
        <v>1099</v>
      </c>
    </row>
    <row r="1382">
      <c r="B1382" s="31"/>
      <c r="G1382" s="272" t="s">
        <v>1099</v>
      </c>
    </row>
    <row r="1383">
      <c r="B1383" s="31"/>
      <c r="G1383" s="272" t="s">
        <v>1099</v>
      </c>
    </row>
    <row r="1384">
      <c r="B1384" s="31"/>
      <c r="G1384" s="272" t="s">
        <v>1099</v>
      </c>
    </row>
    <row r="1385">
      <c r="B1385" s="31"/>
      <c r="G1385" s="272" t="s">
        <v>1099</v>
      </c>
    </row>
    <row r="1386">
      <c r="B1386" s="31"/>
      <c r="G1386" s="272" t="s">
        <v>1099</v>
      </c>
    </row>
    <row r="1387">
      <c r="B1387" s="31"/>
      <c r="G1387" s="272" t="s">
        <v>1099</v>
      </c>
    </row>
    <row r="1388">
      <c r="B1388" s="31"/>
      <c r="G1388" s="272" t="s">
        <v>1099</v>
      </c>
    </row>
    <row r="1389">
      <c r="B1389" s="31"/>
      <c r="G1389" s="272" t="s">
        <v>1099</v>
      </c>
    </row>
    <row r="1390">
      <c r="B1390" s="31"/>
      <c r="G1390" s="272" t="s">
        <v>1099</v>
      </c>
    </row>
    <row r="1391">
      <c r="B1391" s="31"/>
      <c r="G1391" s="272" t="s">
        <v>1099</v>
      </c>
    </row>
    <row r="1392">
      <c r="B1392" s="31"/>
      <c r="G1392" s="272" t="s">
        <v>1099</v>
      </c>
    </row>
    <row r="1393">
      <c r="B1393" s="31"/>
      <c r="G1393" s="272" t="s">
        <v>1099</v>
      </c>
    </row>
    <row r="1394">
      <c r="B1394" s="31"/>
      <c r="G1394" s="272" t="s">
        <v>1099</v>
      </c>
    </row>
    <row r="1395">
      <c r="B1395" s="31"/>
      <c r="G1395" s="272" t="s">
        <v>1099</v>
      </c>
    </row>
    <row r="1396">
      <c r="B1396" s="31"/>
      <c r="G1396" s="272" t="s">
        <v>1099</v>
      </c>
    </row>
    <row r="1397">
      <c r="B1397" s="31"/>
      <c r="G1397" s="272" t="s">
        <v>1099</v>
      </c>
    </row>
    <row r="1398">
      <c r="B1398" s="31"/>
      <c r="G1398" s="272" t="s">
        <v>1099</v>
      </c>
    </row>
    <row r="1399">
      <c r="B1399" s="31"/>
      <c r="G1399" s="272" t="s">
        <v>1099</v>
      </c>
    </row>
    <row r="1400">
      <c r="B1400" s="31"/>
      <c r="G1400" s="272" t="s">
        <v>1099</v>
      </c>
    </row>
    <row r="1401">
      <c r="B1401" s="31"/>
      <c r="G1401" s="272" t="s">
        <v>1099</v>
      </c>
    </row>
    <row r="1402">
      <c r="B1402" s="31"/>
      <c r="G1402" s="272" t="s">
        <v>1099</v>
      </c>
    </row>
    <row r="1403">
      <c r="B1403" s="31"/>
      <c r="G1403" s="272" t="s">
        <v>1099</v>
      </c>
    </row>
    <row r="1404">
      <c r="B1404" s="31"/>
      <c r="G1404" s="272" t="s">
        <v>1099</v>
      </c>
    </row>
    <row r="1405">
      <c r="B1405" s="31"/>
      <c r="G1405" s="272" t="s">
        <v>1099</v>
      </c>
    </row>
    <row r="1406">
      <c r="B1406" s="31"/>
      <c r="G1406" s="272" t="s">
        <v>1099</v>
      </c>
    </row>
    <row r="1407">
      <c r="B1407" s="31"/>
      <c r="G1407" s="272" t="s">
        <v>1099</v>
      </c>
    </row>
    <row r="1408">
      <c r="B1408" s="31"/>
      <c r="G1408" s="272" t="s">
        <v>1099</v>
      </c>
    </row>
    <row r="1409">
      <c r="B1409" s="31"/>
      <c r="G1409" s="272" t="s">
        <v>1099</v>
      </c>
    </row>
    <row r="1410">
      <c r="B1410" s="31"/>
      <c r="G1410" s="272" t="s">
        <v>1099</v>
      </c>
    </row>
    <row r="1411">
      <c r="B1411" s="31"/>
      <c r="G1411" s="272" t="s">
        <v>1099</v>
      </c>
    </row>
    <row r="1412">
      <c r="B1412" s="31"/>
      <c r="G1412" s="272" t="s">
        <v>1099</v>
      </c>
    </row>
    <row r="1413">
      <c r="B1413" s="31"/>
      <c r="G1413" s="272" t="s">
        <v>1099</v>
      </c>
    </row>
    <row r="1414">
      <c r="B1414" s="31"/>
      <c r="G1414" s="272" t="s">
        <v>1099</v>
      </c>
    </row>
    <row r="1415">
      <c r="B1415" s="31"/>
      <c r="G1415" s="272" t="s">
        <v>1099</v>
      </c>
    </row>
    <row r="1416">
      <c r="B1416" s="31"/>
      <c r="G1416" s="272" t="s">
        <v>1099</v>
      </c>
    </row>
    <row r="1417">
      <c r="B1417" s="31"/>
      <c r="G1417" s="272" t="s">
        <v>1099</v>
      </c>
    </row>
    <row r="1418">
      <c r="B1418" s="31"/>
      <c r="G1418" s="272" t="s">
        <v>1099</v>
      </c>
    </row>
    <row r="1419">
      <c r="B1419" s="31"/>
      <c r="G1419" s="272" t="s">
        <v>1099</v>
      </c>
    </row>
    <row r="1420">
      <c r="B1420" s="31"/>
      <c r="G1420" s="272" t="s">
        <v>1099</v>
      </c>
    </row>
    <row r="1421">
      <c r="B1421" s="31"/>
      <c r="G1421" s="272" t="s">
        <v>1099</v>
      </c>
    </row>
    <row r="1422">
      <c r="B1422" s="31"/>
      <c r="G1422" s="272" t="s">
        <v>1099</v>
      </c>
    </row>
    <row r="1423">
      <c r="B1423" s="31"/>
      <c r="G1423" s="272" t="s">
        <v>1099</v>
      </c>
    </row>
    <row r="1424">
      <c r="B1424" s="31"/>
      <c r="G1424" s="272" t="s">
        <v>1099</v>
      </c>
    </row>
    <row r="1425">
      <c r="B1425" s="31"/>
      <c r="G1425" s="272" t="s">
        <v>1099</v>
      </c>
    </row>
    <row r="1426">
      <c r="B1426" s="31"/>
      <c r="G1426" s="272" t="s">
        <v>1099</v>
      </c>
    </row>
    <row r="1427">
      <c r="B1427" s="31"/>
      <c r="G1427" s="272" t="s">
        <v>1099</v>
      </c>
    </row>
    <row r="1428">
      <c r="B1428" s="31"/>
      <c r="G1428" s="272" t="s">
        <v>1099</v>
      </c>
    </row>
    <row r="1429">
      <c r="B1429" s="31"/>
      <c r="G1429" s="272" t="s">
        <v>1099</v>
      </c>
    </row>
    <row r="1430">
      <c r="B1430" s="31"/>
      <c r="G1430" s="272" t="s">
        <v>1099</v>
      </c>
    </row>
    <row r="1431">
      <c r="B1431" s="31"/>
      <c r="G1431" s="272" t="s">
        <v>1099</v>
      </c>
    </row>
    <row r="1432">
      <c r="B1432" s="31"/>
      <c r="G1432" s="272" t="s">
        <v>1099</v>
      </c>
    </row>
    <row r="1433">
      <c r="B1433" s="31"/>
      <c r="G1433" s="272" t="s">
        <v>1099</v>
      </c>
    </row>
    <row r="1434">
      <c r="B1434" s="31"/>
      <c r="G1434" s="272" t="s">
        <v>1099</v>
      </c>
    </row>
    <row r="1435">
      <c r="B1435" s="31"/>
      <c r="G1435" s="272" t="s">
        <v>1099</v>
      </c>
    </row>
    <row r="1436">
      <c r="B1436" s="31"/>
      <c r="G1436" s="272" t="s">
        <v>1099</v>
      </c>
    </row>
    <row r="1437">
      <c r="B1437" s="31"/>
      <c r="G1437" s="272" t="s">
        <v>1099</v>
      </c>
    </row>
    <row r="1438">
      <c r="B1438" s="31"/>
      <c r="G1438" s="272" t="s">
        <v>1099</v>
      </c>
    </row>
    <row r="1439">
      <c r="B1439" s="31"/>
      <c r="G1439" s="272" t="s">
        <v>1099</v>
      </c>
    </row>
    <row r="1440">
      <c r="B1440" s="31"/>
      <c r="G1440" s="272" t="s">
        <v>1099</v>
      </c>
    </row>
    <row r="1441">
      <c r="B1441" s="31"/>
      <c r="G1441" s="272" t="s">
        <v>1099</v>
      </c>
    </row>
    <row r="1442">
      <c r="B1442" s="31"/>
      <c r="G1442" s="272" t="s">
        <v>1099</v>
      </c>
    </row>
    <row r="1443">
      <c r="B1443" s="31"/>
      <c r="G1443" s="272" t="s">
        <v>1099</v>
      </c>
    </row>
    <row r="1444">
      <c r="B1444" s="31"/>
      <c r="G1444" s="272" t="s">
        <v>1099</v>
      </c>
    </row>
    <row r="1445">
      <c r="B1445" s="31"/>
      <c r="G1445" s="272" t="s">
        <v>1099</v>
      </c>
    </row>
    <row r="1446">
      <c r="B1446" s="31"/>
      <c r="G1446" s="272" t="s">
        <v>1099</v>
      </c>
    </row>
    <row r="1447">
      <c r="B1447" s="31"/>
      <c r="G1447" s="272" t="s">
        <v>1099</v>
      </c>
    </row>
    <row r="1448">
      <c r="B1448" s="31"/>
      <c r="G1448" s="272" t="s">
        <v>1099</v>
      </c>
    </row>
    <row r="1449">
      <c r="B1449" s="31"/>
      <c r="G1449" s="272" t="s">
        <v>1099</v>
      </c>
    </row>
    <row r="1450">
      <c r="B1450" s="31"/>
      <c r="G1450" s="272" t="s">
        <v>1099</v>
      </c>
    </row>
    <row r="1451">
      <c r="B1451" s="31"/>
      <c r="G1451" s="272" t="s">
        <v>1099</v>
      </c>
    </row>
    <row r="1452">
      <c r="B1452" s="31"/>
      <c r="G1452" s="272" t="s">
        <v>1099</v>
      </c>
    </row>
    <row r="1453">
      <c r="B1453" s="31"/>
      <c r="G1453" s="272" t="s">
        <v>1099</v>
      </c>
    </row>
    <row r="1454">
      <c r="B1454" s="31"/>
      <c r="G1454" s="272" t="s">
        <v>1099</v>
      </c>
    </row>
    <row r="1455">
      <c r="B1455" s="31"/>
      <c r="G1455" s="272" t="s">
        <v>1099</v>
      </c>
    </row>
    <row r="1456">
      <c r="B1456" s="31"/>
      <c r="G1456" s="272" t="s">
        <v>1099</v>
      </c>
    </row>
    <row r="1457">
      <c r="B1457" s="31"/>
      <c r="G1457" s="272" t="s">
        <v>1099</v>
      </c>
    </row>
    <row r="1458">
      <c r="B1458" s="31"/>
      <c r="G1458" s="272" t="s">
        <v>1099</v>
      </c>
    </row>
    <row r="1459">
      <c r="B1459" s="31"/>
      <c r="G1459" s="272" t="s">
        <v>1099</v>
      </c>
    </row>
    <row r="1460">
      <c r="B1460" s="31"/>
      <c r="G1460" s="272" t="s">
        <v>1099</v>
      </c>
    </row>
    <row r="1461">
      <c r="B1461" s="31"/>
      <c r="G1461" s="272" t="s">
        <v>1099</v>
      </c>
    </row>
    <row r="1462">
      <c r="B1462" s="31"/>
      <c r="G1462" s="272" t="s">
        <v>1099</v>
      </c>
    </row>
    <row r="1463">
      <c r="B1463" s="31"/>
      <c r="G1463" s="272" t="s">
        <v>1099</v>
      </c>
    </row>
    <row r="1464">
      <c r="B1464" s="31"/>
      <c r="G1464" s="272" t="s">
        <v>1099</v>
      </c>
    </row>
    <row r="1465">
      <c r="B1465" s="31"/>
      <c r="G1465" s="272" t="s">
        <v>1099</v>
      </c>
    </row>
    <row r="1466">
      <c r="B1466" s="31"/>
      <c r="G1466" s="272" t="s">
        <v>1099</v>
      </c>
    </row>
    <row r="1467">
      <c r="B1467" s="31"/>
      <c r="G1467" s="272" t="s">
        <v>1099</v>
      </c>
    </row>
    <row r="1468">
      <c r="B1468" s="31"/>
      <c r="G1468" s="272" t="s">
        <v>1099</v>
      </c>
    </row>
    <row r="1469">
      <c r="B1469" s="31"/>
      <c r="G1469" s="272" t="s">
        <v>1099</v>
      </c>
    </row>
    <row r="1470">
      <c r="B1470" s="31"/>
      <c r="G1470" s="272" t="s">
        <v>1099</v>
      </c>
    </row>
    <row r="1471">
      <c r="B1471" s="31"/>
      <c r="G1471" s="272" t="s">
        <v>1099</v>
      </c>
    </row>
    <row r="1472">
      <c r="B1472" s="31"/>
      <c r="G1472" s="272" t="s">
        <v>1099</v>
      </c>
    </row>
    <row r="1473">
      <c r="B1473" s="31"/>
      <c r="G1473" s="272" t="s">
        <v>1099</v>
      </c>
    </row>
    <row r="1474">
      <c r="B1474" s="31"/>
      <c r="G1474" s="272" t="s">
        <v>1099</v>
      </c>
    </row>
    <row r="1475">
      <c r="B1475" s="31"/>
      <c r="G1475" s="272" t="s">
        <v>1099</v>
      </c>
    </row>
    <row r="1476">
      <c r="B1476" s="31"/>
      <c r="G1476" s="272" t="s">
        <v>1099</v>
      </c>
    </row>
    <row r="1477">
      <c r="B1477" s="31"/>
      <c r="G1477" s="272" t="s">
        <v>1099</v>
      </c>
    </row>
    <row r="1478">
      <c r="B1478" s="31"/>
      <c r="G1478" s="272" t="s">
        <v>1099</v>
      </c>
    </row>
    <row r="1479">
      <c r="B1479" s="31"/>
      <c r="G1479" s="272" t="s">
        <v>1099</v>
      </c>
    </row>
    <row r="1480">
      <c r="B1480" s="31"/>
      <c r="G1480" s="272" t="s">
        <v>1099</v>
      </c>
    </row>
    <row r="1481">
      <c r="B1481" s="31"/>
      <c r="G1481" s="272" t="s">
        <v>1099</v>
      </c>
    </row>
    <row r="1482">
      <c r="B1482" s="31"/>
      <c r="G1482" s="272" t="s">
        <v>1099</v>
      </c>
    </row>
    <row r="1483">
      <c r="B1483" s="31"/>
      <c r="G1483" s="272" t="s">
        <v>1099</v>
      </c>
    </row>
    <row r="1484">
      <c r="B1484" s="31"/>
      <c r="G1484" s="272" t="s">
        <v>1099</v>
      </c>
    </row>
    <row r="1485">
      <c r="B1485" s="31"/>
      <c r="G1485" s="272" t="s">
        <v>1099</v>
      </c>
    </row>
    <row r="1486">
      <c r="B1486" s="31"/>
      <c r="G1486" s="272" t="s">
        <v>1099</v>
      </c>
    </row>
    <row r="1487">
      <c r="B1487" s="31"/>
      <c r="G1487" s="272" t="s">
        <v>1099</v>
      </c>
    </row>
    <row r="1488">
      <c r="B1488" s="31"/>
      <c r="G1488" s="272" t="s">
        <v>1099</v>
      </c>
    </row>
    <row r="1489">
      <c r="B1489" s="31"/>
      <c r="G1489" s="272" t="s">
        <v>1099</v>
      </c>
    </row>
    <row r="1490">
      <c r="B1490" s="31"/>
      <c r="G1490" s="272" t="s">
        <v>1099</v>
      </c>
    </row>
    <row r="1491">
      <c r="B1491" s="31"/>
      <c r="G1491" s="272" t="s">
        <v>1099</v>
      </c>
    </row>
    <row r="1492">
      <c r="B1492" s="31"/>
      <c r="G1492" s="272" t="s">
        <v>1099</v>
      </c>
    </row>
    <row r="1493">
      <c r="B1493" s="31"/>
      <c r="G1493" s="272" t="s">
        <v>1099</v>
      </c>
    </row>
    <row r="1494">
      <c r="B1494" s="31"/>
      <c r="G1494" s="272" t="s">
        <v>1099</v>
      </c>
    </row>
    <row r="1495">
      <c r="B1495" s="31"/>
      <c r="G1495" s="272" t="s">
        <v>1099</v>
      </c>
    </row>
    <row r="1496">
      <c r="B1496" s="31"/>
      <c r="G1496" s="272" t="s">
        <v>1099</v>
      </c>
    </row>
    <row r="1497">
      <c r="B1497" s="31"/>
      <c r="G1497" s="272" t="s">
        <v>1099</v>
      </c>
    </row>
    <row r="1498">
      <c r="B1498" s="31"/>
      <c r="G1498" s="272" t="s">
        <v>1099</v>
      </c>
    </row>
    <row r="1499">
      <c r="B1499" s="31"/>
      <c r="G1499" s="272" t="s">
        <v>1099</v>
      </c>
    </row>
    <row r="1500">
      <c r="B1500" s="31"/>
      <c r="G1500" s="272" t="s">
        <v>1099</v>
      </c>
    </row>
    <row r="1501">
      <c r="B1501" s="31"/>
      <c r="G1501" s="272" t="s">
        <v>1099</v>
      </c>
    </row>
    <row r="1502">
      <c r="B1502" s="31"/>
      <c r="G1502" s="272" t="s">
        <v>1099</v>
      </c>
    </row>
    <row r="1503">
      <c r="B1503" s="31"/>
      <c r="G1503" s="272" t="s">
        <v>1099</v>
      </c>
    </row>
    <row r="1504">
      <c r="B1504" s="31"/>
      <c r="G1504" s="272" t="s">
        <v>1099</v>
      </c>
    </row>
    <row r="1505">
      <c r="B1505" s="31"/>
      <c r="G1505" s="272" t="s">
        <v>1099</v>
      </c>
    </row>
    <row r="1506">
      <c r="B1506" s="31"/>
      <c r="G1506" s="272" t="s">
        <v>1099</v>
      </c>
    </row>
    <row r="1507">
      <c r="B1507" s="31"/>
      <c r="G1507" s="272" t="s">
        <v>1099</v>
      </c>
    </row>
    <row r="1508">
      <c r="B1508" s="31"/>
      <c r="G1508" s="272" t="s">
        <v>1099</v>
      </c>
    </row>
    <row r="1509">
      <c r="B1509" s="31"/>
      <c r="G1509" s="272" t="s">
        <v>1099</v>
      </c>
    </row>
    <row r="1510">
      <c r="B1510" s="31"/>
      <c r="G1510" s="272" t="s">
        <v>1099</v>
      </c>
    </row>
    <row r="1511">
      <c r="B1511" s="31"/>
      <c r="G1511" s="272" t="s">
        <v>1099</v>
      </c>
    </row>
    <row r="1512">
      <c r="B1512" s="31"/>
      <c r="G1512" s="272" t="s">
        <v>1099</v>
      </c>
    </row>
    <row r="1513">
      <c r="B1513" s="31"/>
      <c r="G1513" s="272" t="s">
        <v>1099</v>
      </c>
    </row>
    <row r="1514">
      <c r="B1514" s="31"/>
      <c r="G1514" s="272" t="s">
        <v>1099</v>
      </c>
    </row>
    <row r="1515">
      <c r="B1515" s="31"/>
      <c r="G1515" s="272" t="s">
        <v>1099</v>
      </c>
    </row>
    <row r="1516">
      <c r="B1516" s="31"/>
      <c r="G1516" s="272" t="s">
        <v>1099</v>
      </c>
    </row>
    <row r="1517">
      <c r="B1517" s="31"/>
      <c r="G1517" s="272" t="s">
        <v>1099</v>
      </c>
    </row>
    <row r="1518">
      <c r="B1518" s="31"/>
      <c r="G1518" s="272" t="s">
        <v>1099</v>
      </c>
    </row>
    <row r="1519">
      <c r="B1519" s="31"/>
      <c r="G1519" s="272" t="s">
        <v>1099</v>
      </c>
    </row>
    <row r="1520">
      <c r="B1520" s="31"/>
      <c r="G1520" s="272" t="s">
        <v>1099</v>
      </c>
    </row>
    <row r="1521">
      <c r="B1521" s="31"/>
      <c r="G1521" s="272" t="s">
        <v>1099</v>
      </c>
    </row>
    <row r="1522">
      <c r="B1522" s="31"/>
      <c r="G1522" s="272" t="s">
        <v>1099</v>
      </c>
    </row>
    <row r="1523">
      <c r="B1523" s="31"/>
      <c r="G1523" s="272" t="s">
        <v>1099</v>
      </c>
    </row>
    <row r="1524">
      <c r="B1524" s="31"/>
      <c r="G1524" s="272" t="s">
        <v>1099</v>
      </c>
    </row>
    <row r="1525">
      <c r="B1525" s="31"/>
      <c r="G1525" s="272" t="s">
        <v>1099</v>
      </c>
    </row>
    <row r="1526">
      <c r="B1526" s="31"/>
      <c r="G1526" s="272" t="s">
        <v>1099</v>
      </c>
    </row>
    <row r="1527">
      <c r="B1527" s="31"/>
      <c r="G1527" s="272" t="s">
        <v>1099</v>
      </c>
    </row>
    <row r="1528">
      <c r="B1528" s="31"/>
      <c r="G1528" s="272" t="s">
        <v>1099</v>
      </c>
    </row>
    <row r="1529">
      <c r="B1529" s="31"/>
      <c r="G1529" s="272" t="s">
        <v>1099</v>
      </c>
    </row>
    <row r="1530">
      <c r="B1530" s="31"/>
      <c r="G1530" s="272" t="s">
        <v>1099</v>
      </c>
    </row>
    <row r="1531">
      <c r="B1531" s="31"/>
      <c r="G1531" s="272" t="s">
        <v>1099</v>
      </c>
    </row>
    <row r="1532">
      <c r="B1532" s="31"/>
      <c r="G1532" s="272" t="s">
        <v>1099</v>
      </c>
    </row>
    <row r="1533">
      <c r="B1533" s="31"/>
      <c r="G1533" s="272" t="s">
        <v>1099</v>
      </c>
    </row>
    <row r="1534">
      <c r="B1534" s="31"/>
      <c r="G1534" s="272" t="s">
        <v>1099</v>
      </c>
    </row>
    <row r="1535">
      <c r="B1535" s="31"/>
      <c r="G1535" s="272" t="s">
        <v>1099</v>
      </c>
    </row>
    <row r="1536">
      <c r="B1536" s="31"/>
      <c r="G1536" s="272" t="s">
        <v>1099</v>
      </c>
    </row>
    <row r="1537">
      <c r="B1537" s="31"/>
      <c r="G1537" s="272" t="s">
        <v>1099</v>
      </c>
    </row>
    <row r="1538">
      <c r="B1538" s="31"/>
      <c r="G1538" s="272" t="s">
        <v>1099</v>
      </c>
    </row>
    <row r="1539">
      <c r="B1539" s="31"/>
      <c r="G1539" s="272" t="s">
        <v>1099</v>
      </c>
    </row>
    <row r="1540">
      <c r="B1540" s="31"/>
      <c r="G1540" s="272" t="s">
        <v>1099</v>
      </c>
    </row>
    <row r="1541">
      <c r="B1541" s="31"/>
      <c r="G1541" s="272" t="s">
        <v>1099</v>
      </c>
    </row>
    <row r="1542">
      <c r="B1542" s="31"/>
      <c r="G1542" s="272" t="s">
        <v>1099</v>
      </c>
    </row>
    <row r="1543">
      <c r="B1543" s="31"/>
      <c r="G1543" s="272" t="s">
        <v>1099</v>
      </c>
    </row>
    <row r="1544">
      <c r="B1544" s="31"/>
      <c r="G1544" s="272" t="s">
        <v>1099</v>
      </c>
    </row>
    <row r="1545">
      <c r="B1545" s="31"/>
      <c r="G1545" s="272" t="s">
        <v>1099</v>
      </c>
    </row>
    <row r="1546">
      <c r="B1546" s="31"/>
      <c r="G1546" s="272" t="s">
        <v>1099</v>
      </c>
    </row>
    <row r="1547">
      <c r="B1547" s="31"/>
      <c r="G1547" s="272" t="s">
        <v>1099</v>
      </c>
    </row>
    <row r="1548">
      <c r="B1548" s="31"/>
      <c r="G1548" s="272" t="s">
        <v>1099</v>
      </c>
    </row>
    <row r="1549">
      <c r="B1549" s="31"/>
      <c r="G1549" s="272" t="s">
        <v>1099</v>
      </c>
    </row>
    <row r="1550">
      <c r="B1550" s="31"/>
      <c r="G1550" s="272" t="s">
        <v>1099</v>
      </c>
    </row>
    <row r="1551">
      <c r="B1551" s="31"/>
      <c r="G1551" s="272" t="s">
        <v>1099</v>
      </c>
    </row>
    <row r="1552">
      <c r="B1552" s="31"/>
      <c r="G1552" s="272" t="s">
        <v>1099</v>
      </c>
    </row>
    <row r="1553">
      <c r="B1553" s="31"/>
      <c r="G1553" s="272" t="s">
        <v>1099</v>
      </c>
    </row>
    <row r="1554">
      <c r="B1554" s="31"/>
      <c r="G1554" s="272" t="s">
        <v>1099</v>
      </c>
    </row>
    <row r="1555">
      <c r="B1555" s="31"/>
      <c r="G1555" s="272" t="s">
        <v>1099</v>
      </c>
    </row>
    <row r="1556">
      <c r="B1556" s="31"/>
      <c r="G1556" s="272" t="s">
        <v>1099</v>
      </c>
    </row>
    <row r="1557">
      <c r="B1557" s="31"/>
      <c r="G1557" s="272" t="s">
        <v>1099</v>
      </c>
    </row>
    <row r="1558">
      <c r="B1558" s="31"/>
      <c r="G1558" s="272" t="s">
        <v>1099</v>
      </c>
    </row>
    <row r="1559">
      <c r="B1559" s="31"/>
      <c r="G1559" s="272" t="s">
        <v>1099</v>
      </c>
    </row>
    <row r="1560">
      <c r="B1560" s="31"/>
      <c r="G1560" s="272" t="s">
        <v>1099</v>
      </c>
    </row>
    <row r="1561">
      <c r="B1561" s="31"/>
      <c r="G1561" s="272" t="s">
        <v>1099</v>
      </c>
    </row>
    <row r="1562">
      <c r="B1562" s="31"/>
      <c r="G1562" s="272" t="s">
        <v>1099</v>
      </c>
    </row>
    <row r="1563">
      <c r="B1563" s="31"/>
      <c r="G1563" s="272" t="s">
        <v>1099</v>
      </c>
    </row>
    <row r="1564">
      <c r="B1564" s="31"/>
      <c r="G1564" s="272" t="s">
        <v>1099</v>
      </c>
    </row>
    <row r="1565">
      <c r="B1565" s="31"/>
      <c r="G1565" s="272" t="s">
        <v>1099</v>
      </c>
    </row>
    <row r="1566">
      <c r="B1566" s="31"/>
      <c r="G1566" s="272" t="s">
        <v>1099</v>
      </c>
    </row>
    <row r="1567">
      <c r="B1567" s="31"/>
      <c r="G1567" s="272" t="s">
        <v>1099</v>
      </c>
    </row>
    <row r="1568">
      <c r="B1568" s="31"/>
      <c r="G1568" s="272" t="s">
        <v>1099</v>
      </c>
    </row>
    <row r="1569">
      <c r="B1569" s="31"/>
      <c r="G1569" s="272" t="s">
        <v>1099</v>
      </c>
    </row>
    <row r="1570">
      <c r="B1570" s="31"/>
      <c r="G1570" s="272" t="s">
        <v>1099</v>
      </c>
    </row>
    <row r="1571">
      <c r="B1571" s="31"/>
      <c r="G1571" s="272" t="s">
        <v>1099</v>
      </c>
    </row>
    <row r="1572">
      <c r="B1572" s="31"/>
      <c r="G1572" s="272" t="s">
        <v>1099</v>
      </c>
    </row>
    <row r="1573">
      <c r="B1573" s="31"/>
      <c r="G1573" s="272" t="s">
        <v>1099</v>
      </c>
    </row>
    <row r="1574">
      <c r="B1574" s="31"/>
      <c r="G1574" s="272" t="s">
        <v>1099</v>
      </c>
    </row>
    <row r="1575">
      <c r="B1575" s="31"/>
      <c r="G1575" s="272" t="s">
        <v>1099</v>
      </c>
    </row>
    <row r="1576">
      <c r="B1576" s="31"/>
      <c r="G1576" s="272" t="s">
        <v>1099</v>
      </c>
    </row>
    <row r="1577">
      <c r="B1577" s="31"/>
      <c r="G1577" s="272" t="s">
        <v>1099</v>
      </c>
    </row>
    <row r="1578">
      <c r="B1578" s="31"/>
      <c r="G1578" s="272" t="s">
        <v>1099</v>
      </c>
    </row>
    <row r="1579">
      <c r="B1579" s="31"/>
      <c r="G1579" s="272" t="s">
        <v>1099</v>
      </c>
    </row>
    <row r="1580">
      <c r="B1580" s="31"/>
      <c r="G1580" s="272" t="s">
        <v>1099</v>
      </c>
    </row>
    <row r="1581">
      <c r="B1581" s="31"/>
      <c r="G1581" s="272" t="s">
        <v>1099</v>
      </c>
    </row>
    <row r="1582">
      <c r="B1582" s="31"/>
      <c r="G1582" s="272" t="s">
        <v>1099</v>
      </c>
    </row>
    <row r="1583">
      <c r="B1583" s="31"/>
      <c r="G1583" s="272" t="s">
        <v>1099</v>
      </c>
    </row>
    <row r="1584">
      <c r="B1584" s="31"/>
      <c r="G1584" s="272" t="s">
        <v>1099</v>
      </c>
    </row>
    <row r="1585">
      <c r="B1585" s="31"/>
      <c r="G1585" s="272" t="s">
        <v>1099</v>
      </c>
    </row>
    <row r="1586">
      <c r="B1586" s="31"/>
      <c r="G1586" s="272" t="s">
        <v>1099</v>
      </c>
    </row>
    <row r="1587">
      <c r="B1587" s="31"/>
      <c r="G1587" s="272" t="s">
        <v>1099</v>
      </c>
    </row>
    <row r="1588">
      <c r="B1588" s="31"/>
      <c r="G1588" s="272" t="s">
        <v>1099</v>
      </c>
    </row>
    <row r="1589">
      <c r="B1589" s="31"/>
      <c r="G1589" s="272" t="s">
        <v>1099</v>
      </c>
    </row>
    <row r="1590">
      <c r="B1590" s="31"/>
      <c r="G1590" s="272" t="s">
        <v>1099</v>
      </c>
    </row>
    <row r="1591">
      <c r="B1591" s="31"/>
      <c r="G1591" s="272" t="s">
        <v>1099</v>
      </c>
    </row>
    <row r="1592">
      <c r="B1592" s="31"/>
      <c r="G1592" s="272" t="s">
        <v>1099</v>
      </c>
    </row>
    <row r="1593">
      <c r="B1593" s="31"/>
      <c r="G1593" s="272" t="s">
        <v>1099</v>
      </c>
    </row>
    <row r="1594">
      <c r="B1594" s="31"/>
      <c r="G1594" s="272" t="s">
        <v>1099</v>
      </c>
    </row>
    <row r="1595">
      <c r="B1595" s="31"/>
      <c r="G1595" s="272" t="s">
        <v>1099</v>
      </c>
    </row>
    <row r="1596">
      <c r="B1596" s="31"/>
      <c r="G1596" s="272" t="s">
        <v>1099</v>
      </c>
    </row>
    <row r="1597">
      <c r="B1597" s="31"/>
      <c r="G1597" s="272" t="s">
        <v>1099</v>
      </c>
    </row>
    <row r="1598">
      <c r="B1598" s="31"/>
      <c r="G1598" s="272" t="s">
        <v>1099</v>
      </c>
    </row>
    <row r="1599">
      <c r="B1599" s="31"/>
      <c r="G1599" s="272" t="s">
        <v>1099</v>
      </c>
    </row>
    <row r="1600">
      <c r="B1600" s="31"/>
      <c r="G1600" s="272" t="s">
        <v>1099</v>
      </c>
    </row>
    <row r="1601">
      <c r="B1601" s="31"/>
      <c r="G1601" s="272" t="s">
        <v>1099</v>
      </c>
    </row>
    <row r="1602">
      <c r="B1602" s="31"/>
      <c r="G1602" s="272" t="s">
        <v>1099</v>
      </c>
    </row>
    <row r="1603">
      <c r="B1603" s="31"/>
      <c r="G1603" s="272" t="s">
        <v>1099</v>
      </c>
    </row>
    <row r="1604">
      <c r="B1604" s="31"/>
      <c r="G1604" s="272" t="s">
        <v>1099</v>
      </c>
    </row>
    <row r="1605">
      <c r="B1605" s="31"/>
      <c r="G1605" s="272" t="s">
        <v>1099</v>
      </c>
    </row>
    <row r="1606">
      <c r="B1606" s="31"/>
      <c r="G1606" s="272" t="s">
        <v>1099</v>
      </c>
    </row>
    <row r="1607">
      <c r="B1607" s="31"/>
      <c r="G1607" s="272" t="s">
        <v>1099</v>
      </c>
    </row>
    <row r="1608">
      <c r="B1608" s="31"/>
      <c r="G1608" s="272" t="s">
        <v>1099</v>
      </c>
    </row>
    <row r="1609">
      <c r="B1609" s="31"/>
      <c r="G1609" s="272" t="s">
        <v>1099</v>
      </c>
    </row>
    <row r="1610">
      <c r="B1610" s="31"/>
      <c r="G1610" s="272" t="s">
        <v>1099</v>
      </c>
    </row>
    <row r="1611">
      <c r="B1611" s="31"/>
      <c r="G1611" s="272" t="s">
        <v>1099</v>
      </c>
    </row>
    <row r="1612">
      <c r="B1612" s="31"/>
      <c r="G1612" s="272" t="s">
        <v>1099</v>
      </c>
    </row>
    <row r="1613">
      <c r="B1613" s="31"/>
      <c r="G1613" s="272" t="s">
        <v>1099</v>
      </c>
    </row>
    <row r="1614">
      <c r="B1614" s="31"/>
      <c r="G1614" s="272" t="s">
        <v>1099</v>
      </c>
    </row>
    <row r="1615">
      <c r="B1615" s="31"/>
      <c r="G1615" s="272" t="s">
        <v>1099</v>
      </c>
    </row>
    <row r="1616">
      <c r="B1616" s="31"/>
      <c r="G1616" s="272" t="s">
        <v>1099</v>
      </c>
    </row>
    <row r="1617">
      <c r="B1617" s="31"/>
      <c r="G1617" s="272" t="s">
        <v>1099</v>
      </c>
    </row>
    <row r="1618">
      <c r="B1618" s="31"/>
      <c r="G1618" s="272" t="s">
        <v>1099</v>
      </c>
    </row>
    <row r="1619">
      <c r="B1619" s="31"/>
      <c r="G1619" s="272" t="s">
        <v>1099</v>
      </c>
    </row>
    <row r="1620">
      <c r="B1620" s="31"/>
      <c r="G1620" s="272" t="s">
        <v>1099</v>
      </c>
    </row>
    <row r="1621">
      <c r="B1621" s="31"/>
      <c r="G1621" s="272" t="s">
        <v>1099</v>
      </c>
    </row>
    <row r="1622">
      <c r="B1622" s="31"/>
      <c r="G1622" s="272" t="s">
        <v>1099</v>
      </c>
    </row>
    <row r="1623">
      <c r="B1623" s="31"/>
      <c r="G1623" s="272" t="s">
        <v>1099</v>
      </c>
    </row>
    <row r="1624">
      <c r="B1624" s="31"/>
      <c r="G1624" s="272" t="s">
        <v>1099</v>
      </c>
    </row>
    <row r="1625">
      <c r="B1625" s="31"/>
      <c r="G1625" s="272" t="s">
        <v>1099</v>
      </c>
    </row>
    <row r="1626">
      <c r="B1626" s="31"/>
      <c r="G1626" s="272" t="s">
        <v>1099</v>
      </c>
    </row>
    <row r="1627">
      <c r="B1627" s="31"/>
      <c r="G1627" s="272" t="s">
        <v>1099</v>
      </c>
    </row>
    <row r="1628">
      <c r="B1628" s="31"/>
      <c r="G1628" s="272" t="s">
        <v>1099</v>
      </c>
    </row>
    <row r="1629">
      <c r="B1629" s="31"/>
      <c r="G1629" s="272" t="s">
        <v>1099</v>
      </c>
    </row>
    <row r="1630">
      <c r="B1630" s="31"/>
      <c r="G1630" s="272" t="s">
        <v>1099</v>
      </c>
    </row>
    <row r="1631">
      <c r="B1631" s="31"/>
      <c r="G1631" s="272" t="s">
        <v>1099</v>
      </c>
    </row>
    <row r="1632">
      <c r="B1632" s="31"/>
      <c r="G1632" s="272" t="s">
        <v>1099</v>
      </c>
    </row>
    <row r="1633">
      <c r="B1633" s="31"/>
      <c r="G1633" s="272" t="s">
        <v>1099</v>
      </c>
    </row>
    <row r="1634">
      <c r="B1634" s="31"/>
      <c r="G1634" s="272" t="s">
        <v>1099</v>
      </c>
    </row>
    <row r="1635">
      <c r="B1635" s="31"/>
      <c r="G1635" s="272" t="s">
        <v>1099</v>
      </c>
    </row>
    <row r="1636">
      <c r="B1636" s="31"/>
      <c r="G1636" s="272" t="s">
        <v>1099</v>
      </c>
    </row>
    <row r="1637">
      <c r="B1637" s="31"/>
      <c r="G1637" s="272" t="s">
        <v>1099</v>
      </c>
    </row>
    <row r="1638">
      <c r="B1638" s="31"/>
      <c r="G1638" s="272" t="s">
        <v>1099</v>
      </c>
    </row>
    <row r="1639">
      <c r="B1639" s="31"/>
      <c r="G1639" s="272" t="s">
        <v>1099</v>
      </c>
    </row>
    <row r="1640">
      <c r="B1640" s="31"/>
      <c r="G1640" s="272" t="s">
        <v>1099</v>
      </c>
    </row>
    <row r="1641">
      <c r="B1641" s="31"/>
      <c r="G1641" s="272" t="s">
        <v>1099</v>
      </c>
    </row>
    <row r="1642">
      <c r="B1642" s="31"/>
      <c r="G1642" s="272" t="s">
        <v>1099</v>
      </c>
    </row>
    <row r="1643">
      <c r="B1643" s="31"/>
      <c r="G1643" s="272" t="s">
        <v>1099</v>
      </c>
    </row>
    <row r="1644">
      <c r="B1644" s="31"/>
      <c r="G1644" s="272" t="s">
        <v>1099</v>
      </c>
    </row>
    <row r="1645">
      <c r="B1645" s="31"/>
      <c r="G1645" s="272" t="s">
        <v>1099</v>
      </c>
    </row>
    <row r="1646">
      <c r="B1646" s="31"/>
      <c r="G1646" s="272" t="s">
        <v>1099</v>
      </c>
    </row>
    <row r="1647">
      <c r="B1647" s="31"/>
      <c r="G1647" s="272" t="s">
        <v>1099</v>
      </c>
    </row>
    <row r="1648">
      <c r="B1648" s="31"/>
      <c r="G1648" s="272" t="s">
        <v>1099</v>
      </c>
    </row>
    <row r="1649">
      <c r="B1649" s="31"/>
      <c r="G1649" s="272" t="s">
        <v>1099</v>
      </c>
    </row>
    <row r="1650">
      <c r="B1650" s="31"/>
      <c r="G1650" s="272" t="s">
        <v>1099</v>
      </c>
    </row>
    <row r="1651">
      <c r="B1651" s="31"/>
      <c r="G1651" s="272" t="s">
        <v>1099</v>
      </c>
    </row>
    <row r="1652">
      <c r="B1652" s="31"/>
      <c r="G1652" s="272" t="s">
        <v>1099</v>
      </c>
    </row>
    <row r="1653">
      <c r="B1653" s="31"/>
      <c r="G1653" s="272" t="s">
        <v>1099</v>
      </c>
    </row>
    <row r="1654">
      <c r="B1654" s="31"/>
      <c r="G1654" s="272" t="s">
        <v>1099</v>
      </c>
    </row>
    <row r="1655">
      <c r="B1655" s="31"/>
      <c r="G1655" s="272" t="s">
        <v>1099</v>
      </c>
    </row>
    <row r="1656">
      <c r="B1656" s="31"/>
      <c r="G1656" s="272" t="s">
        <v>1099</v>
      </c>
    </row>
    <row r="1657">
      <c r="B1657" s="31"/>
      <c r="G1657" s="272" t="s">
        <v>1099</v>
      </c>
    </row>
    <row r="1658">
      <c r="B1658" s="31"/>
      <c r="G1658" s="272" t="s">
        <v>1099</v>
      </c>
    </row>
    <row r="1659">
      <c r="B1659" s="31"/>
      <c r="G1659" s="272" t="s">
        <v>1099</v>
      </c>
    </row>
    <row r="1660">
      <c r="B1660" s="31"/>
      <c r="G1660" s="272" t="s">
        <v>1099</v>
      </c>
    </row>
    <row r="1661">
      <c r="B1661" s="31"/>
      <c r="G1661" s="272" t="s">
        <v>1099</v>
      </c>
    </row>
    <row r="1662">
      <c r="B1662" s="31"/>
      <c r="G1662" s="272" t="s">
        <v>1099</v>
      </c>
    </row>
    <row r="1663">
      <c r="B1663" s="31"/>
      <c r="G1663" s="272" t="s">
        <v>1099</v>
      </c>
    </row>
    <row r="1664">
      <c r="B1664" s="31"/>
      <c r="G1664" s="272" t="s">
        <v>1099</v>
      </c>
    </row>
    <row r="1665">
      <c r="B1665" s="31"/>
      <c r="G1665" s="272" t="s">
        <v>1099</v>
      </c>
    </row>
    <row r="1666">
      <c r="B1666" s="31"/>
      <c r="G1666" s="272" t="s">
        <v>1099</v>
      </c>
    </row>
    <row r="1667">
      <c r="B1667" s="31"/>
      <c r="G1667" s="272" t="s">
        <v>1099</v>
      </c>
    </row>
    <row r="1668">
      <c r="B1668" s="31"/>
      <c r="G1668" s="272" t="s">
        <v>1099</v>
      </c>
    </row>
    <row r="1669">
      <c r="B1669" s="31"/>
      <c r="G1669" s="272" t="s">
        <v>1099</v>
      </c>
    </row>
    <row r="1670">
      <c r="B1670" s="31"/>
      <c r="G1670" s="272" t="s">
        <v>1099</v>
      </c>
    </row>
    <row r="1671">
      <c r="B1671" s="31"/>
      <c r="G1671" s="272" t="s">
        <v>1099</v>
      </c>
    </row>
    <row r="1672">
      <c r="B1672" s="31"/>
      <c r="G1672" s="272" t="s">
        <v>1099</v>
      </c>
    </row>
    <row r="1673">
      <c r="B1673" s="31"/>
      <c r="G1673" s="272" t="s">
        <v>1099</v>
      </c>
    </row>
    <row r="1674">
      <c r="B1674" s="31"/>
      <c r="G1674" s="272" t="s">
        <v>1099</v>
      </c>
    </row>
    <row r="1675">
      <c r="B1675" s="31"/>
      <c r="G1675" s="272" t="s">
        <v>1099</v>
      </c>
    </row>
    <row r="1676">
      <c r="B1676" s="31"/>
      <c r="G1676" s="272" t="s">
        <v>1099</v>
      </c>
    </row>
    <row r="1677">
      <c r="B1677" s="31"/>
      <c r="G1677" s="272" t="s">
        <v>1099</v>
      </c>
    </row>
    <row r="1678">
      <c r="B1678" s="31"/>
      <c r="G1678" s="272" t="s">
        <v>1099</v>
      </c>
    </row>
    <row r="1679">
      <c r="B1679" s="31"/>
      <c r="G1679" s="272" t="s">
        <v>1099</v>
      </c>
    </row>
    <row r="1680">
      <c r="B1680" s="31"/>
      <c r="G1680" s="272" t="s">
        <v>1099</v>
      </c>
    </row>
    <row r="1681">
      <c r="B1681" s="31"/>
      <c r="G1681" s="272" t="s">
        <v>1099</v>
      </c>
    </row>
    <row r="1682">
      <c r="B1682" s="31"/>
      <c r="G1682" s="272" t="s">
        <v>1099</v>
      </c>
    </row>
    <row r="1683">
      <c r="B1683" s="31"/>
      <c r="G1683" s="272" t="s">
        <v>1099</v>
      </c>
    </row>
    <row r="1684">
      <c r="B1684" s="31"/>
      <c r="G1684" s="272" t="s">
        <v>1099</v>
      </c>
    </row>
    <row r="1685">
      <c r="B1685" s="31"/>
      <c r="G1685" s="272" t="s">
        <v>1099</v>
      </c>
    </row>
    <row r="1686">
      <c r="B1686" s="31"/>
      <c r="G1686" s="272" t="s">
        <v>1099</v>
      </c>
    </row>
    <row r="1687">
      <c r="B1687" s="31"/>
      <c r="G1687" s="272" t="s">
        <v>1099</v>
      </c>
    </row>
    <row r="1688">
      <c r="B1688" s="31"/>
      <c r="G1688" s="272" t="s">
        <v>1099</v>
      </c>
    </row>
    <row r="1689">
      <c r="B1689" s="31"/>
      <c r="G1689" s="272" t="s">
        <v>1099</v>
      </c>
    </row>
    <row r="1690">
      <c r="B1690" s="31"/>
      <c r="G1690" s="272" t="s">
        <v>1099</v>
      </c>
    </row>
    <row r="1691">
      <c r="B1691" s="31"/>
      <c r="G1691" s="272" t="s">
        <v>1099</v>
      </c>
    </row>
    <row r="1692">
      <c r="B1692" s="31"/>
      <c r="G1692" s="272" t="s">
        <v>1099</v>
      </c>
    </row>
    <row r="1693">
      <c r="B1693" s="31"/>
      <c r="G1693" s="272" t="s">
        <v>1099</v>
      </c>
    </row>
    <row r="1694">
      <c r="B1694" s="31"/>
      <c r="G1694" s="272" t="s">
        <v>1099</v>
      </c>
    </row>
    <row r="1695">
      <c r="B1695" s="31"/>
      <c r="G1695" s="272" t="s">
        <v>1099</v>
      </c>
    </row>
    <row r="1696">
      <c r="B1696" s="31"/>
      <c r="G1696" s="272" t="s">
        <v>1099</v>
      </c>
    </row>
    <row r="1697">
      <c r="B1697" s="31"/>
      <c r="G1697" s="272" t="s">
        <v>1099</v>
      </c>
    </row>
    <row r="1698">
      <c r="B1698" s="31"/>
      <c r="G1698" s="272" t="s">
        <v>1099</v>
      </c>
    </row>
    <row r="1699">
      <c r="B1699" s="31"/>
      <c r="G1699" s="272" t="s">
        <v>1099</v>
      </c>
    </row>
    <row r="1700">
      <c r="B1700" s="31"/>
      <c r="G1700" s="272" t="s">
        <v>1099</v>
      </c>
    </row>
    <row r="1701">
      <c r="B1701" s="31"/>
      <c r="G1701" s="272" t="s">
        <v>1099</v>
      </c>
    </row>
    <row r="1702">
      <c r="B1702" s="31"/>
      <c r="G1702" s="272" t="s">
        <v>1099</v>
      </c>
    </row>
    <row r="1703">
      <c r="B1703" s="31"/>
      <c r="G1703" s="272" t="s">
        <v>1099</v>
      </c>
    </row>
    <row r="1704">
      <c r="B1704" s="31"/>
      <c r="G1704" s="272" t="s">
        <v>1099</v>
      </c>
    </row>
    <row r="1705">
      <c r="B1705" s="31"/>
      <c r="G1705" s="272" t="s">
        <v>1099</v>
      </c>
    </row>
    <row r="1706">
      <c r="B1706" s="31"/>
      <c r="G1706" s="272" t="s">
        <v>1099</v>
      </c>
    </row>
    <row r="1707">
      <c r="B1707" s="31"/>
      <c r="G1707" s="272" t="s">
        <v>1099</v>
      </c>
    </row>
    <row r="1708">
      <c r="B1708" s="31"/>
      <c r="G1708" s="272" t="s">
        <v>1099</v>
      </c>
    </row>
    <row r="1709">
      <c r="B1709" s="31"/>
      <c r="G1709" s="272" t="s">
        <v>1099</v>
      </c>
    </row>
    <row r="1710">
      <c r="B1710" s="31"/>
      <c r="G1710" s="272" t="s">
        <v>1099</v>
      </c>
    </row>
    <row r="1711">
      <c r="B1711" s="31"/>
      <c r="G1711" s="272" t="s">
        <v>1099</v>
      </c>
    </row>
    <row r="1712">
      <c r="B1712" s="31"/>
      <c r="G1712" s="272" t="s">
        <v>1099</v>
      </c>
    </row>
    <row r="1713">
      <c r="B1713" s="31"/>
      <c r="G1713" s="272" t="s">
        <v>1099</v>
      </c>
    </row>
    <row r="1714">
      <c r="B1714" s="31"/>
      <c r="G1714" s="272" t="s">
        <v>1099</v>
      </c>
    </row>
    <row r="1715">
      <c r="B1715" s="31"/>
      <c r="G1715" s="272" t="s">
        <v>1099</v>
      </c>
    </row>
    <row r="1716">
      <c r="B1716" s="31"/>
      <c r="G1716" s="272" t="s">
        <v>1099</v>
      </c>
    </row>
    <row r="1717">
      <c r="B1717" s="31"/>
      <c r="G1717" s="272" t="s">
        <v>1099</v>
      </c>
    </row>
    <row r="1718">
      <c r="B1718" s="31"/>
      <c r="G1718" s="272" t="s">
        <v>1099</v>
      </c>
    </row>
    <row r="1719">
      <c r="B1719" s="31"/>
      <c r="G1719" s="272" t="s">
        <v>1099</v>
      </c>
    </row>
    <row r="1720">
      <c r="B1720" s="31"/>
      <c r="G1720" s="272" t="s">
        <v>1099</v>
      </c>
    </row>
    <row r="1721">
      <c r="B1721" s="31"/>
      <c r="G1721" s="272" t="s">
        <v>1099</v>
      </c>
    </row>
    <row r="1722">
      <c r="B1722" s="31"/>
      <c r="G1722" s="272" t="s">
        <v>1099</v>
      </c>
    </row>
    <row r="1723">
      <c r="B1723" s="31"/>
      <c r="G1723" s="272" t="s">
        <v>1099</v>
      </c>
    </row>
    <row r="1724">
      <c r="B1724" s="31"/>
      <c r="G1724" s="272" t="s">
        <v>1099</v>
      </c>
    </row>
    <row r="1725">
      <c r="B1725" s="31"/>
      <c r="G1725" s="272" t="s">
        <v>1099</v>
      </c>
    </row>
    <row r="1726">
      <c r="B1726" s="31"/>
      <c r="G1726" s="272" t="s">
        <v>1099</v>
      </c>
    </row>
    <row r="1727">
      <c r="B1727" s="31"/>
      <c r="G1727" s="272" t="s">
        <v>1099</v>
      </c>
    </row>
    <row r="1728">
      <c r="B1728" s="31"/>
      <c r="G1728" s="272" t="s">
        <v>1099</v>
      </c>
    </row>
    <row r="1729">
      <c r="B1729" s="31"/>
      <c r="G1729" s="272" t="s">
        <v>1099</v>
      </c>
    </row>
    <row r="1730">
      <c r="B1730" s="31"/>
      <c r="G1730" s="272" t="s">
        <v>1099</v>
      </c>
    </row>
    <row r="1731">
      <c r="B1731" s="31"/>
      <c r="G1731" s="272" t="s">
        <v>1099</v>
      </c>
    </row>
    <row r="1732">
      <c r="B1732" s="31"/>
      <c r="G1732" s="272" t="s">
        <v>1099</v>
      </c>
    </row>
    <row r="1733">
      <c r="B1733" s="31"/>
      <c r="G1733" s="272" t="s">
        <v>1099</v>
      </c>
    </row>
    <row r="1734">
      <c r="B1734" s="31"/>
      <c r="G1734" s="272" t="s">
        <v>1099</v>
      </c>
    </row>
    <row r="1735">
      <c r="B1735" s="31"/>
      <c r="G1735" s="272" t="s">
        <v>1099</v>
      </c>
    </row>
    <row r="1736">
      <c r="B1736" s="31"/>
      <c r="G1736" s="272" t="s">
        <v>1099</v>
      </c>
    </row>
    <row r="1737">
      <c r="B1737" s="31"/>
      <c r="G1737" s="272" t="s">
        <v>1099</v>
      </c>
    </row>
    <row r="1738">
      <c r="B1738" s="31"/>
      <c r="G1738" s="272" t="s">
        <v>1099</v>
      </c>
    </row>
    <row r="1739">
      <c r="B1739" s="31"/>
      <c r="G1739" s="272" t="s">
        <v>1099</v>
      </c>
    </row>
    <row r="1740">
      <c r="B1740" s="31"/>
      <c r="G1740" s="272" t="s">
        <v>1099</v>
      </c>
    </row>
    <row r="1741">
      <c r="B1741" s="31"/>
      <c r="G1741" s="272" t="s">
        <v>1099</v>
      </c>
    </row>
    <row r="1742">
      <c r="B1742" s="31"/>
      <c r="G1742" s="272" t="s">
        <v>1099</v>
      </c>
    </row>
    <row r="1743">
      <c r="B1743" s="31"/>
      <c r="G1743" s="272" t="s">
        <v>1099</v>
      </c>
    </row>
    <row r="1744">
      <c r="B1744" s="31"/>
      <c r="G1744" s="272" t="s">
        <v>1099</v>
      </c>
    </row>
    <row r="1745">
      <c r="B1745" s="31"/>
      <c r="G1745" s="272" t="s">
        <v>1099</v>
      </c>
    </row>
    <row r="1746">
      <c r="B1746" s="31"/>
      <c r="G1746" s="272" t="s">
        <v>1099</v>
      </c>
    </row>
    <row r="1747">
      <c r="B1747" s="31"/>
      <c r="G1747" s="272" t="s">
        <v>1099</v>
      </c>
    </row>
    <row r="1748">
      <c r="B1748" s="31"/>
      <c r="G1748" s="272" t="s">
        <v>1099</v>
      </c>
    </row>
    <row r="1749">
      <c r="B1749" s="31"/>
      <c r="G1749" s="272" t="s">
        <v>1099</v>
      </c>
    </row>
    <row r="1750">
      <c r="B1750" s="31"/>
      <c r="G1750" s="272" t="s">
        <v>1099</v>
      </c>
    </row>
    <row r="1751">
      <c r="B1751" s="31"/>
      <c r="G1751" s="272" t="s">
        <v>1099</v>
      </c>
    </row>
    <row r="1752">
      <c r="B1752" s="31"/>
      <c r="G1752" s="272" t="s">
        <v>1099</v>
      </c>
    </row>
    <row r="1753">
      <c r="B1753" s="31"/>
      <c r="G1753" s="272" t="s">
        <v>1099</v>
      </c>
    </row>
    <row r="1754">
      <c r="B1754" s="31"/>
      <c r="G1754" s="272" t="s">
        <v>1099</v>
      </c>
    </row>
    <row r="1755">
      <c r="B1755" s="31"/>
      <c r="G1755" s="272" t="s">
        <v>1099</v>
      </c>
    </row>
    <row r="1756">
      <c r="B1756" s="31"/>
      <c r="G1756" s="272" t="s">
        <v>1099</v>
      </c>
    </row>
    <row r="1757">
      <c r="B1757" s="31"/>
      <c r="G1757" s="272" t="s">
        <v>1099</v>
      </c>
    </row>
    <row r="1758">
      <c r="B1758" s="31"/>
      <c r="G1758" s="272" t="s">
        <v>1099</v>
      </c>
    </row>
    <row r="1759">
      <c r="B1759" s="31"/>
      <c r="G1759" s="272" t="s">
        <v>1099</v>
      </c>
    </row>
    <row r="1760">
      <c r="B1760" s="31"/>
      <c r="G1760" s="272" t="s">
        <v>1099</v>
      </c>
    </row>
    <row r="1761">
      <c r="B1761" s="31"/>
      <c r="G1761" s="272" t="s">
        <v>1099</v>
      </c>
    </row>
    <row r="1762">
      <c r="B1762" s="31"/>
      <c r="G1762" s="272" t="s">
        <v>1099</v>
      </c>
    </row>
    <row r="1763">
      <c r="B1763" s="31"/>
      <c r="G1763" s="272" t="s">
        <v>1099</v>
      </c>
    </row>
    <row r="1764">
      <c r="B1764" s="31"/>
      <c r="G1764" s="272" t="s">
        <v>1099</v>
      </c>
    </row>
    <row r="1765">
      <c r="B1765" s="31"/>
      <c r="G1765" s="272" t="s">
        <v>1099</v>
      </c>
    </row>
    <row r="1766">
      <c r="B1766" s="31"/>
      <c r="G1766" s="272" t="s">
        <v>1099</v>
      </c>
    </row>
    <row r="1767">
      <c r="B1767" s="31"/>
      <c r="G1767" s="272" t="s">
        <v>1099</v>
      </c>
    </row>
    <row r="1768">
      <c r="B1768" s="31"/>
      <c r="G1768" s="272" t="s">
        <v>1099</v>
      </c>
    </row>
    <row r="1769">
      <c r="B1769" s="31"/>
      <c r="G1769" s="272" t="s">
        <v>1099</v>
      </c>
    </row>
    <row r="1770">
      <c r="B1770" s="31"/>
      <c r="G1770" s="272" t="s">
        <v>1099</v>
      </c>
    </row>
    <row r="1771">
      <c r="B1771" s="31"/>
      <c r="G1771" s="272" t="s">
        <v>1099</v>
      </c>
    </row>
    <row r="1772">
      <c r="B1772" s="31"/>
      <c r="G1772" s="272" t="s">
        <v>1099</v>
      </c>
    </row>
    <row r="1773">
      <c r="B1773" s="31"/>
      <c r="G1773" s="272" t="s">
        <v>1099</v>
      </c>
    </row>
    <row r="1774">
      <c r="B1774" s="31"/>
      <c r="G1774" s="272" t="s">
        <v>1099</v>
      </c>
    </row>
    <row r="1775">
      <c r="B1775" s="31"/>
      <c r="G1775" s="272" t="s">
        <v>1099</v>
      </c>
    </row>
    <row r="1776">
      <c r="B1776" s="31"/>
      <c r="G1776" s="272" t="s">
        <v>1099</v>
      </c>
    </row>
    <row r="1777">
      <c r="B1777" s="31"/>
      <c r="G1777" s="272" t="s">
        <v>1099</v>
      </c>
    </row>
    <row r="1778">
      <c r="B1778" s="31"/>
      <c r="G1778" s="272" t="s">
        <v>1099</v>
      </c>
    </row>
    <row r="1779">
      <c r="B1779" s="31"/>
      <c r="G1779" s="272" t="s">
        <v>1099</v>
      </c>
    </row>
    <row r="1780">
      <c r="B1780" s="31"/>
      <c r="G1780" s="272" t="s">
        <v>1099</v>
      </c>
    </row>
    <row r="1781">
      <c r="B1781" s="31"/>
      <c r="G1781" s="272" t="s">
        <v>1099</v>
      </c>
    </row>
    <row r="1782">
      <c r="B1782" s="31"/>
      <c r="G1782" s="272" t="s">
        <v>1099</v>
      </c>
    </row>
    <row r="1783">
      <c r="B1783" s="31"/>
      <c r="G1783" s="272" t="s">
        <v>1099</v>
      </c>
    </row>
    <row r="1784">
      <c r="B1784" s="31"/>
      <c r="G1784" s="272" t="s">
        <v>1099</v>
      </c>
    </row>
    <row r="1785">
      <c r="B1785" s="31"/>
      <c r="G1785" s="272" t="s">
        <v>1099</v>
      </c>
    </row>
    <row r="1786">
      <c r="B1786" s="31"/>
      <c r="G1786" s="272" t="s">
        <v>1099</v>
      </c>
    </row>
    <row r="1787">
      <c r="B1787" s="31"/>
      <c r="G1787" s="272" t="s">
        <v>1099</v>
      </c>
    </row>
    <row r="1788">
      <c r="B1788" s="31"/>
      <c r="G1788" s="272" t="s">
        <v>1099</v>
      </c>
    </row>
    <row r="1789">
      <c r="B1789" s="31"/>
      <c r="G1789" s="272" t="s">
        <v>1099</v>
      </c>
    </row>
    <row r="1790">
      <c r="B1790" s="31"/>
      <c r="G1790" s="272" t="s">
        <v>1099</v>
      </c>
    </row>
    <row r="1791">
      <c r="B1791" s="31"/>
      <c r="G1791" s="272" t="s">
        <v>1099</v>
      </c>
    </row>
    <row r="1792">
      <c r="B1792" s="31"/>
      <c r="G1792" s="272" t="s">
        <v>1099</v>
      </c>
    </row>
    <row r="1793">
      <c r="B1793" s="31"/>
      <c r="G1793" s="272" t="s">
        <v>1099</v>
      </c>
    </row>
    <row r="1794">
      <c r="B1794" s="31"/>
      <c r="G1794" s="272" t="s">
        <v>1099</v>
      </c>
    </row>
    <row r="1795">
      <c r="B1795" s="31"/>
      <c r="G1795" s="272" t="s">
        <v>1099</v>
      </c>
    </row>
    <row r="1796">
      <c r="B1796" s="31"/>
      <c r="G1796" s="272" t="s">
        <v>1099</v>
      </c>
    </row>
    <row r="1797">
      <c r="B1797" s="31"/>
      <c r="G1797" s="272" t="s">
        <v>1099</v>
      </c>
    </row>
    <row r="1798">
      <c r="B1798" s="31"/>
      <c r="G1798" s="272" t="s">
        <v>1099</v>
      </c>
    </row>
    <row r="1799">
      <c r="B1799" s="31"/>
      <c r="G1799" s="272" t="s">
        <v>1099</v>
      </c>
    </row>
    <row r="1800">
      <c r="B1800" s="31"/>
      <c r="G1800" s="272" t="s">
        <v>1099</v>
      </c>
    </row>
    <row r="1801">
      <c r="B1801" s="31"/>
      <c r="G1801" s="272" t="s">
        <v>1099</v>
      </c>
    </row>
    <row r="1802">
      <c r="B1802" s="31"/>
      <c r="G1802" s="272" t="s">
        <v>1099</v>
      </c>
    </row>
    <row r="1803">
      <c r="B1803" s="31"/>
      <c r="G1803" s="272" t="s">
        <v>1099</v>
      </c>
    </row>
    <row r="1804">
      <c r="B1804" s="31"/>
      <c r="G1804" s="272" t="s">
        <v>1099</v>
      </c>
    </row>
    <row r="1805">
      <c r="B1805" s="31"/>
      <c r="G1805" s="272" t="s">
        <v>1099</v>
      </c>
    </row>
    <row r="1806">
      <c r="B1806" s="31"/>
      <c r="G1806" s="272" t="s">
        <v>1099</v>
      </c>
    </row>
    <row r="1807">
      <c r="B1807" s="31"/>
      <c r="G1807" s="272" t="s">
        <v>1099</v>
      </c>
    </row>
    <row r="1808">
      <c r="B1808" s="31"/>
      <c r="G1808" s="272" t="s">
        <v>1099</v>
      </c>
    </row>
    <row r="1809">
      <c r="B1809" s="31"/>
      <c r="G1809" s="272" t="s">
        <v>1099</v>
      </c>
    </row>
    <row r="1810">
      <c r="B1810" s="31"/>
      <c r="G1810" s="272" t="s">
        <v>1099</v>
      </c>
    </row>
    <row r="1811">
      <c r="B1811" s="31"/>
      <c r="G1811" s="272" t="s">
        <v>1099</v>
      </c>
    </row>
    <row r="1812">
      <c r="B1812" s="31"/>
      <c r="G1812" s="272" t="s">
        <v>1099</v>
      </c>
    </row>
    <row r="1813">
      <c r="B1813" s="31"/>
      <c r="G1813" s="272" t="s">
        <v>1099</v>
      </c>
    </row>
    <row r="1814">
      <c r="B1814" s="31"/>
      <c r="G1814" s="272" t="s">
        <v>1099</v>
      </c>
    </row>
    <row r="1815">
      <c r="B1815" s="31"/>
      <c r="G1815" s="272" t="s">
        <v>1099</v>
      </c>
    </row>
    <row r="1816">
      <c r="B1816" s="31"/>
      <c r="G1816" s="272" t="s">
        <v>1099</v>
      </c>
    </row>
    <row r="1817">
      <c r="B1817" s="31"/>
      <c r="G1817" s="272" t="s">
        <v>1099</v>
      </c>
    </row>
    <row r="1818">
      <c r="B1818" s="31"/>
      <c r="G1818" s="272" t="s">
        <v>1099</v>
      </c>
    </row>
    <row r="1819">
      <c r="B1819" s="31"/>
      <c r="G1819" s="272" t="s">
        <v>1099</v>
      </c>
    </row>
    <row r="1820">
      <c r="B1820" s="31"/>
      <c r="G1820" s="272" t="s">
        <v>1099</v>
      </c>
    </row>
    <row r="1821">
      <c r="B1821" s="31"/>
      <c r="G1821" s="272" t="s">
        <v>1099</v>
      </c>
    </row>
    <row r="1822">
      <c r="B1822" s="31"/>
      <c r="G1822" s="272" t="s">
        <v>1099</v>
      </c>
    </row>
    <row r="1823">
      <c r="B1823" s="31"/>
      <c r="G1823" s="272" t="s">
        <v>1099</v>
      </c>
    </row>
    <row r="1824">
      <c r="B1824" s="31"/>
      <c r="G1824" s="272" t="s">
        <v>1099</v>
      </c>
    </row>
    <row r="1825">
      <c r="B1825" s="31"/>
      <c r="G1825" s="272" t="s">
        <v>1099</v>
      </c>
    </row>
    <row r="1826">
      <c r="B1826" s="31"/>
      <c r="G1826" s="272" t="s">
        <v>1099</v>
      </c>
    </row>
    <row r="1827">
      <c r="B1827" s="31"/>
      <c r="G1827" s="272" t="s">
        <v>1099</v>
      </c>
    </row>
    <row r="1828">
      <c r="B1828" s="31"/>
      <c r="G1828" s="272" t="s">
        <v>1099</v>
      </c>
    </row>
    <row r="1829">
      <c r="B1829" s="31"/>
      <c r="G1829" s="272" t="s">
        <v>1099</v>
      </c>
    </row>
    <row r="1830">
      <c r="B1830" s="31"/>
      <c r="G1830" s="272" t="s">
        <v>1099</v>
      </c>
    </row>
    <row r="1831">
      <c r="B1831" s="31"/>
      <c r="G1831" s="272" t="s">
        <v>1099</v>
      </c>
    </row>
    <row r="1832">
      <c r="B1832" s="31"/>
      <c r="G1832" s="272" t="s">
        <v>1099</v>
      </c>
    </row>
    <row r="1833">
      <c r="B1833" s="31"/>
      <c r="G1833" s="272" t="s">
        <v>1099</v>
      </c>
    </row>
    <row r="1834">
      <c r="B1834" s="31"/>
      <c r="G1834" s="272" t="s">
        <v>1099</v>
      </c>
    </row>
    <row r="1835">
      <c r="B1835" s="31"/>
      <c r="G1835" s="272" t="s">
        <v>1099</v>
      </c>
    </row>
    <row r="1836">
      <c r="B1836" s="31"/>
      <c r="G1836" s="272" t="s">
        <v>1099</v>
      </c>
    </row>
    <row r="1837">
      <c r="B1837" s="31"/>
      <c r="G1837" s="272" t="s">
        <v>1099</v>
      </c>
    </row>
    <row r="1838">
      <c r="B1838" s="31"/>
      <c r="G1838" s="272" t="s">
        <v>1099</v>
      </c>
    </row>
    <row r="1839">
      <c r="B1839" s="31"/>
      <c r="G1839" s="272" t="s">
        <v>1099</v>
      </c>
    </row>
    <row r="1840">
      <c r="B1840" s="31"/>
      <c r="G1840" s="272" t="s">
        <v>1099</v>
      </c>
    </row>
    <row r="1841">
      <c r="B1841" s="31"/>
      <c r="G1841" s="272" t="s">
        <v>1099</v>
      </c>
    </row>
    <row r="1842">
      <c r="B1842" s="31"/>
      <c r="G1842" s="272" t="s">
        <v>1099</v>
      </c>
    </row>
    <row r="1843">
      <c r="B1843" s="31"/>
      <c r="G1843" s="272" t="s">
        <v>1099</v>
      </c>
    </row>
    <row r="1844">
      <c r="B1844" s="31"/>
      <c r="G1844" s="272" t="s">
        <v>1099</v>
      </c>
    </row>
    <row r="1845">
      <c r="B1845" s="31"/>
      <c r="G1845" s="272" t="s">
        <v>1099</v>
      </c>
    </row>
    <row r="1846">
      <c r="B1846" s="31"/>
      <c r="G1846" s="272" t="s">
        <v>1099</v>
      </c>
    </row>
    <row r="1847">
      <c r="B1847" s="31"/>
      <c r="G1847" s="272" t="s">
        <v>1099</v>
      </c>
    </row>
    <row r="1848">
      <c r="B1848" s="31"/>
      <c r="G1848" s="272" t="s">
        <v>1099</v>
      </c>
    </row>
    <row r="1849">
      <c r="B1849" s="31"/>
      <c r="G1849" s="272" t="s">
        <v>1099</v>
      </c>
    </row>
    <row r="1850">
      <c r="B1850" s="31"/>
      <c r="G1850" s="272" t="s">
        <v>1099</v>
      </c>
    </row>
    <row r="1851">
      <c r="B1851" s="31"/>
      <c r="G1851" s="272" t="s">
        <v>1099</v>
      </c>
    </row>
    <row r="1852">
      <c r="B1852" s="31"/>
      <c r="G1852" s="272" t="s">
        <v>1099</v>
      </c>
    </row>
    <row r="1853">
      <c r="B1853" s="31"/>
      <c r="G1853" s="272" t="s">
        <v>1099</v>
      </c>
    </row>
    <row r="1854">
      <c r="B1854" s="31"/>
      <c r="G1854" s="272" t="s">
        <v>1099</v>
      </c>
    </row>
    <row r="1855">
      <c r="B1855" s="31"/>
      <c r="G1855" s="272" t="s">
        <v>1099</v>
      </c>
    </row>
    <row r="1856">
      <c r="B1856" s="31"/>
      <c r="G1856" s="272" t="s">
        <v>1099</v>
      </c>
    </row>
    <row r="1857">
      <c r="B1857" s="31"/>
      <c r="G1857" s="272" t="s">
        <v>1099</v>
      </c>
    </row>
    <row r="1858">
      <c r="B1858" s="31"/>
      <c r="G1858" s="272" t="s">
        <v>1099</v>
      </c>
    </row>
    <row r="1859">
      <c r="B1859" s="31"/>
      <c r="G1859" s="272" t="s">
        <v>1099</v>
      </c>
    </row>
    <row r="1860">
      <c r="B1860" s="31"/>
      <c r="G1860" s="272" t="s">
        <v>1099</v>
      </c>
    </row>
    <row r="1861">
      <c r="B1861" s="31"/>
      <c r="G1861" s="272" t="s">
        <v>1099</v>
      </c>
    </row>
    <row r="1862">
      <c r="B1862" s="31"/>
      <c r="G1862" s="272" t="s">
        <v>1099</v>
      </c>
    </row>
    <row r="1863">
      <c r="B1863" s="31"/>
      <c r="G1863" s="272" t="s">
        <v>1099</v>
      </c>
    </row>
    <row r="1864">
      <c r="B1864" s="31"/>
      <c r="G1864" s="272" t="s">
        <v>1099</v>
      </c>
    </row>
    <row r="1865">
      <c r="B1865" s="31"/>
      <c r="G1865" s="272" t="s">
        <v>1099</v>
      </c>
    </row>
    <row r="1866">
      <c r="B1866" s="31"/>
      <c r="G1866" s="272" t="s">
        <v>1099</v>
      </c>
    </row>
    <row r="1867">
      <c r="B1867" s="31"/>
      <c r="G1867" s="272" t="s">
        <v>1099</v>
      </c>
    </row>
    <row r="1868">
      <c r="B1868" s="31"/>
      <c r="G1868" s="272" t="s">
        <v>1099</v>
      </c>
    </row>
    <row r="1869">
      <c r="B1869" s="31"/>
      <c r="G1869" s="272" t="s">
        <v>1099</v>
      </c>
    </row>
    <row r="1870">
      <c r="B1870" s="31"/>
      <c r="G1870" s="272" t="s">
        <v>1099</v>
      </c>
    </row>
    <row r="1871">
      <c r="B1871" s="31"/>
      <c r="G1871" s="272" t="s">
        <v>1099</v>
      </c>
    </row>
    <row r="1872">
      <c r="B1872" s="31"/>
      <c r="G1872" s="272" t="s">
        <v>1099</v>
      </c>
    </row>
    <row r="1873">
      <c r="B1873" s="31"/>
      <c r="G1873" s="272" t="s">
        <v>1099</v>
      </c>
    </row>
    <row r="1874">
      <c r="B1874" s="31"/>
      <c r="G1874" s="272" t="s">
        <v>1099</v>
      </c>
    </row>
    <row r="1875">
      <c r="B1875" s="31"/>
      <c r="G1875" s="272" t="s">
        <v>1099</v>
      </c>
    </row>
    <row r="1876">
      <c r="B1876" s="31"/>
      <c r="G1876" s="272" t="s">
        <v>1099</v>
      </c>
    </row>
    <row r="1877">
      <c r="B1877" s="31"/>
      <c r="G1877" s="272" t="s">
        <v>1099</v>
      </c>
    </row>
    <row r="1878">
      <c r="B1878" s="31"/>
      <c r="G1878" s="272" t="s">
        <v>1099</v>
      </c>
    </row>
    <row r="1879">
      <c r="B1879" s="31"/>
      <c r="G1879" s="272" t="s">
        <v>1099</v>
      </c>
    </row>
    <row r="1880">
      <c r="B1880" s="31"/>
      <c r="G1880" s="272" t="s">
        <v>1099</v>
      </c>
    </row>
    <row r="1881">
      <c r="B1881" s="31"/>
      <c r="G1881" s="272" t="s">
        <v>1099</v>
      </c>
    </row>
    <row r="1882">
      <c r="B1882" s="31"/>
      <c r="G1882" s="272" t="s">
        <v>1099</v>
      </c>
    </row>
    <row r="1883">
      <c r="B1883" s="31"/>
      <c r="G1883" s="272" t="s">
        <v>1099</v>
      </c>
    </row>
    <row r="1884">
      <c r="B1884" s="31"/>
      <c r="G1884" s="272" t="s">
        <v>1099</v>
      </c>
    </row>
    <row r="1885">
      <c r="B1885" s="31"/>
      <c r="G1885" s="272" t="s">
        <v>1099</v>
      </c>
    </row>
    <row r="1886">
      <c r="B1886" s="31"/>
      <c r="G1886" s="272" t="s">
        <v>1099</v>
      </c>
    </row>
    <row r="1887">
      <c r="B1887" s="31"/>
      <c r="G1887" s="272" t="s">
        <v>1099</v>
      </c>
    </row>
    <row r="1888">
      <c r="B1888" s="31"/>
      <c r="G1888" s="272" t="s">
        <v>1099</v>
      </c>
    </row>
    <row r="1889">
      <c r="B1889" s="31"/>
      <c r="G1889" s="272" t="s">
        <v>1099</v>
      </c>
    </row>
    <row r="1890">
      <c r="B1890" s="31"/>
      <c r="G1890" s="272" t="s">
        <v>1099</v>
      </c>
    </row>
    <row r="1891">
      <c r="B1891" s="31"/>
      <c r="G1891" s="272" t="s">
        <v>1099</v>
      </c>
    </row>
    <row r="1892">
      <c r="B1892" s="31"/>
      <c r="G1892" s="272" t="s">
        <v>1099</v>
      </c>
    </row>
    <row r="1893">
      <c r="B1893" s="31"/>
      <c r="G1893" s="272" t="s">
        <v>1099</v>
      </c>
    </row>
    <row r="1894">
      <c r="B1894" s="31"/>
      <c r="G1894" s="272" t="s">
        <v>1099</v>
      </c>
    </row>
    <row r="1895">
      <c r="B1895" s="31"/>
      <c r="G1895" s="272" t="s">
        <v>1099</v>
      </c>
    </row>
    <row r="1896">
      <c r="B1896" s="31"/>
      <c r="G1896" s="272" t="s">
        <v>1099</v>
      </c>
    </row>
    <row r="1897">
      <c r="B1897" s="31"/>
      <c r="G1897" s="272" t="s">
        <v>1099</v>
      </c>
    </row>
    <row r="1898">
      <c r="B1898" s="31"/>
      <c r="G1898" s="272" t="s">
        <v>1099</v>
      </c>
    </row>
    <row r="1899">
      <c r="B1899" s="31"/>
      <c r="G1899" s="272" t="s">
        <v>1099</v>
      </c>
    </row>
    <row r="1900">
      <c r="B1900" s="31"/>
      <c r="G1900" s="272" t="s">
        <v>1099</v>
      </c>
    </row>
    <row r="1901">
      <c r="B1901" s="31"/>
      <c r="G1901" s="272" t="s">
        <v>1099</v>
      </c>
    </row>
    <row r="1902">
      <c r="B1902" s="31"/>
      <c r="G1902" s="272" t="s">
        <v>1099</v>
      </c>
    </row>
    <row r="1903">
      <c r="B1903" s="31"/>
      <c r="G1903" s="272" t="s">
        <v>1099</v>
      </c>
    </row>
    <row r="1904">
      <c r="B1904" s="31"/>
      <c r="G1904" s="272" t="s">
        <v>1099</v>
      </c>
    </row>
    <row r="1905">
      <c r="B1905" s="31"/>
      <c r="G1905" s="272" t="s">
        <v>1099</v>
      </c>
    </row>
    <row r="1906">
      <c r="B1906" s="31"/>
      <c r="G1906" s="272" t="s">
        <v>1099</v>
      </c>
    </row>
    <row r="1907">
      <c r="B1907" s="31"/>
      <c r="G1907" s="272" t="s">
        <v>1099</v>
      </c>
    </row>
    <row r="1908">
      <c r="B1908" s="31"/>
      <c r="G1908" s="272" t="s">
        <v>1099</v>
      </c>
    </row>
    <row r="1909">
      <c r="B1909" s="31"/>
      <c r="G1909" s="272" t="s">
        <v>1099</v>
      </c>
    </row>
    <row r="1910">
      <c r="B1910" s="31"/>
      <c r="G1910" s="272" t="s">
        <v>1099</v>
      </c>
    </row>
    <row r="1911">
      <c r="B1911" s="31"/>
      <c r="G1911" s="272" t="s">
        <v>1099</v>
      </c>
    </row>
    <row r="1912">
      <c r="B1912" s="31"/>
      <c r="G1912" s="272" t="s">
        <v>1099</v>
      </c>
    </row>
    <row r="1913">
      <c r="B1913" s="31"/>
      <c r="G1913" s="272" t="s">
        <v>1099</v>
      </c>
    </row>
    <row r="1914">
      <c r="B1914" s="31"/>
      <c r="G1914" s="272" t="s">
        <v>1099</v>
      </c>
    </row>
    <row r="1915">
      <c r="B1915" s="31"/>
      <c r="G1915" s="272" t="s">
        <v>1099</v>
      </c>
    </row>
    <row r="1916">
      <c r="B1916" s="31"/>
      <c r="G1916" s="272" t="s">
        <v>1099</v>
      </c>
    </row>
    <row r="1917">
      <c r="B1917" s="31"/>
      <c r="G1917" s="272" t="s">
        <v>1099</v>
      </c>
    </row>
    <row r="1918">
      <c r="B1918" s="31"/>
      <c r="G1918" s="272" t="s">
        <v>1099</v>
      </c>
    </row>
    <row r="1919">
      <c r="B1919" s="31"/>
      <c r="G1919" s="272" t="s">
        <v>1099</v>
      </c>
    </row>
    <row r="1920">
      <c r="B1920" s="31"/>
      <c r="G1920" s="272" t="s">
        <v>1099</v>
      </c>
    </row>
    <row r="1921">
      <c r="B1921" s="31"/>
      <c r="G1921" s="272" t="s">
        <v>1099</v>
      </c>
    </row>
    <row r="1922">
      <c r="B1922" s="31"/>
      <c r="G1922" s="272" t="s">
        <v>1099</v>
      </c>
    </row>
    <row r="1923">
      <c r="B1923" s="31"/>
      <c r="G1923" s="272" t="s">
        <v>1099</v>
      </c>
    </row>
    <row r="1924">
      <c r="B1924" s="31"/>
      <c r="G1924" s="272" t="s">
        <v>1099</v>
      </c>
    </row>
    <row r="1925">
      <c r="B1925" s="31"/>
      <c r="G1925" s="272" t="s">
        <v>1099</v>
      </c>
    </row>
    <row r="1926">
      <c r="B1926" s="31"/>
      <c r="G1926" s="272" t="s">
        <v>1099</v>
      </c>
    </row>
    <row r="1927">
      <c r="B1927" s="31"/>
      <c r="G1927" s="272" t="s">
        <v>1099</v>
      </c>
    </row>
    <row r="1928">
      <c r="B1928" s="31"/>
      <c r="G1928" s="272" t="s">
        <v>1099</v>
      </c>
    </row>
    <row r="1929">
      <c r="B1929" s="31"/>
      <c r="G1929" s="272" t="s">
        <v>1099</v>
      </c>
    </row>
    <row r="1930">
      <c r="B1930" s="31"/>
      <c r="G1930" s="272" t="s">
        <v>1099</v>
      </c>
    </row>
    <row r="1931">
      <c r="B1931" s="31"/>
      <c r="G1931" s="272" t="s">
        <v>1099</v>
      </c>
    </row>
    <row r="1932">
      <c r="B1932" s="31"/>
      <c r="G1932" s="272" t="s">
        <v>1099</v>
      </c>
    </row>
    <row r="1933">
      <c r="B1933" s="31"/>
      <c r="G1933" s="272" t="s">
        <v>1099</v>
      </c>
    </row>
    <row r="1934">
      <c r="B1934" s="31"/>
      <c r="G1934" s="272" t="s">
        <v>1099</v>
      </c>
    </row>
    <row r="1935">
      <c r="B1935" s="31"/>
      <c r="G1935" s="272" t="s">
        <v>1099</v>
      </c>
    </row>
    <row r="1936">
      <c r="B1936" s="31"/>
      <c r="G1936" s="272" t="s">
        <v>1099</v>
      </c>
    </row>
    <row r="1937">
      <c r="B1937" s="31"/>
      <c r="G1937" s="272" t="s">
        <v>1099</v>
      </c>
    </row>
    <row r="1938">
      <c r="B1938" s="31"/>
      <c r="G1938" s="272" t="s">
        <v>1099</v>
      </c>
    </row>
    <row r="1939">
      <c r="B1939" s="31"/>
      <c r="G1939" s="272" t="s">
        <v>1099</v>
      </c>
    </row>
    <row r="1940">
      <c r="B1940" s="31"/>
      <c r="G1940" s="272" t="s">
        <v>1099</v>
      </c>
    </row>
    <row r="1941">
      <c r="B1941" s="31"/>
      <c r="G1941" s="272" t="s">
        <v>1099</v>
      </c>
    </row>
    <row r="1942">
      <c r="B1942" s="31"/>
      <c r="G1942" s="272" t="s">
        <v>1099</v>
      </c>
    </row>
    <row r="1943">
      <c r="B1943" s="31"/>
      <c r="G1943" s="272" t="s">
        <v>1099</v>
      </c>
    </row>
    <row r="1944">
      <c r="B1944" s="31"/>
      <c r="G1944" s="272" t="s">
        <v>1099</v>
      </c>
    </row>
    <row r="1945">
      <c r="B1945" s="31"/>
      <c r="G1945" s="272" t="s">
        <v>1099</v>
      </c>
    </row>
    <row r="1946">
      <c r="B1946" s="31"/>
      <c r="G1946" s="272" t="s">
        <v>1099</v>
      </c>
    </row>
    <row r="1947">
      <c r="B1947" s="31"/>
      <c r="G1947" s="272" t="s">
        <v>1099</v>
      </c>
    </row>
    <row r="1948">
      <c r="B1948" s="31"/>
      <c r="G1948" s="272" t="s">
        <v>1099</v>
      </c>
    </row>
    <row r="1949">
      <c r="B1949" s="31"/>
      <c r="G1949" s="272" t="s">
        <v>1099</v>
      </c>
    </row>
    <row r="1950">
      <c r="B1950" s="31"/>
      <c r="G1950" s="272" t="s">
        <v>1099</v>
      </c>
    </row>
    <row r="1951">
      <c r="B1951" s="31"/>
      <c r="G1951" s="272" t="s">
        <v>1099</v>
      </c>
    </row>
    <row r="1952">
      <c r="B1952" s="31"/>
      <c r="G1952" s="272" t="s">
        <v>1099</v>
      </c>
    </row>
    <row r="1953">
      <c r="B1953" s="31"/>
      <c r="G1953" s="272" t="s">
        <v>1099</v>
      </c>
    </row>
    <row r="1954">
      <c r="B1954" s="31"/>
      <c r="G1954" s="272" t="s">
        <v>1099</v>
      </c>
    </row>
    <row r="1955">
      <c r="B1955" s="31"/>
      <c r="G1955" s="272" t="s">
        <v>1099</v>
      </c>
    </row>
    <row r="1956">
      <c r="B1956" s="31"/>
      <c r="G1956" s="272" t="s">
        <v>1099</v>
      </c>
    </row>
    <row r="1957">
      <c r="B1957" s="31"/>
      <c r="G1957" s="272" t="s">
        <v>1099</v>
      </c>
    </row>
    <row r="1958">
      <c r="B1958" s="31"/>
      <c r="G1958" s="272" t="s">
        <v>1099</v>
      </c>
    </row>
    <row r="1959">
      <c r="B1959" s="31"/>
      <c r="G1959" s="272" t="s">
        <v>1099</v>
      </c>
    </row>
    <row r="1960">
      <c r="B1960" s="31"/>
      <c r="G1960" s="272" t="s">
        <v>1099</v>
      </c>
    </row>
    <row r="1961">
      <c r="B1961" s="31"/>
      <c r="G1961" s="272" t="s">
        <v>1099</v>
      </c>
    </row>
    <row r="1962">
      <c r="B1962" s="31"/>
      <c r="G1962" s="272" t="s">
        <v>1099</v>
      </c>
    </row>
    <row r="1963">
      <c r="B1963" s="31"/>
      <c r="G1963" s="272" t="s">
        <v>1099</v>
      </c>
    </row>
    <row r="1964">
      <c r="B1964" s="31"/>
      <c r="G1964" s="272" t="s">
        <v>1099</v>
      </c>
    </row>
    <row r="1965">
      <c r="B1965" s="31"/>
      <c r="G1965" s="272" t="s">
        <v>1099</v>
      </c>
    </row>
    <row r="1966">
      <c r="B1966" s="31"/>
      <c r="G1966" s="272" t="s">
        <v>1099</v>
      </c>
    </row>
    <row r="1967">
      <c r="B1967" s="31"/>
      <c r="G1967" s="272" t="s">
        <v>1099</v>
      </c>
    </row>
    <row r="1968">
      <c r="B1968" s="31"/>
      <c r="G1968" s="272" t="s">
        <v>1099</v>
      </c>
    </row>
    <row r="1969">
      <c r="B1969" s="31"/>
      <c r="G1969" s="272" t="s">
        <v>1099</v>
      </c>
    </row>
    <row r="1970">
      <c r="B1970" s="31"/>
      <c r="G1970" s="272" t="s">
        <v>1099</v>
      </c>
    </row>
    <row r="1971">
      <c r="B1971" s="31"/>
      <c r="G1971" s="272" t="s">
        <v>1099</v>
      </c>
    </row>
    <row r="1972">
      <c r="B1972" s="31"/>
      <c r="G1972" s="272" t="s">
        <v>1099</v>
      </c>
    </row>
    <row r="1973">
      <c r="B1973" s="31"/>
      <c r="G1973" s="272" t="s">
        <v>1099</v>
      </c>
    </row>
    <row r="1974">
      <c r="B1974" s="31"/>
      <c r="G1974" s="272" t="s">
        <v>1099</v>
      </c>
    </row>
    <row r="1975">
      <c r="B1975" s="31"/>
      <c r="G1975" s="272" t="s">
        <v>1099</v>
      </c>
    </row>
    <row r="1976">
      <c r="B1976" s="31"/>
      <c r="G1976" s="272" t="s">
        <v>1099</v>
      </c>
    </row>
    <row r="1977">
      <c r="B1977" s="31"/>
      <c r="G1977" s="272" t="s">
        <v>1099</v>
      </c>
    </row>
    <row r="1978">
      <c r="B1978" s="31"/>
      <c r="G1978" s="272" t="s">
        <v>1099</v>
      </c>
    </row>
    <row r="1979">
      <c r="B1979" s="31"/>
      <c r="G1979" s="272" t="s">
        <v>1099</v>
      </c>
    </row>
    <row r="1980">
      <c r="B1980" s="31"/>
      <c r="G1980" s="272" t="s">
        <v>1099</v>
      </c>
    </row>
    <row r="1981">
      <c r="B1981" s="31"/>
      <c r="G1981" s="272" t="s">
        <v>1099</v>
      </c>
    </row>
    <row r="1982">
      <c r="B1982" s="31"/>
      <c r="G1982" s="272" t="s">
        <v>1099</v>
      </c>
    </row>
    <row r="1983">
      <c r="B1983" s="31"/>
      <c r="G1983" s="272" t="s">
        <v>1099</v>
      </c>
    </row>
    <row r="1984">
      <c r="B1984" s="31"/>
      <c r="G1984" s="272" t="s">
        <v>1099</v>
      </c>
    </row>
    <row r="1985">
      <c r="B1985" s="31"/>
      <c r="G1985" s="272" t="s">
        <v>1099</v>
      </c>
    </row>
    <row r="1986">
      <c r="B1986" s="31"/>
      <c r="G1986" s="272" t="s">
        <v>1099</v>
      </c>
    </row>
    <row r="1987">
      <c r="B1987" s="31"/>
      <c r="G1987" s="272" t="s">
        <v>1099</v>
      </c>
    </row>
    <row r="1988">
      <c r="B1988" s="31"/>
      <c r="G1988" s="272" t="s">
        <v>1099</v>
      </c>
    </row>
    <row r="1989">
      <c r="B1989" s="31"/>
      <c r="G1989" s="272" t="s">
        <v>1099</v>
      </c>
    </row>
    <row r="1990">
      <c r="B1990" s="31"/>
      <c r="G1990" s="272" t="s">
        <v>1099</v>
      </c>
    </row>
    <row r="1991">
      <c r="B1991" s="31"/>
      <c r="G1991" s="272" t="s">
        <v>1099</v>
      </c>
    </row>
    <row r="1992">
      <c r="B1992" s="31"/>
      <c r="G1992" s="272" t="s">
        <v>1099</v>
      </c>
    </row>
    <row r="1993">
      <c r="B1993" s="31"/>
      <c r="G1993" s="272" t="s">
        <v>1099</v>
      </c>
    </row>
    <row r="1994">
      <c r="B1994" s="31"/>
      <c r="G1994" s="272" t="s">
        <v>1099</v>
      </c>
    </row>
    <row r="1995">
      <c r="B1995" s="31"/>
      <c r="G1995" s="272" t="s">
        <v>1099</v>
      </c>
    </row>
    <row r="1996">
      <c r="B1996" s="31"/>
      <c r="G1996" s="272" t="s">
        <v>1099</v>
      </c>
    </row>
    <row r="1997">
      <c r="B1997" s="31"/>
      <c r="G1997" s="272" t="s">
        <v>1099</v>
      </c>
    </row>
    <row r="1998">
      <c r="B1998" s="31"/>
      <c r="G1998" s="272" t="s">
        <v>1099</v>
      </c>
    </row>
    <row r="1999">
      <c r="B1999" s="31"/>
      <c r="G1999" s="272" t="s">
        <v>1099</v>
      </c>
    </row>
    <row r="2000">
      <c r="B2000" s="31"/>
      <c r="G2000" s="272" t="s">
        <v>1099</v>
      </c>
    </row>
    <row r="2001">
      <c r="B2001" s="31"/>
      <c r="G2001" s="272" t="s">
        <v>1099</v>
      </c>
    </row>
    <row r="2002">
      <c r="B2002" s="31"/>
      <c r="G2002" s="272" t="s">
        <v>1099</v>
      </c>
    </row>
    <row r="2003">
      <c r="B2003" s="31"/>
      <c r="G2003" s="272" t="s">
        <v>1099</v>
      </c>
    </row>
    <row r="2004">
      <c r="B2004" s="31"/>
      <c r="G2004" s="272" t="s">
        <v>1099</v>
      </c>
    </row>
    <row r="2005">
      <c r="B2005" s="31"/>
      <c r="G2005" s="272" t="s">
        <v>1099</v>
      </c>
    </row>
    <row r="2006">
      <c r="B2006" s="31"/>
      <c r="G2006" s="272" t="s">
        <v>1099</v>
      </c>
    </row>
    <row r="2007">
      <c r="B2007" s="31"/>
      <c r="G2007" s="272" t="s">
        <v>1099</v>
      </c>
    </row>
    <row r="2008">
      <c r="B2008" s="31"/>
      <c r="G2008" s="272" t="s">
        <v>1099</v>
      </c>
    </row>
    <row r="2009">
      <c r="B2009" s="31"/>
      <c r="G2009" s="272" t="s">
        <v>1099</v>
      </c>
    </row>
    <row r="2010">
      <c r="B2010" s="31"/>
      <c r="G2010" s="272" t="s">
        <v>1099</v>
      </c>
    </row>
    <row r="2011">
      <c r="B2011" s="31"/>
      <c r="G2011" s="272" t="s">
        <v>1099</v>
      </c>
    </row>
    <row r="2012">
      <c r="B2012" s="31"/>
      <c r="G2012" s="272" t="s">
        <v>1099</v>
      </c>
    </row>
    <row r="2013">
      <c r="B2013" s="31"/>
      <c r="G2013" s="272" t="s">
        <v>1099</v>
      </c>
    </row>
    <row r="2014">
      <c r="B2014" s="31"/>
      <c r="G2014" s="272" t="s">
        <v>1099</v>
      </c>
    </row>
    <row r="2015">
      <c r="B2015" s="31"/>
      <c r="G2015" s="272" t="s">
        <v>1099</v>
      </c>
    </row>
    <row r="2016">
      <c r="B2016" s="31"/>
      <c r="G2016" s="272" t="s">
        <v>1099</v>
      </c>
    </row>
    <row r="2017">
      <c r="B2017" s="31"/>
      <c r="G2017" s="272" t="s">
        <v>1099</v>
      </c>
    </row>
    <row r="2018">
      <c r="B2018" s="31"/>
      <c r="G2018" s="272" t="s">
        <v>1099</v>
      </c>
    </row>
    <row r="2019">
      <c r="B2019" s="31"/>
      <c r="G2019" s="272" t="s">
        <v>1099</v>
      </c>
    </row>
    <row r="2020">
      <c r="B2020" s="31"/>
      <c r="G2020" s="272" t="s">
        <v>1099</v>
      </c>
    </row>
    <row r="2021">
      <c r="B2021" s="31"/>
      <c r="G2021" s="272" t="s">
        <v>1099</v>
      </c>
    </row>
    <row r="2022">
      <c r="B2022" s="31"/>
      <c r="G2022" s="272" t="s">
        <v>1099</v>
      </c>
    </row>
    <row r="2023">
      <c r="B2023" s="31"/>
      <c r="G2023" s="272" t="s">
        <v>1099</v>
      </c>
    </row>
    <row r="2024">
      <c r="B2024" s="31"/>
      <c r="G2024" s="272" t="s">
        <v>1099</v>
      </c>
    </row>
    <row r="2025">
      <c r="B2025" s="31"/>
      <c r="G2025" s="272" t="s">
        <v>1099</v>
      </c>
    </row>
    <row r="2026">
      <c r="B2026" s="31"/>
      <c r="G2026" s="272" t="s">
        <v>1099</v>
      </c>
    </row>
    <row r="2027">
      <c r="B2027" s="31"/>
      <c r="G2027" s="272" t="s">
        <v>1099</v>
      </c>
    </row>
    <row r="2028">
      <c r="B2028" s="31"/>
      <c r="G2028" s="272" t="s">
        <v>1099</v>
      </c>
    </row>
    <row r="2029">
      <c r="B2029" s="31"/>
      <c r="G2029" s="272" t="s">
        <v>1099</v>
      </c>
    </row>
    <row r="2030">
      <c r="B2030" s="31"/>
      <c r="G2030" s="272" t="s">
        <v>1099</v>
      </c>
    </row>
    <row r="2031">
      <c r="B2031" s="31"/>
      <c r="G2031" s="272" t="s">
        <v>1099</v>
      </c>
    </row>
    <row r="2032">
      <c r="B2032" s="31"/>
      <c r="G2032" s="272" t="s">
        <v>1099</v>
      </c>
    </row>
    <row r="2033">
      <c r="B2033" s="31"/>
      <c r="G2033" s="272" t="s">
        <v>1099</v>
      </c>
    </row>
    <row r="2034">
      <c r="B2034" s="31"/>
      <c r="G2034" s="272" t="s">
        <v>1099</v>
      </c>
    </row>
    <row r="2035">
      <c r="B2035" s="31"/>
      <c r="G2035" s="272" t="s">
        <v>1099</v>
      </c>
    </row>
    <row r="2036">
      <c r="B2036" s="31"/>
      <c r="G2036" s="272" t="s">
        <v>1099</v>
      </c>
    </row>
    <row r="2037">
      <c r="B2037" s="31"/>
      <c r="G2037" s="272" t="s">
        <v>1099</v>
      </c>
    </row>
    <row r="2038">
      <c r="B2038" s="31"/>
      <c r="G2038" s="272" t="s">
        <v>1099</v>
      </c>
    </row>
    <row r="2039">
      <c r="B2039" s="31"/>
      <c r="G2039" s="272" t="s">
        <v>1099</v>
      </c>
    </row>
    <row r="2040">
      <c r="B2040" s="31"/>
      <c r="G2040" s="272" t="s">
        <v>1099</v>
      </c>
    </row>
    <row r="2041">
      <c r="B2041" s="31"/>
      <c r="G2041" s="272" t="s">
        <v>1099</v>
      </c>
    </row>
    <row r="2042">
      <c r="B2042" s="31"/>
      <c r="G2042" s="272" t="s">
        <v>1099</v>
      </c>
    </row>
    <row r="2043">
      <c r="B2043" s="31"/>
      <c r="G2043" s="272" t="s">
        <v>1099</v>
      </c>
    </row>
    <row r="2044">
      <c r="B2044" s="31"/>
      <c r="G2044" s="272" t="s">
        <v>1099</v>
      </c>
    </row>
    <row r="2045">
      <c r="B2045" s="31"/>
      <c r="G2045" s="272" t="s">
        <v>1099</v>
      </c>
    </row>
    <row r="2046">
      <c r="B2046" s="31"/>
      <c r="G2046" s="272" t="s">
        <v>1099</v>
      </c>
    </row>
    <row r="2047">
      <c r="B2047" s="31"/>
      <c r="G2047" s="272" t="s">
        <v>1099</v>
      </c>
    </row>
    <row r="2048">
      <c r="B2048" s="31"/>
      <c r="G2048" s="272" t="s">
        <v>1099</v>
      </c>
    </row>
    <row r="2049">
      <c r="B2049" s="31"/>
      <c r="G2049" s="272" t="s">
        <v>1099</v>
      </c>
    </row>
    <row r="2050">
      <c r="B2050" s="31"/>
      <c r="G2050" s="272" t="s">
        <v>1099</v>
      </c>
    </row>
    <row r="2051">
      <c r="B2051" s="31"/>
      <c r="G2051" s="272" t="s">
        <v>1099</v>
      </c>
    </row>
    <row r="2052">
      <c r="B2052" s="31"/>
      <c r="G2052" s="272" t="s">
        <v>1099</v>
      </c>
    </row>
    <row r="2053">
      <c r="B2053" s="31"/>
      <c r="G2053" s="272" t="s">
        <v>1099</v>
      </c>
    </row>
    <row r="2054">
      <c r="B2054" s="31"/>
      <c r="G2054" s="272" t="s">
        <v>1099</v>
      </c>
    </row>
    <row r="2055">
      <c r="B2055" s="31"/>
      <c r="G2055" s="272" t="s">
        <v>1099</v>
      </c>
    </row>
    <row r="2056">
      <c r="B2056" s="31"/>
      <c r="G2056" s="272" t="s">
        <v>1099</v>
      </c>
    </row>
    <row r="2057">
      <c r="B2057" s="31"/>
      <c r="G2057" s="272" t="s">
        <v>1099</v>
      </c>
    </row>
    <row r="2058">
      <c r="B2058" s="31"/>
      <c r="G2058" s="272" t="s">
        <v>1099</v>
      </c>
    </row>
    <row r="2059">
      <c r="B2059" s="31"/>
      <c r="G2059" s="272" t="s">
        <v>1099</v>
      </c>
    </row>
    <row r="2060">
      <c r="B2060" s="31"/>
      <c r="G2060" s="272" t="s">
        <v>1099</v>
      </c>
    </row>
    <row r="2061">
      <c r="B2061" s="31"/>
      <c r="G2061" s="272" t="s">
        <v>1099</v>
      </c>
    </row>
    <row r="2062">
      <c r="B2062" s="31"/>
      <c r="G2062" s="272" t="s">
        <v>1099</v>
      </c>
    </row>
    <row r="2063">
      <c r="B2063" s="31"/>
      <c r="G2063" s="272" t="s">
        <v>1099</v>
      </c>
    </row>
    <row r="2064">
      <c r="B2064" s="31"/>
      <c r="G2064" s="272" t="s">
        <v>1099</v>
      </c>
    </row>
    <row r="2065">
      <c r="B2065" s="31"/>
      <c r="G2065" s="272" t="s">
        <v>1099</v>
      </c>
    </row>
    <row r="2066">
      <c r="B2066" s="31"/>
      <c r="G2066" s="272" t="s">
        <v>1099</v>
      </c>
    </row>
    <row r="2067">
      <c r="B2067" s="31"/>
      <c r="G2067" s="272" t="s">
        <v>1099</v>
      </c>
    </row>
    <row r="2068">
      <c r="B2068" s="31"/>
      <c r="G2068" s="272" t="s">
        <v>1099</v>
      </c>
    </row>
    <row r="2069">
      <c r="B2069" s="31"/>
      <c r="G2069" s="272" t="s">
        <v>1099</v>
      </c>
    </row>
    <row r="2070">
      <c r="B2070" s="31"/>
      <c r="G2070" s="272" t="s">
        <v>1099</v>
      </c>
    </row>
    <row r="2071">
      <c r="B2071" s="31"/>
      <c r="G2071" s="272" t="s">
        <v>1099</v>
      </c>
    </row>
    <row r="2072">
      <c r="B2072" s="31"/>
      <c r="G2072" s="272" t="s">
        <v>1099</v>
      </c>
    </row>
    <row r="2073">
      <c r="B2073" s="31"/>
      <c r="G2073" s="272" t="s">
        <v>1099</v>
      </c>
    </row>
    <row r="2074">
      <c r="B2074" s="31"/>
      <c r="G2074" s="272" t="s">
        <v>1099</v>
      </c>
    </row>
    <row r="2075">
      <c r="B2075" s="31"/>
      <c r="G2075" s="272" t="s">
        <v>1099</v>
      </c>
    </row>
    <row r="2076">
      <c r="B2076" s="31"/>
      <c r="G2076" s="272" t="s">
        <v>1099</v>
      </c>
    </row>
    <row r="2077">
      <c r="B2077" s="31"/>
      <c r="G2077" s="272" t="s">
        <v>1099</v>
      </c>
    </row>
    <row r="2078">
      <c r="B2078" s="31"/>
      <c r="G2078" s="272" t="s">
        <v>1099</v>
      </c>
    </row>
    <row r="2079">
      <c r="B2079" s="31"/>
      <c r="G2079" s="272" t="s">
        <v>1099</v>
      </c>
    </row>
    <row r="2080">
      <c r="B2080" s="31"/>
      <c r="G2080" s="272" t="s">
        <v>1099</v>
      </c>
    </row>
    <row r="2081">
      <c r="B2081" s="31"/>
      <c r="G2081" s="272" t="s">
        <v>1099</v>
      </c>
    </row>
    <row r="2082">
      <c r="B2082" s="31"/>
      <c r="G2082" s="272" t="s">
        <v>1099</v>
      </c>
    </row>
    <row r="2083">
      <c r="B2083" s="31"/>
      <c r="G2083" s="272" t="s">
        <v>1099</v>
      </c>
    </row>
    <row r="2084">
      <c r="B2084" s="31"/>
      <c r="G2084" s="272" t="s">
        <v>1099</v>
      </c>
    </row>
    <row r="2085">
      <c r="B2085" s="31"/>
      <c r="G2085" s="272" t="s">
        <v>1099</v>
      </c>
    </row>
    <row r="2086">
      <c r="B2086" s="31"/>
      <c r="G2086" s="272" t="s">
        <v>1099</v>
      </c>
    </row>
    <row r="2087">
      <c r="B2087" s="31"/>
      <c r="G2087" s="272" t="s">
        <v>1099</v>
      </c>
    </row>
    <row r="2088">
      <c r="B2088" s="31"/>
      <c r="G2088" s="272" t="s">
        <v>1099</v>
      </c>
    </row>
    <row r="2089">
      <c r="B2089" s="31"/>
      <c r="G2089" s="272" t="s">
        <v>1099</v>
      </c>
    </row>
    <row r="2090">
      <c r="B2090" s="31"/>
      <c r="G2090" s="272" t="s">
        <v>1099</v>
      </c>
    </row>
    <row r="2091">
      <c r="B2091" s="31"/>
      <c r="G2091" s="272" t="s">
        <v>1099</v>
      </c>
    </row>
    <row r="2092">
      <c r="B2092" s="31"/>
      <c r="G2092" s="272" t="s">
        <v>1099</v>
      </c>
    </row>
    <row r="2093">
      <c r="B2093" s="31"/>
      <c r="G2093" s="272" t="s">
        <v>1099</v>
      </c>
    </row>
    <row r="2094">
      <c r="B2094" s="31"/>
      <c r="G2094" s="272" t="s">
        <v>1099</v>
      </c>
    </row>
    <row r="2095">
      <c r="B2095" s="31"/>
      <c r="G2095" s="272" t="s">
        <v>1099</v>
      </c>
    </row>
    <row r="2096">
      <c r="B2096" s="31"/>
      <c r="G2096" s="272" t="s">
        <v>1099</v>
      </c>
    </row>
    <row r="2097">
      <c r="B2097" s="31"/>
      <c r="G2097" s="272" t="s">
        <v>1099</v>
      </c>
    </row>
    <row r="2098">
      <c r="B2098" s="31"/>
      <c r="G2098" s="272" t="s">
        <v>1099</v>
      </c>
    </row>
    <row r="2099">
      <c r="B2099" s="31"/>
      <c r="G2099" s="272" t="s">
        <v>1099</v>
      </c>
    </row>
    <row r="2100">
      <c r="B2100" s="31"/>
      <c r="G2100" s="272" t="s">
        <v>1099</v>
      </c>
    </row>
    <row r="2101">
      <c r="B2101" s="31"/>
      <c r="G2101" s="272" t="s">
        <v>1099</v>
      </c>
    </row>
    <row r="2102">
      <c r="B2102" s="31"/>
      <c r="G2102" s="272" t="s">
        <v>1099</v>
      </c>
    </row>
    <row r="2103">
      <c r="B2103" s="31"/>
      <c r="G2103" s="272" t="s">
        <v>1099</v>
      </c>
    </row>
    <row r="2104">
      <c r="B2104" s="31"/>
      <c r="G2104" s="272" t="s">
        <v>1099</v>
      </c>
    </row>
    <row r="2105">
      <c r="B2105" s="31"/>
      <c r="G2105" s="272" t="s">
        <v>1099</v>
      </c>
    </row>
    <row r="2106">
      <c r="B2106" s="31"/>
      <c r="G2106" s="272" t="s">
        <v>1099</v>
      </c>
    </row>
    <row r="2107">
      <c r="B2107" s="31"/>
      <c r="G2107" s="272" t="s">
        <v>1099</v>
      </c>
    </row>
    <row r="2108">
      <c r="B2108" s="31"/>
      <c r="G2108" s="272" t="s">
        <v>1099</v>
      </c>
    </row>
    <row r="2109">
      <c r="B2109" s="31"/>
      <c r="G2109" s="272" t="s">
        <v>1099</v>
      </c>
    </row>
    <row r="2110">
      <c r="B2110" s="31"/>
      <c r="G2110" s="272" t="s">
        <v>1099</v>
      </c>
    </row>
    <row r="2111">
      <c r="B2111" s="31"/>
      <c r="G2111" s="272" t="s">
        <v>1099</v>
      </c>
    </row>
    <row r="2112">
      <c r="B2112" s="31"/>
      <c r="G2112" s="272" t="s">
        <v>1099</v>
      </c>
    </row>
    <row r="2113">
      <c r="B2113" s="31"/>
      <c r="G2113" s="272" t="s">
        <v>1099</v>
      </c>
    </row>
    <row r="2114">
      <c r="B2114" s="31"/>
      <c r="G2114" s="272" t="s">
        <v>1099</v>
      </c>
    </row>
    <row r="2115">
      <c r="B2115" s="31"/>
      <c r="G2115" s="272" t="s">
        <v>1099</v>
      </c>
    </row>
    <row r="2116">
      <c r="B2116" s="31"/>
      <c r="G2116" s="272" t="s">
        <v>1099</v>
      </c>
    </row>
    <row r="2117">
      <c r="B2117" s="31"/>
      <c r="G2117" s="272" t="s">
        <v>1099</v>
      </c>
    </row>
    <row r="2118">
      <c r="B2118" s="31"/>
      <c r="G2118" s="272" t="s">
        <v>1099</v>
      </c>
    </row>
    <row r="2119">
      <c r="B2119" s="31"/>
      <c r="G2119" s="272" t="s">
        <v>1099</v>
      </c>
    </row>
    <row r="2120">
      <c r="B2120" s="31"/>
      <c r="G2120" s="272" t="s">
        <v>1099</v>
      </c>
    </row>
    <row r="2121">
      <c r="B2121" s="31"/>
      <c r="G2121" s="272" t="s">
        <v>1099</v>
      </c>
    </row>
    <row r="2122">
      <c r="B2122" s="31"/>
      <c r="G2122" s="272" t="s">
        <v>1099</v>
      </c>
    </row>
    <row r="2123">
      <c r="B2123" s="31"/>
      <c r="G2123" s="272" t="s">
        <v>1099</v>
      </c>
    </row>
    <row r="2124">
      <c r="B2124" s="31"/>
      <c r="G2124" s="272" t="s">
        <v>1099</v>
      </c>
    </row>
    <row r="2125">
      <c r="B2125" s="31"/>
      <c r="G2125" s="272" t="s">
        <v>1099</v>
      </c>
    </row>
    <row r="2126">
      <c r="B2126" s="31"/>
      <c r="G2126" s="272" t="s">
        <v>1099</v>
      </c>
    </row>
    <row r="2127">
      <c r="B2127" s="31"/>
      <c r="G2127" s="272" t="s">
        <v>1099</v>
      </c>
    </row>
    <row r="2128">
      <c r="B2128" s="31"/>
      <c r="G2128" s="272" t="s">
        <v>1099</v>
      </c>
    </row>
    <row r="2129">
      <c r="B2129" s="31"/>
      <c r="G2129" s="272" t="s">
        <v>1099</v>
      </c>
    </row>
    <row r="2130">
      <c r="B2130" s="31"/>
      <c r="G2130" s="272" t="s">
        <v>1099</v>
      </c>
    </row>
    <row r="2131">
      <c r="B2131" s="31"/>
      <c r="G2131" s="272" t="s">
        <v>1099</v>
      </c>
    </row>
    <row r="2132">
      <c r="B2132" s="31"/>
      <c r="G2132" s="272" t="s">
        <v>1099</v>
      </c>
    </row>
    <row r="2133">
      <c r="B2133" s="31"/>
      <c r="G2133" s="272" t="s">
        <v>1099</v>
      </c>
    </row>
    <row r="2134">
      <c r="B2134" s="31"/>
      <c r="G2134" s="272" t="s">
        <v>1099</v>
      </c>
    </row>
    <row r="2135">
      <c r="B2135" s="31"/>
      <c r="G2135" s="272" t="s">
        <v>1099</v>
      </c>
    </row>
    <row r="2136">
      <c r="B2136" s="31"/>
      <c r="G2136" s="272" t="s">
        <v>1099</v>
      </c>
    </row>
    <row r="2137">
      <c r="B2137" s="31"/>
      <c r="G2137" s="272" t="s">
        <v>1099</v>
      </c>
    </row>
    <row r="2138">
      <c r="B2138" s="31"/>
      <c r="G2138" s="272" t="s">
        <v>1099</v>
      </c>
    </row>
    <row r="2139">
      <c r="B2139" s="31"/>
      <c r="G2139" s="272" t="s">
        <v>1099</v>
      </c>
    </row>
    <row r="2140">
      <c r="B2140" s="31"/>
      <c r="G2140" s="272" t="s">
        <v>1099</v>
      </c>
    </row>
    <row r="2141">
      <c r="B2141" s="31"/>
      <c r="G2141" s="272" t="s">
        <v>1099</v>
      </c>
    </row>
    <row r="2142">
      <c r="B2142" s="31"/>
      <c r="G2142" s="272" t="s">
        <v>1099</v>
      </c>
    </row>
    <row r="2143">
      <c r="B2143" s="31"/>
      <c r="G2143" s="272" t="s">
        <v>1099</v>
      </c>
    </row>
    <row r="2144">
      <c r="B2144" s="31"/>
      <c r="G2144" s="272" t="s">
        <v>1099</v>
      </c>
    </row>
    <row r="2145">
      <c r="B2145" s="31"/>
      <c r="G2145" s="272" t="s">
        <v>1099</v>
      </c>
    </row>
    <row r="2146">
      <c r="B2146" s="31"/>
      <c r="G2146" s="272" t="s">
        <v>1099</v>
      </c>
    </row>
    <row r="2147">
      <c r="B2147" s="31"/>
      <c r="G2147" s="272" t="s">
        <v>1099</v>
      </c>
    </row>
    <row r="2148">
      <c r="B2148" s="31"/>
      <c r="G2148" s="272" t="s">
        <v>1099</v>
      </c>
    </row>
    <row r="2149">
      <c r="B2149" s="31"/>
      <c r="G2149" s="272" t="s">
        <v>1099</v>
      </c>
    </row>
    <row r="2150">
      <c r="B2150" s="31"/>
      <c r="G2150" s="272" t="s">
        <v>1099</v>
      </c>
    </row>
    <row r="2151">
      <c r="B2151" s="31"/>
      <c r="G2151" s="272" t="s">
        <v>1099</v>
      </c>
    </row>
    <row r="2152">
      <c r="B2152" s="31"/>
      <c r="G2152" s="272" t="s">
        <v>1099</v>
      </c>
    </row>
    <row r="2153">
      <c r="B2153" s="31"/>
      <c r="G2153" s="272" t="s">
        <v>1099</v>
      </c>
    </row>
    <row r="2154">
      <c r="B2154" s="31"/>
      <c r="G2154" s="272" t="s">
        <v>1099</v>
      </c>
    </row>
    <row r="2155">
      <c r="B2155" s="31"/>
      <c r="G2155" s="272" t="s">
        <v>1099</v>
      </c>
    </row>
    <row r="2156">
      <c r="B2156" s="31"/>
      <c r="G2156" s="272" t="s">
        <v>1099</v>
      </c>
    </row>
    <row r="2157">
      <c r="B2157" s="31"/>
      <c r="G2157" s="272" t="s">
        <v>1099</v>
      </c>
    </row>
    <row r="2158">
      <c r="B2158" s="31"/>
      <c r="G2158" s="272" t="s">
        <v>1099</v>
      </c>
    </row>
    <row r="2159">
      <c r="B2159" s="31"/>
      <c r="G2159" s="272" t="s">
        <v>1099</v>
      </c>
    </row>
    <row r="2160">
      <c r="B2160" s="31"/>
      <c r="G2160" s="272" t="s">
        <v>1099</v>
      </c>
    </row>
    <row r="2161">
      <c r="B2161" s="31"/>
      <c r="G2161" s="272" t="s">
        <v>1099</v>
      </c>
    </row>
    <row r="2162">
      <c r="B2162" s="31"/>
      <c r="G2162" s="272" t="s">
        <v>1099</v>
      </c>
    </row>
    <row r="2163">
      <c r="B2163" s="31"/>
      <c r="G2163" s="272" t="s">
        <v>1099</v>
      </c>
    </row>
    <row r="2164">
      <c r="B2164" s="31"/>
      <c r="G2164" s="272" t="s">
        <v>1099</v>
      </c>
    </row>
    <row r="2165">
      <c r="B2165" s="31"/>
      <c r="G2165" s="272" t="s">
        <v>1099</v>
      </c>
    </row>
    <row r="2166">
      <c r="B2166" s="31"/>
      <c r="G2166" s="272" t="s">
        <v>1099</v>
      </c>
    </row>
    <row r="2167">
      <c r="B2167" s="31"/>
      <c r="G2167" s="272" t="s">
        <v>1099</v>
      </c>
    </row>
    <row r="2168">
      <c r="B2168" s="31"/>
      <c r="G2168" s="272" t="s">
        <v>1099</v>
      </c>
    </row>
    <row r="2169">
      <c r="B2169" s="31"/>
      <c r="G2169" s="272" t="s">
        <v>1099</v>
      </c>
    </row>
    <row r="2170">
      <c r="B2170" s="31"/>
      <c r="G2170" s="272" t="s">
        <v>1099</v>
      </c>
    </row>
    <row r="2171">
      <c r="B2171" s="31"/>
      <c r="G2171" s="272" t="s">
        <v>1099</v>
      </c>
    </row>
    <row r="2172">
      <c r="B2172" s="31"/>
      <c r="G2172" s="272" t="s">
        <v>1099</v>
      </c>
    </row>
    <row r="2173">
      <c r="B2173" s="31"/>
      <c r="G2173" s="272" t="s">
        <v>1099</v>
      </c>
    </row>
    <row r="2174">
      <c r="B2174" s="31"/>
      <c r="G2174" s="272" t="s">
        <v>1099</v>
      </c>
    </row>
    <row r="2175">
      <c r="B2175" s="31"/>
      <c r="G2175" s="272" t="s">
        <v>1099</v>
      </c>
    </row>
    <row r="2176">
      <c r="B2176" s="31"/>
      <c r="G2176" s="272" t="s">
        <v>1099</v>
      </c>
    </row>
    <row r="2177">
      <c r="B2177" s="31"/>
      <c r="G2177" s="272" t="s">
        <v>1099</v>
      </c>
    </row>
    <row r="2178">
      <c r="B2178" s="31"/>
      <c r="G2178" s="272" t="s">
        <v>1099</v>
      </c>
    </row>
    <row r="2179">
      <c r="B2179" s="31"/>
      <c r="G2179" s="272" t="s">
        <v>1099</v>
      </c>
    </row>
    <row r="2180">
      <c r="B2180" s="31"/>
      <c r="G2180" s="272" t="s">
        <v>1099</v>
      </c>
    </row>
    <row r="2181">
      <c r="B2181" s="31"/>
      <c r="G2181" s="272" t="s">
        <v>1099</v>
      </c>
    </row>
    <row r="2182">
      <c r="B2182" s="31"/>
      <c r="G2182" s="272" t="s">
        <v>1099</v>
      </c>
    </row>
    <row r="2183">
      <c r="B2183" s="31"/>
      <c r="G2183" s="272" t="s">
        <v>1099</v>
      </c>
    </row>
    <row r="2184">
      <c r="B2184" s="31"/>
      <c r="G2184" s="272" t="s">
        <v>1099</v>
      </c>
    </row>
    <row r="2185">
      <c r="B2185" s="31"/>
      <c r="G2185" s="272" t="s">
        <v>1099</v>
      </c>
    </row>
    <row r="2186">
      <c r="B2186" s="31"/>
      <c r="G2186" s="272" t="s">
        <v>1099</v>
      </c>
    </row>
    <row r="2187">
      <c r="B2187" s="31"/>
      <c r="G2187" s="272" t="s">
        <v>1099</v>
      </c>
    </row>
    <row r="2188">
      <c r="B2188" s="31"/>
      <c r="G2188" s="272" t="s">
        <v>1099</v>
      </c>
    </row>
    <row r="2189">
      <c r="B2189" s="31"/>
      <c r="G2189" s="272" t="s">
        <v>1099</v>
      </c>
    </row>
    <row r="2190">
      <c r="B2190" s="31"/>
      <c r="G2190" s="272" t="s">
        <v>1099</v>
      </c>
    </row>
    <row r="2191">
      <c r="B2191" s="31"/>
      <c r="G2191" s="272" t="s">
        <v>1099</v>
      </c>
    </row>
    <row r="2192">
      <c r="B2192" s="31"/>
      <c r="G2192" s="272" t="s">
        <v>1099</v>
      </c>
    </row>
    <row r="2193">
      <c r="B2193" s="31"/>
      <c r="G2193" s="272" t="s">
        <v>1099</v>
      </c>
    </row>
    <row r="2194">
      <c r="B2194" s="31"/>
      <c r="G2194" s="272" t="s">
        <v>1099</v>
      </c>
    </row>
    <row r="2195">
      <c r="B2195" s="31"/>
      <c r="G2195" s="272" t="s">
        <v>1099</v>
      </c>
    </row>
    <row r="2196">
      <c r="B2196" s="31"/>
      <c r="G2196" s="272" t="s">
        <v>1099</v>
      </c>
    </row>
    <row r="2197">
      <c r="B2197" s="31"/>
      <c r="G2197" s="272" t="s">
        <v>1099</v>
      </c>
    </row>
    <row r="2198">
      <c r="B2198" s="31"/>
      <c r="G2198" s="272" t="s">
        <v>1099</v>
      </c>
    </row>
    <row r="2199">
      <c r="B2199" s="31"/>
      <c r="G2199" s="272" t="s">
        <v>1099</v>
      </c>
    </row>
    <row r="2200">
      <c r="B2200" s="31"/>
      <c r="G2200" s="272" t="s">
        <v>1099</v>
      </c>
    </row>
    <row r="2201">
      <c r="B2201" s="31"/>
      <c r="G2201" s="272" t="s">
        <v>1099</v>
      </c>
    </row>
    <row r="2202">
      <c r="B2202" s="31"/>
      <c r="G2202" s="272" t="s">
        <v>1099</v>
      </c>
    </row>
    <row r="2203">
      <c r="B2203" s="31"/>
      <c r="G2203" s="272" t="s">
        <v>1099</v>
      </c>
    </row>
    <row r="2204">
      <c r="B2204" s="31"/>
      <c r="G2204" s="272" t="s">
        <v>1099</v>
      </c>
    </row>
    <row r="2205">
      <c r="B2205" s="31"/>
      <c r="G2205" s="272" t="s">
        <v>1099</v>
      </c>
    </row>
    <row r="2206">
      <c r="B2206" s="31"/>
      <c r="G2206" s="272" t="s">
        <v>1099</v>
      </c>
    </row>
    <row r="2207">
      <c r="B2207" s="31"/>
      <c r="G2207" s="272" t="s">
        <v>1099</v>
      </c>
    </row>
    <row r="2208">
      <c r="B2208" s="31"/>
      <c r="G2208" s="272" t="s">
        <v>1099</v>
      </c>
    </row>
    <row r="2209">
      <c r="B2209" s="31"/>
      <c r="G2209" s="272" t="s">
        <v>1099</v>
      </c>
    </row>
    <row r="2210">
      <c r="B2210" s="31"/>
      <c r="G2210" s="272" t="s">
        <v>1099</v>
      </c>
    </row>
    <row r="2211">
      <c r="B2211" s="31"/>
      <c r="G2211" s="272" t="s">
        <v>1099</v>
      </c>
    </row>
    <row r="2212">
      <c r="B2212" s="31"/>
      <c r="G2212" s="272" t="s">
        <v>1099</v>
      </c>
    </row>
    <row r="2213">
      <c r="B2213" s="31"/>
      <c r="G2213" s="272" t="s">
        <v>1099</v>
      </c>
    </row>
    <row r="2214">
      <c r="B2214" s="31"/>
      <c r="G2214" s="272" t="s">
        <v>1099</v>
      </c>
    </row>
    <row r="2215">
      <c r="B2215" s="31"/>
      <c r="G2215" s="272" t="s">
        <v>1099</v>
      </c>
    </row>
    <row r="2216">
      <c r="B2216" s="31"/>
      <c r="G2216" s="272" t="s">
        <v>1099</v>
      </c>
    </row>
    <row r="2217">
      <c r="B2217" s="31"/>
      <c r="G2217" s="272" t="s">
        <v>1099</v>
      </c>
    </row>
    <row r="2218">
      <c r="B2218" s="31"/>
      <c r="G2218" s="272" t="s">
        <v>1099</v>
      </c>
    </row>
    <row r="2219">
      <c r="B2219" s="31"/>
      <c r="G2219" s="272" t="s">
        <v>1099</v>
      </c>
    </row>
    <row r="2220">
      <c r="B2220" s="31"/>
      <c r="G2220" s="272" t="s">
        <v>1099</v>
      </c>
    </row>
    <row r="2221">
      <c r="B2221" s="31"/>
      <c r="G2221" s="272" t="s">
        <v>1099</v>
      </c>
    </row>
    <row r="2222">
      <c r="B2222" s="31"/>
      <c r="G2222" s="272" t="s">
        <v>1099</v>
      </c>
    </row>
    <row r="2223">
      <c r="B2223" s="31"/>
      <c r="G2223" s="272" t="s">
        <v>1099</v>
      </c>
    </row>
    <row r="2224">
      <c r="B2224" s="31"/>
      <c r="G2224" s="272" t="s">
        <v>1099</v>
      </c>
    </row>
    <row r="2225">
      <c r="B2225" s="31"/>
      <c r="G2225" s="272" t="s">
        <v>1099</v>
      </c>
    </row>
    <row r="2226">
      <c r="B2226" s="31"/>
      <c r="G2226" s="272" t="s">
        <v>1099</v>
      </c>
    </row>
    <row r="2227">
      <c r="B2227" s="31"/>
      <c r="G2227" s="272" t="s">
        <v>1099</v>
      </c>
    </row>
    <row r="2228">
      <c r="B2228" s="31"/>
      <c r="G2228" s="272" t="s">
        <v>1099</v>
      </c>
    </row>
    <row r="2229">
      <c r="B2229" s="31"/>
      <c r="G2229" s="272" t="s">
        <v>1099</v>
      </c>
    </row>
    <row r="2230">
      <c r="B2230" s="31"/>
      <c r="G2230" s="272" t="s">
        <v>1099</v>
      </c>
    </row>
    <row r="2231">
      <c r="B2231" s="31"/>
      <c r="G2231" s="272" t="s">
        <v>1099</v>
      </c>
    </row>
    <row r="2232">
      <c r="B2232" s="31"/>
      <c r="G2232" s="272" t="s">
        <v>1099</v>
      </c>
    </row>
    <row r="2233">
      <c r="B2233" s="31"/>
      <c r="G2233" s="272" t="s">
        <v>1099</v>
      </c>
    </row>
    <row r="2234">
      <c r="B2234" s="31"/>
      <c r="G2234" s="272" t="s">
        <v>1099</v>
      </c>
    </row>
    <row r="2235">
      <c r="B2235" s="31"/>
      <c r="G2235" s="272" t="s">
        <v>1099</v>
      </c>
    </row>
    <row r="2236">
      <c r="B2236" s="31"/>
      <c r="G2236" s="272" t="s">
        <v>1099</v>
      </c>
    </row>
    <row r="2237">
      <c r="B2237" s="31"/>
      <c r="G2237" s="272" t="s">
        <v>1099</v>
      </c>
    </row>
    <row r="2238">
      <c r="B2238" s="31"/>
      <c r="G2238" s="272" t="s">
        <v>1099</v>
      </c>
    </row>
    <row r="2239">
      <c r="B2239" s="31"/>
      <c r="G2239" s="272" t="s">
        <v>1099</v>
      </c>
    </row>
    <row r="2240">
      <c r="B2240" s="31"/>
      <c r="G2240" s="272" t="s">
        <v>1099</v>
      </c>
    </row>
    <row r="2241">
      <c r="B2241" s="31"/>
      <c r="G2241" s="272" t="s">
        <v>1099</v>
      </c>
    </row>
    <row r="2242">
      <c r="B2242" s="31"/>
      <c r="G2242" s="272" t="s">
        <v>1099</v>
      </c>
    </row>
    <row r="2243">
      <c r="B2243" s="31"/>
      <c r="G2243" s="272" t="s">
        <v>1099</v>
      </c>
    </row>
    <row r="2244">
      <c r="B2244" s="31"/>
      <c r="G2244" s="272" t="s">
        <v>1099</v>
      </c>
    </row>
    <row r="2245">
      <c r="B2245" s="31"/>
      <c r="G2245" s="272" t="s">
        <v>1099</v>
      </c>
    </row>
    <row r="2246">
      <c r="B2246" s="31"/>
      <c r="G2246" s="272" t="s">
        <v>1099</v>
      </c>
    </row>
    <row r="2247">
      <c r="B2247" s="31"/>
      <c r="G2247" s="272" t="s">
        <v>1099</v>
      </c>
    </row>
    <row r="2248">
      <c r="B2248" s="31"/>
      <c r="G2248" s="272" t="s">
        <v>1099</v>
      </c>
    </row>
    <row r="2249">
      <c r="B2249" s="31"/>
      <c r="G2249" s="272" t="s">
        <v>1099</v>
      </c>
    </row>
    <row r="2250">
      <c r="B2250" s="31"/>
      <c r="G2250" s="272" t="s">
        <v>1099</v>
      </c>
    </row>
    <row r="2251">
      <c r="B2251" s="31"/>
      <c r="G2251" s="272" t="s">
        <v>1099</v>
      </c>
    </row>
    <row r="2252">
      <c r="B2252" s="31"/>
      <c r="G2252" s="272" t="s">
        <v>1099</v>
      </c>
    </row>
    <row r="2253">
      <c r="B2253" s="31"/>
      <c r="G2253" s="272" t="s">
        <v>1099</v>
      </c>
    </row>
    <row r="2254">
      <c r="B2254" s="31"/>
      <c r="G2254" s="272" t="s">
        <v>1099</v>
      </c>
    </row>
    <row r="2255">
      <c r="B2255" s="31"/>
      <c r="G2255" s="272" t="s">
        <v>1099</v>
      </c>
    </row>
    <row r="2256">
      <c r="B2256" s="31"/>
      <c r="G2256" s="272" t="s">
        <v>1099</v>
      </c>
    </row>
    <row r="2257">
      <c r="B2257" s="31"/>
      <c r="G2257" s="272" t="s">
        <v>1099</v>
      </c>
    </row>
    <row r="2258">
      <c r="B2258" s="31"/>
      <c r="G2258" s="272" t="s">
        <v>1099</v>
      </c>
    </row>
    <row r="2259">
      <c r="B2259" s="31"/>
      <c r="G2259" s="272" t="s">
        <v>1099</v>
      </c>
    </row>
    <row r="2260">
      <c r="B2260" s="31"/>
      <c r="G2260" s="272" t="s">
        <v>1099</v>
      </c>
    </row>
    <row r="2261">
      <c r="B2261" s="31"/>
      <c r="G2261" s="272" t="s">
        <v>1099</v>
      </c>
    </row>
    <row r="2262">
      <c r="B2262" s="31"/>
      <c r="G2262" s="272" t="s">
        <v>1099</v>
      </c>
    </row>
    <row r="2263">
      <c r="B2263" s="31"/>
      <c r="G2263" s="272" t="s">
        <v>1099</v>
      </c>
    </row>
    <row r="2264">
      <c r="B2264" s="31"/>
      <c r="G2264" s="272" t="s">
        <v>1099</v>
      </c>
    </row>
    <row r="2265">
      <c r="B2265" s="31"/>
      <c r="G2265" s="272" t="s">
        <v>1099</v>
      </c>
    </row>
    <row r="2266">
      <c r="B2266" s="31"/>
      <c r="G2266" s="272" t="s">
        <v>1099</v>
      </c>
    </row>
    <row r="2267">
      <c r="B2267" s="31"/>
      <c r="G2267" s="272" t="s">
        <v>1099</v>
      </c>
    </row>
    <row r="2268">
      <c r="B2268" s="31"/>
      <c r="G2268" s="272" t="s">
        <v>1099</v>
      </c>
    </row>
    <row r="2269">
      <c r="B2269" s="31"/>
      <c r="G2269" s="272" t="s">
        <v>1099</v>
      </c>
    </row>
    <row r="2270">
      <c r="B2270" s="31"/>
      <c r="G2270" s="272" t="s">
        <v>1099</v>
      </c>
    </row>
    <row r="2271">
      <c r="B2271" s="31"/>
      <c r="G2271" s="272" t="s">
        <v>1099</v>
      </c>
    </row>
    <row r="2272">
      <c r="B2272" s="31"/>
      <c r="G2272" s="272" t="s">
        <v>1099</v>
      </c>
    </row>
    <row r="2273">
      <c r="B2273" s="31"/>
      <c r="G2273" s="272" t="s">
        <v>1099</v>
      </c>
    </row>
    <row r="2274">
      <c r="B2274" s="31"/>
      <c r="G2274" s="272" t="s">
        <v>1099</v>
      </c>
    </row>
    <row r="2275">
      <c r="B2275" s="31"/>
      <c r="G2275" s="272" t="s">
        <v>1099</v>
      </c>
    </row>
    <row r="2276">
      <c r="B2276" s="31"/>
      <c r="G2276" s="272" t="s">
        <v>1099</v>
      </c>
    </row>
    <row r="2277">
      <c r="B2277" s="31"/>
      <c r="G2277" s="272" t="s">
        <v>1099</v>
      </c>
    </row>
    <row r="2278">
      <c r="B2278" s="31"/>
      <c r="G2278" s="272" t="s">
        <v>1099</v>
      </c>
    </row>
    <row r="2279">
      <c r="B2279" s="31"/>
      <c r="G2279" s="272" t="s">
        <v>1099</v>
      </c>
    </row>
    <row r="2280">
      <c r="B2280" s="31"/>
      <c r="G2280" s="272" t="s">
        <v>1099</v>
      </c>
    </row>
    <row r="2281">
      <c r="B2281" s="31"/>
      <c r="G2281" s="272" t="s">
        <v>1099</v>
      </c>
    </row>
    <row r="2282">
      <c r="B2282" s="31"/>
      <c r="G2282" s="272" t="s">
        <v>1099</v>
      </c>
    </row>
    <row r="2283">
      <c r="B2283" s="31"/>
      <c r="G2283" s="272" t="s">
        <v>1099</v>
      </c>
    </row>
    <row r="2284">
      <c r="B2284" s="31"/>
      <c r="G2284" s="272" t="s">
        <v>1099</v>
      </c>
    </row>
    <row r="2285">
      <c r="B2285" s="31"/>
      <c r="G2285" s="272" t="s">
        <v>1099</v>
      </c>
    </row>
    <row r="2286">
      <c r="B2286" s="31"/>
      <c r="G2286" s="272" t="s">
        <v>1099</v>
      </c>
    </row>
    <row r="2287">
      <c r="B2287" s="31"/>
      <c r="G2287" s="272" t="s">
        <v>1099</v>
      </c>
    </row>
    <row r="2288">
      <c r="B2288" s="31"/>
      <c r="G2288" s="272" t="s">
        <v>1099</v>
      </c>
    </row>
    <row r="2289">
      <c r="B2289" s="31"/>
      <c r="G2289" s="272" t="s">
        <v>1099</v>
      </c>
    </row>
    <row r="2290">
      <c r="B2290" s="31"/>
      <c r="G2290" s="272" t="s">
        <v>1099</v>
      </c>
    </row>
    <row r="2291">
      <c r="B2291" s="31"/>
      <c r="G2291" s="272" t="s">
        <v>1099</v>
      </c>
    </row>
    <row r="2292">
      <c r="B2292" s="31"/>
      <c r="G2292" s="272" t="s">
        <v>1099</v>
      </c>
    </row>
    <row r="2293">
      <c r="B2293" s="31"/>
      <c r="G2293" s="272" t="s">
        <v>1099</v>
      </c>
    </row>
    <row r="2294">
      <c r="B2294" s="31"/>
      <c r="G2294" s="272" t="s">
        <v>1099</v>
      </c>
    </row>
    <row r="2295">
      <c r="B2295" s="31"/>
      <c r="G2295" s="272" t="s">
        <v>1099</v>
      </c>
    </row>
    <row r="2296">
      <c r="B2296" s="31"/>
      <c r="G2296" s="272" t="s">
        <v>1099</v>
      </c>
    </row>
    <row r="2297">
      <c r="B2297" s="31"/>
      <c r="G2297" s="272" t="s">
        <v>1099</v>
      </c>
    </row>
    <row r="2298">
      <c r="B2298" s="31"/>
      <c r="G2298" s="272" t="s">
        <v>1099</v>
      </c>
    </row>
    <row r="2299">
      <c r="B2299" s="31"/>
      <c r="G2299" s="272" t="s">
        <v>1099</v>
      </c>
    </row>
    <row r="2300">
      <c r="B2300" s="31"/>
      <c r="G2300" s="272" t="s">
        <v>1099</v>
      </c>
    </row>
    <row r="2301">
      <c r="B2301" s="31"/>
      <c r="G2301" s="272" t="s">
        <v>1099</v>
      </c>
    </row>
    <row r="2302">
      <c r="B2302" s="31"/>
      <c r="G2302" s="272" t="s">
        <v>1099</v>
      </c>
    </row>
    <row r="2303">
      <c r="B2303" s="31"/>
      <c r="G2303" s="272" t="s">
        <v>1099</v>
      </c>
    </row>
    <row r="2304">
      <c r="B2304" s="31"/>
      <c r="G2304" s="272" t="s">
        <v>1099</v>
      </c>
    </row>
    <row r="2305">
      <c r="B2305" s="31"/>
      <c r="G2305" s="272" t="s">
        <v>1099</v>
      </c>
    </row>
    <row r="2306">
      <c r="B2306" s="31"/>
      <c r="G2306" s="272" t="s">
        <v>1099</v>
      </c>
    </row>
    <row r="2307">
      <c r="B2307" s="31"/>
      <c r="G2307" s="272" t="s">
        <v>1099</v>
      </c>
    </row>
    <row r="2308">
      <c r="B2308" s="31"/>
      <c r="G2308" s="272" t="s">
        <v>1099</v>
      </c>
    </row>
    <row r="2309">
      <c r="B2309" s="31"/>
      <c r="G2309" s="272" t="s">
        <v>1099</v>
      </c>
    </row>
    <row r="2310">
      <c r="B2310" s="31"/>
      <c r="G2310" s="272" t="s">
        <v>1099</v>
      </c>
    </row>
    <row r="2311">
      <c r="B2311" s="31"/>
      <c r="G2311" s="272" t="s">
        <v>1099</v>
      </c>
    </row>
    <row r="2312">
      <c r="B2312" s="31"/>
      <c r="G2312" s="272" t="s">
        <v>1099</v>
      </c>
    </row>
    <row r="2313">
      <c r="B2313" s="31"/>
      <c r="G2313" s="272" t="s">
        <v>1099</v>
      </c>
    </row>
    <row r="2314">
      <c r="B2314" s="31"/>
      <c r="G2314" s="272" t="s">
        <v>1099</v>
      </c>
    </row>
    <row r="2315">
      <c r="B2315" s="31"/>
      <c r="G2315" s="272" t="s">
        <v>1099</v>
      </c>
    </row>
    <row r="2316">
      <c r="B2316" s="31"/>
      <c r="G2316" s="272" t="s">
        <v>1099</v>
      </c>
    </row>
    <row r="2317">
      <c r="B2317" s="31"/>
      <c r="G2317" s="272" t="s">
        <v>1099</v>
      </c>
    </row>
    <row r="2318">
      <c r="B2318" s="31"/>
      <c r="G2318" s="272" t="s">
        <v>1099</v>
      </c>
    </row>
    <row r="2319">
      <c r="B2319" s="31"/>
      <c r="G2319" s="272" t="s">
        <v>1099</v>
      </c>
    </row>
    <row r="2320">
      <c r="B2320" s="31"/>
      <c r="G2320" s="272" t="s">
        <v>1099</v>
      </c>
    </row>
    <row r="2321">
      <c r="B2321" s="31"/>
      <c r="G2321" s="272" t="s">
        <v>1099</v>
      </c>
    </row>
    <row r="2322">
      <c r="B2322" s="31"/>
      <c r="G2322" s="272" t="s">
        <v>1099</v>
      </c>
    </row>
    <row r="2323">
      <c r="B2323" s="31"/>
      <c r="G2323" s="272" t="s">
        <v>1099</v>
      </c>
    </row>
    <row r="2324">
      <c r="B2324" s="31"/>
      <c r="G2324" s="272" t="s">
        <v>1099</v>
      </c>
    </row>
    <row r="2325">
      <c r="B2325" s="31"/>
      <c r="G2325" s="272" t="s">
        <v>1099</v>
      </c>
    </row>
    <row r="2326">
      <c r="B2326" s="31"/>
      <c r="G2326" s="272" t="s">
        <v>1099</v>
      </c>
    </row>
    <row r="2327">
      <c r="B2327" s="31"/>
      <c r="G2327" s="272" t="s">
        <v>1099</v>
      </c>
    </row>
    <row r="2328">
      <c r="B2328" s="31"/>
      <c r="G2328" s="272" t="s">
        <v>1099</v>
      </c>
    </row>
    <row r="2329">
      <c r="B2329" s="31"/>
      <c r="G2329" s="272" t="s">
        <v>1099</v>
      </c>
    </row>
    <row r="2330">
      <c r="B2330" s="31"/>
      <c r="G2330" s="272" t="s">
        <v>1099</v>
      </c>
    </row>
    <row r="2331">
      <c r="B2331" s="31"/>
      <c r="G2331" s="272" t="s">
        <v>1099</v>
      </c>
    </row>
    <row r="2332">
      <c r="B2332" s="31"/>
      <c r="G2332" s="272" t="s">
        <v>1099</v>
      </c>
    </row>
    <row r="2333">
      <c r="B2333" s="31"/>
      <c r="G2333" s="272" t="s">
        <v>1099</v>
      </c>
    </row>
    <row r="2334">
      <c r="B2334" s="31"/>
      <c r="G2334" s="272" t="s">
        <v>1099</v>
      </c>
    </row>
    <row r="2335">
      <c r="B2335" s="31"/>
      <c r="G2335" s="272" t="s">
        <v>1099</v>
      </c>
    </row>
    <row r="2336">
      <c r="B2336" s="31"/>
      <c r="G2336" s="272" t="s">
        <v>1099</v>
      </c>
    </row>
    <row r="2337">
      <c r="B2337" s="31"/>
      <c r="G2337" s="272" t="s">
        <v>1099</v>
      </c>
    </row>
    <row r="2338">
      <c r="B2338" s="31"/>
      <c r="G2338" s="272" t="s">
        <v>1099</v>
      </c>
    </row>
    <row r="2339">
      <c r="B2339" s="31"/>
      <c r="G2339" s="272" t="s">
        <v>1099</v>
      </c>
    </row>
    <row r="2340">
      <c r="B2340" s="31"/>
      <c r="G2340" s="272" t="s">
        <v>1099</v>
      </c>
    </row>
    <row r="2341">
      <c r="B2341" s="31"/>
      <c r="G2341" s="272" t="s">
        <v>1099</v>
      </c>
    </row>
    <row r="2342">
      <c r="B2342" s="31"/>
      <c r="G2342" s="272" t="s">
        <v>1099</v>
      </c>
    </row>
    <row r="2343">
      <c r="B2343" s="31"/>
      <c r="G2343" s="272" t="s">
        <v>1099</v>
      </c>
    </row>
    <row r="2344">
      <c r="B2344" s="31"/>
      <c r="G2344" s="272" t="s">
        <v>1099</v>
      </c>
    </row>
    <row r="2345">
      <c r="B2345" s="31"/>
      <c r="G2345" s="272" t="s">
        <v>1099</v>
      </c>
    </row>
    <row r="2346">
      <c r="B2346" s="31"/>
      <c r="G2346" s="272" t="s">
        <v>1099</v>
      </c>
    </row>
    <row r="2347">
      <c r="B2347" s="31"/>
      <c r="G2347" s="272" t="s">
        <v>1099</v>
      </c>
    </row>
    <row r="2348">
      <c r="B2348" s="31"/>
      <c r="G2348" s="272" t="s">
        <v>1099</v>
      </c>
    </row>
    <row r="2349">
      <c r="B2349" s="31"/>
      <c r="G2349" s="272" t="s">
        <v>1099</v>
      </c>
    </row>
    <row r="2350">
      <c r="B2350" s="31"/>
      <c r="G2350" s="272" t="s">
        <v>1099</v>
      </c>
    </row>
    <row r="2351">
      <c r="B2351" s="31"/>
      <c r="G2351" s="272" t="s">
        <v>1099</v>
      </c>
    </row>
    <row r="2352">
      <c r="B2352" s="31"/>
      <c r="G2352" s="272" t="s">
        <v>1099</v>
      </c>
    </row>
    <row r="2353">
      <c r="B2353" s="31"/>
      <c r="G2353" s="272" t="s">
        <v>1099</v>
      </c>
    </row>
    <row r="2354">
      <c r="B2354" s="31"/>
      <c r="G2354" s="272" t="s">
        <v>1099</v>
      </c>
    </row>
    <row r="2355">
      <c r="B2355" s="31"/>
      <c r="G2355" s="272" t="s">
        <v>1099</v>
      </c>
    </row>
    <row r="2356">
      <c r="B2356" s="31"/>
      <c r="G2356" s="272" t="s">
        <v>1099</v>
      </c>
    </row>
    <row r="2357">
      <c r="B2357" s="31"/>
      <c r="G2357" s="272" t="s">
        <v>1099</v>
      </c>
    </row>
    <row r="2358">
      <c r="B2358" s="31"/>
      <c r="G2358" s="272" t="s">
        <v>1099</v>
      </c>
    </row>
    <row r="2359">
      <c r="B2359" s="31"/>
      <c r="G2359" s="272" t="s">
        <v>1099</v>
      </c>
    </row>
    <row r="2360">
      <c r="B2360" s="31"/>
      <c r="G2360" s="272" t="s">
        <v>1099</v>
      </c>
    </row>
    <row r="2361">
      <c r="B2361" s="31"/>
      <c r="G2361" s="272" t="s">
        <v>1099</v>
      </c>
    </row>
    <row r="2362">
      <c r="B2362" s="31"/>
      <c r="G2362" s="272" t="s">
        <v>1099</v>
      </c>
    </row>
    <row r="2363">
      <c r="B2363" s="31"/>
      <c r="G2363" s="272" t="s">
        <v>1099</v>
      </c>
    </row>
    <row r="2364">
      <c r="B2364" s="31"/>
      <c r="G2364" s="272" t="s">
        <v>1099</v>
      </c>
    </row>
    <row r="2365">
      <c r="B2365" s="31"/>
      <c r="G2365" s="272" t="s">
        <v>1099</v>
      </c>
    </row>
    <row r="2366">
      <c r="B2366" s="31"/>
      <c r="G2366" s="272" t="s">
        <v>1099</v>
      </c>
    </row>
    <row r="2367">
      <c r="B2367" s="31"/>
      <c r="G2367" s="272" t="s">
        <v>1099</v>
      </c>
    </row>
    <row r="2368">
      <c r="B2368" s="31"/>
      <c r="G2368" s="272" t="s">
        <v>1099</v>
      </c>
    </row>
    <row r="2369">
      <c r="B2369" s="31"/>
      <c r="G2369" s="272" t="s">
        <v>1099</v>
      </c>
    </row>
    <row r="2370">
      <c r="B2370" s="31"/>
      <c r="G2370" s="272" t="s">
        <v>1099</v>
      </c>
    </row>
    <row r="2371">
      <c r="B2371" s="31"/>
      <c r="G2371" s="272" t="s">
        <v>1099</v>
      </c>
    </row>
    <row r="2372">
      <c r="B2372" s="31"/>
      <c r="G2372" s="272" t="s">
        <v>1099</v>
      </c>
    </row>
    <row r="2373">
      <c r="B2373" s="31"/>
      <c r="G2373" s="272" t="s">
        <v>1099</v>
      </c>
    </row>
    <row r="2374">
      <c r="B2374" s="31"/>
      <c r="G2374" s="272" t="s">
        <v>1099</v>
      </c>
    </row>
    <row r="2375">
      <c r="B2375" s="31"/>
      <c r="G2375" s="272" t="s">
        <v>1099</v>
      </c>
    </row>
    <row r="2376">
      <c r="B2376" s="31"/>
      <c r="G2376" s="272" t="s">
        <v>1099</v>
      </c>
    </row>
    <row r="2377">
      <c r="B2377" s="31"/>
      <c r="G2377" s="272" t="s">
        <v>1099</v>
      </c>
    </row>
    <row r="2378">
      <c r="B2378" s="31"/>
      <c r="G2378" s="272" t="s">
        <v>1099</v>
      </c>
    </row>
    <row r="2379">
      <c r="B2379" s="31"/>
      <c r="G2379" s="272" t="s">
        <v>1099</v>
      </c>
    </row>
    <row r="2380">
      <c r="B2380" s="31"/>
      <c r="G2380" s="272" t="s">
        <v>1099</v>
      </c>
    </row>
    <row r="2381">
      <c r="B2381" s="31"/>
      <c r="G2381" s="272" t="s">
        <v>1099</v>
      </c>
    </row>
    <row r="2382">
      <c r="B2382" s="31"/>
      <c r="G2382" s="272" t="s">
        <v>1099</v>
      </c>
    </row>
    <row r="2383">
      <c r="B2383" s="31"/>
      <c r="G2383" s="272" t="s">
        <v>1099</v>
      </c>
    </row>
    <row r="2384">
      <c r="B2384" s="31"/>
      <c r="G2384" s="272" t="s">
        <v>1099</v>
      </c>
    </row>
    <row r="2385">
      <c r="B2385" s="31"/>
      <c r="G2385" s="272" t="s">
        <v>1099</v>
      </c>
    </row>
    <row r="2386">
      <c r="B2386" s="31"/>
      <c r="G2386" s="272" t="s">
        <v>1099</v>
      </c>
    </row>
    <row r="2387">
      <c r="B2387" s="31"/>
      <c r="G2387" s="272" t="s">
        <v>1099</v>
      </c>
    </row>
    <row r="2388">
      <c r="B2388" s="31"/>
      <c r="G2388" s="272" t="s">
        <v>1099</v>
      </c>
    </row>
    <row r="2389">
      <c r="B2389" s="31"/>
      <c r="G2389" s="272" t="s">
        <v>1099</v>
      </c>
    </row>
    <row r="2390">
      <c r="B2390" s="31"/>
      <c r="G2390" s="272" t="s">
        <v>1099</v>
      </c>
    </row>
    <row r="2391">
      <c r="B2391" s="31"/>
      <c r="G2391" s="272" t="s">
        <v>1099</v>
      </c>
    </row>
    <row r="2392">
      <c r="B2392" s="31"/>
      <c r="G2392" s="272" t="s">
        <v>1099</v>
      </c>
    </row>
    <row r="2393">
      <c r="B2393" s="31"/>
      <c r="G2393" s="272" t="s">
        <v>1099</v>
      </c>
    </row>
    <row r="2394">
      <c r="B2394" s="31"/>
      <c r="G2394" s="272" t="s">
        <v>1099</v>
      </c>
    </row>
    <row r="2395">
      <c r="B2395" s="31"/>
      <c r="G2395" s="272" t="s">
        <v>1099</v>
      </c>
    </row>
    <row r="2396">
      <c r="B2396" s="31"/>
      <c r="G2396" s="272" t="s">
        <v>1099</v>
      </c>
    </row>
    <row r="2397">
      <c r="B2397" s="31"/>
      <c r="G2397" s="272" t="s">
        <v>1099</v>
      </c>
    </row>
    <row r="2398">
      <c r="B2398" s="31"/>
      <c r="G2398" s="272" t="s">
        <v>1099</v>
      </c>
    </row>
    <row r="2399">
      <c r="B2399" s="31"/>
      <c r="G2399" s="272" t="s">
        <v>1099</v>
      </c>
    </row>
    <row r="2400">
      <c r="B2400" s="31"/>
      <c r="G2400" s="272" t="s">
        <v>1099</v>
      </c>
    </row>
    <row r="2401">
      <c r="B2401" s="31"/>
      <c r="G2401" s="272" t="s">
        <v>1099</v>
      </c>
    </row>
    <row r="2402">
      <c r="B2402" s="31"/>
      <c r="G2402" s="272" t="s">
        <v>1099</v>
      </c>
    </row>
    <row r="2403">
      <c r="B2403" s="31"/>
      <c r="G2403" s="272" t="s">
        <v>1099</v>
      </c>
    </row>
    <row r="2404">
      <c r="B2404" s="31"/>
      <c r="G2404" s="272" t="s">
        <v>1099</v>
      </c>
    </row>
    <row r="2405">
      <c r="B2405" s="31"/>
      <c r="G2405" s="272" t="s">
        <v>1099</v>
      </c>
    </row>
    <row r="2406">
      <c r="B2406" s="31"/>
      <c r="G2406" s="272" t="s">
        <v>1099</v>
      </c>
    </row>
    <row r="2407">
      <c r="B2407" s="31"/>
      <c r="G2407" s="272" t="s">
        <v>1099</v>
      </c>
    </row>
    <row r="2408">
      <c r="B2408" s="31"/>
      <c r="G2408" s="272" t="s">
        <v>1099</v>
      </c>
    </row>
    <row r="2409">
      <c r="B2409" s="31"/>
      <c r="G2409" s="272" t="s">
        <v>1099</v>
      </c>
    </row>
    <row r="2410">
      <c r="B2410" s="31"/>
      <c r="G2410" s="272" t="s">
        <v>1099</v>
      </c>
    </row>
    <row r="2411">
      <c r="B2411" s="31"/>
      <c r="G2411" s="272" t="s">
        <v>1099</v>
      </c>
    </row>
    <row r="2412">
      <c r="B2412" s="31"/>
      <c r="G2412" s="272" t="s">
        <v>1099</v>
      </c>
    </row>
    <row r="2413">
      <c r="B2413" s="31"/>
      <c r="G2413" s="272" t="s">
        <v>1099</v>
      </c>
    </row>
    <row r="2414">
      <c r="B2414" s="31"/>
      <c r="G2414" s="272" t="s">
        <v>1099</v>
      </c>
    </row>
    <row r="2415">
      <c r="B2415" s="31"/>
      <c r="G2415" s="272" t="s">
        <v>1099</v>
      </c>
    </row>
    <row r="2416">
      <c r="B2416" s="31"/>
      <c r="G2416" s="272" t="s">
        <v>1099</v>
      </c>
    </row>
    <row r="2417">
      <c r="B2417" s="31"/>
      <c r="G2417" s="272" t="s">
        <v>1099</v>
      </c>
    </row>
    <row r="2418">
      <c r="B2418" s="31"/>
      <c r="G2418" s="272" t="s">
        <v>1099</v>
      </c>
    </row>
    <row r="2419">
      <c r="B2419" s="31"/>
      <c r="G2419" s="272" t="s">
        <v>1099</v>
      </c>
    </row>
    <row r="2420">
      <c r="B2420" s="31"/>
      <c r="G2420" s="272" t="s">
        <v>1099</v>
      </c>
    </row>
    <row r="2421">
      <c r="B2421" s="31"/>
      <c r="G2421" s="272" t="s">
        <v>1099</v>
      </c>
    </row>
    <row r="2422">
      <c r="B2422" s="31"/>
      <c r="G2422" s="272" t="s">
        <v>1099</v>
      </c>
    </row>
    <row r="2423">
      <c r="B2423" s="31"/>
      <c r="G2423" s="272" t="s">
        <v>1099</v>
      </c>
    </row>
    <row r="2424">
      <c r="B2424" s="31"/>
      <c r="G2424" s="272" t="s">
        <v>1099</v>
      </c>
    </row>
    <row r="2425">
      <c r="B2425" s="31"/>
      <c r="G2425" s="272" t="s">
        <v>1099</v>
      </c>
    </row>
    <row r="2426">
      <c r="B2426" s="31"/>
      <c r="G2426" s="272" t="s">
        <v>1099</v>
      </c>
    </row>
    <row r="2427">
      <c r="B2427" s="31"/>
      <c r="G2427" s="272" t="s">
        <v>1099</v>
      </c>
    </row>
    <row r="2428">
      <c r="B2428" s="31"/>
      <c r="G2428" s="272" t="s">
        <v>1099</v>
      </c>
    </row>
    <row r="2429">
      <c r="B2429" s="31"/>
      <c r="G2429" s="272" t="s">
        <v>1099</v>
      </c>
    </row>
    <row r="2430">
      <c r="B2430" s="31"/>
      <c r="G2430" s="272" t="s">
        <v>1099</v>
      </c>
    </row>
    <row r="2431">
      <c r="B2431" s="31"/>
      <c r="G2431" s="272" t="s">
        <v>1099</v>
      </c>
    </row>
    <row r="2432">
      <c r="B2432" s="31"/>
      <c r="G2432" s="272" t="s">
        <v>1099</v>
      </c>
    </row>
    <row r="2433">
      <c r="B2433" s="31"/>
      <c r="G2433" s="272" t="s">
        <v>1099</v>
      </c>
    </row>
    <row r="2434">
      <c r="B2434" s="31"/>
      <c r="G2434" s="272" t="s">
        <v>1099</v>
      </c>
    </row>
    <row r="2435">
      <c r="B2435" s="31"/>
      <c r="G2435" s="272" t="s">
        <v>1099</v>
      </c>
    </row>
    <row r="2436">
      <c r="B2436" s="31"/>
      <c r="G2436" s="272" t="s">
        <v>1099</v>
      </c>
    </row>
    <row r="2437">
      <c r="B2437" s="31"/>
      <c r="G2437" s="272" t="s">
        <v>1099</v>
      </c>
    </row>
    <row r="2438">
      <c r="B2438" s="31"/>
      <c r="G2438" s="272" t="s">
        <v>1099</v>
      </c>
    </row>
    <row r="2439">
      <c r="B2439" s="31"/>
      <c r="G2439" s="272" t="s">
        <v>1099</v>
      </c>
    </row>
    <row r="2440">
      <c r="B2440" s="31"/>
      <c r="G2440" s="272" t="s">
        <v>1099</v>
      </c>
    </row>
    <row r="2441">
      <c r="B2441" s="31"/>
      <c r="G2441" s="272" t="s">
        <v>1099</v>
      </c>
    </row>
    <row r="2442">
      <c r="B2442" s="31"/>
      <c r="G2442" s="272" t="s">
        <v>1099</v>
      </c>
    </row>
    <row r="2443">
      <c r="B2443" s="31"/>
      <c r="G2443" s="272" t="s">
        <v>1099</v>
      </c>
    </row>
    <row r="2444">
      <c r="B2444" s="31"/>
      <c r="G2444" s="272" t="s">
        <v>1099</v>
      </c>
    </row>
    <row r="2445">
      <c r="B2445" s="31"/>
      <c r="G2445" s="272" t="s">
        <v>1099</v>
      </c>
    </row>
    <row r="2446">
      <c r="B2446" s="31"/>
      <c r="G2446" s="272" t="s">
        <v>1099</v>
      </c>
    </row>
    <row r="2447">
      <c r="B2447" s="31"/>
      <c r="G2447" s="272" t="s">
        <v>1099</v>
      </c>
    </row>
    <row r="2448">
      <c r="B2448" s="31"/>
      <c r="G2448" s="272" t="s">
        <v>1099</v>
      </c>
    </row>
    <row r="2449">
      <c r="B2449" s="31"/>
      <c r="G2449" s="272" t="s">
        <v>1099</v>
      </c>
    </row>
    <row r="2450">
      <c r="B2450" s="31"/>
      <c r="G2450" s="272" t="s">
        <v>1099</v>
      </c>
    </row>
    <row r="2451">
      <c r="B2451" s="31"/>
      <c r="G2451" s="272" t="s">
        <v>1099</v>
      </c>
    </row>
    <row r="2452">
      <c r="B2452" s="31"/>
      <c r="G2452" s="272" t="s">
        <v>1099</v>
      </c>
    </row>
    <row r="2453">
      <c r="B2453" s="31"/>
      <c r="G2453" s="272" t="s">
        <v>1099</v>
      </c>
    </row>
    <row r="2454">
      <c r="B2454" s="31"/>
      <c r="G2454" s="272" t="s">
        <v>1099</v>
      </c>
    </row>
    <row r="2455">
      <c r="B2455" s="31"/>
      <c r="G2455" s="272" t="s">
        <v>1099</v>
      </c>
    </row>
    <row r="2456">
      <c r="B2456" s="31"/>
      <c r="G2456" s="272" t="s">
        <v>1099</v>
      </c>
    </row>
    <row r="2457">
      <c r="B2457" s="31"/>
      <c r="G2457" s="272" t="s">
        <v>1099</v>
      </c>
    </row>
    <row r="2458">
      <c r="B2458" s="31"/>
      <c r="G2458" s="272" t="s">
        <v>1099</v>
      </c>
    </row>
    <row r="2459">
      <c r="B2459" s="31"/>
      <c r="G2459" s="272" t="s">
        <v>1099</v>
      </c>
    </row>
    <row r="2460">
      <c r="B2460" s="31"/>
      <c r="G2460" s="272" t="s">
        <v>1099</v>
      </c>
    </row>
    <row r="2461">
      <c r="B2461" s="31"/>
      <c r="G2461" s="272" t="s">
        <v>1099</v>
      </c>
    </row>
    <row r="2462">
      <c r="B2462" s="31"/>
      <c r="G2462" s="272" t="s">
        <v>1099</v>
      </c>
    </row>
    <row r="2463">
      <c r="B2463" s="31"/>
      <c r="G2463" s="272" t="s">
        <v>1099</v>
      </c>
    </row>
    <row r="2464">
      <c r="B2464" s="31"/>
      <c r="G2464" s="272" t="s">
        <v>1099</v>
      </c>
    </row>
    <row r="2465">
      <c r="B2465" s="31"/>
      <c r="G2465" s="272" t="s">
        <v>1099</v>
      </c>
    </row>
    <row r="2466">
      <c r="B2466" s="31"/>
      <c r="G2466" s="272" t="s">
        <v>1099</v>
      </c>
    </row>
    <row r="2467">
      <c r="B2467" s="31"/>
      <c r="G2467" s="272" t="s">
        <v>1099</v>
      </c>
    </row>
    <row r="2468">
      <c r="B2468" s="31"/>
      <c r="G2468" s="272" t="s">
        <v>1099</v>
      </c>
    </row>
    <row r="2469">
      <c r="B2469" s="31"/>
      <c r="G2469" s="272" t="s">
        <v>1099</v>
      </c>
    </row>
    <row r="2470">
      <c r="B2470" s="31"/>
      <c r="G2470" s="272" t="s">
        <v>1099</v>
      </c>
    </row>
    <row r="2471">
      <c r="B2471" s="31"/>
      <c r="G2471" s="272" t="s">
        <v>1099</v>
      </c>
    </row>
    <row r="2472">
      <c r="B2472" s="31"/>
      <c r="G2472" s="272" t="s">
        <v>1099</v>
      </c>
    </row>
    <row r="2473">
      <c r="B2473" s="31"/>
      <c r="G2473" s="272" t="s">
        <v>1099</v>
      </c>
    </row>
    <row r="2474">
      <c r="B2474" s="31"/>
      <c r="G2474" s="272" t="s">
        <v>1099</v>
      </c>
    </row>
    <row r="2475">
      <c r="B2475" s="31"/>
      <c r="G2475" s="272" t="s">
        <v>1099</v>
      </c>
    </row>
    <row r="2476">
      <c r="B2476" s="31"/>
      <c r="G2476" s="272" t="s">
        <v>1099</v>
      </c>
    </row>
    <row r="2477">
      <c r="B2477" s="31"/>
      <c r="G2477" s="272" t="s">
        <v>1099</v>
      </c>
    </row>
    <row r="2478">
      <c r="B2478" s="31"/>
      <c r="G2478" s="272" t="s">
        <v>1099</v>
      </c>
    </row>
    <row r="2479">
      <c r="B2479" s="31"/>
      <c r="G2479" s="272" t="s">
        <v>1099</v>
      </c>
    </row>
    <row r="2480">
      <c r="B2480" s="31"/>
      <c r="G2480" s="272" t="s">
        <v>1099</v>
      </c>
    </row>
    <row r="2481">
      <c r="B2481" s="31"/>
      <c r="G2481" s="272" t="s">
        <v>1099</v>
      </c>
    </row>
    <row r="2482">
      <c r="B2482" s="31"/>
      <c r="G2482" s="272" t="s">
        <v>1099</v>
      </c>
    </row>
    <row r="2483">
      <c r="B2483" s="31"/>
      <c r="G2483" s="272" t="s">
        <v>1099</v>
      </c>
    </row>
    <row r="2484">
      <c r="B2484" s="31"/>
      <c r="G2484" s="272" t="s">
        <v>1099</v>
      </c>
    </row>
    <row r="2485">
      <c r="B2485" s="31"/>
      <c r="G2485" s="272" t="s">
        <v>1099</v>
      </c>
    </row>
    <row r="2486">
      <c r="B2486" s="31"/>
      <c r="G2486" s="272" t="s">
        <v>1099</v>
      </c>
    </row>
    <row r="2487">
      <c r="B2487" s="31"/>
      <c r="G2487" s="272" t="s">
        <v>1099</v>
      </c>
    </row>
    <row r="2488">
      <c r="B2488" s="31"/>
      <c r="G2488" s="272" t="s">
        <v>1099</v>
      </c>
    </row>
    <row r="2489">
      <c r="B2489" s="31"/>
      <c r="G2489" s="272" t="s">
        <v>1099</v>
      </c>
    </row>
    <row r="2490">
      <c r="B2490" s="31"/>
      <c r="G2490" s="272" t="s">
        <v>1099</v>
      </c>
    </row>
    <row r="2491">
      <c r="B2491" s="31"/>
      <c r="G2491" s="272" t="s">
        <v>1099</v>
      </c>
    </row>
    <row r="2492">
      <c r="B2492" s="31"/>
      <c r="G2492" s="272" t="s">
        <v>1099</v>
      </c>
    </row>
    <row r="2493">
      <c r="B2493" s="31"/>
      <c r="G2493" s="272" t="s">
        <v>1099</v>
      </c>
    </row>
    <row r="2494">
      <c r="B2494" s="31"/>
      <c r="G2494" s="272" t="s">
        <v>1099</v>
      </c>
    </row>
    <row r="2495">
      <c r="B2495" s="31"/>
      <c r="G2495" s="272" t="s">
        <v>1099</v>
      </c>
    </row>
    <row r="2496">
      <c r="B2496" s="31"/>
      <c r="G2496" s="272" t="s">
        <v>1099</v>
      </c>
    </row>
    <row r="2497">
      <c r="B2497" s="31"/>
      <c r="G2497" s="272" t="s">
        <v>1099</v>
      </c>
    </row>
    <row r="2498">
      <c r="B2498" s="31"/>
      <c r="G2498" s="272" t="s">
        <v>1099</v>
      </c>
    </row>
    <row r="2499">
      <c r="B2499" s="31"/>
      <c r="G2499" s="272" t="s">
        <v>1099</v>
      </c>
    </row>
    <row r="2500">
      <c r="B2500" s="31"/>
      <c r="G2500" s="272" t="s">
        <v>1099</v>
      </c>
    </row>
    <row r="2501">
      <c r="B2501" s="31"/>
      <c r="G2501" s="272" t="s">
        <v>1099</v>
      </c>
    </row>
    <row r="2502">
      <c r="B2502" s="31"/>
      <c r="G2502" s="272" t="s">
        <v>1099</v>
      </c>
    </row>
    <row r="2503">
      <c r="B2503" s="31"/>
      <c r="G2503" s="272" t="s">
        <v>1099</v>
      </c>
    </row>
    <row r="2504">
      <c r="B2504" s="31"/>
      <c r="G2504" s="272" t="s">
        <v>1099</v>
      </c>
    </row>
    <row r="2505">
      <c r="B2505" s="31"/>
      <c r="G2505" s="272" t="s">
        <v>1099</v>
      </c>
    </row>
    <row r="2506">
      <c r="B2506" s="31"/>
      <c r="G2506" s="272" t="s">
        <v>1099</v>
      </c>
    </row>
    <row r="2507">
      <c r="B2507" s="31"/>
      <c r="G2507" s="272" t="s">
        <v>1099</v>
      </c>
    </row>
    <row r="2508">
      <c r="B2508" s="31"/>
      <c r="G2508" s="272" t="s">
        <v>1099</v>
      </c>
    </row>
    <row r="2509">
      <c r="B2509" s="31"/>
      <c r="G2509" s="272" t="s">
        <v>1099</v>
      </c>
    </row>
    <row r="2510">
      <c r="B2510" s="31"/>
      <c r="G2510" s="272" t="s">
        <v>1099</v>
      </c>
    </row>
    <row r="2511">
      <c r="B2511" s="31"/>
      <c r="G2511" s="272" t="s">
        <v>1099</v>
      </c>
    </row>
    <row r="2512">
      <c r="B2512" s="31"/>
      <c r="G2512" s="272" t="s">
        <v>1099</v>
      </c>
    </row>
    <row r="2513">
      <c r="B2513" s="31"/>
      <c r="G2513" s="272" t="s">
        <v>1099</v>
      </c>
    </row>
    <row r="2514">
      <c r="B2514" s="31"/>
      <c r="G2514" s="272" t="s">
        <v>1099</v>
      </c>
    </row>
    <row r="2515">
      <c r="B2515" s="31"/>
      <c r="G2515" s="272" t="s">
        <v>1099</v>
      </c>
    </row>
    <row r="2516">
      <c r="B2516" s="31"/>
      <c r="G2516" s="272" t="s">
        <v>1099</v>
      </c>
    </row>
    <row r="2517">
      <c r="B2517" s="31"/>
      <c r="G2517" s="272" t="s">
        <v>1099</v>
      </c>
    </row>
    <row r="2518">
      <c r="B2518" s="31"/>
      <c r="G2518" s="272" t="s">
        <v>1099</v>
      </c>
    </row>
    <row r="2519">
      <c r="B2519" s="31"/>
      <c r="G2519" s="272" t="s">
        <v>1099</v>
      </c>
    </row>
    <row r="2520">
      <c r="B2520" s="31"/>
      <c r="G2520" s="272" t="s">
        <v>1099</v>
      </c>
    </row>
    <row r="2521">
      <c r="B2521" s="31"/>
      <c r="G2521" s="272" t="s">
        <v>1099</v>
      </c>
    </row>
    <row r="2522">
      <c r="B2522" s="31"/>
      <c r="G2522" s="272" t="s">
        <v>1099</v>
      </c>
    </row>
    <row r="2523">
      <c r="B2523" s="31"/>
      <c r="G2523" s="272" t="s">
        <v>1099</v>
      </c>
    </row>
    <row r="2524">
      <c r="B2524" s="31"/>
      <c r="G2524" s="272" t="s">
        <v>1099</v>
      </c>
    </row>
    <row r="2525">
      <c r="B2525" s="31"/>
      <c r="G2525" s="272" t="s">
        <v>1099</v>
      </c>
    </row>
    <row r="2526">
      <c r="B2526" s="31"/>
      <c r="G2526" s="272" t="s">
        <v>1099</v>
      </c>
    </row>
    <row r="2527">
      <c r="B2527" s="31"/>
      <c r="G2527" s="272" t="s">
        <v>1099</v>
      </c>
    </row>
    <row r="2528">
      <c r="B2528" s="31"/>
      <c r="G2528" s="272" t="s">
        <v>1099</v>
      </c>
    </row>
    <row r="2529">
      <c r="B2529" s="31"/>
      <c r="G2529" s="272" t="s">
        <v>1099</v>
      </c>
    </row>
    <row r="2530">
      <c r="B2530" s="31"/>
      <c r="G2530" s="272" t="s">
        <v>1099</v>
      </c>
    </row>
    <row r="2531">
      <c r="B2531" s="31"/>
      <c r="G2531" s="272" t="s">
        <v>1099</v>
      </c>
    </row>
    <row r="2532">
      <c r="B2532" s="31"/>
      <c r="G2532" s="272" t="s">
        <v>1099</v>
      </c>
    </row>
    <row r="2533">
      <c r="B2533" s="31"/>
      <c r="G2533" s="272" t="s">
        <v>1099</v>
      </c>
    </row>
    <row r="2534">
      <c r="B2534" s="31"/>
      <c r="G2534" s="272" t="s">
        <v>1099</v>
      </c>
    </row>
    <row r="2535">
      <c r="B2535" s="31"/>
      <c r="G2535" s="272" t="s">
        <v>1099</v>
      </c>
    </row>
    <row r="2536">
      <c r="B2536" s="31"/>
      <c r="G2536" s="272" t="s">
        <v>1099</v>
      </c>
    </row>
    <row r="2537">
      <c r="B2537" s="31"/>
      <c r="G2537" s="272" t="s">
        <v>1099</v>
      </c>
    </row>
    <row r="2538">
      <c r="B2538" s="31"/>
      <c r="G2538" s="272" t="s">
        <v>1099</v>
      </c>
    </row>
    <row r="2539">
      <c r="B2539" s="31"/>
      <c r="G2539" s="272" t="s">
        <v>1099</v>
      </c>
    </row>
    <row r="2540">
      <c r="B2540" s="31"/>
      <c r="G2540" s="272" t="s">
        <v>1099</v>
      </c>
    </row>
    <row r="2541">
      <c r="B2541" s="31"/>
      <c r="G2541" s="272" t="s">
        <v>1099</v>
      </c>
    </row>
    <row r="2542">
      <c r="B2542" s="31"/>
      <c r="G2542" s="272" t="s">
        <v>1099</v>
      </c>
    </row>
    <row r="2543">
      <c r="B2543" s="31"/>
      <c r="G2543" s="272" t="s">
        <v>1099</v>
      </c>
    </row>
    <row r="2544">
      <c r="B2544" s="31"/>
      <c r="G2544" s="272" t="s">
        <v>1099</v>
      </c>
    </row>
    <row r="2545">
      <c r="B2545" s="31"/>
      <c r="G2545" s="272" t="s">
        <v>1099</v>
      </c>
    </row>
    <row r="2546">
      <c r="B2546" s="31"/>
      <c r="G2546" s="272" t="s">
        <v>1099</v>
      </c>
    </row>
    <row r="2547">
      <c r="B2547" s="31"/>
      <c r="G2547" s="272" t="s">
        <v>1099</v>
      </c>
    </row>
    <row r="2548">
      <c r="B2548" s="31"/>
      <c r="G2548" s="272" t="s">
        <v>1099</v>
      </c>
    </row>
    <row r="2549">
      <c r="B2549" s="31"/>
      <c r="G2549" s="272" t="s">
        <v>1099</v>
      </c>
    </row>
    <row r="2550">
      <c r="B2550" s="31"/>
      <c r="G2550" s="272" t="s">
        <v>1099</v>
      </c>
    </row>
    <row r="2551">
      <c r="B2551" s="31"/>
      <c r="G2551" s="272" t="s">
        <v>1099</v>
      </c>
    </row>
    <row r="2552">
      <c r="B2552" s="31"/>
      <c r="G2552" s="272" t="s">
        <v>1099</v>
      </c>
    </row>
    <row r="2553">
      <c r="B2553" s="31"/>
      <c r="G2553" s="272" t="s">
        <v>1099</v>
      </c>
    </row>
    <row r="2554">
      <c r="B2554" s="31"/>
      <c r="G2554" s="272" t="s">
        <v>1099</v>
      </c>
    </row>
    <row r="2555">
      <c r="B2555" s="31"/>
      <c r="G2555" s="272" t="s">
        <v>1099</v>
      </c>
    </row>
    <row r="2556">
      <c r="B2556" s="31"/>
      <c r="G2556" s="272" t="s">
        <v>1099</v>
      </c>
    </row>
    <row r="2557">
      <c r="B2557" s="31"/>
      <c r="G2557" s="272" t="s">
        <v>1099</v>
      </c>
    </row>
    <row r="2558">
      <c r="B2558" s="31"/>
      <c r="G2558" s="272" t="s">
        <v>1099</v>
      </c>
    </row>
    <row r="2559">
      <c r="B2559" s="31"/>
      <c r="G2559" s="272" t="s">
        <v>1099</v>
      </c>
    </row>
    <row r="2560">
      <c r="B2560" s="31"/>
      <c r="G2560" s="272" t="s">
        <v>1099</v>
      </c>
    </row>
    <row r="2561">
      <c r="B2561" s="31"/>
      <c r="G2561" s="272" t="s">
        <v>1099</v>
      </c>
    </row>
    <row r="2562">
      <c r="B2562" s="31"/>
      <c r="G2562" s="272" t="s">
        <v>1099</v>
      </c>
    </row>
    <row r="2563">
      <c r="B2563" s="31"/>
      <c r="G2563" s="272" t="s">
        <v>1099</v>
      </c>
    </row>
    <row r="2564">
      <c r="B2564" s="31"/>
      <c r="G2564" s="272" t="s">
        <v>1099</v>
      </c>
    </row>
    <row r="2565">
      <c r="B2565" s="31"/>
      <c r="G2565" s="272" t="s">
        <v>1099</v>
      </c>
    </row>
    <row r="2566">
      <c r="B2566" s="31"/>
      <c r="G2566" s="272" t="s">
        <v>1099</v>
      </c>
    </row>
    <row r="2567">
      <c r="B2567" s="31"/>
      <c r="G2567" s="272" t="s">
        <v>1099</v>
      </c>
    </row>
    <row r="2568">
      <c r="B2568" s="31"/>
      <c r="G2568" s="272" t="s">
        <v>1099</v>
      </c>
    </row>
    <row r="2569">
      <c r="B2569" s="31"/>
      <c r="G2569" s="272" t="s">
        <v>1099</v>
      </c>
    </row>
    <row r="2570">
      <c r="B2570" s="31"/>
      <c r="G2570" s="272" t="s">
        <v>1099</v>
      </c>
    </row>
    <row r="2571">
      <c r="B2571" s="31"/>
      <c r="G2571" s="272" t="s">
        <v>1099</v>
      </c>
    </row>
    <row r="2572">
      <c r="B2572" s="31"/>
      <c r="G2572" s="272" t="s">
        <v>1099</v>
      </c>
    </row>
    <row r="2573">
      <c r="B2573" s="31"/>
      <c r="G2573" s="272" t="s">
        <v>1099</v>
      </c>
    </row>
    <row r="2574">
      <c r="B2574" s="31"/>
      <c r="G2574" s="272" t="s">
        <v>1099</v>
      </c>
    </row>
    <row r="2575">
      <c r="B2575" s="31"/>
      <c r="G2575" s="272" t="s">
        <v>1099</v>
      </c>
    </row>
    <row r="2576">
      <c r="B2576" s="31"/>
      <c r="G2576" s="272" t="s">
        <v>1099</v>
      </c>
    </row>
    <row r="2577">
      <c r="B2577" s="31"/>
      <c r="G2577" s="272" t="s">
        <v>1099</v>
      </c>
    </row>
    <row r="2578">
      <c r="B2578" s="31"/>
      <c r="G2578" s="272" t="s">
        <v>1099</v>
      </c>
    </row>
    <row r="2579">
      <c r="B2579" s="31"/>
      <c r="G2579" s="272" t="s">
        <v>1099</v>
      </c>
    </row>
    <row r="2580">
      <c r="B2580" s="31"/>
      <c r="G2580" s="272" t="s">
        <v>1099</v>
      </c>
    </row>
    <row r="2581">
      <c r="B2581" s="31"/>
      <c r="G2581" s="272" t="s">
        <v>1099</v>
      </c>
    </row>
    <row r="2582">
      <c r="B2582" s="31"/>
      <c r="G2582" s="272" t="s">
        <v>1099</v>
      </c>
    </row>
    <row r="2583">
      <c r="B2583" s="31"/>
      <c r="G2583" s="272" t="s">
        <v>1099</v>
      </c>
    </row>
    <row r="2584">
      <c r="B2584" s="31"/>
      <c r="G2584" s="272" t="s">
        <v>1099</v>
      </c>
    </row>
    <row r="2585">
      <c r="B2585" s="31"/>
      <c r="G2585" s="272" t="s">
        <v>1099</v>
      </c>
    </row>
    <row r="2586">
      <c r="B2586" s="31"/>
      <c r="G2586" s="272" t="s">
        <v>1099</v>
      </c>
    </row>
    <row r="2587">
      <c r="B2587" s="31"/>
      <c r="G2587" s="272" t="s">
        <v>1099</v>
      </c>
    </row>
    <row r="2588">
      <c r="B2588" s="31"/>
      <c r="G2588" s="272" t="s">
        <v>1099</v>
      </c>
    </row>
    <row r="2589">
      <c r="B2589" s="31"/>
      <c r="G2589" s="272" t="s">
        <v>1099</v>
      </c>
    </row>
    <row r="2590">
      <c r="B2590" s="31"/>
      <c r="G2590" s="272" t="s">
        <v>1099</v>
      </c>
    </row>
    <row r="2591">
      <c r="B2591" s="31"/>
      <c r="G2591" s="272" t="s">
        <v>1099</v>
      </c>
    </row>
    <row r="2592">
      <c r="B2592" s="31"/>
      <c r="G2592" s="272" t="s">
        <v>1099</v>
      </c>
    </row>
    <row r="2593">
      <c r="B2593" s="31"/>
      <c r="G2593" s="272" t="s">
        <v>1099</v>
      </c>
    </row>
    <row r="2594">
      <c r="B2594" s="31"/>
      <c r="G2594" s="272" t="s">
        <v>1099</v>
      </c>
    </row>
    <row r="2595">
      <c r="B2595" s="31"/>
      <c r="G2595" s="272" t="s">
        <v>1099</v>
      </c>
    </row>
    <row r="2596">
      <c r="B2596" s="31"/>
      <c r="G2596" s="272" t="s">
        <v>1099</v>
      </c>
    </row>
    <row r="2597">
      <c r="B2597" s="31"/>
      <c r="G2597" s="272" t="s">
        <v>1099</v>
      </c>
    </row>
    <row r="2598">
      <c r="B2598" s="31"/>
      <c r="G2598" s="272" t="s">
        <v>1099</v>
      </c>
    </row>
    <row r="2599">
      <c r="B2599" s="31"/>
      <c r="G2599" s="272" t="s">
        <v>1099</v>
      </c>
    </row>
    <row r="2600">
      <c r="B2600" s="31"/>
      <c r="G2600" s="272" t="s">
        <v>1099</v>
      </c>
    </row>
    <row r="2601">
      <c r="B2601" s="31"/>
      <c r="G2601" s="272" t="s">
        <v>1099</v>
      </c>
    </row>
    <row r="2602">
      <c r="B2602" s="31"/>
      <c r="G2602" s="272" t="s">
        <v>1099</v>
      </c>
    </row>
    <row r="2603">
      <c r="B2603" s="31"/>
      <c r="G2603" s="272" t="s">
        <v>1099</v>
      </c>
    </row>
    <row r="2604">
      <c r="B2604" s="31"/>
      <c r="G2604" s="272" t="s">
        <v>1099</v>
      </c>
    </row>
    <row r="2605">
      <c r="B2605" s="31"/>
      <c r="G2605" s="272" t="s">
        <v>1099</v>
      </c>
    </row>
    <row r="2606">
      <c r="B2606" s="31"/>
      <c r="G2606" s="272" t="s">
        <v>1099</v>
      </c>
    </row>
    <row r="2607">
      <c r="B2607" s="31"/>
      <c r="G2607" s="272" t="s">
        <v>1099</v>
      </c>
    </row>
    <row r="2608">
      <c r="B2608" s="31"/>
      <c r="G2608" s="272" t="s">
        <v>1099</v>
      </c>
    </row>
    <row r="2609">
      <c r="B2609" s="31"/>
      <c r="G2609" s="272" t="s">
        <v>1099</v>
      </c>
    </row>
    <row r="2610">
      <c r="B2610" s="31"/>
      <c r="G2610" s="272" t="s">
        <v>1099</v>
      </c>
    </row>
    <row r="2611">
      <c r="B2611" s="31"/>
      <c r="G2611" s="272" t="s">
        <v>1099</v>
      </c>
    </row>
    <row r="2612">
      <c r="B2612" s="31"/>
      <c r="G2612" s="272" t="s">
        <v>1099</v>
      </c>
    </row>
    <row r="2613">
      <c r="B2613" s="31"/>
      <c r="G2613" s="272" t="s">
        <v>1099</v>
      </c>
    </row>
    <row r="2614">
      <c r="B2614" s="31"/>
      <c r="G2614" s="272" t="s">
        <v>1099</v>
      </c>
    </row>
    <row r="2615">
      <c r="B2615" s="31"/>
      <c r="G2615" s="272" t="s">
        <v>1099</v>
      </c>
    </row>
    <row r="2616">
      <c r="B2616" s="31"/>
      <c r="G2616" s="272" t="s">
        <v>1099</v>
      </c>
    </row>
    <row r="2617">
      <c r="B2617" s="31"/>
      <c r="G2617" s="272" t="s">
        <v>1099</v>
      </c>
    </row>
    <row r="2618">
      <c r="B2618" s="31"/>
      <c r="G2618" s="272" t="s">
        <v>1099</v>
      </c>
    </row>
    <row r="2619">
      <c r="B2619" s="31"/>
      <c r="G2619" s="272" t="s">
        <v>1099</v>
      </c>
    </row>
    <row r="2620">
      <c r="B2620" s="31"/>
      <c r="G2620" s="272" t="s">
        <v>1099</v>
      </c>
    </row>
    <row r="2621">
      <c r="B2621" s="31"/>
      <c r="G2621" s="272" t="s">
        <v>1099</v>
      </c>
    </row>
    <row r="2622">
      <c r="B2622" s="31"/>
      <c r="G2622" s="272" t="s">
        <v>1099</v>
      </c>
    </row>
    <row r="2623">
      <c r="B2623" s="31"/>
      <c r="G2623" s="272" t="s">
        <v>1099</v>
      </c>
    </row>
    <row r="2624">
      <c r="B2624" s="31"/>
      <c r="G2624" s="272" t="s">
        <v>1099</v>
      </c>
    </row>
    <row r="2625">
      <c r="B2625" s="31"/>
      <c r="G2625" s="272" t="s">
        <v>1099</v>
      </c>
    </row>
    <row r="2626">
      <c r="B2626" s="31"/>
      <c r="G2626" s="272" t="s">
        <v>1099</v>
      </c>
    </row>
    <row r="2627">
      <c r="B2627" s="31"/>
      <c r="G2627" s="272" t="s">
        <v>1099</v>
      </c>
    </row>
    <row r="2628">
      <c r="B2628" s="31"/>
      <c r="G2628" s="272" t="s">
        <v>1099</v>
      </c>
    </row>
    <row r="2629">
      <c r="B2629" s="31"/>
      <c r="G2629" s="272" t="s">
        <v>1099</v>
      </c>
    </row>
    <row r="2630">
      <c r="B2630" s="31"/>
      <c r="G2630" s="272" t="s">
        <v>1099</v>
      </c>
    </row>
    <row r="2631">
      <c r="B2631" s="31"/>
      <c r="G2631" s="272" t="s">
        <v>1099</v>
      </c>
    </row>
    <row r="2632">
      <c r="B2632" s="31"/>
      <c r="G2632" s="272" t="s">
        <v>1099</v>
      </c>
    </row>
    <row r="2633">
      <c r="B2633" s="31"/>
      <c r="G2633" s="272" t="s">
        <v>1099</v>
      </c>
    </row>
    <row r="2634">
      <c r="B2634" s="31"/>
      <c r="G2634" s="272" t="s">
        <v>1099</v>
      </c>
    </row>
    <row r="2635">
      <c r="B2635" s="31"/>
      <c r="G2635" s="272" t="s">
        <v>1099</v>
      </c>
    </row>
    <row r="2636">
      <c r="B2636" s="31"/>
      <c r="G2636" s="272" t="s">
        <v>1099</v>
      </c>
    </row>
    <row r="2637">
      <c r="B2637" s="31"/>
      <c r="G2637" s="272" t="s">
        <v>1099</v>
      </c>
    </row>
    <row r="2638">
      <c r="B2638" s="31"/>
      <c r="G2638" s="272" t="s">
        <v>1099</v>
      </c>
    </row>
    <row r="2639">
      <c r="B2639" s="31"/>
      <c r="G2639" s="272" t="s">
        <v>1099</v>
      </c>
    </row>
    <row r="2640">
      <c r="B2640" s="31"/>
      <c r="G2640" s="272" t="s">
        <v>1099</v>
      </c>
    </row>
    <row r="2641">
      <c r="B2641" s="31"/>
      <c r="G2641" s="272" t="s">
        <v>1099</v>
      </c>
    </row>
    <row r="2642">
      <c r="B2642" s="31"/>
      <c r="G2642" s="272" t="s">
        <v>1099</v>
      </c>
    </row>
    <row r="2643">
      <c r="B2643" s="31"/>
      <c r="G2643" s="272" t="s">
        <v>1099</v>
      </c>
    </row>
    <row r="2644">
      <c r="B2644" s="31"/>
      <c r="G2644" s="272" t="s">
        <v>1099</v>
      </c>
    </row>
    <row r="2645">
      <c r="B2645" s="31"/>
      <c r="G2645" s="272" t="s">
        <v>1099</v>
      </c>
    </row>
    <row r="2646">
      <c r="B2646" s="31"/>
      <c r="G2646" s="272" t="s">
        <v>1099</v>
      </c>
    </row>
    <row r="2647">
      <c r="B2647" s="31"/>
      <c r="G2647" s="272" t="s">
        <v>1099</v>
      </c>
    </row>
    <row r="2648">
      <c r="B2648" s="31"/>
      <c r="G2648" s="272" t="s">
        <v>1099</v>
      </c>
    </row>
    <row r="2649">
      <c r="B2649" s="31"/>
      <c r="G2649" s="272" t="s">
        <v>1099</v>
      </c>
    </row>
    <row r="2650">
      <c r="B2650" s="31"/>
      <c r="G2650" s="272" t="s">
        <v>1099</v>
      </c>
    </row>
    <row r="2651">
      <c r="B2651" s="31"/>
      <c r="G2651" s="272" t="s">
        <v>1099</v>
      </c>
    </row>
    <row r="2652">
      <c r="B2652" s="31"/>
      <c r="G2652" s="272" t="s">
        <v>1099</v>
      </c>
    </row>
    <row r="2653">
      <c r="B2653" s="31"/>
      <c r="G2653" s="272" t="s">
        <v>1099</v>
      </c>
    </row>
    <row r="2654">
      <c r="B2654" s="31"/>
      <c r="G2654" s="272" t="s">
        <v>1099</v>
      </c>
    </row>
    <row r="2655">
      <c r="B2655" s="31"/>
      <c r="G2655" s="272" t="s">
        <v>1099</v>
      </c>
    </row>
    <row r="2656">
      <c r="B2656" s="31"/>
      <c r="G2656" s="272" t="s">
        <v>1099</v>
      </c>
    </row>
    <row r="2657">
      <c r="B2657" s="31"/>
      <c r="G2657" s="272" t="s">
        <v>1099</v>
      </c>
    </row>
    <row r="2658">
      <c r="B2658" s="31"/>
      <c r="G2658" s="272" t="s">
        <v>1099</v>
      </c>
    </row>
    <row r="2659">
      <c r="B2659" s="31"/>
      <c r="G2659" s="272" t="s">
        <v>1099</v>
      </c>
    </row>
    <row r="2660">
      <c r="B2660" s="31"/>
      <c r="G2660" s="272" t="s">
        <v>1099</v>
      </c>
    </row>
    <row r="2661">
      <c r="B2661" s="31"/>
      <c r="G2661" s="272" t="s">
        <v>1099</v>
      </c>
    </row>
    <row r="2662">
      <c r="B2662" s="31"/>
      <c r="G2662" s="272" t="s">
        <v>1099</v>
      </c>
    </row>
    <row r="2663">
      <c r="B2663" s="31"/>
      <c r="G2663" s="272" t="s">
        <v>1099</v>
      </c>
    </row>
    <row r="2664">
      <c r="B2664" s="31"/>
      <c r="G2664" s="272" t="s">
        <v>1099</v>
      </c>
    </row>
    <row r="2665">
      <c r="B2665" s="31"/>
      <c r="G2665" s="272" t="s">
        <v>1099</v>
      </c>
    </row>
    <row r="2666">
      <c r="B2666" s="31"/>
      <c r="G2666" s="272" t="s">
        <v>1099</v>
      </c>
    </row>
    <row r="2667">
      <c r="B2667" s="31"/>
      <c r="G2667" s="272" t="s">
        <v>1099</v>
      </c>
    </row>
    <row r="2668">
      <c r="B2668" s="31"/>
      <c r="G2668" s="272" t="s">
        <v>1099</v>
      </c>
    </row>
    <row r="2669">
      <c r="B2669" s="31"/>
      <c r="G2669" s="272" t="s">
        <v>1099</v>
      </c>
    </row>
    <row r="2670">
      <c r="B2670" s="31"/>
      <c r="G2670" s="272" t="s">
        <v>1099</v>
      </c>
    </row>
    <row r="2671">
      <c r="B2671" s="31"/>
      <c r="G2671" s="272" t="s">
        <v>1099</v>
      </c>
    </row>
    <row r="2672">
      <c r="B2672" s="31"/>
      <c r="G2672" s="272" t="s">
        <v>1099</v>
      </c>
    </row>
    <row r="2673">
      <c r="B2673" s="31"/>
      <c r="G2673" s="272" t="s">
        <v>1099</v>
      </c>
    </row>
    <row r="2674">
      <c r="B2674" s="31"/>
      <c r="G2674" s="272" t="s">
        <v>1099</v>
      </c>
    </row>
    <row r="2675">
      <c r="B2675" s="31"/>
      <c r="G2675" s="272" t="s">
        <v>1099</v>
      </c>
    </row>
    <row r="2676">
      <c r="B2676" s="31"/>
      <c r="G2676" s="272" t="s">
        <v>1099</v>
      </c>
    </row>
    <row r="2677">
      <c r="B2677" s="31"/>
      <c r="G2677" s="272" t="s">
        <v>1099</v>
      </c>
    </row>
    <row r="2678">
      <c r="B2678" s="31"/>
      <c r="G2678" s="272" t="s">
        <v>1099</v>
      </c>
    </row>
    <row r="2679">
      <c r="B2679" s="31"/>
      <c r="G2679" s="272" t="s">
        <v>1099</v>
      </c>
    </row>
    <row r="2680">
      <c r="B2680" s="31"/>
      <c r="G2680" s="272" t="s">
        <v>1099</v>
      </c>
    </row>
    <row r="2681">
      <c r="B2681" s="31"/>
      <c r="G2681" s="272" t="s">
        <v>1099</v>
      </c>
    </row>
    <row r="2682">
      <c r="B2682" s="31"/>
      <c r="G2682" s="272" t="s">
        <v>1099</v>
      </c>
    </row>
    <row r="2683">
      <c r="B2683" s="31"/>
      <c r="G2683" s="272" t="s">
        <v>1099</v>
      </c>
    </row>
    <row r="2684">
      <c r="B2684" s="31"/>
      <c r="G2684" s="272" t="s">
        <v>1099</v>
      </c>
    </row>
    <row r="2685">
      <c r="B2685" s="31"/>
      <c r="G2685" s="272" t="s">
        <v>1099</v>
      </c>
    </row>
    <row r="2686">
      <c r="B2686" s="31"/>
      <c r="G2686" s="272" t="s">
        <v>1099</v>
      </c>
    </row>
    <row r="2687">
      <c r="B2687" s="31"/>
      <c r="G2687" s="272" t="s">
        <v>1099</v>
      </c>
    </row>
    <row r="2688">
      <c r="B2688" s="31"/>
      <c r="G2688" s="272" t="s">
        <v>1099</v>
      </c>
    </row>
    <row r="2689">
      <c r="B2689" s="31"/>
      <c r="G2689" s="272" t="s">
        <v>1099</v>
      </c>
    </row>
    <row r="2690">
      <c r="B2690" s="31"/>
      <c r="G2690" s="272" t="s">
        <v>1099</v>
      </c>
    </row>
    <row r="2691">
      <c r="B2691" s="31"/>
      <c r="G2691" s="272" t="s">
        <v>1099</v>
      </c>
    </row>
    <row r="2692">
      <c r="B2692" s="31"/>
      <c r="G2692" s="272" t="s">
        <v>1099</v>
      </c>
    </row>
    <row r="2693">
      <c r="B2693" s="31"/>
      <c r="G2693" s="272" t="s">
        <v>1099</v>
      </c>
    </row>
    <row r="2694">
      <c r="B2694" s="31"/>
      <c r="G2694" s="272" t="s">
        <v>1099</v>
      </c>
    </row>
    <row r="2695">
      <c r="B2695" s="31"/>
      <c r="G2695" s="272" t="s">
        <v>1099</v>
      </c>
    </row>
    <row r="2696">
      <c r="B2696" s="31"/>
      <c r="G2696" s="272" t="s">
        <v>1099</v>
      </c>
    </row>
    <row r="2697">
      <c r="B2697" s="31"/>
      <c r="G2697" s="272" t="s">
        <v>1099</v>
      </c>
    </row>
    <row r="2698">
      <c r="B2698" s="31"/>
      <c r="G2698" s="272" t="s">
        <v>1099</v>
      </c>
    </row>
    <row r="2699">
      <c r="B2699" s="31"/>
      <c r="G2699" s="272" t="s">
        <v>1099</v>
      </c>
    </row>
    <row r="2700">
      <c r="B2700" s="31"/>
      <c r="G2700" s="272" t="s">
        <v>1099</v>
      </c>
    </row>
    <row r="2701">
      <c r="B2701" s="31"/>
      <c r="G2701" s="272" t="s">
        <v>1099</v>
      </c>
    </row>
    <row r="2702">
      <c r="B2702" s="31"/>
      <c r="G2702" s="272" t="s">
        <v>1099</v>
      </c>
    </row>
    <row r="2703">
      <c r="B2703" s="31"/>
      <c r="G2703" s="272" t="s">
        <v>1099</v>
      </c>
    </row>
    <row r="2704">
      <c r="B2704" s="31"/>
      <c r="G2704" s="272" t="s">
        <v>1099</v>
      </c>
    </row>
    <row r="2705">
      <c r="B2705" s="31"/>
      <c r="G2705" s="272" t="s">
        <v>1099</v>
      </c>
    </row>
    <row r="2706">
      <c r="B2706" s="31"/>
      <c r="G2706" s="272" t="s">
        <v>1099</v>
      </c>
    </row>
    <row r="2707">
      <c r="B2707" s="31"/>
      <c r="G2707" s="272" t="s">
        <v>1099</v>
      </c>
    </row>
    <row r="2708">
      <c r="B2708" s="31"/>
      <c r="G2708" s="272" t="s">
        <v>1099</v>
      </c>
    </row>
    <row r="2709">
      <c r="B2709" s="31"/>
      <c r="G2709" s="272" t="s">
        <v>1099</v>
      </c>
    </row>
    <row r="2710">
      <c r="B2710" s="31"/>
      <c r="G2710" s="272" t="s">
        <v>1099</v>
      </c>
    </row>
    <row r="2711">
      <c r="B2711" s="31"/>
      <c r="G2711" s="272" t="s">
        <v>1099</v>
      </c>
    </row>
    <row r="2712">
      <c r="B2712" s="31"/>
      <c r="G2712" s="272" t="s">
        <v>1099</v>
      </c>
    </row>
    <row r="2713">
      <c r="B2713" s="31"/>
      <c r="G2713" s="272" t="s">
        <v>1099</v>
      </c>
    </row>
    <row r="2714">
      <c r="B2714" s="31"/>
      <c r="G2714" s="272" t="s">
        <v>1099</v>
      </c>
    </row>
    <row r="2715">
      <c r="B2715" s="31"/>
      <c r="G2715" s="272" t="s">
        <v>1099</v>
      </c>
    </row>
    <row r="2716">
      <c r="B2716" s="31"/>
      <c r="G2716" s="272" t="s">
        <v>1099</v>
      </c>
    </row>
    <row r="2717">
      <c r="B2717" s="31"/>
      <c r="G2717" s="272" t="s">
        <v>1099</v>
      </c>
    </row>
    <row r="2718">
      <c r="B2718" s="31"/>
      <c r="G2718" s="272" t="s">
        <v>1099</v>
      </c>
    </row>
    <row r="2719">
      <c r="B2719" s="31"/>
      <c r="G2719" s="272" t="s">
        <v>1099</v>
      </c>
    </row>
    <row r="2720">
      <c r="B2720" s="31"/>
      <c r="G2720" s="272" t="s">
        <v>1099</v>
      </c>
    </row>
    <row r="2721">
      <c r="B2721" s="31"/>
      <c r="G2721" s="272" t="s">
        <v>1099</v>
      </c>
    </row>
    <row r="2722">
      <c r="B2722" s="31"/>
      <c r="G2722" s="272" t="s">
        <v>1099</v>
      </c>
    </row>
    <row r="2723">
      <c r="B2723" s="31"/>
      <c r="G2723" s="272" t="s">
        <v>1099</v>
      </c>
    </row>
    <row r="2724">
      <c r="B2724" s="31"/>
      <c r="G2724" s="272" t="s">
        <v>1099</v>
      </c>
    </row>
    <row r="2725">
      <c r="B2725" s="31"/>
      <c r="G2725" s="272" t="s">
        <v>1099</v>
      </c>
    </row>
    <row r="2726">
      <c r="B2726" s="31"/>
      <c r="G2726" s="272" t="s">
        <v>1099</v>
      </c>
    </row>
    <row r="2727">
      <c r="B2727" s="31"/>
      <c r="G2727" s="272" t="s">
        <v>1099</v>
      </c>
    </row>
    <row r="2728">
      <c r="B2728" s="31"/>
      <c r="G2728" s="272" t="s">
        <v>1099</v>
      </c>
    </row>
    <row r="2729">
      <c r="B2729" s="31"/>
      <c r="G2729" s="272" t="s">
        <v>1099</v>
      </c>
    </row>
    <row r="2730">
      <c r="B2730" s="31"/>
      <c r="G2730" s="272" t="s">
        <v>1099</v>
      </c>
    </row>
    <row r="2731">
      <c r="B2731" s="31"/>
      <c r="G2731" s="272" t="s">
        <v>1099</v>
      </c>
    </row>
    <row r="2732">
      <c r="B2732" s="31"/>
      <c r="G2732" s="272" t="s">
        <v>1099</v>
      </c>
    </row>
    <row r="2733">
      <c r="B2733" s="31"/>
      <c r="G2733" s="272" t="s">
        <v>1099</v>
      </c>
    </row>
    <row r="2734">
      <c r="B2734" s="31"/>
      <c r="G2734" s="272" t="s">
        <v>1099</v>
      </c>
    </row>
    <row r="2735">
      <c r="B2735" s="31"/>
      <c r="G2735" s="272" t="s">
        <v>1099</v>
      </c>
    </row>
    <row r="2736">
      <c r="B2736" s="31"/>
      <c r="G2736" s="272" t="s">
        <v>1099</v>
      </c>
    </row>
    <row r="2737">
      <c r="B2737" s="31"/>
      <c r="G2737" s="272" t="s">
        <v>1099</v>
      </c>
    </row>
    <row r="2738">
      <c r="B2738" s="31"/>
      <c r="G2738" s="272" t="s">
        <v>1099</v>
      </c>
    </row>
    <row r="2739">
      <c r="B2739" s="31"/>
      <c r="G2739" s="272" t="s">
        <v>1099</v>
      </c>
    </row>
    <row r="2740">
      <c r="B2740" s="31"/>
      <c r="G2740" s="272" t="s">
        <v>1099</v>
      </c>
    </row>
    <row r="2741">
      <c r="B2741" s="31"/>
      <c r="G2741" s="272" t="s">
        <v>1099</v>
      </c>
    </row>
    <row r="2742">
      <c r="B2742" s="31"/>
      <c r="G2742" s="272" t="s">
        <v>1099</v>
      </c>
    </row>
    <row r="2743">
      <c r="B2743" s="31"/>
      <c r="G2743" s="272" t="s">
        <v>1099</v>
      </c>
    </row>
    <row r="2744">
      <c r="B2744" s="31"/>
      <c r="G2744" s="272" t="s">
        <v>1099</v>
      </c>
    </row>
    <row r="2745">
      <c r="B2745" s="31"/>
      <c r="G2745" s="272" t="s">
        <v>1099</v>
      </c>
    </row>
    <row r="2746">
      <c r="B2746" s="31"/>
      <c r="G2746" s="272" t="s">
        <v>1099</v>
      </c>
    </row>
    <row r="2747">
      <c r="B2747" s="31"/>
      <c r="G2747" s="272" t="s">
        <v>1099</v>
      </c>
    </row>
    <row r="2748">
      <c r="B2748" s="31"/>
      <c r="G2748" s="272" t="s">
        <v>1099</v>
      </c>
    </row>
    <row r="2749">
      <c r="B2749" s="31"/>
      <c r="G2749" s="272" t="s">
        <v>1099</v>
      </c>
    </row>
    <row r="2750">
      <c r="B2750" s="31"/>
      <c r="G2750" s="272" t="s">
        <v>1099</v>
      </c>
    </row>
    <row r="2751">
      <c r="B2751" s="31"/>
      <c r="G2751" s="272" t="s">
        <v>1099</v>
      </c>
    </row>
    <row r="2752">
      <c r="B2752" s="31"/>
      <c r="G2752" s="272" t="s">
        <v>1099</v>
      </c>
    </row>
    <row r="2753">
      <c r="B2753" s="31"/>
      <c r="G2753" s="272" t="s">
        <v>1099</v>
      </c>
    </row>
    <row r="2754">
      <c r="B2754" s="31"/>
      <c r="G2754" s="272" t="s">
        <v>1099</v>
      </c>
    </row>
    <row r="2755">
      <c r="B2755" s="31"/>
      <c r="G2755" s="272" t="s">
        <v>1099</v>
      </c>
    </row>
    <row r="2756">
      <c r="B2756" s="31"/>
      <c r="G2756" s="272" t="s">
        <v>1099</v>
      </c>
    </row>
    <row r="2757">
      <c r="B2757" s="31"/>
      <c r="G2757" s="272" t="s">
        <v>1099</v>
      </c>
    </row>
    <row r="2758">
      <c r="B2758" s="31"/>
      <c r="G2758" s="272" t="s">
        <v>1099</v>
      </c>
    </row>
    <row r="2759">
      <c r="B2759" s="31"/>
      <c r="G2759" s="272" t="s">
        <v>1099</v>
      </c>
    </row>
    <row r="2760">
      <c r="B2760" s="31"/>
      <c r="G2760" s="272" t="s">
        <v>1099</v>
      </c>
    </row>
    <row r="2761">
      <c r="B2761" s="31"/>
      <c r="G2761" s="272" t="s">
        <v>1099</v>
      </c>
    </row>
    <row r="2762">
      <c r="B2762" s="31"/>
      <c r="G2762" s="272" t="s">
        <v>1099</v>
      </c>
    </row>
    <row r="2763">
      <c r="B2763" s="31"/>
      <c r="G2763" s="272" t="s">
        <v>1099</v>
      </c>
    </row>
    <row r="2764">
      <c r="B2764" s="31"/>
      <c r="G2764" s="272" t="s">
        <v>1099</v>
      </c>
    </row>
    <row r="2765">
      <c r="B2765" s="31"/>
      <c r="G2765" s="272" t="s">
        <v>1099</v>
      </c>
    </row>
    <row r="2766">
      <c r="B2766" s="31"/>
      <c r="G2766" s="272" t="s">
        <v>1099</v>
      </c>
    </row>
    <row r="2767">
      <c r="B2767" s="31"/>
      <c r="G2767" s="272" t="s">
        <v>1099</v>
      </c>
    </row>
    <row r="2768">
      <c r="B2768" s="31"/>
      <c r="G2768" s="272" t="s">
        <v>1099</v>
      </c>
    </row>
    <row r="2769">
      <c r="B2769" s="31"/>
      <c r="G2769" s="272" t="s">
        <v>1099</v>
      </c>
    </row>
    <row r="2770">
      <c r="B2770" s="31"/>
      <c r="G2770" s="272" t="s">
        <v>1099</v>
      </c>
    </row>
    <row r="2771">
      <c r="B2771" s="31"/>
      <c r="G2771" s="272" t="s">
        <v>1099</v>
      </c>
    </row>
    <row r="2772">
      <c r="B2772" s="31"/>
      <c r="G2772" s="272" t="s">
        <v>1099</v>
      </c>
    </row>
    <row r="2773">
      <c r="B2773" s="31"/>
      <c r="G2773" s="272" t="s">
        <v>1099</v>
      </c>
    </row>
    <row r="2774">
      <c r="B2774" s="31"/>
      <c r="G2774" s="272" t="s">
        <v>1099</v>
      </c>
    </row>
    <row r="2775">
      <c r="B2775" s="31"/>
      <c r="G2775" s="272" t="s">
        <v>1099</v>
      </c>
    </row>
    <row r="2776">
      <c r="B2776" s="31"/>
      <c r="G2776" s="272" t="s">
        <v>1099</v>
      </c>
    </row>
    <row r="2777">
      <c r="B2777" s="31"/>
      <c r="G2777" s="272" t="s">
        <v>1099</v>
      </c>
    </row>
    <row r="2778">
      <c r="B2778" s="31"/>
      <c r="G2778" s="272" t="s">
        <v>1099</v>
      </c>
    </row>
    <row r="2779">
      <c r="B2779" s="31"/>
      <c r="G2779" s="272" t="s">
        <v>1099</v>
      </c>
    </row>
    <row r="2780">
      <c r="B2780" s="31"/>
      <c r="G2780" s="272" t="s">
        <v>1099</v>
      </c>
    </row>
    <row r="2781">
      <c r="B2781" s="31"/>
      <c r="G2781" s="272" t="s">
        <v>1099</v>
      </c>
    </row>
    <row r="2782">
      <c r="B2782" s="31"/>
      <c r="G2782" s="272" t="s">
        <v>1099</v>
      </c>
    </row>
    <row r="2783">
      <c r="B2783" s="31"/>
      <c r="G2783" s="272" t="s">
        <v>1099</v>
      </c>
    </row>
    <row r="2784">
      <c r="B2784" s="31"/>
      <c r="G2784" s="272" t="s">
        <v>1099</v>
      </c>
    </row>
    <row r="2785">
      <c r="B2785" s="31"/>
      <c r="G2785" s="272" t="s">
        <v>1099</v>
      </c>
    </row>
    <row r="2786">
      <c r="B2786" s="31"/>
      <c r="G2786" s="272" t="s">
        <v>1099</v>
      </c>
    </row>
    <row r="2787">
      <c r="B2787" s="31"/>
      <c r="G2787" s="272" t="s">
        <v>1099</v>
      </c>
    </row>
    <row r="2788">
      <c r="B2788" s="31"/>
      <c r="G2788" s="272" t="s">
        <v>1099</v>
      </c>
    </row>
    <row r="2789">
      <c r="B2789" s="31"/>
      <c r="G2789" s="272" t="s">
        <v>1099</v>
      </c>
    </row>
    <row r="2790">
      <c r="B2790" s="31"/>
      <c r="G2790" s="272" t="s">
        <v>1099</v>
      </c>
    </row>
    <row r="2791">
      <c r="B2791" s="31"/>
      <c r="G2791" s="272" t="s">
        <v>1099</v>
      </c>
    </row>
    <row r="2792">
      <c r="B2792" s="31"/>
      <c r="G2792" s="272" t="s">
        <v>1099</v>
      </c>
    </row>
    <row r="2793">
      <c r="B2793" s="31"/>
      <c r="G2793" s="272" t="s">
        <v>1099</v>
      </c>
    </row>
    <row r="2794">
      <c r="B2794" s="31"/>
      <c r="G2794" s="272" t="s">
        <v>1099</v>
      </c>
    </row>
    <row r="2795">
      <c r="B2795" s="31"/>
      <c r="G2795" s="272" t="s">
        <v>1099</v>
      </c>
    </row>
    <row r="2796">
      <c r="B2796" s="31"/>
      <c r="G2796" s="272" t="s">
        <v>1099</v>
      </c>
    </row>
    <row r="2797">
      <c r="B2797" s="31"/>
      <c r="G2797" s="272" t="s">
        <v>1099</v>
      </c>
    </row>
    <row r="2798">
      <c r="B2798" s="31"/>
      <c r="G2798" s="272" t="s">
        <v>1099</v>
      </c>
    </row>
    <row r="2799">
      <c r="B2799" s="31"/>
      <c r="G2799" s="272" t="s">
        <v>1099</v>
      </c>
    </row>
    <row r="2800">
      <c r="B2800" s="31"/>
      <c r="G2800" s="272" t="s">
        <v>1099</v>
      </c>
    </row>
    <row r="2801">
      <c r="B2801" s="31"/>
      <c r="G2801" s="272" t="s">
        <v>1099</v>
      </c>
    </row>
    <row r="2802">
      <c r="B2802" s="31"/>
      <c r="G2802" s="272" t="s">
        <v>1099</v>
      </c>
    </row>
    <row r="2803">
      <c r="B2803" s="31"/>
      <c r="G2803" s="272" t="s">
        <v>1099</v>
      </c>
    </row>
    <row r="2804">
      <c r="B2804" s="31"/>
      <c r="G2804" s="272" t="s">
        <v>1099</v>
      </c>
    </row>
    <row r="2805">
      <c r="B2805" s="31"/>
      <c r="G2805" s="272" t="s">
        <v>1099</v>
      </c>
    </row>
    <row r="2806">
      <c r="B2806" s="31"/>
      <c r="G2806" s="272" t="s">
        <v>1099</v>
      </c>
    </row>
    <row r="2807">
      <c r="B2807" s="31"/>
      <c r="G2807" s="272" t="s">
        <v>1099</v>
      </c>
    </row>
    <row r="2808">
      <c r="B2808" s="31"/>
      <c r="G2808" s="272" t="s">
        <v>1099</v>
      </c>
    </row>
    <row r="2809">
      <c r="B2809" s="31"/>
      <c r="G2809" s="272" t="s">
        <v>1099</v>
      </c>
    </row>
    <row r="2810">
      <c r="B2810" s="31"/>
      <c r="G2810" s="272" t="s">
        <v>1099</v>
      </c>
    </row>
    <row r="2811">
      <c r="B2811" s="31"/>
      <c r="G2811" s="272" t="s">
        <v>1099</v>
      </c>
    </row>
    <row r="2812">
      <c r="B2812" s="31"/>
      <c r="G2812" s="272" t="s">
        <v>1099</v>
      </c>
    </row>
    <row r="2813">
      <c r="B2813" s="31"/>
      <c r="G2813" s="272" t="s">
        <v>1099</v>
      </c>
    </row>
    <row r="2814">
      <c r="B2814" s="31"/>
      <c r="G2814" s="272" t="s">
        <v>1099</v>
      </c>
    </row>
    <row r="2815">
      <c r="B2815" s="31"/>
      <c r="G2815" s="272" t="s">
        <v>1099</v>
      </c>
    </row>
    <row r="2816">
      <c r="B2816" s="31"/>
      <c r="G2816" s="272" t="s">
        <v>1099</v>
      </c>
    </row>
    <row r="2817">
      <c r="B2817" s="31"/>
      <c r="G2817" s="272" t="s">
        <v>1099</v>
      </c>
    </row>
    <row r="2818">
      <c r="B2818" s="31"/>
      <c r="G2818" s="272" t="s">
        <v>1099</v>
      </c>
    </row>
    <row r="2819">
      <c r="B2819" s="31"/>
      <c r="G2819" s="272" t="s">
        <v>1099</v>
      </c>
    </row>
    <row r="2820">
      <c r="B2820" s="31"/>
      <c r="G2820" s="272" t="s">
        <v>1099</v>
      </c>
    </row>
    <row r="2821">
      <c r="B2821" s="31"/>
      <c r="G2821" s="272" t="s">
        <v>1099</v>
      </c>
    </row>
    <row r="2822">
      <c r="B2822" s="31"/>
      <c r="G2822" s="272" t="s">
        <v>1099</v>
      </c>
    </row>
    <row r="2823">
      <c r="B2823" s="31"/>
      <c r="G2823" s="272" t="s">
        <v>1099</v>
      </c>
    </row>
    <row r="2824">
      <c r="B2824" s="31"/>
      <c r="G2824" s="272" t="s">
        <v>1099</v>
      </c>
    </row>
    <row r="2825">
      <c r="B2825" s="31"/>
      <c r="G2825" s="272" t="s">
        <v>1099</v>
      </c>
    </row>
    <row r="2826">
      <c r="B2826" s="31"/>
      <c r="G2826" s="272" t="s">
        <v>1099</v>
      </c>
    </row>
    <row r="2827">
      <c r="B2827" s="31"/>
      <c r="G2827" s="272" t="s">
        <v>1099</v>
      </c>
    </row>
    <row r="2828">
      <c r="B2828" s="31"/>
      <c r="G2828" s="272" t="s">
        <v>1099</v>
      </c>
    </row>
    <row r="2829">
      <c r="B2829" s="31"/>
      <c r="G2829" s="272" t="s">
        <v>1099</v>
      </c>
    </row>
    <row r="2830">
      <c r="B2830" s="31"/>
      <c r="G2830" s="272" t="s">
        <v>1099</v>
      </c>
    </row>
    <row r="2831">
      <c r="B2831" s="31"/>
      <c r="G2831" s="272" t="s">
        <v>1099</v>
      </c>
    </row>
    <row r="2832">
      <c r="B2832" s="31"/>
      <c r="G2832" s="272" t="s">
        <v>1099</v>
      </c>
    </row>
    <row r="2833">
      <c r="B2833" s="31"/>
      <c r="G2833" s="272" t="s">
        <v>1099</v>
      </c>
    </row>
    <row r="2834">
      <c r="B2834" s="31"/>
      <c r="G2834" s="272" t="s">
        <v>1099</v>
      </c>
    </row>
    <row r="2835">
      <c r="B2835" s="31"/>
      <c r="G2835" s="272" t="s">
        <v>1099</v>
      </c>
    </row>
    <row r="2836">
      <c r="B2836" s="31"/>
      <c r="G2836" s="272" t="s">
        <v>1099</v>
      </c>
    </row>
    <row r="2837">
      <c r="B2837" s="31"/>
      <c r="G2837" s="272" t="s">
        <v>1099</v>
      </c>
    </row>
    <row r="2838">
      <c r="B2838" s="31"/>
      <c r="G2838" s="272" t="s">
        <v>1099</v>
      </c>
    </row>
    <row r="2839">
      <c r="B2839" s="31"/>
      <c r="G2839" s="272" t="s">
        <v>1099</v>
      </c>
    </row>
    <row r="2840">
      <c r="B2840" s="31"/>
      <c r="G2840" s="272" t="s">
        <v>1099</v>
      </c>
    </row>
    <row r="2841">
      <c r="B2841" s="31"/>
      <c r="G2841" s="272" t="s">
        <v>1099</v>
      </c>
    </row>
    <row r="2842">
      <c r="B2842" s="31"/>
      <c r="G2842" s="272" t="s">
        <v>1099</v>
      </c>
    </row>
    <row r="2843">
      <c r="B2843" s="31"/>
      <c r="G2843" s="272" t="s">
        <v>1099</v>
      </c>
    </row>
    <row r="2844">
      <c r="B2844" s="31"/>
      <c r="G2844" s="272" t="s">
        <v>1099</v>
      </c>
    </row>
    <row r="2845">
      <c r="B2845" s="31"/>
      <c r="G2845" s="272" t="s">
        <v>1099</v>
      </c>
    </row>
    <row r="2846">
      <c r="B2846" s="31"/>
      <c r="G2846" s="272" t="s">
        <v>1099</v>
      </c>
    </row>
    <row r="2847">
      <c r="B2847" s="31"/>
      <c r="G2847" s="272" t="s">
        <v>1099</v>
      </c>
    </row>
    <row r="2848">
      <c r="B2848" s="31"/>
      <c r="G2848" s="272" t="s">
        <v>1099</v>
      </c>
    </row>
    <row r="2849">
      <c r="B2849" s="31"/>
      <c r="G2849" s="272" t="s">
        <v>1099</v>
      </c>
    </row>
    <row r="2850">
      <c r="B2850" s="31"/>
      <c r="G2850" s="272" t="s">
        <v>1099</v>
      </c>
    </row>
    <row r="2851">
      <c r="B2851" s="31"/>
      <c r="G2851" s="272" t="s">
        <v>1099</v>
      </c>
    </row>
    <row r="2852">
      <c r="B2852" s="31"/>
      <c r="G2852" s="272" t="s">
        <v>1099</v>
      </c>
    </row>
    <row r="2853">
      <c r="B2853" s="31"/>
      <c r="G2853" s="272" t="s">
        <v>1099</v>
      </c>
    </row>
    <row r="2854">
      <c r="B2854" s="31"/>
      <c r="G2854" s="272" t="s">
        <v>1099</v>
      </c>
    </row>
    <row r="2855">
      <c r="B2855" s="31"/>
      <c r="G2855" s="272" t="s">
        <v>1099</v>
      </c>
    </row>
    <row r="2856">
      <c r="B2856" s="31"/>
      <c r="G2856" s="272" t="s">
        <v>1099</v>
      </c>
    </row>
    <row r="2857">
      <c r="B2857" s="31"/>
      <c r="G2857" s="272" t="s">
        <v>1099</v>
      </c>
    </row>
    <row r="2858">
      <c r="B2858" s="31"/>
      <c r="G2858" s="272" t="s">
        <v>1099</v>
      </c>
    </row>
    <row r="2859">
      <c r="B2859" s="31"/>
      <c r="G2859" s="272" t="s">
        <v>1099</v>
      </c>
    </row>
    <row r="2860">
      <c r="B2860" s="31"/>
      <c r="G2860" s="272" t="s">
        <v>1099</v>
      </c>
    </row>
    <row r="2861">
      <c r="B2861" s="31"/>
      <c r="G2861" s="272" t="s">
        <v>1099</v>
      </c>
    </row>
    <row r="2862">
      <c r="B2862" s="31"/>
      <c r="G2862" s="272" t="s">
        <v>1099</v>
      </c>
    </row>
    <row r="2863">
      <c r="B2863" s="31"/>
      <c r="G2863" s="272" t="s">
        <v>1099</v>
      </c>
    </row>
    <row r="2864">
      <c r="B2864" s="31"/>
      <c r="G2864" s="272" t="s">
        <v>1099</v>
      </c>
    </row>
    <row r="2865">
      <c r="B2865" s="31"/>
      <c r="G2865" s="272" t="s">
        <v>1099</v>
      </c>
    </row>
    <row r="2866">
      <c r="B2866" s="31"/>
      <c r="G2866" s="272" t="s">
        <v>1099</v>
      </c>
    </row>
    <row r="2867">
      <c r="B2867" s="31"/>
      <c r="G2867" s="272" t="s">
        <v>1099</v>
      </c>
    </row>
    <row r="2868">
      <c r="B2868" s="31"/>
      <c r="G2868" s="272" t="s">
        <v>1099</v>
      </c>
    </row>
    <row r="2869">
      <c r="B2869" s="31"/>
      <c r="G2869" s="272" t="s">
        <v>1099</v>
      </c>
    </row>
    <row r="2870">
      <c r="B2870" s="31"/>
      <c r="G2870" s="272" t="s">
        <v>1099</v>
      </c>
    </row>
    <row r="2871">
      <c r="B2871" s="31"/>
      <c r="G2871" s="272" t="s">
        <v>1099</v>
      </c>
    </row>
    <row r="2872">
      <c r="B2872" s="31"/>
      <c r="G2872" s="272" t="s">
        <v>1099</v>
      </c>
    </row>
    <row r="2873">
      <c r="B2873" s="31"/>
      <c r="G2873" s="272" t="s">
        <v>1099</v>
      </c>
    </row>
    <row r="2874">
      <c r="B2874" s="31"/>
      <c r="G2874" s="272" t="s">
        <v>1099</v>
      </c>
    </row>
    <row r="2875">
      <c r="B2875" s="31"/>
      <c r="G2875" s="272" t="s">
        <v>1099</v>
      </c>
    </row>
    <row r="2876">
      <c r="B2876" s="31"/>
      <c r="G2876" s="272" t="s">
        <v>1099</v>
      </c>
    </row>
    <row r="2877">
      <c r="B2877" s="31"/>
      <c r="G2877" s="272" t="s">
        <v>1099</v>
      </c>
    </row>
    <row r="2878">
      <c r="B2878" s="31"/>
      <c r="G2878" s="272" t="s">
        <v>1099</v>
      </c>
    </row>
    <row r="2879">
      <c r="B2879" s="31"/>
      <c r="G2879" s="272" t="s">
        <v>1099</v>
      </c>
    </row>
    <row r="2880">
      <c r="B2880" s="31"/>
      <c r="G2880" s="272" t="s">
        <v>1099</v>
      </c>
    </row>
    <row r="2881">
      <c r="B2881" s="31"/>
      <c r="G2881" s="272" t="s">
        <v>1099</v>
      </c>
    </row>
    <row r="2882">
      <c r="B2882" s="31"/>
      <c r="G2882" s="272" t="s">
        <v>1099</v>
      </c>
    </row>
    <row r="2883">
      <c r="B2883" s="31"/>
      <c r="G2883" s="272" t="s">
        <v>1099</v>
      </c>
    </row>
    <row r="2884">
      <c r="B2884" s="31"/>
      <c r="G2884" s="272" t="s">
        <v>1099</v>
      </c>
    </row>
    <row r="2885">
      <c r="B2885" s="31"/>
      <c r="G2885" s="272" t="s">
        <v>1099</v>
      </c>
    </row>
    <row r="2886">
      <c r="B2886" s="31"/>
      <c r="G2886" s="272" t="s">
        <v>1099</v>
      </c>
    </row>
    <row r="2887">
      <c r="B2887" s="31"/>
      <c r="G2887" s="272" t="s">
        <v>1099</v>
      </c>
    </row>
    <row r="2888">
      <c r="B2888" s="31"/>
      <c r="G2888" s="272" t="s">
        <v>1099</v>
      </c>
    </row>
    <row r="2889">
      <c r="B2889" s="31"/>
      <c r="G2889" s="272" t="s">
        <v>1099</v>
      </c>
    </row>
    <row r="2890">
      <c r="B2890" s="31"/>
      <c r="G2890" s="272" t="s">
        <v>1099</v>
      </c>
    </row>
    <row r="2891">
      <c r="B2891" s="31"/>
      <c r="G2891" s="272" t="s">
        <v>1099</v>
      </c>
    </row>
    <row r="2892">
      <c r="B2892" s="31"/>
      <c r="G2892" s="272" t="s">
        <v>1099</v>
      </c>
    </row>
    <row r="2893">
      <c r="B2893" s="31"/>
      <c r="G2893" s="272" t="s">
        <v>1099</v>
      </c>
    </row>
    <row r="2894">
      <c r="B2894" s="31"/>
      <c r="G2894" s="272" t="s">
        <v>1099</v>
      </c>
    </row>
    <row r="2895">
      <c r="B2895" s="31"/>
      <c r="G2895" s="272" t="s">
        <v>1099</v>
      </c>
    </row>
    <row r="2896">
      <c r="B2896" s="31"/>
      <c r="G2896" s="272" t="s">
        <v>1099</v>
      </c>
    </row>
    <row r="2897">
      <c r="B2897" s="31"/>
      <c r="G2897" s="272" t="s">
        <v>1099</v>
      </c>
    </row>
    <row r="2898">
      <c r="B2898" s="31"/>
      <c r="G2898" s="272" t="s">
        <v>1099</v>
      </c>
    </row>
    <row r="2899">
      <c r="B2899" s="31"/>
      <c r="G2899" s="272" t="s">
        <v>1099</v>
      </c>
    </row>
    <row r="2900">
      <c r="B2900" s="31"/>
      <c r="G2900" s="272" t="s">
        <v>1099</v>
      </c>
    </row>
    <row r="2901">
      <c r="B2901" s="31"/>
      <c r="G2901" s="272" t="s">
        <v>1099</v>
      </c>
    </row>
    <row r="2902">
      <c r="B2902" s="31"/>
      <c r="G2902" s="272" t="s">
        <v>1099</v>
      </c>
    </row>
    <row r="2903">
      <c r="B2903" s="31"/>
      <c r="G2903" s="272" t="s">
        <v>1099</v>
      </c>
    </row>
    <row r="2904">
      <c r="B2904" s="31"/>
      <c r="G2904" s="272" t="s">
        <v>1099</v>
      </c>
    </row>
    <row r="2905">
      <c r="B2905" s="31"/>
      <c r="G2905" s="272" t="s">
        <v>1099</v>
      </c>
    </row>
    <row r="2906">
      <c r="B2906" s="31"/>
      <c r="G2906" s="272" t="s">
        <v>1099</v>
      </c>
    </row>
    <row r="2907">
      <c r="B2907" s="31"/>
      <c r="G2907" s="272" t="s">
        <v>1099</v>
      </c>
    </row>
    <row r="2908">
      <c r="B2908" s="31"/>
      <c r="G2908" s="272" t="s">
        <v>1099</v>
      </c>
    </row>
    <row r="2909">
      <c r="B2909" s="31"/>
      <c r="G2909" s="272" t="s">
        <v>1099</v>
      </c>
    </row>
    <row r="2910">
      <c r="B2910" s="31"/>
      <c r="G2910" s="272" t="s">
        <v>1099</v>
      </c>
    </row>
    <row r="2911">
      <c r="B2911" s="31"/>
      <c r="G2911" s="272" t="s">
        <v>1099</v>
      </c>
    </row>
    <row r="2912">
      <c r="B2912" s="31"/>
      <c r="G2912" s="272" t="s">
        <v>1099</v>
      </c>
    </row>
    <row r="2913">
      <c r="B2913" s="31"/>
      <c r="G2913" s="272" t="s">
        <v>1099</v>
      </c>
    </row>
    <row r="2914">
      <c r="B2914" s="31"/>
      <c r="G2914" s="272" t="s">
        <v>1099</v>
      </c>
    </row>
    <row r="2915">
      <c r="B2915" s="31"/>
      <c r="G2915" s="272" t="s">
        <v>1099</v>
      </c>
    </row>
    <row r="2916">
      <c r="B2916" s="31"/>
      <c r="G2916" s="272" t="s">
        <v>1099</v>
      </c>
    </row>
    <row r="2917">
      <c r="B2917" s="31"/>
      <c r="G2917" s="272" t="s">
        <v>1099</v>
      </c>
    </row>
    <row r="2918">
      <c r="B2918" s="31"/>
      <c r="G2918" s="272" t="s">
        <v>1099</v>
      </c>
    </row>
    <row r="2919">
      <c r="B2919" s="31"/>
      <c r="G2919" s="272" t="s">
        <v>1099</v>
      </c>
    </row>
    <row r="2920">
      <c r="B2920" s="31"/>
      <c r="G2920" s="272" t="s">
        <v>1099</v>
      </c>
    </row>
    <row r="2921">
      <c r="B2921" s="31"/>
      <c r="G2921" s="272" t="s">
        <v>1099</v>
      </c>
    </row>
    <row r="2922">
      <c r="B2922" s="31"/>
      <c r="G2922" s="272" t="s">
        <v>1099</v>
      </c>
    </row>
    <row r="2923">
      <c r="B2923" s="31"/>
      <c r="G2923" s="272" t="s">
        <v>1099</v>
      </c>
    </row>
    <row r="2924">
      <c r="B2924" s="31"/>
      <c r="G2924" s="272" t="s">
        <v>1099</v>
      </c>
    </row>
    <row r="2925">
      <c r="B2925" s="31"/>
      <c r="G2925" s="272" t="s">
        <v>1099</v>
      </c>
    </row>
    <row r="2926">
      <c r="B2926" s="31"/>
      <c r="G2926" s="272" t="s">
        <v>1099</v>
      </c>
    </row>
    <row r="2927">
      <c r="B2927" s="31"/>
      <c r="G2927" s="272" t="s">
        <v>1099</v>
      </c>
    </row>
    <row r="2928">
      <c r="B2928" s="31"/>
      <c r="G2928" s="272" t="s">
        <v>1099</v>
      </c>
    </row>
    <row r="2929">
      <c r="B2929" s="31"/>
      <c r="G2929" s="272" t="s">
        <v>1099</v>
      </c>
    </row>
    <row r="2930">
      <c r="B2930" s="31"/>
      <c r="G2930" s="272" t="s">
        <v>1099</v>
      </c>
    </row>
    <row r="2931">
      <c r="B2931" s="31"/>
      <c r="G2931" s="272" t="s">
        <v>1099</v>
      </c>
    </row>
    <row r="2932">
      <c r="B2932" s="31"/>
      <c r="G2932" s="272" t="s">
        <v>1099</v>
      </c>
    </row>
    <row r="2933">
      <c r="B2933" s="31"/>
      <c r="G2933" s="272" t="s">
        <v>1099</v>
      </c>
    </row>
    <row r="2934">
      <c r="B2934" s="31"/>
      <c r="G2934" s="272" t="s">
        <v>1099</v>
      </c>
    </row>
    <row r="2935">
      <c r="B2935" s="31"/>
      <c r="G2935" s="272" t="s">
        <v>1099</v>
      </c>
    </row>
    <row r="2936">
      <c r="B2936" s="31"/>
      <c r="G2936" s="272" t="s">
        <v>1099</v>
      </c>
    </row>
    <row r="2937">
      <c r="B2937" s="31"/>
      <c r="G2937" s="272" t="s">
        <v>1099</v>
      </c>
    </row>
    <row r="2938">
      <c r="B2938" s="31"/>
      <c r="G2938" s="272" t="s">
        <v>1099</v>
      </c>
    </row>
    <row r="2939">
      <c r="B2939" s="31"/>
      <c r="G2939" s="272" t="s">
        <v>1099</v>
      </c>
    </row>
    <row r="2940">
      <c r="B2940" s="31"/>
      <c r="G2940" s="272" t="s">
        <v>1099</v>
      </c>
    </row>
    <row r="2941">
      <c r="B2941" s="31"/>
      <c r="G2941" s="272" t="s">
        <v>1099</v>
      </c>
    </row>
    <row r="2942">
      <c r="B2942" s="31"/>
      <c r="G2942" s="272" t="s">
        <v>1099</v>
      </c>
    </row>
    <row r="2943">
      <c r="B2943" s="31"/>
      <c r="G2943" s="272" t="s">
        <v>1099</v>
      </c>
    </row>
    <row r="2944">
      <c r="B2944" s="31"/>
      <c r="G2944" s="272" t="s">
        <v>1099</v>
      </c>
    </row>
    <row r="2945">
      <c r="B2945" s="31"/>
      <c r="G2945" s="272" t="s">
        <v>1099</v>
      </c>
    </row>
    <row r="2946">
      <c r="B2946" s="31"/>
      <c r="G2946" s="272" t="s">
        <v>1099</v>
      </c>
    </row>
    <row r="2947">
      <c r="B2947" s="31"/>
      <c r="G2947" s="272" t="s">
        <v>1099</v>
      </c>
    </row>
    <row r="2948">
      <c r="B2948" s="31"/>
      <c r="G2948" s="272" t="s">
        <v>1099</v>
      </c>
    </row>
    <row r="2949">
      <c r="B2949" s="31"/>
      <c r="G2949" s="272" t="s">
        <v>1099</v>
      </c>
    </row>
    <row r="2950">
      <c r="B2950" s="31"/>
      <c r="G2950" s="272" t="s">
        <v>1099</v>
      </c>
    </row>
    <row r="2951">
      <c r="B2951" s="31"/>
      <c r="G2951" s="272" t="s">
        <v>1099</v>
      </c>
    </row>
    <row r="2952">
      <c r="B2952" s="31"/>
      <c r="G2952" s="272" t="s">
        <v>1099</v>
      </c>
    </row>
    <row r="2953">
      <c r="B2953" s="31"/>
      <c r="G2953" s="272" t="s">
        <v>1099</v>
      </c>
    </row>
    <row r="2954">
      <c r="B2954" s="31"/>
      <c r="G2954" s="272" t="s">
        <v>1099</v>
      </c>
    </row>
    <row r="2955">
      <c r="B2955" s="31"/>
      <c r="G2955" s="272" t="s">
        <v>1099</v>
      </c>
    </row>
    <row r="2956">
      <c r="B2956" s="31"/>
      <c r="G2956" s="272" t="s">
        <v>1099</v>
      </c>
    </row>
    <row r="2957">
      <c r="B2957" s="31"/>
      <c r="G2957" s="272" t="s">
        <v>1099</v>
      </c>
    </row>
    <row r="2958">
      <c r="B2958" s="31"/>
      <c r="G2958" s="272" t="s">
        <v>1099</v>
      </c>
    </row>
    <row r="2959">
      <c r="B2959" s="31"/>
      <c r="G2959" s="272" t="s">
        <v>1099</v>
      </c>
    </row>
    <row r="2960">
      <c r="B2960" s="31"/>
      <c r="G2960" s="272" t="s">
        <v>1099</v>
      </c>
    </row>
    <row r="2961">
      <c r="B2961" s="31"/>
      <c r="G2961" s="272" t="s">
        <v>1099</v>
      </c>
    </row>
    <row r="2962">
      <c r="B2962" s="31"/>
      <c r="G2962" s="272" t="s">
        <v>1099</v>
      </c>
    </row>
    <row r="2963">
      <c r="B2963" s="31"/>
      <c r="G2963" s="272" t="s">
        <v>1099</v>
      </c>
    </row>
    <row r="2964">
      <c r="B2964" s="31"/>
      <c r="G2964" s="272" t="s">
        <v>1099</v>
      </c>
    </row>
    <row r="2965">
      <c r="B2965" s="31"/>
      <c r="G2965" s="272" t="s">
        <v>1099</v>
      </c>
    </row>
    <row r="2966">
      <c r="B2966" s="31"/>
      <c r="G2966" s="272" t="s">
        <v>1099</v>
      </c>
    </row>
    <row r="2967">
      <c r="B2967" s="31"/>
      <c r="G2967" s="272" t="s">
        <v>1099</v>
      </c>
    </row>
    <row r="2968">
      <c r="B2968" s="31"/>
      <c r="G2968" s="272" t="s">
        <v>1099</v>
      </c>
    </row>
    <row r="2969">
      <c r="B2969" s="31"/>
      <c r="G2969" s="272" t="s">
        <v>1099</v>
      </c>
    </row>
    <row r="2970">
      <c r="B2970" s="31"/>
      <c r="G2970" s="272" t="s">
        <v>1099</v>
      </c>
    </row>
    <row r="2971">
      <c r="B2971" s="31"/>
      <c r="G2971" s="272" t="s">
        <v>1099</v>
      </c>
    </row>
    <row r="2972">
      <c r="B2972" s="31"/>
      <c r="G2972" s="272" t="s">
        <v>1099</v>
      </c>
    </row>
    <row r="2973">
      <c r="B2973" s="31"/>
      <c r="G2973" s="272" t="s">
        <v>1099</v>
      </c>
    </row>
    <row r="2974">
      <c r="B2974" s="31"/>
      <c r="G2974" s="272" t="s">
        <v>1099</v>
      </c>
    </row>
    <row r="2975">
      <c r="B2975" s="31"/>
      <c r="G2975" s="272" t="s">
        <v>1099</v>
      </c>
    </row>
    <row r="2976">
      <c r="B2976" s="31"/>
      <c r="G2976" s="272" t="s">
        <v>1099</v>
      </c>
    </row>
    <row r="2977">
      <c r="B2977" s="31"/>
      <c r="G2977" s="272" t="s">
        <v>1099</v>
      </c>
    </row>
    <row r="2978">
      <c r="B2978" s="31"/>
      <c r="G2978" s="272" t="s">
        <v>1099</v>
      </c>
    </row>
    <row r="2979">
      <c r="B2979" s="31"/>
      <c r="G2979" s="272" t="s">
        <v>1099</v>
      </c>
    </row>
    <row r="2980">
      <c r="B2980" s="31"/>
      <c r="G2980" s="272" t="s">
        <v>1099</v>
      </c>
    </row>
    <row r="2981">
      <c r="B2981" s="31"/>
      <c r="G2981" s="272" t="s">
        <v>1099</v>
      </c>
    </row>
    <row r="2982">
      <c r="B2982" s="31"/>
      <c r="G2982" s="272" t="s">
        <v>1099</v>
      </c>
    </row>
    <row r="2983">
      <c r="B2983" s="31"/>
      <c r="G2983" s="272" t="s">
        <v>1099</v>
      </c>
    </row>
    <row r="2984">
      <c r="B2984" s="31"/>
      <c r="G2984" s="272" t="s">
        <v>1099</v>
      </c>
    </row>
    <row r="2985">
      <c r="B2985" s="31"/>
      <c r="G2985" s="272" t="s">
        <v>1099</v>
      </c>
    </row>
    <row r="2986">
      <c r="B2986" s="31"/>
      <c r="G2986" s="272" t="s">
        <v>1099</v>
      </c>
    </row>
    <row r="2987">
      <c r="B2987" s="31"/>
      <c r="G2987" s="272" t="s">
        <v>1099</v>
      </c>
    </row>
    <row r="2988">
      <c r="B2988" s="31"/>
      <c r="G2988" s="272" t="s">
        <v>1099</v>
      </c>
    </row>
    <row r="2989">
      <c r="B2989" s="31"/>
      <c r="G2989" s="272" t="s">
        <v>1099</v>
      </c>
    </row>
    <row r="2990">
      <c r="B2990" s="31"/>
      <c r="G2990" s="272" t="s">
        <v>1099</v>
      </c>
    </row>
    <row r="2991">
      <c r="B2991" s="31"/>
      <c r="G2991" s="272" t="s">
        <v>1099</v>
      </c>
    </row>
    <row r="2992">
      <c r="B2992" s="31"/>
      <c r="G2992" s="272" t="s">
        <v>1099</v>
      </c>
    </row>
    <row r="2993">
      <c r="B2993" s="31"/>
      <c r="G2993" s="272" t="s">
        <v>1099</v>
      </c>
    </row>
    <row r="2994">
      <c r="B2994" s="31"/>
      <c r="G2994" s="272" t="s">
        <v>1099</v>
      </c>
    </row>
    <row r="2995">
      <c r="B2995" s="31"/>
      <c r="G2995" s="272" t="s">
        <v>1099</v>
      </c>
    </row>
    <row r="2996">
      <c r="B2996" s="31"/>
      <c r="G2996" s="272" t="s">
        <v>1099</v>
      </c>
    </row>
    <row r="2997">
      <c r="B2997" s="31"/>
      <c r="G2997" s="272" t="s">
        <v>1099</v>
      </c>
    </row>
    <row r="2998">
      <c r="B2998" s="31"/>
      <c r="G2998" s="272" t="s">
        <v>1099</v>
      </c>
    </row>
    <row r="2999">
      <c r="B2999" s="31"/>
      <c r="G2999" s="272" t="s">
        <v>1099</v>
      </c>
    </row>
    <row r="3000">
      <c r="B3000" s="31"/>
      <c r="G3000" s="272" t="s">
        <v>1099</v>
      </c>
    </row>
    <row r="3001">
      <c r="B3001" s="31"/>
      <c r="G3001" s="272" t="s">
        <v>1099</v>
      </c>
    </row>
    <row r="3002">
      <c r="B3002" s="31"/>
      <c r="G3002" s="272" t="s">
        <v>1099</v>
      </c>
    </row>
    <row r="3003">
      <c r="B3003" s="31"/>
      <c r="G3003" s="272" t="s">
        <v>1099</v>
      </c>
    </row>
    <row r="3004">
      <c r="B3004" s="31"/>
      <c r="G3004" s="272" t="s">
        <v>1099</v>
      </c>
    </row>
    <row r="3005">
      <c r="B3005" s="31"/>
      <c r="G3005" s="272" t="s">
        <v>1099</v>
      </c>
    </row>
    <row r="3006">
      <c r="B3006" s="31"/>
      <c r="G3006" s="272" t="s">
        <v>1099</v>
      </c>
    </row>
    <row r="3007">
      <c r="B3007" s="31"/>
      <c r="G3007" s="272" t="s">
        <v>1099</v>
      </c>
    </row>
    <row r="3008">
      <c r="B3008" s="31"/>
      <c r="G3008" s="272" t="s">
        <v>1099</v>
      </c>
    </row>
    <row r="3009">
      <c r="B3009" s="31"/>
      <c r="G3009" s="272" t="s">
        <v>1099</v>
      </c>
    </row>
    <row r="3010">
      <c r="B3010" s="31"/>
      <c r="G3010" s="272" t="s">
        <v>1099</v>
      </c>
    </row>
    <row r="3011">
      <c r="B3011" s="31"/>
      <c r="G3011" s="272" t="s">
        <v>1099</v>
      </c>
    </row>
    <row r="3012">
      <c r="B3012" s="31"/>
      <c r="G3012" s="272" t="s">
        <v>1099</v>
      </c>
    </row>
    <row r="3013">
      <c r="B3013" s="31"/>
      <c r="G3013" s="272" t="s">
        <v>1099</v>
      </c>
    </row>
    <row r="3014">
      <c r="B3014" s="31"/>
      <c r="G3014" s="272" t="s">
        <v>1099</v>
      </c>
    </row>
    <row r="3015">
      <c r="B3015" s="31"/>
      <c r="G3015" s="272" t="s">
        <v>1099</v>
      </c>
    </row>
    <row r="3016">
      <c r="B3016" s="31"/>
      <c r="G3016" s="272" t="s">
        <v>1099</v>
      </c>
    </row>
    <row r="3017">
      <c r="B3017" s="31"/>
      <c r="G3017" s="272" t="s">
        <v>1099</v>
      </c>
    </row>
    <row r="3018">
      <c r="B3018" s="31"/>
      <c r="G3018" s="272" t="s">
        <v>1099</v>
      </c>
    </row>
    <row r="3019">
      <c r="B3019" s="31"/>
      <c r="G3019" s="272" t="s">
        <v>1099</v>
      </c>
    </row>
    <row r="3020">
      <c r="B3020" s="31"/>
      <c r="G3020" s="272" t="s">
        <v>1099</v>
      </c>
    </row>
    <row r="3021">
      <c r="B3021" s="31"/>
      <c r="G3021" s="272" t="s">
        <v>1099</v>
      </c>
    </row>
    <row r="3022">
      <c r="B3022" s="31"/>
      <c r="G3022" s="272" t="s">
        <v>1099</v>
      </c>
    </row>
    <row r="3023">
      <c r="B3023" s="31"/>
      <c r="G3023" s="272" t="s">
        <v>1099</v>
      </c>
    </row>
    <row r="3024">
      <c r="B3024" s="31"/>
      <c r="G3024" s="272" t="s">
        <v>1099</v>
      </c>
    </row>
    <row r="3025">
      <c r="B3025" s="31"/>
      <c r="G3025" s="272" t="s">
        <v>1099</v>
      </c>
    </row>
    <row r="3026">
      <c r="B3026" s="31"/>
      <c r="G3026" s="272" t="s">
        <v>1099</v>
      </c>
    </row>
    <row r="3027">
      <c r="B3027" s="31"/>
      <c r="G3027" s="272" t="s">
        <v>1099</v>
      </c>
    </row>
    <row r="3028">
      <c r="B3028" s="31"/>
      <c r="G3028" s="272" t="s">
        <v>1099</v>
      </c>
    </row>
    <row r="3029">
      <c r="B3029" s="31"/>
      <c r="G3029" s="272" t="s">
        <v>1099</v>
      </c>
    </row>
    <row r="3030">
      <c r="B3030" s="31"/>
      <c r="G3030" s="272" t="s">
        <v>1099</v>
      </c>
    </row>
    <row r="3031">
      <c r="B3031" s="31"/>
      <c r="G3031" s="272" t="s">
        <v>1099</v>
      </c>
    </row>
    <row r="3032">
      <c r="B3032" s="31"/>
      <c r="G3032" s="272" t="s">
        <v>1099</v>
      </c>
    </row>
    <row r="3033">
      <c r="B3033" s="31"/>
      <c r="G3033" s="272" t="s">
        <v>1099</v>
      </c>
    </row>
    <row r="3034">
      <c r="B3034" s="31"/>
      <c r="G3034" s="272" t="s">
        <v>1099</v>
      </c>
    </row>
    <row r="3035">
      <c r="B3035" s="31"/>
      <c r="G3035" s="272" t="s">
        <v>1099</v>
      </c>
    </row>
    <row r="3036">
      <c r="B3036" s="31"/>
      <c r="G3036" s="272" t="s">
        <v>1099</v>
      </c>
    </row>
    <row r="3037">
      <c r="B3037" s="31"/>
      <c r="G3037" s="272" t="s">
        <v>1099</v>
      </c>
    </row>
    <row r="3038">
      <c r="B3038" s="31"/>
      <c r="G3038" s="272" t="s">
        <v>1099</v>
      </c>
    </row>
    <row r="3039">
      <c r="B3039" s="31"/>
      <c r="G3039" s="272" t="s">
        <v>1099</v>
      </c>
    </row>
    <row r="3040">
      <c r="B3040" s="31"/>
      <c r="G3040" s="272" t="s">
        <v>1099</v>
      </c>
    </row>
    <row r="3041">
      <c r="B3041" s="31"/>
      <c r="G3041" s="272" t="s">
        <v>1099</v>
      </c>
    </row>
    <row r="3042">
      <c r="B3042" s="31"/>
      <c r="G3042" s="272" t="s">
        <v>1099</v>
      </c>
    </row>
    <row r="3043">
      <c r="B3043" s="31"/>
      <c r="G3043" s="272" t="s">
        <v>1099</v>
      </c>
    </row>
    <row r="3044">
      <c r="B3044" s="31"/>
      <c r="G3044" s="272" t="s">
        <v>1099</v>
      </c>
    </row>
    <row r="3045">
      <c r="B3045" s="31"/>
      <c r="G3045" s="272" t="s">
        <v>1099</v>
      </c>
    </row>
    <row r="3046">
      <c r="B3046" s="31"/>
      <c r="G3046" s="272" t="s">
        <v>1099</v>
      </c>
    </row>
    <row r="3047">
      <c r="B3047" s="31"/>
      <c r="G3047" s="272" t="s">
        <v>1099</v>
      </c>
    </row>
    <row r="3048">
      <c r="B3048" s="31"/>
      <c r="G3048" s="272" t="s">
        <v>1099</v>
      </c>
    </row>
    <row r="3049">
      <c r="B3049" s="31"/>
      <c r="G3049" s="272" t="s">
        <v>1099</v>
      </c>
    </row>
    <row r="3050">
      <c r="B3050" s="31"/>
      <c r="G3050" s="272" t="s">
        <v>1099</v>
      </c>
    </row>
    <row r="3051">
      <c r="B3051" s="31"/>
      <c r="G3051" s="272" t="s">
        <v>1099</v>
      </c>
    </row>
    <row r="3052">
      <c r="B3052" s="31"/>
      <c r="G3052" s="272" t="s">
        <v>1099</v>
      </c>
    </row>
    <row r="3053">
      <c r="B3053" s="31"/>
      <c r="G3053" s="272" t="s">
        <v>1099</v>
      </c>
    </row>
    <row r="3054">
      <c r="B3054" s="31"/>
      <c r="G3054" s="272" t="s">
        <v>1099</v>
      </c>
    </row>
    <row r="3055">
      <c r="B3055" s="31"/>
      <c r="G3055" s="272" t="s">
        <v>1099</v>
      </c>
    </row>
    <row r="3056">
      <c r="B3056" s="31"/>
      <c r="G3056" s="272" t="s">
        <v>1099</v>
      </c>
    </row>
    <row r="3057">
      <c r="B3057" s="31"/>
      <c r="G3057" s="272" t="s">
        <v>1099</v>
      </c>
    </row>
    <row r="3058">
      <c r="B3058" s="31"/>
      <c r="G3058" s="272" t="s">
        <v>1099</v>
      </c>
    </row>
    <row r="3059">
      <c r="B3059" s="31"/>
      <c r="G3059" s="272" t="s">
        <v>1099</v>
      </c>
    </row>
    <row r="3060">
      <c r="B3060" s="31"/>
      <c r="G3060" s="272" t="s">
        <v>1099</v>
      </c>
    </row>
    <row r="3061">
      <c r="B3061" s="31"/>
      <c r="G3061" s="272" t="s">
        <v>1099</v>
      </c>
    </row>
    <row r="3062">
      <c r="B3062" s="31"/>
      <c r="G3062" s="272" t="s">
        <v>1099</v>
      </c>
    </row>
    <row r="3063">
      <c r="B3063" s="31"/>
      <c r="G3063" s="272" t="s">
        <v>1099</v>
      </c>
    </row>
    <row r="3064">
      <c r="B3064" s="31"/>
      <c r="G3064" s="272" t="s">
        <v>1099</v>
      </c>
    </row>
    <row r="3065">
      <c r="B3065" s="31"/>
      <c r="G3065" s="272" t="s">
        <v>1099</v>
      </c>
    </row>
    <row r="3066">
      <c r="B3066" s="31"/>
      <c r="G3066" s="272" t="s">
        <v>1099</v>
      </c>
    </row>
    <row r="3067">
      <c r="B3067" s="31"/>
      <c r="G3067" s="272" t="s">
        <v>1099</v>
      </c>
    </row>
    <row r="3068">
      <c r="B3068" s="31"/>
      <c r="G3068" s="272" t="s">
        <v>1099</v>
      </c>
    </row>
    <row r="3069">
      <c r="B3069" s="31"/>
      <c r="G3069" s="272" t="s">
        <v>1099</v>
      </c>
    </row>
    <row r="3070">
      <c r="B3070" s="31"/>
      <c r="G3070" s="272" t="s">
        <v>1099</v>
      </c>
    </row>
    <row r="3071">
      <c r="B3071" s="31"/>
      <c r="G3071" s="272" t="s">
        <v>1099</v>
      </c>
    </row>
    <row r="3072">
      <c r="B3072" s="31"/>
      <c r="G3072" s="272" t="s">
        <v>1099</v>
      </c>
    </row>
    <row r="3073">
      <c r="B3073" s="31"/>
      <c r="G3073" s="272" t="s">
        <v>1099</v>
      </c>
    </row>
    <row r="3074">
      <c r="B3074" s="31"/>
      <c r="G3074" s="272" t="s">
        <v>1099</v>
      </c>
    </row>
    <row r="3075">
      <c r="B3075" s="31"/>
      <c r="G3075" s="272" t="s">
        <v>1099</v>
      </c>
    </row>
    <row r="3076">
      <c r="B3076" s="31"/>
      <c r="G3076" s="272" t="s">
        <v>1099</v>
      </c>
    </row>
    <row r="3077">
      <c r="B3077" s="31"/>
      <c r="G3077" s="272" t="s">
        <v>1099</v>
      </c>
    </row>
    <row r="3078">
      <c r="B3078" s="31"/>
      <c r="G3078" s="272" t="s">
        <v>1099</v>
      </c>
    </row>
    <row r="3079">
      <c r="B3079" s="31"/>
      <c r="G3079" s="272" t="s">
        <v>1099</v>
      </c>
    </row>
    <row r="3080">
      <c r="B3080" s="31"/>
      <c r="G3080" s="272" t="s">
        <v>1099</v>
      </c>
    </row>
    <row r="3081">
      <c r="B3081" s="31"/>
      <c r="G3081" s="272" t="s">
        <v>1099</v>
      </c>
    </row>
    <row r="3082">
      <c r="B3082" s="31"/>
      <c r="G3082" s="272" t="s">
        <v>1099</v>
      </c>
    </row>
    <row r="3083">
      <c r="B3083" s="31"/>
      <c r="G3083" s="272" t="s">
        <v>1099</v>
      </c>
    </row>
    <row r="3084">
      <c r="B3084" s="31"/>
      <c r="G3084" s="272" t="s">
        <v>1099</v>
      </c>
    </row>
    <row r="3085">
      <c r="B3085" s="31"/>
      <c r="G3085" s="272" t="s">
        <v>1099</v>
      </c>
    </row>
    <row r="3086">
      <c r="B3086" s="31"/>
      <c r="G3086" s="272" t="s">
        <v>1099</v>
      </c>
    </row>
    <row r="3087">
      <c r="B3087" s="31"/>
      <c r="G3087" s="272" t="s">
        <v>1099</v>
      </c>
    </row>
    <row r="3088">
      <c r="B3088" s="31"/>
      <c r="G3088" s="272" t="s">
        <v>1099</v>
      </c>
    </row>
    <row r="3089">
      <c r="B3089" s="31"/>
      <c r="G3089" s="272" t="s">
        <v>1099</v>
      </c>
    </row>
    <row r="3090">
      <c r="B3090" s="31"/>
      <c r="G3090" s="272" t="s">
        <v>1099</v>
      </c>
    </row>
    <row r="3091">
      <c r="B3091" s="31"/>
      <c r="G3091" s="272" t="s">
        <v>1099</v>
      </c>
    </row>
    <row r="3092">
      <c r="B3092" s="31"/>
      <c r="G3092" s="272" t="s">
        <v>1099</v>
      </c>
    </row>
    <row r="3093">
      <c r="B3093" s="31"/>
      <c r="G3093" s="272" t="s">
        <v>1099</v>
      </c>
    </row>
    <row r="3094">
      <c r="B3094" s="31"/>
      <c r="G3094" s="272" t="s">
        <v>1099</v>
      </c>
    </row>
    <row r="3095">
      <c r="B3095" s="31"/>
      <c r="G3095" s="272" t="s">
        <v>1099</v>
      </c>
    </row>
    <row r="3096">
      <c r="B3096" s="31"/>
      <c r="G3096" s="272" t="s">
        <v>1099</v>
      </c>
    </row>
    <row r="3097">
      <c r="B3097" s="31"/>
      <c r="G3097" s="272" t="s">
        <v>1099</v>
      </c>
    </row>
    <row r="3098">
      <c r="B3098" s="31"/>
      <c r="G3098" s="272" t="s">
        <v>1099</v>
      </c>
    </row>
    <row r="3099">
      <c r="B3099" s="31"/>
      <c r="G3099" s="272" t="s">
        <v>1099</v>
      </c>
    </row>
    <row r="3100">
      <c r="B3100" s="31"/>
      <c r="G3100" s="272" t="s">
        <v>1099</v>
      </c>
    </row>
    <row r="3101">
      <c r="B3101" s="31"/>
      <c r="G3101" s="272" t="s">
        <v>1099</v>
      </c>
    </row>
    <row r="3102">
      <c r="B3102" s="31"/>
      <c r="G3102" s="272" t="s">
        <v>1099</v>
      </c>
    </row>
    <row r="3103">
      <c r="B3103" s="31"/>
      <c r="G3103" s="272" t="s">
        <v>1099</v>
      </c>
    </row>
    <row r="3104">
      <c r="B3104" s="31"/>
      <c r="G3104" s="272" t="s">
        <v>1099</v>
      </c>
    </row>
    <row r="3105">
      <c r="B3105" s="31"/>
      <c r="G3105" s="272" t="s">
        <v>1099</v>
      </c>
    </row>
    <row r="3106">
      <c r="B3106" s="31"/>
      <c r="G3106" s="272" t="s">
        <v>1099</v>
      </c>
    </row>
    <row r="3107">
      <c r="B3107" s="31"/>
      <c r="G3107" s="272" t="s">
        <v>1099</v>
      </c>
    </row>
    <row r="3108">
      <c r="B3108" s="31"/>
      <c r="G3108" s="272" t="s">
        <v>1099</v>
      </c>
    </row>
    <row r="3109">
      <c r="B3109" s="31"/>
      <c r="G3109" s="272" t="s">
        <v>1099</v>
      </c>
    </row>
    <row r="3110">
      <c r="B3110" s="31"/>
      <c r="G3110" s="272" t="s">
        <v>1099</v>
      </c>
    </row>
    <row r="3111">
      <c r="B3111" s="31"/>
      <c r="G3111" s="272" t="s">
        <v>1099</v>
      </c>
    </row>
    <row r="3112">
      <c r="B3112" s="31"/>
      <c r="G3112" s="272" t="s">
        <v>1099</v>
      </c>
    </row>
    <row r="3113">
      <c r="B3113" s="31"/>
      <c r="G3113" s="272" t="s">
        <v>1099</v>
      </c>
    </row>
    <row r="3114">
      <c r="B3114" s="31"/>
      <c r="G3114" s="272" t="s">
        <v>1099</v>
      </c>
    </row>
    <row r="3115">
      <c r="B3115" s="31"/>
      <c r="G3115" s="272" t="s">
        <v>1099</v>
      </c>
    </row>
    <row r="3116">
      <c r="B3116" s="31"/>
      <c r="G3116" s="272" t="s">
        <v>1099</v>
      </c>
    </row>
    <row r="3117">
      <c r="B3117" s="31"/>
      <c r="G3117" s="272" t="s">
        <v>1099</v>
      </c>
    </row>
    <row r="3118">
      <c r="B3118" s="31"/>
      <c r="G3118" s="272" t="s">
        <v>1099</v>
      </c>
    </row>
    <row r="3119">
      <c r="B3119" s="31"/>
      <c r="G3119" s="272" t="s">
        <v>1099</v>
      </c>
    </row>
    <row r="3120">
      <c r="B3120" s="31"/>
      <c r="G3120" s="272" t="s">
        <v>1099</v>
      </c>
    </row>
    <row r="3121">
      <c r="B3121" s="31"/>
      <c r="G3121" s="272" t="s">
        <v>1099</v>
      </c>
    </row>
    <row r="3122">
      <c r="B3122" s="31"/>
      <c r="G3122" s="272" t="s">
        <v>1099</v>
      </c>
    </row>
    <row r="3123">
      <c r="B3123" s="31"/>
      <c r="G3123" s="272" t="s">
        <v>1099</v>
      </c>
    </row>
    <row r="3124">
      <c r="B3124" s="31"/>
      <c r="G3124" s="272" t="s">
        <v>1099</v>
      </c>
    </row>
    <row r="3125">
      <c r="B3125" s="31"/>
      <c r="G3125" s="272" t="s">
        <v>1099</v>
      </c>
    </row>
    <row r="3126">
      <c r="B3126" s="31"/>
      <c r="G3126" s="272" t="s">
        <v>1099</v>
      </c>
    </row>
    <row r="3127">
      <c r="B3127" s="31"/>
      <c r="G3127" s="272" t="s">
        <v>1099</v>
      </c>
    </row>
    <row r="3128">
      <c r="B3128" s="31"/>
      <c r="G3128" s="272" t="s">
        <v>1099</v>
      </c>
    </row>
    <row r="3129">
      <c r="B3129" s="31"/>
      <c r="G3129" s="272" t="s">
        <v>1099</v>
      </c>
    </row>
    <row r="3130">
      <c r="B3130" s="31"/>
      <c r="G3130" s="272" t="s">
        <v>1099</v>
      </c>
    </row>
    <row r="3131">
      <c r="B3131" s="31"/>
      <c r="G3131" s="272" t="s">
        <v>1099</v>
      </c>
    </row>
    <row r="3132">
      <c r="B3132" s="31"/>
      <c r="G3132" s="272" t="s">
        <v>1099</v>
      </c>
    </row>
    <row r="3133">
      <c r="B3133" s="31"/>
      <c r="G3133" s="272" t="s">
        <v>1099</v>
      </c>
    </row>
    <row r="3134">
      <c r="B3134" s="31"/>
      <c r="G3134" s="272" t="s">
        <v>1099</v>
      </c>
    </row>
    <row r="3135">
      <c r="B3135" s="31"/>
      <c r="G3135" s="272" t="s">
        <v>1099</v>
      </c>
    </row>
    <row r="3136">
      <c r="B3136" s="31"/>
      <c r="G3136" s="272" t="s">
        <v>1099</v>
      </c>
    </row>
    <row r="3137">
      <c r="B3137" s="31"/>
      <c r="G3137" s="272" t="s">
        <v>1099</v>
      </c>
    </row>
    <row r="3138">
      <c r="B3138" s="31"/>
      <c r="G3138" s="272" t="s">
        <v>1099</v>
      </c>
    </row>
    <row r="3139">
      <c r="B3139" s="31"/>
      <c r="G3139" s="272" t="s">
        <v>1099</v>
      </c>
    </row>
    <row r="3140">
      <c r="B3140" s="31"/>
      <c r="G3140" s="272" t="s">
        <v>1099</v>
      </c>
    </row>
    <row r="3141">
      <c r="B3141" s="31"/>
      <c r="G3141" s="272" t="s">
        <v>1099</v>
      </c>
    </row>
    <row r="3142">
      <c r="B3142" s="31"/>
      <c r="G3142" s="272" t="s">
        <v>1099</v>
      </c>
    </row>
    <row r="3143">
      <c r="B3143" s="31"/>
      <c r="G3143" s="272" t="s">
        <v>1099</v>
      </c>
    </row>
    <row r="3144">
      <c r="B3144" s="31"/>
      <c r="G3144" s="272" t="s">
        <v>1099</v>
      </c>
    </row>
    <row r="3145">
      <c r="B3145" s="31"/>
      <c r="G3145" s="272" t="s">
        <v>1099</v>
      </c>
    </row>
    <row r="3146">
      <c r="B3146" s="31"/>
      <c r="G3146" s="272" t="s">
        <v>1099</v>
      </c>
    </row>
    <row r="3147">
      <c r="B3147" s="31"/>
      <c r="G3147" s="272" t="s">
        <v>1099</v>
      </c>
    </row>
    <row r="3148">
      <c r="B3148" s="31"/>
      <c r="G3148" s="272" t="s">
        <v>1099</v>
      </c>
    </row>
    <row r="3149">
      <c r="B3149" s="31"/>
      <c r="G3149" s="272" t="s">
        <v>1099</v>
      </c>
    </row>
    <row r="3150">
      <c r="B3150" s="31"/>
      <c r="G3150" s="272" t="s">
        <v>1099</v>
      </c>
    </row>
    <row r="3151">
      <c r="B3151" s="31"/>
      <c r="G3151" s="272" t="s">
        <v>1099</v>
      </c>
    </row>
    <row r="3152">
      <c r="B3152" s="31"/>
      <c r="G3152" s="272" t="s">
        <v>1099</v>
      </c>
    </row>
    <row r="3153">
      <c r="B3153" s="31"/>
      <c r="G3153" s="272" t="s">
        <v>1099</v>
      </c>
    </row>
    <row r="3154">
      <c r="B3154" s="31"/>
      <c r="G3154" s="272" t="s">
        <v>1099</v>
      </c>
    </row>
    <row r="3155">
      <c r="B3155" s="31"/>
      <c r="G3155" s="272" t="s">
        <v>1099</v>
      </c>
    </row>
    <row r="3156">
      <c r="B3156" s="31"/>
      <c r="G3156" s="272" t="s">
        <v>1099</v>
      </c>
    </row>
    <row r="3157">
      <c r="B3157" s="31"/>
      <c r="G3157" s="272" t="s">
        <v>1099</v>
      </c>
    </row>
    <row r="3158">
      <c r="B3158" s="31"/>
      <c r="G3158" s="272" t="s">
        <v>1099</v>
      </c>
    </row>
    <row r="3159">
      <c r="B3159" s="31"/>
      <c r="G3159" s="272" t="s">
        <v>1099</v>
      </c>
    </row>
    <row r="3160">
      <c r="B3160" s="31"/>
      <c r="G3160" s="272" t="s">
        <v>1099</v>
      </c>
    </row>
    <row r="3161">
      <c r="B3161" s="31"/>
      <c r="G3161" s="272" t="s">
        <v>1099</v>
      </c>
    </row>
    <row r="3162">
      <c r="B3162" s="31"/>
      <c r="G3162" s="272" t="s">
        <v>1099</v>
      </c>
    </row>
    <row r="3163">
      <c r="B3163" s="31"/>
      <c r="G3163" s="272" t="s">
        <v>1099</v>
      </c>
    </row>
    <row r="3164">
      <c r="B3164" s="31"/>
      <c r="G3164" s="272" t="s">
        <v>1099</v>
      </c>
    </row>
    <row r="3165">
      <c r="B3165" s="31"/>
      <c r="G3165" s="272" t="s">
        <v>1099</v>
      </c>
    </row>
    <row r="3166">
      <c r="B3166" s="31"/>
      <c r="G3166" s="272" t="s">
        <v>1099</v>
      </c>
    </row>
    <row r="3167">
      <c r="B3167" s="31"/>
      <c r="G3167" s="272" t="s">
        <v>1099</v>
      </c>
    </row>
    <row r="3168">
      <c r="B3168" s="31"/>
      <c r="G3168" s="272" t="s">
        <v>1099</v>
      </c>
    </row>
    <row r="3169">
      <c r="B3169" s="31"/>
      <c r="G3169" s="272" t="s">
        <v>1099</v>
      </c>
    </row>
    <row r="3170">
      <c r="B3170" s="31"/>
      <c r="G3170" s="272" t="s">
        <v>1099</v>
      </c>
    </row>
    <row r="3171">
      <c r="B3171" s="31"/>
      <c r="G3171" s="272" t="s">
        <v>1099</v>
      </c>
    </row>
    <row r="3172">
      <c r="B3172" s="31"/>
      <c r="G3172" s="272" t="s">
        <v>1099</v>
      </c>
    </row>
    <row r="3173">
      <c r="B3173" s="31"/>
      <c r="G3173" s="272" t="s">
        <v>1099</v>
      </c>
    </row>
    <row r="3174">
      <c r="B3174" s="31"/>
      <c r="G3174" s="272" t="s">
        <v>1099</v>
      </c>
    </row>
    <row r="3175">
      <c r="B3175" s="31"/>
      <c r="G3175" s="272" t="s">
        <v>1099</v>
      </c>
    </row>
    <row r="3176">
      <c r="B3176" s="31"/>
      <c r="G3176" s="272" t="s">
        <v>1099</v>
      </c>
    </row>
    <row r="3177">
      <c r="B3177" s="31"/>
      <c r="G3177" s="272" t="s">
        <v>1099</v>
      </c>
    </row>
    <row r="3178">
      <c r="B3178" s="31"/>
      <c r="G3178" s="272" t="s">
        <v>1099</v>
      </c>
    </row>
    <row r="3179">
      <c r="B3179" s="31"/>
      <c r="G3179" s="272" t="s">
        <v>1099</v>
      </c>
    </row>
    <row r="3180">
      <c r="B3180" s="31"/>
      <c r="G3180" s="272" t="s">
        <v>1099</v>
      </c>
    </row>
    <row r="3181">
      <c r="B3181" s="31"/>
      <c r="G3181" s="272" t="s">
        <v>1099</v>
      </c>
    </row>
    <row r="3182">
      <c r="B3182" s="31"/>
      <c r="G3182" s="272" t="s">
        <v>1099</v>
      </c>
    </row>
    <row r="3183">
      <c r="B3183" s="31"/>
      <c r="G3183" s="272" t="s">
        <v>1099</v>
      </c>
    </row>
    <row r="3184">
      <c r="B3184" s="31"/>
      <c r="G3184" s="272" t="s">
        <v>1099</v>
      </c>
    </row>
    <row r="3185">
      <c r="B3185" s="31"/>
      <c r="G3185" s="272" t="s">
        <v>1099</v>
      </c>
    </row>
    <row r="3186">
      <c r="B3186" s="31"/>
      <c r="G3186" s="272" t="s">
        <v>1099</v>
      </c>
    </row>
    <row r="3187">
      <c r="B3187" s="31"/>
      <c r="G3187" s="272" t="s">
        <v>1099</v>
      </c>
    </row>
    <row r="3188">
      <c r="B3188" s="31"/>
      <c r="G3188" s="272" t="s">
        <v>1099</v>
      </c>
    </row>
    <row r="3189">
      <c r="B3189" s="31"/>
      <c r="G3189" s="272" t="s">
        <v>1099</v>
      </c>
    </row>
    <row r="3190">
      <c r="B3190" s="31"/>
      <c r="G3190" s="272" t="s">
        <v>1099</v>
      </c>
    </row>
    <row r="3191">
      <c r="B3191" s="31"/>
      <c r="G3191" s="272" t="s">
        <v>1099</v>
      </c>
    </row>
    <row r="3192">
      <c r="B3192" s="31"/>
      <c r="G3192" s="272" t="s">
        <v>1099</v>
      </c>
    </row>
    <row r="3193">
      <c r="B3193" s="31"/>
      <c r="G3193" s="272" t="s">
        <v>1099</v>
      </c>
    </row>
    <row r="3194">
      <c r="B3194" s="31"/>
      <c r="G3194" s="272" t="s">
        <v>1099</v>
      </c>
    </row>
    <row r="3195">
      <c r="B3195" s="31"/>
      <c r="G3195" s="272" t="s">
        <v>1099</v>
      </c>
    </row>
    <row r="3196">
      <c r="B3196" s="31"/>
      <c r="G3196" s="272" t="s">
        <v>1099</v>
      </c>
    </row>
    <row r="3197">
      <c r="B3197" s="31"/>
      <c r="G3197" s="272" t="s">
        <v>1099</v>
      </c>
    </row>
    <row r="3198">
      <c r="B3198" s="31"/>
      <c r="G3198" s="272" t="s">
        <v>1099</v>
      </c>
    </row>
    <row r="3199">
      <c r="B3199" s="31"/>
      <c r="G3199" s="272" t="s">
        <v>1099</v>
      </c>
    </row>
    <row r="3200">
      <c r="B3200" s="31"/>
      <c r="G3200" s="272" t="s">
        <v>1099</v>
      </c>
    </row>
    <row r="3201">
      <c r="B3201" s="31"/>
      <c r="G3201" s="272" t="s">
        <v>1099</v>
      </c>
    </row>
    <row r="3202">
      <c r="B3202" s="31"/>
      <c r="G3202" s="272" t="s">
        <v>1099</v>
      </c>
    </row>
    <row r="3203">
      <c r="B3203" s="31"/>
      <c r="G3203" s="272" t="s">
        <v>1099</v>
      </c>
    </row>
    <row r="3204">
      <c r="B3204" s="31"/>
      <c r="G3204" s="272" t="s">
        <v>1099</v>
      </c>
    </row>
    <row r="3205">
      <c r="B3205" s="31"/>
      <c r="G3205" s="272" t="s">
        <v>1099</v>
      </c>
    </row>
    <row r="3206">
      <c r="B3206" s="31"/>
      <c r="G3206" s="272" t="s">
        <v>1099</v>
      </c>
    </row>
    <row r="3207">
      <c r="B3207" s="31"/>
      <c r="G3207" s="272" t="s">
        <v>1099</v>
      </c>
    </row>
    <row r="3208">
      <c r="B3208" s="31"/>
      <c r="G3208" s="272" t="s">
        <v>1099</v>
      </c>
    </row>
    <row r="3209">
      <c r="B3209" s="31"/>
      <c r="G3209" s="272" t="s">
        <v>1099</v>
      </c>
    </row>
    <row r="3210">
      <c r="B3210" s="31"/>
      <c r="G3210" s="272" t="s">
        <v>1099</v>
      </c>
    </row>
    <row r="3211">
      <c r="B3211" s="31"/>
      <c r="G3211" s="272" t="s">
        <v>1099</v>
      </c>
    </row>
    <row r="3212">
      <c r="B3212" s="31"/>
      <c r="G3212" s="272" t="s">
        <v>1099</v>
      </c>
    </row>
    <row r="3213">
      <c r="B3213" s="31"/>
      <c r="G3213" s="272" t="s">
        <v>1099</v>
      </c>
    </row>
    <row r="3214">
      <c r="B3214" s="31"/>
      <c r="G3214" s="272" t="s">
        <v>1099</v>
      </c>
    </row>
    <row r="3215">
      <c r="B3215" s="31"/>
      <c r="G3215" s="272" t="s">
        <v>1099</v>
      </c>
    </row>
    <row r="3216">
      <c r="B3216" s="31"/>
      <c r="G3216" s="272" t="s">
        <v>1099</v>
      </c>
    </row>
    <row r="3217">
      <c r="B3217" s="31"/>
      <c r="G3217" s="272" t="s">
        <v>1099</v>
      </c>
    </row>
    <row r="3218">
      <c r="B3218" s="31"/>
      <c r="G3218" s="272" t="s">
        <v>1099</v>
      </c>
    </row>
    <row r="3219">
      <c r="B3219" s="31"/>
      <c r="G3219" s="272" t="s">
        <v>1099</v>
      </c>
    </row>
    <row r="3220">
      <c r="B3220" s="31"/>
      <c r="G3220" s="272" t="s">
        <v>1099</v>
      </c>
    </row>
    <row r="3221">
      <c r="B3221" s="31"/>
      <c r="G3221" s="272" t="s">
        <v>1099</v>
      </c>
    </row>
    <row r="3222">
      <c r="B3222" s="31"/>
      <c r="G3222" s="272" t="s">
        <v>1099</v>
      </c>
    </row>
    <row r="3223">
      <c r="B3223" s="31"/>
      <c r="G3223" s="272" t="s">
        <v>1099</v>
      </c>
    </row>
    <row r="3224">
      <c r="B3224" s="31"/>
      <c r="G3224" s="272" t="s">
        <v>1099</v>
      </c>
    </row>
    <row r="3225">
      <c r="B3225" s="31"/>
      <c r="G3225" s="272" t="s">
        <v>1099</v>
      </c>
    </row>
    <row r="3226">
      <c r="B3226" s="31"/>
      <c r="G3226" s="272" t="s">
        <v>1099</v>
      </c>
    </row>
    <row r="3227">
      <c r="B3227" s="31"/>
      <c r="G3227" s="272" t="s">
        <v>1099</v>
      </c>
    </row>
    <row r="3228">
      <c r="B3228" s="31"/>
      <c r="G3228" s="272" t="s">
        <v>1099</v>
      </c>
    </row>
    <row r="3229">
      <c r="B3229" s="31"/>
      <c r="G3229" s="272" t="s">
        <v>1099</v>
      </c>
    </row>
    <row r="3230">
      <c r="B3230" s="31"/>
      <c r="G3230" s="272" t="s">
        <v>1099</v>
      </c>
    </row>
    <row r="3231">
      <c r="B3231" s="31"/>
      <c r="G3231" s="272" t="s">
        <v>1099</v>
      </c>
    </row>
    <row r="3232">
      <c r="B3232" s="31"/>
      <c r="G3232" s="272" t="s">
        <v>1099</v>
      </c>
    </row>
    <row r="3233">
      <c r="B3233" s="31"/>
      <c r="G3233" s="272" t="s">
        <v>1099</v>
      </c>
    </row>
    <row r="3234">
      <c r="B3234" s="31"/>
      <c r="G3234" s="272" t="s">
        <v>1099</v>
      </c>
    </row>
    <row r="3235">
      <c r="B3235" s="31"/>
      <c r="G3235" s="272" t="s">
        <v>1099</v>
      </c>
    </row>
    <row r="3236">
      <c r="B3236" s="31"/>
      <c r="G3236" s="272" t="s">
        <v>1099</v>
      </c>
    </row>
    <row r="3237">
      <c r="B3237" s="31"/>
      <c r="G3237" s="272" t="s">
        <v>1099</v>
      </c>
    </row>
    <row r="3238">
      <c r="B3238" s="31"/>
      <c r="G3238" s="272" t="s">
        <v>1099</v>
      </c>
    </row>
    <row r="3239">
      <c r="B3239" s="31"/>
      <c r="G3239" s="272" t="s">
        <v>1099</v>
      </c>
    </row>
    <row r="3240">
      <c r="B3240" s="31"/>
      <c r="G3240" s="272" t="s">
        <v>1099</v>
      </c>
    </row>
    <row r="3241">
      <c r="B3241" s="31"/>
      <c r="G3241" s="272" t="s">
        <v>1099</v>
      </c>
    </row>
    <row r="3242">
      <c r="B3242" s="31"/>
      <c r="G3242" s="272" t="s">
        <v>1099</v>
      </c>
    </row>
    <row r="3243">
      <c r="B3243" s="31"/>
      <c r="G3243" s="272" t="s">
        <v>1099</v>
      </c>
    </row>
    <row r="3244">
      <c r="B3244" s="31"/>
      <c r="G3244" s="272" t="s">
        <v>1099</v>
      </c>
    </row>
    <row r="3245">
      <c r="B3245" s="31"/>
      <c r="G3245" s="272" t="s">
        <v>1099</v>
      </c>
    </row>
    <row r="3246">
      <c r="B3246" s="31"/>
      <c r="G3246" s="272" t="s">
        <v>1099</v>
      </c>
    </row>
    <row r="3247">
      <c r="B3247" s="31"/>
      <c r="G3247" s="272" t="s">
        <v>1099</v>
      </c>
    </row>
    <row r="3248">
      <c r="B3248" s="31"/>
      <c r="G3248" s="272" t="s">
        <v>1099</v>
      </c>
    </row>
    <row r="3249">
      <c r="B3249" s="31"/>
      <c r="G3249" s="272" t="s">
        <v>1099</v>
      </c>
    </row>
    <row r="3250">
      <c r="B3250" s="31"/>
      <c r="G3250" s="272" t="s">
        <v>1099</v>
      </c>
    </row>
    <row r="3251">
      <c r="B3251" s="31"/>
      <c r="G3251" s="272" t="s">
        <v>1099</v>
      </c>
    </row>
    <row r="3252">
      <c r="B3252" s="31"/>
      <c r="G3252" s="272" t="s">
        <v>1099</v>
      </c>
    </row>
    <row r="3253">
      <c r="B3253" s="31"/>
      <c r="G3253" s="272" t="s">
        <v>1099</v>
      </c>
    </row>
    <row r="3254">
      <c r="B3254" s="31"/>
      <c r="G3254" s="272" t="s">
        <v>1099</v>
      </c>
    </row>
    <row r="3255">
      <c r="B3255" s="31"/>
      <c r="G3255" s="272" t="s">
        <v>1099</v>
      </c>
    </row>
    <row r="3256">
      <c r="B3256" s="31"/>
      <c r="G3256" s="272" t="s">
        <v>1099</v>
      </c>
    </row>
    <row r="3257">
      <c r="B3257" s="31"/>
      <c r="G3257" s="272" t="s">
        <v>1099</v>
      </c>
    </row>
    <row r="3258">
      <c r="B3258" s="31"/>
      <c r="G3258" s="272" t="s">
        <v>1099</v>
      </c>
    </row>
    <row r="3259">
      <c r="B3259" s="31"/>
      <c r="G3259" s="272" t="s">
        <v>1099</v>
      </c>
    </row>
    <row r="3260">
      <c r="B3260" s="31"/>
      <c r="G3260" s="272" t="s">
        <v>1099</v>
      </c>
    </row>
    <row r="3261">
      <c r="B3261" s="31"/>
      <c r="G3261" s="272" t="s">
        <v>1099</v>
      </c>
    </row>
    <row r="3262">
      <c r="B3262" s="31"/>
      <c r="G3262" s="272" t="s">
        <v>1099</v>
      </c>
    </row>
    <row r="3263">
      <c r="B3263" s="31"/>
      <c r="G3263" s="272" t="s">
        <v>1099</v>
      </c>
    </row>
    <row r="3264">
      <c r="B3264" s="31"/>
      <c r="G3264" s="272" t="s">
        <v>1099</v>
      </c>
    </row>
    <row r="3265">
      <c r="B3265" s="31"/>
      <c r="G3265" s="272" t="s">
        <v>1099</v>
      </c>
    </row>
    <row r="3266">
      <c r="B3266" s="31"/>
      <c r="G3266" s="272" t="s">
        <v>1099</v>
      </c>
    </row>
    <row r="3267">
      <c r="B3267" s="31"/>
      <c r="G3267" s="272" t="s">
        <v>1099</v>
      </c>
    </row>
    <row r="3268">
      <c r="B3268" s="31"/>
      <c r="G3268" s="272" t="s">
        <v>1099</v>
      </c>
    </row>
    <row r="3269">
      <c r="B3269" s="31"/>
      <c r="G3269" s="272" t="s">
        <v>1099</v>
      </c>
    </row>
    <row r="3270">
      <c r="B3270" s="31"/>
      <c r="G3270" s="272" t="s">
        <v>1099</v>
      </c>
    </row>
    <row r="3271">
      <c r="B3271" s="31"/>
      <c r="G3271" s="272" t="s">
        <v>1099</v>
      </c>
    </row>
    <row r="3272">
      <c r="B3272" s="31"/>
      <c r="G3272" s="272" t="s">
        <v>1099</v>
      </c>
    </row>
    <row r="3273">
      <c r="B3273" s="31"/>
      <c r="G3273" s="272" t="s">
        <v>1099</v>
      </c>
    </row>
    <row r="3274">
      <c r="B3274" s="31"/>
      <c r="G3274" s="272" t="s">
        <v>1099</v>
      </c>
    </row>
    <row r="3275">
      <c r="B3275" s="31"/>
      <c r="G3275" s="272" t="s">
        <v>1099</v>
      </c>
    </row>
    <row r="3276">
      <c r="B3276" s="31"/>
      <c r="G3276" s="272" t="s">
        <v>1099</v>
      </c>
    </row>
    <row r="3277">
      <c r="B3277" s="31"/>
      <c r="G3277" s="272" t="s">
        <v>1099</v>
      </c>
    </row>
    <row r="3278">
      <c r="B3278" s="31"/>
      <c r="G3278" s="272" t="s">
        <v>1099</v>
      </c>
    </row>
    <row r="3279">
      <c r="B3279" s="31"/>
      <c r="G3279" s="272" t="s">
        <v>1099</v>
      </c>
    </row>
    <row r="3280">
      <c r="B3280" s="31"/>
      <c r="G3280" s="272" t="s">
        <v>1099</v>
      </c>
    </row>
    <row r="3281">
      <c r="B3281" s="31"/>
      <c r="G3281" s="272" t="s">
        <v>1099</v>
      </c>
    </row>
    <row r="3282">
      <c r="B3282" s="31"/>
      <c r="G3282" s="272" t="s">
        <v>1099</v>
      </c>
    </row>
    <row r="3283">
      <c r="B3283" s="31"/>
      <c r="G3283" s="272" t="s">
        <v>1099</v>
      </c>
    </row>
    <row r="3284">
      <c r="B3284" s="31"/>
      <c r="G3284" s="272" t="s">
        <v>1099</v>
      </c>
    </row>
    <row r="3285">
      <c r="B3285" s="31"/>
      <c r="G3285" s="272" t="s">
        <v>1099</v>
      </c>
    </row>
    <row r="3286">
      <c r="B3286" s="31"/>
      <c r="G3286" s="272" t="s">
        <v>1099</v>
      </c>
    </row>
    <row r="3287">
      <c r="B3287" s="31"/>
      <c r="G3287" s="272" t="s">
        <v>1099</v>
      </c>
    </row>
    <row r="3288">
      <c r="B3288" s="31"/>
      <c r="G3288" s="272" t="s">
        <v>1099</v>
      </c>
    </row>
    <row r="3289">
      <c r="B3289" s="31"/>
      <c r="G3289" s="272" t="s">
        <v>1099</v>
      </c>
    </row>
    <row r="3290">
      <c r="B3290" s="31"/>
      <c r="G3290" s="272" t="s">
        <v>1099</v>
      </c>
    </row>
    <row r="3291">
      <c r="B3291" s="31"/>
      <c r="G3291" s="272" t="s">
        <v>1099</v>
      </c>
    </row>
    <row r="3292">
      <c r="B3292" s="31"/>
      <c r="G3292" s="272" t="s">
        <v>1099</v>
      </c>
    </row>
    <row r="3293">
      <c r="B3293" s="31"/>
      <c r="G3293" s="272" t="s">
        <v>1099</v>
      </c>
    </row>
    <row r="3294">
      <c r="B3294" s="31"/>
      <c r="G3294" s="272" t="s">
        <v>1099</v>
      </c>
    </row>
    <row r="3295">
      <c r="B3295" s="31"/>
      <c r="G3295" s="272" t="s">
        <v>1099</v>
      </c>
    </row>
    <row r="3296">
      <c r="B3296" s="31"/>
      <c r="G3296" s="272" t="s">
        <v>1099</v>
      </c>
    </row>
    <row r="3297">
      <c r="B3297" s="31"/>
      <c r="G3297" s="272" t="s">
        <v>1099</v>
      </c>
    </row>
    <row r="3298">
      <c r="B3298" s="31"/>
      <c r="G3298" s="272" t="s">
        <v>1099</v>
      </c>
    </row>
    <row r="3299">
      <c r="B3299" s="31"/>
      <c r="G3299" s="272" t="s">
        <v>1099</v>
      </c>
    </row>
    <row r="3300">
      <c r="B3300" s="31"/>
      <c r="G3300" s="272" t="s">
        <v>1099</v>
      </c>
    </row>
    <row r="3301">
      <c r="B3301" s="31"/>
      <c r="G3301" s="272" t="s">
        <v>1099</v>
      </c>
    </row>
    <row r="3302">
      <c r="B3302" s="31"/>
      <c r="G3302" s="272" t="s">
        <v>1099</v>
      </c>
    </row>
    <row r="3303">
      <c r="B3303" s="31"/>
      <c r="G3303" s="272" t="s">
        <v>1099</v>
      </c>
    </row>
    <row r="3304">
      <c r="B3304" s="31"/>
      <c r="G3304" s="272" t="s">
        <v>1099</v>
      </c>
    </row>
    <row r="3305">
      <c r="B3305" s="31"/>
      <c r="G3305" s="272" t="s">
        <v>1099</v>
      </c>
    </row>
    <row r="3306">
      <c r="B3306" s="31"/>
      <c r="G3306" s="272" t="s">
        <v>1099</v>
      </c>
    </row>
    <row r="3307">
      <c r="B3307" s="31"/>
      <c r="G3307" s="272" t="s">
        <v>1099</v>
      </c>
    </row>
    <row r="3308">
      <c r="B3308" s="31"/>
      <c r="G3308" s="272" t="s">
        <v>1099</v>
      </c>
    </row>
    <row r="3309">
      <c r="B3309" s="31"/>
      <c r="G3309" s="272" t="s">
        <v>1099</v>
      </c>
    </row>
    <row r="3310">
      <c r="B3310" s="31"/>
      <c r="G3310" s="272" t="s">
        <v>1099</v>
      </c>
    </row>
    <row r="3311">
      <c r="B3311" s="31"/>
      <c r="G3311" s="272" t="s">
        <v>1099</v>
      </c>
    </row>
    <row r="3312">
      <c r="B3312" s="31"/>
      <c r="G3312" s="272" t="s">
        <v>1099</v>
      </c>
    </row>
    <row r="3313">
      <c r="B3313" s="31"/>
      <c r="G3313" s="272" t="s">
        <v>1099</v>
      </c>
    </row>
    <row r="3314">
      <c r="B3314" s="31"/>
      <c r="G3314" s="272" t="s">
        <v>1099</v>
      </c>
    </row>
    <row r="3315">
      <c r="B3315" s="31"/>
      <c r="G3315" s="272" t="s">
        <v>1099</v>
      </c>
    </row>
    <row r="3316">
      <c r="B3316" s="31"/>
      <c r="G3316" s="272" t="s">
        <v>1099</v>
      </c>
    </row>
    <row r="3317">
      <c r="B3317" s="31"/>
      <c r="G3317" s="272" t="s">
        <v>1099</v>
      </c>
    </row>
    <row r="3318">
      <c r="B3318" s="31"/>
      <c r="G3318" s="272" t="s">
        <v>1099</v>
      </c>
    </row>
    <row r="3319">
      <c r="B3319" s="31"/>
      <c r="G3319" s="272" t="s">
        <v>1099</v>
      </c>
    </row>
    <row r="3320">
      <c r="B3320" s="31"/>
      <c r="G3320" s="272" t="s">
        <v>1099</v>
      </c>
    </row>
    <row r="3321">
      <c r="B3321" s="31"/>
      <c r="G3321" s="272" t="s">
        <v>1099</v>
      </c>
    </row>
    <row r="3322">
      <c r="B3322" s="31"/>
      <c r="G3322" s="272" t="s">
        <v>1099</v>
      </c>
    </row>
    <row r="3323">
      <c r="B3323" s="31"/>
      <c r="G3323" s="272" t="s">
        <v>1099</v>
      </c>
    </row>
    <row r="3324">
      <c r="B3324" s="31"/>
      <c r="G3324" s="272" t="s">
        <v>1099</v>
      </c>
    </row>
    <row r="3325">
      <c r="B3325" s="31"/>
      <c r="G3325" s="272" t="s">
        <v>1099</v>
      </c>
    </row>
    <row r="3326">
      <c r="B3326" s="31"/>
      <c r="G3326" s="272" t="s">
        <v>1099</v>
      </c>
    </row>
    <row r="3327">
      <c r="B3327" s="31"/>
      <c r="G3327" s="272" t="s">
        <v>1099</v>
      </c>
    </row>
    <row r="3328">
      <c r="B3328" s="31"/>
      <c r="G3328" s="272" t="s">
        <v>1099</v>
      </c>
    </row>
    <row r="3329">
      <c r="B3329" s="31"/>
      <c r="G3329" s="272" t="s">
        <v>1099</v>
      </c>
    </row>
    <row r="3330">
      <c r="B3330" s="31"/>
      <c r="G3330" s="272" t="s">
        <v>1099</v>
      </c>
    </row>
    <row r="3331">
      <c r="B3331" s="31"/>
      <c r="G3331" s="272" t="s">
        <v>1099</v>
      </c>
    </row>
    <row r="3332">
      <c r="B3332" s="31"/>
      <c r="G3332" s="272" t="s">
        <v>1099</v>
      </c>
    </row>
    <row r="3333">
      <c r="B3333" s="31"/>
      <c r="G3333" s="272" t="s">
        <v>1099</v>
      </c>
    </row>
    <row r="3334">
      <c r="B3334" s="31"/>
      <c r="G3334" s="272" t="s">
        <v>1099</v>
      </c>
    </row>
    <row r="3335">
      <c r="B3335" s="31"/>
      <c r="G3335" s="272" t="s">
        <v>1099</v>
      </c>
    </row>
    <row r="3336">
      <c r="B3336" s="31"/>
      <c r="G3336" s="272" t="s">
        <v>1099</v>
      </c>
    </row>
    <row r="3337">
      <c r="B3337" s="31"/>
      <c r="G3337" s="272" t="s">
        <v>1099</v>
      </c>
    </row>
    <row r="3338">
      <c r="B3338" s="31"/>
      <c r="G3338" s="272" t="s">
        <v>1099</v>
      </c>
    </row>
    <row r="3339">
      <c r="B3339" s="31"/>
      <c r="G3339" s="272" t="s">
        <v>1099</v>
      </c>
    </row>
    <row r="3340">
      <c r="B3340" s="31"/>
      <c r="G3340" s="272" t="s">
        <v>1099</v>
      </c>
    </row>
    <row r="3341">
      <c r="B3341" s="31"/>
      <c r="G3341" s="272" t="s">
        <v>1099</v>
      </c>
    </row>
    <row r="3342">
      <c r="B3342" s="31"/>
      <c r="G3342" s="272" t="s">
        <v>1099</v>
      </c>
    </row>
    <row r="3343">
      <c r="B3343" s="31"/>
      <c r="G3343" s="272" t="s">
        <v>1099</v>
      </c>
    </row>
    <row r="3344">
      <c r="B3344" s="31"/>
      <c r="G3344" s="272" t="s">
        <v>1099</v>
      </c>
    </row>
    <row r="3345">
      <c r="B3345" s="31"/>
      <c r="G3345" s="272" t="s">
        <v>1099</v>
      </c>
    </row>
    <row r="3346">
      <c r="B3346" s="31"/>
      <c r="G3346" s="272" t="s">
        <v>1099</v>
      </c>
    </row>
    <row r="3347">
      <c r="B3347" s="31"/>
      <c r="G3347" s="272" t="s">
        <v>1099</v>
      </c>
    </row>
    <row r="3348">
      <c r="B3348" s="31"/>
      <c r="G3348" s="272" t="s">
        <v>1099</v>
      </c>
    </row>
    <row r="3349">
      <c r="B3349" s="31"/>
      <c r="G3349" s="272" t="s">
        <v>1099</v>
      </c>
    </row>
    <row r="3350">
      <c r="B3350" s="31"/>
      <c r="G3350" s="272" t="s">
        <v>1099</v>
      </c>
    </row>
    <row r="3351">
      <c r="B3351" s="31"/>
      <c r="G3351" s="272" t="s">
        <v>1099</v>
      </c>
    </row>
    <row r="3352">
      <c r="B3352" s="31"/>
      <c r="G3352" s="272" t="s">
        <v>1099</v>
      </c>
    </row>
    <row r="3353">
      <c r="B3353" s="31"/>
      <c r="G3353" s="272" t="s">
        <v>1099</v>
      </c>
    </row>
    <row r="3354">
      <c r="B3354" s="31"/>
      <c r="G3354" s="272" t="s">
        <v>1099</v>
      </c>
    </row>
    <row r="3355">
      <c r="B3355" s="31"/>
      <c r="G3355" s="272" t="s">
        <v>1099</v>
      </c>
    </row>
    <row r="3356">
      <c r="B3356" s="31"/>
      <c r="G3356" s="272" t="s">
        <v>1099</v>
      </c>
    </row>
    <row r="3357">
      <c r="B3357" s="31"/>
      <c r="G3357" s="272" t="s">
        <v>1099</v>
      </c>
    </row>
    <row r="3358">
      <c r="B3358" s="31"/>
      <c r="G3358" s="272" t="s">
        <v>1099</v>
      </c>
    </row>
    <row r="3359">
      <c r="B3359" s="31"/>
      <c r="G3359" s="272" t="s">
        <v>1099</v>
      </c>
    </row>
    <row r="3360">
      <c r="B3360" s="31"/>
      <c r="G3360" s="272" t="s">
        <v>1099</v>
      </c>
    </row>
    <row r="3361">
      <c r="B3361" s="31"/>
      <c r="G3361" s="272" t="s">
        <v>1099</v>
      </c>
    </row>
    <row r="3362">
      <c r="B3362" s="31"/>
      <c r="G3362" s="272" t="s">
        <v>1099</v>
      </c>
    </row>
    <row r="3363">
      <c r="B3363" s="31"/>
      <c r="G3363" s="272" t="s">
        <v>1099</v>
      </c>
    </row>
    <row r="3364">
      <c r="B3364" s="31"/>
      <c r="G3364" s="272" t="s">
        <v>1099</v>
      </c>
    </row>
    <row r="3365">
      <c r="B3365" s="31"/>
      <c r="G3365" s="272" t="s">
        <v>1099</v>
      </c>
    </row>
    <row r="3366">
      <c r="B3366" s="31"/>
      <c r="G3366" s="272" t="s">
        <v>1099</v>
      </c>
    </row>
    <row r="3367">
      <c r="B3367" s="31"/>
      <c r="G3367" s="272" t="s">
        <v>1099</v>
      </c>
    </row>
    <row r="3368">
      <c r="B3368" s="31"/>
      <c r="G3368" s="272" t="s">
        <v>1099</v>
      </c>
    </row>
    <row r="3369">
      <c r="B3369" s="31"/>
      <c r="G3369" s="272" t="s">
        <v>1099</v>
      </c>
    </row>
    <row r="3370">
      <c r="B3370" s="31"/>
      <c r="G3370" s="272" t="s">
        <v>1099</v>
      </c>
    </row>
    <row r="3371">
      <c r="B3371" s="31"/>
      <c r="G3371" s="272" t="s">
        <v>1099</v>
      </c>
    </row>
    <row r="3372">
      <c r="B3372" s="31"/>
      <c r="G3372" s="272" t="s">
        <v>1099</v>
      </c>
    </row>
    <row r="3373">
      <c r="B3373" s="31"/>
      <c r="G3373" s="272" t="s">
        <v>1099</v>
      </c>
    </row>
    <row r="3374">
      <c r="B3374" s="31"/>
      <c r="G3374" s="272" t="s">
        <v>1099</v>
      </c>
    </row>
    <row r="3375">
      <c r="B3375" s="31"/>
      <c r="G3375" s="272" t="s">
        <v>1099</v>
      </c>
    </row>
    <row r="3376">
      <c r="B3376" s="31"/>
      <c r="G3376" s="272" t="s">
        <v>1099</v>
      </c>
    </row>
    <row r="3377">
      <c r="B3377" s="31"/>
      <c r="G3377" s="272" t="s">
        <v>1099</v>
      </c>
    </row>
    <row r="3378">
      <c r="B3378" s="31"/>
      <c r="G3378" s="272" t="s">
        <v>1099</v>
      </c>
    </row>
    <row r="3379">
      <c r="B3379" s="31"/>
      <c r="G3379" s="272" t="s">
        <v>1099</v>
      </c>
    </row>
    <row r="3380">
      <c r="B3380" s="31"/>
      <c r="G3380" s="272" t="s">
        <v>1099</v>
      </c>
    </row>
    <row r="3381">
      <c r="B3381" s="31"/>
      <c r="G3381" s="272" t="s">
        <v>1099</v>
      </c>
    </row>
    <row r="3382">
      <c r="B3382" s="31"/>
      <c r="G3382" s="272" t="s">
        <v>1099</v>
      </c>
    </row>
    <row r="3383">
      <c r="B3383" s="31"/>
      <c r="G3383" s="272" t="s">
        <v>1099</v>
      </c>
    </row>
    <row r="3384">
      <c r="B3384" s="31"/>
      <c r="G3384" s="272" t="s">
        <v>1099</v>
      </c>
    </row>
    <row r="3385">
      <c r="B3385" s="31"/>
      <c r="G3385" s="272" t="s">
        <v>1099</v>
      </c>
    </row>
    <row r="3386">
      <c r="B3386" s="31"/>
      <c r="G3386" s="272" t="s">
        <v>1099</v>
      </c>
    </row>
    <row r="3387">
      <c r="B3387" s="31"/>
      <c r="G3387" s="272" t="s">
        <v>1099</v>
      </c>
    </row>
    <row r="3388">
      <c r="B3388" s="31"/>
      <c r="G3388" s="272" t="s">
        <v>1099</v>
      </c>
    </row>
    <row r="3389">
      <c r="B3389" s="31"/>
      <c r="G3389" s="272" t="s">
        <v>1099</v>
      </c>
    </row>
    <row r="3390">
      <c r="B3390" s="31"/>
      <c r="G3390" s="272" t="s">
        <v>1099</v>
      </c>
    </row>
    <row r="3391">
      <c r="B3391" s="31"/>
      <c r="G3391" s="272" t="s">
        <v>1099</v>
      </c>
    </row>
    <row r="3392">
      <c r="B3392" s="31"/>
      <c r="G3392" s="272" t="s">
        <v>1099</v>
      </c>
    </row>
    <row r="3393">
      <c r="B3393" s="31"/>
      <c r="G3393" s="272" t="s">
        <v>1099</v>
      </c>
    </row>
    <row r="3394">
      <c r="B3394" s="31"/>
      <c r="G3394" s="272" t="s">
        <v>1099</v>
      </c>
    </row>
    <row r="3395">
      <c r="B3395" s="31"/>
      <c r="G3395" s="272" t="s">
        <v>1099</v>
      </c>
    </row>
    <row r="3396">
      <c r="B3396" s="31"/>
      <c r="G3396" s="272" t="s">
        <v>1099</v>
      </c>
    </row>
    <row r="3397">
      <c r="B3397" s="31"/>
      <c r="G3397" s="272" t="s">
        <v>1099</v>
      </c>
    </row>
    <row r="3398">
      <c r="B3398" s="31"/>
      <c r="G3398" s="272" t="s">
        <v>1099</v>
      </c>
    </row>
    <row r="3399">
      <c r="B3399" s="31"/>
      <c r="G3399" s="272" t="s">
        <v>1099</v>
      </c>
    </row>
    <row r="3400">
      <c r="B3400" s="31"/>
      <c r="G3400" s="272" t="s">
        <v>1099</v>
      </c>
    </row>
    <row r="3401">
      <c r="B3401" s="31"/>
      <c r="G3401" s="272" t="s">
        <v>1099</v>
      </c>
    </row>
    <row r="3402">
      <c r="B3402" s="31"/>
      <c r="G3402" s="272" t="s">
        <v>1099</v>
      </c>
    </row>
    <row r="3403">
      <c r="B3403" s="31"/>
      <c r="G3403" s="272" t="s">
        <v>1099</v>
      </c>
    </row>
    <row r="3404">
      <c r="B3404" s="31"/>
      <c r="G3404" s="272" t="s">
        <v>1099</v>
      </c>
    </row>
    <row r="3405">
      <c r="B3405" s="31"/>
      <c r="G3405" s="272" t="s">
        <v>1099</v>
      </c>
    </row>
    <row r="3406">
      <c r="B3406" s="31"/>
      <c r="G3406" s="272" t="s">
        <v>1099</v>
      </c>
    </row>
    <row r="3407">
      <c r="B3407" s="31"/>
      <c r="G3407" s="272" t="s">
        <v>1099</v>
      </c>
    </row>
    <row r="3408">
      <c r="B3408" s="31"/>
      <c r="G3408" s="272" t="s">
        <v>1099</v>
      </c>
    </row>
    <row r="3409">
      <c r="B3409" s="31"/>
      <c r="G3409" s="272" t="s">
        <v>1099</v>
      </c>
    </row>
    <row r="3410">
      <c r="B3410" s="31"/>
      <c r="G3410" s="272" t="s">
        <v>1099</v>
      </c>
    </row>
    <row r="3411">
      <c r="B3411" s="31"/>
      <c r="G3411" s="272" t="s">
        <v>1099</v>
      </c>
    </row>
    <row r="3412">
      <c r="B3412" s="31"/>
      <c r="G3412" s="272" t="s">
        <v>1099</v>
      </c>
    </row>
    <row r="3413">
      <c r="B3413" s="31"/>
      <c r="G3413" s="272" t="s">
        <v>1099</v>
      </c>
    </row>
    <row r="3414">
      <c r="B3414" s="31"/>
      <c r="G3414" s="272" t="s">
        <v>1099</v>
      </c>
    </row>
    <row r="3415">
      <c r="B3415" s="31"/>
      <c r="G3415" s="272" t="s">
        <v>1099</v>
      </c>
    </row>
    <row r="3416">
      <c r="B3416" s="31"/>
      <c r="G3416" s="272" t="s">
        <v>1099</v>
      </c>
    </row>
    <row r="3417">
      <c r="B3417" s="31"/>
      <c r="G3417" s="272" t="s">
        <v>1099</v>
      </c>
    </row>
    <row r="3418">
      <c r="B3418" s="31"/>
      <c r="G3418" s="272" t="s">
        <v>1099</v>
      </c>
    </row>
    <row r="3419">
      <c r="B3419" s="31"/>
      <c r="G3419" s="272" t="s">
        <v>1099</v>
      </c>
    </row>
    <row r="3420">
      <c r="B3420" s="31"/>
      <c r="G3420" s="272" t="s">
        <v>1099</v>
      </c>
    </row>
    <row r="3421">
      <c r="B3421" s="31"/>
      <c r="G3421" s="272" t="s">
        <v>1099</v>
      </c>
    </row>
    <row r="3422">
      <c r="B3422" s="31"/>
      <c r="G3422" s="272" t="s">
        <v>1099</v>
      </c>
    </row>
    <row r="3423">
      <c r="B3423" s="31"/>
      <c r="G3423" s="272" t="s">
        <v>1099</v>
      </c>
    </row>
    <row r="3424">
      <c r="B3424" s="31"/>
      <c r="G3424" s="272" t="s">
        <v>1099</v>
      </c>
    </row>
    <row r="3425">
      <c r="B3425" s="31"/>
      <c r="G3425" s="272" t="s">
        <v>1099</v>
      </c>
    </row>
    <row r="3426">
      <c r="B3426" s="31"/>
      <c r="G3426" s="272" t="s">
        <v>1099</v>
      </c>
    </row>
    <row r="3427">
      <c r="B3427" s="31"/>
      <c r="G3427" s="272" t="s">
        <v>1099</v>
      </c>
    </row>
    <row r="3428">
      <c r="B3428" s="31"/>
      <c r="G3428" s="272" t="s">
        <v>1099</v>
      </c>
    </row>
    <row r="3429">
      <c r="B3429" s="31"/>
      <c r="G3429" s="272" t="s">
        <v>1099</v>
      </c>
    </row>
    <row r="3430">
      <c r="B3430" s="31"/>
      <c r="G3430" s="272" t="s">
        <v>1099</v>
      </c>
    </row>
    <row r="3431">
      <c r="B3431" s="31"/>
      <c r="G3431" s="272" t="s">
        <v>1099</v>
      </c>
    </row>
    <row r="3432">
      <c r="B3432" s="31"/>
      <c r="G3432" s="272" t="s">
        <v>1099</v>
      </c>
    </row>
    <row r="3433">
      <c r="B3433" s="31"/>
      <c r="G3433" s="272" t="s">
        <v>1099</v>
      </c>
    </row>
    <row r="3434">
      <c r="B3434" s="31"/>
      <c r="G3434" s="272" t="s">
        <v>1099</v>
      </c>
    </row>
    <row r="3435">
      <c r="B3435" s="31"/>
      <c r="G3435" s="272" t="s">
        <v>1099</v>
      </c>
    </row>
    <row r="3436">
      <c r="B3436" s="31"/>
      <c r="G3436" s="272" t="s">
        <v>1099</v>
      </c>
    </row>
    <row r="3437">
      <c r="B3437" s="31"/>
      <c r="G3437" s="272" t="s">
        <v>1099</v>
      </c>
    </row>
    <row r="3438">
      <c r="B3438" s="31"/>
      <c r="G3438" s="272" t="s">
        <v>1099</v>
      </c>
    </row>
    <row r="3439">
      <c r="B3439" s="31"/>
      <c r="G3439" s="272" t="s">
        <v>1099</v>
      </c>
    </row>
    <row r="3440">
      <c r="B3440" s="31"/>
      <c r="G3440" s="272" t="s">
        <v>1099</v>
      </c>
    </row>
    <row r="3441">
      <c r="B3441" s="31"/>
      <c r="G3441" s="272" t="s">
        <v>1099</v>
      </c>
    </row>
    <row r="3442">
      <c r="B3442" s="31"/>
      <c r="G3442" s="272" t="s">
        <v>1099</v>
      </c>
    </row>
    <row r="3443">
      <c r="B3443" s="31"/>
      <c r="G3443" s="272" t="s">
        <v>1099</v>
      </c>
    </row>
    <row r="3444">
      <c r="B3444" s="31"/>
      <c r="G3444" s="272" t="s">
        <v>1099</v>
      </c>
    </row>
    <row r="3445">
      <c r="B3445" s="31"/>
      <c r="G3445" s="272" t="s">
        <v>1099</v>
      </c>
    </row>
    <row r="3446">
      <c r="B3446" s="31"/>
      <c r="G3446" s="272" t="s">
        <v>1099</v>
      </c>
    </row>
    <row r="3447">
      <c r="B3447" s="31"/>
      <c r="G3447" s="272" t="s">
        <v>1099</v>
      </c>
    </row>
    <row r="3448">
      <c r="B3448" s="31"/>
      <c r="G3448" s="272" t="s">
        <v>1099</v>
      </c>
    </row>
    <row r="3449">
      <c r="B3449" s="31"/>
      <c r="G3449" s="272" t="s">
        <v>1099</v>
      </c>
    </row>
    <row r="3450">
      <c r="B3450" s="31"/>
      <c r="G3450" s="272" t="s">
        <v>1099</v>
      </c>
    </row>
    <row r="3451">
      <c r="B3451" s="31"/>
      <c r="G3451" s="272" t="s">
        <v>1099</v>
      </c>
    </row>
    <row r="3452">
      <c r="B3452" s="31"/>
      <c r="G3452" s="272" t="s">
        <v>1099</v>
      </c>
    </row>
    <row r="3453">
      <c r="B3453" s="31"/>
      <c r="G3453" s="272" t="s">
        <v>1099</v>
      </c>
    </row>
    <row r="3454">
      <c r="B3454" s="31"/>
      <c r="G3454" s="272" t="s">
        <v>1099</v>
      </c>
    </row>
    <row r="3455">
      <c r="B3455" s="31"/>
      <c r="G3455" s="272" t="s">
        <v>1099</v>
      </c>
    </row>
    <row r="3456">
      <c r="B3456" s="31"/>
      <c r="G3456" s="272" t="s">
        <v>1099</v>
      </c>
    </row>
    <row r="3457">
      <c r="B3457" s="31"/>
      <c r="G3457" s="272" t="s">
        <v>1099</v>
      </c>
    </row>
    <row r="3458">
      <c r="B3458" s="31"/>
      <c r="G3458" s="272" t="s">
        <v>1099</v>
      </c>
    </row>
    <row r="3459">
      <c r="B3459" s="31"/>
      <c r="G3459" s="272" t="s">
        <v>1099</v>
      </c>
    </row>
    <row r="3460">
      <c r="B3460" s="31"/>
      <c r="G3460" s="272" t="s">
        <v>1099</v>
      </c>
    </row>
    <row r="3461">
      <c r="B3461" s="31"/>
      <c r="G3461" s="272" t="s">
        <v>1099</v>
      </c>
    </row>
    <row r="3462">
      <c r="B3462" s="31"/>
      <c r="G3462" s="272" t="s">
        <v>1099</v>
      </c>
    </row>
    <row r="3463">
      <c r="B3463" s="31"/>
      <c r="G3463" s="272" t="s">
        <v>1099</v>
      </c>
    </row>
    <row r="3464">
      <c r="B3464" s="31"/>
      <c r="G3464" s="272" t="s">
        <v>1099</v>
      </c>
    </row>
    <row r="3465">
      <c r="B3465" s="31"/>
      <c r="G3465" s="272" t="s">
        <v>1099</v>
      </c>
    </row>
    <row r="3466">
      <c r="B3466" s="31"/>
      <c r="G3466" s="272" t="s">
        <v>1099</v>
      </c>
    </row>
    <row r="3467">
      <c r="B3467" s="31"/>
      <c r="G3467" s="272" t="s">
        <v>1099</v>
      </c>
    </row>
    <row r="3468">
      <c r="B3468" s="31"/>
      <c r="G3468" s="272" t="s">
        <v>1099</v>
      </c>
    </row>
    <row r="3469">
      <c r="B3469" s="31"/>
      <c r="G3469" s="272" t="s">
        <v>1099</v>
      </c>
    </row>
    <row r="3470">
      <c r="B3470" s="31"/>
      <c r="G3470" s="272" t="s">
        <v>1099</v>
      </c>
    </row>
    <row r="3471">
      <c r="B3471" s="31"/>
      <c r="G3471" s="272" t="s">
        <v>1099</v>
      </c>
    </row>
    <row r="3472">
      <c r="B3472" s="31"/>
      <c r="G3472" s="272" t="s">
        <v>1099</v>
      </c>
    </row>
    <row r="3473">
      <c r="B3473" s="31"/>
      <c r="G3473" s="272" t="s">
        <v>1099</v>
      </c>
    </row>
    <row r="3474">
      <c r="B3474" s="31"/>
      <c r="G3474" s="272" t="s">
        <v>1099</v>
      </c>
    </row>
    <row r="3475">
      <c r="B3475" s="31"/>
      <c r="G3475" s="272" t="s">
        <v>1099</v>
      </c>
    </row>
    <row r="3476">
      <c r="B3476" s="31"/>
      <c r="G3476" s="272" t="s">
        <v>1099</v>
      </c>
    </row>
    <row r="3477">
      <c r="B3477" s="31"/>
      <c r="G3477" s="272" t="s">
        <v>1099</v>
      </c>
    </row>
    <row r="3478">
      <c r="B3478" s="31"/>
      <c r="G3478" s="272" t="s">
        <v>1099</v>
      </c>
    </row>
    <row r="3479">
      <c r="B3479" s="31"/>
      <c r="G3479" s="272" t="s">
        <v>1099</v>
      </c>
    </row>
    <row r="3480">
      <c r="B3480" s="31"/>
      <c r="G3480" s="272" t="s">
        <v>1099</v>
      </c>
    </row>
    <row r="3481">
      <c r="B3481" s="31"/>
      <c r="G3481" s="272" t="s">
        <v>1099</v>
      </c>
    </row>
    <row r="3482">
      <c r="B3482" s="31"/>
      <c r="G3482" s="272" t="s">
        <v>1099</v>
      </c>
    </row>
    <row r="3483">
      <c r="B3483" s="31"/>
      <c r="G3483" s="272" t="s">
        <v>1099</v>
      </c>
    </row>
    <row r="3484">
      <c r="B3484" s="31"/>
      <c r="G3484" s="272" t="s">
        <v>1099</v>
      </c>
    </row>
    <row r="3485">
      <c r="B3485" s="31"/>
      <c r="G3485" s="272" t="s">
        <v>1099</v>
      </c>
    </row>
    <row r="3486">
      <c r="B3486" s="31"/>
      <c r="G3486" s="272" t="s">
        <v>1099</v>
      </c>
    </row>
    <row r="3487">
      <c r="B3487" s="31"/>
      <c r="G3487" s="272" t="s">
        <v>1099</v>
      </c>
    </row>
    <row r="3488">
      <c r="B3488" s="31"/>
      <c r="G3488" s="272" t="s">
        <v>1099</v>
      </c>
    </row>
    <row r="3489">
      <c r="B3489" s="31"/>
      <c r="G3489" s="272" t="s">
        <v>1099</v>
      </c>
    </row>
    <row r="3490">
      <c r="B3490" s="31"/>
      <c r="G3490" s="272" t="s">
        <v>1099</v>
      </c>
    </row>
    <row r="3491">
      <c r="B3491" s="31"/>
      <c r="G3491" s="272" t="s">
        <v>1099</v>
      </c>
    </row>
    <row r="3492">
      <c r="B3492" s="31"/>
      <c r="G3492" s="272" t="s">
        <v>1099</v>
      </c>
    </row>
    <row r="3493">
      <c r="B3493" s="31"/>
      <c r="G3493" s="272" t="s">
        <v>1099</v>
      </c>
    </row>
    <row r="3494">
      <c r="B3494" s="31"/>
      <c r="G3494" s="272" t="s">
        <v>1099</v>
      </c>
    </row>
    <row r="3495">
      <c r="B3495" s="31"/>
      <c r="G3495" s="272" t="s">
        <v>1099</v>
      </c>
    </row>
    <row r="3496">
      <c r="B3496" s="31"/>
      <c r="G3496" s="272" t="s">
        <v>1099</v>
      </c>
    </row>
    <row r="3497">
      <c r="B3497" s="31"/>
      <c r="G3497" s="272" t="s">
        <v>1099</v>
      </c>
    </row>
    <row r="3498">
      <c r="B3498" s="31"/>
      <c r="G3498" s="272" t="s">
        <v>1099</v>
      </c>
    </row>
    <row r="3499">
      <c r="B3499" s="31"/>
      <c r="G3499" s="272" t="s">
        <v>1099</v>
      </c>
    </row>
    <row r="3500">
      <c r="B3500" s="31"/>
      <c r="G3500" s="272" t="s">
        <v>1099</v>
      </c>
    </row>
    <row r="3501">
      <c r="B3501" s="31"/>
      <c r="G3501" s="272" t="s">
        <v>1099</v>
      </c>
    </row>
    <row r="3502">
      <c r="B3502" s="31"/>
      <c r="G3502" s="272" t="s">
        <v>1099</v>
      </c>
    </row>
    <row r="3503">
      <c r="B3503" s="31"/>
      <c r="G3503" s="272" t="s">
        <v>1099</v>
      </c>
    </row>
    <row r="3504">
      <c r="B3504" s="31"/>
      <c r="G3504" s="272" t="s">
        <v>1099</v>
      </c>
    </row>
    <row r="3505">
      <c r="B3505" s="31"/>
      <c r="G3505" s="272" t="s">
        <v>1099</v>
      </c>
    </row>
    <row r="3506">
      <c r="B3506" s="31"/>
      <c r="G3506" s="272" t="s">
        <v>1099</v>
      </c>
    </row>
    <row r="3507">
      <c r="B3507" s="31"/>
      <c r="G3507" s="272" t="s">
        <v>1099</v>
      </c>
    </row>
    <row r="3508">
      <c r="B3508" s="31"/>
      <c r="G3508" s="272" t="s">
        <v>1099</v>
      </c>
    </row>
    <row r="3509">
      <c r="B3509" s="31"/>
      <c r="G3509" s="272" t="s">
        <v>1099</v>
      </c>
    </row>
    <row r="3510">
      <c r="B3510" s="31"/>
      <c r="G3510" s="272" t="s">
        <v>1099</v>
      </c>
    </row>
    <row r="3511">
      <c r="B3511" s="31"/>
      <c r="G3511" s="272" t="s">
        <v>1099</v>
      </c>
    </row>
    <row r="3512">
      <c r="B3512" s="31"/>
      <c r="G3512" s="272" t="s">
        <v>1099</v>
      </c>
    </row>
    <row r="3513">
      <c r="B3513" s="31"/>
      <c r="G3513" s="272" t="s">
        <v>1099</v>
      </c>
    </row>
    <row r="3514">
      <c r="B3514" s="31"/>
      <c r="G3514" s="272" t="s">
        <v>1099</v>
      </c>
    </row>
    <row r="3515">
      <c r="B3515" s="31"/>
      <c r="G3515" s="272" t="s">
        <v>1099</v>
      </c>
    </row>
    <row r="3516">
      <c r="B3516" s="31"/>
      <c r="G3516" s="272" t="s">
        <v>1099</v>
      </c>
    </row>
    <row r="3517">
      <c r="B3517" s="31"/>
      <c r="G3517" s="272" t="s">
        <v>1099</v>
      </c>
    </row>
    <row r="3518">
      <c r="B3518" s="31"/>
      <c r="G3518" s="272" t="s">
        <v>1099</v>
      </c>
    </row>
    <row r="3519">
      <c r="B3519" s="31"/>
      <c r="G3519" s="272" t="s">
        <v>1099</v>
      </c>
    </row>
    <row r="3520">
      <c r="B3520" s="31"/>
      <c r="G3520" s="272" t="s">
        <v>1099</v>
      </c>
    </row>
    <row r="3521">
      <c r="B3521" s="31"/>
      <c r="G3521" s="272" t="s">
        <v>1099</v>
      </c>
    </row>
    <row r="3522">
      <c r="B3522" s="31"/>
      <c r="G3522" s="272" t="s">
        <v>1099</v>
      </c>
    </row>
    <row r="3523">
      <c r="B3523" s="31"/>
      <c r="G3523" s="272" t="s">
        <v>1099</v>
      </c>
    </row>
    <row r="3524">
      <c r="B3524" s="31"/>
      <c r="G3524" s="272" t="s">
        <v>1099</v>
      </c>
    </row>
    <row r="3525">
      <c r="B3525" s="31"/>
      <c r="G3525" s="272" t="s">
        <v>1099</v>
      </c>
    </row>
    <row r="3526">
      <c r="B3526" s="31"/>
      <c r="G3526" s="272" t="s">
        <v>1099</v>
      </c>
    </row>
    <row r="3527">
      <c r="B3527" s="31"/>
      <c r="G3527" s="272" t="s">
        <v>1099</v>
      </c>
    </row>
    <row r="3528">
      <c r="B3528" s="31"/>
      <c r="G3528" s="272" t="s">
        <v>1099</v>
      </c>
    </row>
    <row r="3529">
      <c r="B3529" s="31"/>
      <c r="G3529" s="272" t="s">
        <v>1099</v>
      </c>
    </row>
    <row r="3530">
      <c r="B3530" s="31"/>
      <c r="G3530" s="272" t="s">
        <v>1099</v>
      </c>
    </row>
    <row r="3531">
      <c r="B3531" s="31"/>
      <c r="G3531" s="272" t="s">
        <v>1099</v>
      </c>
    </row>
    <row r="3532">
      <c r="B3532" s="31"/>
      <c r="G3532" s="272" t="s">
        <v>1099</v>
      </c>
    </row>
    <row r="3533">
      <c r="B3533" s="31"/>
      <c r="G3533" s="272" t="s">
        <v>1099</v>
      </c>
    </row>
    <row r="3534">
      <c r="B3534" s="31"/>
      <c r="G3534" s="272" t="s">
        <v>1099</v>
      </c>
    </row>
    <row r="3535">
      <c r="B3535" s="31"/>
      <c r="G3535" s="272" t="s">
        <v>1099</v>
      </c>
    </row>
    <row r="3536">
      <c r="B3536" s="31"/>
      <c r="G3536" s="272" t="s">
        <v>1099</v>
      </c>
    </row>
    <row r="3537">
      <c r="B3537" s="31"/>
      <c r="G3537" s="272" t="s">
        <v>1099</v>
      </c>
    </row>
    <row r="3538">
      <c r="B3538" s="31"/>
      <c r="G3538" s="272" t="s">
        <v>1099</v>
      </c>
    </row>
    <row r="3539">
      <c r="B3539" s="31"/>
      <c r="G3539" s="272" t="s">
        <v>1099</v>
      </c>
    </row>
    <row r="3540">
      <c r="B3540" s="31"/>
      <c r="G3540" s="272" t="s">
        <v>1099</v>
      </c>
    </row>
    <row r="3541">
      <c r="B3541" s="31"/>
      <c r="G3541" s="272" t="s">
        <v>1099</v>
      </c>
    </row>
    <row r="3542">
      <c r="B3542" s="31"/>
      <c r="G3542" s="272" t="s">
        <v>1099</v>
      </c>
    </row>
    <row r="3543">
      <c r="B3543" s="31"/>
      <c r="G3543" s="272" t="s">
        <v>1099</v>
      </c>
    </row>
    <row r="3544">
      <c r="B3544" s="31"/>
      <c r="G3544" s="272" t="s">
        <v>1099</v>
      </c>
    </row>
    <row r="3545">
      <c r="B3545" s="31"/>
      <c r="G3545" s="272" t="s">
        <v>1099</v>
      </c>
    </row>
    <row r="3546">
      <c r="B3546" s="31"/>
      <c r="G3546" s="272" t="s">
        <v>1099</v>
      </c>
    </row>
    <row r="3547">
      <c r="B3547" s="31"/>
      <c r="G3547" s="272" t="s">
        <v>1099</v>
      </c>
    </row>
    <row r="3548">
      <c r="B3548" s="31"/>
      <c r="G3548" s="272" t="s">
        <v>1099</v>
      </c>
    </row>
    <row r="3549">
      <c r="B3549" s="31"/>
      <c r="G3549" s="272" t="s">
        <v>1099</v>
      </c>
    </row>
    <row r="3550">
      <c r="B3550" s="31"/>
      <c r="G3550" s="272" t="s">
        <v>1099</v>
      </c>
    </row>
    <row r="3551">
      <c r="B3551" s="31"/>
      <c r="G3551" s="272" t="s">
        <v>1099</v>
      </c>
    </row>
    <row r="3552">
      <c r="B3552" s="31"/>
      <c r="G3552" s="272" t="s">
        <v>1099</v>
      </c>
    </row>
    <row r="3553">
      <c r="B3553" s="31"/>
      <c r="G3553" s="272" t="s">
        <v>1099</v>
      </c>
    </row>
    <row r="3554">
      <c r="B3554" s="31"/>
      <c r="G3554" s="272" t="s">
        <v>1099</v>
      </c>
    </row>
    <row r="3555">
      <c r="B3555" s="31"/>
      <c r="G3555" s="272" t="s">
        <v>1099</v>
      </c>
    </row>
    <row r="3556">
      <c r="B3556" s="31"/>
      <c r="G3556" s="272" t="s">
        <v>1099</v>
      </c>
    </row>
    <row r="3557">
      <c r="B3557" s="31"/>
      <c r="G3557" s="272" t="s">
        <v>1099</v>
      </c>
    </row>
    <row r="3558">
      <c r="B3558" s="31"/>
      <c r="G3558" s="272" t="s">
        <v>1099</v>
      </c>
    </row>
    <row r="3559">
      <c r="B3559" s="31"/>
      <c r="G3559" s="272" t="s">
        <v>1099</v>
      </c>
    </row>
    <row r="3560">
      <c r="B3560" s="31"/>
      <c r="G3560" s="272" t="s">
        <v>1099</v>
      </c>
    </row>
    <row r="3561">
      <c r="B3561" s="31"/>
      <c r="G3561" s="272" t="s">
        <v>1099</v>
      </c>
    </row>
    <row r="3562">
      <c r="B3562" s="31"/>
      <c r="G3562" s="272" t="s">
        <v>1099</v>
      </c>
    </row>
    <row r="3563">
      <c r="B3563" s="31"/>
      <c r="G3563" s="272" t="s">
        <v>1099</v>
      </c>
    </row>
    <row r="3564">
      <c r="B3564" s="31"/>
      <c r="G3564" s="272" t="s">
        <v>1099</v>
      </c>
    </row>
    <row r="3565">
      <c r="B3565" s="31"/>
      <c r="G3565" s="272" t="s">
        <v>1099</v>
      </c>
    </row>
    <row r="3566">
      <c r="B3566" s="31"/>
      <c r="G3566" s="272" t="s">
        <v>1099</v>
      </c>
    </row>
    <row r="3567">
      <c r="B3567" s="31"/>
      <c r="G3567" s="272" t="s">
        <v>1099</v>
      </c>
    </row>
    <row r="3568">
      <c r="B3568" s="31"/>
      <c r="G3568" s="272" t="s">
        <v>1099</v>
      </c>
    </row>
    <row r="3569">
      <c r="B3569" s="31"/>
      <c r="G3569" s="272" t="s">
        <v>1099</v>
      </c>
    </row>
    <row r="3570">
      <c r="B3570" s="31"/>
      <c r="G3570" s="272" t="s">
        <v>1099</v>
      </c>
    </row>
    <row r="3571">
      <c r="B3571" s="31"/>
      <c r="G3571" s="272" t="s">
        <v>1099</v>
      </c>
    </row>
    <row r="3572">
      <c r="B3572" s="31"/>
      <c r="G3572" s="272" t="s">
        <v>1099</v>
      </c>
    </row>
    <row r="3573">
      <c r="B3573" s="31"/>
      <c r="G3573" s="272" t="s">
        <v>1099</v>
      </c>
    </row>
    <row r="3574">
      <c r="B3574" s="31"/>
      <c r="G3574" s="272" t="s">
        <v>1099</v>
      </c>
    </row>
    <row r="3575">
      <c r="B3575" s="31"/>
      <c r="G3575" s="272" t="s">
        <v>1099</v>
      </c>
    </row>
    <row r="3576">
      <c r="B3576" s="31"/>
      <c r="G3576" s="272" t="s">
        <v>1099</v>
      </c>
    </row>
    <row r="3577">
      <c r="B3577" s="31"/>
      <c r="G3577" s="272" t="s">
        <v>1099</v>
      </c>
    </row>
    <row r="3578">
      <c r="B3578" s="31"/>
      <c r="G3578" s="272" t="s">
        <v>1099</v>
      </c>
    </row>
    <row r="3579">
      <c r="B3579" s="31"/>
      <c r="G3579" s="272" t="s">
        <v>1099</v>
      </c>
    </row>
    <row r="3580">
      <c r="B3580" s="31"/>
      <c r="G3580" s="272" t="s">
        <v>1099</v>
      </c>
    </row>
    <row r="3581">
      <c r="B3581" s="31"/>
      <c r="G3581" s="272" t="s">
        <v>1099</v>
      </c>
    </row>
    <row r="3582">
      <c r="B3582" s="31"/>
      <c r="G3582" s="272" t="s">
        <v>1099</v>
      </c>
    </row>
    <row r="3583">
      <c r="B3583" s="31"/>
      <c r="G3583" s="272" t="s">
        <v>1099</v>
      </c>
    </row>
    <row r="3584">
      <c r="B3584" s="31"/>
      <c r="G3584" s="272" t="s">
        <v>1099</v>
      </c>
    </row>
    <row r="3585">
      <c r="B3585" s="31"/>
      <c r="G3585" s="272" t="s">
        <v>1099</v>
      </c>
    </row>
    <row r="3586">
      <c r="B3586" s="31"/>
      <c r="G3586" s="272" t="s">
        <v>1099</v>
      </c>
    </row>
    <row r="3587">
      <c r="B3587" s="31"/>
      <c r="G3587" s="272" t="s">
        <v>1099</v>
      </c>
    </row>
    <row r="3588">
      <c r="B3588" s="31"/>
      <c r="G3588" s="272" t="s">
        <v>1099</v>
      </c>
    </row>
    <row r="3589">
      <c r="B3589" s="31"/>
      <c r="G3589" s="272" t="s">
        <v>1099</v>
      </c>
    </row>
    <row r="3590">
      <c r="B3590" s="31"/>
      <c r="G3590" s="272" t="s">
        <v>1099</v>
      </c>
    </row>
    <row r="3591">
      <c r="B3591" s="31"/>
      <c r="G3591" s="272" t="s">
        <v>1099</v>
      </c>
    </row>
    <row r="3592">
      <c r="B3592" s="31"/>
      <c r="G3592" s="272" t="s">
        <v>1099</v>
      </c>
    </row>
    <row r="3593">
      <c r="B3593" s="31"/>
      <c r="G3593" s="272" t="s">
        <v>1099</v>
      </c>
    </row>
    <row r="3594">
      <c r="B3594" s="31"/>
      <c r="G3594" s="272" t="s">
        <v>1099</v>
      </c>
    </row>
    <row r="3595">
      <c r="B3595" s="31"/>
      <c r="G3595" s="272" t="s">
        <v>1099</v>
      </c>
    </row>
    <row r="3596">
      <c r="B3596" s="31"/>
      <c r="G3596" s="272" t="s">
        <v>1099</v>
      </c>
    </row>
    <row r="3597">
      <c r="B3597" s="31"/>
      <c r="G3597" s="272" t="s">
        <v>1099</v>
      </c>
    </row>
    <row r="3598">
      <c r="B3598" s="31"/>
      <c r="G3598" s="272" t="s">
        <v>1099</v>
      </c>
    </row>
    <row r="3599">
      <c r="B3599" s="31"/>
      <c r="G3599" s="272" t="s">
        <v>1099</v>
      </c>
    </row>
    <row r="3600">
      <c r="B3600" s="31"/>
      <c r="G3600" s="272" t="s">
        <v>1099</v>
      </c>
    </row>
    <row r="3601">
      <c r="B3601" s="31"/>
      <c r="G3601" s="272" t="s">
        <v>1099</v>
      </c>
    </row>
    <row r="3602">
      <c r="B3602" s="31"/>
      <c r="G3602" s="272" t="s">
        <v>1099</v>
      </c>
    </row>
    <row r="3603">
      <c r="B3603" s="31"/>
      <c r="G3603" s="272" t="s">
        <v>1099</v>
      </c>
    </row>
    <row r="3604">
      <c r="B3604" s="31"/>
      <c r="G3604" s="272" t="s">
        <v>1099</v>
      </c>
    </row>
    <row r="3605">
      <c r="B3605" s="31"/>
      <c r="G3605" s="272" t="s">
        <v>1099</v>
      </c>
    </row>
    <row r="3606">
      <c r="B3606" s="31"/>
      <c r="G3606" s="272" t="s">
        <v>1099</v>
      </c>
    </row>
    <row r="3607">
      <c r="B3607" s="31"/>
      <c r="G3607" s="272" t="s">
        <v>1099</v>
      </c>
    </row>
    <row r="3608">
      <c r="B3608" s="31"/>
      <c r="G3608" s="272" t="s">
        <v>1099</v>
      </c>
    </row>
    <row r="3609">
      <c r="B3609" s="31"/>
      <c r="G3609" s="272" t="s">
        <v>1099</v>
      </c>
    </row>
    <row r="3610">
      <c r="B3610" s="31"/>
      <c r="G3610" s="272" t="s">
        <v>1099</v>
      </c>
    </row>
    <row r="3611">
      <c r="B3611" s="31"/>
      <c r="G3611" s="272" t="s">
        <v>1099</v>
      </c>
    </row>
    <row r="3612">
      <c r="B3612" s="31"/>
      <c r="G3612" s="272" t="s">
        <v>1099</v>
      </c>
    </row>
    <row r="3613">
      <c r="B3613" s="31"/>
      <c r="G3613" s="272" t="s">
        <v>1099</v>
      </c>
    </row>
    <row r="3614">
      <c r="B3614" s="31"/>
      <c r="G3614" s="272" t="s">
        <v>1099</v>
      </c>
    </row>
    <row r="3615">
      <c r="B3615" s="31"/>
      <c r="G3615" s="272" t="s">
        <v>1099</v>
      </c>
    </row>
    <row r="3616">
      <c r="B3616" s="31"/>
      <c r="G3616" s="272" t="s">
        <v>1099</v>
      </c>
    </row>
    <row r="3617">
      <c r="B3617" s="31"/>
      <c r="G3617" s="272" t="s">
        <v>1099</v>
      </c>
    </row>
    <row r="3618">
      <c r="B3618" s="31"/>
      <c r="G3618" s="272" t="s">
        <v>1099</v>
      </c>
    </row>
    <row r="3619">
      <c r="B3619" s="31"/>
      <c r="G3619" s="272" t="s">
        <v>1099</v>
      </c>
    </row>
    <row r="3620">
      <c r="B3620" s="31"/>
      <c r="G3620" s="272" t="s">
        <v>1099</v>
      </c>
    </row>
    <row r="3621">
      <c r="B3621" s="31"/>
      <c r="G3621" s="272" t="s">
        <v>1099</v>
      </c>
    </row>
    <row r="3622">
      <c r="B3622" s="31"/>
      <c r="G3622" s="272" t="s">
        <v>1099</v>
      </c>
    </row>
    <row r="3623">
      <c r="B3623" s="31"/>
      <c r="G3623" s="272" t="s">
        <v>1099</v>
      </c>
    </row>
    <row r="3624">
      <c r="B3624" s="31"/>
      <c r="G3624" s="272" t="s">
        <v>1099</v>
      </c>
    </row>
    <row r="3625">
      <c r="B3625" s="31"/>
      <c r="G3625" s="272" t="s">
        <v>1099</v>
      </c>
    </row>
    <row r="3626">
      <c r="B3626" s="31"/>
      <c r="G3626" s="272" t="s">
        <v>1099</v>
      </c>
    </row>
    <row r="3627">
      <c r="B3627" s="31"/>
      <c r="G3627" s="272" t="s">
        <v>1099</v>
      </c>
    </row>
    <row r="3628">
      <c r="B3628" s="31"/>
      <c r="G3628" s="272" t="s">
        <v>1099</v>
      </c>
    </row>
    <row r="3629">
      <c r="B3629" s="31"/>
      <c r="G3629" s="272" t="s">
        <v>1099</v>
      </c>
    </row>
    <row r="3630">
      <c r="B3630" s="31"/>
      <c r="G3630" s="272" t="s">
        <v>1099</v>
      </c>
    </row>
    <row r="3631">
      <c r="B3631" s="31"/>
      <c r="G3631" s="272" t="s">
        <v>1099</v>
      </c>
    </row>
    <row r="3632">
      <c r="B3632" s="31"/>
      <c r="G3632" s="272" t="s">
        <v>1099</v>
      </c>
    </row>
    <row r="3633">
      <c r="B3633" s="31"/>
      <c r="G3633" s="272" t="s">
        <v>1099</v>
      </c>
    </row>
    <row r="3634">
      <c r="B3634" s="31"/>
      <c r="G3634" s="272" t="s">
        <v>1099</v>
      </c>
    </row>
    <row r="3635">
      <c r="B3635" s="31"/>
      <c r="G3635" s="272" t="s">
        <v>1099</v>
      </c>
    </row>
    <row r="3636">
      <c r="B3636" s="31"/>
      <c r="G3636" s="272" t="s">
        <v>1099</v>
      </c>
    </row>
    <row r="3637">
      <c r="B3637" s="31"/>
      <c r="G3637" s="272" t="s">
        <v>1099</v>
      </c>
    </row>
    <row r="3638">
      <c r="B3638" s="31"/>
      <c r="G3638" s="272" t="s">
        <v>1099</v>
      </c>
    </row>
    <row r="3639">
      <c r="B3639" s="31"/>
      <c r="G3639" s="272" t="s">
        <v>1099</v>
      </c>
    </row>
    <row r="3640">
      <c r="B3640" s="31"/>
      <c r="G3640" s="272" t="s">
        <v>1099</v>
      </c>
    </row>
    <row r="3641">
      <c r="B3641" s="31"/>
      <c r="G3641" s="272" t="s">
        <v>1099</v>
      </c>
    </row>
    <row r="3642">
      <c r="B3642" s="31"/>
      <c r="G3642" s="272" t="s">
        <v>1099</v>
      </c>
    </row>
    <row r="3643">
      <c r="B3643" s="31"/>
      <c r="G3643" s="272" t="s">
        <v>1099</v>
      </c>
    </row>
    <row r="3644">
      <c r="B3644" s="31"/>
      <c r="G3644" s="272" t="s">
        <v>1099</v>
      </c>
    </row>
    <row r="3645">
      <c r="B3645" s="31"/>
      <c r="G3645" s="272" t="s">
        <v>1099</v>
      </c>
    </row>
    <row r="3646">
      <c r="B3646" s="31"/>
      <c r="G3646" s="272" t="s">
        <v>1099</v>
      </c>
    </row>
    <row r="3647">
      <c r="B3647" s="31"/>
      <c r="G3647" s="272" t="s">
        <v>1099</v>
      </c>
    </row>
    <row r="3648">
      <c r="B3648" s="31"/>
      <c r="G3648" s="272" t="s">
        <v>1099</v>
      </c>
    </row>
    <row r="3649">
      <c r="B3649" s="31"/>
      <c r="G3649" s="272" t="s">
        <v>1099</v>
      </c>
    </row>
    <row r="3650">
      <c r="B3650" s="31"/>
      <c r="G3650" s="272" t="s">
        <v>1099</v>
      </c>
    </row>
    <row r="3651">
      <c r="B3651" s="31"/>
      <c r="G3651" s="272" t="s">
        <v>1099</v>
      </c>
    </row>
    <row r="3652">
      <c r="B3652" s="31"/>
      <c r="G3652" s="272" t="s">
        <v>1099</v>
      </c>
    </row>
    <row r="3653">
      <c r="B3653" s="31"/>
      <c r="G3653" s="272" t="s">
        <v>1099</v>
      </c>
    </row>
    <row r="3654">
      <c r="B3654" s="31"/>
      <c r="G3654" s="272" t="s">
        <v>1099</v>
      </c>
    </row>
    <row r="3655">
      <c r="B3655" s="31"/>
      <c r="G3655" s="272" t="s">
        <v>1099</v>
      </c>
    </row>
    <row r="3656">
      <c r="B3656" s="31"/>
      <c r="G3656" s="272" t="s">
        <v>1099</v>
      </c>
    </row>
    <row r="3657">
      <c r="B3657" s="31"/>
      <c r="G3657" s="272" t="s">
        <v>1099</v>
      </c>
    </row>
    <row r="3658">
      <c r="B3658" s="31"/>
      <c r="G3658" s="272" t="s">
        <v>1099</v>
      </c>
    </row>
    <row r="3659">
      <c r="B3659" s="31"/>
      <c r="G3659" s="272" t="s">
        <v>1099</v>
      </c>
    </row>
    <row r="3660">
      <c r="B3660" s="31"/>
      <c r="G3660" s="272" t="s">
        <v>1099</v>
      </c>
    </row>
    <row r="3661">
      <c r="B3661" s="31"/>
      <c r="G3661" s="272" t="s">
        <v>1099</v>
      </c>
    </row>
    <row r="3662">
      <c r="B3662" s="31"/>
      <c r="G3662" s="272" t="s">
        <v>1099</v>
      </c>
    </row>
    <row r="3663">
      <c r="B3663" s="31"/>
      <c r="G3663" s="272" t="s">
        <v>1099</v>
      </c>
    </row>
    <row r="3664">
      <c r="B3664" s="31"/>
      <c r="G3664" s="272" t="s">
        <v>1099</v>
      </c>
    </row>
    <row r="3665">
      <c r="B3665" s="31"/>
      <c r="G3665" s="272" t="s">
        <v>1099</v>
      </c>
    </row>
    <row r="3666">
      <c r="B3666" s="31"/>
      <c r="G3666" s="272" t="s">
        <v>1099</v>
      </c>
    </row>
    <row r="3667">
      <c r="B3667" s="31"/>
      <c r="G3667" s="272" t="s">
        <v>1099</v>
      </c>
    </row>
    <row r="3668">
      <c r="B3668" s="31"/>
      <c r="G3668" s="272" t="s">
        <v>1099</v>
      </c>
    </row>
    <row r="3669">
      <c r="B3669" s="31"/>
      <c r="G3669" s="272" t="s">
        <v>1099</v>
      </c>
    </row>
    <row r="3670">
      <c r="B3670" s="31"/>
      <c r="G3670" s="272" t="s">
        <v>1099</v>
      </c>
    </row>
    <row r="3671">
      <c r="B3671" s="31"/>
      <c r="G3671" s="272" t="s">
        <v>1099</v>
      </c>
    </row>
    <row r="3672">
      <c r="B3672" s="31"/>
      <c r="G3672" s="272" t="s">
        <v>1099</v>
      </c>
    </row>
    <row r="3673">
      <c r="B3673" s="31"/>
      <c r="G3673" s="272" t="s">
        <v>1099</v>
      </c>
    </row>
    <row r="3674">
      <c r="B3674" s="31"/>
      <c r="G3674" s="272" t="s">
        <v>1099</v>
      </c>
    </row>
    <row r="3675">
      <c r="B3675" s="31"/>
      <c r="G3675" s="272" t="s">
        <v>1099</v>
      </c>
    </row>
    <row r="3676">
      <c r="B3676" s="31"/>
      <c r="G3676" s="272" t="s">
        <v>1099</v>
      </c>
    </row>
    <row r="3677">
      <c r="B3677" s="31"/>
      <c r="G3677" s="272" t="s">
        <v>1099</v>
      </c>
    </row>
    <row r="3678">
      <c r="B3678" s="31"/>
      <c r="G3678" s="272" t="s">
        <v>1099</v>
      </c>
    </row>
    <row r="3679">
      <c r="B3679" s="31"/>
      <c r="G3679" s="272" t="s">
        <v>1099</v>
      </c>
    </row>
    <row r="3680">
      <c r="B3680" s="31"/>
      <c r="G3680" s="272" t="s">
        <v>1099</v>
      </c>
    </row>
    <row r="3681">
      <c r="B3681" s="31"/>
      <c r="G3681" s="272" t="s">
        <v>1099</v>
      </c>
    </row>
    <row r="3682">
      <c r="B3682" s="31"/>
      <c r="G3682" s="272" t="s">
        <v>1099</v>
      </c>
    </row>
    <row r="3683">
      <c r="B3683" s="31"/>
      <c r="G3683" s="272" t="s">
        <v>1099</v>
      </c>
    </row>
    <row r="3684">
      <c r="B3684" s="31"/>
      <c r="G3684" s="272" t="s">
        <v>1099</v>
      </c>
    </row>
    <row r="3685">
      <c r="B3685" s="31"/>
      <c r="G3685" s="272" t="s">
        <v>1099</v>
      </c>
    </row>
    <row r="3686">
      <c r="B3686" s="31"/>
      <c r="G3686" s="272" t="s">
        <v>1099</v>
      </c>
    </row>
    <row r="3687">
      <c r="B3687" s="31"/>
      <c r="G3687" s="272" t="s">
        <v>1099</v>
      </c>
    </row>
    <row r="3688">
      <c r="B3688" s="31"/>
      <c r="G3688" s="272" t="s">
        <v>1099</v>
      </c>
    </row>
    <row r="3689">
      <c r="B3689" s="31"/>
      <c r="G3689" s="272" t="s">
        <v>1099</v>
      </c>
    </row>
    <row r="3690">
      <c r="B3690" s="31"/>
      <c r="G3690" s="272" t="s">
        <v>1099</v>
      </c>
    </row>
    <row r="3691">
      <c r="B3691" s="31"/>
      <c r="G3691" s="272" t="s">
        <v>1099</v>
      </c>
    </row>
    <row r="3692">
      <c r="B3692" s="31"/>
      <c r="G3692" s="272" t="s">
        <v>1099</v>
      </c>
    </row>
    <row r="3693">
      <c r="B3693" s="31"/>
      <c r="G3693" s="272" t="s">
        <v>1099</v>
      </c>
    </row>
    <row r="3694">
      <c r="B3694" s="31"/>
      <c r="G3694" s="272" t="s">
        <v>1099</v>
      </c>
    </row>
    <row r="3695">
      <c r="B3695" s="31"/>
      <c r="G3695" s="272" t="s">
        <v>1099</v>
      </c>
    </row>
    <row r="3696">
      <c r="B3696" s="31"/>
      <c r="G3696" s="272" t="s">
        <v>1099</v>
      </c>
    </row>
    <row r="3697">
      <c r="B3697" s="31"/>
      <c r="G3697" s="272" t="s">
        <v>1099</v>
      </c>
    </row>
    <row r="3698">
      <c r="B3698" s="31"/>
      <c r="G3698" s="272" t="s">
        <v>1099</v>
      </c>
    </row>
    <row r="3699">
      <c r="B3699" s="31"/>
      <c r="G3699" s="272" t="s">
        <v>1099</v>
      </c>
    </row>
    <row r="3700">
      <c r="B3700" s="31"/>
      <c r="G3700" s="272" t="s">
        <v>1099</v>
      </c>
    </row>
    <row r="3701">
      <c r="B3701" s="31"/>
      <c r="G3701" s="272" t="s">
        <v>1099</v>
      </c>
    </row>
    <row r="3702">
      <c r="B3702" s="31"/>
      <c r="G3702" s="272" t="s">
        <v>1099</v>
      </c>
    </row>
    <row r="3703">
      <c r="B3703" s="31"/>
      <c r="G3703" s="272" t="s">
        <v>1099</v>
      </c>
    </row>
    <row r="3704">
      <c r="B3704" s="31"/>
      <c r="G3704" s="272" t="s">
        <v>1099</v>
      </c>
    </row>
    <row r="3705">
      <c r="B3705" s="31"/>
      <c r="G3705" s="272" t="s">
        <v>1099</v>
      </c>
    </row>
    <row r="3706">
      <c r="B3706" s="31"/>
      <c r="G3706" s="272" t="s">
        <v>1099</v>
      </c>
    </row>
    <row r="3707">
      <c r="B3707" s="31"/>
      <c r="G3707" s="272" t="s">
        <v>1099</v>
      </c>
    </row>
    <row r="3708">
      <c r="B3708" s="31"/>
      <c r="G3708" s="272" t="s">
        <v>1099</v>
      </c>
    </row>
    <row r="3709">
      <c r="B3709" s="31"/>
      <c r="G3709" s="272" t="s">
        <v>1099</v>
      </c>
    </row>
    <row r="3710">
      <c r="B3710" s="31"/>
      <c r="G3710" s="272" t="s">
        <v>1099</v>
      </c>
    </row>
    <row r="3711">
      <c r="B3711" s="31"/>
      <c r="G3711" s="272" t="s">
        <v>1099</v>
      </c>
    </row>
    <row r="3712">
      <c r="B3712" s="31"/>
      <c r="G3712" s="272" t="s">
        <v>1099</v>
      </c>
    </row>
    <row r="3713">
      <c r="B3713" s="31"/>
      <c r="G3713" s="272" t="s">
        <v>1099</v>
      </c>
    </row>
    <row r="3714">
      <c r="B3714" s="31"/>
      <c r="G3714" s="272" t="s">
        <v>1099</v>
      </c>
    </row>
    <row r="3715">
      <c r="B3715" s="31"/>
      <c r="G3715" s="272" t="s">
        <v>1099</v>
      </c>
    </row>
    <row r="3716">
      <c r="B3716" s="31"/>
      <c r="G3716" s="272" t="s">
        <v>1099</v>
      </c>
    </row>
    <row r="3717">
      <c r="B3717" s="31"/>
      <c r="G3717" s="272" t="s">
        <v>1099</v>
      </c>
    </row>
    <row r="3718">
      <c r="B3718" s="31"/>
      <c r="G3718" s="272" t="s">
        <v>1099</v>
      </c>
    </row>
    <row r="3719">
      <c r="B3719" s="31"/>
      <c r="G3719" s="272" t="s">
        <v>1099</v>
      </c>
    </row>
    <row r="3720">
      <c r="B3720" s="31"/>
      <c r="G3720" s="272" t="s">
        <v>1099</v>
      </c>
    </row>
    <row r="3721">
      <c r="B3721" s="31"/>
      <c r="G3721" s="272" t="s">
        <v>1099</v>
      </c>
    </row>
    <row r="3722">
      <c r="B3722" s="31"/>
      <c r="G3722" s="272" t="s">
        <v>1099</v>
      </c>
    </row>
    <row r="3723">
      <c r="B3723" s="31"/>
      <c r="G3723" s="272" t="s">
        <v>1099</v>
      </c>
    </row>
    <row r="3724">
      <c r="B3724" s="31"/>
      <c r="G3724" s="272" t="s">
        <v>1099</v>
      </c>
    </row>
    <row r="3725">
      <c r="B3725" s="31"/>
      <c r="G3725" s="272" t="s">
        <v>1099</v>
      </c>
    </row>
    <row r="3726">
      <c r="B3726" s="31"/>
      <c r="G3726" s="272" t="s">
        <v>1099</v>
      </c>
    </row>
    <row r="3727">
      <c r="B3727" s="31"/>
      <c r="G3727" s="272" t="s">
        <v>1099</v>
      </c>
    </row>
    <row r="3728">
      <c r="B3728" s="31"/>
      <c r="G3728" s="272" t="s">
        <v>1099</v>
      </c>
    </row>
    <row r="3729">
      <c r="B3729" s="31"/>
      <c r="G3729" s="272" t="s">
        <v>1099</v>
      </c>
    </row>
    <row r="3730">
      <c r="B3730" s="31"/>
      <c r="G3730" s="272" t="s">
        <v>1099</v>
      </c>
    </row>
    <row r="3731">
      <c r="B3731" s="31"/>
      <c r="G3731" s="272" t="s">
        <v>1099</v>
      </c>
    </row>
    <row r="3732">
      <c r="B3732" s="31"/>
      <c r="G3732" s="272" t="s">
        <v>1099</v>
      </c>
    </row>
    <row r="3733">
      <c r="B3733" s="31"/>
      <c r="G3733" s="272" t="s">
        <v>1099</v>
      </c>
    </row>
    <row r="3734">
      <c r="B3734" s="31"/>
      <c r="G3734" s="272" t="s">
        <v>1099</v>
      </c>
    </row>
    <row r="3735">
      <c r="B3735" s="31"/>
      <c r="G3735" s="272" t="s">
        <v>1099</v>
      </c>
    </row>
    <row r="3736">
      <c r="B3736" s="31"/>
      <c r="G3736" s="272" t="s">
        <v>1099</v>
      </c>
    </row>
    <row r="3737">
      <c r="B3737" s="31"/>
      <c r="G3737" s="272" t="s">
        <v>1099</v>
      </c>
    </row>
    <row r="3738">
      <c r="B3738" s="31"/>
      <c r="G3738" s="272" t="s">
        <v>1099</v>
      </c>
    </row>
    <row r="3739">
      <c r="B3739" s="31"/>
      <c r="G3739" s="272" t="s">
        <v>1099</v>
      </c>
    </row>
    <row r="3740">
      <c r="B3740" s="31"/>
      <c r="G3740" s="272" t="s">
        <v>1099</v>
      </c>
    </row>
    <row r="3741">
      <c r="B3741" s="31"/>
      <c r="G3741" s="272" t="s">
        <v>1099</v>
      </c>
    </row>
    <row r="3742">
      <c r="B3742" s="31"/>
      <c r="G3742" s="272" t="s">
        <v>1099</v>
      </c>
    </row>
    <row r="3743">
      <c r="B3743" s="31"/>
      <c r="G3743" s="272" t="s">
        <v>1099</v>
      </c>
    </row>
    <row r="3744">
      <c r="B3744" s="31"/>
      <c r="G3744" s="272" t="s">
        <v>1099</v>
      </c>
    </row>
    <row r="3745">
      <c r="B3745" s="31"/>
      <c r="G3745" s="272" t="s">
        <v>1099</v>
      </c>
    </row>
    <row r="3746">
      <c r="B3746" s="31"/>
      <c r="G3746" s="272" t="s">
        <v>1099</v>
      </c>
    </row>
    <row r="3747">
      <c r="B3747" s="31"/>
      <c r="G3747" s="272" t="s">
        <v>1099</v>
      </c>
    </row>
    <row r="3748">
      <c r="B3748" s="31"/>
      <c r="G3748" s="272" t="s">
        <v>1099</v>
      </c>
    </row>
    <row r="3749">
      <c r="B3749" s="31"/>
      <c r="G3749" s="272" t="s">
        <v>1099</v>
      </c>
    </row>
    <row r="3750">
      <c r="B3750" s="31"/>
      <c r="G3750" s="272" t="s">
        <v>1099</v>
      </c>
    </row>
    <row r="3751">
      <c r="B3751" s="31"/>
      <c r="G3751" s="272" t="s">
        <v>1099</v>
      </c>
    </row>
    <row r="3752">
      <c r="B3752" s="31"/>
      <c r="G3752" s="272" t="s">
        <v>1099</v>
      </c>
    </row>
    <row r="3753">
      <c r="B3753" s="31"/>
      <c r="G3753" s="272" t="s">
        <v>1099</v>
      </c>
    </row>
    <row r="3754">
      <c r="B3754" s="31"/>
      <c r="G3754" s="272" t="s">
        <v>1099</v>
      </c>
    </row>
    <row r="3755">
      <c r="B3755" s="31"/>
      <c r="G3755" s="272" t="s">
        <v>1099</v>
      </c>
    </row>
    <row r="3756">
      <c r="B3756" s="31"/>
      <c r="G3756" s="272" t="s">
        <v>1099</v>
      </c>
    </row>
    <row r="3757">
      <c r="B3757" s="31"/>
      <c r="G3757" s="272" t="s">
        <v>1099</v>
      </c>
    </row>
    <row r="3758">
      <c r="B3758" s="31"/>
      <c r="G3758" s="272" t="s">
        <v>1099</v>
      </c>
    </row>
    <row r="3759">
      <c r="B3759" s="31"/>
      <c r="G3759" s="272" t="s">
        <v>1099</v>
      </c>
    </row>
    <row r="3760">
      <c r="B3760" s="31"/>
      <c r="G3760" s="272" t="s">
        <v>1099</v>
      </c>
    </row>
    <row r="3761">
      <c r="B3761" s="31"/>
      <c r="G3761" s="272" t="s">
        <v>1099</v>
      </c>
    </row>
    <row r="3762">
      <c r="B3762" s="31"/>
      <c r="G3762" s="272" t="s">
        <v>1099</v>
      </c>
    </row>
    <row r="3763">
      <c r="B3763" s="31"/>
      <c r="G3763" s="272" t="s">
        <v>1099</v>
      </c>
    </row>
    <row r="3764">
      <c r="B3764" s="31"/>
      <c r="G3764" s="272" t="s">
        <v>1099</v>
      </c>
    </row>
    <row r="3765">
      <c r="B3765" s="31"/>
      <c r="G3765" s="272" t="s">
        <v>1099</v>
      </c>
    </row>
    <row r="3766">
      <c r="B3766" s="31"/>
      <c r="G3766" s="272" t="s">
        <v>1099</v>
      </c>
    </row>
    <row r="3767">
      <c r="B3767" s="31"/>
      <c r="G3767" s="272" t="s">
        <v>1099</v>
      </c>
    </row>
    <row r="3768">
      <c r="B3768" s="31"/>
      <c r="G3768" s="272" t="s">
        <v>1099</v>
      </c>
    </row>
    <row r="3769">
      <c r="B3769" s="31"/>
      <c r="G3769" s="272" t="s">
        <v>1099</v>
      </c>
    </row>
    <row r="3770">
      <c r="B3770" s="31"/>
      <c r="G3770" s="272" t="s">
        <v>1099</v>
      </c>
    </row>
    <row r="3771">
      <c r="B3771" s="31"/>
      <c r="G3771" s="272" t="s">
        <v>1099</v>
      </c>
    </row>
    <row r="3772">
      <c r="B3772" s="31"/>
      <c r="G3772" s="272" t="s">
        <v>1099</v>
      </c>
    </row>
    <row r="3773">
      <c r="B3773" s="31"/>
      <c r="G3773" s="272" t="s">
        <v>1099</v>
      </c>
    </row>
    <row r="3774">
      <c r="B3774" s="31"/>
      <c r="G3774" s="272" t="s">
        <v>1099</v>
      </c>
    </row>
    <row r="3775">
      <c r="B3775" s="31"/>
      <c r="G3775" s="272" t="s">
        <v>1099</v>
      </c>
    </row>
    <row r="3776">
      <c r="B3776" s="31"/>
      <c r="G3776" s="272" t="s">
        <v>1099</v>
      </c>
    </row>
    <row r="3777">
      <c r="B3777" s="31"/>
      <c r="G3777" s="272" t="s">
        <v>1099</v>
      </c>
    </row>
    <row r="3778">
      <c r="B3778" s="31"/>
      <c r="G3778" s="272" t="s">
        <v>1099</v>
      </c>
    </row>
    <row r="3779">
      <c r="B3779" s="31"/>
      <c r="G3779" s="272" t="s">
        <v>1099</v>
      </c>
    </row>
    <row r="3780">
      <c r="B3780" s="31"/>
      <c r="G3780" s="272" t="s">
        <v>1099</v>
      </c>
    </row>
    <row r="3781">
      <c r="B3781" s="31"/>
      <c r="G3781" s="272" t="s">
        <v>1099</v>
      </c>
    </row>
    <row r="3782">
      <c r="B3782" s="31"/>
      <c r="G3782" s="272" t="s">
        <v>1099</v>
      </c>
    </row>
    <row r="3783">
      <c r="B3783" s="31"/>
      <c r="G3783" s="272" t="s">
        <v>1099</v>
      </c>
    </row>
    <row r="3784">
      <c r="B3784" s="31"/>
      <c r="G3784" s="272" t="s">
        <v>1099</v>
      </c>
    </row>
    <row r="3785">
      <c r="B3785" s="31"/>
      <c r="G3785" s="272" t="s">
        <v>1099</v>
      </c>
    </row>
    <row r="3786">
      <c r="B3786" s="31"/>
      <c r="G3786" s="272" t="s">
        <v>1099</v>
      </c>
    </row>
    <row r="3787">
      <c r="B3787" s="31"/>
      <c r="G3787" s="272" t="s">
        <v>1099</v>
      </c>
    </row>
    <row r="3788">
      <c r="B3788" s="31"/>
      <c r="G3788" s="272" t="s">
        <v>1099</v>
      </c>
    </row>
    <row r="3789">
      <c r="B3789" s="31"/>
      <c r="G3789" s="272" t="s">
        <v>1099</v>
      </c>
    </row>
    <row r="3790">
      <c r="B3790" s="31"/>
      <c r="G3790" s="272" t="s">
        <v>1099</v>
      </c>
    </row>
    <row r="3791">
      <c r="B3791" s="31"/>
      <c r="G3791" s="272" t="s">
        <v>1099</v>
      </c>
    </row>
    <row r="3792">
      <c r="B3792" s="31"/>
      <c r="G3792" s="272" t="s">
        <v>1099</v>
      </c>
    </row>
    <row r="3793">
      <c r="B3793" s="31"/>
      <c r="G3793" s="272" t="s">
        <v>1099</v>
      </c>
    </row>
    <row r="3794">
      <c r="B3794" s="31"/>
      <c r="G3794" s="272" t="s">
        <v>1099</v>
      </c>
    </row>
    <row r="3795">
      <c r="B3795" s="31"/>
      <c r="G3795" s="272" t="s">
        <v>1099</v>
      </c>
    </row>
    <row r="3796">
      <c r="B3796" s="31"/>
      <c r="G3796" s="272" t="s">
        <v>1099</v>
      </c>
    </row>
    <row r="3797">
      <c r="B3797" s="31"/>
      <c r="G3797" s="272" t="s">
        <v>1099</v>
      </c>
    </row>
    <row r="3798">
      <c r="B3798" s="31"/>
      <c r="G3798" s="272" t="s">
        <v>1099</v>
      </c>
    </row>
    <row r="3799">
      <c r="B3799" s="31"/>
      <c r="G3799" s="272" t="s">
        <v>1099</v>
      </c>
    </row>
    <row r="3800">
      <c r="B3800" s="31"/>
      <c r="G3800" s="272" t="s">
        <v>1099</v>
      </c>
    </row>
    <row r="3801">
      <c r="B3801" s="31"/>
      <c r="G3801" s="272" t="s">
        <v>1099</v>
      </c>
    </row>
    <row r="3802">
      <c r="B3802" s="31"/>
      <c r="G3802" s="272" t="s">
        <v>1099</v>
      </c>
    </row>
    <row r="3803">
      <c r="B3803" s="31"/>
      <c r="G3803" s="272" t="s">
        <v>1099</v>
      </c>
    </row>
    <row r="3804">
      <c r="B3804" s="31"/>
      <c r="G3804" s="272" t="s">
        <v>1099</v>
      </c>
    </row>
    <row r="3805">
      <c r="B3805" s="31"/>
      <c r="G3805" s="272" t="s">
        <v>1099</v>
      </c>
    </row>
    <row r="3806">
      <c r="B3806" s="31"/>
      <c r="G3806" s="272" t="s">
        <v>1099</v>
      </c>
    </row>
    <row r="3807">
      <c r="B3807" s="31"/>
      <c r="G3807" s="272" t="s">
        <v>1099</v>
      </c>
    </row>
    <row r="3808">
      <c r="B3808" s="31"/>
      <c r="G3808" s="272" t="s">
        <v>1099</v>
      </c>
    </row>
    <row r="3809">
      <c r="B3809" s="31"/>
      <c r="G3809" s="272" t="s">
        <v>1099</v>
      </c>
    </row>
    <row r="3810">
      <c r="B3810" s="31"/>
      <c r="G3810" s="272" t="s">
        <v>1099</v>
      </c>
    </row>
    <row r="3811">
      <c r="B3811" s="31"/>
      <c r="G3811" s="272" t="s">
        <v>1099</v>
      </c>
    </row>
    <row r="3812">
      <c r="B3812" s="31"/>
      <c r="G3812" s="272" t="s">
        <v>1099</v>
      </c>
    </row>
    <row r="3813">
      <c r="B3813" s="31"/>
      <c r="G3813" s="272" t="s">
        <v>1099</v>
      </c>
    </row>
    <row r="3814">
      <c r="B3814" s="31"/>
      <c r="G3814" s="272" t="s">
        <v>1099</v>
      </c>
    </row>
    <row r="3815">
      <c r="B3815" s="31"/>
      <c r="G3815" s="272" t="s">
        <v>1099</v>
      </c>
    </row>
    <row r="3816">
      <c r="B3816" s="31"/>
      <c r="G3816" s="272" t="s">
        <v>1099</v>
      </c>
    </row>
    <row r="3817">
      <c r="B3817" s="31"/>
      <c r="G3817" s="272" t="s">
        <v>1099</v>
      </c>
    </row>
    <row r="3818">
      <c r="B3818" s="31"/>
      <c r="G3818" s="272" t="s">
        <v>1099</v>
      </c>
    </row>
    <row r="3819">
      <c r="B3819" s="31"/>
      <c r="G3819" s="272" t="s">
        <v>1099</v>
      </c>
    </row>
    <row r="3820">
      <c r="B3820" s="31"/>
      <c r="G3820" s="272" t="s">
        <v>1099</v>
      </c>
    </row>
    <row r="3821">
      <c r="B3821" s="31"/>
      <c r="G3821" s="272" t="s">
        <v>1099</v>
      </c>
    </row>
    <row r="3822">
      <c r="B3822" s="31"/>
      <c r="G3822" s="272" t="s">
        <v>1099</v>
      </c>
    </row>
    <row r="3823">
      <c r="B3823" s="31"/>
      <c r="G3823" s="272" t="s">
        <v>1099</v>
      </c>
    </row>
    <row r="3824">
      <c r="B3824" s="31"/>
      <c r="G3824" s="272" t="s">
        <v>1099</v>
      </c>
    </row>
    <row r="3825">
      <c r="B3825" s="31"/>
      <c r="G3825" s="272" t="s">
        <v>1099</v>
      </c>
    </row>
    <row r="3826">
      <c r="B3826" s="31"/>
      <c r="G3826" s="272" t="s">
        <v>1099</v>
      </c>
    </row>
    <row r="3827">
      <c r="B3827" s="31"/>
      <c r="G3827" s="272" t="s">
        <v>1099</v>
      </c>
    </row>
    <row r="3828">
      <c r="B3828" s="31"/>
      <c r="G3828" s="272" t="s">
        <v>1099</v>
      </c>
    </row>
    <row r="3829">
      <c r="B3829" s="31"/>
      <c r="G3829" s="272" t="s">
        <v>1099</v>
      </c>
    </row>
    <row r="3830">
      <c r="B3830" s="31"/>
      <c r="G3830" s="272" t="s">
        <v>1099</v>
      </c>
    </row>
    <row r="3831">
      <c r="B3831" s="31"/>
      <c r="G3831" s="272" t="s">
        <v>1099</v>
      </c>
    </row>
    <row r="3832">
      <c r="B3832" s="31"/>
      <c r="G3832" s="272" t="s">
        <v>1099</v>
      </c>
    </row>
    <row r="3833">
      <c r="B3833" s="31"/>
      <c r="G3833" s="272" t="s">
        <v>1099</v>
      </c>
    </row>
    <row r="3834">
      <c r="B3834" s="31"/>
      <c r="G3834" s="272" t="s">
        <v>1099</v>
      </c>
    </row>
    <row r="3835">
      <c r="B3835" s="31"/>
      <c r="G3835" s="272" t="s">
        <v>1099</v>
      </c>
    </row>
    <row r="3836">
      <c r="B3836" s="31"/>
      <c r="G3836" s="272" t="s">
        <v>1099</v>
      </c>
    </row>
    <row r="3837">
      <c r="B3837" s="31"/>
      <c r="G3837" s="272" t="s">
        <v>1099</v>
      </c>
    </row>
    <row r="3838">
      <c r="B3838" s="31"/>
      <c r="G3838" s="272" t="s">
        <v>1099</v>
      </c>
    </row>
    <row r="3839">
      <c r="B3839" s="31"/>
      <c r="G3839" s="272" t="s">
        <v>1099</v>
      </c>
    </row>
    <row r="3840">
      <c r="B3840" s="31"/>
      <c r="G3840" s="272" t="s">
        <v>1099</v>
      </c>
    </row>
    <row r="3841">
      <c r="B3841" s="31"/>
      <c r="G3841" s="272" t="s">
        <v>1099</v>
      </c>
    </row>
    <row r="3842">
      <c r="B3842" s="31"/>
      <c r="G3842" s="272" t="s">
        <v>1099</v>
      </c>
    </row>
    <row r="3843">
      <c r="B3843" s="31"/>
      <c r="G3843" s="272" t="s">
        <v>1099</v>
      </c>
    </row>
    <row r="3844">
      <c r="B3844" s="31"/>
      <c r="G3844" s="272" t="s">
        <v>1099</v>
      </c>
    </row>
    <row r="3845">
      <c r="B3845" s="31"/>
      <c r="G3845" s="272" t="s">
        <v>1099</v>
      </c>
    </row>
    <row r="3846">
      <c r="B3846" s="31"/>
      <c r="G3846" s="272" t="s">
        <v>1099</v>
      </c>
    </row>
    <row r="3847">
      <c r="B3847" s="31"/>
      <c r="G3847" s="272" t="s">
        <v>1099</v>
      </c>
    </row>
    <row r="3848">
      <c r="B3848" s="31"/>
      <c r="G3848" s="272" t="s">
        <v>1099</v>
      </c>
    </row>
    <row r="3849">
      <c r="B3849" s="31"/>
      <c r="G3849" s="272" t="s">
        <v>1099</v>
      </c>
    </row>
    <row r="3850">
      <c r="B3850" s="31"/>
      <c r="G3850" s="272" t="s">
        <v>1099</v>
      </c>
    </row>
    <row r="3851">
      <c r="B3851" s="31"/>
      <c r="G3851" s="272" t="s">
        <v>1099</v>
      </c>
    </row>
    <row r="3852">
      <c r="B3852" s="31"/>
      <c r="G3852" s="272" t="s">
        <v>1099</v>
      </c>
    </row>
    <row r="3853">
      <c r="B3853" s="31"/>
      <c r="G3853" s="272" t="s">
        <v>1099</v>
      </c>
    </row>
    <row r="3854">
      <c r="B3854" s="31"/>
      <c r="G3854" s="272" t="s">
        <v>1099</v>
      </c>
    </row>
    <row r="3855">
      <c r="B3855" s="31"/>
      <c r="G3855" s="272" t="s">
        <v>1099</v>
      </c>
    </row>
    <row r="3856">
      <c r="B3856" s="31"/>
      <c r="G3856" s="272" t="s">
        <v>1099</v>
      </c>
    </row>
    <row r="3857">
      <c r="B3857" s="31"/>
      <c r="G3857" s="272" t="s">
        <v>1099</v>
      </c>
    </row>
    <row r="3858">
      <c r="B3858" s="31"/>
      <c r="G3858" s="272" t="s">
        <v>1099</v>
      </c>
    </row>
    <row r="3859">
      <c r="B3859" s="31"/>
      <c r="G3859" s="272" t="s">
        <v>1099</v>
      </c>
    </row>
    <row r="3860">
      <c r="B3860" s="31"/>
      <c r="G3860" s="272" t="s">
        <v>1099</v>
      </c>
    </row>
    <row r="3861">
      <c r="B3861" s="31"/>
      <c r="G3861" s="272" t="s">
        <v>1099</v>
      </c>
    </row>
    <row r="3862">
      <c r="B3862" s="31"/>
      <c r="G3862" s="272" t="s">
        <v>1099</v>
      </c>
    </row>
    <row r="3863">
      <c r="B3863" s="31"/>
      <c r="G3863" s="272" t="s">
        <v>1099</v>
      </c>
    </row>
    <row r="3864">
      <c r="B3864" s="31"/>
      <c r="G3864" s="272" t="s">
        <v>1099</v>
      </c>
    </row>
    <row r="3865">
      <c r="B3865" s="31"/>
      <c r="G3865" s="272" t="s">
        <v>1099</v>
      </c>
    </row>
    <row r="3866">
      <c r="B3866" s="31"/>
      <c r="G3866" s="272" t="s">
        <v>1099</v>
      </c>
    </row>
    <row r="3867">
      <c r="B3867" s="31"/>
      <c r="G3867" s="272" t="s">
        <v>1099</v>
      </c>
    </row>
    <row r="3868">
      <c r="B3868" s="31"/>
      <c r="G3868" s="272" t="s">
        <v>1099</v>
      </c>
    </row>
    <row r="3869">
      <c r="B3869" s="31"/>
      <c r="G3869" s="272" t="s">
        <v>1099</v>
      </c>
    </row>
    <row r="3870">
      <c r="B3870" s="31"/>
      <c r="G3870" s="272" t="s">
        <v>1099</v>
      </c>
    </row>
    <row r="3871">
      <c r="B3871" s="31"/>
      <c r="G3871" s="272" t="s">
        <v>1099</v>
      </c>
    </row>
    <row r="3872">
      <c r="B3872" s="31"/>
      <c r="G3872" s="272" t="s">
        <v>1099</v>
      </c>
    </row>
    <row r="3873">
      <c r="B3873" s="31"/>
      <c r="G3873" s="272" t="s">
        <v>1099</v>
      </c>
    </row>
    <row r="3874">
      <c r="B3874" s="31"/>
      <c r="G3874" s="272" t="s">
        <v>1099</v>
      </c>
    </row>
    <row r="3875">
      <c r="B3875" s="31"/>
      <c r="G3875" s="272" t="s">
        <v>1099</v>
      </c>
    </row>
    <row r="3876">
      <c r="B3876" s="31"/>
      <c r="G3876" s="272" t="s">
        <v>1099</v>
      </c>
    </row>
    <row r="3877">
      <c r="B3877" s="31"/>
      <c r="G3877" s="272" t="s">
        <v>1099</v>
      </c>
    </row>
    <row r="3878">
      <c r="B3878" s="31"/>
      <c r="G3878" s="272" t="s">
        <v>1099</v>
      </c>
    </row>
    <row r="3879">
      <c r="B3879" s="31"/>
      <c r="G3879" s="272" t="s">
        <v>1099</v>
      </c>
    </row>
    <row r="3880">
      <c r="B3880" s="31"/>
      <c r="G3880" s="272" t="s">
        <v>1099</v>
      </c>
    </row>
    <row r="3881">
      <c r="B3881" s="31"/>
      <c r="G3881" s="272" t="s">
        <v>1099</v>
      </c>
    </row>
    <row r="3882">
      <c r="B3882" s="31"/>
      <c r="G3882" s="272" t="s">
        <v>1099</v>
      </c>
    </row>
    <row r="3883">
      <c r="B3883" s="31"/>
      <c r="G3883" s="272" t="s">
        <v>1099</v>
      </c>
    </row>
    <row r="3884">
      <c r="B3884" s="31"/>
      <c r="G3884" s="272" t="s">
        <v>1099</v>
      </c>
    </row>
    <row r="3885">
      <c r="B3885" s="31"/>
      <c r="G3885" s="272" t="s">
        <v>1099</v>
      </c>
    </row>
    <row r="3886">
      <c r="B3886" s="31"/>
      <c r="G3886" s="272" t="s">
        <v>1099</v>
      </c>
    </row>
    <row r="3887">
      <c r="B3887" s="31"/>
      <c r="G3887" s="272" t="s">
        <v>1099</v>
      </c>
    </row>
    <row r="3888">
      <c r="B3888" s="31"/>
      <c r="G3888" s="272" t="s">
        <v>1099</v>
      </c>
    </row>
    <row r="3889">
      <c r="B3889" s="31"/>
      <c r="G3889" s="272" t="s">
        <v>1099</v>
      </c>
    </row>
    <row r="3890">
      <c r="B3890" s="31"/>
      <c r="G3890" s="272" t="s">
        <v>1099</v>
      </c>
    </row>
    <row r="3891">
      <c r="B3891" s="31"/>
      <c r="G3891" s="272" t="s">
        <v>1099</v>
      </c>
    </row>
    <row r="3892">
      <c r="B3892" s="31"/>
      <c r="G3892" s="272" t="s">
        <v>1099</v>
      </c>
    </row>
    <row r="3893">
      <c r="B3893" s="31"/>
      <c r="G3893" s="272" t="s">
        <v>1099</v>
      </c>
    </row>
    <row r="3894">
      <c r="B3894" s="31"/>
      <c r="G3894" s="272" t="s">
        <v>1099</v>
      </c>
    </row>
    <row r="3895">
      <c r="B3895" s="31"/>
      <c r="G3895" s="272" t="s">
        <v>1099</v>
      </c>
    </row>
    <row r="3896">
      <c r="B3896" s="31"/>
      <c r="G3896" s="272" t="s">
        <v>1099</v>
      </c>
    </row>
    <row r="3897">
      <c r="B3897" s="31"/>
      <c r="G3897" s="272" t="s">
        <v>1099</v>
      </c>
    </row>
    <row r="3898">
      <c r="B3898" s="31"/>
      <c r="G3898" s="272" t="s">
        <v>1099</v>
      </c>
    </row>
    <row r="3899">
      <c r="B3899" s="31"/>
      <c r="G3899" s="272" t="s">
        <v>1099</v>
      </c>
    </row>
    <row r="3900">
      <c r="B3900" s="31"/>
      <c r="G3900" s="272" t="s">
        <v>1099</v>
      </c>
    </row>
    <row r="3901">
      <c r="B3901" s="31"/>
      <c r="G3901" s="272" t="s">
        <v>1099</v>
      </c>
    </row>
    <row r="3902">
      <c r="B3902" s="31"/>
      <c r="G3902" s="272" t="s">
        <v>1099</v>
      </c>
    </row>
    <row r="3903">
      <c r="B3903" s="31"/>
      <c r="G3903" s="272" t="s">
        <v>1099</v>
      </c>
    </row>
    <row r="3904">
      <c r="B3904" s="31"/>
      <c r="G3904" s="272" t="s">
        <v>1099</v>
      </c>
    </row>
    <row r="3905">
      <c r="B3905" s="31"/>
      <c r="G3905" s="272" t="s">
        <v>1099</v>
      </c>
    </row>
    <row r="3906">
      <c r="B3906" s="31"/>
      <c r="G3906" s="272" t="s">
        <v>1099</v>
      </c>
    </row>
    <row r="3907">
      <c r="B3907" s="31"/>
      <c r="G3907" s="272" t="s">
        <v>1099</v>
      </c>
    </row>
    <row r="3908">
      <c r="B3908" s="31"/>
      <c r="G3908" s="272" t="s">
        <v>1099</v>
      </c>
    </row>
    <row r="3909">
      <c r="B3909" s="31"/>
      <c r="G3909" s="272" t="s">
        <v>1099</v>
      </c>
    </row>
    <row r="3910">
      <c r="B3910" s="31"/>
      <c r="G3910" s="272" t="s">
        <v>1099</v>
      </c>
    </row>
    <row r="3911">
      <c r="B3911" s="31"/>
      <c r="G3911" s="272" t="s">
        <v>1099</v>
      </c>
    </row>
    <row r="3912">
      <c r="B3912" s="31"/>
      <c r="G3912" s="272" t="s">
        <v>1099</v>
      </c>
    </row>
    <row r="3913">
      <c r="B3913" s="31"/>
      <c r="G3913" s="272" t="s">
        <v>1099</v>
      </c>
    </row>
    <row r="3914">
      <c r="B3914" s="31"/>
      <c r="G3914" s="272" t="s">
        <v>1099</v>
      </c>
    </row>
    <row r="3915">
      <c r="B3915" s="31"/>
      <c r="G3915" s="272" t="s">
        <v>1099</v>
      </c>
    </row>
    <row r="3916">
      <c r="B3916" s="31"/>
      <c r="G3916" s="272" t="s">
        <v>1099</v>
      </c>
    </row>
    <row r="3917">
      <c r="B3917" s="31"/>
      <c r="G3917" s="272" t="s">
        <v>1099</v>
      </c>
    </row>
    <row r="3918">
      <c r="B3918" s="31"/>
      <c r="G3918" s="272" t="s">
        <v>1099</v>
      </c>
    </row>
    <row r="3919">
      <c r="B3919" s="31"/>
      <c r="G3919" s="272" t="s">
        <v>1099</v>
      </c>
    </row>
    <row r="3920">
      <c r="B3920" s="31"/>
      <c r="G3920" s="272" t="s">
        <v>1099</v>
      </c>
    </row>
    <row r="3921">
      <c r="B3921" s="31"/>
      <c r="G3921" s="272" t="s">
        <v>1099</v>
      </c>
    </row>
    <row r="3922">
      <c r="B3922" s="31"/>
      <c r="G3922" s="272" t="s">
        <v>1099</v>
      </c>
    </row>
    <row r="3923">
      <c r="B3923" s="31"/>
      <c r="G3923" s="272" t="s">
        <v>1099</v>
      </c>
    </row>
    <row r="3924">
      <c r="B3924" s="31"/>
      <c r="G3924" s="272" t="s">
        <v>1099</v>
      </c>
    </row>
    <row r="3925">
      <c r="B3925" s="31"/>
      <c r="G3925" s="272" t="s">
        <v>1099</v>
      </c>
    </row>
    <row r="3926">
      <c r="B3926" s="31"/>
      <c r="G3926" s="272" t="s">
        <v>1099</v>
      </c>
    </row>
    <row r="3927">
      <c r="B3927" s="31"/>
      <c r="G3927" s="272" t="s">
        <v>1099</v>
      </c>
    </row>
    <row r="3928">
      <c r="B3928" s="31"/>
      <c r="G3928" s="272" t="s">
        <v>1099</v>
      </c>
    </row>
    <row r="3929">
      <c r="B3929" s="31"/>
      <c r="G3929" s="272" t="s">
        <v>1099</v>
      </c>
    </row>
    <row r="3930">
      <c r="B3930" s="31"/>
      <c r="G3930" s="272" t="s">
        <v>1099</v>
      </c>
    </row>
    <row r="3931">
      <c r="B3931" s="31"/>
      <c r="G3931" s="272" t="s">
        <v>1099</v>
      </c>
    </row>
    <row r="3932">
      <c r="B3932" s="31"/>
      <c r="G3932" s="272" t="s">
        <v>1099</v>
      </c>
    </row>
    <row r="3933">
      <c r="B3933" s="31"/>
      <c r="G3933" s="272" t="s">
        <v>1099</v>
      </c>
    </row>
    <row r="3934">
      <c r="B3934" s="31"/>
      <c r="G3934" s="272" t="s">
        <v>1099</v>
      </c>
    </row>
    <row r="3935">
      <c r="B3935" s="31"/>
      <c r="G3935" s="272" t="s">
        <v>1099</v>
      </c>
    </row>
    <row r="3936">
      <c r="B3936" s="31"/>
      <c r="G3936" s="272" t="s">
        <v>1099</v>
      </c>
    </row>
    <row r="3937">
      <c r="B3937" s="31"/>
      <c r="G3937" s="272" t="s">
        <v>1099</v>
      </c>
    </row>
    <row r="3938">
      <c r="B3938" s="31"/>
      <c r="G3938" s="272" t="s">
        <v>1099</v>
      </c>
    </row>
    <row r="3939">
      <c r="B3939" s="31"/>
      <c r="G3939" s="272" t="s">
        <v>1099</v>
      </c>
    </row>
    <row r="3940">
      <c r="B3940" s="31"/>
      <c r="G3940" s="272" t="s">
        <v>1099</v>
      </c>
    </row>
    <row r="3941">
      <c r="B3941" s="31"/>
      <c r="G3941" s="272" t="s">
        <v>1099</v>
      </c>
    </row>
    <row r="3942">
      <c r="B3942" s="31"/>
      <c r="G3942" s="272" t="s">
        <v>1099</v>
      </c>
    </row>
    <row r="3943">
      <c r="B3943" s="31"/>
      <c r="G3943" s="272" t="s">
        <v>1099</v>
      </c>
    </row>
    <row r="3944">
      <c r="B3944" s="31"/>
      <c r="G3944" s="272" t="s">
        <v>1099</v>
      </c>
    </row>
    <row r="3945">
      <c r="B3945" s="31"/>
      <c r="G3945" s="272" t="s">
        <v>1099</v>
      </c>
    </row>
    <row r="3946">
      <c r="B3946" s="31"/>
      <c r="G3946" s="272" t="s">
        <v>1099</v>
      </c>
    </row>
    <row r="3947">
      <c r="B3947" s="31"/>
      <c r="G3947" s="272" t="s">
        <v>1099</v>
      </c>
    </row>
    <row r="3948">
      <c r="B3948" s="31"/>
      <c r="G3948" s="272" t="s">
        <v>1099</v>
      </c>
    </row>
    <row r="3949">
      <c r="B3949" s="31"/>
      <c r="G3949" s="272" t="s">
        <v>1099</v>
      </c>
    </row>
    <row r="3950">
      <c r="B3950" s="31"/>
      <c r="G3950" s="272" t="s">
        <v>1099</v>
      </c>
    </row>
    <row r="3951">
      <c r="B3951" s="31"/>
      <c r="G3951" s="272" t="s">
        <v>1099</v>
      </c>
    </row>
    <row r="3952">
      <c r="B3952" s="31"/>
      <c r="G3952" s="272" t="s">
        <v>1099</v>
      </c>
    </row>
    <row r="3953">
      <c r="B3953" s="31"/>
      <c r="G3953" s="272" t="s">
        <v>1099</v>
      </c>
    </row>
    <row r="3954">
      <c r="B3954" s="31"/>
      <c r="G3954" s="272" t="s">
        <v>1099</v>
      </c>
    </row>
    <row r="3955">
      <c r="B3955" s="31"/>
      <c r="G3955" s="272" t="s">
        <v>1099</v>
      </c>
    </row>
    <row r="3956">
      <c r="B3956" s="31"/>
      <c r="G3956" s="272" t="s">
        <v>1099</v>
      </c>
    </row>
    <row r="3957">
      <c r="B3957" s="31"/>
      <c r="G3957" s="272" t="s">
        <v>1099</v>
      </c>
    </row>
    <row r="3958">
      <c r="B3958" s="31"/>
      <c r="G3958" s="272" t="s">
        <v>1099</v>
      </c>
    </row>
    <row r="3959">
      <c r="B3959" s="31"/>
      <c r="G3959" s="272" t="s">
        <v>1099</v>
      </c>
    </row>
    <row r="3960">
      <c r="B3960" s="31"/>
      <c r="G3960" s="272" t="s">
        <v>1099</v>
      </c>
    </row>
    <row r="3961">
      <c r="B3961" s="31"/>
      <c r="G3961" s="272" t="s">
        <v>1099</v>
      </c>
    </row>
    <row r="3962">
      <c r="B3962" s="31"/>
      <c r="G3962" s="272" t="s">
        <v>1099</v>
      </c>
    </row>
    <row r="3963">
      <c r="B3963" s="31"/>
      <c r="G3963" s="272" t="s">
        <v>1099</v>
      </c>
    </row>
    <row r="3964">
      <c r="B3964" s="31"/>
      <c r="G3964" s="272" t="s">
        <v>1099</v>
      </c>
    </row>
    <row r="3965">
      <c r="B3965" s="31"/>
      <c r="G3965" s="272" t="s">
        <v>1099</v>
      </c>
    </row>
    <row r="3966">
      <c r="B3966" s="31"/>
      <c r="G3966" s="272" t="s">
        <v>1099</v>
      </c>
    </row>
    <row r="3967">
      <c r="B3967" s="31"/>
      <c r="G3967" s="272" t="s">
        <v>1099</v>
      </c>
    </row>
    <row r="3968">
      <c r="B3968" s="31"/>
      <c r="G3968" s="272" t="s">
        <v>1099</v>
      </c>
    </row>
    <row r="3969">
      <c r="B3969" s="31"/>
      <c r="G3969" s="272" t="s">
        <v>1099</v>
      </c>
    </row>
    <row r="3970">
      <c r="B3970" s="31"/>
      <c r="G3970" s="272" t="s">
        <v>1099</v>
      </c>
    </row>
    <row r="3971">
      <c r="B3971" s="31"/>
      <c r="G3971" s="272" t="s">
        <v>1099</v>
      </c>
    </row>
    <row r="3972">
      <c r="B3972" s="31"/>
      <c r="G3972" s="272" t="s">
        <v>1099</v>
      </c>
    </row>
    <row r="3973">
      <c r="B3973" s="31"/>
      <c r="G3973" s="272" t="s">
        <v>1099</v>
      </c>
    </row>
    <row r="3974">
      <c r="B3974" s="31"/>
      <c r="G3974" s="272" t="s">
        <v>1099</v>
      </c>
    </row>
    <row r="3975">
      <c r="B3975" s="31"/>
      <c r="G3975" s="272" t="s">
        <v>1099</v>
      </c>
    </row>
    <row r="3976">
      <c r="B3976" s="31"/>
      <c r="G3976" s="272" t="s">
        <v>1099</v>
      </c>
    </row>
    <row r="3977">
      <c r="B3977" s="31"/>
      <c r="G3977" s="272" t="s">
        <v>1099</v>
      </c>
    </row>
    <row r="3978">
      <c r="B3978" s="31"/>
      <c r="G3978" s="272" t="s">
        <v>1099</v>
      </c>
    </row>
    <row r="3979">
      <c r="B3979" s="31"/>
      <c r="G3979" s="272" t="s">
        <v>1099</v>
      </c>
    </row>
    <row r="3980">
      <c r="B3980" s="31"/>
      <c r="G3980" s="272" t="s">
        <v>1099</v>
      </c>
    </row>
    <row r="3981">
      <c r="B3981" s="31"/>
      <c r="G3981" s="272" t="s">
        <v>1099</v>
      </c>
    </row>
    <row r="3982">
      <c r="B3982" s="31"/>
      <c r="G3982" s="272" t="s">
        <v>1099</v>
      </c>
    </row>
    <row r="3983">
      <c r="B3983" s="31"/>
      <c r="G3983" s="272" t="s">
        <v>1099</v>
      </c>
    </row>
    <row r="3984">
      <c r="B3984" s="31"/>
      <c r="G3984" s="272" t="s">
        <v>1099</v>
      </c>
    </row>
    <row r="3985">
      <c r="B3985" s="31"/>
      <c r="G3985" s="272" t="s">
        <v>1099</v>
      </c>
    </row>
    <row r="3986">
      <c r="B3986" s="31"/>
      <c r="G3986" s="272" t="s">
        <v>1099</v>
      </c>
    </row>
    <row r="3987">
      <c r="B3987" s="31"/>
      <c r="G3987" s="272" t="s">
        <v>1099</v>
      </c>
    </row>
    <row r="3988">
      <c r="B3988" s="31"/>
      <c r="G3988" s="272" t="s">
        <v>1099</v>
      </c>
    </row>
    <row r="3989">
      <c r="B3989" s="31"/>
      <c r="G3989" s="272" t="s">
        <v>1099</v>
      </c>
    </row>
    <row r="3990">
      <c r="B3990" s="31"/>
      <c r="G3990" s="272" t="s">
        <v>1099</v>
      </c>
    </row>
    <row r="3991">
      <c r="B3991" s="31"/>
      <c r="G3991" s="272" t="s">
        <v>1099</v>
      </c>
    </row>
    <row r="3992">
      <c r="B3992" s="31"/>
      <c r="G3992" s="272" t="s">
        <v>1099</v>
      </c>
    </row>
    <row r="3993">
      <c r="B3993" s="31"/>
      <c r="G3993" s="272" t="s">
        <v>1099</v>
      </c>
    </row>
    <row r="3994">
      <c r="B3994" s="31"/>
      <c r="G3994" s="272" t="s">
        <v>1099</v>
      </c>
    </row>
    <row r="3995">
      <c r="B3995" s="31"/>
      <c r="G3995" s="272" t="s">
        <v>1099</v>
      </c>
    </row>
    <row r="3996">
      <c r="B3996" s="31"/>
      <c r="G3996" s="272" t="s">
        <v>1099</v>
      </c>
    </row>
    <row r="3997">
      <c r="B3997" s="31"/>
      <c r="G3997" s="272" t="s">
        <v>1099</v>
      </c>
    </row>
    <row r="3998">
      <c r="B3998" s="31"/>
      <c r="G3998" s="272" t="s">
        <v>1099</v>
      </c>
    </row>
    <row r="3999">
      <c r="B3999" s="31"/>
      <c r="G3999" s="272" t="s">
        <v>1099</v>
      </c>
    </row>
    <row r="4000">
      <c r="B4000" s="31"/>
      <c r="G4000" s="272" t="s">
        <v>1099</v>
      </c>
    </row>
    <row r="4001">
      <c r="B4001" s="31"/>
      <c r="G4001" s="272" t="s">
        <v>1099</v>
      </c>
    </row>
    <row r="4002">
      <c r="B4002" s="31"/>
      <c r="G4002" s="272" t="s">
        <v>1099</v>
      </c>
    </row>
    <row r="4003">
      <c r="B4003" s="31"/>
      <c r="G4003" s="272" t="s">
        <v>1099</v>
      </c>
    </row>
    <row r="4004">
      <c r="B4004" s="31"/>
      <c r="G4004" s="272" t="s">
        <v>1099</v>
      </c>
    </row>
    <row r="4005">
      <c r="B4005" s="31"/>
      <c r="G4005" s="272" t="s">
        <v>1099</v>
      </c>
    </row>
    <row r="4006">
      <c r="B4006" s="31"/>
      <c r="G4006" s="272" t="s">
        <v>1099</v>
      </c>
    </row>
    <row r="4007">
      <c r="B4007" s="31"/>
      <c r="G4007" s="272" t="s">
        <v>1099</v>
      </c>
    </row>
    <row r="4008">
      <c r="B4008" s="31"/>
      <c r="G4008" s="272" t="s">
        <v>1099</v>
      </c>
    </row>
    <row r="4009">
      <c r="B4009" s="31"/>
      <c r="G4009" s="272" t="s">
        <v>1099</v>
      </c>
    </row>
    <row r="4010">
      <c r="B4010" s="31"/>
      <c r="G4010" s="272" t="s">
        <v>1099</v>
      </c>
    </row>
    <row r="4011">
      <c r="B4011" s="31"/>
      <c r="G4011" s="272" t="s">
        <v>1099</v>
      </c>
    </row>
    <row r="4012">
      <c r="B4012" s="31"/>
      <c r="G4012" s="272" t="s">
        <v>1099</v>
      </c>
    </row>
    <row r="4013">
      <c r="B4013" s="31"/>
      <c r="G4013" s="272" t="s">
        <v>1099</v>
      </c>
    </row>
    <row r="4014">
      <c r="B4014" s="31"/>
      <c r="G4014" s="272" t="s">
        <v>1099</v>
      </c>
    </row>
    <row r="4015">
      <c r="B4015" s="31"/>
      <c r="G4015" s="272" t="s">
        <v>1099</v>
      </c>
    </row>
    <row r="4016">
      <c r="B4016" s="31"/>
      <c r="G4016" s="272" t="s">
        <v>1099</v>
      </c>
    </row>
    <row r="4017">
      <c r="B4017" s="31"/>
      <c r="G4017" s="272" t="s">
        <v>1099</v>
      </c>
    </row>
    <row r="4018">
      <c r="B4018" s="31"/>
      <c r="G4018" s="272" t="s">
        <v>1099</v>
      </c>
    </row>
    <row r="4019">
      <c r="B4019" s="31"/>
      <c r="G4019" s="272" t="s">
        <v>1099</v>
      </c>
    </row>
    <row r="4020">
      <c r="B4020" s="31"/>
      <c r="G4020" s="272" t="s">
        <v>1099</v>
      </c>
    </row>
    <row r="4021">
      <c r="B4021" s="31"/>
      <c r="G4021" s="272" t="s">
        <v>1099</v>
      </c>
    </row>
    <row r="4022">
      <c r="B4022" s="31"/>
      <c r="G4022" s="272" t="s">
        <v>1099</v>
      </c>
    </row>
    <row r="4023">
      <c r="B4023" s="31"/>
      <c r="G4023" s="272" t="s">
        <v>1099</v>
      </c>
    </row>
    <row r="4024">
      <c r="B4024" s="31"/>
      <c r="G4024" s="272" t="s">
        <v>1099</v>
      </c>
    </row>
    <row r="4025">
      <c r="B4025" s="31"/>
      <c r="G4025" s="272" t="s">
        <v>1099</v>
      </c>
    </row>
    <row r="4026">
      <c r="B4026" s="31"/>
      <c r="G4026" s="272" t="s">
        <v>1099</v>
      </c>
    </row>
    <row r="4027">
      <c r="B4027" s="31"/>
      <c r="G4027" s="272" t="s">
        <v>1099</v>
      </c>
    </row>
    <row r="4028">
      <c r="B4028" s="31"/>
      <c r="G4028" s="272" t="s">
        <v>1099</v>
      </c>
    </row>
    <row r="4029">
      <c r="B4029" s="31"/>
      <c r="G4029" s="272" t="s">
        <v>1099</v>
      </c>
    </row>
    <row r="4030">
      <c r="B4030" s="31"/>
      <c r="G4030" s="272" t="s">
        <v>1099</v>
      </c>
    </row>
    <row r="4031">
      <c r="B4031" s="31"/>
      <c r="G4031" s="272" t="s">
        <v>1099</v>
      </c>
    </row>
    <row r="4032">
      <c r="B4032" s="31"/>
      <c r="G4032" s="272" t="s">
        <v>1099</v>
      </c>
    </row>
    <row r="4033">
      <c r="B4033" s="31"/>
      <c r="G4033" s="272" t="s">
        <v>1099</v>
      </c>
    </row>
    <row r="4034">
      <c r="B4034" s="31"/>
      <c r="G4034" s="272" t="s">
        <v>1099</v>
      </c>
    </row>
    <row r="4035">
      <c r="B4035" s="31"/>
      <c r="G4035" s="272" t="s">
        <v>1099</v>
      </c>
    </row>
    <row r="4036">
      <c r="B4036" s="31"/>
      <c r="G4036" s="272" t="s">
        <v>1099</v>
      </c>
    </row>
    <row r="4037">
      <c r="B4037" s="31"/>
      <c r="G4037" s="272" t="s">
        <v>1099</v>
      </c>
    </row>
    <row r="4038">
      <c r="B4038" s="31"/>
      <c r="G4038" s="272" t="s">
        <v>1099</v>
      </c>
    </row>
    <row r="4039">
      <c r="B4039" s="31"/>
      <c r="G4039" s="272" t="s">
        <v>1099</v>
      </c>
    </row>
    <row r="4040">
      <c r="B4040" s="31"/>
      <c r="G4040" s="272" t="s">
        <v>1099</v>
      </c>
    </row>
    <row r="4041">
      <c r="B4041" s="31"/>
      <c r="G4041" s="272" t="s">
        <v>1099</v>
      </c>
    </row>
    <row r="4042">
      <c r="B4042" s="31"/>
      <c r="G4042" s="272" t="s">
        <v>1099</v>
      </c>
    </row>
    <row r="4043">
      <c r="B4043" s="31"/>
      <c r="G4043" s="272" t="s">
        <v>1099</v>
      </c>
    </row>
    <row r="4044">
      <c r="B4044" s="31"/>
      <c r="G4044" s="272" t="s">
        <v>1099</v>
      </c>
    </row>
    <row r="4045">
      <c r="B4045" s="31"/>
      <c r="G4045" s="272" t="s">
        <v>1099</v>
      </c>
    </row>
    <row r="4046">
      <c r="B4046" s="31"/>
      <c r="G4046" s="272" t="s">
        <v>1099</v>
      </c>
    </row>
    <row r="4047">
      <c r="B4047" s="31"/>
      <c r="G4047" s="272" t="s">
        <v>1099</v>
      </c>
    </row>
    <row r="4048">
      <c r="B4048" s="31"/>
      <c r="G4048" s="272" t="s">
        <v>1099</v>
      </c>
    </row>
    <row r="4049">
      <c r="B4049" s="31"/>
      <c r="G4049" s="272" t="s">
        <v>1099</v>
      </c>
    </row>
    <row r="4050">
      <c r="B4050" s="31"/>
      <c r="G4050" s="272" t="s">
        <v>1099</v>
      </c>
    </row>
    <row r="4051">
      <c r="B4051" s="31"/>
      <c r="G4051" s="272" t="s">
        <v>1099</v>
      </c>
    </row>
    <row r="4052">
      <c r="B4052" s="31"/>
      <c r="G4052" s="272" t="s">
        <v>1099</v>
      </c>
    </row>
    <row r="4053">
      <c r="B4053" s="31"/>
      <c r="G4053" s="272" t="s">
        <v>1099</v>
      </c>
    </row>
    <row r="4054">
      <c r="B4054" s="31"/>
      <c r="G4054" s="272" t="s">
        <v>1099</v>
      </c>
    </row>
    <row r="4055">
      <c r="B4055" s="31"/>
      <c r="G4055" s="272" t="s">
        <v>1099</v>
      </c>
    </row>
    <row r="4056">
      <c r="B4056" s="31"/>
      <c r="G4056" s="272" t="s">
        <v>1099</v>
      </c>
    </row>
    <row r="4057">
      <c r="B4057" s="31"/>
      <c r="G4057" s="272" t="s">
        <v>1099</v>
      </c>
    </row>
    <row r="4058">
      <c r="B4058" s="31"/>
      <c r="G4058" s="272" t="s">
        <v>1099</v>
      </c>
    </row>
    <row r="4059">
      <c r="B4059" s="31"/>
      <c r="G4059" s="272" t="s">
        <v>1099</v>
      </c>
    </row>
    <row r="4060">
      <c r="B4060" s="31"/>
      <c r="G4060" s="272" t="s">
        <v>1099</v>
      </c>
    </row>
    <row r="4061">
      <c r="B4061" s="31"/>
      <c r="G4061" s="272" t="s">
        <v>1099</v>
      </c>
    </row>
    <row r="4062">
      <c r="B4062" s="31"/>
      <c r="G4062" s="272" t="s">
        <v>1099</v>
      </c>
    </row>
    <row r="4063">
      <c r="B4063" s="31"/>
      <c r="G4063" s="272" t="s">
        <v>1099</v>
      </c>
    </row>
    <row r="4064">
      <c r="B4064" s="31"/>
      <c r="G4064" s="272" t="s">
        <v>1099</v>
      </c>
    </row>
    <row r="4065">
      <c r="B4065" s="31"/>
      <c r="G4065" s="272" t="s">
        <v>1099</v>
      </c>
    </row>
    <row r="4066">
      <c r="B4066" s="31"/>
      <c r="G4066" s="272" t="s">
        <v>1099</v>
      </c>
    </row>
    <row r="4067">
      <c r="B4067" s="31"/>
      <c r="G4067" s="272" t="s">
        <v>1099</v>
      </c>
    </row>
    <row r="4068">
      <c r="B4068" s="31"/>
      <c r="G4068" s="272" t="s">
        <v>1099</v>
      </c>
    </row>
    <row r="4069">
      <c r="B4069" s="31"/>
      <c r="G4069" s="272" t="s">
        <v>1099</v>
      </c>
    </row>
    <row r="4070">
      <c r="B4070" s="31"/>
      <c r="G4070" s="272" t="s">
        <v>1099</v>
      </c>
    </row>
    <row r="4071">
      <c r="B4071" s="31"/>
      <c r="G4071" s="272" t="s">
        <v>1099</v>
      </c>
    </row>
    <row r="4072">
      <c r="B4072" s="31"/>
      <c r="G4072" s="272" t="s">
        <v>1099</v>
      </c>
    </row>
    <row r="4073">
      <c r="B4073" s="31"/>
      <c r="G4073" s="272" t="s">
        <v>1099</v>
      </c>
    </row>
    <row r="4074">
      <c r="B4074" s="31"/>
      <c r="G4074" s="272" t="s">
        <v>1099</v>
      </c>
    </row>
    <row r="4075">
      <c r="B4075" s="31"/>
      <c r="G4075" s="272" t="s">
        <v>1099</v>
      </c>
    </row>
    <row r="4076">
      <c r="B4076" s="31"/>
      <c r="G4076" s="272" t="s">
        <v>1099</v>
      </c>
    </row>
    <row r="4077">
      <c r="B4077" s="31"/>
      <c r="G4077" s="272" t="s">
        <v>1099</v>
      </c>
    </row>
    <row r="4078">
      <c r="B4078" s="31"/>
      <c r="G4078" s="272" t="s">
        <v>1099</v>
      </c>
    </row>
    <row r="4079">
      <c r="B4079" s="31"/>
      <c r="G4079" s="272" t="s">
        <v>1099</v>
      </c>
    </row>
    <row r="4080">
      <c r="B4080" s="31"/>
      <c r="G4080" s="272" t="s">
        <v>1099</v>
      </c>
    </row>
    <row r="4081">
      <c r="B4081" s="31"/>
      <c r="G4081" s="272" t="s">
        <v>1099</v>
      </c>
    </row>
    <row r="4082">
      <c r="B4082" s="31"/>
      <c r="G4082" s="272" t="s">
        <v>1099</v>
      </c>
    </row>
    <row r="4083">
      <c r="B4083" s="31"/>
      <c r="G4083" s="272" t="s">
        <v>1099</v>
      </c>
    </row>
    <row r="4084">
      <c r="B4084" s="31"/>
      <c r="G4084" s="272" t="s">
        <v>1099</v>
      </c>
    </row>
    <row r="4085">
      <c r="B4085" s="31"/>
      <c r="G4085" s="272" t="s">
        <v>1099</v>
      </c>
    </row>
    <row r="4086">
      <c r="B4086" s="31"/>
      <c r="G4086" s="272" t="s">
        <v>1099</v>
      </c>
    </row>
    <row r="4087">
      <c r="B4087" s="31"/>
      <c r="G4087" s="272" t="s">
        <v>1099</v>
      </c>
    </row>
    <row r="4088">
      <c r="B4088" s="31"/>
      <c r="G4088" s="272" t="s">
        <v>1099</v>
      </c>
    </row>
    <row r="4089">
      <c r="B4089" s="31"/>
      <c r="G4089" s="272" t="s">
        <v>1099</v>
      </c>
    </row>
    <row r="4090">
      <c r="B4090" s="31"/>
      <c r="G4090" s="272" t="s">
        <v>1099</v>
      </c>
    </row>
    <row r="4091">
      <c r="B4091" s="31"/>
      <c r="G4091" s="272" t="s">
        <v>1099</v>
      </c>
    </row>
    <row r="4092">
      <c r="B4092" s="31"/>
      <c r="G4092" s="272" t="s">
        <v>1099</v>
      </c>
    </row>
    <row r="4093">
      <c r="B4093" s="31"/>
      <c r="G4093" s="272" t="s">
        <v>1099</v>
      </c>
    </row>
    <row r="4094">
      <c r="B4094" s="31"/>
      <c r="G4094" s="272" t="s">
        <v>1099</v>
      </c>
    </row>
    <row r="4095">
      <c r="B4095" s="31"/>
      <c r="G4095" s="272" t="s">
        <v>1099</v>
      </c>
    </row>
    <row r="4096">
      <c r="B4096" s="31"/>
      <c r="G4096" s="272" t="s">
        <v>1099</v>
      </c>
    </row>
    <row r="4097">
      <c r="B4097" s="31"/>
      <c r="G4097" s="272" t="s">
        <v>1099</v>
      </c>
    </row>
    <row r="4098">
      <c r="B4098" s="31"/>
      <c r="G4098" s="272" t="s">
        <v>1099</v>
      </c>
    </row>
    <row r="4099">
      <c r="B4099" s="31"/>
      <c r="G4099" s="272" t="s">
        <v>1099</v>
      </c>
    </row>
    <row r="4100">
      <c r="B4100" s="31"/>
      <c r="G4100" s="272" t="s">
        <v>1099</v>
      </c>
    </row>
    <row r="4101">
      <c r="B4101" s="31"/>
      <c r="G4101" s="272" t="s">
        <v>1099</v>
      </c>
    </row>
    <row r="4102">
      <c r="B4102" s="31"/>
      <c r="G4102" s="272" t="s">
        <v>1099</v>
      </c>
    </row>
    <row r="4103">
      <c r="B4103" s="31"/>
      <c r="G4103" s="272" t="s">
        <v>1099</v>
      </c>
    </row>
    <row r="4104">
      <c r="B4104" s="31"/>
      <c r="G4104" s="272" t="s">
        <v>1099</v>
      </c>
    </row>
    <row r="4105">
      <c r="B4105" s="31"/>
      <c r="G4105" s="272" t="s">
        <v>1099</v>
      </c>
    </row>
    <row r="4106">
      <c r="B4106" s="31"/>
      <c r="G4106" s="272" t="s">
        <v>1099</v>
      </c>
    </row>
    <row r="4107">
      <c r="B4107" s="31"/>
      <c r="G4107" s="272" t="s">
        <v>1099</v>
      </c>
    </row>
    <row r="4108">
      <c r="B4108" s="31"/>
      <c r="G4108" s="272" t="s">
        <v>1099</v>
      </c>
    </row>
    <row r="4109">
      <c r="B4109" s="31"/>
      <c r="G4109" s="272" t="s">
        <v>1099</v>
      </c>
    </row>
    <row r="4110">
      <c r="B4110" s="31"/>
      <c r="G4110" s="272" t="s">
        <v>1099</v>
      </c>
    </row>
    <row r="4111">
      <c r="B4111" s="31"/>
      <c r="G4111" s="272" t="s">
        <v>1099</v>
      </c>
    </row>
    <row r="4112">
      <c r="B4112" s="31"/>
      <c r="G4112" s="272" t="s">
        <v>1099</v>
      </c>
    </row>
    <row r="4113">
      <c r="B4113" s="31"/>
      <c r="G4113" s="272" t="s">
        <v>1099</v>
      </c>
    </row>
    <row r="4114">
      <c r="B4114" s="31"/>
      <c r="G4114" s="272" t="s">
        <v>1099</v>
      </c>
    </row>
    <row r="4115">
      <c r="B4115" s="31"/>
      <c r="G4115" s="272" t="s">
        <v>1099</v>
      </c>
    </row>
    <row r="4116">
      <c r="B4116" s="31"/>
      <c r="G4116" s="272" t="s">
        <v>1099</v>
      </c>
    </row>
    <row r="4117">
      <c r="B4117" s="31"/>
      <c r="G4117" s="272" t="s">
        <v>1099</v>
      </c>
    </row>
    <row r="4118">
      <c r="B4118" s="31"/>
      <c r="G4118" s="272" t="s">
        <v>1099</v>
      </c>
    </row>
    <row r="4119">
      <c r="B4119" s="31"/>
      <c r="G4119" s="272" t="s">
        <v>1099</v>
      </c>
    </row>
    <row r="4120">
      <c r="B4120" s="31"/>
      <c r="G4120" s="272" t="s">
        <v>1099</v>
      </c>
    </row>
    <row r="4121">
      <c r="B4121" s="31"/>
      <c r="G4121" s="272" t="s">
        <v>1099</v>
      </c>
    </row>
    <row r="4122">
      <c r="B4122" s="31"/>
      <c r="G4122" s="272" t="s">
        <v>1099</v>
      </c>
    </row>
    <row r="4123">
      <c r="B4123" s="31"/>
      <c r="G4123" s="272" t="s">
        <v>1099</v>
      </c>
    </row>
    <row r="4124">
      <c r="B4124" s="31"/>
      <c r="G4124" s="272" t="s">
        <v>1099</v>
      </c>
    </row>
    <row r="4125">
      <c r="B4125" s="31"/>
      <c r="G4125" s="272" t="s">
        <v>1099</v>
      </c>
    </row>
    <row r="4126">
      <c r="B4126" s="31"/>
      <c r="G4126" s="272" t="s">
        <v>1099</v>
      </c>
    </row>
    <row r="4127">
      <c r="B4127" s="31"/>
      <c r="G4127" s="272" t="s">
        <v>1099</v>
      </c>
    </row>
    <row r="4128">
      <c r="B4128" s="31"/>
      <c r="G4128" s="272" t="s">
        <v>1099</v>
      </c>
    </row>
    <row r="4129">
      <c r="B4129" s="31"/>
      <c r="G4129" s="272" t="s">
        <v>1099</v>
      </c>
    </row>
    <row r="4130">
      <c r="B4130" s="31"/>
      <c r="G4130" s="272" t="s">
        <v>1099</v>
      </c>
    </row>
    <row r="4131">
      <c r="B4131" s="31"/>
      <c r="G4131" s="272" t="s">
        <v>1099</v>
      </c>
    </row>
    <row r="4132">
      <c r="B4132" s="31"/>
      <c r="G4132" s="272" t="s">
        <v>1099</v>
      </c>
    </row>
    <row r="4133">
      <c r="B4133" s="31"/>
      <c r="G4133" s="272" t="s">
        <v>1099</v>
      </c>
    </row>
    <row r="4134">
      <c r="B4134" s="31"/>
      <c r="G4134" s="272" t="s">
        <v>1099</v>
      </c>
    </row>
    <row r="4135">
      <c r="B4135" s="31"/>
      <c r="G4135" s="272" t="s">
        <v>1099</v>
      </c>
    </row>
    <row r="4136">
      <c r="B4136" s="31"/>
      <c r="G4136" s="272" t="s">
        <v>1099</v>
      </c>
    </row>
    <row r="4137">
      <c r="B4137" s="31"/>
      <c r="G4137" s="272" t="s">
        <v>1099</v>
      </c>
    </row>
    <row r="4138">
      <c r="B4138" s="31"/>
      <c r="G4138" s="272" t="s">
        <v>1099</v>
      </c>
    </row>
    <row r="4139">
      <c r="B4139" s="31"/>
      <c r="G4139" s="272" t="s">
        <v>1099</v>
      </c>
    </row>
    <row r="4140">
      <c r="B4140" s="31"/>
      <c r="G4140" s="272" t="s">
        <v>1099</v>
      </c>
    </row>
    <row r="4141">
      <c r="B4141" s="31"/>
      <c r="G4141" s="272" t="s">
        <v>1099</v>
      </c>
    </row>
    <row r="4142">
      <c r="B4142" s="31"/>
      <c r="G4142" s="272" t="s">
        <v>1099</v>
      </c>
    </row>
    <row r="4143">
      <c r="B4143" s="31"/>
      <c r="G4143" s="272" t="s">
        <v>1099</v>
      </c>
    </row>
    <row r="4144">
      <c r="B4144" s="31"/>
      <c r="G4144" s="272" t="s">
        <v>1099</v>
      </c>
    </row>
    <row r="4145">
      <c r="B4145" s="31"/>
      <c r="G4145" s="272" t="s">
        <v>1099</v>
      </c>
    </row>
    <row r="4146">
      <c r="B4146" s="31"/>
      <c r="G4146" s="272" t="s">
        <v>1099</v>
      </c>
    </row>
    <row r="4147">
      <c r="B4147" s="31"/>
      <c r="G4147" s="272" t="s">
        <v>1099</v>
      </c>
    </row>
    <row r="4148">
      <c r="B4148" s="31"/>
      <c r="G4148" s="272" t="s">
        <v>1099</v>
      </c>
    </row>
    <row r="4149">
      <c r="B4149" s="31"/>
      <c r="G4149" s="272" t="s">
        <v>1099</v>
      </c>
    </row>
    <row r="4150">
      <c r="B4150" s="31"/>
      <c r="G4150" s="272" t="s">
        <v>1099</v>
      </c>
    </row>
    <row r="4151">
      <c r="B4151" s="31"/>
      <c r="G4151" s="272" t="s">
        <v>1099</v>
      </c>
    </row>
    <row r="4152">
      <c r="B4152" s="31"/>
      <c r="G4152" s="272" t="s">
        <v>1099</v>
      </c>
    </row>
    <row r="4153">
      <c r="B4153" s="31"/>
      <c r="G4153" s="272" t="s">
        <v>1099</v>
      </c>
    </row>
    <row r="4154">
      <c r="B4154" s="31"/>
      <c r="G4154" s="272" t="s">
        <v>1099</v>
      </c>
    </row>
    <row r="4155">
      <c r="B4155" s="31"/>
      <c r="G4155" s="272" t="s">
        <v>1099</v>
      </c>
    </row>
    <row r="4156">
      <c r="B4156" s="31"/>
      <c r="G4156" s="272" t="s">
        <v>1099</v>
      </c>
    </row>
    <row r="4157">
      <c r="B4157" s="31"/>
      <c r="G4157" s="272" t="s">
        <v>1099</v>
      </c>
    </row>
    <row r="4158">
      <c r="B4158" s="31"/>
      <c r="G4158" s="272" t="s">
        <v>1099</v>
      </c>
    </row>
    <row r="4159">
      <c r="B4159" s="31"/>
      <c r="G4159" s="272" t="s">
        <v>1099</v>
      </c>
    </row>
    <row r="4160">
      <c r="B4160" s="31"/>
      <c r="G4160" s="272" t="s">
        <v>1099</v>
      </c>
    </row>
    <row r="4161">
      <c r="B4161" s="31"/>
      <c r="G4161" s="272" t="s">
        <v>1099</v>
      </c>
    </row>
    <row r="4162">
      <c r="B4162" s="31"/>
      <c r="G4162" s="272" t="s">
        <v>1099</v>
      </c>
    </row>
    <row r="4163">
      <c r="B4163" s="31"/>
      <c r="G4163" s="272" t="s">
        <v>1099</v>
      </c>
    </row>
    <row r="4164">
      <c r="B4164" s="31"/>
      <c r="G4164" s="272" t="s">
        <v>1099</v>
      </c>
    </row>
    <row r="4165">
      <c r="B4165" s="31"/>
      <c r="G4165" s="272" t="s">
        <v>1099</v>
      </c>
    </row>
    <row r="4166">
      <c r="B4166" s="31"/>
      <c r="G4166" s="272" t="s">
        <v>1099</v>
      </c>
    </row>
    <row r="4167">
      <c r="B4167" s="31"/>
      <c r="G4167" s="272" t="s">
        <v>1099</v>
      </c>
    </row>
    <row r="4168">
      <c r="B4168" s="31"/>
      <c r="G4168" s="272" t="s">
        <v>1099</v>
      </c>
    </row>
    <row r="4169">
      <c r="B4169" s="31"/>
      <c r="G4169" s="272" t="s">
        <v>1099</v>
      </c>
    </row>
    <row r="4170">
      <c r="B4170" s="31"/>
      <c r="G4170" s="272" t="s">
        <v>1099</v>
      </c>
    </row>
    <row r="4171">
      <c r="B4171" s="31"/>
      <c r="G4171" s="272" t="s">
        <v>1099</v>
      </c>
    </row>
    <row r="4172">
      <c r="B4172" s="31"/>
      <c r="G4172" s="272" t="s">
        <v>1099</v>
      </c>
    </row>
    <row r="4173">
      <c r="B4173" s="31"/>
      <c r="G4173" s="272" t="s">
        <v>1099</v>
      </c>
    </row>
    <row r="4174">
      <c r="B4174" s="31"/>
      <c r="G4174" s="272" t="s">
        <v>1099</v>
      </c>
    </row>
    <row r="4175">
      <c r="B4175" s="31"/>
      <c r="G4175" s="272" t="s">
        <v>1099</v>
      </c>
    </row>
    <row r="4176">
      <c r="B4176" s="31"/>
      <c r="G4176" s="272" t="s">
        <v>1099</v>
      </c>
    </row>
    <row r="4177">
      <c r="B4177" s="31"/>
      <c r="G4177" s="272" t="s">
        <v>1099</v>
      </c>
    </row>
    <row r="4178">
      <c r="B4178" s="31"/>
      <c r="G4178" s="272" t="s">
        <v>1099</v>
      </c>
    </row>
    <row r="4179">
      <c r="B4179" s="31"/>
      <c r="G4179" s="272" t="s">
        <v>1099</v>
      </c>
    </row>
    <row r="4180">
      <c r="B4180" s="31"/>
      <c r="G4180" s="272" t="s">
        <v>1099</v>
      </c>
    </row>
    <row r="4181">
      <c r="B4181" s="31"/>
      <c r="G4181" s="272" t="s">
        <v>1099</v>
      </c>
    </row>
    <row r="4182">
      <c r="B4182" s="31"/>
      <c r="G4182" s="272" t="s">
        <v>1099</v>
      </c>
    </row>
    <row r="4183">
      <c r="B4183" s="31"/>
      <c r="G4183" s="272" t="s">
        <v>1099</v>
      </c>
    </row>
    <row r="4184">
      <c r="B4184" s="31"/>
      <c r="G4184" s="272" t="s">
        <v>1099</v>
      </c>
    </row>
    <row r="4185">
      <c r="B4185" s="31"/>
      <c r="G4185" s="272" t="s">
        <v>1099</v>
      </c>
    </row>
    <row r="4186">
      <c r="B4186" s="31"/>
      <c r="G4186" s="272" t="s">
        <v>1099</v>
      </c>
    </row>
    <row r="4187">
      <c r="B4187" s="31"/>
      <c r="G4187" s="272" t="s">
        <v>1099</v>
      </c>
    </row>
    <row r="4188">
      <c r="B4188" s="31"/>
      <c r="G4188" s="272" t="s">
        <v>1099</v>
      </c>
    </row>
    <row r="4189">
      <c r="B4189" s="31"/>
      <c r="G4189" s="272" t="s">
        <v>1099</v>
      </c>
    </row>
    <row r="4190">
      <c r="B4190" s="31"/>
      <c r="G4190" s="272" t="s">
        <v>1099</v>
      </c>
    </row>
    <row r="4191">
      <c r="B4191" s="31"/>
      <c r="G4191" s="272" t="s">
        <v>1099</v>
      </c>
    </row>
    <row r="4192">
      <c r="B4192" s="31"/>
      <c r="G4192" s="272" t="s">
        <v>1099</v>
      </c>
    </row>
    <row r="4193">
      <c r="B4193" s="31"/>
      <c r="G4193" s="272" t="s">
        <v>1099</v>
      </c>
    </row>
    <row r="4194">
      <c r="B4194" s="31"/>
      <c r="G4194" s="272" t="s">
        <v>1099</v>
      </c>
    </row>
    <row r="4195">
      <c r="B4195" s="31"/>
      <c r="G4195" s="272" t="s">
        <v>1099</v>
      </c>
    </row>
    <row r="4196">
      <c r="B4196" s="31"/>
      <c r="G4196" s="272" t="s">
        <v>1099</v>
      </c>
    </row>
    <row r="4197">
      <c r="B4197" s="31"/>
      <c r="G4197" s="272" t="s">
        <v>1099</v>
      </c>
    </row>
    <row r="4198">
      <c r="B4198" s="31"/>
      <c r="G4198" s="272" t="s">
        <v>1099</v>
      </c>
    </row>
    <row r="4199">
      <c r="B4199" s="31"/>
      <c r="G4199" s="272" t="s">
        <v>1099</v>
      </c>
    </row>
    <row r="4200">
      <c r="B4200" s="31"/>
      <c r="G4200" s="272" t="s">
        <v>1099</v>
      </c>
    </row>
    <row r="4201">
      <c r="B4201" s="31"/>
      <c r="G4201" s="272" t="s">
        <v>1099</v>
      </c>
    </row>
    <row r="4202">
      <c r="B4202" s="31"/>
      <c r="G4202" s="272" t="s">
        <v>1099</v>
      </c>
    </row>
    <row r="4203">
      <c r="B4203" s="31"/>
      <c r="G4203" s="272" t="s">
        <v>1099</v>
      </c>
    </row>
    <row r="4204">
      <c r="B4204" s="31"/>
      <c r="G4204" s="272" t="s">
        <v>1099</v>
      </c>
    </row>
    <row r="4205">
      <c r="B4205" s="31"/>
      <c r="G4205" s="272" t="s">
        <v>1099</v>
      </c>
    </row>
    <row r="4206">
      <c r="B4206" s="31"/>
      <c r="G4206" s="272" t="s">
        <v>1099</v>
      </c>
    </row>
    <row r="4207">
      <c r="B4207" s="31"/>
      <c r="G4207" s="272" t="s">
        <v>1099</v>
      </c>
    </row>
    <row r="4208">
      <c r="B4208" s="31"/>
      <c r="G4208" s="272" t="s">
        <v>1099</v>
      </c>
    </row>
    <row r="4209">
      <c r="B4209" s="31"/>
      <c r="G4209" s="272" t="s">
        <v>1099</v>
      </c>
    </row>
    <row r="4210">
      <c r="B4210" s="31"/>
      <c r="G4210" s="272" t="s">
        <v>1099</v>
      </c>
    </row>
    <row r="4211">
      <c r="B4211" s="31"/>
      <c r="G4211" s="272" t="s">
        <v>1099</v>
      </c>
    </row>
    <row r="4212">
      <c r="B4212" s="31"/>
      <c r="G4212" s="272" t="s">
        <v>1099</v>
      </c>
    </row>
    <row r="4213">
      <c r="B4213" s="31"/>
      <c r="G4213" s="272" t="s">
        <v>1099</v>
      </c>
    </row>
    <row r="4214">
      <c r="B4214" s="31"/>
      <c r="G4214" s="272" t="s">
        <v>1099</v>
      </c>
    </row>
    <row r="4215">
      <c r="B4215" s="31"/>
      <c r="G4215" s="272" t="s">
        <v>1099</v>
      </c>
    </row>
    <row r="4216">
      <c r="B4216" s="31"/>
      <c r="G4216" s="272" t="s">
        <v>1099</v>
      </c>
    </row>
    <row r="4217">
      <c r="B4217" s="31"/>
      <c r="G4217" s="272" t="s">
        <v>1099</v>
      </c>
    </row>
    <row r="4218">
      <c r="B4218" s="31"/>
      <c r="G4218" s="272" t="s">
        <v>1099</v>
      </c>
    </row>
    <row r="4219">
      <c r="B4219" s="31"/>
      <c r="G4219" s="272" t="s">
        <v>1099</v>
      </c>
    </row>
    <row r="4220">
      <c r="B4220" s="31"/>
      <c r="G4220" s="272" t="s">
        <v>1099</v>
      </c>
    </row>
    <row r="4221">
      <c r="B4221" s="31"/>
      <c r="G4221" s="272" t="s">
        <v>1099</v>
      </c>
    </row>
    <row r="4222">
      <c r="B4222" s="31"/>
      <c r="G4222" s="272" t="s">
        <v>1099</v>
      </c>
    </row>
    <row r="4223">
      <c r="B4223" s="31"/>
      <c r="G4223" s="272" t="s">
        <v>1099</v>
      </c>
    </row>
    <row r="4224">
      <c r="B4224" s="31"/>
      <c r="G4224" s="272" t="s">
        <v>1099</v>
      </c>
    </row>
    <row r="4225">
      <c r="B4225" s="31"/>
      <c r="G4225" s="272" t="s">
        <v>1099</v>
      </c>
    </row>
    <row r="4226">
      <c r="B4226" s="31"/>
      <c r="G4226" s="272" t="s">
        <v>1099</v>
      </c>
    </row>
    <row r="4227">
      <c r="B4227" s="31"/>
      <c r="G4227" s="272" t="s">
        <v>1099</v>
      </c>
    </row>
    <row r="4228">
      <c r="B4228" s="31"/>
      <c r="G4228" s="272" t="s">
        <v>1099</v>
      </c>
    </row>
    <row r="4229">
      <c r="B4229" s="31"/>
      <c r="G4229" s="272" t="s">
        <v>1099</v>
      </c>
    </row>
    <row r="4230">
      <c r="B4230" s="31"/>
      <c r="G4230" s="272" t="s">
        <v>1099</v>
      </c>
    </row>
    <row r="4231">
      <c r="B4231" s="31"/>
      <c r="G4231" s="272" t="s">
        <v>1099</v>
      </c>
    </row>
    <row r="4232">
      <c r="B4232" s="31"/>
      <c r="G4232" s="272" t="s">
        <v>1099</v>
      </c>
    </row>
    <row r="4233">
      <c r="B4233" s="31"/>
      <c r="G4233" s="272" t="s">
        <v>1099</v>
      </c>
    </row>
    <row r="4234">
      <c r="B4234" s="31"/>
      <c r="G4234" s="272" t="s">
        <v>1099</v>
      </c>
    </row>
    <row r="4235">
      <c r="B4235" s="31"/>
      <c r="G4235" s="272" t="s">
        <v>1099</v>
      </c>
    </row>
    <row r="4236">
      <c r="B4236" s="31"/>
      <c r="G4236" s="272" t="s">
        <v>1099</v>
      </c>
    </row>
    <row r="4237">
      <c r="B4237" s="31"/>
      <c r="G4237" s="272" t="s">
        <v>1099</v>
      </c>
    </row>
    <row r="4238">
      <c r="B4238" s="31"/>
      <c r="G4238" s="272" t="s">
        <v>1099</v>
      </c>
    </row>
    <row r="4239">
      <c r="B4239" s="31"/>
      <c r="G4239" s="272" t="s">
        <v>1099</v>
      </c>
    </row>
    <row r="4240">
      <c r="B4240" s="31"/>
      <c r="G4240" s="272" t="s">
        <v>1099</v>
      </c>
    </row>
    <row r="4241">
      <c r="B4241" s="31"/>
      <c r="G4241" s="272" t="s">
        <v>1099</v>
      </c>
    </row>
    <row r="4242">
      <c r="B4242" s="31"/>
      <c r="G4242" s="272" t="s">
        <v>1099</v>
      </c>
    </row>
    <row r="4243">
      <c r="B4243" s="31"/>
      <c r="G4243" s="272" t="s">
        <v>1099</v>
      </c>
    </row>
    <row r="4244">
      <c r="B4244" s="31"/>
      <c r="G4244" s="272" t="s">
        <v>1099</v>
      </c>
    </row>
    <row r="4245">
      <c r="B4245" s="31"/>
      <c r="G4245" s="272" t="s">
        <v>1099</v>
      </c>
    </row>
    <row r="4246">
      <c r="B4246" s="31"/>
      <c r="G4246" s="272" t="s">
        <v>1099</v>
      </c>
    </row>
    <row r="4247">
      <c r="B4247" s="31"/>
      <c r="G4247" s="272" t="s">
        <v>1099</v>
      </c>
    </row>
    <row r="4248">
      <c r="B4248" s="31"/>
      <c r="G4248" s="272" t="s">
        <v>1099</v>
      </c>
    </row>
    <row r="4249">
      <c r="B4249" s="31"/>
      <c r="G4249" s="272" t="s">
        <v>1099</v>
      </c>
    </row>
    <row r="4250">
      <c r="B4250" s="31"/>
      <c r="G4250" s="272" t="s">
        <v>1099</v>
      </c>
    </row>
    <row r="4251">
      <c r="B4251" s="31"/>
      <c r="G4251" s="272" t="s">
        <v>1099</v>
      </c>
    </row>
    <row r="4252">
      <c r="B4252" s="31"/>
      <c r="G4252" s="272" t="s">
        <v>1099</v>
      </c>
    </row>
    <row r="4253">
      <c r="B4253" s="31"/>
      <c r="G4253" s="272" t="s">
        <v>1099</v>
      </c>
    </row>
    <row r="4254">
      <c r="B4254" s="31"/>
      <c r="G4254" s="272" t="s">
        <v>1099</v>
      </c>
    </row>
    <row r="4255">
      <c r="B4255" s="31"/>
      <c r="G4255" s="272" t="s">
        <v>1099</v>
      </c>
    </row>
    <row r="4256">
      <c r="B4256" s="31"/>
      <c r="G4256" s="272" t="s">
        <v>1099</v>
      </c>
    </row>
    <row r="4257">
      <c r="B4257" s="31"/>
      <c r="G4257" s="272" t="s">
        <v>1099</v>
      </c>
    </row>
    <row r="4258">
      <c r="B4258" s="31"/>
      <c r="G4258" s="272" t="s">
        <v>1099</v>
      </c>
    </row>
    <row r="4259">
      <c r="B4259" s="31"/>
      <c r="G4259" s="272" t="s">
        <v>1099</v>
      </c>
    </row>
    <row r="4260">
      <c r="B4260" s="31"/>
      <c r="G4260" s="272" t="s">
        <v>1099</v>
      </c>
    </row>
    <row r="4261">
      <c r="B4261" s="31"/>
      <c r="G4261" s="272" t="s">
        <v>1099</v>
      </c>
    </row>
    <row r="4262">
      <c r="B4262" s="31"/>
      <c r="G4262" s="272" t="s">
        <v>1099</v>
      </c>
    </row>
    <row r="4263">
      <c r="B4263" s="31"/>
      <c r="G4263" s="272" t="s">
        <v>1099</v>
      </c>
    </row>
    <row r="4264">
      <c r="B4264" s="31"/>
      <c r="G4264" s="272" t="s">
        <v>1099</v>
      </c>
    </row>
    <row r="4265">
      <c r="B4265" s="31"/>
      <c r="G4265" s="272" t="s">
        <v>1099</v>
      </c>
    </row>
    <row r="4266">
      <c r="B4266" s="31"/>
      <c r="G4266" s="272" t="s">
        <v>1099</v>
      </c>
    </row>
    <row r="4267">
      <c r="B4267" s="31"/>
      <c r="G4267" s="272" t="s">
        <v>1099</v>
      </c>
    </row>
    <row r="4268">
      <c r="B4268" s="31"/>
      <c r="G4268" s="272" t="s">
        <v>1099</v>
      </c>
    </row>
    <row r="4269">
      <c r="B4269" s="31"/>
      <c r="G4269" s="272" t="s">
        <v>1099</v>
      </c>
    </row>
    <row r="4270">
      <c r="B4270" s="31"/>
      <c r="G4270" s="272" t="s">
        <v>1099</v>
      </c>
    </row>
    <row r="4271">
      <c r="B4271" s="31"/>
      <c r="G4271" s="272" t="s">
        <v>1099</v>
      </c>
    </row>
    <row r="4272">
      <c r="B4272" s="31"/>
      <c r="G4272" s="272" t="s">
        <v>1099</v>
      </c>
    </row>
    <row r="4273">
      <c r="B4273" s="31"/>
      <c r="G4273" s="272" t="s">
        <v>1099</v>
      </c>
    </row>
    <row r="4274">
      <c r="B4274" s="31"/>
      <c r="G4274" s="272" t="s">
        <v>1099</v>
      </c>
    </row>
    <row r="4275">
      <c r="B4275" s="31"/>
      <c r="G4275" s="272" t="s">
        <v>1099</v>
      </c>
    </row>
    <row r="4276">
      <c r="B4276" s="31"/>
      <c r="G4276" s="272" t="s">
        <v>1099</v>
      </c>
    </row>
    <row r="4277">
      <c r="B4277" s="31"/>
      <c r="G4277" s="272" t="s">
        <v>1099</v>
      </c>
    </row>
    <row r="4278">
      <c r="B4278" s="31"/>
      <c r="G4278" s="272" t="s">
        <v>1099</v>
      </c>
    </row>
    <row r="4279">
      <c r="B4279" s="31"/>
      <c r="G4279" s="272" t="s">
        <v>1099</v>
      </c>
    </row>
    <row r="4280">
      <c r="B4280" s="31"/>
      <c r="G4280" s="272" t="s">
        <v>1099</v>
      </c>
    </row>
    <row r="4281">
      <c r="B4281" s="31"/>
      <c r="G4281" s="272" t="s">
        <v>1099</v>
      </c>
    </row>
    <row r="4282">
      <c r="B4282" s="31"/>
      <c r="G4282" s="272" t="s">
        <v>1099</v>
      </c>
    </row>
    <row r="4283">
      <c r="B4283" s="31"/>
      <c r="G4283" s="272" t="s">
        <v>1099</v>
      </c>
    </row>
    <row r="4284">
      <c r="B4284" s="31"/>
      <c r="G4284" s="272" t="s">
        <v>1099</v>
      </c>
    </row>
    <row r="4285">
      <c r="B4285" s="31"/>
      <c r="G4285" s="272" t="s">
        <v>1099</v>
      </c>
    </row>
    <row r="4286">
      <c r="B4286" s="31"/>
      <c r="G4286" s="272" t="s">
        <v>1099</v>
      </c>
    </row>
    <row r="4287">
      <c r="B4287" s="31"/>
      <c r="G4287" s="272" t="s">
        <v>1099</v>
      </c>
    </row>
    <row r="4288">
      <c r="B4288" s="31"/>
      <c r="G4288" s="272" t="s">
        <v>1099</v>
      </c>
    </row>
    <row r="4289">
      <c r="B4289" s="31"/>
      <c r="G4289" s="272" t="s">
        <v>1099</v>
      </c>
    </row>
    <row r="4290">
      <c r="B4290" s="31"/>
      <c r="G4290" s="272" t="s">
        <v>1099</v>
      </c>
    </row>
    <row r="4291">
      <c r="B4291" s="31"/>
      <c r="G4291" s="272" t="s">
        <v>1099</v>
      </c>
    </row>
    <row r="4292">
      <c r="B4292" s="31"/>
      <c r="G4292" s="272" t="s">
        <v>1099</v>
      </c>
    </row>
    <row r="4293">
      <c r="B4293" s="31"/>
      <c r="G4293" s="272" t="s">
        <v>1099</v>
      </c>
    </row>
    <row r="4294">
      <c r="B4294" s="31"/>
      <c r="G4294" s="272" t="s">
        <v>1099</v>
      </c>
    </row>
    <row r="4295">
      <c r="B4295" s="31"/>
      <c r="G4295" s="272" t="s">
        <v>1099</v>
      </c>
    </row>
    <row r="4296">
      <c r="B4296" s="31"/>
      <c r="G4296" s="272" t="s">
        <v>1099</v>
      </c>
    </row>
    <row r="4297">
      <c r="B4297" s="31"/>
      <c r="G4297" s="272" t="s">
        <v>1099</v>
      </c>
    </row>
    <row r="4298">
      <c r="B4298" s="31"/>
      <c r="G4298" s="272" t="s">
        <v>1099</v>
      </c>
    </row>
    <row r="4299">
      <c r="B4299" s="31"/>
      <c r="G4299" s="272" t="s">
        <v>1099</v>
      </c>
    </row>
    <row r="4300">
      <c r="B4300" s="31"/>
      <c r="G4300" s="272" t="s">
        <v>1099</v>
      </c>
    </row>
    <row r="4301">
      <c r="B4301" s="31"/>
      <c r="G4301" s="272" t="s">
        <v>1099</v>
      </c>
    </row>
    <row r="4302">
      <c r="B4302" s="31"/>
      <c r="G4302" s="272" t="s">
        <v>1099</v>
      </c>
    </row>
    <row r="4303">
      <c r="B4303" s="31"/>
      <c r="G4303" s="272" t="s">
        <v>1099</v>
      </c>
    </row>
    <row r="4304">
      <c r="B4304" s="31"/>
      <c r="G4304" s="272" t="s">
        <v>1099</v>
      </c>
    </row>
    <row r="4305">
      <c r="B4305" s="31"/>
      <c r="G4305" s="272" t="s">
        <v>1099</v>
      </c>
    </row>
    <row r="4306">
      <c r="B4306" s="31"/>
      <c r="G4306" s="272" t="s">
        <v>1099</v>
      </c>
    </row>
    <row r="4307">
      <c r="B4307" s="31"/>
      <c r="G4307" s="272" t="s">
        <v>1099</v>
      </c>
    </row>
    <row r="4308">
      <c r="B4308" s="31"/>
      <c r="G4308" s="272" t="s">
        <v>1099</v>
      </c>
    </row>
    <row r="4309">
      <c r="B4309" s="31"/>
      <c r="G4309" s="272" t="s">
        <v>1099</v>
      </c>
    </row>
    <row r="4310">
      <c r="B4310" s="31"/>
      <c r="G4310" s="272" t="s">
        <v>1099</v>
      </c>
    </row>
    <row r="4311">
      <c r="B4311" s="31"/>
      <c r="G4311" s="272" t="s">
        <v>1099</v>
      </c>
    </row>
    <row r="4312">
      <c r="B4312" s="31"/>
      <c r="G4312" s="272" t="s">
        <v>1099</v>
      </c>
    </row>
    <row r="4313">
      <c r="B4313" s="31"/>
      <c r="G4313" s="272" t="s">
        <v>1099</v>
      </c>
    </row>
    <row r="4314">
      <c r="B4314" s="31"/>
      <c r="G4314" s="272" t="s">
        <v>1099</v>
      </c>
    </row>
    <row r="4315">
      <c r="B4315" s="31"/>
      <c r="G4315" s="272" t="s">
        <v>1099</v>
      </c>
    </row>
    <row r="4316">
      <c r="B4316" s="31"/>
      <c r="G4316" s="272" t="s">
        <v>1099</v>
      </c>
    </row>
    <row r="4317">
      <c r="B4317" s="31"/>
      <c r="G4317" s="272" t="s">
        <v>1099</v>
      </c>
    </row>
    <row r="4318">
      <c r="B4318" s="31"/>
      <c r="G4318" s="272" t="s">
        <v>1099</v>
      </c>
    </row>
    <row r="4319">
      <c r="B4319" s="31"/>
      <c r="G4319" s="272" t="s">
        <v>1099</v>
      </c>
    </row>
    <row r="4320">
      <c r="B4320" s="31"/>
      <c r="G4320" s="272" t="s">
        <v>1099</v>
      </c>
    </row>
    <row r="4321">
      <c r="B4321" s="31"/>
      <c r="G4321" s="272" t="s">
        <v>1099</v>
      </c>
    </row>
    <row r="4322">
      <c r="B4322" s="31"/>
      <c r="G4322" s="272" t="s">
        <v>1099</v>
      </c>
    </row>
    <row r="4323">
      <c r="B4323" s="31"/>
      <c r="G4323" s="272" t="s">
        <v>1099</v>
      </c>
    </row>
    <row r="4324">
      <c r="B4324" s="31"/>
      <c r="G4324" s="272" t="s">
        <v>1099</v>
      </c>
    </row>
    <row r="4325">
      <c r="B4325" s="31"/>
      <c r="G4325" s="272" t="s">
        <v>1099</v>
      </c>
    </row>
    <row r="4326">
      <c r="B4326" s="31"/>
      <c r="G4326" s="272" t="s">
        <v>1099</v>
      </c>
    </row>
    <row r="4327">
      <c r="B4327" s="31"/>
      <c r="G4327" s="272" t="s">
        <v>1099</v>
      </c>
    </row>
    <row r="4328">
      <c r="B4328" s="31"/>
      <c r="G4328" s="272" t="s">
        <v>1099</v>
      </c>
    </row>
    <row r="4329">
      <c r="B4329" s="31"/>
      <c r="G4329" s="272" t="s">
        <v>1099</v>
      </c>
    </row>
    <row r="4330">
      <c r="B4330" s="31"/>
      <c r="G4330" s="272" t="s">
        <v>1099</v>
      </c>
    </row>
    <row r="4331">
      <c r="B4331" s="31"/>
      <c r="G4331" s="272" t="s">
        <v>1099</v>
      </c>
    </row>
    <row r="4332">
      <c r="B4332" s="31"/>
      <c r="G4332" s="272" t="s">
        <v>1099</v>
      </c>
    </row>
    <row r="4333">
      <c r="B4333" s="31"/>
      <c r="G4333" s="272" t="s">
        <v>1099</v>
      </c>
    </row>
    <row r="4334">
      <c r="B4334" s="31"/>
      <c r="G4334" s="272" t="s">
        <v>1099</v>
      </c>
    </row>
    <row r="4335">
      <c r="B4335" s="31"/>
      <c r="G4335" s="272" t="s">
        <v>1099</v>
      </c>
    </row>
    <row r="4336">
      <c r="B4336" s="31"/>
      <c r="G4336" s="272" t="s">
        <v>1099</v>
      </c>
    </row>
    <row r="4337">
      <c r="B4337" s="31"/>
      <c r="G4337" s="272" t="s">
        <v>1099</v>
      </c>
    </row>
    <row r="4338">
      <c r="B4338" s="31"/>
      <c r="G4338" s="272" t="s">
        <v>1099</v>
      </c>
    </row>
    <row r="4339">
      <c r="B4339" s="31"/>
      <c r="G4339" s="272" t="s">
        <v>1099</v>
      </c>
    </row>
    <row r="4340">
      <c r="B4340" s="31"/>
      <c r="G4340" s="272" t="s">
        <v>1099</v>
      </c>
    </row>
    <row r="4341">
      <c r="B4341" s="31"/>
      <c r="G4341" s="272" t="s">
        <v>1099</v>
      </c>
    </row>
    <row r="4342">
      <c r="B4342" s="31"/>
      <c r="G4342" s="272" t="s">
        <v>1099</v>
      </c>
    </row>
    <row r="4343">
      <c r="B4343" s="31"/>
      <c r="G4343" s="272" t="s">
        <v>1099</v>
      </c>
    </row>
    <row r="4344">
      <c r="B4344" s="31"/>
      <c r="G4344" s="272" t="s">
        <v>1099</v>
      </c>
    </row>
    <row r="4345">
      <c r="B4345" s="31"/>
      <c r="G4345" s="272" t="s">
        <v>1099</v>
      </c>
    </row>
    <row r="4346">
      <c r="B4346" s="31"/>
      <c r="G4346" s="272" t="s">
        <v>1099</v>
      </c>
    </row>
    <row r="4347">
      <c r="B4347" s="31"/>
      <c r="G4347" s="272" t="s">
        <v>1099</v>
      </c>
    </row>
    <row r="4348">
      <c r="B4348" s="31"/>
      <c r="G4348" s="272" t="s">
        <v>1099</v>
      </c>
    </row>
    <row r="4349">
      <c r="B4349" s="31"/>
      <c r="G4349" s="272" t="s">
        <v>1099</v>
      </c>
    </row>
    <row r="4350">
      <c r="B4350" s="31"/>
      <c r="G4350" s="272" t="s">
        <v>1099</v>
      </c>
    </row>
    <row r="4351">
      <c r="B4351" s="31"/>
      <c r="G4351" s="272" t="s">
        <v>1099</v>
      </c>
    </row>
    <row r="4352">
      <c r="B4352" s="31"/>
      <c r="G4352" s="272" t="s">
        <v>1099</v>
      </c>
    </row>
    <row r="4353">
      <c r="B4353" s="31"/>
      <c r="G4353" s="272" t="s">
        <v>1099</v>
      </c>
    </row>
    <row r="4354">
      <c r="B4354" s="31"/>
      <c r="G4354" s="272" t="s">
        <v>1099</v>
      </c>
    </row>
    <row r="4355">
      <c r="B4355" s="31"/>
      <c r="G4355" s="272" t="s">
        <v>1099</v>
      </c>
    </row>
    <row r="4356">
      <c r="B4356" s="31"/>
      <c r="G4356" s="272" t="s">
        <v>1099</v>
      </c>
    </row>
    <row r="4357">
      <c r="B4357" s="31"/>
      <c r="G4357" s="272" t="s">
        <v>1099</v>
      </c>
    </row>
    <row r="4358">
      <c r="B4358" s="31"/>
      <c r="G4358" s="272" t="s">
        <v>1099</v>
      </c>
    </row>
    <row r="4359">
      <c r="B4359" s="31"/>
      <c r="G4359" s="272" t="s">
        <v>1099</v>
      </c>
    </row>
    <row r="4360">
      <c r="B4360" s="31"/>
      <c r="G4360" s="272" t="s">
        <v>1099</v>
      </c>
    </row>
    <row r="4361">
      <c r="B4361" s="31"/>
      <c r="G4361" s="272" t="s">
        <v>1099</v>
      </c>
    </row>
    <row r="4362">
      <c r="B4362" s="31"/>
      <c r="G4362" s="272" t="s">
        <v>1099</v>
      </c>
    </row>
    <row r="4363">
      <c r="B4363" s="31"/>
      <c r="G4363" s="272" t="s">
        <v>1099</v>
      </c>
    </row>
    <row r="4364">
      <c r="B4364" s="31"/>
      <c r="G4364" s="272" t="s">
        <v>1099</v>
      </c>
    </row>
    <row r="4365">
      <c r="B4365" s="31"/>
      <c r="G4365" s="272" t="s">
        <v>1099</v>
      </c>
    </row>
    <row r="4366">
      <c r="B4366" s="31"/>
      <c r="G4366" s="272" t="s">
        <v>1099</v>
      </c>
    </row>
    <row r="4367">
      <c r="B4367" s="31"/>
      <c r="G4367" s="272" t="s">
        <v>1099</v>
      </c>
    </row>
    <row r="4368">
      <c r="B4368" s="31"/>
      <c r="G4368" s="272" t="s">
        <v>1099</v>
      </c>
    </row>
    <row r="4369">
      <c r="B4369" s="31"/>
      <c r="G4369" s="272" t="s">
        <v>1099</v>
      </c>
    </row>
    <row r="4370">
      <c r="B4370" s="31"/>
      <c r="G4370" s="272" t="s">
        <v>1099</v>
      </c>
    </row>
    <row r="4371">
      <c r="B4371" s="31"/>
      <c r="G4371" s="272" t="s">
        <v>1099</v>
      </c>
    </row>
    <row r="4372">
      <c r="B4372" s="31"/>
      <c r="G4372" s="272" t="s">
        <v>1099</v>
      </c>
    </row>
    <row r="4373">
      <c r="B4373" s="31"/>
      <c r="G4373" s="272" t="s">
        <v>1099</v>
      </c>
    </row>
    <row r="4374">
      <c r="B4374" s="31"/>
      <c r="G4374" s="272" t="s">
        <v>1099</v>
      </c>
    </row>
    <row r="4375">
      <c r="B4375" s="31"/>
      <c r="G4375" s="272" t="s">
        <v>1099</v>
      </c>
    </row>
    <row r="4376">
      <c r="B4376" s="31"/>
      <c r="G4376" s="272" t="s">
        <v>1099</v>
      </c>
    </row>
    <row r="4377">
      <c r="B4377" s="31"/>
      <c r="G4377" s="272" t="s">
        <v>1099</v>
      </c>
    </row>
    <row r="4378">
      <c r="B4378" s="31"/>
      <c r="G4378" s="272" t="s">
        <v>1099</v>
      </c>
    </row>
    <row r="4379">
      <c r="B4379" s="31"/>
      <c r="G4379" s="272" t="s">
        <v>1099</v>
      </c>
    </row>
    <row r="4380">
      <c r="B4380" s="31"/>
      <c r="G4380" s="272" t="s">
        <v>1099</v>
      </c>
    </row>
    <row r="4381">
      <c r="B4381" s="31"/>
      <c r="G4381" s="272" t="s">
        <v>1099</v>
      </c>
    </row>
    <row r="4382">
      <c r="B4382" s="31"/>
      <c r="G4382" s="272" t="s">
        <v>1099</v>
      </c>
    </row>
    <row r="4383">
      <c r="B4383" s="31"/>
      <c r="G4383" s="272" t="s">
        <v>1099</v>
      </c>
    </row>
    <row r="4384">
      <c r="B4384" s="31"/>
      <c r="G4384" s="272" t="s">
        <v>1099</v>
      </c>
    </row>
    <row r="4385">
      <c r="B4385" s="31"/>
      <c r="G4385" s="272" t="s">
        <v>1099</v>
      </c>
    </row>
    <row r="4386">
      <c r="B4386" s="31"/>
      <c r="G4386" s="272" t="s">
        <v>1099</v>
      </c>
    </row>
    <row r="4387">
      <c r="B4387" s="31"/>
      <c r="G4387" s="272" t="s">
        <v>1099</v>
      </c>
    </row>
    <row r="4388">
      <c r="B4388" s="31"/>
      <c r="G4388" s="272" t="s">
        <v>1099</v>
      </c>
    </row>
    <row r="4389">
      <c r="B4389" s="31"/>
      <c r="G4389" s="272" t="s">
        <v>1099</v>
      </c>
    </row>
    <row r="4390">
      <c r="B4390" s="31"/>
      <c r="G4390" s="272" t="s">
        <v>1099</v>
      </c>
    </row>
    <row r="4391">
      <c r="B4391" s="31"/>
      <c r="G4391" s="272" t="s">
        <v>1099</v>
      </c>
    </row>
    <row r="4392">
      <c r="B4392" s="31"/>
      <c r="G4392" s="272" t="s">
        <v>1099</v>
      </c>
    </row>
    <row r="4393">
      <c r="B4393" s="31"/>
      <c r="G4393" s="272" t="s">
        <v>1099</v>
      </c>
    </row>
    <row r="4394">
      <c r="B4394" s="31"/>
      <c r="G4394" s="272" t="s">
        <v>1099</v>
      </c>
    </row>
    <row r="4395">
      <c r="B4395" s="31"/>
      <c r="G4395" s="272" t="s">
        <v>1099</v>
      </c>
    </row>
    <row r="4396">
      <c r="B4396" s="31"/>
      <c r="G4396" s="272" t="s">
        <v>1099</v>
      </c>
    </row>
    <row r="4397">
      <c r="B4397" s="31"/>
      <c r="G4397" s="272" t="s">
        <v>1099</v>
      </c>
    </row>
    <row r="4398">
      <c r="B4398" s="31"/>
      <c r="G4398" s="272" t="s">
        <v>1099</v>
      </c>
    </row>
    <row r="4399">
      <c r="B4399" s="31"/>
      <c r="G4399" s="272" t="s">
        <v>1099</v>
      </c>
    </row>
    <row r="4400">
      <c r="B4400" s="31"/>
      <c r="G4400" s="272" t="s">
        <v>1099</v>
      </c>
    </row>
    <row r="4401">
      <c r="B4401" s="31"/>
      <c r="G4401" s="272" t="s">
        <v>1099</v>
      </c>
    </row>
    <row r="4402">
      <c r="B4402" s="31"/>
      <c r="G4402" s="272" t="s">
        <v>1099</v>
      </c>
    </row>
    <row r="4403">
      <c r="B4403" s="31"/>
      <c r="G4403" s="272" t="s">
        <v>1099</v>
      </c>
    </row>
    <row r="4404">
      <c r="B4404" s="31"/>
      <c r="G4404" s="272" t="s">
        <v>1099</v>
      </c>
    </row>
    <row r="4405">
      <c r="B4405" s="31"/>
      <c r="G4405" s="272" t="s">
        <v>1099</v>
      </c>
    </row>
    <row r="4406">
      <c r="B4406" s="31"/>
      <c r="G4406" s="272" t="s">
        <v>1099</v>
      </c>
    </row>
    <row r="4407">
      <c r="B4407" s="31"/>
      <c r="G4407" s="272" t="s">
        <v>1099</v>
      </c>
    </row>
    <row r="4408">
      <c r="B4408" s="31"/>
      <c r="G4408" s="272" t="s">
        <v>1099</v>
      </c>
    </row>
    <row r="4409">
      <c r="B4409" s="31"/>
      <c r="G4409" s="272" t="s">
        <v>1099</v>
      </c>
    </row>
    <row r="4410">
      <c r="B4410" s="31"/>
      <c r="G4410" s="272" t="s">
        <v>1099</v>
      </c>
    </row>
    <row r="4411">
      <c r="B4411" s="31"/>
      <c r="G4411" s="272" t="s">
        <v>1099</v>
      </c>
    </row>
    <row r="4412">
      <c r="B4412" s="31"/>
      <c r="G4412" s="272" t="s">
        <v>1099</v>
      </c>
    </row>
    <row r="4413">
      <c r="B4413" s="31"/>
      <c r="G4413" s="272" t="s">
        <v>1099</v>
      </c>
    </row>
    <row r="4414">
      <c r="B4414" s="31"/>
      <c r="G4414" s="272" t="s">
        <v>1099</v>
      </c>
    </row>
    <row r="4415">
      <c r="B4415" s="31"/>
      <c r="G4415" s="272" t="s">
        <v>1099</v>
      </c>
    </row>
    <row r="4416">
      <c r="B4416" s="31"/>
      <c r="G4416" s="272" t="s">
        <v>1099</v>
      </c>
    </row>
    <row r="4417">
      <c r="B4417" s="31"/>
      <c r="G4417" s="272" t="s">
        <v>1099</v>
      </c>
    </row>
    <row r="4418">
      <c r="B4418" s="31"/>
      <c r="G4418" s="272" t="s">
        <v>1099</v>
      </c>
    </row>
    <row r="4419">
      <c r="B4419" s="31"/>
      <c r="G4419" s="272" t="s">
        <v>1099</v>
      </c>
    </row>
    <row r="4420">
      <c r="B4420" s="31"/>
      <c r="G4420" s="272" t="s">
        <v>1099</v>
      </c>
    </row>
    <row r="4421">
      <c r="B4421" s="31"/>
      <c r="G4421" s="272" t="s">
        <v>1099</v>
      </c>
    </row>
    <row r="4422">
      <c r="B4422" s="31"/>
      <c r="G4422" s="272" t="s">
        <v>1099</v>
      </c>
    </row>
    <row r="4423">
      <c r="B4423" s="31"/>
      <c r="G4423" s="272" t="s">
        <v>1099</v>
      </c>
    </row>
    <row r="4424">
      <c r="B4424" s="31"/>
      <c r="G4424" s="272" t="s">
        <v>1099</v>
      </c>
    </row>
    <row r="4425">
      <c r="B4425" s="31"/>
      <c r="G4425" s="272" t="s">
        <v>1099</v>
      </c>
    </row>
    <row r="4426">
      <c r="B4426" s="31"/>
      <c r="G4426" s="272" t="s">
        <v>1099</v>
      </c>
    </row>
    <row r="4427">
      <c r="B4427" s="31"/>
      <c r="G4427" s="272" t="s">
        <v>1099</v>
      </c>
    </row>
    <row r="4428">
      <c r="B4428" s="31"/>
      <c r="G4428" s="272" t="s">
        <v>1099</v>
      </c>
    </row>
    <row r="4429">
      <c r="B4429" s="31"/>
      <c r="G4429" s="272" t="s">
        <v>1099</v>
      </c>
    </row>
    <row r="4430">
      <c r="B4430" s="31"/>
      <c r="G4430" s="272" t="s">
        <v>1099</v>
      </c>
    </row>
    <row r="4431">
      <c r="B4431" s="31"/>
      <c r="G4431" s="272" t="s">
        <v>1099</v>
      </c>
    </row>
    <row r="4432">
      <c r="B4432" s="31"/>
      <c r="G4432" s="272" t="s">
        <v>1099</v>
      </c>
    </row>
    <row r="4433">
      <c r="B4433" s="31"/>
      <c r="G4433" s="272" t="s">
        <v>1099</v>
      </c>
    </row>
    <row r="4434">
      <c r="B4434" s="31"/>
      <c r="G4434" s="272" t="s">
        <v>1099</v>
      </c>
    </row>
    <row r="4435">
      <c r="B4435" s="31"/>
      <c r="G4435" s="272" t="s">
        <v>1099</v>
      </c>
    </row>
    <row r="4436">
      <c r="B4436" s="31"/>
      <c r="G4436" s="272" t="s">
        <v>1099</v>
      </c>
    </row>
    <row r="4437">
      <c r="B4437" s="31"/>
      <c r="G4437" s="272" t="s">
        <v>1099</v>
      </c>
    </row>
    <row r="4438">
      <c r="B4438" s="31"/>
      <c r="G4438" s="272" t="s">
        <v>1099</v>
      </c>
    </row>
    <row r="4439">
      <c r="B4439" s="31"/>
      <c r="G4439" s="272" t="s">
        <v>1099</v>
      </c>
    </row>
    <row r="4440">
      <c r="B4440" s="31"/>
      <c r="G4440" s="272" t="s">
        <v>1099</v>
      </c>
    </row>
    <row r="4441">
      <c r="B4441" s="31"/>
      <c r="G4441" s="272" t="s">
        <v>1099</v>
      </c>
    </row>
    <row r="4442">
      <c r="B4442" s="31"/>
      <c r="G4442" s="272" t="s">
        <v>1099</v>
      </c>
    </row>
    <row r="4443">
      <c r="B4443" s="31"/>
      <c r="G4443" s="272" t="s">
        <v>1099</v>
      </c>
    </row>
    <row r="4444">
      <c r="B4444" s="31"/>
      <c r="G4444" s="272" t="s">
        <v>1099</v>
      </c>
    </row>
    <row r="4445">
      <c r="B4445" s="31"/>
      <c r="G4445" s="272" t="s">
        <v>1099</v>
      </c>
    </row>
    <row r="4446">
      <c r="B4446" s="31"/>
      <c r="G4446" s="272" t="s">
        <v>1099</v>
      </c>
    </row>
    <row r="4447">
      <c r="B4447" s="31"/>
      <c r="G4447" s="272" t="s">
        <v>1099</v>
      </c>
    </row>
    <row r="4448">
      <c r="B4448" s="31"/>
      <c r="G4448" s="272" t="s">
        <v>1099</v>
      </c>
    </row>
    <row r="4449">
      <c r="B4449" s="31"/>
      <c r="G4449" s="272" t="s">
        <v>1099</v>
      </c>
    </row>
    <row r="4450">
      <c r="B4450" s="31"/>
      <c r="G4450" s="272" t="s">
        <v>1099</v>
      </c>
    </row>
    <row r="4451">
      <c r="B4451" s="31"/>
      <c r="G4451" s="272" t="s">
        <v>1099</v>
      </c>
    </row>
    <row r="4452">
      <c r="B4452" s="31"/>
      <c r="G4452" s="272" t="s">
        <v>1099</v>
      </c>
    </row>
    <row r="4453">
      <c r="B4453" s="31"/>
      <c r="G4453" s="272" t="s">
        <v>1099</v>
      </c>
    </row>
    <row r="4454">
      <c r="B4454" s="31"/>
      <c r="G4454" s="272" t="s">
        <v>1099</v>
      </c>
    </row>
    <row r="4455">
      <c r="B4455" s="31"/>
      <c r="G4455" s="272" t="s">
        <v>1099</v>
      </c>
    </row>
    <row r="4456">
      <c r="B4456" s="31"/>
      <c r="G4456" s="272" t="s">
        <v>1099</v>
      </c>
    </row>
    <row r="4457">
      <c r="B4457" s="31"/>
      <c r="G4457" s="272" t="s">
        <v>1099</v>
      </c>
    </row>
    <row r="4458">
      <c r="B4458" s="31"/>
      <c r="G4458" s="272" t="s">
        <v>1099</v>
      </c>
    </row>
    <row r="4459">
      <c r="B4459" s="31"/>
      <c r="G4459" s="272" t="s">
        <v>1099</v>
      </c>
    </row>
    <row r="4460">
      <c r="B4460" s="31"/>
      <c r="G4460" s="272" t="s">
        <v>1099</v>
      </c>
    </row>
    <row r="4461">
      <c r="B4461" s="31"/>
      <c r="G4461" s="272" t="s">
        <v>1099</v>
      </c>
    </row>
    <row r="4462">
      <c r="B4462" s="31"/>
      <c r="G4462" s="272" t="s">
        <v>1099</v>
      </c>
    </row>
    <row r="4463">
      <c r="B4463" s="31"/>
      <c r="G4463" s="272" t="s">
        <v>1099</v>
      </c>
    </row>
    <row r="4464">
      <c r="B4464" s="31"/>
      <c r="G4464" s="272" t="s">
        <v>1099</v>
      </c>
    </row>
    <row r="4465">
      <c r="B4465" s="31"/>
      <c r="G4465" s="272" t="s">
        <v>1099</v>
      </c>
    </row>
    <row r="4466">
      <c r="B4466" s="31"/>
      <c r="G4466" s="272" t="s">
        <v>1099</v>
      </c>
    </row>
    <row r="4467">
      <c r="B4467" s="31"/>
      <c r="G4467" s="272" t="s">
        <v>1099</v>
      </c>
    </row>
    <row r="4468">
      <c r="B4468" s="31"/>
      <c r="G4468" s="272" t="s">
        <v>1099</v>
      </c>
    </row>
    <row r="4469">
      <c r="B4469" s="31"/>
      <c r="G4469" s="272" t="s">
        <v>1099</v>
      </c>
    </row>
    <row r="4470">
      <c r="B4470" s="31"/>
      <c r="G4470" s="272" t="s">
        <v>1099</v>
      </c>
    </row>
    <row r="4471">
      <c r="B4471" s="31"/>
      <c r="G4471" s="272" t="s">
        <v>1099</v>
      </c>
    </row>
    <row r="4472">
      <c r="B4472" s="31"/>
      <c r="G4472" s="272" t="s">
        <v>1099</v>
      </c>
    </row>
    <row r="4473">
      <c r="B4473" s="31"/>
      <c r="G4473" s="272" t="s">
        <v>1099</v>
      </c>
    </row>
    <row r="4474">
      <c r="B4474" s="31"/>
      <c r="G4474" s="272" t="s">
        <v>1099</v>
      </c>
    </row>
    <row r="4475">
      <c r="B4475" s="31"/>
      <c r="G4475" s="272" t="s">
        <v>1099</v>
      </c>
    </row>
    <row r="4476">
      <c r="B4476" s="31"/>
      <c r="G4476" s="272" t="s">
        <v>1099</v>
      </c>
    </row>
    <row r="4477">
      <c r="B4477" s="31"/>
      <c r="G4477" s="272" t="s">
        <v>1099</v>
      </c>
    </row>
    <row r="4478">
      <c r="B4478" s="31"/>
      <c r="G4478" s="272" t="s">
        <v>1099</v>
      </c>
    </row>
    <row r="4479">
      <c r="B4479" s="31"/>
      <c r="G4479" s="272" t="s">
        <v>1099</v>
      </c>
    </row>
    <row r="4480">
      <c r="B4480" s="31"/>
      <c r="G4480" s="272" t="s">
        <v>1099</v>
      </c>
    </row>
    <row r="4481">
      <c r="B4481" s="31"/>
      <c r="G4481" s="272" t="s">
        <v>1099</v>
      </c>
    </row>
    <row r="4482">
      <c r="B4482" s="31"/>
      <c r="G4482" s="272" t="s">
        <v>1099</v>
      </c>
    </row>
    <row r="4483">
      <c r="B4483" s="31"/>
      <c r="G4483" s="272" t="s">
        <v>1099</v>
      </c>
    </row>
    <row r="4484">
      <c r="B4484" s="31"/>
      <c r="G4484" s="272" t="s">
        <v>1099</v>
      </c>
    </row>
    <row r="4485">
      <c r="B4485" s="31"/>
      <c r="G4485" s="272" t="s">
        <v>1099</v>
      </c>
    </row>
    <row r="4486">
      <c r="B4486" s="31"/>
      <c r="G4486" s="272" t="s">
        <v>1099</v>
      </c>
    </row>
    <row r="4487">
      <c r="B4487" s="31"/>
      <c r="G4487" s="272" t="s">
        <v>1099</v>
      </c>
    </row>
    <row r="4488">
      <c r="B4488" s="31"/>
      <c r="G4488" s="272" t="s">
        <v>1099</v>
      </c>
    </row>
    <row r="4489">
      <c r="B4489" s="31"/>
      <c r="G4489" s="272" t="s">
        <v>1099</v>
      </c>
    </row>
    <row r="4490">
      <c r="B4490" s="31"/>
      <c r="G4490" s="272" t="s">
        <v>1099</v>
      </c>
    </row>
    <row r="4491">
      <c r="B4491" s="31"/>
      <c r="G4491" s="272" t="s">
        <v>1099</v>
      </c>
    </row>
    <row r="4492">
      <c r="B4492" s="31"/>
      <c r="G4492" s="272" t="s">
        <v>1099</v>
      </c>
    </row>
    <row r="4493">
      <c r="B4493" s="31"/>
      <c r="G4493" s="272" t="s">
        <v>1099</v>
      </c>
    </row>
    <row r="4494">
      <c r="B4494" s="31"/>
      <c r="G4494" s="272" t="s">
        <v>1099</v>
      </c>
    </row>
    <row r="4495">
      <c r="B4495" s="31"/>
      <c r="G4495" s="272" t="s">
        <v>1099</v>
      </c>
    </row>
    <row r="4496">
      <c r="B4496" s="31"/>
      <c r="G4496" s="272" t="s">
        <v>1099</v>
      </c>
    </row>
    <row r="4497">
      <c r="B4497" s="31"/>
      <c r="G4497" s="272" t="s">
        <v>1099</v>
      </c>
    </row>
    <row r="4498">
      <c r="B4498" s="31"/>
      <c r="G4498" s="272" t="s">
        <v>1099</v>
      </c>
    </row>
    <row r="4499">
      <c r="B4499" s="31"/>
      <c r="G4499" s="272" t="s">
        <v>1099</v>
      </c>
    </row>
    <row r="4500">
      <c r="B4500" s="31"/>
      <c r="G4500" s="272" t="s">
        <v>1099</v>
      </c>
    </row>
    <row r="4501">
      <c r="B4501" s="31"/>
      <c r="G4501" s="272" t="s">
        <v>1099</v>
      </c>
    </row>
    <row r="4502">
      <c r="B4502" s="31"/>
      <c r="G4502" s="272" t="s">
        <v>1099</v>
      </c>
    </row>
    <row r="4503">
      <c r="B4503" s="31"/>
      <c r="G4503" s="272" t="s">
        <v>1099</v>
      </c>
    </row>
    <row r="4504">
      <c r="B4504" s="31"/>
      <c r="G4504" s="272" t="s">
        <v>1099</v>
      </c>
    </row>
    <row r="4505">
      <c r="B4505" s="31"/>
      <c r="G4505" s="272" t="s">
        <v>1099</v>
      </c>
    </row>
    <row r="4506">
      <c r="B4506" s="31"/>
      <c r="G4506" s="272" t="s">
        <v>1099</v>
      </c>
    </row>
    <row r="4507">
      <c r="B4507" s="31"/>
      <c r="G4507" s="272" t="s">
        <v>1099</v>
      </c>
    </row>
    <row r="4508">
      <c r="B4508" s="31"/>
      <c r="G4508" s="272" t="s">
        <v>1099</v>
      </c>
    </row>
    <row r="4509">
      <c r="B4509" s="31"/>
      <c r="G4509" s="272" t="s">
        <v>1099</v>
      </c>
    </row>
    <row r="4510">
      <c r="B4510" s="31"/>
      <c r="G4510" s="272" t="s">
        <v>1099</v>
      </c>
    </row>
    <row r="4511">
      <c r="B4511" s="31"/>
      <c r="G4511" s="272" t="s">
        <v>1099</v>
      </c>
    </row>
    <row r="4512">
      <c r="B4512" s="31"/>
      <c r="G4512" s="272" t="s">
        <v>1099</v>
      </c>
    </row>
    <row r="4513">
      <c r="B4513" s="31"/>
      <c r="G4513" s="272" t="s">
        <v>1099</v>
      </c>
    </row>
    <row r="4514">
      <c r="B4514" s="31"/>
      <c r="G4514" s="272" t="s">
        <v>1099</v>
      </c>
    </row>
    <row r="4515">
      <c r="B4515" s="31"/>
      <c r="G4515" s="272" t="s">
        <v>1099</v>
      </c>
    </row>
    <row r="4516">
      <c r="B4516" s="31"/>
      <c r="G4516" s="272" t="s">
        <v>1099</v>
      </c>
    </row>
    <row r="4517">
      <c r="B4517" s="31"/>
      <c r="G4517" s="272" t="s">
        <v>1099</v>
      </c>
    </row>
    <row r="4518">
      <c r="B4518" s="31"/>
      <c r="G4518" s="272" t="s">
        <v>1099</v>
      </c>
    </row>
    <row r="4519">
      <c r="B4519" s="31"/>
      <c r="G4519" s="272" t="s">
        <v>1099</v>
      </c>
    </row>
    <row r="4520">
      <c r="B4520" s="31"/>
      <c r="G4520" s="272" t="s">
        <v>1099</v>
      </c>
    </row>
    <row r="4521">
      <c r="B4521" s="31"/>
      <c r="G4521" s="272" t="s">
        <v>1099</v>
      </c>
    </row>
    <row r="4522">
      <c r="B4522" s="31"/>
      <c r="G4522" s="272" t="s">
        <v>1099</v>
      </c>
    </row>
    <row r="4523">
      <c r="B4523" s="31"/>
      <c r="G4523" s="272" t="s">
        <v>1099</v>
      </c>
    </row>
    <row r="4524">
      <c r="B4524" s="31"/>
      <c r="G4524" s="272" t="s">
        <v>1099</v>
      </c>
    </row>
    <row r="4525">
      <c r="B4525" s="31"/>
      <c r="G4525" s="272" t="s">
        <v>1099</v>
      </c>
    </row>
    <row r="4526">
      <c r="B4526" s="31"/>
      <c r="G4526" s="272" t="s">
        <v>1099</v>
      </c>
    </row>
    <row r="4527">
      <c r="B4527" s="31"/>
      <c r="G4527" s="272" t="s">
        <v>1099</v>
      </c>
    </row>
    <row r="4528">
      <c r="B4528" s="31"/>
      <c r="G4528" s="272" t="s">
        <v>1099</v>
      </c>
    </row>
    <row r="4529">
      <c r="B4529" s="31"/>
      <c r="G4529" s="272" t="s">
        <v>1099</v>
      </c>
    </row>
    <row r="4530">
      <c r="B4530" s="31"/>
      <c r="G4530" s="272" t="s">
        <v>1099</v>
      </c>
    </row>
    <row r="4531">
      <c r="B4531" s="31"/>
      <c r="G4531" s="272" t="s">
        <v>1099</v>
      </c>
    </row>
    <row r="4532">
      <c r="B4532" s="31"/>
      <c r="G4532" s="272" t="s">
        <v>1099</v>
      </c>
    </row>
    <row r="4533">
      <c r="B4533" s="31"/>
      <c r="G4533" s="272" t="s">
        <v>1099</v>
      </c>
    </row>
    <row r="4534">
      <c r="B4534" s="31"/>
      <c r="G4534" s="272" t="s">
        <v>1099</v>
      </c>
    </row>
    <row r="4535">
      <c r="B4535" s="31"/>
      <c r="G4535" s="272" t="s">
        <v>1099</v>
      </c>
    </row>
    <row r="4536">
      <c r="B4536" s="31"/>
      <c r="G4536" s="272" t="s">
        <v>1099</v>
      </c>
    </row>
    <row r="4537">
      <c r="B4537" s="31"/>
      <c r="G4537" s="272" t="s">
        <v>1099</v>
      </c>
    </row>
    <row r="4538">
      <c r="B4538" s="31"/>
      <c r="G4538" s="272" t="s">
        <v>1099</v>
      </c>
    </row>
    <row r="4539">
      <c r="B4539" s="31"/>
      <c r="G4539" s="272" t="s">
        <v>1099</v>
      </c>
    </row>
    <row r="4540">
      <c r="B4540" s="31"/>
      <c r="G4540" s="272" t="s">
        <v>1099</v>
      </c>
    </row>
    <row r="4541">
      <c r="B4541" s="31"/>
      <c r="G4541" s="272" t="s">
        <v>1099</v>
      </c>
    </row>
    <row r="4542">
      <c r="B4542" s="31"/>
      <c r="G4542" s="272" t="s">
        <v>1099</v>
      </c>
    </row>
    <row r="4543">
      <c r="B4543" s="31"/>
      <c r="G4543" s="272" t="s">
        <v>1099</v>
      </c>
    </row>
    <row r="4544">
      <c r="B4544" s="31"/>
      <c r="G4544" s="272" t="s">
        <v>1099</v>
      </c>
    </row>
    <row r="4545">
      <c r="B4545" s="31"/>
      <c r="G4545" s="272" t="s">
        <v>1099</v>
      </c>
    </row>
    <row r="4546">
      <c r="B4546" s="31"/>
      <c r="G4546" s="272" t="s">
        <v>1099</v>
      </c>
    </row>
    <row r="4547">
      <c r="B4547" s="31"/>
      <c r="G4547" s="272" t="s">
        <v>1099</v>
      </c>
    </row>
    <row r="4548">
      <c r="B4548" s="31"/>
      <c r="G4548" s="272" t="s">
        <v>1099</v>
      </c>
    </row>
    <row r="4549">
      <c r="B4549" s="31"/>
      <c r="G4549" s="272" t="s">
        <v>1099</v>
      </c>
    </row>
    <row r="4550">
      <c r="B4550" s="31"/>
      <c r="G4550" s="272" t="s">
        <v>1099</v>
      </c>
    </row>
    <row r="4551">
      <c r="B4551" s="31"/>
      <c r="G4551" s="272" t="s">
        <v>1099</v>
      </c>
    </row>
    <row r="4552">
      <c r="B4552" s="31"/>
      <c r="G4552" s="272" t="s">
        <v>1099</v>
      </c>
    </row>
    <row r="4553">
      <c r="B4553" s="31"/>
      <c r="G4553" s="272" t="s">
        <v>1099</v>
      </c>
    </row>
    <row r="4554">
      <c r="B4554" s="31"/>
      <c r="G4554" s="272" t="s">
        <v>1099</v>
      </c>
    </row>
    <row r="4555">
      <c r="B4555" s="31"/>
      <c r="G4555" s="272" t="s">
        <v>1099</v>
      </c>
    </row>
    <row r="4556">
      <c r="B4556" s="31"/>
      <c r="G4556" s="272" t="s">
        <v>1099</v>
      </c>
    </row>
    <row r="4557">
      <c r="B4557" s="31"/>
      <c r="G4557" s="272" t="s">
        <v>1099</v>
      </c>
    </row>
    <row r="4558">
      <c r="B4558" s="31"/>
      <c r="G4558" s="272" t="s">
        <v>1099</v>
      </c>
    </row>
    <row r="4559">
      <c r="B4559" s="31"/>
      <c r="G4559" s="272" t="s">
        <v>1099</v>
      </c>
    </row>
    <row r="4560">
      <c r="B4560" s="31"/>
      <c r="G4560" s="272" t="s">
        <v>1099</v>
      </c>
    </row>
    <row r="4561">
      <c r="B4561" s="31"/>
      <c r="G4561" s="272" t="s">
        <v>1099</v>
      </c>
    </row>
    <row r="4562">
      <c r="B4562" s="31"/>
      <c r="G4562" s="272" t="s">
        <v>1099</v>
      </c>
    </row>
    <row r="4563">
      <c r="B4563" s="31"/>
      <c r="G4563" s="272" t="s">
        <v>1099</v>
      </c>
    </row>
    <row r="4564">
      <c r="B4564" s="31"/>
      <c r="G4564" s="272" t="s">
        <v>1099</v>
      </c>
    </row>
    <row r="4565">
      <c r="B4565" s="31"/>
      <c r="G4565" s="272" t="s">
        <v>1099</v>
      </c>
    </row>
    <row r="4566">
      <c r="B4566" s="31"/>
      <c r="G4566" s="272" t="s">
        <v>1099</v>
      </c>
    </row>
    <row r="4567">
      <c r="B4567" s="31"/>
      <c r="G4567" s="272" t="s">
        <v>1099</v>
      </c>
    </row>
    <row r="4568">
      <c r="B4568" s="31"/>
      <c r="G4568" s="272" t="s">
        <v>1099</v>
      </c>
    </row>
    <row r="4569">
      <c r="B4569" s="31"/>
      <c r="G4569" s="272" t="s">
        <v>1099</v>
      </c>
    </row>
    <row r="4570">
      <c r="B4570" s="31"/>
      <c r="G4570" s="272" t="s">
        <v>1099</v>
      </c>
    </row>
    <row r="4571">
      <c r="B4571" s="31"/>
      <c r="G4571" s="272" t="s">
        <v>1099</v>
      </c>
    </row>
    <row r="4572">
      <c r="B4572" s="31"/>
      <c r="G4572" s="272" t="s">
        <v>1099</v>
      </c>
    </row>
    <row r="4573">
      <c r="B4573" s="31"/>
      <c r="G4573" s="272" t="s">
        <v>1099</v>
      </c>
    </row>
    <row r="4574">
      <c r="B4574" s="31"/>
      <c r="G4574" s="272" t="s">
        <v>1099</v>
      </c>
    </row>
    <row r="4575">
      <c r="B4575" s="31"/>
      <c r="G4575" s="272" t="s">
        <v>1099</v>
      </c>
    </row>
    <row r="4576">
      <c r="B4576" s="31"/>
      <c r="G4576" s="272" t="s">
        <v>1099</v>
      </c>
    </row>
    <row r="4577">
      <c r="B4577" s="31"/>
      <c r="G4577" s="272" t="s">
        <v>1099</v>
      </c>
    </row>
    <row r="4578">
      <c r="B4578" s="31"/>
      <c r="G4578" s="272" t="s">
        <v>1099</v>
      </c>
    </row>
    <row r="4579">
      <c r="B4579" s="31"/>
      <c r="G4579" s="272" t="s">
        <v>1099</v>
      </c>
    </row>
    <row r="4580">
      <c r="B4580" s="31"/>
      <c r="G4580" s="272" t="s">
        <v>1099</v>
      </c>
    </row>
    <row r="4581">
      <c r="B4581" s="31"/>
      <c r="G4581" s="272" t="s">
        <v>1099</v>
      </c>
    </row>
    <row r="4582">
      <c r="B4582" s="31"/>
      <c r="G4582" s="272" t="s">
        <v>1099</v>
      </c>
    </row>
    <row r="4583">
      <c r="B4583" s="31"/>
      <c r="G4583" s="272" t="s">
        <v>1099</v>
      </c>
    </row>
    <row r="4584">
      <c r="B4584" s="31"/>
      <c r="G4584" s="272" t="s">
        <v>1099</v>
      </c>
    </row>
    <row r="4585">
      <c r="B4585" s="31"/>
      <c r="G4585" s="272" t="s">
        <v>1099</v>
      </c>
    </row>
    <row r="4586">
      <c r="B4586" s="31"/>
      <c r="G4586" s="272" t="s">
        <v>1099</v>
      </c>
    </row>
    <row r="4587">
      <c r="B4587" s="31"/>
      <c r="G4587" s="272" t="s">
        <v>1099</v>
      </c>
    </row>
    <row r="4588">
      <c r="B4588" s="31"/>
      <c r="G4588" s="272" t="s">
        <v>1099</v>
      </c>
    </row>
    <row r="4589">
      <c r="B4589" s="31"/>
      <c r="G4589" s="272" t="s">
        <v>1099</v>
      </c>
    </row>
    <row r="4590">
      <c r="B4590" s="31"/>
      <c r="G4590" s="272" t="s">
        <v>1099</v>
      </c>
    </row>
    <row r="4591">
      <c r="B4591" s="31"/>
      <c r="G4591" s="272" t="s">
        <v>1099</v>
      </c>
    </row>
    <row r="4592">
      <c r="B4592" s="31"/>
      <c r="G4592" s="272" t="s">
        <v>1099</v>
      </c>
    </row>
    <row r="4593">
      <c r="B4593" s="31"/>
      <c r="G4593" s="272" t="s">
        <v>1099</v>
      </c>
    </row>
    <row r="4594">
      <c r="B4594" s="31"/>
      <c r="G4594" s="272" t="s">
        <v>1099</v>
      </c>
    </row>
    <row r="4595">
      <c r="B4595" s="31"/>
      <c r="G4595" s="272" t="s">
        <v>1099</v>
      </c>
    </row>
    <row r="4596">
      <c r="B4596" s="31"/>
      <c r="G4596" s="272" t="s">
        <v>1099</v>
      </c>
    </row>
    <row r="4597">
      <c r="B4597" s="31"/>
      <c r="G4597" s="272" t="s">
        <v>1099</v>
      </c>
    </row>
    <row r="4598">
      <c r="B4598" s="31"/>
      <c r="G4598" s="272" t="s">
        <v>1099</v>
      </c>
    </row>
    <row r="4599">
      <c r="B4599" s="31"/>
      <c r="G4599" s="272" t="s">
        <v>1099</v>
      </c>
    </row>
    <row r="4600">
      <c r="B4600" s="31"/>
      <c r="G4600" s="272" t="s">
        <v>1099</v>
      </c>
    </row>
    <row r="4601">
      <c r="B4601" s="31"/>
      <c r="G4601" s="272" t="s">
        <v>1099</v>
      </c>
    </row>
    <row r="4602">
      <c r="B4602" s="31"/>
      <c r="G4602" s="272" t="s">
        <v>1099</v>
      </c>
    </row>
    <row r="4603">
      <c r="B4603" s="31"/>
      <c r="G4603" s="272" t="s">
        <v>1099</v>
      </c>
    </row>
    <row r="4604">
      <c r="B4604" s="31"/>
      <c r="G4604" s="272" t="s">
        <v>1099</v>
      </c>
    </row>
    <row r="4605">
      <c r="B4605" s="31"/>
      <c r="G4605" s="272" t="s">
        <v>1099</v>
      </c>
    </row>
    <row r="4606">
      <c r="B4606" s="31"/>
      <c r="G4606" s="272" t="s">
        <v>1099</v>
      </c>
    </row>
    <row r="4607">
      <c r="B4607" s="31"/>
      <c r="G4607" s="272" t="s">
        <v>1099</v>
      </c>
    </row>
    <row r="4608">
      <c r="B4608" s="31"/>
      <c r="G4608" s="272" t="s">
        <v>1099</v>
      </c>
    </row>
    <row r="4609">
      <c r="B4609" s="31"/>
      <c r="G4609" s="272" t="s">
        <v>1099</v>
      </c>
    </row>
    <row r="4610">
      <c r="B4610" s="31"/>
      <c r="G4610" s="272" t="s">
        <v>1099</v>
      </c>
    </row>
    <row r="4611">
      <c r="B4611" s="31"/>
      <c r="G4611" s="272" t="s">
        <v>1099</v>
      </c>
    </row>
    <row r="4612">
      <c r="B4612" s="31"/>
      <c r="G4612" s="272" t="s">
        <v>1099</v>
      </c>
    </row>
    <row r="4613">
      <c r="B4613" s="31"/>
      <c r="G4613" s="272" t="s">
        <v>1099</v>
      </c>
    </row>
    <row r="4614">
      <c r="B4614" s="31"/>
      <c r="G4614" s="272" t="s">
        <v>1099</v>
      </c>
    </row>
    <row r="4615">
      <c r="B4615" s="31"/>
      <c r="G4615" s="272" t="s">
        <v>1099</v>
      </c>
    </row>
    <row r="4616">
      <c r="B4616" s="31"/>
      <c r="G4616" s="272" t="s">
        <v>1099</v>
      </c>
    </row>
    <row r="4617">
      <c r="B4617" s="31"/>
      <c r="G4617" s="272" t="s">
        <v>1099</v>
      </c>
    </row>
    <row r="4618">
      <c r="B4618" s="31"/>
      <c r="G4618" s="272" t="s">
        <v>1099</v>
      </c>
    </row>
    <row r="4619">
      <c r="B4619" s="31"/>
      <c r="G4619" s="272" t="s">
        <v>1099</v>
      </c>
    </row>
    <row r="4620">
      <c r="B4620" s="31"/>
      <c r="G4620" s="272" t="s">
        <v>1099</v>
      </c>
    </row>
    <row r="4621">
      <c r="B4621" s="31"/>
      <c r="G4621" s="272" t="s">
        <v>1099</v>
      </c>
    </row>
    <row r="4622">
      <c r="B4622" s="31"/>
      <c r="G4622" s="272" t="s">
        <v>1099</v>
      </c>
    </row>
    <row r="4623">
      <c r="B4623" s="31"/>
      <c r="G4623" s="272" t="s">
        <v>1099</v>
      </c>
    </row>
    <row r="4624">
      <c r="B4624" s="31"/>
      <c r="G4624" s="272" t="s">
        <v>1099</v>
      </c>
    </row>
    <row r="4625">
      <c r="B4625" s="31"/>
      <c r="G4625" s="272" t="s">
        <v>1099</v>
      </c>
    </row>
    <row r="4626">
      <c r="B4626" s="31"/>
      <c r="G4626" s="272" t="s">
        <v>1099</v>
      </c>
    </row>
    <row r="4627">
      <c r="B4627" s="31"/>
      <c r="G4627" s="272" t="s">
        <v>1099</v>
      </c>
    </row>
    <row r="4628">
      <c r="B4628" s="31"/>
      <c r="G4628" s="272" t="s">
        <v>1099</v>
      </c>
    </row>
    <row r="4629">
      <c r="B4629" s="31"/>
      <c r="G4629" s="272" t="s">
        <v>1099</v>
      </c>
    </row>
    <row r="4630">
      <c r="B4630" s="31"/>
      <c r="G4630" s="272" t="s">
        <v>1099</v>
      </c>
    </row>
    <row r="4631">
      <c r="B4631" s="31"/>
      <c r="G4631" s="272" t="s">
        <v>1099</v>
      </c>
    </row>
    <row r="4632">
      <c r="B4632" s="31"/>
      <c r="G4632" s="272" t="s">
        <v>1099</v>
      </c>
    </row>
    <row r="4633">
      <c r="B4633" s="31"/>
      <c r="G4633" s="272" t="s">
        <v>1099</v>
      </c>
    </row>
    <row r="4634">
      <c r="B4634" s="31"/>
      <c r="G4634" s="272" t="s">
        <v>1099</v>
      </c>
    </row>
    <row r="4635">
      <c r="B4635" s="31"/>
      <c r="G4635" s="272" t="s">
        <v>1099</v>
      </c>
    </row>
    <row r="4636">
      <c r="B4636" s="31"/>
      <c r="G4636" s="272" t="s">
        <v>1099</v>
      </c>
    </row>
    <row r="4637">
      <c r="B4637" s="31"/>
      <c r="G4637" s="272" t="s">
        <v>1099</v>
      </c>
    </row>
    <row r="4638">
      <c r="B4638" s="31"/>
      <c r="G4638" s="272" t="s">
        <v>1099</v>
      </c>
    </row>
    <row r="4639">
      <c r="B4639" s="31"/>
      <c r="G4639" s="272" t="s">
        <v>1099</v>
      </c>
    </row>
    <row r="4640">
      <c r="B4640" s="31"/>
      <c r="G4640" s="272" t="s">
        <v>1099</v>
      </c>
    </row>
    <row r="4641">
      <c r="B4641" s="31"/>
      <c r="G4641" s="272" t="s">
        <v>1099</v>
      </c>
    </row>
    <row r="4642">
      <c r="B4642" s="31"/>
      <c r="G4642" s="272" t="s">
        <v>1099</v>
      </c>
    </row>
    <row r="4643">
      <c r="B4643" s="31"/>
      <c r="G4643" s="272" t="s">
        <v>1099</v>
      </c>
    </row>
    <row r="4644">
      <c r="B4644" s="31"/>
      <c r="G4644" s="272" t="s">
        <v>1099</v>
      </c>
    </row>
    <row r="4645">
      <c r="B4645" s="31"/>
      <c r="G4645" s="272" t="s">
        <v>1099</v>
      </c>
    </row>
    <row r="4646">
      <c r="B4646" s="31"/>
      <c r="G4646" s="272" t="s">
        <v>1099</v>
      </c>
    </row>
    <row r="4647">
      <c r="B4647" s="31"/>
      <c r="G4647" s="272" t="s">
        <v>1099</v>
      </c>
    </row>
    <row r="4648">
      <c r="B4648" s="31"/>
      <c r="G4648" s="272" t="s">
        <v>1099</v>
      </c>
    </row>
    <row r="4649">
      <c r="B4649" s="31"/>
      <c r="G4649" s="272" t="s">
        <v>1099</v>
      </c>
    </row>
    <row r="4650">
      <c r="B4650" s="31"/>
      <c r="G4650" s="272" t="s">
        <v>1099</v>
      </c>
    </row>
    <row r="4651">
      <c r="B4651" s="31"/>
      <c r="G4651" s="272" t="s">
        <v>1099</v>
      </c>
    </row>
    <row r="4652">
      <c r="B4652" s="31"/>
      <c r="G4652" s="272" t="s">
        <v>1099</v>
      </c>
    </row>
    <row r="4653">
      <c r="B4653" s="31"/>
      <c r="G4653" s="272" t="s">
        <v>1099</v>
      </c>
    </row>
    <row r="4654">
      <c r="B4654" s="31"/>
      <c r="G4654" s="272" t="s">
        <v>1099</v>
      </c>
    </row>
    <row r="4655">
      <c r="B4655" s="31"/>
      <c r="G4655" s="272" t="s">
        <v>1099</v>
      </c>
    </row>
    <row r="4656">
      <c r="B4656" s="31"/>
      <c r="G4656" s="272" t="s">
        <v>1099</v>
      </c>
    </row>
    <row r="4657">
      <c r="B4657" s="31"/>
      <c r="G4657" s="272" t="s">
        <v>1099</v>
      </c>
    </row>
    <row r="4658">
      <c r="B4658" s="31"/>
      <c r="G4658" s="272" t="s">
        <v>1099</v>
      </c>
    </row>
    <row r="4659">
      <c r="B4659" s="31"/>
      <c r="G4659" s="272" t="s">
        <v>1099</v>
      </c>
    </row>
    <row r="4660">
      <c r="B4660" s="31"/>
      <c r="G4660" s="272" t="s">
        <v>1099</v>
      </c>
    </row>
    <row r="4661">
      <c r="B4661" s="31"/>
      <c r="G4661" s="272" t="s">
        <v>1099</v>
      </c>
    </row>
    <row r="4662">
      <c r="B4662" s="31"/>
      <c r="G4662" s="272" t="s">
        <v>1099</v>
      </c>
    </row>
    <row r="4663">
      <c r="B4663" s="31"/>
      <c r="G4663" s="272" t="s">
        <v>1099</v>
      </c>
    </row>
    <row r="4664">
      <c r="B4664" s="31"/>
      <c r="G4664" s="272" t="s">
        <v>1099</v>
      </c>
    </row>
    <row r="4665">
      <c r="B4665" s="31"/>
      <c r="G4665" s="272" t="s">
        <v>1099</v>
      </c>
    </row>
    <row r="4666">
      <c r="B4666" s="31"/>
      <c r="G4666" s="272" t="s">
        <v>1099</v>
      </c>
    </row>
    <row r="4667">
      <c r="B4667" s="31"/>
      <c r="G4667" s="272" t="s">
        <v>1099</v>
      </c>
    </row>
    <row r="4668">
      <c r="B4668" s="31"/>
      <c r="G4668" s="272" t="s">
        <v>1099</v>
      </c>
    </row>
    <row r="4669">
      <c r="B4669" s="31"/>
      <c r="G4669" s="272" t="s">
        <v>1099</v>
      </c>
    </row>
    <row r="4670">
      <c r="B4670" s="31"/>
      <c r="G4670" s="272" t="s">
        <v>1099</v>
      </c>
    </row>
    <row r="4671">
      <c r="B4671" s="31"/>
      <c r="G4671" s="272" t="s">
        <v>1099</v>
      </c>
    </row>
    <row r="4672">
      <c r="B4672" s="31"/>
      <c r="G4672" s="272" t="s">
        <v>1099</v>
      </c>
    </row>
    <row r="4673">
      <c r="B4673" s="31"/>
      <c r="G4673" s="272" t="s">
        <v>1099</v>
      </c>
    </row>
    <row r="4674">
      <c r="B4674" s="31"/>
      <c r="G4674" s="272" t="s">
        <v>1099</v>
      </c>
    </row>
    <row r="4675">
      <c r="B4675" s="31"/>
      <c r="G4675" s="272" t="s">
        <v>1099</v>
      </c>
    </row>
    <row r="4676">
      <c r="B4676" s="31"/>
      <c r="G4676" s="272" t="s">
        <v>1099</v>
      </c>
    </row>
    <row r="4677">
      <c r="B4677" s="31"/>
      <c r="G4677" s="272" t="s">
        <v>1099</v>
      </c>
    </row>
    <row r="4678">
      <c r="B4678" s="31"/>
      <c r="G4678" s="272" t="s">
        <v>1099</v>
      </c>
    </row>
    <row r="4679">
      <c r="B4679" s="31"/>
      <c r="G4679" s="272" t="s">
        <v>1099</v>
      </c>
    </row>
    <row r="4680">
      <c r="B4680" s="31"/>
      <c r="G4680" s="272" t="s">
        <v>1099</v>
      </c>
    </row>
    <row r="4681">
      <c r="B4681" s="31"/>
      <c r="G4681" s="272" t="s">
        <v>1099</v>
      </c>
    </row>
    <row r="4682">
      <c r="B4682" s="31"/>
      <c r="G4682" s="272" t="s">
        <v>1099</v>
      </c>
    </row>
    <row r="4683">
      <c r="B4683" s="31"/>
      <c r="G4683" s="272" t="s">
        <v>1099</v>
      </c>
    </row>
    <row r="4684">
      <c r="B4684" s="31"/>
      <c r="G4684" s="272" t="s">
        <v>1099</v>
      </c>
    </row>
    <row r="4685">
      <c r="B4685" s="31"/>
      <c r="G4685" s="272" t="s">
        <v>1099</v>
      </c>
    </row>
    <row r="4686">
      <c r="B4686" s="31"/>
      <c r="G4686" s="272" t="s">
        <v>1099</v>
      </c>
    </row>
    <row r="4687">
      <c r="B4687" s="31"/>
      <c r="G4687" s="272" t="s">
        <v>1099</v>
      </c>
    </row>
    <row r="4688">
      <c r="B4688" s="31"/>
      <c r="G4688" s="272" t="s">
        <v>1099</v>
      </c>
    </row>
    <row r="4689">
      <c r="B4689" s="31"/>
      <c r="G4689" s="272" t="s">
        <v>1099</v>
      </c>
    </row>
    <row r="4690">
      <c r="B4690" s="31"/>
      <c r="G4690" s="272" t="s">
        <v>1099</v>
      </c>
    </row>
    <row r="4691">
      <c r="B4691" s="31"/>
      <c r="G4691" s="272" t="s">
        <v>1099</v>
      </c>
    </row>
    <row r="4692">
      <c r="B4692" s="31"/>
      <c r="G4692" s="272" t="s">
        <v>1099</v>
      </c>
    </row>
    <row r="4693">
      <c r="B4693" s="31"/>
      <c r="G4693" s="272" t="s">
        <v>1099</v>
      </c>
    </row>
    <row r="4694">
      <c r="B4694" s="31"/>
      <c r="G4694" s="272" t="s">
        <v>1099</v>
      </c>
    </row>
    <row r="4695">
      <c r="B4695" s="31"/>
      <c r="G4695" s="272" t="s">
        <v>1099</v>
      </c>
    </row>
    <row r="4696">
      <c r="B4696" s="31"/>
      <c r="G4696" s="272" t="s">
        <v>1099</v>
      </c>
    </row>
    <row r="4697">
      <c r="B4697" s="31"/>
      <c r="G4697" s="272" t="s">
        <v>1099</v>
      </c>
    </row>
    <row r="4698">
      <c r="B4698" s="31"/>
      <c r="G4698" s="272" t="s">
        <v>1099</v>
      </c>
    </row>
    <row r="4699">
      <c r="B4699" s="31"/>
      <c r="G4699" s="272" t="s">
        <v>1099</v>
      </c>
    </row>
    <row r="4700">
      <c r="B4700" s="31"/>
      <c r="G4700" s="272" t="s">
        <v>1099</v>
      </c>
    </row>
    <row r="4701">
      <c r="B4701" s="31"/>
      <c r="G4701" s="272" t="s">
        <v>1099</v>
      </c>
    </row>
    <row r="4702">
      <c r="B4702" s="31"/>
      <c r="G4702" s="272" t="s">
        <v>1099</v>
      </c>
    </row>
    <row r="4703">
      <c r="B4703" s="31"/>
      <c r="G4703" s="272" t="s">
        <v>1099</v>
      </c>
    </row>
    <row r="4704">
      <c r="B4704" s="31"/>
      <c r="G4704" s="272" t="s">
        <v>1099</v>
      </c>
    </row>
    <row r="4705">
      <c r="B4705" s="31"/>
      <c r="G4705" s="272" t="s">
        <v>1099</v>
      </c>
    </row>
    <row r="4706">
      <c r="B4706" s="31"/>
      <c r="G4706" s="272" t="s">
        <v>1099</v>
      </c>
    </row>
    <row r="4707">
      <c r="B4707" s="31"/>
      <c r="G4707" s="272" t="s">
        <v>1099</v>
      </c>
    </row>
    <row r="4708">
      <c r="B4708" s="31"/>
      <c r="G4708" s="272" t="s">
        <v>1099</v>
      </c>
    </row>
    <row r="4709">
      <c r="B4709" s="31"/>
      <c r="G4709" s="272" t="s">
        <v>1099</v>
      </c>
    </row>
    <row r="4710">
      <c r="B4710" s="31"/>
      <c r="G4710" s="272" t="s">
        <v>1099</v>
      </c>
    </row>
    <row r="4711">
      <c r="B4711" s="31"/>
      <c r="G4711" s="272" t="s">
        <v>1099</v>
      </c>
    </row>
    <row r="4712">
      <c r="B4712" s="31"/>
      <c r="G4712" s="272" t="s">
        <v>1099</v>
      </c>
    </row>
    <row r="4713">
      <c r="B4713" s="31"/>
      <c r="G4713" s="272" t="s">
        <v>1099</v>
      </c>
    </row>
    <row r="4714">
      <c r="B4714" s="31"/>
      <c r="G4714" s="272" t="s">
        <v>1099</v>
      </c>
    </row>
    <row r="4715">
      <c r="B4715" s="31"/>
      <c r="G4715" s="272" t="s">
        <v>1099</v>
      </c>
    </row>
    <row r="4716">
      <c r="B4716" s="31"/>
      <c r="G4716" s="272" t="s">
        <v>1099</v>
      </c>
    </row>
    <row r="4717">
      <c r="B4717" s="31"/>
      <c r="G4717" s="272" t="s">
        <v>1099</v>
      </c>
    </row>
    <row r="4718">
      <c r="B4718" s="31"/>
      <c r="G4718" s="272" t="s">
        <v>1099</v>
      </c>
    </row>
    <row r="4719">
      <c r="B4719" s="31"/>
      <c r="G4719" s="272" t="s">
        <v>1099</v>
      </c>
    </row>
    <row r="4720">
      <c r="B4720" s="31"/>
      <c r="G4720" s="272" t="s">
        <v>1099</v>
      </c>
    </row>
    <row r="4721">
      <c r="B4721" s="31"/>
      <c r="G4721" s="272" t="s">
        <v>1099</v>
      </c>
    </row>
    <row r="4722">
      <c r="B4722" s="31"/>
      <c r="G4722" s="272" t="s">
        <v>1099</v>
      </c>
    </row>
    <row r="4723">
      <c r="B4723" s="31"/>
      <c r="G4723" s="272" t="s">
        <v>1099</v>
      </c>
    </row>
    <row r="4724">
      <c r="B4724" s="31"/>
      <c r="G4724" s="272" t="s">
        <v>1099</v>
      </c>
    </row>
    <row r="4725">
      <c r="B4725" s="31"/>
      <c r="G4725" s="272" t="s">
        <v>1099</v>
      </c>
    </row>
    <row r="4726">
      <c r="B4726" s="31"/>
      <c r="G4726" s="272" t="s">
        <v>1099</v>
      </c>
    </row>
    <row r="4727">
      <c r="B4727" s="31"/>
      <c r="G4727" s="272" t="s">
        <v>1099</v>
      </c>
    </row>
    <row r="4728">
      <c r="B4728" s="31"/>
      <c r="G4728" s="272" t="s">
        <v>1099</v>
      </c>
    </row>
    <row r="4729">
      <c r="B4729" s="31"/>
      <c r="G4729" s="272" t="s">
        <v>1099</v>
      </c>
    </row>
    <row r="4730">
      <c r="B4730" s="31"/>
      <c r="G4730" s="272" t="s">
        <v>1099</v>
      </c>
    </row>
    <row r="4731">
      <c r="B4731" s="31"/>
      <c r="G4731" s="272" t="s">
        <v>1099</v>
      </c>
    </row>
    <row r="4732">
      <c r="B4732" s="31"/>
      <c r="G4732" s="272" t="s">
        <v>1099</v>
      </c>
    </row>
    <row r="4733">
      <c r="B4733" s="31"/>
      <c r="G4733" s="272" t="s">
        <v>1099</v>
      </c>
    </row>
    <row r="4734">
      <c r="B4734" s="31"/>
      <c r="G4734" s="272" t="s">
        <v>1099</v>
      </c>
    </row>
    <row r="4735">
      <c r="B4735" s="31"/>
      <c r="G4735" s="272" t="s">
        <v>1099</v>
      </c>
    </row>
    <row r="4736">
      <c r="B4736" s="31"/>
      <c r="G4736" s="272" t="s">
        <v>1099</v>
      </c>
    </row>
    <row r="4737">
      <c r="B4737" s="31"/>
      <c r="G4737" s="272" t="s">
        <v>1099</v>
      </c>
    </row>
    <row r="4738">
      <c r="B4738" s="31"/>
      <c r="G4738" s="272" t="s">
        <v>1099</v>
      </c>
    </row>
    <row r="4739">
      <c r="B4739" s="31"/>
      <c r="G4739" s="272" t="s">
        <v>1099</v>
      </c>
    </row>
    <row r="4740">
      <c r="B4740" s="31"/>
      <c r="G4740" s="272" t="s">
        <v>1099</v>
      </c>
    </row>
    <row r="4741">
      <c r="B4741" s="31"/>
      <c r="G4741" s="272" t="s">
        <v>1099</v>
      </c>
    </row>
    <row r="4742">
      <c r="B4742" s="31"/>
      <c r="G4742" s="272" t="s">
        <v>1099</v>
      </c>
    </row>
    <row r="4743">
      <c r="B4743" s="31"/>
      <c r="G4743" s="272" t="s">
        <v>1099</v>
      </c>
    </row>
    <row r="4744">
      <c r="B4744" s="31"/>
      <c r="G4744" s="272" t="s">
        <v>1099</v>
      </c>
    </row>
    <row r="4745">
      <c r="B4745" s="31"/>
      <c r="G4745" s="272" t="s">
        <v>1099</v>
      </c>
    </row>
    <row r="4746">
      <c r="B4746" s="31"/>
      <c r="G4746" s="272" t="s">
        <v>1099</v>
      </c>
    </row>
    <row r="4747">
      <c r="B4747" s="31"/>
      <c r="G4747" s="272" t="s">
        <v>1099</v>
      </c>
    </row>
    <row r="4748">
      <c r="B4748" s="31"/>
      <c r="G4748" s="272" t="s">
        <v>1099</v>
      </c>
    </row>
    <row r="4749">
      <c r="B4749" s="31"/>
      <c r="G4749" s="272" t="s">
        <v>1099</v>
      </c>
    </row>
    <row r="4750">
      <c r="B4750" s="31"/>
      <c r="G4750" s="272" t="s">
        <v>1099</v>
      </c>
    </row>
    <row r="4751">
      <c r="B4751" s="31"/>
      <c r="G4751" s="272" t="s">
        <v>1099</v>
      </c>
    </row>
    <row r="4752">
      <c r="B4752" s="31"/>
      <c r="G4752" s="272" t="s">
        <v>1099</v>
      </c>
    </row>
    <row r="4753">
      <c r="B4753" s="31"/>
      <c r="G4753" s="272" t="s">
        <v>1099</v>
      </c>
    </row>
    <row r="4754">
      <c r="B4754" s="31"/>
      <c r="G4754" s="272" t="s">
        <v>1099</v>
      </c>
    </row>
    <row r="4755">
      <c r="B4755" s="31"/>
      <c r="G4755" s="272" t="s">
        <v>1099</v>
      </c>
    </row>
    <row r="4756">
      <c r="B4756" s="31"/>
      <c r="G4756" s="272" t="s">
        <v>1099</v>
      </c>
    </row>
    <row r="4757">
      <c r="B4757" s="31"/>
      <c r="G4757" s="272" t="s">
        <v>1099</v>
      </c>
    </row>
    <row r="4758">
      <c r="B4758" s="31"/>
      <c r="G4758" s="272" t="s">
        <v>1099</v>
      </c>
    </row>
    <row r="4759">
      <c r="B4759" s="31"/>
      <c r="G4759" s="272" t="s">
        <v>1099</v>
      </c>
    </row>
    <row r="4760">
      <c r="B4760" s="31"/>
      <c r="G4760" s="272" t="s">
        <v>1099</v>
      </c>
    </row>
    <row r="4761">
      <c r="B4761" s="31"/>
      <c r="G4761" s="272" t="s">
        <v>1099</v>
      </c>
    </row>
    <row r="4762">
      <c r="B4762" s="31"/>
      <c r="G4762" s="272" t="s">
        <v>1099</v>
      </c>
    </row>
    <row r="4763">
      <c r="B4763" s="31"/>
      <c r="G4763" s="272" t="s">
        <v>1099</v>
      </c>
    </row>
    <row r="4764">
      <c r="B4764" s="31"/>
      <c r="G4764" s="272" t="s">
        <v>1099</v>
      </c>
    </row>
    <row r="4765">
      <c r="B4765" s="31"/>
      <c r="G4765" s="272" t="s">
        <v>1099</v>
      </c>
    </row>
    <row r="4766">
      <c r="B4766" s="31"/>
      <c r="G4766" s="272" t="s">
        <v>1099</v>
      </c>
    </row>
    <row r="4767">
      <c r="B4767" s="31"/>
      <c r="G4767" s="272" t="s">
        <v>1099</v>
      </c>
    </row>
    <row r="4768">
      <c r="B4768" s="31"/>
      <c r="G4768" s="272" t="s">
        <v>1099</v>
      </c>
    </row>
    <row r="4769">
      <c r="B4769" s="31"/>
      <c r="G4769" s="272" t="s">
        <v>1099</v>
      </c>
    </row>
    <row r="4770">
      <c r="B4770" s="31"/>
      <c r="G4770" s="272" t="s">
        <v>1099</v>
      </c>
    </row>
    <row r="4771">
      <c r="B4771" s="31"/>
      <c r="G4771" s="272" t="s">
        <v>1099</v>
      </c>
    </row>
    <row r="4772">
      <c r="B4772" s="31"/>
      <c r="G4772" s="272" t="s">
        <v>1099</v>
      </c>
    </row>
    <row r="4773">
      <c r="B4773" s="31"/>
      <c r="G4773" s="272" t="s">
        <v>1099</v>
      </c>
    </row>
    <row r="4774">
      <c r="B4774" s="31"/>
      <c r="G4774" s="272" t="s">
        <v>1099</v>
      </c>
    </row>
    <row r="4775">
      <c r="B4775" s="31"/>
      <c r="G4775" s="272" t="s">
        <v>1099</v>
      </c>
    </row>
    <row r="4776">
      <c r="B4776" s="31"/>
      <c r="G4776" s="272" t="s">
        <v>1099</v>
      </c>
    </row>
    <row r="4777">
      <c r="B4777" s="31"/>
      <c r="G4777" s="272" t="s">
        <v>1099</v>
      </c>
    </row>
    <row r="4778">
      <c r="B4778" s="31"/>
      <c r="G4778" s="272" t="s">
        <v>1099</v>
      </c>
    </row>
    <row r="4779">
      <c r="B4779" s="31"/>
      <c r="G4779" s="272" t="s">
        <v>1099</v>
      </c>
    </row>
    <row r="4780">
      <c r="B4780" s="31"/>
      <c r="G4780" s="272" t="s">
        <v>1099</v>
      </c>
    </row>
    <row r="4781">
      <c r="B4781" s="31"/>
      <c r="G4781" s="272" t="s">
        <v>1099</v>
      </c>
    </row>
    <row r="4782">
      <c r="B4782" s="31"/>
      <c r="G4782" s="272" t="s">
        <v>1099</v>
      </c>
    </row>
    <row r="4783">
      <c r="B4783" s="31"/>
      <c r="G4783" s="272" t="s">
        <v>1099</v>
      </c>
    </row>
    <row r="4784">
      <c r="B4784" s="31"/>
      <c r="G4784" s="272" t="s">
        <v>1099</v>
      </c>
    </row>
    <row r="4785">
      <c r="B4785" s="31"/>
      <c r="G4785" s="272" t="s">
        <v>1099</v>
      </c>
    </row>
    <row r="4786">
      <c r="B4786" s="31"/>
      <c r="G4786" s="272" t="s">
        <v>1099</v>
      </c>
    </row>
    <row r="4787">
      <c r="B4787" s="31"/>
      <c r="G4787" s="272" t="s">
        <v>1099</v>
      </c>
    </row>
    <row r="4788">
      <c r="B4788" s="31"/>
      <c r="G4788" s="272" t="s">
        <v>1099</v>
      </c>
    </row>
    <row r="4789">
      <c r="B4789" s="31"/>
      <c r="G4789" s="272" t="s">
        <v>1099</v>
      </c>
    </row>
    <row r="4790">
      <c r="B4790" s="31"/>
      <c r="G4790" s="272" t="s">
        <v>1099</v>
      </c>
    </row>
    <row r="4791">
      <c r="B4791" s="31"/>
      <c r="G4791" s="272" t="s">
        <v>1099</v>
      </c>
    </row>
    <row r="4792">
      <c r="B4792" s="31"/>
      <c r="G4792" s="272" t="s">
        <v>1099</v>
      </c>
    </row>
    <row r="4793">
      <c r="B4793" s="31"/>
      <c r="G4793" s="272" t="s">
        <v>1099</v>
      </c>
    </row>
    <row r="4794">
      <c r="B4794" s="31"/>
      <c r="G4794" s="272" t="s">
        <v>1099</v>
      </c>
    </row>
    <row r="4795">
      <c r="B4795" s="31"/>
      <c r="G4795" s="272" t="s">
        <v>1099</v>
      </c>
    </row>
    <row r="4796">
      <c r="B4796" s="31"/>
      <c r="G4796" s="272" t="s">
        <v>1099</v>
      </c>
    </row>
    <row r="4797">
      <c r="B4797" s="31"/>
      <c r="G4797" s="272" t="s">
        <v>1099</v>
      </c>
    </row>
    <row r="4798">
      <c r="B4798" s="31"/>
      <c r="G4798" s="272" t="s">
        <v>1099</v>
      </c>
    </row>
    <row r="4799">
      <c r="B4799" s="31"/>
      <c r="G4799" s="272" t="s">
        <v>1099</v>
      </c>
    </row>
    <row r="4800">
      <c r="B4800" s="31"/>
      <c r="G4800" s="272" t="s">
        <v>1099</v>
      </c>
    </row>
    <row r="4801">
      <c r="B4801" s="31"/>
      <c r="G4801" s="272" t="s">
        <v>1099</v>
      </c>
    </row>
    <row r="4802">
      <c r="B4802" s="31"/>
      <c r="G4802" s="272" t="s">
        <v>1099</v>
      </c>
    </row>
    <row r="4803">
      <c r="B4803" s="31"/>
      <c r="G4803" s="272" t="s">
        <v>1099</v>
      </c>
    </row>
    <row r="4804">
      <c r="B4804" s="31"/>
      <c r="G4804" s="272" t="s">
        <v>1099</v>
      </c>
    </row>
    <row r="4805">
      <c r="B4805" s="31"/>
      <c r="G4805" s="272" t="s">
        <v>1099</v>
      </c>
    </row>
    <row r="4806">
      <c r="B4806" s="31"/>
      <c r="G4806" s="272" t="s">
        <v>1099</v>
      </c>
    </row>
    <row r="4807">
      <c r="B4807" s="31"/>
      <c r="G4807" s="272" t="s">
        <v>1099</v>
      </c>
    </row>
    <row r="4808">
      <c r="B4808" s="31"/>
      <c r="G4808" s="272" t="s">
        <v>1099</v>
      </c>
    </row>
    <row r="4809">
      <c r="B4809" s="31"/>
      <c r="G4809" s="272" t="s">
        <v>1099</v>
      </c>
    </row>
    <row r="4810">
      <c r="B4810" s="31"/>
      <c r="G4810" s="272" t="s">
        <v>1099</v>
      </c>
    </row>
    <row r="4811">
      <c r="B4811" s="31"/>
      <c r="G4811" s="272" t="s">
        <v>1099</v>
      </c>
    </row>
    <row r="4812">
      <c r="B4812" s="31"/>
      <c r="G4812" s="272" t="s">
        <v>1099</v>
      </c>
    </row>
    <row r="4813">
      <c r="B4813" s="31"/>
      <c r="G4813" s="272" t="s">
        <v>1099</v>
      </c>
    </row>
    <row r="4814">
      <c r="B4814" s="31"/>
      <c r="G4814" s="272" t="s">
        <v>1099</v>
      </c>
    </row>
    <row r="4815">
      <c r="B4815" s="31"/>
      <c r="G4815" s="272" t="s">
        <v>1099</v>
      </c>
    </row>
    <row r="4816">
      <c r="B4816" s="31"/>
      <c r="G4816" s="272" t="s">
        <v>1099</v>
      </c>
    </row>
    <row r="4817">
      <c r="B4817" s="31"/>
      <c r="G4817" s="272" t="s">
        <v>1099</v>
      </c>
    </row>
    <row r="4818">
      <c r="B4818" s="31"/>
      <c r="G4818" s="272" t="s">
        <v>1099</v>
      </c>
    </row>
    <row r="4819">
      <c r="B4819" s="31"/>
      <c r="G4819" s="272" t="s">
        <v>1099</v>
      </c>
    </row>
    <row r="4820">
      <c r="B4820" s="31"/>
      <c r="G4820" s="272" t="s">
        <v>1099</v>
      </c>
    </row>
    <row r="4821">
      <c r="B4821" s="31"/>
      <c r="G4821" s="272" t="s">
        <v>1099</v>
      </c>
    </row>
    <row r="4822">
      <c r="B4822" s="31"/>
      <c r="G4822" s="272" t="s">
        <v>1099</v>
      </c>
    </row>
    <row r="4823">
      <c r="B4823" s="31"/>
      <c r="G4823" s="272" t="s">
        <v>1099</v>
      </c>
    </row>
    <row r="4824">
      <c r="B4824" s="31"/>
      <c r="G4824" s="272" t="s">
        <v>1099</v>
      </c>
    </row>
    <row r="4825">
      <c r="B4825" s="31"/>
      <c r="G4825" s="272" t="s">
        <v>1099</v>
      </c>
    </row>
    <row r="4826">
      <c r="B4826" s="31"/>
      <c r="G4826" s="272" t="s">
        <v>1099</v>
      </c>
    </row>
    <row r="4827">
      <c r="B4827" s="31"/>
      <c r="G4827" s="272" t="s">
        <v>1099</v>
      </c>
    </row>
    <row r="4828">
      <c r="B4828" s="31"/>
      <c r="G4828" s="272" t="s">
        <v>1099</v>
      </c>
    </row>
    <row r="4829">
      <c r="B4829" s="31"/>
      <c r="G4829" s="272" t="s">
        <v>1099</v>
      </c>
    </row>
    <row r="4830">
      <c r="B4830" s="31"/>
      <c r="G4830" s="272" t="s">
        <v>1099</v>
      </c>
    </row>
    <row r="4831">
      <c r="B4831" s="31"/>
      <c r="G4831" s="272" t="s">
        <v>1099</v>
      </c>
    </row>
    <row r="4832">
      <c r="B4832" s="31"/>
      <c r="G4832" s="272" t="s">
        <v>1099</v>
      </c>
    </row>
    <row r="4833">
      <c r="B4833" s="31"/>
      <c r="G4833" s="272" t="s">
        <v>1099</v>
      </c>
    </row>
    <row r="4834">
      <c r="B4834" s="31"/>
      <c r="G4834" s="272" t="s">
        <v>1099</v>
      </c>
    </row>
    <row r="4835">
      <c r="B4835" s="31"/>
      <c r="G4835" s="272" t="s">
        <v>1099</v>
      </c>
    </row>
    <row r="4836">
      <c r="B4836" s="31"/>
      <c r="G4836" s="272" t="s">
        <v>1099</v>
      </c>
    </row>
    <row r="4837">
      <c r="B4837" s="31"/>
      <c r="G4837" s="272" t="s">
        <v>1099</v>
      </c>
    </row>
    <row r="4838">
      <c r="B4838" s="31"/>
      <c r="G4838" s="272" t="s">
        <v>1099</v>
      </c>
    </row>
    <row r="4839">
      <c r="B4839" s="31"/>
      <c r="G4839" s="272" t="s">
        <v>1099</v>
      </c>
    </row>
    <row r="4840">
      <c r="B4840" s="31"/>
      <c r="G4840" s="272" t="s">
        <v>1099</v>
      </c>
    </row>
    <row r="4841">
      <c r="B4841" s="31"/>
      <c r="G4841" s="272" t="s">
        <v>1099</v>
      </c>
    </row>
    <row r="4842">
      <c r="B4842" s="31"/>
      <c r="G4842" s="272" t="s">
        <v>1099</v>
      </c>
    </row>
    <row r="4843">
      <c r="B4843" s="31"/>
      <c r="G4843" s="272" t="s">
        <v>1099</v>
      </c>
    </row>
    <row r="4844">
      <c r="B4844" s="31"/>
      <c r="G4844" s="272" t="s">
        <v>1099</v>
      </c>
    </row>
    <row r="4845">
      <c r="B4845" s="31"/>
      <c r="G4845" s="272" t="s">
        <v>1099</v>
      </c>
    </row>
    <row r="4846">
      <c r="B4846" s="31"/>
      <c r="G4846" s="272" t="s">
        <v>1099</v>
      </c>
    </row>
    <row r="4847">
      <c r="B4847" s="31"/>
      <c r="G4847" s="272" t="s">
        <v>1099</v>
      </c>
    </row>
    <row r="4848">
      <c r="B4848" s="31"/>
      <c r="G4848" s="272" t="s">
        <v>1099</v>
      </c>
    </row>
    <row r="4849">
      <c r="B4849" s="31"/>
      <c r="G4849" s="272" t="s">
        <v>1099</v>
      </c>
    </row>
    <row r="4850">
      <c r="B4850" s="31"/>
      <c r="G4850" s="272" t="s">
        <v>1099</v>
      </c>
    </row>
    <row r="4851">
      <c r="B4851" s="31"/>
      <c r="G4851" s="272" t="s">
        <v>1099</v>
      </c>
    </row>
    <row r="4852">
      <c r="B4852" s="31"/>
      <c r="G4852" s="272" t="s">
        <v>1099</v>
      </c>
    </row>
    <row r="4853">
      <c r="B4853" s="31"/>
      <c r="G4853" s="272" t="s">
        <v>1099</v>
      </c>
    </row>
    <row r="4854">
      <c r="B4854" s="31"/>
      <c r="G4854" s="272" t="s">
        <v>1099</v>
      </c>
    </row>
    <row r="4855">
      <c r="B4855" s="31"/>
      <c r="G4855" s="272" t="s">
        <v>1099</v>
      </c>
    </row>
    <row r="4856">
      <c r="B4856" s="31"/>
      <c r="G4856" s="272" t="s">
        <v>1099</v>
      </c>
    </row>
    <row r="4857">
      <c r="B4857" s="31"/>
      <c r="G4857" s="272" t="s">
        <v>1099</v>
      </c>
    </row>
    <row r="4858">
      <c r="B4858" s="31"/>
      <c r="G4858" s="272" t="s">
        <v>1099</v>
      </c>
    </row>
    <row r="4859">
      <c r="B4859" s="31"/>
      <c r="G4859" s="272" t="s">
        <v>1099</v>
      </c>
    </row>
    <row r="4860">
      <c r="B4860" s="31"/>
      <c r="G4860" s="272" t="s">
        <v>1099</v>
      </c>
    </row>
    <row r="4861">
      <c r="B4861" s="31"/>
      <c r="G4861" s="272" t="s">
        <v>1099</v>
      </c>
    </row>
    <row r="4862">
      <c r="B4862" s="31"/>
      <c r="G4862" s="272" t="s">
        <v>1099</v>
      </c>
    </row>
    <row r="4863">
      <c r="B4863" s="31"/>
      <c r="G4863" s="272" t="s">
        <v>1099</v>
      </c>
    </row>
    <row r="4864">
      <c r="B4864" s="31"/>
      <c r="G4864" s="272" t="s">
        <v>1099</v>
      </c>
    </row>
    <row r="4865">
      <c r="B4865" s="31"/>
      <c r="G4865" s="272" t="s">
        <v>1099</v>
      </c>
    </row>
    <row r="4866">
      <c r="B4866" s="31"/>
      <c r="G4866" s="272" t="s">
        <v>1099</v>
      </c>
    </row>
    <row r="4867">
      <c r="B4867" s="31"/>
      <c r="G4867" s="272" t="s">
        <v>1099</v>
      </c>
    </row>
    <row r="4868">
      <c r="B4868" s="31"/>
      <c r="G4868" s="272" t="s">
        <v>1099</v>
      </c>
    </row>
    <row r="4869">
      <c r="B4869" s="31"/>
      <c r="G4869" s="272" t="s">
        <v>1099</v>
      </c>
    </row>
    <row r="4870">
      <c r="B4870" s="31"/>
      <c r="G4870" s="272" t="s">
        <v>1099</v>
      </c>
    </row>
    <row r="4871">
      <c r="B4871" s="31"/>
      <c r="G4871" s="272" t="s">
        <v>1099</v>
      </c>
    </row>
    <row r="4872">
      <c r="B4872" s="31"/>
      <c r="G4872" s="272" t="s">
        <v>1099</v>
      </c>
    </row>
    <row r="4873">
      <c r="B4873" s="31"/>
      <c r="G4873" s="272" t="s">
        <v>1099</v>
      </c>
    </row>
    <row r="4874">
      <c r="B4874" s="31"/>
      <c r="G4874" s="272" t="s">
        <v>1099</v>
      </c>
    </row>
    <row r="4875">
      <c r="B4875" s="31"/>
      <c r="G4875" s="272" t="s">
        <v>1099</v>
      </c>
    </row>
    <row r="4876">
      <c r="B4876" s="31"/>
      <c r="G4876" s="272" t="s">
        <v>1099</v>
      </c>
    </row>
    <row r="4877">
      <c r="B4877" s="31"/>
      <c r="G4877" s="272" t="s">
        <v>1099</v>
      </c>
    </row>
    <row r="4878">
      <c r="B4878" s="31"/>
      <c r="G4878" s="272" t="s">
        <v>1099</v>
      </c>
    </row>
    <row r="4879">
      <c r="B4879" s="31"/>
      <c r="G4879" s="272" t="s">
        <v>1099</v>
      </c>
    </row>
    <row r="4880">
      <c r="B4880" s="31"/>
      <c r="G4880" s="272" t="s">
        <v>1099</v>
      </c>
    </row>
    <row r="4881">
      <c r="B4881" s="31"/>
      <c r="G4881" s="272" t="s">
        <v>1099</v>
      </c>
    </row>
    <row r="4882">
      <c r="B4882" s="31"/>
      <c r="G4882" s="272" t="s">
        <v>1099</v>
      </c>
    </row>
    <row r="4883">
      <c r="B4883" s="31"/>
      <c r="G4883" s="272" t="s">
        <v>1099</v>
      </c>
    </row>
    <row r="4884">
      <c r="B4884" s="31"/>
      <c r="G4884" s="272" t="s">
        <v>1099</v>
      </c>
    </row>
    <row r="4885">
      <c r="B4885" s="31"/>
      <c r="G4885" s="272" t="s">
        <v>1099</v>
      </c>
    </row>
    <row r="4886">
      <c r="B4886" s="31"/>
      <c r="G4886" s="272" t="s">
        <v>1099</v>
      </c>
    </row>
    <row r="4887">
      <c r="B4887" s="31"/>
      <c r="G4887" s="272" t="s">
        <v>1099</v>
      </c>
    </row>
    <row r="4888">
      <c r="B4888" s="31"/>
      <c r="G4888" s="272" t="s">
        <v>1099</v>
      </c>
    </row>
    <row r="4889">
      <c r="B4889" s="31"/>
      <c r="G4889" s="272" t="s">
        <v>1099</v>
      </c>
    </row>
    <row r="4890">
      <c r="B4890" s="31"/>
      <c r="G4890" s="272" t="s">
        <v>1099</v>
      </c>
    </row>
    <row r="4891">
      <c r="B4891" s="31"/>
      <c r="G4891" s="272" t="s">
        <v>1099</v>
      </c>
    </row>
    <row r="4892">
      <c r="B4892" s="31"/>
      <c r="G4892" s="272" t="s">
        <v>1099</v>
      </c>
    </row>
    <row r="4893">
      <c r="B4893" s="31"/>
      <c r="G4893" s="272" t="s">
        <v>1099</v>
      </c>
    </row>
    <row r="4894">
      <c r="B4894" s="31"/>
      <c r="G4894" s="272" t="s">
        <v>1099</v>
      </c>
    </row>
    <row r="4895">
      <c r="B4895" s="31"/>
      <c r="G4895" s="272" t="s">
        <v>1099</v>
      </c>
    </row>
    <row r="4896">
      <c r="B4896" s="31"/>
      <c r="G4896" s="272" t="s">
        <v>1099</v>
      </c>
    </row>
    <row r="4897">
      <c r="B4897" s="31"/>
      <c r="G4897" s="272" t="s">
        <v>1099</v>
      </c>
    </row>
    <row r="4898">
      <c r="B4898" s="31"/>
      <c r="G4898" s="272" t="s">
        <v>1099</v>
      </c>
    </row>
    <row r="4899">
      <c r="B4899" s="31"/>
      <c r="G4899" s="272" t="s">
        <v>1099</v>
      </c>
    </row>
    <row r="4900">
      <c r="B4900" s="31"/>
      <c r="G4900" s="272" t="s">
        <v>1099</v>
      </c>
    </row>
    <row r="4901">
      <c r="B4901" s="31"/>
      <c r="G4901" s="272" t="s">
        <v>1099</v>
      </c>
    </row>
    <row r="4902">
      <c r="B4902" s="31"/>
      <c r="G4902" s="272" t="s">
        <v>1099</v>
      </c>
    </row>
    <row r="4903">
      <c r="B4903" s="31"/>
      <c r="G4903" s="272" t="s">
        <v>1099</v>
      </c>
    </row>
    <row r="4904">
      <c r="B4904" s="31"/>
      <c r="G4904" s="272" t="s">
        <v>1099</v>
      </c>
    </row>
    <row r="4905">
      <c r="B4905" s="31"/>
      <c r="G4905" s="272" t="s">
        <v>1099</v>
      </c>
    </row>
    <row r="4906">
      <c r="B4906" s="31"/>
      <c r="G4906" s="272" t="s">
        <v>1099</v>
      </c>
    </row>
    <row r="4907">
      <c r="B4907" s="31"/>
      <c r="G4907" s="272" t="s">
        <v>1099</v>
      </c>
    </row>
    <row r="4908">
      <c r="B4908" s="31"/>
      <c r="G4908" s="272" t="s">
        <v>1099</v>
      </c>
    </row>
    <row r="4909">
      <c r="B4909" s="31"/>
      <c r="G4909" s="272" t="s">
        <v>1099</v>
      </c>
    </row>
    <row r="4910">
      <c r="B4910" s="31"/>
      <c r="G4910" s="272" t="s">
        <v>1099</v>
      </c>
    </row>
    <row r="4911">
      <c r="B4911" s="31"/>
      <c r="G4911" s="272" t="s">
        <v>1099</v>
      </c>
    </row>
    <row r="4912">
      <c r="B4912" s="31"/>
      <c r="G4912" s="272" t="s">
        <v>1099</v>
      </c>
    </row>
    <row r="4913">
      <c r="B4913" s="31"/>
      <c r="G4913" s="272" t="s">
        <v>1099</v>
      </c>
    </row>
    <row r="4914">
      <c r="B4914" s="31"/>
      <c r="G4914" s="272" t="s">
        <v>1099</v>
      </c>
    </row>
    <row r="4915">
      <c r="B4915" s="31"/>
      <c r="G4915" s="272" t="s">
        <v>1099</v>
      </c>
    </row>
    <row r="4916">
      <c r="B4916" s="31"/>
      <c r="G4916" s="272" t="s">
        <v>1099</v>
      </c>
    </row>
    <row r="4917">
      <c r="B4917" s="31"/>
      <c r="G4917" s="272" t="s">
        <v>1099</v>
      </c>
    </row>
    <row r="4918">
      <c r="B4918" s="31"/>
      <c r="G4918" s="272" t="s">
        <v>1099</v>
      </c>
    </row>
    <row r="4919">
      <c r="B4919" s="31"/>
      <c r="G4919" s="272" t="s">
        <v>1099</v>
      </c>
    </row>
    <row r="4920">
      <c r="B4920" s="31"/>
      <c r="G4920" s="272" t="s">
        <v>1099</v>
      </c>
    </row>
    <row r="4921">
      <c r="B4921" s="31"/>
      <c r="G4921" s="272" t="s">
        <v>1099</v>
      </c>
    </row>
    <row r="4922">
      <c r="B4922" s="31"/>
      <c r="G4922" s="272" t="s">
        <v>1099</v>
      </c>
    </row>
    <row r="4923">
      <c r="B4923" s="31"/>
      <c r="G4923" s="272" t="s">
        <v>1099</v>
      </c>
    </row>
    <row r="4924">
      <c r="B4924" s="31"/>
      <c r="G4924" s="272" t="s">
        <v>1099</v>
      </c>
    </row>
    <row r="4925">
      <c r="B4925" s="31"/>
      <c r="G4925" s="272" t="s">
        <v>1099</v>
      </c>
    </row>
    <row r="4926">
      <c r="B4926" s="31"/>
      <c r="G4926" s="272" t="s">
        <v>1099</v>
      </c>
    </row>
    <row r="4927">
      <c r="B4927" s="31"/>
      <c r="G4927" s="272" t="s">
        <v>1099</v>
      </c>
    </row>
    <row r="4928">
      <c r="B4928" s="31"/>
      <c r="G4928" s="272" t="s">
        <v>1099</v>
      </c>
    </row>
    <row r="4929">
      <c r="B4929" s="31"/>
      <c r="G4929" s="272" t="s">
        <v>1099</v>
      </c>
    </row>
    <row r="4930">
      <c r="B4930" s="31"/>
      <c r="G4930" s="272" t="s">
        <v>1099</v>
      </c>
    </row>
    <row r="4931">
      <c r="B4931" s="31"/>
      <c r="G4931" s="272" t="s">
        <v>1099</v>
      </c>
    </row>
    <row r="4932">
      <c r="B4932" s="31"/>
      <c r="G4932" s="272" t="s">
        <v>1099</v>
      </c>
    </row>
    <row r="4933">
      <c r="B4933" s="31"/>
      <c r="G4933" s="272" t="s">
        <v>1099</v>
      </c>
    </row>
    <row r="4934">
      <c r="B4934" s="31"/>
      <c r="G4934" s="272" t="s">
        <v>1099</v>
      </c>
    </row>
    <row r="4935">
      <c r="B4935" s="31"/>
      <c r="G4935" s="272" t="s">
        <v>1099</v>
      </c>
    </row>
    <row r="4936">
      <c r="B4936" s="31"/>
      <c r="G4936" s="272" t="s">
        <v>1099</v>
      </c>
    </row>
    <row r="4937">
      <c r="B4937" s="31"/>
      <c r="G4937" s="272" t="s">
        <v>1099</v>
      </c>
    </row>
    <row r="4938">
      <c r="B4938" s="31"/>
      <c r="G4938" s="272" t="s">
        <v>1099</v>
      </c>
    </row>
    <row r="4939">
      <c r="B4939" s="31"/>
      <c r="G4939" s="272" t="s">
        <v>1099</v>
      </c>
    </row>
    <row r="4940">
      <c r="B4940" s="31"/>
      <c r="G4940" s="272" t="s">
        <v>1099</v>
      </c>
    </row>
    <row r="4941">
      <c r="B4941" s="31"/>
      <c r="G4941" s="272" t="s">
        <v>1099</v>
      </c>
    </row>
    <row r="4942">
      <c r="B4942" s="31"/>
      <c r="G4942" s="272" t="s">
        <v>1099</v>
      </c>
    </row>
    <row r="4943">
      <c r="B4943" s="31"/>
      <c r="G4943" s="272" t="s">
        <v>1099</v>
      </c>
    </row>
    <row r="4944">
      <c r="B4944" s="31"/>
      <c r="G4944" s="272" t="s">
        <v>1099</v>
      </c>
    </row>
    <row r="4945">
      <c r="B4945" s="31"/>
      <c r="G4945" s="272" t="s">
        <v>1099</v>
      </c>
    </row>
    <row r="4946">
      <c r="B4946" s="31"/>
      <c r="G4946" s="272" t="s">
        <v>1099</v>
      </c>
    </row>
    <row r="4947">
      <c r="B4947" s="31"/>
      <c r="G4947" s="272" t="s">
        <v>1099</v>
      </c>
    </row>
    <row r="4948">
      <c r="B4948" s="31"/>
      <c r="G4948" s="272" t="s">
        <v>1099</v>
      </c>
    </row>
    <row r="4949">
      <c r="B4949" s="31"/>
      <c r="G4949" s="272" t="s">
        <v>1099</v>
      </c>
    </row>
    <row r="4950">
      <c r="B4950" s="31"/>
      <c r="G4950" s="272" t="s">
        <v>1099</v>
      </c>
    </row>
    <row r="4951">
      <c r="B4951" s="31"/>
      <c r="G4951" s="272" t="s">
        <v>1099</v>
      </c>
    </row>
    <row r="4952">
      <c r="B4952" s="31"/>
      <c r="G4952" s="272" t="s">
        <v>1099</v>
      </c>
    </row>
    <row r="4953">
      <c r="B4953" s="31"/>
      <c r="G4953" s="272" t="s">
        <v>1099</v>
      </c>
    </row>
    <row r="4954">
      <c r="B4954" s="31"/>
      <c r="G4954" s="272" t="s">
        <v>1099</v>
      </c>
    </row>
    <row r="4955">
      <c r="B4955" s="31"/>
      <c r="G4955" s="272" t="s">
        <v>1099</v>
      </c>
    </row>
    <row r="4956">
      <c r="B4956" s="31"/>
      <c r="G4956" s="272" t="s">
        <v>1099</v>
      </c>
    </row>
    <row r="4957">
      <c r="B4957" s="31"/>
      <c r="G4957" s="272" t="s">
        <v>1099</v>
      </c>
    </row>
    <row r="4958">
      <c r="B4958" s="31"/>
      <c r="G4958" s="272" t="s">
        <v>1099</v>
      </c>
    </row>
    <row r="4959">
      <c r="B4959" s="31"/>
      <c r="G4959" s="272" t="s">
        <v>1099</v>
      </c>
    </row>
    <row r="4960">
      <c r="B4960" s="31"/>
      <c r="G4960" s="272" t="s">
        <v>1099</v>
      </c>
    </row>
    <row r="4961">
      <c r="B4961" s="31"/>
      <c r="G4961" s="272" t="s">
        <v>1099</v>
      </c>
    </row>
    <row r="4962">
      <c r="B4962" s="31"/>
      <c r="G4962" s="272" t="s">
        <v>1099</v>
      </c>
    </row>
    <row r="4963">
      <c r="B4963" s="31"/>
      <c r="G4963" s="272" t="s">
        <v>1099</v>
      </c>
    </row>
    <row r="4964">
      <c r="B4964" s="31"/>
      <c r="G4964" s="272" t="s">
        <v>1099</v>
      </c>
    </row>
    <row r="4965">
      <c r="B4965" s="31"/>
      <c r="G4965" s="272" t="s">
        <v>1099</v>
      </c>
    </row>
    <row r="4966">
      <c r="B4966" s="31"/>
      <c r="G4966" s="272" t="s">
        <v>1099</v>
      </c>
    </row>
    <row r="4967">
      <c r="B4967" s="31"/>
      <c r="G4967" s="272" t="s">
        <v>1099</v>
      </c>
    </row>
    <row r="4968">
      <c r="B4968" s="31"/>
      <c r="G4968" s="272" t="s">
        <v>1099</v>
      </c>
    </row>
    <row r="4969">
      <c r="B4969" s="31"/>
      <c r="G4969" s="272" t="s">
        <v>1099</v>
      </c>
    </row>
    <row r="4970">
      <c r="B4970" s="31"/>
      <c r="G4970" s="272" t="s">
        <v>1099</v>
      </c>
    </row>
    <row r="4971">
      <c r="B4971" s="31"/>
      <c r="G4971" s="272" t="s">
        <v>1099</v>
      </c>
    </row>
    <row r="4972">
      <c r="B4972" s="31"/>
      <c r="G4972" s="272" t="s">
        <v>1099</v>
      </c>
    </row>
    <row r="4973">
      <c r="B4973" s="31"/>
      <c r="G4973" s="272" t="s">
        <v>1099</v>
      </c>
    </row>
    <row r="4974">
      <c r="B4974" s="31"/>
      <c r="G4974" s="272" t="s">
        <v>1099</v>
      </c>
    </row>
    <row r="4975">
      <c r="B4975" s="31"/>
      <c r="G4975" s="272" t="s">
        <v>1099</v>
      </c>
    </row>
    <row r="4976">
      <c r="B4976" s="31"/>
      <c r="G4976" s="272" t="s">
        <v>1099</v>
      </c>
    </row>
    <row r="4977">
      <c r="B4977" s="31"/>
      <c r="G4977" s="272" t="s">
        <v>1099</v>
      </c>
    </row>
    <row r="4978">
      <c r="B4978" s="31"/>
      <c r="G4978" s="272" t="s">
        <v>1099</v>
      </c>
    </row>
    <row r="4979">
      <c r="B4979" s="31"/>
      <c r="G4979" s="272" t="s">
        <v>1099</v>
      </c>
    </row>
    <row r="4980">
      <c r="B4980" s="31"/>
      <c r="G4980" s="272" t="s">
        <v>1099</v>
      </c>
    </row>
    <row r="4981">
      <c r="B4981" s="31"/>
      <c r="G4981" s="272" t="s">
        <v>1099</v>
      </c>
    </row>
    <row r="4982">
      <c r="B4982" s="31"/>
      <c r="G4982" s="272" t="s">
        <v>1099</v>
      </c>
    </row>
    <row r="4983">
      <c r="B4983" s="31"/>
      <c r="G4983" s="272" t="s">
        <v>1099</v>
      </c>
    </row>
    <row r="4984">
      <c r="B4984" s="31"/>
      <c r="G4984" s="272" t="s">
        <v>1099</v>
      </c>
    </row>
    <row r="4985">
      <c r="B4985" s="31"/>
      <c r="G4985" s="272" t="s">
        <v>1099</v>
      </c>
    </row>
    <row r="4986">
      <c r="B4986" s="31"/>
      <c r="G4986" s="272" t="s">
        <v>1099</v>
      </c>
    </row>
    <row r="4987">
      <c r="B4987" s="31"/>
      <c r="G4987" s="272" t="s">
        <v>1099</v>
      </c>
    </row>
    <row r="4988">
      <c r="B4988" s="31"/>
      <c r="G4988" s="272" t="s">
        <v>1099</v>
      </c>
    </row>
    <row r="4989">
      <c r="B4989" s="31"/>
      <c r="G4989" s="272" t="s">
        <v>1099</v>
      </c>
    </row>
    <row r="4990">
      <c r="B4990" s="31"/>
      <c r="G4990" s="272" t="s">
        <v>1099</v>
      </c>
    </row>
    <row r="4991">
      <c r="B4991" s="31"/>
      <c r="G4991" s="272" t="s">
        <v>1099</v>
      </c>
    </row>
    <row r="4992">
      <c r="B4992" s="31"/>
      <c r="G4992" s="272" t="s">
        <v>1099</v>
      </c>
    </row>
    <row r="4993">
      <c r="B4993" s="31"/>
      <c r="G4993" s="272" t="s">
        <v>1099</v>
      </c>
    </row>
    <row r="4994">
      <c r="B4994" s="31"/>
      <c r="G4994" s="272" t="s">
        <v>1099</v>
      </c>
    </row>
    <row r="4995">
      <c r="B4995" s="31"/>
      <c r="G4995" s="272" t="s">
        <v>1099</v>
      </c>
    </row>
    <row r="4996">
      <c r="B4996" s="31"/>
      <c r="G4996" s="272" t="s">
        <v>1099</v>
      </c>
    </row>
    <row r="4997">
      <c r="B4997" s="31"/>
      <c r="G4997" s="272" t="s">
        <v>1099</v>
      </c>
    </row>
    <row r="4998">
      <c r="B4998" s="31"/>
      <c r="G4998" s="272" t="s">
        <v>1099</v>
      </c>
    </row>
    <row r="4999">
      <c r="B4999" s="31"/>
      <c r="G4999" s="272" t="s">
        <v>1099</v>
      </c>
    </row>
    <row r="5000">
      <c r="B5000" s="31"/>
      <c r="G5000" s="272" t="s">
        <v>1099</v>
      </c>
    </row>
    <row r="5001">
      <c r="B5001" s="31"/>
      <c r="G5001" s="272" t="s">
        <v>1099</v>
      </c>
    </row>
    <row r="5002">
      <c r="B5002" s="31"/>
      <c r="G5002" s="272" t="s">
        <v>1099</v>
      </c>
    </row>
    <row r="5003">
      <c r="B5003" s="31"/>
      <c r="G5003" s="272" t="s">
        <v>1099</v>
      </c>
    </row>
    <row r="5004">
      <c r="B5004" s="31"/>
      <c r="G5004" s="272" t="s">
        <v>1099</v>
      </c>
    </row>
    <row r="5005">
      <c r="B5005" s="31"/>
      <c r="G5005" s="272" t="s">
        <v>1099</v>
      </c>
    </row>
    <row r="5006">
      <c r="B5006" s="31"/>
      <c r="G5006" s="272" t="s">
        <v>1099</v>
      </c>
    </row>
    <row r="5007">
      <c r="B5007" s="31"/>
      <c r="G5007" s="272" t="s">
        <v>1099</v>
      </c>
    </row>
    <row r="5008">
      <c r="B5008" s="31"/>
      <c r="G5008" s="272" t="s">
        <v>1099</v>
      </c>
    </row>
    <row r="5009">
      <c r="B5009" s="31"/>
      <c r="G5009" s="272" t="s">
        <v>1099</v>
      </c>
    </row>
    <row r="5010">
      <c r="B5010" s="31"/>
      <c r="G5010" s="272" t="s">
        <v>1099</v>
      </c>
    </row>
    <row r="5011">
      <c r="B5011" s="31"/>
      <c r="G5011" s="272" t="s">
        <v>1099</v>
      </c>
    </row>
    <row r="5012">
      <c r="B5012" s="31"/>
      <c r="G5012" s="272" t="s">
        <v>1099</v>
      </c>
    </row>
    <row r="5013">
      <c r="B5013" s="31"/>
      <c r="G5013" s="272" t="s">
        <v>1099</v>
      </c>
    </row>
    <row r="5014">
      <c r="B5014" s="31"/>
      <c r="G5014" s="272" t="s">
        <v>1099</v>
      </c>
    </row>
    <row r="5015">
      <c r="B5015" s="31"/>
      <c r="G5015" s="272" t="s">
        <v>1099</v>
      </c>
    </row>
    <row r="5016">
      <c r="B5016" s="31"/>
      <c r="G5016" s="272" t="s">
        <v>1099</v>
      </c>
    </row>
    <row r="5017">
      <c r="B5017" s="31"/>
      <c r="G5017" s="272" t="s">
        <v>1099</v>
      </c>
    </row>
    <row r="5018">
      <c r="B5018" s="31"/>
      <c r="G5018" s="272" t="s">
        <v>1099</v>
      </c>
    </row>
    <row r="5019">
      <c r="B5019" s="31"/>
      <c r="G5019" s="272" t="s">
        <v>1099</v>
      </c>
    </row>
    <row r="5020">
      <c r="B5020" s="31"/>
      <c r="G5020" s="272" t="s">
        <v>1099</v>
      </c>
    </row>
    <row r="5021">
      <c r="B5021" s="31"/>
      <c r="G5021" s="272" t="s">
        <v>1099</v>
      </c>
    </row>
    <row r="5022">
      <c r="B5022" s="31"/>
      <c r="G5022" s="272" t="s">
        <v>1099</v>
      </c>
    </row>
    <row r="5023">
      <c r="B5023" s="31"/>
      <c r="G5023" s="272" t="s">
        <v>1099</v>
      </c>
    </row>
    <row r="5024">
      <c r="B5024" s="31"/>
      <c r="G5024" s="272" t="s">
        <v>1099</v>
      </c>
    </row>
    <row r="5025">
      <c r="B5025" s="31"/>
      <c r="G5025" s="272" t="s">
        <v>1099</v>
      </c>
    </row>
    <row r="5026">
      <c r="B5026" s="31"/>
      <c r="G5026" s="272" t="s">
        <v>1099</v>
      </c>
    </row>
    <row r="5027">
      <c r="B5027" s="31"/>
      <c r="G5027" s="272" t="s">
        <v>1099</v>
      </c>
    </row>
    <row r="5028">
      <c r="B5028" s="31"/>
      <c r="G5028" s="272" t="s">
        <v>1099</v>
      </c>
    </row>
    <row r="5029">
      <c r="B5029" s="31"/>
      <c r="G5029" s="272" t="s">
        <v>1099</v>
      </c>
    </row>
    <row r="5030">
      <c r="B5030" s="31"/>
      <c r="G5030" s="272" t="s">
        <v>1099</v>
      </c>
    </row>
    <row r="5031">
      <c r="B5031" s="31"/>
      <c r="G5031" s="272" t="s">
        <v>1099</v>
      </c>
    </row>
    <row r="5032">
      <c r="B5032" s="31"/>
      <c r="G5032" s="272" t="s">
        <v>1099</v>
      </c>
    </row>
    <row r="5033">
      <c r="B5033" s="31"/>
      <c r="G5033" s="272" t="s">
        <v>1099</v>
      </c>
    </row>
    <row r="5034">
      <c r="B5034" s="31"/>
      <c r="G5034" s="272" t="s">
        <v>1099</v>
      </c>
    </row>
    <row r="5035">
      <c r="B5035" s="31"/>
      <c r="G5035" s="272" t="s">
        <v>1099</v>
      </c>
    </row>
    <row r="5036">
      <c r="B5036" s="31"/>
      <c r="G5036" s="272" t="s">
        <v>1099</v>
      </c>
    </row>
    <row r="5037">
      <c r="B5037" s="31"/>
      <c r="G5037" s="272" t="s">
        <v>1099</v>
      </c>
    </row>
    <row r="5038">
      <c r="B5038" s="31"/>
      <c r="G5038" s="272" t="s">
        <v>1099</v>
      </c>
    </row>
    <row r="5039">
      <c r="B5039" s="31"/>
      <c r="G5039" s="272" t="s">
        <v>1099</v>
      </c>
    </row>
    <row r="5040">
      <c r="B5040" s="31"/>
      <c r="G5040" s="272" t="s">
        <v>1099</v>
      </c>
    </row>
    <row r="5041">
      <c r="B5041" s="31"/>
      <c r="G5041" s="272" t="s">
        <v>1099</v>
      </c>
    </row>
    <row r="5042">
      <c r="B5042" s="31"/>
      <c r="G5042" s="272" t="s">
        <v>1099</v>
      </c>
    </row>
    <row r="5043">
      <c r="B5043" s="31"/>
      <c r="G5043" s="272" t="s">
        <v>1099</v>
      </c>
    </row>
    <row r="5044">
      <c r="B5044" s="31"/>
      <c r="G5044" s="272" t="s">
        <v>1099</v>
      </c>
    </row>
    <row r="5045">
      <c r="B5045" s="31"/>
      <c r="G5045" s="272" t="s">
        <v>1099</v>
      </c>
    </row>
    <row r="5046">
      <c r="B5046" s="31"/>
      <c r="G5046" s="272" t="s">
        <v>1099</v>
      </c>
    </row>
    <row r="5047">
      <c r="B5047" s="31"/>
      <c r="G5047" s="272" t="s">
        <v>1099</v>
      </c>
    </row>
    <row r="5048">
      <c r="B5048" s="31"/>
      <c r="G5048" s="272" t="s">
        <v>1099</v>
      </c>
    </row>
    <row r="5049">
      <c r="B5049" s="31"/>
      <c r="G5049" s="272" t="s">
        <v>1099</v>
      </c>
    </row>
    <row r="5050">
      <c r="B5050" s="31"/>
      <c r="G5050" s="272" t="s">
        <v>1099</v>
      </c>
    </row>
    <row r="5051">
      <c r="B5051" s="31"/>
      <c r="G5051" s="272" t="s">
        <v>1099</v>
      </c>
    </row>
    <row r="5052">
      <c r="B5052" s="31"/>
      <c r="G5052" s="272" t="s">
        <v>1099</v>
      </c>
    </row>
    <row r="5053">
      <c r="B5053" s="31"/>
      <c r="G5053" s="272" t="s">
        <v>1099</v>
      </c>
    </row>
    <row r="5054">
      <c r="B5054" s="31"/>
      <c r="G5054" s="272" t="s">
        <v>1099</v>
      </c>
    </row>
    <row r="5055">
      <c r="B5055" s="31"/>
      <c r="G5055" s="272" t="s">
        <v>1099</v>
      </c>
    </row>
    <row r="5056">
      <c r="B5056" s="31"/>
      <c r="G5056" s="272" t="s">
        <v>1099</v>
      </c>
    </row>
    <row r="5057">
      <c r="B5057" s="31"/>
      <c r="G5057" s="272" t="s">
        <v>1099</v>
      </c>
    </row>
    <row r="5058">
      <c r="B5058" s="31"/>
      <c r="G5058" s="272" t="s">
        <v>1099</v>
      </c>
    </row>
    <row r="5059">
      <c r="B5059" s="31"/>
      <c r="G5059" s="272" t="s">
        <v>1099</v>
      </c>
    </row>
    <row r="5060">
      <c r="B5060" s="31"/>
      <c r="G5060" s="272" t="s">
        <v>1099</v>
      </c>
    </row>
    <row r="5061">
      <c r="B5061" s="31"/>
      <c r="G5061" s="272" t="s">
        <v>1099</v>
      </c>
    </row>
    <row r="5062">
      <c r="B5062" s="31"/>
      <c r="G5062" s="272" t="s">
        <v>1099</v>
      </c>
    </row>
    <row r="5063">
      <c r="B5063" s="31"/>
      <c r="G5063" s="272" t="s">
        <v>1099</v>
      </c>
    </row>
    <row r="5064">
      <c r="B5064" s="31"/>
      <c r="G5064" s="272" t="s">
        <v>1099</v>
      </c>
    </row>
    <row r="5065">
      <c r="B5065" s="31"/>
      <c r="G5065" s="272" t="s">
        <v>1099</v>
      </c>
    </row>
    <row r="5066">
      <c r="B5066" s="31"/>
      <c r="G5066" s="272" t="s">
        <v>1099</v>
      </c>
    </row>
    <row r="5067">
      <c r="B5067" s="31"/>
      <c r="G5067" s="272" t="s">
        <v>1099</v>
      </c>
    </row>
    <row r="5068">
      <c r="B5068" s="31"/>
      <c r="G5068" s="272" t="s">
        <v>1099</v>
      </c>
    </row>
    <row r="5069">
      <c r="B5069" s="31"/>
      <c r="G5069" s="272" t="s">
        <v>1099</v>
      </c>
    </row>
    <row r="5070">
      <c r="B5070" s="31"/>
      <c r="G5070" s="272" t="s">
        <v>1099</v>
      </c>
    </row>
    <row r="5071">
      <c r="B5071" s="31"/>
      <c r="G5071" s="272" t="s">
        <v>1099</v>
      </c>
    </row>
    <row r="5072">
      <c r="B5072" s="31"/>
      <c r="G5072" s="272" t="s">
        <v>1099</v>
      </c>
    </row>
    <row r="5073">
      <c r="B5073" s="31"/>
      <c r="G5073" s="272" t="s">
        <v>1099</v>
      </c>
    </row>
    <row r="5074">
      <c r="B5074" s="31"/>
      <c r="G5074" s="272" t="s">
        <v>1099</v>
      </c>
    </row>
    <row r="5075">
      <c r="B5075" s="31"/>
      <c r="G5075" s="272" t="s">
        <v>1099</v>
      </c>
    </row>
    <row r="5076">
      <c r="B5076" s="31"/>
      <c r="G5076" s="272" t="s">
        <v>1099</v>
      </c>
    </row>
    <row r="5077">
      <c r="B5077" s="31"/>
      <c r="G5077" s="272" t="s">
        <v>1099</v>
      </c>
    </row>
    <row r="5078">
      <c r="B5078" s="31"/>
      <c r="G5078" s="272" t="s">
        <v>1099</v>
      </c>
    </row>
    <row r="5079">
      <c r="B5079" s="31"/>
      <c r="G5079" s="272" t="s">
        <v>1099</v>
      </c>
    </row>
    <row r="5080">
      <c r="B5080" s="31"/>
      <c r="G5080" s="272" t="s">
        <v>1099</v>
      </c>
    </row>
    <row r="5081">
      <c r="B5081" s="31"/>
      <c r="G5081" s="272" t="s">
        <v>1099</v>
      </c>
    </row>
    <row r="5082">
      <c r="B5082" s="31"/>
      <c r="G5082" s="272" t="s">
        <v>1099</v>
      </c>
    </row>
    <row r="5083">
      <c r="B5083" s="31"/>
      <c r="G5083" s="272" t="s">
        <v>1099</v>
      </c>
    </row>
    <row r="5084">
      <c r="B5084" s="31"/>
      <c r="G5084" s="272" t="s">
        <v>1099</v>
      </c>
    </row>
    <row r="5085">
      <c r="B5085" s="31"/>
      <c r="G5085" s="272" t="s">
        <v>1099</v>
      </c>
    </row>
    <row r="5086">
      <c r="B5086" s="31"/>
      <c r="G5086" s="272" t="s">
        <v>1099</v>
      </c>
    </row>
    <row r="5087">
      <c r="B5087" s="31"/>
      <c r="G5087" s="272" t="s">
        <v>1099</v>
      </c>
    </row>
    <row r="5088">
      <c r="B5088" s="31"/>
      <c r="G5088" s="272" t="s">
        <v>1099</v>
      </c>
    </row>
    <row r="5089">
      <c r="B5089" s="31"/>
      <c r="G5089" s="272" t="s">
        <v>1099</v>
      </c>
    </row>
    <row r="5090">
      <c r="B5090" s="31"/>
      <c r="G5090" s="272" t="s">
        <v>1099</v>
      </c>
    </row>
    <row r="5091">
      <c r="B5091" s="31"/>
      <c r="G5091" s="272" t="s">
        <v>1099</v>
      </c>
    </row>
    <row r="5092">
      <c r="B5092" s="31"/>
      <c r="G5092" s="272" t="s">
        <v>1099</v>
      </c>
    </row>
    <row r="5093">
      <c r="B5093" s="31"/>
      <c r="G5093" s="272" t="s">
        <v>1099</v>
      </c>
    </row>
    <row r="5094">
      <c r="B5094" s="31"/>
      <c r="G5094" s="272" t="s">
        <v>1099</v>
      </c>
    </row>
    <row r="5095">
      <c r="B5095" s="31"/>
      <c r="G5095" s="272" t="s">
        <v>1099</v>
      </c>
    </row>
    <row r="5096">
      <c r="B5096" s="31"/>
      <c r="G5096" s="272" t="s">
        <v>1099</v>
      </c>
    </row>
    <row r="5097">
      <c r="B5097" s="31"/>
      <c r="G5097" s="272" t="s">
        <v>1099</v>
      </c>
    </row>
    <row r="5098">
      <c r="B5098" s="31"/>
      <c r="G5098" s="272" t="s">
        <v>1099</v>
      </c>
    </row>
    <row r="5099">
      <c r="B5099" s="31"/>
      <c r="G5099" s="272" t="s">
        <v>1099</v>
      </c>
    </row>
    <row r="5100">
      <c r="B5100" s="31"/>
      <c r="G5100" s="272" t="s">
        <v>1099</v>
      </c>
    </row>
    <row r="5101">
      <c r="B5101" s="31"/>
      <c r="G5101" s="272" t="s">
        <v>1099</v>
      </c>
    </row>
    <row r="5102">
      <c r="B5102" s="31"/>
      <c r="G5102" s="272" t="s">
        <v>1099</v>
      </c>
    </row>
    <row r="5103">
      <c r="B5103" s="31"/>
      <c r="G5103" s="272" t="s">
        <v>1099</v>
      </c>
    </row>
    <row r="5104">
      <c r="B5104" s="31"/>
      <c r="G5104" s="272" t="s">
        <v>1099</v>
      </c>
    </row>
    <row r="5105">
      <c r="B5105" s="31"/>
      <c r="G5105" s="272" t="s">
        <v>1099</v>
      </c>
    </row>
    <row r="5106">
      <c r="B5106" s="31"/>
      <c r="G5106" s="272" t="s">
        <v>1099</v>
      </c>
    </row>
    <row r="5107">
      <c r="B5107" s="31"/>
      <c r="G5107" s="272" t="s">
        <v>1099</v>
      </c>
    </row>
    <row r="5108">
      <c r="B5108" s="31"/>
      <c r="G5108" s="272" t="s">
        <v>1099</v>
      </c>
    </row>
    <row r="5109">
      <c r="B5109" s="31"/>
      <c r="G5109" s="272" t="s">
        <v>1099</v>
      </c>
    </row>
    <row r="5110">
      <c r="B5110" s="31"/>
      <c r="G5110" s="272" t="s">
        <v>1099</v>
      </c>
    </row>
    <row r="5111">
      <c r="B5111" s="31"/>
      <c r="G5111" s="272" t="s">
        <v>1099</v>
      </c>
    </row>
    <row r="5112">
      <c r="B5112" s="31"/>
      <c r="G5112" s="272" t="s">
        <v>1099</v>
      </c>
    </row>
    <row r="5113">
      <c r="B5113" s="31"/>
      <c r="G5113" s="272" t="s">
        <v>1099</v>
      </c>
    </row>
    <row r="5114">
      <c r="B5114" s="31"/>
      <c r="G5114" s="272" t="s">
        <v>1099</v>
      </c>
    </row>
    <row r="5115">
      <c r="B5115" s="31"/>
      <c r="G5115" s="272" t="s">
        <v>1099</v>
      </c>
    </row>
    <row r="5116">
      <c r="B5116" s="31"/>
      <c r="G5116" s="272" t="s">
        <v>1099</v>
      </c>
    </row>
    <row r="5117">
      <c r="B5117" s="31"/>
      <c r="G5117" s="272" t="s">
        <v>1099</v>
      </c>
    </row>
    <row r="5118">
      <c r="B5118" s="31"/>
      <c r="G5118" s="272" t="s">
        <v>1099</v>
      </c>
    </row>
    <row r="5119">
      <c r="B5119" s="31"/>
      <c r="G5119" s="272" t="s">
        <v>1099</v>
      </c>
    </row>
    <row r="5120">
      <c r="B5120" s="31"/>
      <c r="G5120" s="272" t="s">
        <v>1099</v>
      </c>
    </row>
    <row r="5121">
      <c r="B5121" s="31"/>
      <c r="G5121" s="272" t="s">
        <v>1099</v>
      </c>
    </row>
    <row r="5122">
      <c r="B5122" s="31"/>
      <c r="G5122" s="272" t="s">
        <v>1099</v>
      </c>
    </row>
    <row r="5123">
      <c r="B5123" s="31"/>
      <c r="G5123" s="272" t="s">
        <v>1099</v>
      </c>
    </row>
    <row r="5124">
      <c r="B5124" s="31"/>
      <c r="G5124" s="272" t="s">
        <v>1099</v>
      </c>
    </row>
    <row r="5125">
      <c r="B5125" s="31"/>
      <c r="G5125" s="272" t="s">
        <v>1099</v>
      </c>
    </row>
    <row r="5126">
      <c r="B5126" s="31"/>
      <c r="G5126" s="272" t="s">
        <v>1099</v>
      </c>
    </row>
    <row r="5127">
      <c r="B5127" s="31"/>
      <c r="G5127" s="272" t="s">
        <v>1099</v>
      </c>
    </row>
    <row r="5128">
      <c r="B5128" s="31"/>
      <c r="G5128" s="272" t="s">
        <v>1099</v>
      </c>
    </row>
    <row r="5129">
      <c r="B5129" s="31"/>
      <c r="G5129" s="272" t="s">
        <v>1099</v>
      </c>
    </row>
    <row r="5130">
      <c r="B5130" s="31"/>
      <c r="G5130" s="272" t="s">
        <v>1099</v>
      </c>
    </row>
    <row r="5131">
      <c r="B5131" s="31"/>
      <c r="G5131" s="272" t="s">
        <v>1099</v>
      </c>
    </row>
    <row r="5132">
      <c r="B5132" s="31"/>
      <c r="G5132" s="272" t="s">
        <v>1099</v>
      </c>
    </row>
    <row r="5133">
      <c r="B5133" s="31"/>
      <c r="G5133" s="272" t="s">
        <v>1099</v>
      </c>
    </row>
    <row r="5134">
      <c r="B5134" s="31"/>
      <c r="G5134" s="272" t="s">
        <v>1099</v>
      </c>
    </row>
    <row r="5135">
      <c r="B5135" s="31"/>
      <c r="G5135" s="272" t="s">
        <v>1099</v>
      </c>
    </row>
    <row r="5136">
      <c r="B5136" s="31"/>
      <c r="G5136" s="272" t="s">
        <v>1099</v>
      </c>
    </row>
    <row r="5137">
      <c r="B5137" s="31"/>
      <c r="G5137" s="272" t="s">
        <v>1099</v>
      </c>
    </row>
    <row r="5138">
      <c r="B5138" s="31"/>
      <c r="G5138" s="272" t="s">
        <v>1099</v>
      </c>
    </row>
    <row r="5139">
      <c r="B5139" s="31"/>
      <c r="G5139" s="272" t="s">
        <v>1099</v>
      </c>
    </row>
    <row r="5140">
      <c r="B5140" s="31"/>
      <c r="G5140" s="272" t="s">
        <v>1099</v>
      </c>
    </row>
    <row r="5141">
      <c r="B5141" s="31"/>
      <c r="G5141" s="272" t="s">
        <v>1099</v>
      </c>
    </row>
    <row r="5142">
      <c r="B5142" s="31"/>
      <c r="G5142" s="272" t="s">
        <v>1099</v>
      </c>
    </row>
    <row r="5143">
      <c r="B5143" s="31"/>
      <c r="G5143" s="272" t="s">
        <v>1099</v>
      </c>
    </row>
    <row r="5144">
      <c r="B5144" s="31"/>
      <c r="G5144" s="272" t="s">
        <v>1099</v>
      </c>
    </row>
    <row r="5145">
      <c r="B5145" s="31"/>
      <c r="G5145" s="272" t="s">
        <v>1099</v>
      </c>
    </row>
    <row r="5146">
      <c r="B5146" s="31"/>
      <c r="G5146" s="272" t="s">
        <v>1099</v>
      </c>
    </row>
    <row r="5147">
      <c r="B5147" s="31"/>
      <c r="G5147" s="272" t="s">
        <v>1099</v>
      </c>
    </row>
    <row r="5148">
      <c r="B5148" s="31"/>
      <c r="G5148" s="272" t="s">
        <v>1099</v>
      </c>
    </row>
    <row r="5149">
      <c r="B5149" s="31"/>
      <c r="G5149" s="272" t="s">
        <v>1099</v>
      </c>
    </row>
    <row r="5150">
      <c r="B5150" s="31"/>
      <c r="G5150" s="272" t="s">
        <v>1099</v>
      </c>
    </row>
    <row r="5151">
      <c r="B5151" s="31"/>
      <c r="G5151" s="272" t="s">
        <v>1099</v>
      </c>
    </row>
    <row r="5152">
      <c r="B5152" s="31"/>
      <c r="G5152" s="272" t="s">
        <v>1099</v>
      </c>
    </row>
    <row r="5153">
      <c r="B5153" s="31"/>
      <c r="G5153" s="272" t="s">
        <v>1099</v>
      </c>
    </row>
    <row r="5154">
      <c r="B5154" s="31"/>
      <c r="G5154" s="272" t="s">
        <v>1099</v>
      </c>
    </row>
    <row r="5155">
      <c r="B5155" s="31"/>
      <c r="G5155" s="272" t="s">
        <v>1099</v>
      </c>
    </row>
    <row r="5156">
      <c r="B5156" s="31"/>
      <c r="G5156" s="272" t="s">
        <v>1099</v>
      </c>
    </row>
    <row r="5157">
      <c r="B5157" s="31"/>
      <c r="G5157" s="272" t="s">
        <v>1099</v>
      </c>
    </row>
    <row r="5158">
      <c r="B5158" s="31"/>
      <c r="G5158" s="272" t="s">
        <v>1099</v>
      </c>
    </row>
    <row r="5159">
      <c r="B5159" s="31"/>
      <c r="G5159" s="272" t="s">
        <v>1099</v>
      </c>
    </row>
    <row r="5160">
      <c r="B5160" s="31"/>
      <c r="G5160" s="272" t="s">
        <v>1099</v>
      </c>
    </row>
    <row r="5161">
      <c r="B5161" s="31"/>
      <c r="G5161" s="272" t="s">
        <v>1099</v>
      </c>
    </row>
    <row r="5162">
      <c r="B5162" s="31"/>
      <c r="G5162" s="272" t="s">
        <v>1099</v>
      </c>
    </row>
    <row r="5163">
      <c r="B5163" s="31"/>
      <c r="G5163" s="272" t="s">
        <v>1099</v>
      </c>
    </row>
    <row r="5164">
      <c r="B5164" s="31"/>
      <c r="G5164" s="272" t="s">
        <v>1099</v>
      </c>
    </row>
    <row r="5165">
      <c r="B5165" s="31"/>
      <c r="G5165" s="272" t="s">
        <v>1099</v>
      </c>
    </row>
    <row r="5166">
      <c r="B5166" s="31"/>
      <c r="G5166" s="272" t="s">
        <v>1099</v>
      </c>
    </row>
    <row r="5167">
      <c r="B5167" s="31"/>
      <c r="G5167" s="272" t="s">
        <v>1099</v>
      </c>
    </row>
    <row r="5168">
      <c r="B5168" s="31"/>
      <c r="G5168" s="272" t="s">
        <v>1099</v>
      </c>
    </row>
    <row r="5169">
      <c r="B5169" s="31"/>
      <c r="G5169" s="272" t="s">
        <v>1099</v>
      </c>
    </row>
    <row r="5170">
      <c r="B5170" s="31"/>
      <c r="G5170" s="272" t="s">
        <v>1099</v>
      </c>
    </row>
    <row r="5171">
      <c r="B5171" s="31"/>
      <c r="G5171" s="272" t="s">
        <v>1099</v>
      </c>
    </row>
    <row r="5172">
      <c r="B5172" s="31"/>
      <c r="G5172" s="272" t="s">
        <v>1099</v>
      </c>
    </row>
    <row r="5173">
      <c r="B5173" s="31"/>
      <c r="G5173" s="272" t="s">
        <v>1099</v>
      </c>
    </row>
    <row r="5174">
      <c r="B5174" s="31"/>
      <c r="G5174" s="272" t="s">
        <v>1099</v>
      </c>
    </row>
    <row r="5175">
      <c r="B5175" s="31"/>
      <c r="G5175" s="272" t="s">
        <v>1099</v>
      </c>
    </row>
    <row r="5176">
      <c r="B5176" s="31"/>
      <c r="G5176" s="272" t="s">
        <v>1099</v>
      </c>
    </row>
    <row r="5177">
      <c r="B5177" s="31"/>
      <c r="G5177" s="272" t="s">
        <v>1099</v>
      </c>
    </row>
    <row r="5178">
      <c r="B5178" s="31"/>
      <c r="G5178" s="272" t="s">
        <v>1099</v>
      </c>
    </row>
    <row r="5179">
      <c r="B5179" s="31"/>
      <c r="G5179" s="272" t="s">
        <v>1099</v>
      </c>
    </row>
    <row r="5180">
      <c r="B5180" s="31"/>
      <c r="G5180" s="272" t="s">
        <v>1099</v>
      </c>
    </row>
    <row r="5181">
      <c r="B5181" s="31"/>
      <c r="G5181" s="272" t="s">
        <v>1099</v>
      </c>
    </row>
    <row r="5182">
      <c r="B5182" s="31"/>
      <c r="G5182" s="272" t="s">
        <v>1099</v>
      </c>
    </row>
    <row r="5183">
      <c r="B5183" s="31"/>
      <c r="G5183" s="272" t="s">
        <v>1099</v>
      </c>
    </row>
    <row r="5184">
      <c r="B5184" s="31"/>
      <c r="G5184" s="272" t="s">
        <v>1099</v>
      </c>
    </row>
    <row r="5185">
      <c r="B5185" s="31"/>
      <c r="G5185" s="272" t="s">
        <v>1099</v>
      </c>
    </row>
    <row r="5186">
      <c r="B5186" s="31"/>
      <c r="G5186" s="272" t="s">
        <v>1099</v>
      </c>
    </row>
    <row r="5187">
      <c r="B5187" s="31"/>
      <c r="G5187" s="272" t="s">
        <v>1099</v>
      </c>
    </row>
    <row r="5188">
      <c r="B5188" s="31"/>
      <c r="G5188" s="272" t="s">
        <v>1099</v>
      </c>
    </row>
    <row r="5189">
      <c r="B5189" s="31"/>
      <c r="G5189" s="272" t="s">
        <v>1099</v>
      </c>
    </row>
    <row r="5190">
      <c r="B5190" s="31"/>
      <c r="G5190" s="272" t="s">
        <v>1099</v>
      </c>
    </row>
    <row r="5191">
      <c r="B5191" s="31"/>
      <c r="G5191" s="272" t="s">
        <v>1099</v>
      </c>
    </row>
    <row r="5192">
      <c r="B5192" s="31"/>
      <c r="G5192" s="272" t="s">
        <v>1099</v>
      </c>
    </row>
    <row r="5193">
      <c r="B5193" s="31"/>
      <c r="G5193" s="272" t="s">
        <v>1099</v>
      </c>
    </row>
    <row r="5194">
      <c r="B5194" s="31"/>
      <c r="G5194" s="272" t="s">
        <v>1099</v>
      </c>
    </row>
    <row r="5195">
      <c r="B5195" s="31"/>
      <c r="G5195" s="272" t="s">
        <v>1099</v>
      </c>
    </row>
    <row r="5196">
      <c r="B5196" s="31"/>
      <c r="G5196" s="272" t="s">
        <v>1099</v>
      </c>
    </row>
    <row r="5197">
      <c r="B5197" s="31"/>
      <c r="G5197" s="272" t="s">
        <v>1099</v>
      </c>
    </row>
    <row r="5198">
      <c r="B5198" s="31"/>
      <c r="G5198" s="272" t="s">
        <v>1099</v>
      </c>
    </row>
    <row r="5199">
      <c r="B5199" s="31"/>
      <c r="G5199" s="272" t="s">
        <v>1099</v>
      </c>
    </row>
    <row r="5200">
      <c r="B5200" s="31"/>
      <c r="G5200" s="272" t="s">
        <v>1099</v>
      </c>
    </row>
    <row r="5201">
      <c r="B5201" s="31"/>
      <c r="G5201" s="272" t="s">
        <v>1099</v>
      </c>
    </row>
    <row r="5202">
      <c r="B5202" s="31"/>
      <c r="G5202" s="272" t="s">
        <v>1099</v>
      </c>
    </row>
    <row r="5203">
      <c r="B5203" s="31"/>
      <c r="G5203" s="272" t="s">
        <v>1099</v>
      </c>
    </row>
    <row r="5204">
      <c r="B5204" s="31"/>
      <c r="G5204" s="272" t="s">
        <v>1099</v>
      </c>
    </row>
    <row r="5205">
      <c r="B5205" s="31"/>
      <c r="G5205" s="272" t="s">
        <v>1099</v>
      </c>
    </row>
    <row r="5206">
      <c r="B5206" s="31"/>
      <c r="G5206" s="272" t="s">
        <v>1099</v>
      </c>
    </row>
    <row r="5207">
      <c r="B5207" s="31"/>
      <c r="G5207" s="272" t="s">
        <v>1099</v>
      </c>
    </row>
    <row r="5208">
      <c r="B5208" s="31"/>
      <c r="G5208" s="272" t="s">
        <v>1099</v>
      </c>
    </row>
    <row r="5209">
      <c r="B5209" s="31"/>
      <c r="G5209" s="272" t="s">
        <v>1099</v>
      </c>
    </row>
    <row r="5210">
      <c r="B5210" s="31"/>
      <c r="G5210" s="272" t="s">
        <v>1099</v>
      </c>
    </row>
    <row r="5211">
      <c r="B5211" s="31"/>
      <c r="G5211" s="272" t="s">
        <v>1099</v>
      </c>
    </row>
    <row r="5212">
      <c r="B5212" s="31"/>
      <c r="G5212" s="272" t="s">
        <v>1099</v>
      </c>
    </row>
    <row r="5213">
      <c r="B5213" s="31"/>
      <c r="G5213" s="272" t="s">
        <v>1099</v>
      </c>
    </row>
    <row r="5214">
      <c r="B5214" s="31"/>
      <c r="G5214" s="272" t="s">
        <v>1099</v>
      </c>
    </row>
    <row r="5215">
      <c r="B5215" s="31"/>
      <c r="G5215" s="272" t="s">
        <v>1099</v>
      </c>
    </row>
    <row r="5216">
      <c r="B5216" s="31"/>
      <c r="G5216" s="272" t="s">
        <v>1099</v>
      </c>
    </row>
    <row r="5217">
      <c r="B5217" s="31"/>
      <c r="G5217" s="272" t="s">
        <v>1099</v>
      </c>
    </row>
    <row r="5218">
      <c r="B5218" s="31"/>
      <c r="G5218" s="272" t="s">
        <v>1099</v>
      </c>
    </row>
    <row r="5219">
      <c r="B5219" s="31"/>
      <c r="G5219" s="272" t="s">
        <v>1099</v>
      </c>
    </row>
    <row r="5220">
      <c r="B5220" s="31"/>
      <c r="G5220" s="272" t="s">
        <v>1099</v>
      </c>
    </row>
    <row r="5221">
      <c r="B5221" s="31"/>
      <c r="G5221" s="272" t="s">
        <v>1099</v>
      </c>
    </row>
    <row r="5222">
      <c r="B5222" s="31"/>
      <c r="G5222" s="272" t="s">
        <v>1099</v>
      </c>
    </row>
    <row r="5223">
      <c r="B5223" s="31"/>
      <c r="G5223" s="272" t="s">
        <v>1099</v>
      </c>
    </row>
    <row r="5224">
      <c r="B5224" s="31"/>
      <c r="G5224" s="272" t="s">
        <v>1099</v>
      </c>
    </row>
    <row r="5225">
      <c r="B5225" s="31"/>
      <c r="G5225" s="272" t="s">
        <v>1099</v>
      </c>
    </row>
    <row r="5226">
      <c r="B5226" s="31"/>
      <c r="G5226" s="272" t="s">
        <v>1099</v>
      </c>
    </row>
    <row r="5227">
      <c r="B5227" s="31"/>
      <c r="G5227" s="272" t="s">
        <v>1099</v>
      </c>
    </row>
    <row r="5228">
      <c r="B5228" s="31"/>
      <c r="G5228" s="272" t="s">
        <v>1099</v>
      </c>
    </row>
    <row r="5229">
      <c r="B5229" s="31"/>
      <c r="G5229" s="272" t="s">
        <v>1099</v>
      </c>
    </row>
    <row r="5230">
      <c r="B5230" s="31"/>
      <c r="G5230" s="272" t="s">
        <v>1099</v>
      </c>
    </row>
    <row r="5231">
      <c r="B5231" s="31"/>
      <c r="G5231" s="272" t="s">
        <v>1099</v>
      </c>
    </row>
    <row r="5232">
      <c r="B5232" s="31"/>
      <c r="G5232" s="272" t="s">
        <v>1099</v>
      </c>
    </row>
    <row r="5233">
      <c r="B5233" s="31"/>
      <c r="G5233" s="272" t="s">
        <v>1099</v>
      </c>
    </row>
    <row r="5234">
      <c r="B5234" s="31"/>
      <c r="G5234" s="272" t="s">
        <v>1099</v>
      </c>
    </row>
    <row r="5235">
      <c r="B5235" s="31"/>
      <c r="G5235" s="272" t="s">
        <v>1099</v>
      </c>
    </row>
    <row r="5236">
      <c r="B5236" s="31"/>
      <c r="G5236" s="272" t="s">
        <v>1099</v>
      </c>
    </row>
    <row r="5237">
      <c r="B5237" s="31"/>
      <c r="G5237" s="272" t="s">
        <v>1099</v>
      </c>
    </row>
    <row r="5238">
      <c r="B5238" s="31"/>
      <c r="G5238" s="272" t="s">
        <v>1099</v>
      </c>
    </row>
    <row r="5239">
      <c r="B5239" s="31"/>
      <c r="G5239" s="272" t="s">
        <v>1099</v>
      </c>
    </row>
    <row r="5240">
      <c r="B5240" s="31"/>
      <c r="G5240" s="272" t="s">
        <v>1099</v>
      </c>
    </row>
    <row r="5241">
      <c r="B5241" s="31"/>
      <c r="G5241" s="272" t="s">
        <v>1099</v>
      </c>
    </row>
    <row r="5242">
      <c r="B5242" s="31"/>
      <c r="G5242" s="272" t="s">
        <v>1099</v>
      </c>
    </row>
    <row r="5243">
      <c r="B5243" s="31"/>
      <c r="G5243" s="272" t="s">
        <v>1099</v>
      </c>
    </row>
    <row r="5244">
      <c r="B5244" s="31"/>
      <c r="G5244" s="272" t="s">
        <v>1099</v>
      </c>
    </row>
    <row r="5245">
      <c r="B5245" s="31"/>
      <c r="G5245" s="272" t="s">
        <v>1099</v>
      </c>
    </row>
    <row r="5246">
      <c r="B5246" s="31"/>
      <c r="G5246" s="272" t="s">
        <v>1099</v>
      </c>
    </row>
    <row r="5247">
      <c r="B5247" s="31"/>
      <c r="G5247" s="272" t="s">
        <v>1099</v>
      </c>
    </row>
    <row r="5248">
      <c r="B5248" s="31"/>
      <c r="G5248" s="272" t="s">
        <v>1099</v>
      </c>
    </row>
    <row r="5249">
      <c r="B5249" s="31"/>
      <c r="G5249" s="272" t="s">
        <v>1099</v>
      </c>
    </row>
    <row r="5250">
      <c r="B5250" s="31"/>
      <c r="G5250" s="272" t="s">
        <v>1099</v>
      </c>
    </row>
    <row r="5251">
      <c r="B5251" s="31"/>
      <c r="G5251" s="272" t="s">
        <v>1099</v>
      </c>
    </row>
    <row r="5252">
      <c r="B5252" s="31"/>
      <c r="G5252" s="272" t="s">
        <v>1099</v>
      </c>
    </row>
    <row r="5253">
      <c r="B5253" s="31"/>
      <c r="G5253" s="272" t="s">
        <v>1099</v>
      </c>
    </row>
    <row r="5254">
      <c r="B5254" s="31"/>
      <c r="G5254" s="272" t="s">
        <v>1099</v>
      </c>
    </row>
    <row r="5255">
      <c r="B5255" s="31"/>
      <c r="G5255" s="272" t="s">
        <v>1099</v>
      </c>
    </row>
    <row r="5256">
      <c r="B5256" s="31"/>
      <c r="G5256" s="272" t="s">
        <v>1099</v>
      </c>
    </row>
    <row r="5257">
      <c r="B5257" s="31"/>
      <c r="G5257" s="272" t="s">
        <v>1099</v>
      </c>
    </row>
    <row r="5258">
      <c r="B5258" s="31"/>
      <c r="G5258" s="272" t="s">
        <v>1099</v>
      </c>
    </row>
    <row r="5259">
      <c r="B5259" s="31"/>
      <c r="G5259" s="272" t="s">
        <v>1099</v>
      </c>
    </row>
    <row r="5260">
      <c r="B5260" s="31"/>
      <c r="G5260" s="272" t="s">
        <v>1099</v>
      </c>
    </row>
    <row r="5261">
      <c r="B5261" s="31"/>
      <c r="G5261" s="272" t="s">
        <v>1099</v>
      </c>
    </row>
    <row r="5262">
      <c r="B5262" s="31"/>
      <c r="G5262" s="272" t="s">
        <v>1099</v>
      </c>
    </row>
    <row r="5263">
      <c r="B5263" s="31"/>
      <c r="G5263" s="272" t="s">
        <v>1099</v>
      </c>
    </row>
    <row r="5264">
      <c r="B5264" s="31"/>
      <c r="G5264" s="272" t="s">
        <v>1099</v>
      </c>
    </row>
    <row r="5265">
      <c r="B5265" s="31"/>
      <c r="G5265" s="272" t="s">
        <v>1099</v>
      </c>
    </row>
    <row r="5266">
      <c r="B5266" s="31"/>
      <c r="G5266" s="272" t="s">
        <v>1099</v>
      </c>
    </row>
    <row r="5267">
      <c r="B5267" s="31"/>
      <c r="G5267" s="272" t="s">
        <v>1099</v>
      </c>
    </row>
    <row r="5268">
      <c r="B5268" s="31"/>
      <c r="G5268" s="272" t="s">
        <v>1099</v>
      </c>
    </row>
    <row r="5269">
      <c r="B5269" s="31"/>
      <c r="G5269" s="272" t="s">
        <v>1099</v>
      </c>
    </row>
    <row r="5270">
      <c r="B5270" s="31"/>
      <c r="G5270" s="272" t="s">
        <v>1099</v>
      </c>
    </row>
    <row r="5271">
      <c r="B5271" s="31"/>
      <c r="G5271" s="272" t="s">
        <v>1099</v>
      </c>
    </row>
    <row r="5272">
      <c r="B5272" s="31"/>
      <c r="G5272" s="272" t="s">
        <v>1099</v>
      </c>
    </row>
    <row r="5273">
      <c r="B5273" s="31"/>
      <c r="G5273" s="272" t="s">
        <v>1099</v>
      </c>
    </row>
    <row r="5274">
      <c r="B5274" s="31"/>
      <c r="G5274" s="272" t="s">
        <v>1099</v>
      </c>
    </row>
    <row r="5275">
      <c r="B5275" s="31"/>
      <c r="G5275" s="272" t="s">
        <v>1099</v>
      </c>
    </row>
    <row r="5276">
      <c r="B5276" s="31"/>
      <c r="G5276" s="272" t="s">
        <v>1099</v>
      </c>
    </row>
    <row r="5277">
      <c r="B5277" s="31"/>
      <c r="G5277" s="272" t="s">
        <v>1099</v>
      </c>
    </row>
    <row r="5278">
      <c r="B5278" s="31"/>
      <c r="G5278" s="272" t="s">
        <v>1099</v>
      </c>
    </row>
    <row r="5279">
      <c r="B5279" s="31"/>
      <c r="G5279" s="272" t="s">
        <v>1099</v>
      </c>
    </row>
    <row r="5280">
      <c r="B5280" s="31"/>
      <c r="G5280" s="272" t="s">
        <v>1099</v>
      </c>
    </row>
    <row r="5281">
      <c r="B5281" s="31"/>
      <c r="G5281" s="272" t="s">
        <v>1099</v>
      </c>
    </row>
    <row r="5282">
      <c r="B5282" s="31"/>
      <c r="G5282" s="272" t="s">
        <v>1099</v>
      </c>
    </row>
    <row r="5283">
      <c r="B5283" s="31"/>
      <c r="G5283" s="272" t="s">
        <v>1099</v>
      </c>
    </row>
    <row r="5284">
      <c r="B5284" s="31"/>
      <c r="G5284" s="272" t="s">
        <v>1099</v>
      </c>
    </row>
    <row r="5285">
      <c r="B5285" s="31"/>
      <c r="G5285" s="272" t="s">
        <v>1099</v>
      </c>
    </row>
    <row r="5286">
      <c r="B5286" s="31"/>
      <c r="G5286" s="272" t="s">
        <v>1099</v>
      </c>
    </row>
    <row r="5287">
      <c r="B5287" s="31"/>
      <c r="G5287" s="272" t="s">
        <v>1099</v>
      </c>
    </row>
    <row r="5288">
      <c r="B5288" s="31"/>
      <c r="G5288" s="272" t="s">
        <v>1099</v>
      </c>
    </row>
    <row r="5289">
      <c r="B5289" s="31"/>
      <c r="G5289" s="272" t="s">
        <v>1099</v>
      </c>
    </row>
    <row r="5290">
      <c r="B5290" s="31"/>
      <c r="G5290" s="272" t="s">
        <v>1099</v>
      </c>
    </row>
    <row r="5291">
      <c r="B5291" s="31"/>
      <c r="G5291" s="272" t="s">
        <v>1099</v>
      </c>
    </row>
    <row r="5292">
      <c r="B5292" s="31"/>
      <c r="G5292" s="272" t="s">
        <v>1099</v>
      </c>
    </row>
    <row r="5293">
      <c r="B5293" s="31"/>
      <c r="G5293" s="272" t="s">
        <v>1099</v>
      </c>
    </row>
    <row r="5294">
      <c r="B5294" s="31"/>
      <c r="G5294" s="272" t="s">
        <v>1099</v>
      </c>
    </row>
    <row r="5295">
      <c r="B5295" s="31"/>
      <c r="G5295" s="272" t="s">
        <v>1099</v>
      </c>
    </row>
    <row r="5296">
      <c r="B5296" s="31"/>
      <c r="G5296" s="272" t="s">
        <v>1099</v>
      </c>
    </row>
    <row r="5297">
      <c r="B5297" s="31"/>
      <c r="G5297" s="272" t="s">
        <v>1099</v>
      </c>
    </row>
    <row r="5298">
      <c r="B5298" s="31"/>
      <c r="G5298" s="272" t="s">
        <v>1099</v>
      </c>
    </row>
    <row r="5299">
      <c r="B5299" s="31"/>
      <c r="G5299" s="272" t="s">
        <v>1099</v>
      </c>
    </row>
    <row r="5300">
      <c r="B5300" s="31"/>
      <c r="G5300" s="272" t="s">
        <v>1099</v>
      </c>
    </row>
    <row r="5301">
      <c r="B5301" s="31"/>
      <c r="G5301" s="272" t="s">
        <v>1099</v>
      </c>
    </row>
    <row r="5302">
      <c r="B5302" s="31"/>
      <c r="G5302" s="272" t="s">
        <v>1099</v>
      </c>
    </row>
    <row r="5303">
      <c r="B5303" s="31"/>
      <c r="G5303" s="272" t="s">
        <v>1099</v>
      </c>
    </row>
    <row r="5304">
      <c r="B5304" s="31"/>
      <c r="G5304" s="272" t="s">
        <v>1099</v>
      </c>
    </row>
    <row r="5305">
      <c r="B5305" s="31"/>
      <c r="G5305" s="272" t="s">
        <v>1099</v>
      </c>
    </row>
    <row r="5306">
      <c r="B5306" s="31"/>
      <c r="G5306" s="272" t="s">
        <v>1099</v>
      </c>
    </row>
    <row r="5307">
      <c r="B5307" s="31"/>
      <c r="G5307" s="272" t="s">
        <v>1099</v>
      </c>
    </row>
    <row r="5308">
      <c r="B5308" s="31"/>
      <c r="G5308" s="272" t="s">
        <v>1099</v>
      </c>
    </row>
    <row r="5309">
      <c r="B5309" s="31"/>
      <c r="G5309" s="272" t="s">
        <v>1099</v>
      </c>
    </row>
    <row r="5310">
      <c r="B5310" s="31"/>
      <c r="G5310" s="272" t="s">
        <v>1099</v>
      </c>
    </row>
    <row r="5311">
      <c r="B5311" s="31"/>
      <c r="G5311" s="272" t="s">
        <v>1099</v>
      </c>
    </row>
    <row r="5312">
      <c r="B5312" s="31"/>
      <c r="G5312" s="272" t="s">
        <v>1099</v>
      </c>
    </row>
    <row r="5313">
      <c r="B5313" s="31"/>
      <c r="G5313" s="272" t="s">
        <v>1099</v>
      </c>
    </row>
    <row r="5314">
      <c r="B5314" s="31"/>
      <c r="G5314" s="272" t="s">
        <v>1099</v>
      </c>
    </row>
    <row r="5315">
      <c r="B5315" s="31"/>
      <c r="G5315" s="272" t="s">
        <v>1099</v>
      </c>
    </row>
    <row r="5316">
      <c r="B5316" s="31"/>
      <c r="G5316" s="272" t="s">
        <v>1099</v>
      </c>
    </row>
    <row r="5317">
      <c r="B5317" s="31"/>
      <c r="G5317" s="272" t="s">
        <v>1099</v>
      </c>
    </row>
    <row r="5318">
      <c r="B5318" s="31"/>
      <c r="G5318" s="272" t="s">
        <v>1099</v>
      </c>
    </row>
    <row r="5319">
      <c r="B5319" s="31"/>
      <c r="G5319" s="272" t="s">
        <v>1099</v>
      </c>
    </row>
    <row r="5320">
      <c r="B5320" s="31"/>
      <c r="G5320" s="272" t="s">
        <v>1099</v>
      </c>
    </row>
    <row r="5321">
      <c r="B5321" s="31"/>
      <c r="G5321" s="272" t="s">
        <v>1099</v>
      </c>
    </row>
    <row r="5322">
      <c r="B5322" s="31"/>
      <c r="G5322" s="272" t="s">
        <v>1099</v>
      </c>
    </row>
    <row r="5323">
      <c r="B5323" s="31"/>
      <c r="G5323" s="272" t="s">
        <v>1099</v>
      </c>
    </row>
    <row r="5324">
      <c r="B5324" s="31"/>
      <c r="G5324" s="272" t="s">
        <v>1099</v>
      </c>
    </row>
    <row r="5325">
      <c r="B5325" s="31"/>
      <c r="G5325" s="272" t="s">
        <v>1099</v>
      </c>
    </row>
    <row r="5326">
      <c r="B5326" s="31"/>
      <c r="G5326" s="272" t="s">
        <v>1099</v>
      </c>
    </row>
    <row r="5327">
      <c r="B5327" s="31"/>
      <c r="G5327" s="272" t="s">
        <v>1099</v>
      </c>
    </row>
    <row r="5328">
      <c r="B5328" s="31"/>
      <c r="G5328" s="272" t="s">
        <v>1099</v>
      </c>
    </row>
    <row r="5329">
      <c r="B5329" s="31"/>
      <c r="G5329" s="272" t="s">
        <v>1099</v>
      </c>
    </row>
    <row r="5330">
      <c r="B5330" s="31"/>
      <c r="G5330" s="272" t="s">
        <v>1099</v>
      </c>
    </row>
    <row r="5331">
      <c r="B5331" s="31"/>
      <c r="G5331" s="272" t="s">
        <v>1099</v>
      </c>
    </row>
    <row r="5332">
      <c r="B5332" s="31"/>
      <c r="G5332" s="272" t="s">
        <v>1099</v>
      </c>
    </row>
    <row r="5333">
      <c r="B5333" s="31"/>
      <c r="G5333" s="272" t="s">
        <v>1099</v>
      </c>
    </row>
    <row r="5334">
      <c r="B5334" s="31"/>
      <c r="G5334" s="272" t="s">
        <v>1099</v>
      </c>
    </row>
    <row r="5335">
      <c r="B5335" s="31"/>
      <c r="G5335" s="272" t="s">
        <v>1099</v>
      </c>
    </row>
    <row r="5336">
      <c r="B5336" s="31"/>
      <c r="G5336" s="272" t="s">
        <v>1099</v>
      </c>
    </row>
    <row r="5337">
      <c r="B5337" s="31"/>
      <c r="G5337" s="272" t="s">
        <v>1099</v>
      </c>
    </row>
    <row r="5338">
      <c r="B5338" s="31"/>
      <c r="G5338" s="272" t="s">
        <v>1099</v>
      </c>
    </row>
    <row r="5339">
      <c r="B5339" s="31"/>
      <c r="G5339" s="272" t="s">
        <v>1099</v>
      </c>
    </row>
    <row r="5340">
      <c r="B5340" s="31"/>
      <c r="G5340" s="272" t="s">
        <v>1099</v>
      </c>
    </row>
    <row r="5341">
      <c r="B5341" s="31"/>
      <c r="G5341" s="272" t="s">
        <v>1099</v>
      </c>
    </row>
    <row r="5342">
      <c r="B5342" s="31"/>
      <c r="G5342" s="272" t="s">
        <v>1099</v>
      </c>
    </row>
    <row r="5343">
      <c r="B5343" s="31"/>
      <c r="G5343" s="272" t="s">
        <v>1099</v>
      </c>
    </row>
    <row r="5344">
      <c r="B5344" s="31"/>
      <c r="G5344" s="272" t="s">
        <v>1099</v>
      </c>
    </row>
    <row r="5345">
      <c r="B5345" s="31"/>
      <c r="G5345" s="272" t="s">
        <v>1099</v>
      </c>
    </row>
    <row r="5346">
      <c r="B5346" s="31"/>
      <c r="G5346" s="272" t="s">
        <v>1099</v>
      </c>
    </row>
    <row r="5347">
      <c r="B5347" s="31"/>
      <c r="G5347" s="272" t="s">
        <v>1099</v>
      </c>
    </row>
    <row r="5348">
      <c r="B5348" s="31"/>
      <c r="G5348" s="272" t="s">
        <v>1099</v>
      </c>
    </row>
    <row r="5349">
      <c r="B5349" s="31"/>
      <c r="G5349" s="272" t="s">
        <v>1099</v>
      </c>
    </row>
    <row r="5350">
      <c r="B5350" s="31"/>
      <c r="G5350" s="272" t="s">
        <v>1099</v>
      </c>
    </row>
    <row r="5351">
      <c r="B5351" s="31"/>
      <c r="G5351" s="272" t="s">
        <v>1099</v>
      </c>
    </row>
    <row r="5352">
      <c r="B5352" s="31"/>
      <c r="G5352" s="272" t="s">
        <v>1099</v>
      </c>
    </row>
    <row r="5353">
      <c r="B5353" s="31"/>
      <c r="G5353" s="272" t="s">
        <v>1099</v>
      </c>
    </row>
    <row r="5354">
      <c r="B5354" s="31"/>
      <c r="G5354" s="272" t="s">
        <v>1099</v>
      </c>
    </row>
    <row r="5355">
      <c r="B5355" s="31"/>
      <c r="G5355" s="272" t="s">
        <v>1099</v>
      </c>
    </row>
    <row r="5356">
      <c r="B5356" s="31"/>
      <c r="G5356" s="272" t="s">
        <v>1099</v>
      </c>
    </row>
    <row r="5357">
      <c r="B5357" s="31"/>
      <c r="G5357" s="272" t="s">
        <v>1099</v>
      </c>
    </row>
    <row r="5358">
      <c r="B5358" s="31"/>
      <c r="G5358" s="272" t="s">
        <v>1099</v>
      </c>
    </row>
    <row r="5359">
      <c r="B5359" s="31"/>
      <c r="G5359" s="272" t="s">
        <v>1099</v>
      </c>
    </row>
    <row r="5360">
      <c r="B5360" s="31"/>
      <c r="G5360" s="272" t="s">
        <v>1099</v>
      </c>
    </row>
    <row r="5361">
      <c r="B5361" s="31"/>
      <c r="G5361" s="272" t="s">
        <v>1099</v>
      </c>
    </row>
    <row r="5362">
      <c r="B5362" s="31"/>
      <c r="G5362" s="272" t="s">
        <v>1099</v>
      </c>
    </row>
    <row r="5363">
      <c r="B5363" s="31"/>
      <c r="G5363" s="272" t="s">
        <v>1099</v>
      </c>
    </row>
    <row r="5364">
      <c r="B5364" s="31"/>
      <c r="G5364" s="272" t="s">
        <v>1099</v>
      </c>
    </row>
    <row r="5365">
      <c r="B5365" s="31"/>
      <c r="G5365" s="272" t="s">
        <v>1099</v>
      </c>
    </row>
    <row r="5366">
      <c r="B5366" s="31"/>
      <c r="G5366" s="272" t="s">
        <v>1099</v>
      </c>
    </row>
    <row r="5367">
      <c r="B5367" s="31"/>
      <c r="G5367" s="272" t="s">
        <v>1099</v>
      </c>
    </row>
    <row r="5368">
      <c r="B5368" s="31"/>
      <c r="G5368" s="272" t="s">
        <v>1099</v>
      </c>
    </row>
    <row r="5369">
      <c r="B5369" s="31"/>
      <c r="G5369" s="272" t="s">
        <v>1099</v>
      </c>
    </row>
    <row r="5370">
      <c r="B5370" s="31"/>
      <c r="G5370" s="272" t="s">
        <v>1099</v>
      </c>
    </row>
    <row r="5371">
      <c r="B5371" s="31"/>
      <c r="G5371" s="272" t="s">
        <v>1099</v>
      </c>
    </row>
    <row r="5372">
      <c r="B5372" s="31"/>
      <c r="G5372" s="272" t="s">
        <v>1099</v>
      </c>
    </row>
    <row r="5373">
      <c r="B5373" s="31"/>
      <c r="G5373" s="272" t="s">
        <v>1099</v>
      </c>
    </row>
    <row r="5374">
      <c r="B5374" s="31"/>
      <c r="G5374" s="272" t="s">
        <v>1099</v>
      </c>
    </row>
    <row r="5375">
      <c r="B5375" s="31"/>
      <c r="G5375" s="272" t="s">
        <v>1099</v>
      </c>
    </row>
    <row r="5376">
      <c r="B5376" s="31"/>
      <c r="G5376" s="272" t="s">
        <v>1099</v>
      </c>
    </row>
    <row r="5377">
      <c r="B5377" s="31"/>
      <c r="G5377" s="272" t="s">
        <v>1099</v>
      </c>
    </row>
    <row r="5378">
      <c r="B5378" s="31"/>
      <c r="G5378" s="272" t="s">
        <v>1099</v>
      </c>
    </row>
    <row r="5379">
      <c r="B5379" s="31"/>
      <c r="G5379" s="272" t="s">
        <v>1099</v>
      </c>
    </row>
    <row r="5380">
      <c r="B5380" s="31"/>
      <c r="G5380" s="272" t="s">
        <v>1099</v>
      </c>
    </row>
    <row r="5381">
      <c r="B5381" s="31"/>
      <c r="G5381" s="272" t="s">
        <v>1099</v>
      </c>
    </row>
    <row r="5382">
      <c r="B5382" s="31"/>
      <c r="G5382" s="272" t="s">
        <v>1099</v>
      </c>
    </row>
    <row r="5383">
      <c r="B5383" s="31"/>
      <c r="G5383" s="272" t="s">
        <v>1099</v>
      </c>
    </row>
    <row r="5384">
      <c r="B5384" s="31"/>
      <c r="G5384" s="272" t="s">
        <v>1099</v>
      </c>
    </row>
    <row r="5385">
      <c r="B5385" s="31"/>
      <c r="G5385" s="272" t="s">
        <v>1099</v>
      </c>
    </row>
    <row r="5386">
      <c r="B5386" s="31"/>
      <c r="G5386" s="272" t="s">
        <v>1099</v>
      </c>
    </row>
    <row r="5387">
      <c r="B5387" s="31"/>
      <c r="G5387" s="272" t="s">
        <v>1099</v>
      </c>
    </row>
    <row r="5388">
      <c r="B5388" s="31"/>
      <c r="G5388" s="272" t="s">
        <v>1099</v>
      </c>
    </row>
    <row r="5389">
      <c r="B5389" s="31"/>
      <c r="G5389" s="272" t="s">
        <v>1099</v>
      </c>
    </row>
    <row r="5390">
      <c r="B5390" s="31"/>
      <c r="G5390" s="272" t="s">
        <v>1099</v>
      </c>
    </row>
    <row r="5391">
      <c r="B5391" s="31"/>
      <c r="G5391" s="272" t="s">
        <v>1099</v>
      </c>
    </row>
    <row r="5392">
      <c r="B5392" s="31"/>
      <c r="G5392" s="272" t="s">
        <v>1099</v>
      </c>
    </row>
    <row r="5393">
      <c r="B5393" s="31"/>
      <c r="G5393" s="272" t="s">
        <v>1099</v>
      </c>
    </row>
    <row r="5394">
      <c r="B5394" s="31"/>
      <c r="G5394" s="272" t="s">
        <v>1099</v>
      </c>
    </row>
    <row r="5395">
      <c r="B5395" s="31"/>
      <c r="G5395" s="272" t="s">
        <v>1099</v>
      </c>
    </row>
    <row r="5396">
      <c r="B5396" s="31"/>
      <c r="G5396" s="272" t="s">
        <v>1099</v>
      </c>
    </row>
    <row r="5397">
      <c r="B5397" s="31"/>
      <c r="G5397" s="272" t="s">
        <v>1099</v>
      </c>
    </row>
    <row r="5398">
      <c r="B5398" s="31"/>
      <c r="G5398" s="272" t="s">
        <v>1099</v>
      </c>
    </row>
    <row r="5399">
      <c r="B5399" s="31"/>
      <c r="G5399" s="272" t="s">
        <v>1099</v>
      </c>
    </row>
    <row r="5400">
      <c r="B5400" s="31"/>
      <c r="G5400" s="272" t="s">
        <v>1099</v>
      </c>
    </row>
    <row r="5401">
      <c r="B5401" s="31"/>
      <c r="G5401" s="272" t="s">
        <v>1099</v>
      </c>
    </row>
    <row r="5402">
      <c r="B5402" s="31"/>
      <c r="G5402" s="272" t="s">
        <v>1099</v>
      </c>
    </row>
    <row r="5403">
      <c r="B5403" s="31"/>
      <c r="G5403" s="272" t="s">
        <v>1099</v>
      </c>
    </row>
    <row r="5404">
      <c r="B5404" s="31"/>
      <c r="G5404" s="272" t="s">
        <v>1099</v>
      </c>
    </row>
    <row r="5405">
      <c r="B5405" s="31"/>
      <c r="G5405" s="272" t="s">
        <v>1099</v>
      </c>
    </row>
    <row r="5406">
      <c r="B5406" s="31"/>
      <c r="G5406" s="272" t="s">
        <v>1099</v>
      </c>
    </row>
    <row r="5407">
      <c r="B5407" s="31"/>
      <c r="G5407" s="272" t="s">
        <v>1099</v>
      </c>
    </row>
    <row r="5408">
      <c r="B5408" s="31"/>
      <c r="G5408" s="272" t="s">
        <v>1099</v>
      </c>
    </row>
    <row r="5409">
      <c r="B5409" s="31"/>
      <c r="G5409" s="272" t="s">
        <v>1099</v>
      </c>
    </row>
    <row r="5410">
      <c r="B5410" s="31"/>
      <c r="G5410" s="272" t="s">
        <v>1099</v>
      </c>
    </row>
    <row r="5411">
      <c r="B5411" s="31"/>
      <c r="G5411" s="272" t="s">
        <v>1099</v>
      </c>
    </row>
    <row r="5412">
      <c r="B5412" s="31"/>
      <c r="G5412" s="272" t="s">
        <v>1099</v>
      </c>
    </row>
    <row r="5413">
      <c r="B5413" s="31"/>
      <c r="G5413" s="272" t="s">
        <v>1099</v>
      </c>
    </row>
    <row r="5414">
      <c r="B5414" s="31"/>
      <c r="G5414" s="272" t="s">
        <v>1099</v>
      </c>
    </row>
    <row r="5415">
      <c r="B5415" s="31"/>
      <c r="G5415" s="272" t="s">
        <v>1099</v>
      </c>
    </row>
    <row r="5416">
      <c r="B5416" s="31"/>
      <c r="G5416" s="272" t="s">
        <v>1099</v>
      </c>
    </row>
    <row r="5417">
      <c r="B5417" s="31"/>
      <c r="G5417" s="272" t="s">
        <v>1099</v>
      </c>
    </row>
    <row r="5418">
      <c r="B5418" s="31"/>
      <c r="G5418" s="272" t="s">
        <v>1099</v>
      </c>
    </row>
    <row r="5419">
      <c r="B5419" s="31"/>
      <c r="G5419" s="272" t="s">
        <v>1099</v>
      </c>
    </row>
    <row r="5420">
      <c r="B5420" s="31"/>
      <c r="G5420" s="272" t="s">
        <v>1099</v>
      </c>
    </row>
    <row r="5421">
      <c r="B5421" s="31"/>
      <c r="G5421" s="272" t="s">
        <v>1099</v>
      </c>
    </row>
    <row r="5422">
      <c r="B5422" s="31"/>
      <c r="G5422" s="272" t="s">
        <v>1099</v>
      </c>
    </row>
    <row r="5423">
      <c r="B5423" s="31"/>
      <c r="G5423" s="272" t="s">
        <v>1099</v>
      </c>
    </row>
    <row r="5424">
      <c r="B5424" s="31"/>
      <c r="G5424" s="272" t="s">
        <v>1099</v>
      </c>
    </row>
    <row r="5425">
      <c r="B5425" s="31"/>
      <c r="G5425" s="272" t="s">
        <v>1099</v>
      </c>
    </row>
    <row r="5426">
      <c r="B5426" s="31"/>
      <c r="G5426" s="272" t="s">
        <v>1099</v>
      </c>
    </row>
    <row r="5427">
      <c r="B5427" s="31"/>
      <c r="G5427" s="272" t="s">
        <v>1099</v>
      </c>
    </row>
    <row r="5428">
      <c r="B5428" s="31"/>
      <c r="G5428" s="272" t="s">
        <v>1099</v>
      </c>
    </row>
    <row r="5429">
      <c r="B5429" s="31"/>
      <c r="G5429" s="272" t="s">
        <v>1099</v>
      </c>
    </row>
    <row r="5430">
      <c r="B5430" s="31"/>
      <c r="G5430" s="272" t="s">
        <v>1099</v>
      </c>
    </row>
    <row r="5431">
      <c r="B5431" s="31"/>
      <c r="G5431" s="272" t="s">
        <v>1099</v>
      </c>
    </row>
    <row r="5432">
      <c r="B5432" s="31"/>
      <c r="G5432" s="272" t="s">
        <v>1099</v>
      </c>
    </row>
    <row r="5433">
      <c r="B5433" s="31"/>
      <c r="G5433" s="272" t="s">
        <v>1099</v>
      </c>
    </row>
    <row r="5434">
      <c r="B5434" s="31"/>
      <c r="G5434" s="272" t="s">
        <v>1099</v>
      </c>
    </row>
    <row r="5435">
      <c r="B5435" s="31"/>
      <c r="G5435" s="272" t="s">
        <v>1099</v>
      </c>
    </row>
    <row r="5436">
      <c r="B5436" s="31"/>
      <c r="G5436" s="272" t="s">
        <v>1099</v>
      </c>
    </row>
    <row r="5437">
      <c r="B5437" s="31"/>
      <c r="G5437" s="272" t="s">
        <v>1099</v>
      </c>
    </row>
    <row r="5438">
      <c r="B5438" s="31"/>
      <c r="G5438" s="272" t="s">
        <v>1099</v>
      </c>
    </row>
    <row r="5439">
      <c r="B5439" s="31"/>
      <c r="G5439" s="272" t="s">
        <v>1099</v>
      </c>
    </row>
    <row r="5440">
      <c r="B5440" s="31"/>
      <c r="G5440" s="272" t="s">
        <v>1099</v>
      </c>
    </row>
    <row r="5441">
      <c r="B5441" s="31"/>
      <c r="G5441" s="272" t="s">
        <v>1099</v>
      </c>
    </row>
    <row r="5442">
      <c r="B5442" s="31"/>
      <c r="G5442" s="272" t="s">
        <v>1099</v>
      </c>
    </row>
    <row r="5443">
      <c r="B5443" s="31"/>
      <c r="G5443" s="272" t="s">
        <v>1099</v>
      </c>
    </row>
    <row r="5444">
      <c r="B5444" s="31"/>
      <c r="G5444" s="272" t="s">
        <v>1099</v>
      </c>
    </row>
    <row r="5445">
      <c r="B5445" s="31"/>
      <c r="G5445" s="272" t="s">
        <v>1099</v>
      </c>
    </row>
    <row r="5446">
      <c r="B5446" s="31"/>
      <c r="G5446" s="272" t="s">
        <v>1099</v>
      </c>
    </row>
    <row r="5447">
      <c r="B5447" s="31"/>
      <c r="G5447" s="272" t="s">
        <v>1099</v>
      </c>
    </row>
    <row r="5448">
      <c r="B5448" s="31"/>
      <c r="G5448" s="272" t="s">
        <v>1099</v>
      </c>
    </row>
    <row r="5449">
      <c r="B5449" s="31"/>
      <c r="G5449" s="272" t="s">
        <v>1099</v>
      </c>
    </row>
    <row r="5450">
      <c r="B5450" s="31"/>
      <c r="G5450" s="272" t="s">
        <v>1099</v>
      </c>
    </row>
    <row r="5451">
      <c r="B5451" s="31"/>
      <c r="G5451" s="272" t="s">
        <v>1099</v>
      </c>
    </row>
    <row r="5452">
      <c r="B5452" s="31"/>
      <c r="G5452" s="272" t="s">
        <v>1099</v>
      </c>
    </row>
    <row r="5453">
      <c r="B5453" s="31"/>
      <c r="G5453" s="272" t="s">
        <v>1099</v>
      </c>
    </row>
    <row r="5454">
      <c r="B5454" s="31"/>
      <c r="G5454" s="272" t="s">
        <v>1099</v>
      </c>
    </row>
    <row r="5455">
      <c r="B5455" s="31"/>
      <c r="G5455" s="272" t="s">
        <v>1099</v>
      </c>
    </row>
    <row r="5456">
      <c r="B5456" s="31"/>
      <c r="G5456" s="272" t="s">
        <v>1099</v>
      </c>
    </row>
    <row r="5457">
      <c r="B5457" s="31"/>
      <c r="G5457" s="272" t="s">
        <v>1099</v>
      </c>
    </row>
    <row r="5458">
      <c r="B5458" s="31"/>
      <c r="G5458" s="272" t="s">
        <v>1099</v>
      </c>
    </row>
    <row r="5459">
      <c r="B5459" s="31"/>
      <c r="G5459" s="272" t="s">
        <v>1099</v>
      </c>
    </row>
    <row r="5460">
      <c r="B5460" s="31"/>
      <c r="G5460" s="272" t="s">
        <v>1099</v>
      </c>
    </row>
    <row r="5461">
      <c r="B5461" s="31"/>
      <c r="G5461" s="272" t="s">
        <v>1099</v>
      </c>
    </row>
    <row r="5462">
      <c r="B5462" s="31"/>
      <c r="G5462" s="272" t="s">
        <v>1099</v>
      </c>
    </row>
    <row r="5463">
      <c r="B5463" s="31"/>
      <c r="G5463" s="272" t="s">
        <v>1099</v>
      </c>
    </row>
    <row r="5464">
      <c r="B5464" s="31"/>
      <c r="G5464" s="272" t="s">
        <v>1099</v>
      </c>
    </row>
    <row r="5465">
      <c r="B5465" s="31"/>
      <c r="G5465" s="272" t="s">
        <v>1099</v>
      </c>
    </row>
    <row r="5466">
      <c r="B5466" s="31"/>
      <c r="G5466" s="272" t="s">
        <v>1099</v>
      </c>
    </row>
    <row r="5467">
      <c r="B5467" s="31"/>
      <c r="G5467" s="272" t="s">
        <v>1099</v>
      </c>
    </row>
    <row r="5468">
      <c r="B5468" s="31"/>
      <c r="G5468" s="272" t="s">
        <v>1099</v>
      </c>
    </row>
    <row r="5469">
      <c r="B5469" s="31"/>
      <c r="G5469" s="272" t="s">
        <v>1099</v>
      </c>
    </row>
    <row r="5470">
      <c r="B5470" s="31"/>
      <c r="G5470" s="272" t="s">
        <v>1099</v>
      </c>
    </row>
    <row r="5471">
      <c r="B5471" s="31"/>
      <c r="G5471" s="272" t="s">
        <v>1099</v>
      </c>
    </row>
    <row r="5472">
      <c r="B5472" s="31"/>
      <c r="G5472" s="272" t="s">
        <v>1099</v>
      </c>
    </row>
    <row r="5473">
      <c r="B5473" s="31"/>
      <c r="G5473" s="272" t="s">
        <v>1099</v>
      </c>
    </row>
    <row r="5474">
      <c r="B5474" s="31"/>
      <c r="G5474" s="272" t="s">
        <v>1099</v>
      </c>
    </row>
    <row r="5475">
      <c r="B5475" s="31"/>
      <c r="G5475" s="272" t="s">
        <v>1099</v>
      </c>
    </row>
    <row r="5476">
      <c r="B5476" s="31"/>
      <c r="G5476" s="272" t="s">
        <v>1099</v>
      </c>
    </row>
    <row r="5477">
      <c r="B5477" s="31"/>
      <c r="G5477" s="272" t="s">
        <v>1099</v>
      </c>
    </row>
    <row r="5478">
      <c r="B5478" s="31"/>
      <c r="G5478" s="272" t="s">
        <v>1099</v>
      </c>
    </row>
    <row r="5479">
      <c r="B5479" s="31"/>
      <c r="G5479" s="272" t="s">
        <v>1099</v>
      </c>
    </row>
    <row r="5480">
      <c r="B5480" s="31"/>
      <c r="G5480" s="272" t="s">
        <v>1099</v>
      </c>
    </row>
    <row r="5481">
      <c r="B5481" s="31"/>
      <c r="G5481" s="272" t="s">
        <v>1099</v>
      </c>
    </row>
    <row r="5482">
      <c r="B5482" s="31"/>
      <c r="G5482" s="272" t="s">
        <v>1099</v>
      </c>
    </row>
    <row r="5483">
      <c r="B5483" s="31"/>
      <c r="G5483" s="272" t="s">
        <v>1099</v>
      </c>
    </row>
    <row r="5484">
      <c r="B5484" s="31"/>
      <c r="G5484" s="272" t="s">
        <v>1099</v>
      </c>
    </row>
    <row r="5485">
      <c r="B5485" s="31"/>
      <c r="G5485" s="272" t="s">
        <v>1099</v>
      </c>
    </row>
    <row r="5486">
      <c r="B5486" s="31"/>
      <c r="G5486" s="272" t="s">
        <v>1099</v>
      </c>
    </row>
    <row r="5487">
      <c r="B5487" s="31"/>
      <c r="G5487" s="272" t="s">
        <v>1099</v>
      </c>
    </row>
    <row r="5488">
      <c r="B5488" s="31"/>
      <c r="G5488" s="272" t="s">
        <v>1099</v>
      </c>
    </row>
    <row r="5489">
      <c r="B5489" s="31"/>
      <c r="G5489" s="272" t="s">
        <v>1099</v>
      </c>
    </row>
    <row r="5490">
      <c r="B5490" s="31"/>
      <c r="G5490" s="272" t="s">
        <v>1099</v>
      </c>
    </row>
    <row r="5491">
      <c r="B5491" s="31"/>
      <c r="G5491" s="272" t="s">
        <v>1099</v>
      </c>
    </row>
    <row r="5492">
      <c r="B5492" s="31"/>
      <c r="G5492" s="272" t="s">
        <v>1099</v>
      </c>
    </row>
    <row r="5493">
      <c r="B5493" s="31"/>
      <c r="G5493" s="272" t="s">
        <v>1099</v>
      </c>
    </row>
    <row r="5494">
      <c r="B5494" s="31"/>
      <c r="G5494" s="272" t="s">
        <v>1099</v>
      </c>
    </row>
    <row r="5495">
      <c r="B5495" s="31"/>
      <c r="G5495" s="272" t="s">
        <v>1099</v>
      </c>
    </row>
    <row r="5496">
      <c r="B5496" s="31"/>
      <c r="G5496" s="272" t="s">
        <v>1099</v>
      </c>
    </row>
    <row r="5497">
      <c r="B5497" s="31"/>
      <c r="G5497" s="272" t="s">
        <v>1099</v>
      </c>
    </row>
    <row r="5498">
      <c r="B5498" s="31"/>
      <c r="G5498" s="272" t="s">
        <v>1099</v>
      </c>
    </row>
    <row r="5499">
      <c r="B5499" s="31"/>
      <c r="G5499" s="272" t="s">
        <v>1099</v>
      </c>
    </row>
    <row r="5500">
      <c r="B5500" s="31"/>
      <c r="G5500" s="272" t="s">
        <v>1099</v>
      </c>
    </row>
    <row r="5501">
      <c r="B5501" s="31"/>
      <c r="G5501" s="272" t="s">
        <v>1099</v>
      </c>
    </row>
    <row r="5502">
      <c r="B5502" s="31"/>
      <c r="G5502" s="272" t="s">
        <v>1099</v>
      </c>
    </row>
    <row r="5503">
      <c r="B5503" s="31"/>
      <c r="G5503" s="272" t="s">
        <v>1099</v>
      </c>
    </row>
    <row r="5504">
      <c r="B5504" s="31"/>
      <c r="G5504" s="272" t="s">
        <v>1099</v>
      </c>
    </row>
    <row r="5505">
      <c r="B5505" s="31"/>
      <c r="G5505" s="272" t="s">
        <v>1099</v>
      </c>
    </row>
    <row r="5506">
      <c r="B5506" s="31"/>
      <c r="G5506" s="272" t="s">
        <v>1099</v>
      </c>
    </row>
    <row r="5507">
      <c r="B5507" s="31"/>
      <c r="G5507" s="272" t="s">
        <v>1099</v>
      </c>
    </row>
    <row r="5508">
      <c r="B5508" s="31"/>
      <c r="G5508" s="272" t="s">
        <v>1099</v>
      </c>
    </row>
    <row r="5509">
      <c r="B5509" s="31"/>
      <c r="G5509" s="272" t="s">
        <v>1099</v>
      </c>
    </row>
    <row r="5510">
      <c r="B5510" s="31"/>
      <c r="G5510" s="272" t="s">
        <v>1099</v>
      </c>
    </row>
    <row r="5511">
      <c r="B5511" s="31"/>
      <c r="G5511" s="272" t="s">
        <v>1099</v>
      </c>
    </row>
    <row r="5512">
      <c r="B5512" s="31"/>
      <c r="G5512" s="272" t="s">
        <v>1099</v>
      </c>
    </row>
    <row r="5513">
      <c r="B5513" s="31"/>
      <c r="G5513" s="272" t="s">
        <v>1099</v>
      </c>
    </row>
    <row r="5514">
      <c r="B5514" s="31"/>
      <c r="G5514" s="272" t="s">
        <v>1099</v>
      </c>
    </row>
    <row r="5515">
      <c r="B5515" s="31"/>
      <c r="G5515" s="272" t="s">
        <v>1099</v>
      </c>
    </row>
    <row r="5516">
      <c r="B5516" s="31"/>
      <c r="G5516" s="272" t="s">
        <v>1099</v>
      </c>
    </row>
    <row r="5517">
      <c r="B5517" s="31"/>
      <c r="G5517" s="272" t="s">
        <v>1099</v>
      </c>
    </row>
    <row r="5518">
      <c r="B5518" s="31"/>
      <c r="G5518" s="272" t="s">
        <v>1099</v>
      </c>
    </row>
    <row r="5519">
      <c r="B5519" s="31"/>
      <c r="G5519" s="272" t="s">
        <v>1099</v>
      </c>
    </row>
    <row r="5520">
      <c r="B5520" s="31"/>
      <c r="G5520" s="272" t="s">
        <v>1099</v>
      </c>
    </row>
    <row r="5521">
      <c r="B5521" s="31"/>
      <c r="G5521" s="272" t="s">
        <v>1099</v>
      </c>
    </row>
    <row r="5522">
      <c r="B5522" s="31"/>
      <c r="G5522" s="272" t="s">
        <v>1099</v>
      </c>
    </row>
    <row r="5523">
      <c r="B5523" s="31"/>
      <c r="G5523" s="272" t="s">
        <v>1099</v>
      </c>
    </row>
    <row r="5524">
      <c r="B5524" s="31"/>
      <c r="G5524" s="272" t="s">
        <v>1099</v>
      </c>
    </row>
    <row r="5525">
      <c r="B5525" s="31"/>
      <c r="G5525" s="272" t="s">
        <v>1099</v>
      </c>
    </row>
    <row r="5526">
      <c r="B5526" s="31"/>
      <c r="G5526" s="272" t="s">
        <v>1099</v>
      </c>
    </row>
    <row r="5527">
      <c r="B5527" s="31"/>
      <c r="G5527" s="272" t="s">
        <v>1099</v>
      </c>
    </row>
    <row r="5528">
      <c r="B5528" s="31"/>
      <c r="G5528" s="272" t="s">
        <v>1099</v>
      </c>
    </row>
    <row r="5529">
      <c r="B5529" s="31"/>
      <c r="G5529" s="272" t="s">
        <v>1099</v>
      </c>
    </row>
    <row r="5530">
      <c r="B5530" s="31"/>
      <c r="G5530" s="272" t="s">
        <v>1099</v>
      </c>
    </row>
    <row r="5531">
      <c r="B5531" s="31"/>
      <c r="G5531" s="272" t="s">
        <v>1099</v>
      </c>
    </row>
    <row r="5532">
      <c r="B5532" s="31"/>
      <c r="G5532" s="272" t="s">
        <v>1099</v>
      </c>
    </row>
    <row r="5533">
      <c r="B5533" s="31"/>
      <c r="G5533" s="272" t="s">
        <v>1099</v>
      </c>
    </row>
    <row r="5534">
      <c r="B5534" s="31"/>
      <c r="G5534" s="272" t="s">
        <v>1099</v>
      </c>
    </row>
    <row r="5535">
      <c r="B5535" s="31"/>
      <c r="G5535" s="272" t="s">
        <v>1099</v>
      </c>
    </row>
    <row r="5536">
      <c r="B5536" s="31"/>
      <c r="G5536" s="272" t="s">
        <v>1099</v>
      </c>
    </row>
    <row r="5537">
      <c r="B5537" s="31"/>
      <c r="G5537" s="272" t="s">
        <v>1099</v>
      </c>
    </row>
    <row r="5538">
      <c r="B5538" s="31"/>
      <c r="G5538" s="272" t="s">
        <v>1099</v>
      </c>
    </row>
    <row r="5539">
      <c r="B5539" s="31"/>
      <c r="G5539" s="272" t="s">
        <v>1099</v>
      </c>
    </row>
    <row r="5540">
      <c r="B5540" s="31"/>
      <c r="G5540" s="272" t="s">
        <v>1099</v>
      </c>
    </row>
    <row r="5541">
      <c r="B5541" s="31"/>
      <c r="G5541" s="272" t="s">
        <v>1099</v>
      </c>
    </row>
    <row r="5542">
      <c r="B5542" s="31"/>
      <c r="G5542" s="272" t="s">
        <v>1099</v>
      </c>
    </row>
    <row r="5543">
      <c r="B5543" s="31"/>
      <c r="G5543" s="272" t="s">
        <v>1099</v>
      </c>
    </row>
    <row r="5544">
      <c r="B5544" s="31"/>
      <c r="G5544" s="272" t="s">
        <v>1099</v>
      </c>
    </row>
    <row r="5545">
      <c r="B5545" s="31"/>
      <c r="G5545" s="272" t="s">
        <v>1099</v>
      </c>
    </row>
    <row r="5546">
      <c r="B5546" s="31"/>
      <c r="G5546" s="272" t="s">
        <v>1099</v>
      </c>
    </row>
    <row r="5547">
      <c r="B5547" s="31"/>
      <c r="G5547" s="272" t="s">
        <v>1099</v>
      </c>
    </row>
    <row r="5548">
      <c r="B5548" s="31"/>
      <c r="G5548" s="272" t="s">
        <v>1099</v>
      </c>
    </row>
    <row r="5549">
      <c r="B5549" s="31"/>
      <c r="G5549" s="272" t="s">
        <v>1099</v>
      </c>
    </row>
    <row r="5550">
      <c r="B5550" s="31"/>
      <c r="G5550" s="272" t="s">
        <v>1099</v>
      </c>
    </row>
    <row r="5551">
      <c r="B5551" s="31"/>
      <c r="G5551" s="272" t="s">
        <v>1099</v>
      </c>
    </row>
    <row r="5552">
      <c r="B5552" s="31"/>
      <c r="G5552" s="272" t="s">
        <v>1099</v>
      </c>
    </row>
    <row r="5553">
      <c r="B5553" s="31"/>
      <c r="G5553" s="272" t="s">
        <v>1099</v>
      </c>
    </row>
    <row r="5554">
      <c r="B5554" s="31"/>
      <c r="G5554" s="272" t="s">
        <v>1099</v>
      </c>
    </row>
    <row r="5555">
      <c r="B5555" s="31"/>
      <c r="G5555" s="272" t="s">
        <v>1099</v>
      </c>
    </row>
    <row r="5556">
      <c r="B5556" s="31"/>
      <c r="G5556" s="272" t="s">
        <v>1099</v>
      </c>
    </row>
    <row r="5557">
      <c r="B5557" s="31"/>
      <c r="G5557" s="272" t="s">
        <v>1099</v>
      </c>
    </row>
    <row r="5558">
      <c r="B5558" s="31"/>
      <c r="G5558" s="272" t="s">
        <v>1099</v>
      </c>
    </row>
    <row r="5559">
      <c r="B5559" s="31"/>
      <c r="G5559" s="272" t="s">
        <v>1099</v>
      </c>
    </row>
    <row r="5560">
      <c r="B5560" s="31"/>
      <c r="G5560" s="272" t="s">
        <v>1099</v>
      </c>
    </row>
    <row r="5561">
      <c r="B5561" s="31"/>
      <c r="G5561" s="272" t="s">
        <v>1099</v>
      </c>
    </row>
    <row r="5562">
      <c r="B5562" s="31"/>
      <c r="G5562" s="272" t="s">
        <v>1099</v>
      </c>
    </row>
    <row r="5563">
      <c r="B5563" s="31"/>
      <c r="G5563" s="272" t="s">
        <v>1099</v>
      </c>
    </row>
    <row r="5564">
      <c r="B5564" s="31"/>
      <c r="G5564" s="272" t="s">
        <v>1099</v>
      </c>
    </row>
    <row r="5565">
      <c r="B5565" s="31"/>
      <c r="G5565" s="272" t="s">
        <v>1099</v>
      </c>
    </row>
    <row r="5566">
      <c r="B5566" s="31"/>
      <c r="G5566" s="272" t="s">
        <v>1099</v>
      </c>
    </row>
    <row r="5567">
      <c r="B5567" s="31"/>
      <c r="G5567" s="272" t="s">
        <v>1099</v>
      </c>
    </row>
    <row r="5568">
      <c r="B5568" s="31"/>
      <c r="G5568" s="272" t="s">
        <v>1099</v>
      </c>
    </row>
    <row r="5569">
      <c r="B5569" s="31"/>
      <c r="G5569" s="272" t="s">
        <v>1099</v>
      </c>
    </row>
    <row r="5570">
      <c r="B5570" s="31"/>
      <c r="G5570" s="272" t="s">
        <v>1099</v>
      </c>
    </row>
    <row r="5571">
      <c r="B5571" s="31"/>
      <c r="G5571" s="272" t="s">
        <v>1099</v>
      </c>
    </row>
    <row r="5572">
      <c r="B5572" s="31"/>
      <c r="G5572" s="272" t="s">
        <v>1099</v>
      </c>
    </row>
    <row r="5573">
      <c r="B5573" s="31"/>
      <c r="G5573" s="272" t="s">
        <v>1099</v>
      </c>
    </row>
    <row r="5574">
      <c r="B5574" s="31"/>
      <c r="G5574" s="272" t="s">
        <v>1099</v>
      </c>
    </row>
    <row r="5575">
      <c r="B5575" s="31"/>
      <c r="G5575" s="272" t="s">
        <v>1099</v>
      </c>
    </row>
    <row r="5576">
      <c r="B5576" s="31"/>
      <c r="G5576" s="272" t="s">
        <v>1099</v>
      </c>
    </row>
    <row r="5577">
      <c r="B5577" s="31"/>
      <c r="G5577" s="272" t="s">
        <v>1099</v>
      </c>
    </row>
    <row r="5578">
      <c r="B5578" s="31"/>
      <c r="G5578" s="272" t="s">
        <v>1099</v>
      </c>
    </row>
    <row r="5579">
      <c r="B5579" s="31"/>
      <c r="G5579" s="272" t="s">
        <v>1099</v>
      </c>
    </row>
    <row r="5580">
      <c r="B5580" s="31"/>
      <c r="G5580" s="272" t="s">
        <v>1099</v>
      </c>
    </row>
    <row r="5581">
      <c r="B5581" s="31"/>
      <c r="G5581" s="272" t="s">
        <v>1099</v>
      </c>
    </row>
    <row r="5582">
      <c r="B5582" s="31"/>
      <c r="G5582" s="272" t="s">
        <v>1099</v>
      </c>
    </row>
    <row r="5583">
      <c r="B5583" s="31"/>
      <c r="G5583" s="272" t="s">
        <v>1099</v>
      </c>
    </row>
    <row r="5584">
      <c r="B5584" s="31"/>
      <c r="G5584" s="272" t="s">
        <v>1099</v>
      </c>
    </row>
    <row r="5585">
      <c r="B5585" s="31"/>
      <c r="G5585" s="272" t="s">
        <v>1099</v>
      </c>
    </row>
    <row r="5586">
      <c r="B5586" s="31"/>
      <c r="G5586" s="272" t="s">
        <v>1099</v>
      </c>
    </row>
    <row r="5587">
      <c r="B5587" s="31"/>
      <c r="G5587" s="272" t="s">
        <v>1099</v>
      </c>
    </row>
    <row r="5588">
      <c r="B5588" s="31"/>
      <c r="G5588" s="272" t="s">
        <v>1099</v>
      </c>
    </row>
    <row r="5589">
      <c r="B5589" s="31"/>
      <c r="G5589" s="272" t="s">
        <v>1099</v>
      </c>
    </row>
    <row r="5590">
      <c r="B5590" s="31"/>
      <c r="G5590" s="272" t="s">
        <v>1099</v>
      </c>
    </row>
    <row r="5591">
      <c r="B5591" s="31"/>
      <c r="G5591" s="272" t="s">
        <v>1099</v>
      </c>
    </row>
    <row r="5592">
      <c r="B5592" s="31"/>
      <c r="G5592" s="272" t="s">
        <v>1099</v>
      </c>
    </row>
    <row r="5593">
      <c r="B5593" s="31"/>
      <c r="G5593" s="272" t="s">
        <v>1099</v>
      </c>
    </row>
    <row r="5594">
      <c r="B5594" s="31"/>
      <c r="G5594" s="272" t="s">
        <v>1099</v>
      </c>
    </row>
    <row r="5595">
      <c r="B5595" s="31"/>
      <c r="G5595" s="272" t="s">
        <v>1099</v>
      </c>
    </row>
    <row r="5596">
      <c r="B5596" s="31"/>
      <c r="G5596" s="272" t="s">
        <v>1099</v>
      </c>
    </row>
    <row r="5597">
      <c r="B5597" s="31"/>
      <c r="G5597" s="272" t="s">
        <v>1099</v>
      </c>
    </row>
    <row r="5598">
      <c r="B5598" s="31"/>
      <c r="G5598" s="272" t="s">
        <v>1099</v>
      </c>
    </row>
    <row r="5599">
      <c r="B5599" s="31"/>
      <c r="G5599" s="272" t="s">
        <v>1099</v>
      </c>
    </row>
    <row r="5600">
      <c r="B5600" s="31"/>
      <c r="G5600" s="272" t="s">
        <v>1099</v>
      </c>
    </row>
    <row r="5601">
      <c r="B5601" s="31"/>
      <c r="G5601" s="272" t="s">
        <v>1099</v>
      </c>
    </row>
    <row r="5602">
      <c r="B5602" s="31"/>
      <c r="G5602" s="272" t="s">
        <v>1099</v>
      </c>
    </row>
    <row r="5603">
      <c r="B5603" s="31"/>
      <c r="G5603" s="272" t="s">
        <v>1099</v>
      </c>
    </row>
    <row r="5604">
      <c r="B5604" s="31"/>
      <c r="G5604" s="272" t="s">
        <v>1099</v>
      </c>
    </row>
    <row r="5605">
      <c r="B5605" s="31"/>
      <c r="G5605" s="272" t="s">
        <v>1099</v>
      </c>
    </row>
    <row r="5606">
      <c r="B5606" s="31"/>
      <c r="G5606" s="272" t="s">
        <v>1099</v>
      </c>
    </row>
    <row r="5607">
      <c r="B5607" s="31"/>
      <c r="G5607" s="272" t="s">
        <v>1099</v>
      </c>
    </row>
    <row r="5608">
      <c r="B5608" s="31"/>
      <c r="G5608" s="272" t="s">
        <v>1099</v>
      </c>
    </row>
    <row r="5609">
      <c r="B5609" s="31"/>
      <c r="G5609" s="272" t="s">
        <v>1099</v>
      </c>
    </row>
    <row r="5610">
      <c r="B5610" s="31"/>
      <c r="G5610" s="272" t="s">
        <v>1099</v>
      </c>
    </row>
    <row r="5611">
      <c r="B5611" s="31"/>
      <c r="G5611" s="272" t="s">
        <v>1099</v>
      </c>
    </row>
    <row r="5612">
      <c r="B5612" s="31"/>
      <c r="G5612" s="272" t="s">
        <v>1099</v>
      </c>
    </row>
    <row r="5613">
      <c r="B5613" s="31"/>
      <c r="G5613" s="272" t="s">
        <v>1099</v>
      </c>
    </row>
    <row r="5614">
      <c r="B5614" s="31"/>
      <c r="G5614" s="272" t="s">
        <v>1099</v>
      </c>
    </row>
    <row r="5615">
      <c r="B5615" s="31"/>
      <c r="G5615" s="272" t="s">
        <v>1099</v>
      </c>
    </row>
    <row r="5616">
      <c r="B5616" s="31"/>
      <c r="G5616" s="272" t="s">
        <v>1099</v>
      </c>
    </row>
    <row r="5617">
      <c r="B5617" s="31"/>
      <c r="G5617" s="272" t="s">
        <v>1099</v>
      </c>
    </row>
    <row r="5618">
      <c r="B5618" s="31"/>
      <c r="G5618" s="272" t="s">
        <v>1099</v>
      </c>
    </row>
    <row r="5619">
      <c r="B5619" s="31"/>
      <c r="G5619" s="272" t="s">
        <v>1099</v>
      </c>
    </row>
    <row r="5620">
      <c r="B5620" s="31"/>
      <c r="G5620" s="272" t="s">
        <v>1099</v>
      </c>
    </row>
    <row r="5621">
      <c r="B5621" s="31"/>
      <c r="G5621" s="272" t="s">
        <v>1099</v>
      </c>
    </row>
    <row r="5622">
      <c r="B5622" s="31"/>
      <c r="G5622" s="272" t="s">
        <v>1099</v>
      </c>
    </row>
    <row r="5623">
      <c r="B5623" s="31"/>
      <c r="G5623" s="272" t="s">
        <v>1099</v>
      </c>
    </row>
    <row r="5624">
      <c r="B5624" s="31"/>
      <c r="G5624" s="272" t="s">
        <v>1099</v>
      </c>
    </row>
    <row r="5625">
      <c r="B5625" s="31"/>
      <c r="G5625" s="272" t="s">
        <v>1099</v>
      </c>
    </row>
    <row r="5626">
      <c r="B5626" s="31"/>
      <c r="G5626" s="272" t="s">
        <v>1099</v>
      </c>
    </row>
    <row r="5627">
      <c r="B5627" s="31"/>
      <c r="G5627" s="272" t="s">
        <v>1099</v>
      </c>
    </row>
    <row r="5628">
      <c r="B5628" s="31"/>
      <c r="G5628" s="272" t="s">
        <v>1099</v>
      </c>
    </row>
    <row r="5629">
      <c r="B5629" s="31"/>
      <c r="G5629" s="272" t="s">
        <v>1099</v>
      </c>
    </row>
    <row r="5630">
      <c r="B5630" s="31"/>
      <c r="G5630" s="272" t="s">
        <v>1099</v>
      </c>
    </row>
    <row r="5631">
      <c r="B5631" s="31"/>
      <c r="G5631" s="272" t="s">
        <v>1099</v>
      </c>
    </row>
    <row r="5632">
      <c r="B5632" s="31"/>
      <c r="G5632" s="272" t="s">
        <v>1099</v>
      </c>
    </row>
    <row r="5633">
      <c r="B5633" s="31"/>
      <c r="G5633" s="272" t="s">
        <v>1099</v>
      </c>
    </row>
    <row r="5634">
      <c r="B5634" s="31"/>
      <c r="G5634" s="272" t="s">
        <v>1099</v>
      </c>
    </row>
    <row r="5635">
      <c r="B5635" s="31"/>
      <c r="G5635" s="272" t="s">
        <v>1099</v>
      </c>
    </row>
    <row r="5636">
      <c r="B5636" s="31"/>
      <c r="G5636" s="272" t="s">
        <v>1099</v>
      </c>
    </row>
    <row r="5637">
      <c r="B5637" s="31"/>
      <c r="G5637" s="272" t="s">
        <v>1099</v>
      </c>
    </row>
    <row r="5638">
      <c r="B5638" s="31"/>
      <c r="G5638" s="272" t="s">
        <v>1099</v>
      </c>
    </row>
    <row r="5639">
      <c r="B5639" s="31"/>
      <c r="G5639" s="272" t="s">
        <v>1099</v>
      </c>
    </row>
    <row r="5640">
      <c r="B5640" s="31"/>
      <c r="G5640" s="272" t="s">
        <v>1099</v>
      </c>
    </row>
    <row r="5641">
      <c r="B5641" s="31"/>
      <c r="G5641" s="272" t="s">
        <v>1099</v>
      </c>
    </row>
    <row r="5642">
      <c r="B5642" s="31"/>
      <c r="G5642" s="272" t="s">
        <v>1099</v>
      </c>
    </row>
    <row r="5643">
      <c r="B5643" s="31"/>
      <c r="G5643" s="272" t="s">
        <v>1099</v>
      </c>
    </row>
    <row r="5644">
      <c r="B5644" s="31"/>
      <c r="G5644" s="272" t="s">
        <v>1099</v>
      </c>
    </row>
    <row r="5645">
      <c r="B5645" s="31"/>
      <c r="G5645" s="272" t="s">
        <v>1099</v>
      </c>
    </row>
    <row r="5646">
      <c r="B5646" s="31"/>
      <c r="G5646" s="272" t="s">
        <v>1099</v>
      </c>
    </row>
    <row r="5647">
      <c r="B5647" s="31"/>
      <c r="G5647" s="272" t="s">
        <v>1099</v>
      </c>
    </row>
    <row r="5648">
      <c r="B5648" s="31"/>
      <c r="G5648" s="272" t="s">
        <v>1099</v>
      </c>
    </row>
    <row r="5649">
      <c r="B5649" s="31"/>
      <c r="G5649" s="272" t="s">
        <v>1099</v>
      </c>
    </row>
    <row r="5650">
      <c r="B5650" s="31"/>
      <c r="G5650" s="272" t="s">
        <v>1099</v>
      </c>
    </row>
    <row r="5651">
      <c r="B5651" s="31"/>
      <c r="G5651" s="272" t="s">
        <v>1099</v>
      </c>
    </row>
    <row r="5652">
      <c r="B5652" s="31"/>
      <c r="G5652" s="272" t="s">
        <v>1099</v>
      </c>
    </row>
    <row r="5653">
      <c r="B5653" s="31"/>
      <c r="G5653" s="272" t="s">
        <v>1099</v>
      </c>
    </row>
    <row r="5654">
      <c r="B5654" s="31"/>
      <c r="G5654" s="272" t="s">
        <v>1099</v>
      </c>
    </row>
    <row r="5655">
      <c r="B5655" s="31"/>
      <c r="G5655" s="272" t="s">
        <v>1099</v>
      </c>
    </row>
    <row r="5656">
      <c r="B5656" s="31"/>
      <c r="G5656" s="272" t="s">
        <v>1099</v>
      </c>
    </row>
    <row r="5657">
      <c r="B5657" s="31"/>
      <c r="G5657" s="272" t="s">
        <v>1099</v>
      </c>
    </row>
    <row r="5658">
      <c r="B5658" s="31"/>
      <c r="G5658" s="272" t="s">
        <v>1099</v>
      </c>
    </row>
    <row r="5659">
      <c r="B5659" s="31"/>
      <c r="G5659" s="272" t="s">
        <v>1099</v>
      </c>
    </row>
    <row r="5660">
      <c r="B5660" s="31"/>
      <c r="G5660" s="272" t="s">
        <v>1099</v>
      </c>
    </row>
    <row r="5661">
      <c r="B5661" s="31"/>
      <c r="G5661" s="272" t="s">
        <v>1099</v>
      </c>
    </row>
    <row r="5662">
      <c r="B5662" s="31"/>
      <c r="G5662" s="272" t="s">
        <v>1099</v>
      </c>
    </row>
    <row r="5663">
      <c r="B5663" s="31"/>
      <c r="G5663" s="272" t="s">
        <v>1099</v>
      </c>
    </row>
    <row r="5664">
      <c r="B5664" s="31"/>
      <c r="G5664" s="272" t="s">
        <v>1099</v>
      </c>
    </row>
    <row r="5665">
      <c r="B5665" s="31"/>
      <c r="G5665" s="272" t="s">
        <v>1099</v>
      </c>
    </row>
    <row r="5666">
      <c r="B5666" s="31"/>
      <c r="G5666" s="272" t="s">
        <v>1099</v>
      </c>
    </row>
    <row r="5667">
      <c r="B5667" s="31"/>
      <c r="G5667" s="272" t="s">
        <v>1099</v>
      </c>
    </row>
    <row r="5668">
      <c r="B5668" s="31"/>
      <c r="G5668" s="272" t="s">
        <v>1099</v>
      </c>
    </row>
    <row r="5669">
      <c r="B5669" s="31"/>
      <c r="G5669" s="272" t="s">
        <v>1099</v>
      </c>
    </row>
    <row r="5670">
      <c r="B5670" s="31"/>
      <c r="G5670" s="272" t="s">
        <v>1099</v>
      </c>
    </row>
    <row r="5671">
      <c r="B5671" s="31"/>
      <c r="G5671" s="272" t="s">
        <v>1099</v>
      </c>
    </row>
    <row r="5672">
      <c r="B5672" s="31"/>
      <c r="G5672" s="272" t="s">
        <v>1099</v>
      </c>
    </row>
    <row r="5673">
      <c r="B5673" s="31"/>
      <c r="G5673" s="272" t="s">
        <v>1099</v>
      </c>
    </row>
    <row r="5674">
      <c r="B5674" s="31"/>
      <c r="G5674" s="272" t="s">
        <v>1099</v>
      </c>
    </row>
    <row r="5675">
      <c r="B5675" s="31"/>
      <c r="G5675" s="272" t="s">
        <v>1099</v>
      </c>
    </row>
    <row r="5676">
      <c r="B5676" s="31"/>
      <c r="G5676" s="272" t="s">
        <v>1099</v>
      </c>
    </row>
    <row r="5677">
      <c r="B5677" s="31"/>
      <c r="G5677" s="272" t="s">
        <v>1099</v>
      </c>
    </row>
    <row r="5678">
      <c r="B5678" s="31"/>
      <c r="G5678" s="272" t="s">
        <v>1099</v>
      </c>
    </row>
    <row r="5679">
      <c r="B5679" s="31"/>
      <c r="G5679" s="272" t="s">
        <v>1099</v>
      </c>
    </row>
    <row r="5680">
      <c r="B5680" s="31"/>
      <c r="G5680" s="272" t="s">
        <v>1099</v>
      </c>
    </row>
    <row r="5681">
      <c r="B5681" s="31"/>
      <c r="G5681" s="272" t="s">
        <v>1099</v>
      </c>
    </row>
    <row r="5682">
      <c r="B5682" s="31"/>
      <c r="G5682" s="272" t="s">
        <v>1099</v>
      </c>
    </row>
    <row r="5683">
      <c r="B5683" s="31"/>
      <c r="G5683" s="272" t="s">
        <v>1099</v>
      </c>
    </row>
    <row r="5684">
      <c r="B5684" s="31"/>
      <c r="G5684" s="272" t="s">
        <v>1099</v>
      </c>
    </row>
    <row r="5685">
      <c r="B5685" s="31"/>
      <c r="G5685" s="272" t="s">
        <v>1099</v>
      </c>
    </row>
    <row r="5686">
      <c r="B5686" s="31"/>
      <c r="G5686" s="272" t="s">
        <v>1099</v>
      </c>
    </row>
    <row r="5687">
      <c r="B5687" s="31"/>
      <c r="G5687" s="272" t="s">
        <v>1099</v>
      </c>
    </row>
    <row r="5688">
      <c r="B5688" s="31"/>
      <c r="G5688" s="272" t="s">
        <v>1099</v>
      </c>
    </row>
    <row r="5689">
      <c r="B5689" s="31"/>
      <c r="G5689" s="272" t="s">
        <v>1099</v>
      </c>
    </row>
    <row r="5690">
      <c r="B5690" s="31"/>
      <c r="G5690" s="272" t="s">
        <v>1099</v>
      </c>
    </row>
    <row r="5691">
      <c r="B5691" s="31"/>
      <c r="G5691" s="272" t="s">
        <v>1099</v>
      </c>
    </row>
    <row r="5692">
      <c r="B5692" s="31"/>
      <c r="G5692" s="272" t="s">
        <v>1099</v>
      </c>
    </row>
    <row r="5693">
      <c r="B5693" s="31"/>
      <c r="G5693" s="272" t="s">
        <v>1099</v>
      </c>
    </row>
    <row r="5694">
      <c r="B5694" s="31"/>
      <c r="G5694" s="272" t="s">
        <v>1099</v>
      </c>
    </row>
    <row r="5695">
      <c r="B5695" s="31"/>
      <c r="G5695" s="272" t="s">
        <v>1099</v>
      </c>
    </row>
    <row r="5696">
      <c r="B5696" s="31"/>
      <c r="G5696" s="272" t="s">
        <v>1099</v>
      </c>
    </row>
    <row r="5697">
      <c r="B5697" s="31"/>
      <c r="G5697" s="272" t="s">
        <v>1099</v>
      </c>
    </row>
    <row r="5698">
      <c r="B5698" s="31"/>
      <c r="G5698" s="272" t="s">
        <v>1099</v>
      </c>
    </row>
    <row r="5699">
      <c r="B5699" s="31"/>
      <c r="G5699" s="272" t="s">
        <v>1099</v>
      </c>
    </row>
    <row r="5700">
      <c r="B5700" s="31"/>
      <c r="G5700" s="272" t="s">
        <v>1099</v>
      </c>
    </row>
    <row r="5701">
      <c r="B5701" s="31"/>
      <c r="G5701" s="272" t="s">
        <v>1099</v>
      </c>
    </row>
    <row r="5702">
      <c r="B5702" s="31"/>
      <c r="G5702" s="272" t="s">
        <v>1099</v>
      </c>
    </row>
    <row r="5703">
      <c r="B5703" s="31"/>
      <c r="G5703" s="272" t="s">
        <v>1099</v>
      </c>
    </row>
    <row r="5704">
      <c r="B5704" s="31"/>
      <c r="G5704" s="272" t="s">
        <v>1099</v>
      </c>
    </row>
    <row r="5705">
      <c r="B5705" s="31"/>
      <c r="G5705" s="272" t="s">
        <v>1099</v>
      </c>
    </row>
    <row r="5706">
      <c r="B5706" s="31"/>
      <c r="G5706" s="272" t="s">
        <v>1099</v>
      </c>
    </row>
    <row r="5707">
      <c r="B5707" s="31"/>
      <c r="G5707" s="272" t="s">
        <v>1099</v>
      </c>
    </row>
    <row r="5708">
      <c r="B5708" s="31"/>
      <c r="G5708" s="272" t="s">
        <v>1099</v>
      </c>
    </row>
    <row r="5709">
      <c r="B5709" s="31"/>
      <c r="G5709" s="272" t="s">
        <v>1099</v>
      </c>
    </row>
    <row r="5710">
      <c r="B5710" s="31"/>
      <c r="G5710" s="272" t="s">
        <v>1099</v>
      </c>
    </row>
    <row r="5711">
      <c r="B5711" s="31"/>
      <c r="G5711" s="272" t="s">
        <v>1099</v>
      </c>
    </row>
    <row r="5712">
      <c r="B5712" s="31"/>
      <c r="G5712" s="272" t="s">
        <v>1099</v>
      </c>
    </row>
    <row r="5713">
      <c r="B5713" s="31"/>
      <c r="G5713" s="272" t="s">
        <v>1099</v>
      </c>
    </row>
    <row r="5714">
      <c r="B5714" s="31"/>
      <c r="G5714" s="272" t="s">
        <v>1099</v>
      </c>
    </row>
    <row r="5715">
      <c r="B5715" s="31"/>
      <c r="G5715" s="272" t="s">
        <v>1099</v>
      </c>
    </row>
    <row r="5716">
      <c r="B5716" s="31"/>
      <c r="G5716" s="272" t="s">
        <v>1099</v>
      </c>
    </row>
    <row r="5717">
      <c r="B5717" s="31"/>
      <c r="G5717" s="272" t="s">
        <v>1099</v>
      </c>
    </row>
    <row r="5718">
      <c r="B5718" s="31"/>
      <c r="G5718" s="272" t="s">
        <v>1099</v>
      </c>
    </row>
    <row r="5719">
      <c r="B5719" s="31"/>
      <c r="G5719" s="272" t="s">
        <v>1099</v>
      </c>
    </row>
    <row r="5720">
      <c r="B5720" s="31"/>
      <c r="G5720" s="272" t="s">
        <v>1099</v>
      </c>
    </row>
    <row r="5721">
      <c r="B5721" s="31"/>
      <c r="G5721" s="272" t="s">
        <v>1099</v>
      </c>
    </row>
    <row r="5722">
      <c r="B5722" s="31"/>
      <c r="G5722" s="272" t="s">
        <v>1099</v>
      </c>
    </row>
    <row r="5723">
      <c r="B5723" s="31"/>
      <c r="G5723" s="272" t="s">
        <v>1099</v>
      </c>
    </row>
    <row r="5724">
      <c r="B5724" s="31"/>
      <c r="G5724" s="272" t="s">
        <v>1099</v>
      </c>
    </row>
    <row r="5725">
      <c r="B5725" s="31"/>
      <c r="G5725" s="272" t="s">
        <v>1099</v>
      </c>
    </row>
    <row r="5726">
      <c r="B5726" s="31"/>
      <c r="G5726" s="272" t="s">
        <v>1099</v>
      </c>
    </row>
    <row r="5727">
      <c r="B5727" s="31"/>
      <c r="G5727" s="272" t="s">
        <v>1099</v>
      </c>
    </row>
    <row r="5728">
      <c r="B5728" s="31"/>
      <c r="G5728" s="272" t="s">
        <v>1099</v>
      </c>
    </row>
    <row r="5729">
      <c r="B5729" s="31"/>
      <c r="G5729" s="272" t="s">
        <v>1099</v>
      </c>
    </row>
    <row r="5730">
      <c r="B5730" s="31"/>
      <c r="G5730" s="272" t="s">
        <v>1099</v>
      </c>
    </row>
    <row r="5731">
      <c r="B5731" s="31"/>
      <c r="G5731" s="272" t="s">
        <v>1099</v>
      </c>
    </row>
    <row r="5732">
      <c r="B5732" s="31"/>
      <c r="G5732" s="272" t="s">
        <v>1099</v>
      </c>
    </row>
    <row r="5733">
      <c r="B5733" s="31"/>
      <c r="G5733" s="272" t="s">
        <v>1099</v>
      </c>
    </row>
    <row r="5734">
      <c r="B5734" s="31"/>
      <c r="G5734" s="272" t="s">
        <v>1099</v>
      </c>
    </row>
    <row r="5735">
      <c r="B5735" s="31"/>
      <c r="G5735" s="272" t="s">
        <v>1099</v>
      </c>
    </row>
    <row r="5736">
      <c r="B5736" s="31"/>
      <c r="G5736" s="272" t="s">
        <v>1099</v>
      </c>
    </row>
    <row r="5737">
      <c r="B5737" s="31"/>
      <c r="G5737" s="272" t="s">
        <v>1099</v>
      </c>
    </row>
    <row r="5738">
      <c r="B5738" s="31"/>
      <c r="G5738" s="272" t="s">
        <v>1099</v>
      </c>
    </row>
    <row r="5739">
      <c r="B5739" s="31"/>
      <c r="G5739" s="272" t="s">
        <v>1099</v>
      </c>
    </row>
    <row r="5740">
      <c r="B5740" s="31"/>
      <c r="G5740" s="272" t="s">
        <v>1099</v>
      </c>
    </row>
    <row r="5741">
      <c r="B5741" s="31"/>
      <c r="G5741" s="272" t="s">
        <v>1099</v>
      </c>
    </row>
    <row r="5742">
      <c r="B5742" s="31"/>
      <c r="G5742" s="272" t="s">
        <v>1099</v>
      </c>
    </row>
    <row r="5743">
      <c r="B5743" s="31"/>
      <c r="G5743" s="272" t="s">
        <v>1099</v>
      </c>
    </row>
    <row r="5744">
      <c r="B5744" s="31"/>
      <c r="G5744" s="272" t="s">
        <v>1099</v>
      </c>
    </row>
    <row r="5745">
      <c r="B5745" s="31"/>
      <c r="G5745" s="272" t="s">
        <v>1099</v>
      </c>
    </row>
    <row r="5746">
      <c r="B5746" s="31"/>
      <c r="G5746" s="272" t="s">
        <v>1099</v>
      </c>
    </row>
    <row r="5747">
      <c r="B5747" s="31"/>
      <c r="G5747" s="272" t="s">
        <v>1099</v>
      </c>
    </row>
    <row r="5748">
      <c r="B5748" s="31"/>
      <c r="G5748" s="272" t="s">
        <v>1099</v>
      </c>
    </row>
    <row r="5749">
      <c r="B5749" s="31"/>
      <c r="G5749" s="272" t="s">
        <v>1099</v>
      </c>
    </row>
    <row r="5750">
      <c r="B5750" s="31"/>
      <c r="G5750" s="272" t="s">
        <v>1099</v>
      </c>
    </row>
    <row r="5751">
      <c r="B5751" s="31"/>
      <c r="G5751" s="272" t="s">
        <v>1099</v>
      </c>
    </row>
    <row r="5752">
      <c r="B5752" s="31"/>
      <c r="G5752" s="272" t="s">
        <v>1099</v>
      </c>
    </row>
    <row r="5753">
      <c r="B5753" s="31"/>
      <c r="G5753" s="272" t="s">
        <v>1099</v>
      </c>
    </row>
    <row r="5754">
      <c r="B5754" s="31"/>
      <c r="G5754" s="272" t="s">
        <v>1099</v>
      </c>
    </row>
    <row r="5755">
      <c r="B5755" s="31"/>
      <c r="G5755" s="272" t="s">
        <v>1099</v>
      </c>
    </row>
    <row r="5756">
      <c r="B5756" s="31"/>
      <c r="G5756" s="272" t="s">
        <v>1099</v>
      </c>
    </row>
    <row r="5757">
      <c r="B5757" s="31"/>
      <c r="G5757" s="272" t="s">
        <v>1099</v>
      </c>
    </row>
    <row r="5758">
      <c r="B5758" s="31"/>
      <c r="G5758" s="272" t="s">
        <v>1099</v>
      </c>
    </row>
    <row r="5759">
      <c r="B5759" s="31"/>
      <c r="G5759" s="272" t="s">
        <v>1099</v>
      </c>
    </row>
    <row r="5760">
      <c r="B5760" s="31"/>
      <c r="G5760" s="272" t="s">
        <v>1099</v>
      </c>
    </row>
    <row r="5761">
      <c r="B5761" s="31"/>
      <c r="G5761" s="272" t="s">
        <v>1099</v>
      </c>
    </row>
    <row r="5762">
      <c r="B5762" s="31"/>
      <c r="G5762" s="272" t="s">
        <v>1099</v>
      </c>
    </row>
    <row r="5763">
      <c r="B5763" s="31"/>
      <c r="G5763" s="272" t="s">
        <v>1099</v>
      </c>
    </row>
    <row r="5764">
      <c r="B5764" s="31"/>
      <c r="G5764" s="272" t="s">
        <v>1099</v>
      </c>
    </row>
    <row r="5765">
      <c r="B5765" s="31"/>
      <c r="G5765" s="272" t="s">
        <v>1099</v>
      </c>
    </row>
    <row r="5766">
      <c r="B5766" s="31"/>
      <c r="G5766" s="272" t="s">
        <v>1099</v>
      </c>
    </row>
    <row r="5767">
      <c r="B5767" s="31"/>
      <c r="G5767" s="272" t="s">
        <v>1099</v>
      </c>
    </row>
    <row r="5768">
      <c r="B5768" s="31"/>
      <c r="G5768" s="272" t="s">
        <v>1099</v>
      </c>
    </row>
    <row r="5769">
      <c r="B5769" s="31"/>
      <c r="G5769" s="272" t="s">
        <v>1099</v>
      </c>
    </row>
    <row r="5770">
      <c r="B5770" s="31"/>
      <c r="G5770" s="272" t="s">
        <v>1099</v>
      </c>
    </row>
    <row r="5771">
      <c r="B5771" s="31"/>
      <c r="G5771" s="272" t="s">
        <v>1099</v>
      </c>
    </row>
    <row r="5772">
      <c r="B5772" s="31"/>
      <c r="G5772" s="272" t="s">
        <v>1099</v>
      </c>
    </row>
    <row r="5773">
      <c r="B5773" s="31"/>
      <c r="G5773" s="272" t="s">
        <v>1099</v>
      </c>
    </row>
    <row r="5774">
      <c r="B5774" s="31"/>
      <c r="G5774" s="272" t="s">
        <v>1099</v>
      </c>
    </row>
    <row r="5775">
      <c r="B5775" s="31"/>
      <c r="G5775" s="272" t="s">
        <v>1099</v>
      </c>
    </row>
    <row r="5776">
      <c r="B5776" s="31"/>
      <c r="G5776" s="272" t="s">
        <v>1099</v>
      </c>
    </row>
    <row r="5777">
      <c r="B5777" s="31"/>
      <c r="G5777" s="272" t="s">
        <v>1099</v>
      </c>
    </row>
    <row r="5778">
      <c r="B5778" s="31"/>
      <c r="G5778" s="272" t="s">
        <v>1099</v>
      </c>
    </row>
    <row r="5779">
      <c r="B5779" s="31"/>
      <c r="G5779" s="272" t="s">
        <v>1099</v>
      </c>
    </row>
    <row r="5780">
      <c r="B5780" s="31"/>
      <c r="G5780" s="272" t="s">
        <v>1099</v>
      </c>
    </row>
    <row r="5781">
      <c r="B5781" s="31"/>
      <c r="G5781" s="272" t="s">
        <v>1099</v>
      </c>
    </row>
    <row r="5782">
      <c r="B5782" s="31"/>
      <c r="G5782" s="272" t="s">
        <v>1099</v>
      </c>
    </row>
    <row r="5783">
      <c r="B5783" s="31"/>
      <c r="G5783" s="272" t="s">
        <v>1099</v>
      </c>
    </row>
    <row r="5784">
      <c r="B5784" s="31"/>
      <c r="G5784" s="272" t="s">
        <v>1099</v>
      </c>
    </row>
    <row r="5785">
      <c r="B5785" s="31"/>
      <c r="G5785" s="272" t="s">
        <v>1099</v>
      </c>
    </row>
    <row r="5786">
      <c r="B5786" s="31"/>
      <c r="G5786" s="272" t="s">
        <v>1099</v>
      </c>
    </row>
    <row r="5787">
      <c r="B5787" s="31"/>
      <c r="G5787" s="272" t="s">
        <v>1099</v>
      </c>
    </row>
    <row r="5788">
      <c r="B5788" s="31"/>
      <c r="G5788" s="272" t="s">
        <v>1099</v>
      </c>
    </row>
    <row r="5789">
      <c r="B5789" s="31"/>
      <c r="G5789" s="272" t="s">
        <v>1099</v>
      </c>
    </row>
    <row r="5790">
      <c r="B5790" s="31"/>
      <c r="G5790" s="272" t="s">
        <v>1099</v>
      </c>
    </row>
    <row r="5791">
      <c r="B5791" s="31"/>
      <c r="G5791" s="272" t="s">
        <v>1099</v>
      </c>
    </row>
    <row r="5792">
      <c r="B5792" s="31"/>
      <c r="G5792" s="272" t="s">
        <v>1099</v>
      </c>
    </row>
    <row r="5793">
      <c r="B5793" s="31"/>
      <c r="G5793" s="272" t="s">
        <v>1099</v>
      </c>
    </row>
    <row r="5794">
      <c r="B5794" s="31"/>
      <c r="G5794" s="272" t="s">
        <v>1099</v>
      </c>
    </row>
    <row r="5795">
      <c r="B5795" s="31"/>
      <c r="G5795" s="272" t="s">
        <v>1099</v>
      </c>
    </row>
    <row r="5796">
      <c r="B5796" s="31"/>
      <c r="G5796" s="272" t="s">
        <v>1099</v>
      </c>
    </row>
    <row r="5797">
      <c r="B5797" s="31"/>
      <c r="G5797" s="272" t="s">
        <v>1099</v>
      </c>
    </row>
    <row r="5798">
      <c r="B5798" s="31"/>
      <c r="G5798" s="272" t="s">
        <v>1099</v>
      </c>
    </row>
    <row r="5799">
      <c r="B5799" s="31"/>
      <c r="G5799" s="272" t="s">
        <v>1099</v>
      </c>
    </row>
    <row r="5800">
      <c r="B5800" s="31"/>
      <c r="G5800" s="272" t="s">
        <v>1099</v>
      </c>
    </row>
    <row r="5801">
      <c r="B5801" s="31"/>
      <c r="G5801" s="272" t="s">
        <v>1099</v>
      </c>
    </row>
    <row r="5802">
      <c r="B5802" s="31"/>
      <c r="G5802" s="272" t="s">
        <v>1099</v>
      </c>
    </row>
    <row r="5803">
      <c r="B5803" s="31"/>
      <c r="G5803" s="272" t="s">
        <v>1099</v>
      </c>
    </row>
    <row r="5804">
      <c r="B5804" s="31"/>
      <c r="G5804" s="272" t="s">
        <v>1099</v>
      </c>
    </row>
    <row r="5805">
      <c r="B5805" s="31"/>
      <c r="G5805" s="272" t="s">
        <v>1099</v>
      </c>
    </row>
    <row r="5806">
      <c r="B5806" s="31"/>
      <c r="G5806" s="272" t="s">
        <v>1099</v>
      </c>
    </row>
    <row r="5807">
      <c r="B5807" s="31"/>
      <c r="G5807" s="272" t="s">
        <v>1099</v>
      </c>
    </row>
    <row r="5808">
      <c r="B5808" s="31"/>
      <c r="G5808" s="272" t="s">
        <v>1099</v>
      </c>
    </row>
    <row r="5809">
      <c r="B5809" s="31"/>
      <c r="G5809" s="272" t="s">
        <v>1099</v>
      </c>
    </row>
    <row r="5810">
      <c r="B5810" s="31"/>
      <c r="G5810" s="272" t="s">
        <v>1099</v>
      </c>
    </row>
    <row r="5811">
      <c r="B5811" s="31"/>
      <c r="G5811" s="272" t="s">
        <v>1099</v>
      </c>
    </row>
    <row r="5812">
      <c r="B5812" s="31"/>
      <c r="G5812" s="272" t="s">
        <v>1099</v>
      </c>
    </row>
    <row r="5813">
      <c r="B5813" s="31"/>
      <c r="G5813" s="272" t="s">
        <v>1099</v>
      </c>
    </row>
    <row r="5814">
      <c r="B5814" s="31"/>
      <c r="G5814" s="272" t="s">
        <v>1099</v>
      </c>
    </row>
    <row r="5815">
      <c r="B5815" s="31"/>
      <c r="G5815" s="272" t="s">
        <v>1099</v>
      </c>
    </row>
    <row r="5816">
      <c r="B5816" s="31"/>
      <c r="G5816" s="272" t="s">
        <v>1099</v>
      </c>
    </row>
    <row r="5817">
      <c r="B5817" s="31"/>
      <c r="G5817" s="272" t="s">
        <v>1099</v>
      </c>
    </row>
    <row r="5818">
      <c r="B5818" s="31"/>
      <c r="G5818" s="272" t="s">
        <v>1099</v>
      </c>
    </row>
    <row r="5819">
      <c r="B5819" s="31"/>
      <c r="G5819" s="272" t="s">
        <v>1099</v>
      </c>
    </row>
    <row r="5820">
      <c r="B5820" s="31"/>
      <c r="G5820" s="272" t="s">
        <v>1099</v>
      </c>
    </row>
    <row r="5821">
      <c r="B5821" s="31"/>
      <c r="G5821" s="272" t="s">
        <v>1099</v>
      </c>
    </row>
    <row r="5822">
      <c r="B5822" s="31"/>
      <c r="G5822" s="272" t="s">
        <v>1099</v>
      </c>
    </row>
    <row r="5823">
      <c r="B5823" s="31"/>
      <c r="G5823" s="272" t="s">
        <v>1099</v>
      </c>
    </row>
    <row r="5824">
      <c r="B5824" s="31"/>
      <c r="G5824" s="272" t="s">
        <v>1099</v>
      </c>
    </row>
    <row r="5825">
      <c r="B5825" s="31"/>
      <c r="G5825" s="272" t="s">
        <v>1099</v>
      </c>
    </row>
    <row r="5826">
      <c r="B5826" s="31"/>
      <c r="G5826" s="272" t="s">
        <v>1099</v>
      </c>
    </row>
    <row r="5827">
      <c r="B5827" s="31"/>
      <c r="G5827" s="272" t="s">
        <v>1099</v>
      </c>
    </row>
    <row r="5828">
      <c r="B5828" s="31"/>
      <c r="G5828" s="272" t="s">
        <v>1099</v>
      </c>
    </row>
    <row r="5829">
      <c r="B5829" s="31"/>
      <c r="G5829" s="272" t="s">
        <v>1099</v>
      </c>
    </row>
    <row r="5830">
      <c r="B5830" s="31"/>
      <c r="G5830" s="272" t="s">
        <v>1099</v>
      </c>
    </row>
    <row r="5831">
      <c r="B5831" s="31"/>
      <c r="G5831" s="272" t="s">
        <v>1099</v>
      </c>
    </row>
    <row r="5832">
      <c r="B5832" s="31"/>
      <c r="G5832" s="272" t="s">
        <v>1099</v>
      </c>
    </row>
    <row r="5833">
      <c r="B5833" s="31"/>
      <c r="G5833" s="272" t="s">
        <v>1099</v>
      </c>
    </row>
    <row r="5834">
      <c r="B5834" s="31"/>
      <c r="G5834" s="272" t="s">
        <v>1099</v>
      </c>
    </row>
    <row r="5835">
      <c r="B5835" s="31"/>
      <c r="G5835" s="272" t="s">
        <v>1099</v>
      </c>
    </row>
    <row r="5836">
      <c r="B5836" s="31"/>
      <c r="G5836" s="272" t="s">
        <v>1099</v>
      </c>
    </row>
    <row r="5837">
      <c r="B5837" s="31"/>
      <c r="G5837" s="272" t="s">
        <v>1099</v>
      </c>
    </row>
    <row r="5838">
      <c r="B5838" s="31"/>
      <c r="G5838" s="272" t="s">
        <v>1099</v>
      </c>
    </row>
    <row r="5839">
      <c r="B5839" s="31"/>
      <c r="G5839" s="272" t="s">
        <v>1099</v>
      </c>
    </row>
    <row r="5840">
      <c r="B5840" s="31"/>
      <c r="G5840" s="272" t="s">
        <v>1099</v>
      </c>
    </row>
    <row r="5841">
      <c r="B5841" s="31"/>
      <c r="G5841" s="272" t="s">
        <v>1099</v>
      </c>
    </row>
    <row r="5842">
      <c r="B5842" s="31"/>
      <c r="G5842" s="272" t="s">
        <v>1099</v>
      </c>
    </row>
    <row r="5843">
      <c r="B5843" s="31"/>
      <c r="G5843" s="272" t="s">
        <v>1099</v>
      </c>
    </row>
    <row r="5844">
      <c r="B5844" s="31"/>
      <c r="G5844" s="272" t="s">
        <v>1099</v>
      </c>
    </row>
    <row r="5845">
      <c r="B5845" s="31"/>
      <c r="G5845" s="272" t="s">
        <v>1099</v>
      </c>
    </row>
    <row r="5846">
      <c r="B5846" s="31"/>
      <c r="G5846" s="272" t="s">
        <v>1099</v>
      </c>
    </row>
    <row r="5847">
      <c r="B5847" s="31"/>
      <c r="G5847" s="272" t="s">
        <v>1099</v>
      </c>
    </row>
    <row r="5848">
      <c r="B5848" s="31"/>
      <c r="G5848" s="272" t="s">
        <v>1099</v>
      </c>
    </row>
    <row r="5849">
      <c r="B5849" s="31"/>
      <c r="G5849" s="272" t="s">
        <v>1099</v>
      </c>
    </row>
    <row r="5850">
      <c r="B5850" s="31"/>
      <c r="G5850" s="272" t="s">
        <v>1099</v>
      </c>
    </row>
    <row r="5851">
      <c r="B5851" s="31"/>
      <c r="G5851" s="272" t="s">
        <v>1099</v>
      </c>
    </row>
    <row r="5852">
      <c r="B5852" s="31"/>
      <c r="G5852" s="272" t="s">
        <v>1099</v>
      </c>
    </row>
    <row r="5853">
      <c r="B5853" s="31"/>
      <c r="G5853" s="272" t="s">
        <v>1099</v>
      </c>
    </row>
    <row r="5854">
      <c r="B5854" s="31"/>
      <c r="G5854" s="272" t="s">
        <v>1099</v>
      </c>
    </row>
    <row r="5855">
      <c r="B5855" s="31"/>
      <c r="G5855" s="272" t="s">
        <v>1099</v>
      </c>
    </row>
    <row r="5856">
      <c r="B5856" s="31"/>
      <c r="G5856" s="272" t="s">
        <v>1099</v>
      </c>
    </row>
    <row r="5857">
      <c r="B5857" s="31"/>
      <c r="G5857" s="272" t="s">
        <v>1099</v>
      </c>
    </row>
    <row r="5858">
      <c r="B5858" s="31"/>
      <c r="G5858" s="272" t="s">
        <v>1099</v>
      </c>
    </row>
    <row r="5859">
      <c r="B5859" s="31"/>
      <c r="G5859" s="272" t="s">
        <v>1099</v>
      </c>
    </row>
    <row r="5860">
      <c r="B5860" s="31"/>
      <c r="G5860" s="272" t="s">
        <v>1099</v>
      </c>
    </row>
    <row r="5861">
      <c r="B5861" s="31"/>
      <c r="G5861" s="272" t="s">
        <v>1099</v>
      </c>
    </row>
    <row r="5862">
      <c r="B5862" s="31"/>
      <c r="G5862" s="272" t="s">
        <v>1099</v>
      </c>
    </row>
    <row r="5863">
      <c r="B5863" s="31"/>
      <c r="G5863" s="272" t="s">
        <v>1099</v>
      </c>
    </row>
    <row r="5864">
      <c r="B5864" s="31"/>
      <c r="G5864" s="272" t="s">
        <v>1099</v>
      </c>
    </row>
    <row r="5865">
      <c r="B5865" s="31"/>
      <c r="G5865" s="272" t="s">
        <v>1099</v>
      </c>
    </row>
    <row r="5866">
      <c r="B5866" s="31"/>
      <c r="G5866" s="272" t="s">
        <v>1099</v>
      </c>
    </row>
    <row r="5867">
      <c r="B5867" s="31"/>
      <c r="G5867" s="272" t="s">
        <v>1099</v>
      </c>
    </row>
    <row r="5868">
      <c r="B5868" s="31"/>
      <c r="G5868" s="272" t="s">
        <v>1099</v>
      </c>
    </row>
    <row r="5869">
      <c r="B5869" s="31"/>
      <c r="G5869" s="272" t="s">
        <v>1099</v>
      </c>
    </row>
    <row r="5870">
      <c r="B5870" s="31"/>
      <c r="G5870" s="272" t="s">
        <v>1099</v>
      </c>
    </row>
    <row r="5871">
      <c r="B5871" s="31"/>
      <c r="G5871" s="272" t="s">
        <v>1099</v>
      </c>
    </row>
    <row r="5872">
      <c r="B5872" s="31"/>
      <c r="G5872" s="272" t="s">
        <v>1099</v>
      </c>
    </row>
    <row r="5873">
      <c r="B5873" s="31"/>
      <c r="G5873" s="272" t="s">
        <v>1099</v>
      </c>
    </row>
    <row r="5874">
      <c r="B5874" s="31"/>
      <c r="G5874" s="272" t="s">
        <v>1099</v>
      </c>
    </row>
    <row r="5875">
      <c r="B5875" s="31"/>
      <c r="G5875" s="272" t="s">
        <v>1099</v>
      </c>
    </row>
    <row r="5876">
      <c r="B5876" s="31"/>
      <c r="G5876" s="272" t="s">
        <v>1099</v>
      </c>
    </row>
    <row r="5877">
      <c r="B5877" s="31"/>
      <c r="G5877" s="272" t="s">
        <v>1099</v>
      </c>
    </row>
    <row r="5878">
      <c r="B5878" s="31"/>
      <c r="G5878" s="272" t="s">
        <v>1099</v>
      </c>
    </row>
    <row r="5879">
      <c r="B5879" s="31"/>
      <c r="G5879" s="272" t="s">
        <v>1099</v>
      </c>
    </row>
    <row r="5880">
      <c r="B5880" s="31"/>
      <c r="G5880" s="272" t="s">
        <v>1099</v>
      </c>
    </row>
    <row r="5881">
      <c r="B5881" s="31"/>
      <c r="G5881" s="272" t="s">
        <v>1099</v>
      </c>
    </row>
    <row r="5882">
      <c r="B5882" s="31"/>
      <c r="G5882" s="272" t="s">
        <v>1099</v>
      </c>
    </row>
    <row r="5883">
      <c r="B5883" s="31"/>
      <c r="G5883" s="272" t="s">
        <v>1099</v>
      </c>
    </row>
    <row r="5884">
      <c r="B5884" s="31"/>
      <c r="G5884" s="272" t="s">
        <v>1099</v>
      </c>
    </row>
    <row r="5885">
      <c r="B5885" s="31"/>
      <c r="G5885" s="272" t="s">
        <v>1099</v>
      </c>
    </row>
    <row r="5886">
      <c r="B5886" s="31"/>
      <c r="G5886" s="272" t="s">
        <v>1099</v>
      </c>
    </row>
    <row r="5887">
      <c r="B5887" s="31"/>
      <c r="G5887" s="272" t="s">
        <v>1099</v>
      </c>
    </row>
    <row r="5888">
      <c r="B5888" s="31"/>
      <c r="G5888" s="272" t="s">
        <v>1099</v>
      </c>
    </row>
    <row r="5889">
      <c r="B5889" s="31"/>
      <c r="G5889" s="272" t="s">
        <v>1099</v>
      </c>
    </row>
    <row r="5890">
      <c r="B5890" s="31"/>
      <c r="G5890" s="272" t="s">
        <v>1099</v>
      </c>
    </row>
    <row r="5891">
      <c r="B5891" s="31"/>
      <c r="G5891" s="272" t="s">
        <v>1099</v>
      </c>
    </row>
    <row r="5892">
      <c r="B5892" s="31"/>
      <c r="G5892" s="272" t="s">
        <v>1099</v>
      </c>
    </row>
    <row r="5893">
      <c r="B5893" s="31"/>
      <c r="G5893" s="272" t="s">
        <v>1099</v>
      </c>
    </row>
    <row r="5894">
      <c r="B5894" s="31"/>
      <c r="G5894" s="272" t="s">
        <v>1099</v>
      </c>
    </row>
    <row r="5895">
      <c r="B5895" s="31"/>
      <c r="G5895" s="272" t="s">
        <v>1099</v>
      </c>
    </row>
    <row r="5896">
      <c r="B5896" s="31"/>
      <c r="G5896" s="272" t="s">
        <v>1099</v>
      </c>
    </row>
    <row r="5897">
      <c r="B5897" s="31"/>
      <c r="G5897" s="272" t="s">
        <v>1099</v>
      </c>
    </row>
    <row r="5898">
      <c r="B5898" s="31"/>
      <c r="G5898" s="272" t="s">
        <v>1099</v>
      </c>
    </row>
    <row r="5899">
      <c r="B5899" s="31"/>
      <c r="G5899" s="272" t="s">
        <v>1099</v>
      </c>
    </row>
    <row r="5900">
      <c r="B5900" s="31"/>
      <c r="G5900" s="272" t="s">
        <v>1099</v>
      </c>
    </row>
    <row r="5901">
      <c r="B5901" s="31"/>
      <c r="G5901" s="272" t="s">
        <v>1099</v>
      </c>
    </row>
    <row r="5902">
      <c r="B5902" s="31"/>
      <c r="G5902" s="272" t="s">
        <v>1099</v>
      </c>
    </row>
    <row r="5903">
      <c r="B5903" s="31"/>
      <c r="G5903" s="272" t="s">
        <v>1099</v>
      </c>
    </row>
    <row r="5904">
      <c r="B5904" s="31"/>
      <c r="G5904" s="272" t="s">
        <v>1099</v>
      </c>
    </row>
    <row r="5905">
      <c r="B5905" s="31"/>
      <c r="G5905" s="272" t="s">
        <v>1099</v>
      </c>
    </row>
    <row r="5906">
      <c r="B5906" s="31"/>
      <c r="G5906" s="272" t="s">
        <v>1099</v>
      </c>
    </row>
    <row r="5907">
      <c r="B5907" s="31"/>
      <c r="G5907" s="272" t="s">
        <v>1099</v>
      </c>
    </row>
    <row r="5908">
      <c r="B5908" s="31"/>
      <c r="G5908" s="272" t="s">
        <v>1099</v>
      </c>
    </row>
    <row r="5909">
      <c r="B5909" s="31"/>
      <c r="G5909" s="272" t="s">
        <v>1099</v>
      </c>
    </row>
    <row r="5910">
      <c r="B5910" s="31"/>
      <c r="G5910" s="272" t="s">
        <v>1099</v>
      </c>
    </row>
    <row r="5911">
      <c r="B5911" s="31"/>
      <c r="G5911" s="272" t="s">
        <v>1099</v>
      </c>
    </row>
    <row r="5912">
      <c r="B5912" s="31"/>
      <c r="G5912" s="272" t="s">
        <v>1099</v>
      </c>
    </row>
    <row r="5913">
      <c r="B5913" s="31"/>
      <c r="G5913" s="272" t="s">
        <v>1099</v>
      </c>
    </row>
    <row r="5914">
      <c r="B5914" s="31"/>
      <c r="G5914" s="272" t="s">
        <v>1099</v>
      </c>
    </row>
    <row r="5915">
      <c r="B5915" s="31"/>
      <c r="G5915" s="272" t="s">
        <v>1099</v>
      </c>
    </row>
    <row r="5916">
      <c r="B5916" s="31"/>
      <c r="G5916" s="272" t="s">
        <v>1099</v>
      </c>
    </row>
    <row r="5917">
      <c r="B5917" s="31"/>
      <c r="G5917" s="272" t="s">
        <v>1099</v>
      </c>
    </row>
    <row r="5918">
      <c r="B5918" s="31"/>
      <c r="G5918" s="272" t="s">
        <v>1099</v>
      </c>
    </row>
    <row r="5919">
      <c r="B5919" s="31"/>
      <c r="G5919" s="272" t="s">
        <v>1099</v>
      </c>
    </row>
    <row r="5920">
      <c r="B5920" s="31"/>
      <c r="G5920" s="272" t="s">
        <v>1099</v>
      </c>
    </row>
    <row r="5921">
      <c r="B5921" s="31"/>
      <c r="G5921" s="272" t="s">
        <v>1099</v>
      </c>
    </row>
    <row r="5922">
      <c r="B5922" s="31"/>
      <c r="G5922" s="272" t="s">
        <v>1099</v>
      </c>
    </row>
    <row r="5923">
      <c r="B5923" s="31"/>
      <c r="G5923" s="272" t="s">
        <v>1099</v>
      </c>
    </row>
    <row r="5924">
      <c r="B5924" s="31"/>
      <c r="G5924" s="272" t="s">
        <v>1099</v>
      </c>
    </row>
    <row r="5925">
      <c r="B5925" s="31"/>
      <c r="G5925" s="272" t="s">
        <v>1099</v>
      </c>
    </row>
    <row r="5926">
      <c r="B5926" s="31"/>
      <c r="G5926" s="272" t="s">
        <v>1099</v>
      </c>
    </row>
    <row r="5927">
      <c r="B5927" s="31"/>
      <c r="G5927" s="272" t="s">
        <v>1099</v>
      </c>
    </row>
    <row r="5928">
      <c r="B5928" s="31"/>
      <c r="G5928" s="272" t="s">
        <v>1099</v>
      </c>
    </row>
    <row r="5929">
      <c r="B5929" s="31"/>
      <c r="G5929" s="272" t="s">
        <v>1099</v>
      </c>
    </row>
    <row r="5930">
      <c r="B5930" s="31"/>
      <c r="G5930" s="272" t="s">
        <v>1099</v>
      </c>
    </row>
    <row r="5931">
      <c r="B5931" s="31"/>
      <c r="G5931" s="272" t="s">
        <v>1099</v>
      </c>
    </row>
    <row r="5932">
      <c r="B5932" s="31"/>
      <c r="G5932" s="272" t="s">
        <v>1099</v>
      </c>
    </row>
    <row r="5933">
      <c r="B5933" s="31"/>
      <c r="G5933" s="272" t="s">
        <v>1099</v>
      </c>
    </row>
    <row r="5934">
      <c r="B5934" s="31"/>
      <c r="G5934" s="272" t="s">
        <v>1099</v>
      </c>
    </row>
    <row r="5935">
      <c r="B5935" s="31"/>
      <c r="G5935" s="272" t="s">
        <v>1099</v>
      </c>
    </row>
    <row r="5936">
      <c r="B5936" s="31"/>
      <c r="G5936" s="272" t="s">
        <v>1099</v>
      </c>
    </row>
    <row r="5937">
      <c r="B5937" s="31"/>
      <c r="G5937" s="272" t="s">
        <v>1099</v>
      </c>
    </row>
    <row r="5938">
      <c r="B5938" s="31"/>
      <c r="G5938" s="272" t="s">
        <v>1099</v>
      </c>
    </row>
    <row r="5939">
      <c r="B5939" s="31"/>
      <c r="G5939" s="272" t="s">
        <v>1099</v>
      </c>
    </row>
    <row r="5940">
      <c r="B5940" s="31"/>
      <c r="G5940" s="272" t="s">
        <v>1099</v>
      </c>
    </row>
    <row r="5941">
      <c r="B5941" s="31"/>
      <c r="G5941" s="272" t="s">
        <v>1099</v>
      </c>
    </row>
    <row r="5942">
      <c r="B5942" s="31"/>
      <c r="G5942" s="272" t="s">
        <v>1099</v>
      </c>
    </row>
    <row r="5943">
      <c r="B5943" s="31"/>
      <c r="G5943" s="272" t="s">
        <v>1099</v>
      </c>
    </row>
    <row r="5944">
      <c r="B5944" s="31"/>
      <c r="G5944" s="272" t="s">
        <v>1099</v>
      </c>
    </row>
    <row r="5945">
      <c r="B5945" s="31"/>
      <c r="G5945" s="272" t="s">
        <v>1099</v>
      </c>
    </row>
    <row r="5946">
      <c r="B5946" s="31"/>
      <c r="G5946" s="272" t="s">
        <v>1099</v>
      </c>
    </row>
    <row r="5947">
      <c r="B5947" s="31"/>
      <c r="G5947" s="272" t="s">
        <v>1099</v>
      </c>
    </row>
    <row r="5948">
      <c r="B5948" s="31"/>
      <c r="G5948" s="272" t="s">
        <v>1099</v>
      </c>
    </row>
    <row r="5949">
      <c r="B5949" s="31"/>
      <c r="G5949" s="272" t="s">
        <v>1099</v>
      </c>
    </row>
    <row r="5950">
      <c r="B5950" s="31"/>
      <c r="G5950" s="272" t="s">
        <v>1099</v>
      </c>
    </row>
    <row r="5951">
      <c r="B5951" s="31"/>
      <c r="G5951" s="272" t="s">
        <v>1099</v>
      </c>
    </row>
    <row r="5952">
      <c r="B5952" s="31"/>
      <c r="G5952" s="272" t="s">
        <v>1099</v>
      </c>
    </row>
    <row r="5953">
      <c r="B5953" s="31"/>
      <c r="G5953" s="272" t="s">
        <v>1099</v>
      </c>
    </row>
    <row r="5954">
      <c r="B5954" s="31"/>
      <c r="G5954" s="272" t="s">
        <v>1099</v>
      </c>
    </row>
    <row r="5955">
      <c r="B5955" s="31"/>
      <c r="G5955" s="272" t="s">
        <v>1099</v>
      </c>
    </row>
    <row r="5956">
      <c r="B5956" s="31"/>
      <c r="G5956" s="272" t="s">
        <v>1099</v>
      </c>
    </row>
    <row r="5957">
      <c r="B5957" s="31"/>
      <c r="G5957" s="272" t="s">
        <v>1099</v>
      </c>
    </row>
    <row r="5958">
      <c r="B5958" s="31"/>
      <c r="G5958" s="272" t="s">
        <v>1099</v>
      </c>
    </row>
    <row r="5959">
      <c r="B5959" s="31"/>
      <c r="G5959" s="272" t="s">
        <v>1099</v>
      </c>
    </row>
    <row r="5960">
      <c r="B5960" s="31"/>
      <c r="G5960" s="272" t="s">
        <v>1099</v>
      </c>
    </row>
    <row r="5961">
      <c r="B5961" s="31"/>
      <c r="G5961" s="272" t="s">
        <v>1099</v>
      </c>
    </row>
    <row r="5962">
      <c r="B5962" s="31"/>
      <c r="G5962" s="272" t="s">
        <v>1099</v>
      </c>
    </row>
    <row r="5963">
      <c r="B5963" s="31"/>
      <c r="G5963" s="272" t="s">
        <v>1099</v>
      </c>
    </row>
    <row r="5964">
      <c r="B5964" s="31"/>
      <c r="G5964" s="272" t="s">
        <v>1099</v>
      </c>
    </row>
    <row r="5965">
      <c r="B5965" s="31"/>
      <c r="G5965" s="272" t="s">
        <v>1099</v>
      </c>
    </row>
    <row r="5966">
      <c r="B5966" s="31"/>
      <c r="G5966" s="272" t="s">
        <v>1099</v>
      </c>
    </row>
    <row r="5967">
      <c r="B5967" s="31"/>
      <c r="G5967" s="272" t="s">
        <v>1099</v>
      </c>
    </row>
    <row r="5968">
      <c r="B5968" s="31"/>
      <c r="G5968" s="272" t="s">
        <v>1099</v>
      </c>
    </row>
    <row r="5969">
      <c r="B5969" s="31"/>
      <c r="G5969" s="272" t="s">
        <v>1099</v>
      </c>
    </row>
    <row r="5970">
      <c r="B5970" s="31"/>
      <c r="G5970" s="272" t="s">
        <v>1099</v>
      </c>
    </row>
    <row r="5971">
      <c r="B5971" s="31"/>
      <c r="G5971" s="272" t="s">
        <v>1099</v>
      </c>
    </row>
    <row r="5972">
      <c r="B5972" s="31"/>
      <c r="G5972" s="272" t="s">
        <v>1099</v>
      </c>
    </row>
    <row r="5973">
      <c r="B5973" s="31"/>
      <c r="G5973" s="272" t="s">
        <v>1099</v>
      </c>
    </row>
    <row r="5974">
      <c r="B5974" s="31"/>
      <c r="G5974" s="272" t="s">
        <v>1099</v>
      </c>
    </row>
    <row r="5975">
      <c r="B5975" s="31"/>
      <c r="G5975" s="272" t="s">
        <v>1099</v>
      </c>
    </row>
    <row r="5976">
      <c r="B5976" s="31"/>
      <c r="G5976" s="272" t="s">
        <v>1099</v>
      </c>
    </row>
    <row r="5977">
      <c r="B5977" s="31"/>
      <c r="G5977" s="272" t="s">
        <v>1099</v>
      </c>
    </row>
    <row r="5978">
      <c r="B5978" s="31"/>
      <c r="G5978" s="272" t="s">
        <v>1099</v>
      </c>
    </row>
    <row r="5979">
      <c r="B5979" s="31"/>
      <c r="G5979" s="272" t="s">
        <v>1099</v>
      </c>
    </row>
    <row r="5980">
      <c r="B5980" s="31"/>
      <c r="G5980" s="272" t="s">
        <v>1099</v>
      </c>
    </row>
    <row r="5981">
      <c r="B5981" s="31"/>
      <c r="G5981" s="272" t="s">
        <v>1099</v>
      </c>
    </row>
    <row r="5982">
      <c r="B5982" s="31"/>
      <c r="G5982" s="272" t="s">
        <v>1099</v>
      </c>
    </row>
    <row r="5983">
      <c r="B5983" s="31"/>
      <c r="G5983" s="272" t="s">
        <v>1099</v>
      </c>
    </row>
    <row r="5984">
      <c r="B5984" s="31"/>
      <c r="G5984" s="272" t="s">
        <v>1099</v>
      </c>
    </row>
    <row r="5985">
      <c r="B5985" s="31"/>
      <c r="G5985" s="272" t="s">
        <v>1099</v>
      </c>
    </row>
    <row r="5986">
      <c r="B5986" s="31"/>
      <c r="G5986" s="272" t="s">
        <v>1099</v>
      </c>
    </row>
    <row r="5987">
      <c r="B5987" s="31"/>
      <c r="G5987" s="272" t="s">
        <v>1099</v>
      </c>
    </row>
    <row r="5988">
      <c r="B5988" s="31"/>
      <c r="G5988" s="272" t="s">
        <v>1099</v>
      </c>
    </row>
    <row r="5989">
      <c r="B5989" s="31"/>
      <c r="G5989" s="272" t="s">
        <v>1099</v>
      </c>
    </row>
    <row r="5990">
      <c r="B5990" s="31"/>
      <c r="G5990" s="272" t="s">
        <v>1099</v>
      </c>
    </row>
    <row r="5991">
      <c r="B5991" s="31"/>
      <c r="G5991" s="272" t="s">
        <v>1099</v>
      </c>
    </row>
    <row r="5992">
      <c r="B5992" s="31"/>
      <c r="G5992" s="272" t="s">
        <v>1099</v>
      </c>
    </row>
    <row r="5993">
      <c r="B5993" s="31"/>
      <c r="G5993" s="272" t="s">
        <v>1099</v>
      </c>
    </row>
    <row r="5994">
      <c r="B5994" s="31"/>
      <c r="G5994" s="272" t="s">
        <v>1099</v>
      </c>
    </row>
    <row r="5995">
      <c r="B5995" s="31"/>
      <c r="G5995" s="272" t="s">
        <v>1099</v>
      </c>
    </row>
    <row r="5996">
      <c r="B5996" s="31"/>
      <c r="G5996" s="272" t="s">
        <v>1099</v>
      </c>
    </row>
    <row r="5997">
      <c r="B5997" s="31"/>
      <c r="G5997" s="272" t="s">
        <v>1099</v>
      </c>
    </row>
    <row r="5998">
      <c r="B5998" s="31"/>
      <c r="G5998" s="272" t="s">
        <v>1099</v>
      </c>
    </row>
    <row r="5999">
      <c r="B5999" s="31"/>
      <c r="G5999" s="272" t="s">
        <v>1099</v>
      </c>
    </row>
    <row r="6000">
      <c r="B6000" s="31"/>
      <c r="G6000" s="272" t="s">
        <v>1099</v>
      </c>
    </row>
    <row r="6001">
      <c r="B6001" s="31"/>
      <c r="G6001" s="272" t="s">
        <v>1099</v>
      </c>
    </row>
    <row r="6002">
      <c r="B6002" s="31"/>
      <c r="G6002" s="272" t="s">
        <v>1099</v>
      </c>
    </row>
    <row r="6003">
      <c r="B6003" s="31"/>
      <c r="G6003" s="272" t="s">
        <v>1099</v>
      </c>
    </row>
    <row r="6004">
      <c r="B6004" s="31"/>
      <c r="G6004" s="272" t="s">
        <v>1099</v>
      </c>
    </row>
    <row r="6005">
      <c r="B6005" s="31"/>
      <c r="G6005" s="272" t="s">
        <v>1099</v>
      </c>
    </row>
    <row r="6006">
      <c r="B6006" s="31"/>
      <c r="G6006" s="272" t="s">
        <v>1099</v>
      </c>
    </row>
    <row r="6007">
      <c r="B6007" s="31"/>
      <c r="G6007" s="272" t="s">
        <v>1099</v>
      </c>
    </row>
    <row r="6008">
      <c r="B6008" s="31"/>
      <c r="G6008" s="272" t="s">
        <v>1099</v>
      </c>
    </row>
    <row r="6009">
      <c r="B6009" s="31"/>
      <c r="G6009" s="272" t="s">
        <v>1099</v>
      </c>
    </row>
    <row r="6010">
      <c r="B6010" s="31"/>
      <c r="G6010" s="272" t="s">
        <v>1099</v>
      </c>
    </row>
    <row r="6011">
      <c r="B6011" s="31"/>
      <c r="G6011" s="272" t="s">
        <v>1099</v>
      </c>
    </row>
    <row r="6012">
      <c r="B6012" s="31"/>
      <c r="G6012" s="272" t="s">
        <v>1099</v>
      </c>
    </row>
    <row r="6013">
      <c r="B6013" s="31"/>
      <c r="G6013" s="272" t="s">
        <v>1099</v>
      </c>
    </row>
    <row r="6014">
      <c r="B6014" s="31"/>
      <c r="G6014" s="272" t="s">
        <v>1099</v>
      </c>
    </row>
    <row r="6015">
      <c r="B6015" s="31"/>
      <c r="G6015" s="272" t="s">
        <v>1099</v>
      </c>
    </row>
    <row r="6016">
      <c r="B6016" s="31"/>
      <c r="G6016" s="272" t="s">
        <v>1099</v>
      </c>
    </row>
    <row r="6017">
      <c r="B6017" s="31"/>
      <c r="G6017" s="272" t="s">
        <v>1099</v>
      </c>
    </row>
    <row r="6018">
      <c r="B6018" s="31"/>
      <c r="G6018" s="272" t="s">
        <v>1099</v>
      </c>
    </row>
    <row r="6019">
      <c r="B6019" s="31"/>
      <c r="G6019" s="272" t="s">
        <v>1099</v>
      </c>
    </row>
    <row r="6020">
      <c r="B6020" s="31"/>
      <c r="G6020" s="272" t="s">
        <v>1099</v>
      </c>
    </row>
    <row r="6021">
      <c r="B6021" s="31"/>
      <c r="G6021" s="272" t="s">
        <v>1099</v>
      </c>
    </row>
    <row r="6022">
      <c r="B6022" s="31"/>
      <c r="G6022" s="272" t="s">
        <v>1099</v>
      </c>
    </row>
    <row r="6023">
      <c r="B6023" s="31"/>
      <c r="G6023" s="272" t="s">
        <v>1099</v>
      </c>
    </row>
    <row r="6024">
      <c r="B6024" s="31"/>
      <c r="G6024" s="272" t="s">
        <v>1099</v>
      </c>
    </row>
    <row r="6025">
      <c r="B6025" s="31"/>
      <c r="G6025" s="272" t="s">
        <v>1099</v>
      </c>
    </row>
    <row r="6026">
      <c r="B6026" s="31"/>
      <c r="G6026" s="272" t="s">
        <v>1099</v>
      </c>
    </row>
    <row r="6027">
      <c r="B6027" s="31"/>
      <c r="G6027" s="272" t="s">
        <v>1099</v>
      </c>
    </row>
    <row r="6028">
      <c r="B6028" s="31"/>
      <c r="G6028" s="272" t="s">
        <v>1099</v>
      </c>
    </row>
    <row r="6029">
      <c r="B6029" s="31"/>
      <c r="G6029" s="272" t="s">
        <v>1099</v>
      </c>
    </row>
    <row r="6030">
      <c r="B6030" s="31"/>
      <c r="G6030" s="272" t="s">
        <v>1099</v>
      </c>
    </row>
    <row r="6031">
      <c r="B6031" s="31"/>
      <c r="G6031" s="272" t="s">
        <v>1099</v>
      </c>
    </row>
    <row r="6032">
      <c r="B6032" s="31"/>
      <c r="G6032" s="272" t="s">
        <v>1099</v>
      </c>
    </row>
    <row r="6033">
      <c r="B6033" s="31"/>
      <c r="G6033" s="272" t="s">
        <v>1099</v>
      </c>
    </row>
    <row r="6034">
      <c r="B6034" s="31"/>
      <c r="G6034" s="272" t="s">
        <v>1099</v>
      </c>
    </row>
    <row r="6035">
      <c r="B6035" s="31"/>
      <c r="G6035" s="272" t="s">
        <v>1099</v>
      </c>
    </row>
    <row r="6036">
      <c r="B6036" s="31"/>
      <c r="G6036" s="272" t="s">
        <v>1099</v>
      </c>
    </row>
    <row r="6037">
      <c r="B6037" s="31"/>
      <c r="G6037" s="272" t="s">
        <v>1099</v>
      </c>
    </row>
    <row r="6038">
      <c r="B6038" s="31"/>
      <c r="G6038" s="272" t="s">
        <v>1099</v>
      </c>
    </row>
    <row r="6039">
      <c r="B6039" s="31"/>
      <c r="G6039" s="272" t="s">
        <v>1099</v>
      </c>
    </row>
    <row r="6040">
      <c r="B6040" s="31"/>
      <c r="G6040" s="272" t="s">
        <v>1099</v>
      </c>
    </row>
    <row r="6041">
      <c r="B6041" s="31"/>
      <c r="G6041" s="272" t="s">
        <v>1099</v>
      </c>
    </row>
    <row r="6042">
      <c r="B6042" s="31"/>
      <c r="G6042" s="272" t="s">
        <v>1099</v>
      </c>
    </row>
    <row r="6043">
      <c r="B6043" s="31"/>
      <c r="G6043" s="272" t="s">
        <v>1099</v>
      </c>
    </row>
    <row r="6044">
      <c r="B6044" s="31"/>
      <c r="G6044" s="272" t="s">
        <v>1099</v>
      </c>
    </row>
    <row r="6045">
      <c r="B6045" s="31"/>
      <c r="G6045" s="272" t="s">
        <v>1099</v>
      </c>
    </row>
    <row r="6046">
      <c r="B6046" s="31"/>
      <c r="G6046" s="272" t="s">
        <v>1099</v>
      </c>
    </row>
    <row r="6047">
      <c r="B6047" s="31"/>
      <c r="G6047" s="272" t="s">
        <v>1099</v>
      </c>
    </row>
    <row r="6048">
      <c r="B6048" s="31"/>
      <c r="G6048" s="272" t="s">
        <v>1099</v>
      </c>
    </row>
    <row r="6049">
      <c r="B6049" s="31"/>
      <c r="G6049" s="272" t="s">
        <v>1099</v>
      </c>
    </row>
    <row r="6050">
      <c r="B6050" s="31"/>
      <c r="G6050" s="272" t="s">
        <v>1099</v>
      </c>
    </row>
    <row r="6051">
      <c r="B6051" s="31"/>
      <c r="G6051" s="272" t="s">
        <v>1099</v>
      </c>
    </row>
    <row r="6052">
      <c r="B6052" s="31"/>
      <c r="G6052" s="272" t="s">
        <v>1099</v>
      </c>
    </row>
    <row r="6053">
      <c r="B6053" s="31"/>
      <c r="G6053" s="272" t="s">
        <v>1099</v>
      </c>
    </row>
    <row r="6054">
      <c r="B6054" s="31"/>
      <c r="G6054" s="272" t="s">
        <v>1099</v>
      </c>
    </row>
    <row r="6055">
      <c r="B6055" s="31"/>
      <c r="G6055" s="272" t="s">
        <v>1099</v>
      </c>
    </row>
    <row r="6056">
      <c r="B6056" s="31"/>
      <c r="G6056" s="272" t="s">
        <v>1099</v>
      </c>
    </row>
    <row r="6057">
      <c r="B6057" s="31"/>
      <c r="G6057" s="272" t="s">
        <v>1099</v>
      </c>
    </row>
    <row r="6058">
      <c r="B6058" s="31"/>
      <c r="G6058" s="272" t="s">
        <v>1099</v>
      </c>
    </row>
    <row r="6059">
      <c r="B6059" s="31"/>
      <c r="G6059" s="272" t="s">
        <v>1099</v>
      </c>
    </row>
    <row r="6060">
      <c r="B6060" s="31"/>
      <c r="G6060" s="272" t="s">
        <v>1099</v>
      </c>
    </row>
    <row r="6061">
      <c r="B6061" s="31"/>
      <c r="G6061" s="272" t="s">
        <v>1099</v>
      </c>
    </row>
    <row r="6062">
      <c r="B6062" s="31"/>
      <c r="G6062" s="272" t="s">
        <v>1099</v>
      </c>
    </row>
    <row r="6063">
      <c r="B6063" s="31"/>
      <c r="G6063" s="272" t="s">
        <v>1099</v>
      </c>
    </row>
    <row r="6064">
      <c r="B6064" s="31"/>
      <c r="G6064" s="272" t="s">
        <v>1099</v>
      </c>
    </row>
    <row r="6065">
      <c r="B6065" s="31"/>
      <c r="G6065" s="272" t="s">
        <v>1099</v>
      </c>
    </row>
    <row r="6066">
      <c r="B6066" s="31"/>
      <c r="G6066" s="272" t="s">
        <v>1099</v>
      </c>
    </row>
    <row r="6067">
      <c r="B6067" s="31"/>
      <c r="G6067" s="272" t="s">
        <v>1099</v>
      </c>
    </row>
    <row r="6068">
      <c r="B6068" s="31"/>
      <c r="G6068" s="272" t="s">
        <v>1099</v>
      </c>
    </row>
    <row r="6069">
      <c r="B6069" s="31"/>
      <c r="G6069" s="272" t="s">
        <v>1099</v>
      </c>
    </row>
    <row r="6070">
      <c r="B6070" s="31"/>
      <c r="G6070" s="272" t="s">
        <v>1099</v>
      </c>
    </row>
    <row r="6071">
      <c r="B6071" s="31"/>
      <c r="G6071" s="272" t="s">
        <v>1099</v>
      </c>
    </row>
    <row r="6072">
      <c r="B6072" s="31"/>
      <c r="G6072" s="272" t="s">
        <v>1099</v>
      </c>
    </row>
    <row r="6073">
      <c r="B6073" s="31"/>
      <c r="G6073" s="272" t="s">
        <v>1099</v>
      </c>
    </row>
    <row r="6074">
      <c r="B6074" s="31"/>
      <c r="G6074" s="272" t="s">
        <v>1099</v>
      </c>
    </row>
    <row r="6075">
      <c r="B6075" s="31"/>
      <c r="G6075" s="272" t="s">
        <v>1099</v>
      </c>
    </row>
    <row r="6076">
      <c r="B6076" s="31"/>
      <c r="G6076" s="272" t="s">
        <v>1099</v>
      </c>
    </row>
    <row r="6077">
      <c r="B6077" s="31"/>
      <c r="G6077" s="272" t="s">
        <v>1099</v>
      </c>
    </row>
    <row r="6078">
      <c r="B6078" s="31"/>
      <c r="G6078" s="272" t="s">
        <v>1099</v>
      </c>
    </row>
    <row r="6079">
      <c r="B6079" s="31"/>
      <c r="G6079" s="272" t="s">
        <v>1099</v>
      </c>
    </row>
    <row r="6080">
      <c r="B6080" s="31"/>
      <c r="G6080" s="272" t="s">
        <v>1099</v>
      </c>
    </row>
    <row r="6081">
      <c r="B6081" s="31"/>
      <c r="G6081" s="272" t="s">
        <v>1099</v>
      </c>
    </row>
    <row r="6082">
      <c r="B6082" s="31"/>
      <c r="G6082" s="272" t="s">
        <v>1099</v>
      </c>
    </row>
    <row r="6083">
      <c r="B6083" s="31"/>
      <c r="G6083" s="272" t="s">
        <v>1099</v>
      </c>
    </row>
    <row r="6084">
      <c r="B6084" s="31"/>
      <c r="G6084" s="272" t="s">
        <v>1099</v>
      </c>
    </row>
    <row r="6085">
      <c r="B6085" s="31"/>
      <c r="G6085" s="272" t="s">
        <v>1099</v>
      </c>
    </row>
    <row r="6086">
      <c r="B6086" s="31"/>
      <c r="G6086" s="272" t="s">
        <v>1099</v>
      </c>
    </row>
    <row r="6087">
      <c r="B6087" s="31"/>
      <c r="G6087" s="272" t="s">
        <v>1099</v>
      </c>
    </row>
    <row r="6088">
      <c r="B6088" s="31"/>
      <c r="G6088" s="272" t="s">
        <v>1099</v>
      </c>
    </row>
    <row r="6089">
      <c r="B6089" s="31"/>
      <c r="G6089" s="272" t="s">
        <v>1099</v>
      </c>
    </row>
    <row r="6090">
      <c r="B6090" s="31"/>
      <c r="G6090" s="272" t="s">
        <v>1099</v>
      </c>
    </row>
    <row r="6091">
      <c r="B6091" s="31"/>
      <c r="G6091" s="272" t="s">
        <v>1099</v>
      </c>
    </row>
    <row r="6092">
      <c r="B6092" s="31"/>
      <c r="G6092" s="272" t="s">
        <v>1099</v>
      </c>
    </row>
    <row r="6093">
      <c r="B6093" s="31"/>
      <c r="G6093" s="272" t="s">
        <v>1099</v>
      </c>
    </row>
    <row r="6094">
      <c r="B6094" s="31"/>
      <c r="G6094" s="272" t="s">
        <v>1099</v>
      </c>
    </row>
    <row r="6095">
      <c r="B6095" s="31"/>
      <c r="G6095" s="272" t="s">
        <v>1099</v>
      </c>
    </row>
    <row r="6096">
      <c r="B6096" s="31"/>
      <c r="G6096" s="272" t="s">
        <v>1099</v>
      </c>
    </row>
    <row r="6097">
      <c r="B6097" s="31"/>
      <c r="G6097" s="272" t="s">
        <v>1099</v>
      </c>
    </row>
    <row r="6098">
      <c r="B6098" s="31"/>
      <c r="G6098" s="272" t="s">
        <v>1099</v>
      </c>
    </row>
    <row r="6099">
      <c r="B6099" s="31"/>
      <c r="G6099" s="272" t="s">
        <v>1099</v>
      </c>
    </row>
    <row r="6100">
      <c r="B6100" s="31"/>
      <c r="G6100" s="272" t="s">
        <v>1099</v>
      </c>
    </row>
    <row r="6101">
      <c r="B6101" s="31"/>
      <c r="G6101" s="272" t="s">
        <v>1099</v>
      </c>
    </row>
    <row r="6102">
      <c r="B6102" s="31"/>
      <c r="G6102" s="272" t="s">
        <v>1099</v>
      </c>
    </row>
    <row r="6103">
      <c r="B6103" s="31"/>
      <c r="G6103" s="272" t="s">
        <v>1099</v>
      </c>
    </row>
    <row r="6104">
      <c r="B6104" s="31"/>
      <c r="G6104" s="272" t="s">
        <v>1099</v>
      </c>
    </row>
    <row r="6105">
      <c r="B6105" s="31"/>
      <c r="G6105" s="272" t="s">
        <v>1099</v>
      </c>
    </row>
    <row r="6106">
      <c r="B6106" s="31"/>
      <c r="G6106" s="272" t="s">
        <v>1099</v>
      </c>
    </row>
    <row r="6107">
      <c r="B6107" s="31"/>
      <c r="G6107" s="272" t="s">
        <v>1099</v>
      </c>
    </row>
    <row r="6108">
      <c r="B6108" s="31"/>
      <c r="G6108" s="272" t="s">
        <v>1099</v>
      </c>
    </row>
    <row r="6109">
      <c r="B6109" s="31"/>
      <c r="G6109" s="272" t="s">
        <v>1099</v>
      </c>
    </row>
    <row r="6110">
      <c r="B6110" s="31"/>
      <c r="G6110" s="272" t="s">
        <v>1099</v>
      </c>
    </row>
    <row r="6111">
      <c r="B6111" s="31"/>
      <c r="G6111" s="272" t="s">
        <v>1099</v>
      </c>
    </row>
    <row r="6112">
      <c r="B6112" s="31"/>
      <c r="G6112" s="272" t="s">
        <v>1099</v>
      </c>
    </row>
    <row r="6113">
      <c r="B6113" s="31"/>
      <c r="G6113" s="272" t="s">
        <v>1099</v>
      </c>
    </row>
    <row r="6114">
      <c r="B6114" s="31"/>
      <c r="G6114" s="272" t="s">
        <v>1099</v>
      </c>
    </row>
    <row r="6115">
      <c r="B6115" s="31"/>
      <c r="G6115" s="272" t="s">
        <v>1099</v>
      </c>
    </row>
    <row r="6116">
      <c r="B6116" s="31"/>
      <c r="G6116" s="272" t="s">
        <v>1099</v>
      </c>
    </row>
    <row r="6117">
      <c r="B6117" s="31"/>
      <c r="G6117" s="272" t="s">
        <v>1099</v>
      </c>
    </row>
    <row r="6118">
      <c r="B6118" s="31"/>
      <c r="G6118" s="272" t="s">
        <v>1099</v>
      </c>
    </row>
    <row r="6119">
      <c r="B6119" s="31"/>
      <c r="G6119" s="272" t="s">
        <v>1099</v>
      </c>
    </row>
    <row r="6120">
      <c r="B6120" s="31"/>
      <c r="G6120" s="272" t="s">
        <v>1099</v>
      </c>
    </row>
    <row r="6121">
      <c r="B6121" s="31"/>
      <c r="G6121" s="272" t="s">
        <v>1099</v>
      </c>
    </row>
    <row r="6122">
      <c r="B6122" s="31"/>
      <c r="G6122" s="272" t="s">
        <v>1099</v>
      </c>
    </row>
    <row r="6123">
      <c r="B6123" s="31"/>
      <c r="G6123" s="272" t="s">
        <v>1099</v>
      </c>
    </row>
    <row r="6124">
      <c r="B6124" s="31"/>
      <c r="G6124" s="272" t="s">
        <v>1099</v>
      </c>
    </row>
    <row r="6125">
      <c r="B6125" s="31"/>
      <c r="G6125" s="272" t="s">
        <v>1099</v>
      </c>
    </row>
    <row r="6126">
      <c r="B6126" s="31"/>
      <c r="G6126" s="272" t="s">
        <v>1099</v>
      </c>
    </row>
    <row r="6127">
      <c r="B6127" s="31"/>
      <c r="G6127" s="272" t="s">
        <v>1099</v>
      </c>
    </row>
    <row r="6128">
      <c r="B6128" s="31"/>
      <c r="G6128" s="272" t="s">
        <v>1099</v>
      </c>
    </row>
    <row r="6129">
      <c r="B6129" s="31"/>
      <c r="G6129" s="272" t="s">
        <v>1099</v>
      </c>
    </row>
    <row r="6130">
      <c r="B6130" s="31"/>
      <c r="G6130" s="272" t="s">
        <v>1099</v>
      </c>
    </row>
    <row r="6131">
      <c r="B6131" s="31"/>
      <c r="G6131" s="272" t="s">
        <v>1099</v>
      </c>
    </row>
    <row r="6132">
      <c r="B6132" s="31"/>
      <c r="G6132" s="272" t="s">
        <v>1099</v>
      </c>
    </row>
    <row r="6133">
      <c r="B6133" s="31"/>
      <c r="G6133" s="272" t="s">
        <v>1099</v>
      </c>
    </row>
    <row r="6134">
      <c r="B6134" s="31"/>
      <c r="G6134" s="272" t="s">
        <v>1099</v>
      </c>
    </row>
    <row r="6135">
      <c r="B6135" s="31"/>
      <c r="G6135" s="272" t="s">
        <v>1099</v>
      </c>
    </row>
    <row r="6136">
      <c r="B6136" s="31"/>
      <c r="G6136" s="272" t="s">
        <v>1099</v>
      </c>
    </row>
    <row r="6137">
      <c r="B6137" s="31"/>
      <c r="G6137" s="272" t="s">
        <v>1099</v>
      </c>
    </row>
    <row r="6138">
      <c r="B6138" s="31"/>
      <c r="G6138" s="272" t="s">
        <v>1099</v>
      </c>
    </row>
    <row r="6139">
      <c r="B6139" s="31"/>
      <c r="G6139" s="272" t="s">
        <v>1099</v>
      </c>
    </row>
    <row r="6140">
      <c r="B6140" s="31"/>
      <c r="G6140" s="272" t="s">
        <v>1099</v>
      </c>
    </row>
    <row r="6141">
      <c r="B6141" s="31"/>
      <c r="G6141" s="272" t="s">
        <v>1099</v>
      </c>
    </row>
    <row r="6142">
      <c r="B6142" s="31"/>
      <c r="G6142" s="272" t="s">
        <v>1099</v>
      </c>
    </row>
    <row r="6143">
      <c r="B6143" s="31"/>
      <c r="G6143" s="272" t="s">
        <v>1099</v>
      </c>
    </row>
    <row r="6144">
      <c r="B6144" s="31"/>
      <c r="G6144" s="272" t="s">
        <v>1099</v>
      </c>
    </row>
    <row r="6145">
      <c r="B6145" s="31"/>
      <c r="G6145" s="272" t="s">
        <v>1099</v>
      </c>
    </row>
    <row r="6146">
      <c r="B6146" s="31"/>
      <c r="G6146" s="272" t="s">
        <v>1099</v>
      </c>
    </row>
    <row r="6147">
      <c r="B6147" s="31"/>
      <c r="G6147" s="272" t="s">
        <v>1099</v>
      </c>
    </row>
    <row r="6148">
      <c r="B6148" s="31"/>
      <c r="G6148" s="272" t="s">
        <v>1099</v>
      </c>
    </row>
    <row r="6149">
      <c r="B6149" s="31"/>
      <c r="G6149" s="272" t="s">
        <v>1099</v>
      </c>
    </row>
    <row r="6150">
      <c r="B6150" s="31"/>
      <c r="G6150" s="272" t="s">
        <v>1099</v>
      </c>
    </row>
    <row r="6151">
      <c r="B6151" s="31"/>
      <c r="G6151" s="272" t="s">
        <v>1099</v>
      </c>
    </row>
    <row r="6152">
      <c r="B6152" s="31"/>
      <c r="G6152" s="272" t="s">
        <v>1099</v>
      </c>
    </row>
    <row r="6153">
      <c r="B6153" s="31"/>
      <c r="G6153" s="272" t="s">
        <v>1099</v>
      </c>
    </row>
    <row r="6154">
      <c r="B6154" s="31"/>
      <c r="G6154" s="272" t="s">
        <v>1099</v>
      </c>
    </row>
    <row r="6155">
      <c r="B6155" s="31"/>
      <c r="G6155" s="272" t="s">
        <v>1099</v>
      </c>
    </row>
    <row r="6156">
      <c r="B6156" s="31"/>
      <c r="G6156" s="272" t="s">
        <v>1099</v>
      </c>
    </row>
    <row r="6157">
      <c r="B6157" s="31"/>
      <c r="G6157" s="272" t="s">
        <v>1099</v>
      </c>
    </row>
    <row r="6158">
      <c r="B6158" s="31"/>
      <c r="G6158" s="272" t="s">
        <v>1099</v>
      </c>
    </row>
    <row r="6159">
      <c r="B6159" s="31"/>
      <c r="G6159" s="272" t="s">
        <v>1099</v>
      </c>
    </row>
    <row r="6160">
      <c r="B6160" s="31"/>
      <c r="G6160" s="272" t="s">
        <v>1099</v>
      </c>
    </row>
    <row r="6161">
      <c r="B6161" s="31"/>
      <c r="G6161" s="272" t="s">
        <v>1099</v>
      </c>
    </row>
    <row r="6162">
      <c r="B6162" s="31"/>
      <c r="G6162" s="272" t="s">
        <v>1099</v>
      </c>
    </row>
    <row r="6163">
      <c r="B6163" s="31"/>
      <c r="G6163" s="272" t="s">
        <v>1099</v>
      </c>
    </row>
    <row r="6164">
      <c r="B6164" s="31"/>
      <c r="G6164" s="272" t="s">
        <v>1099</v>
      </c>
    </row>
    <row r="6165">
      <c r="B6165" s="31"/>
      <c r="G6165" s="272" t="s">
        <v>1099</v>
      </c>
    </row>
    <row r="6166">
      <c r="B6166" s="31"/>
      <c r="G6166" s="272" t="s">
        <v>1099</v>
      </c>
    </row>
    <row r="6167">
      <c r="B6167" s="31"/>
      <c r="G6167" s="272" t="s">
        <v>1099</v>
      </c>
    </row>
    <row r="6168">
      <c r="B6168" s="31"/>
      <c r="G6168" s="272" t="s">
        <v>1099</v>
      </c>
    </row>
    <row r="6169">
      <c r="B6169" s="31"/>
      <c r="G6169" s="272" t="s">
        <v>1099</v>
      </c>
    </row>
    <row r="6170">
      <c r="B6170" s="31"/>
      <c r="G6170" s="272" t="s">
        <v>1099</v>
      </c>
    </row>
    <row r="6171">
      <c r="B6171" s="31"/>
      <c r="G6171" s="272" t="s">
        <v>1099</v>
      </c>
    </row>
    <row r="6172">
      <c r="B6172" s="31"/>
      <c r="G6172" s="272" t="s">
        <v>1099</v>
      </c>
    </row>
    <row r="6173">
      <c r="B6173" s="31"/>
      <c r="G6173" s="272" t="s">
        <v>1099</v>
      </c>
    </row>
    <row r="6174">
      <c r="B6174" s="31"/>
      <c r="G6174" s="272" t="s">
        <v>1099</v>
      </c>
    </row>
    <row r="6175">
      <c r="B6175" s="31"/>
      <c r="G6175" s="272" t="s">
        <v>1099</v>
      </c>
    </row>
    <row r="6176">
      <c r="B6176" s="31"/>
      <c r="G6176" s="272" t="s">
        <v>1099</v>
      </c>
    </row>
    <row r="6177">
      <c r="B6177" s="31"/>
      <c r="G6177" s="272" t="s">
        <v>1099</v>
      </c>
    </row>
    <row r="6178">
      <c r="B6178" s="31"/>
      <c r="G6178" s="272" t="s">
        <v>1099</v>
      </c>
    </row>
    <row r="6179">
      <c r="B6179" s="31"/>
      <c r="G6179" s="272" t="s">
        <v>1099</v>
      </c>
    </row>
    <row r="6180">
      <c r="B6180" s="31"/>
      <c r="G6180" s="272" t="s">
        <v>1099</v>
      </c>
    </row>
    <row r="6181">
      <c r="B6181" s="31"/>
      <c r="G6181" s="272" t="s">
        <v>1099</v>
      </c>
    </row>
    <row r="6182">
      <c r="B6182" s="31"/>
      <c r="G6182" s="272" t="s">
        <v>1099</v>
      </c>
    </row>
    <row r="6183">
      <c r="B6183" s="31"/>
      <c r="G6183" s="272" t="s">
        <v>1099</v>
      </c>
    </row>
    <row r="6184">
      <c r="B6184" s="31"/>
      <c r="G6184" s="272" t="s">
        <v>1099</v>
      </c>
    </row>
    <row r="6185">
      <c r="B6185" s="31"/>
      <c r="G6185" s="272" t="s">
        <v>1099</v>
      </c>
    </row>
    <row r="6186">
      <c r="B6186" s="31"/>
      <c r="G6186" s="272" t="s">
        <v>1099</v>
      </c>
    </row>
    <row r="6187">
      <c r="B6187" s="31"/>
      <c r="G6187" s="272" t="s">
        <v>1099</v>
      </c>
    </row>
    <row r="6188">
      <c r="B6188" s="31"/>
      <c r="G6188" s="272" t="s">
        <v>1099</v>
      </c>
    </row>
    <row r="6189">
      <c r="B6189" s="31"/>
      <c r="G6189" s="272" t="s">
        <v>1099</v>
      </c>
    </row>
    <row r="6190">
      <c r="B6190" s="31"/>
      <c r="G6190" s="272" t="s">
        <v>1099</v>
      </c>
    </row>
    <row r="6191">
      <c r="B6191" s="31"/>
      <c r="G6191" s="272" t="s">
        <v>1099</v>
      </c>
    </row>
    <row r="6192">
      <c r="B6192" s="31"/>
      <c r="G6192" s="272" t="s">
        <v>1099</v>
      </c>
    </row>
    <row r="6193">
      <c r="B6193" s="31"/>
      <c r="G6193" s="272" t="s">
        <v>1099</v>
      </c>
    </row>
    <row r="6194">
      <c r="B6194" s="31"/>
      <c r="G6194" s="272" t="s">
        <v>1099</v>
      </c>
    </row>
    <row r="6195">
      <c r="B6195" s="31"/>
      <c r="G6195" s="272" t="s">
        <v>1099</v>
      </c>
    </row>
    <row r="6196">
      <c r="B6196" s="31"/>
      <c r="G6196" s="272" t="s">
        <v>1099</v>
      </c>
    </row>
    <row r="6197">
      <c r="B6197" s="31"/>
      <c r="G6197" s="272" t="s">
        <v>1099</v>
      </c>
    </row>
    <row r="6198">
      <c r="B6198" s="31"/>
      <c r="G6198" s="272" t="s">
        <v>1099</v>
      </c>
    </row>
    <row r="6199">
      <c r="B6199" s="31"/>
      <c r="G6199" s="272" t="s">
        <v>1099</v>
      </c>
    </row>
    <row r="6200">
      <c r="B6200" s="31"/>
      <c r="G6200" s="272" t="s">
        <v>1099</v>
      </c>
    </row>
    <row r="6201">
      <c r="B6201" s="31"/>
      <c r="G6201" s="272" t="s">
        <v>1099</v>
      </c>
    </row>
    <row r="6202">
      <c r="B6202" s="31"/>
      <c r="G6202" s="272" t="s">
        <v>1099</v>
      </c>
    </row>
    <row r="6203">
      <c r="B6203" s="31"/>
      <c r="G6203" s="272" t="s">
        <v>1099</v>
      </c>
    </row>
    <row r="6204">
      <c r="B6204" s="31"/>
      <c r="G6204" s="272" t="s">
        <v>1099</v>
      </c>
    </row>
    <row r="6205">
      <c r="B6205" s="31"/>
      <c r="G6205" s="272" t="s">
        <v>1099</v>
      </c>
    </row>
    <row r="6206">
      <c r="B6206" s="31"/>
      <c r="G6206" s="272" t="s">
        <v>1099</v>
      </c>
    </row>
    <row r="6207">
      <c r="B6207" s="31"/>
      <c r="G6207" s="272" t="s">
        <v>1099</v>
      </c>
    </row>
    <row r="6208">
      <c r="B6208" s="31"/>
      <c r="G6208" s="272" t="s">
        <v>1099</v>
      </c>
    </row>
    <row r="6209">
      <c r="B6209" s="31"/>
      <c r="G6209" s="272" t="s">
        <v>1099</v>
      </c>
    </row>
    <row r="6210">
      <c r="B6210" s="31"/>
      <c r="G6210" s="272" t="s">
        <v>1099</v>
      </c>
    </row>
    <row r="6211">
      <c r="B6211" s="31"/>
      <c r="G6211" s="272" t="s">
        <v>1099</v>
      </c>
    </row>
    <row r="6212">
      <c r="B6212" s="31"/>
      <c r="G6212" s="272" t="s">
        <v>1099</v>
      </c>
    </row>
    <row r="6213">
      <c r="B6213" s="31"/>
      <c r="G6213" s="272" t="s">
        <v>1099</v>
      </c>
    </row>
    <row r="6214">
      <c r="B6214" s="31"/>
      <c r="G6214" s="272" t="s">
        <v>1099</v>
      </c>
    </row>
    <row r="6215">
      <c r="B6215" s="31"/>
      <c r="G6215" s="272" t="s">
        <v>1099</v>
      </c>
    </row>
    <row r="6216">
      <c r="B6216" s="31"/>
      <c r="G6216" s="272" t="s">
        <v>1099</v>
      </c>
    </row>
    <row r="6217">
      <c r="B6217" s="31"/>
      <c r="G6217" s="272" t="s">
        <v>1099</v>
      </c>
    </row>
    <row r="6218">
      <c r="B6218" s="31"/>
      <c r="G6218" s="272" t="s">
        <v>1099</v>
      </c>
    </row>
    <row r="6219">
      <c r="B6219" s="31"/>
      <c r="G6219" s="272" t="s">
        <v>1099</v>
      </c>
    </row>
    <row r="6220">
      <c r="B6220" s="31"/>
      <c r="G6220" s="272" t="s">
        <v>1099</v>
      </c>
    </row>
    <row r="6221">
      <c r="B6221" s="31"/>
      <c r="G6221" s="272" t="s">
        <v>1099</v>
      </c>
    </row>
    <row r="6222">
      <c r="B6222" s="31"/>
      <c r="G6222" s="272" t="s">
        <v>1099</v>
      </c>
    </row>
    <row r="6223">
      <c r="B6223" s="31"/>
      <c r="G6223" s="272" t="s">
        <v>1099</v>
      </c>
    </row>
    <row r="6224">
      <c r="B6224" s="31"/>
      <c r="G6224" s="272" t="s">
        <v>1099</v>
      </c>
    </row>
    <row r="6225">
      <c r="B6225" s="31"/>
      <c r="G6225" s="272" t="s">
        <v>1099</v>
      </c>
    </row>
    <row r="6226">
      <c r="B6226" s="31"/>
      <c r="G6226" s="272" t="s">
        <v>1099</v>
      </c>
    </row>
    <row r="6227">
      <c r="B6227" s="31"/>
      <c r="G6227" s="272" t="s">
        <v>1099</v>
      </c>
    </row>
    <row r="6228">
      <c r="B6228" s="31"/>
      <c r="G6228" s="272" t="s">
        <v>1099</v>
      </c>
    </row>
    <row r="6229">
      <c r="B6229" s="31"/>
      <c r="G6229" s="272" t="s">
        <v>1099</v>
      </c>
    </row>
    <row r="6230">
      <c r="B6230" s="31"/>
      <c r="G6230" s="272" t="s">
        <v>1099</v>
      </c>
    </row>
    <row r="6231">
      <c r="B6231" s="31"/>
      <c r="G6231" s="272" t="s">
        <v>1099</v>
      </c>
    </row>
    <row r="6232">
      <c r="B6232" s="31"/>
      <c r="G6232" s="272" t="s">
        <v>1099</v>
      </c>
    </row>
    <row r="6233">
      <c r="B6233" s="31"/>
      <c r="G6233" s="272" t="s">
        <v>1099</v>
      </c>
    </row>
    <row r="6234">
      <c r="B6234" s="31"/>
      <c r="G6234" s="272" t="s">
        <v>1099</v>
      </c>
    </row>
    <row r="6235">
      <c r="B6235" s="31"/>
      <c r="G6235" s="272" t="s">
        <v>1099</v>
      </c>
    </row>
    <row r="6236">
      <c r="B6236" s="31"/>
      <c r="G6236" s="272" t="s">
        <v>1099</v>
      </c>
    </row>
    <row r="6237">
      <c r="B6237" s="31"/>
      <c r="G6237" s="272" t="s">
        <v>1099</v>
      </c>
    </row>
    <row r="6238">
      <c r="B6238" s="31"/>
      <c r="G6238" s="272" t="s">
        <v>1099</v>
      </c>
    </row>
    <row r="6239">
      <c r="B6239" s="31"/>
      <c r="G6239" s="272" t="s">
        <v>1099</v>
      </c>
    </row>
    <row r="6240">
      <c r="B6240" s="31"/>
      <c r="G6240" s="272" t="s">
        <v>1099</v>
      </c>
    </row>
    <row r="6241">
      <c r="B6241" s="31"/>
      <c r="G6241" s="272" t="s">
        <v>1099</v>
      </c>
    </row>
    <row r="6242">
      <c r="B6242" s="31"/>
      <c r="G6242" s="272" t="s">
        <v>1099</v>
      </c>
    </row>
    <row r="6243">
      <c r="B6243" s="31"/>
      <c r="G6243" s="272" t="s">
        <v>1099</v>
      </c>
    </row>
    <row r="6244">
      <c r="B6244" s="31"/>
      <c r="G6244" s="272" t="s">
        <v>1099</v>
      </c>
    </row>
    <row r="6245">
      <c r="B6245" s="31"/>
      <c r="G6245" s="272" t="s">
        <v>1099</v>
      </c>
    </row>
    <row r="6246">
      <c r="B6246" s="31"/>
      <c r="G6246" s="272" t="s">
        <v>1099</v>
      </c>
    </row>
    <row r="6247">
      <c r="B6247" s="31"/>
      <c r="G6247" s="272" t="s">
        <v>1099</v>
      </c>
    </row>
    <row r="6248">
      <c r="B6248" s="31"/>
      <c r="G6248" s="272" t="s">
        <v>1099</v>
      </c>
    </row>
    <row r="6249">
      <c r="B6249" s="31"/>
      <c r="G6249" s="272" t="s">
        <v>1099</v>
      </c>
    </row>
    <row r="6250">
      <c r="B6250" s="31"/>
      <c r="G6250" s="272" t="s">
        <v>1099</v>
      </c>
    </row>
    <row r="6251">
      <c r="B6251" s="31"/>
      <c r="G6251" s="272" t="s">
        <v>1099</v>
      </c>
    </row>
    <row r="6252">
      <c r="B6252" s="31"/>
      <c r="G6252" s="272" t="s">
        <v>1099</v>
      </c>
    </row>
    <row r="6253">
      <c r="B6253" s="31"/>
      <c r="G6253" s="272" t="s">
        <v>1099</v>
      </c>
    </row>
    <row r="6254">
      <c r="B6254" s="31"/>
      <c r="G6254" s="272" t="s">
        <v>1099</v>
      </c>
    </row>
    <row r="6255">
      <c r="B6255" s="31"/>
      <c r="G6255" s="272" t="s">
        <v>1099</v>
      </c>
    </row>
    <row r="6256">
      <c r="B6256" s="31"/>
      <c r="G6256" s="272" t="s">
        <v>1099</v>
      </c>
    </row>
    <row r="6257">
      <c r="B6257" s="31"/>
      <c r="G6257" s="272" t="s">
        <v>1099</v>
      </c>
    </row>
    <row r="6258">
      <c r="B6258" s="31"/>
      <c r="G6258" s="272" t="s">
        <v>1099</v>
      </c>
    </row>
    <row r="6259">
      <c r="B6259" s="31"/>
      <c r="G6259" s="272" t="s">
        <v>1099</v>
      </c>
    </row>
    <row r="6260">
      <c r="B6260" s="31"/>
      <c r="G6260" s="272" t="s">
        <v>1099</v>
      </c>
    </row>
    <row r="6261">
      <c r="B6261" s="31"/>
      <c r="G6261" s="272" t="s">
        <v>1099</v>
      </c>
    </row>
    <row r="6262">
      <c r="B6262" s="31"/>
      <c r="G6262" s="272" t="s">
        <v>1099</v>
      </c>
    </row>
    <row r="6263">
      <c r="B6263" s="31"/>
      <c r="G6263" s="272" t="s">
        <v>1099</v>
      </c>
    </row>
    <row r="6264">
      <c r="B6264" s="31"/>
      <c r="G6264" s="272" t="s">
        <v>1099</v>
      </c>
    </row>
    <row r="6265">
      <c r="B6265" s="31"/>
      <c r="G6265" s="272" t="s">
        <v>1099</v>
      </c>
    </row>
    <row r="6266">
      <c r="B6266" s="31"/>
      <c r="G6266" s="272" t="s">
        <v>1099</v>
      </c>
    </row>
    <row r="6267">
      <c r="B6267" s="31"/>
      <c r="G6267" s="272" t="s">
        <v>1099</v>
      </c>
    </row>
    <row r="6268">
      <c r="B6268" s="31"/>
      <c r="G6268" s="272" t="s">
        <v>1099</v>
      </c>
    </row>
    <row r="6269">
      <c r="B6269" s="31"/>
      <c r="G6269" s="272" t="s">
        <v>1099</v>
      </c>
    </row>
    <row r="6270">
      <c r="B6270" s="31"/>
      <c r="G6270" s="272" t="s">
        <v>1099</v>
      </c>
    </row>
    <row r="6271">
      <c r="B6271" s="31"/>
      <c r="G6271" s="272" t="s">
        <v>1099</v>
      </c>
    </row>
    <row r="6272">
      <c r="B6272" s="31"/>
      <c r="G6272" s="272" t="s">
        <v>1099</v>
      </c>
    </row>
    <row r="6273">
      <c r="B6273" s="31"/>
      <c r="G6273" s="272" t="s">
        <v>1099</v>
      </c>
    </row>
    <row r="6274">
      <c r="B6274" s="31"/>
      <c r="G6274" s="272" t="s">
        <v>1099</v>
      </c>
    </row>
    <row r="6275">
      <c r="B6275" s="31"/>
      <c r="G6275" s="272" t="s">
        <v>1099</v>
      </c>
    </row>
    <row r="6276">
      <c r="B6276" s="31"/>
      <c r="G6276" s="272" t="s">
        <v>1099</v>
      </c>
    </row>
    <row r="6277">
      <c r="B6277" s="31"/>
      <c r="G6277" s="272" t="s">
        <v>1099</v>
      </c>
    </row>
    <row r="6278">
      <c r="B6278" s="31"/>
      <c r="G6278" s="272" t="s">
        <v>1099</v>
      </c>
    </row>
    <row r="6279">
      <c r="B6279" s="31"/>
      <c r="G6279" s="272" t="s">
        <v>1099</v>
      </c>
    </row>
    <row r="6280">
      <c r="B6280" s="31"/>
      <c r="G6280" s="272" t="s">
        <v>1099</v>
      </c>
    </row>
    <row r="6281">
      <c r="B6281" s="31"/>
      <c r="G6281" s="272" t="s">
        <v>1099</v>
      </c>
    </row>
    <row r="6282">
      <c r="B6282" s="31"/>
      <c r="G6282" s="272" t="s">
        <v>1099</v>
      </c>
    </row>
    <row r="6283">
      <c r="B6283" s="31"/>
      <c r="G6283" s="272" t="s">
        <v>1099</v>
      </c>
    </row>
    <row r="6284">
      <c r="B6284" s="31"/>
      <c r="G6284" s="272" t="s">
        <v>1099</v>
      </c>
    </row>
    <row r="6285">
      <c r="B6285" s="31"/>
      <c r="G6285" s="272" t="s">
        <v>1099</v>
      </c>
    </row>
    <row r="6286">
      <c r="B6286" s="31"/>
      <c r="G6286" s="272" t="s">
        <v>1099</v>
      </c>
    </row>
    <row r="6287">
      <c r="B6287" s="31"/>
      <c r="G6287" s="272" t="s">
        <v>1099</v>
      </c>
    </row>
    <row r="6288">
      <c r="B6288" s="31"/>
      <c r="G6288" s="272" t="s">
        <v>1099</v>
      </c>
    </row>
    <row r="6289">
      <c r="B6289" s="31"/>
      <c r="G6289" s="272" t="s">
        <v>1099</v>
      </c>
    </row>
    <row r="6290">
      <c r="B6290" s="31"/>
      <c r="G6290" s="272" t="s">
        <v>1099</v>
      </c>
    </row>
    <row r="6291">
      <c r="B6291" s="31"/>
      <c r="G6291" s="272" t="s">
        <v>1099</v>
      </c>
    </row>
    <row r="6292">
      <c r="B6292" s="31"/>
      <c r="G6292" s="272" t="s">
        <v>1099</v>
      </c>
    </row>
    <row r="6293">
      <c r="B6293" s="31"/>
      <c r="G6293" s="272" t="s">
        <v>1099</v>
      </c>
    </row>
    <row r="6294">
      <c r="B6294" s="31"/>
      <c r="G6294" s="272" t="s">
        <v>1099</v>
      </c>
    </row>
    <row r="6295">
      <c r="B6295" s="31"/>
      <c r="G6295" s="272" t="s">
        <v>1099</v>
      </c>
    </row>
    <row r="6296">
      <c r="B6296" s="31"/>
      <c r="G6296" s="272" t="s">
        <v>1099</v>
      </c>
    </row>
    <row r="6297">
      <c r="B6297" s="31"/>
      <c r="G6297" s="272" t="s">
        <v>1099</v>
      </c>
    </row>
    <row r="6298">
      <c r="B6298" s="31"/>
      <c r="G6298" s="272" t="s">
        <v>1099</v>
      </c>
    </row>
    <row r="6299">
      <c r="B6299" s="31"/>
      <c r="G6299" s="272" t="s">
        <v>1099</v>
      </c>
    </row>
    <row r="6300">
      <c r="B6300" s="31"/>
      <c r="G6300" s="272" t="s">
        <v>1099</v>
      </c>
    </row>
    <row r="6301">
      <c r="B6301" s="31"/>
      <c r="G6301" s="272" t="s">
        <v>1099</v>
      </c>
    </row>
    <row r="6302">
      <c r="B6302" s="31"/>
      <c r="G6302" s="272" t="s">
        <v>1099</v>
      </c>
    </row>
    <row r="6303">
      <c r="B6303" s="31"/>
      <c r="G6303" s="272" t="s">
        <v>1099</v>
      </c>
    </row>
    <row r="6304">
      <c r="B6304" s="31"/>
      <c r="G6304" s="272" t="s">
        <v>1099</v>
      </c>
    </row>
    <row r="6305">
      <c r="B6305" s="31"/>
      <c r="G6305" s="272" t="s">
        <v>1099</v>
      </c>
    </row>
    <row r="6306">
      <c r="B6306" s="31"/>
      <c r="G6306" s="272" t="s">
        <v>1099</v>
      </c>
    </row>
    <row r="6307">
      <c r="B6307" s="31"/>
      <c r="G6307" s="272" t="s">
        <v>1099</v>
      </c>
    </row>
    <row r="6308">
      <c r="B6308" s="31"/>
      <c r="G6308" s="272" t="s">
        <v>1099</v>
      </c>
    </row>
    <row r="6309">
      <c r="B6309" s="31"/>
      <c r="G6309" s="272" t="s">
        <v>1099</v>
      </c>
    </row>
    <row r="6310">
      <c r="B6310" s="31"/>
      <c r="G6310" s="272" t="s">
        <v>1099</v>
      </c>
    </row>
    <row r="6311">
      <c r="B6311" s="31"/>
      <c r="G6311" s="272" t="s">
        <v>1099</v>
      </c>
    </row>
    <row r="6312">
      <c r="B6312" s="31"/>
      <c r="G6312" s="272" t="s">
        <v>1099</v>
      </c>
    </row>
    <row r="6313">
      <c r="B6313" s="31"/>
      <c r="G6313" s="272" t="s">
        <v>1099</v>
      </c>
    </row>
    <row r="6314">
      <c r="B6314" s="31"/>
      <c r="G6314" s="272" t="s">
        <v>1099</v>
      </c>
    </row>
    <row r="6315">
      <c r="B6315" s="31"/>
      <c r="G6315" s="272" t="s">
        <v>1099</v>
      </c>
    </row>
    <row r="6316">
      <c r="B6316" s="31"/>
      <c r="G6316" s="272" t="s">
        <v>1099</v>
      </c>
    </row>
    <row r="6317">
      <c r="B6317" s="31"/>
      <c r="G6317" s="272" t="s">
        <v>1099</v>
      </c>
    </row>
    <row r="6318">
      <c r="B6318" s="31"/>
      <c r="G6318" s="272" t="s">
        <v>1099</v>
      </c>
    </row>
    <row r="6319">
      <c r="B6319" s="31"/>
      <c r="G6319" s="272" t="s">
        <v>1099</v>
      </c>
    </row>
    <row r="6320">
      <c r="B6320" s="31"/>
      <c r="G6320" s="272" t="s">
        <v>1099</v>
      </c>
    </row>
    <row r="6321">
      <c r="B6321" s="31"/>
      <c r="G6321" s="272" t="s">
        <v>1099</v>
      </c>
    </row>
    <row r="6322">
      <c r="B6322" s="31"/>
      <c r="G6322" s="272" t="s">
        <v>1099</v>
      </c>
    </row>
    <row r="6323">
      <c r="B6323" s="31"/>
      <c r="G6323" s="272" t="s">
        <v>1099</v>
      </c>
    </row>
    <row r="6324">
      <c r="B6324" s="31"/>
      <c r="G6324" s="272" t="s">
        <v>1099</v>
      </c>
    </row>
    <row r="6325">
      <c r="B6325" s="31"/>
      <c r="G6325" s="272" t="s">
        <v>1099</v>
      </c>
    </row>
    <row r="6326">
      <c r="B6326" s="31"/>
      <c r="G6326" s="272" t="s">
        <v>1099</v>
      </c>
    </row>
    <row r="6327">
      <c r="B6327" s="31"/>
      <c r="G6327" s="272" t="s">
        <v>1099</v>
      </c>
    </row>
    <row r="6328">
      <c r="B6328" s="31"/>
      <c r="G6328" s="272" t="s">
        <v>1099</v>
      </c>
    </row>
    <row r="6329">
      <c r="B6329" s="31"/>
      <c r="G6329" s="272" t="s">
        <v>1099</v>
      </c>
    </row>
    <row r="6330">
      <c r="B6330" s="31"/>
      <c r="G6330" s="272" t="s">
        <v>1099</v>
      </c>
    </row>
    <row r="6331">
      <c r="B6331" s="31"/>
      <c r="G6331" s="272" t="s">
        <v>1099</v>
      </c>
    </row>
    <row r="6332">
      <c r="B6332" s="31"/>
      <c r="G6332" s="272" t="s">
        <v>1099</v>
      </c>
    </row>
    <row r="6333">
      <c r="B6333" s="31"/>
      <c r="G6333" s="272" t="s">
        <v>1099</v>
      </c>
    </row>
    <row r="6334">
      <c r="B6334" s="31"/>
      <c r="G6334" s="272" t="s">
        <v>1099</v>
      </c>
    </row>
    <row r="6335">
      <c r="B6335" s="31"/>
      <c r="G6335" s="272" t="s">
        <v>1099</v>
      </c>
    </row>
    <row r="6336">
      <c r="B6336" s="31"/>
      <c r="G6336" s="272" t="s">
        <v>1099</v>
      </c>
    </row>
    <row r="6337">
      <c r="B6337" s="31"/>
      <c r="G6337" s="272" t="s">
        <v>1099</v>
      </c>
    </row>
    <row r="6338">
      <c r="B6338" s="31"/>
      <c r="G6338" s="272" t="s">
        <v>1099</v>
      </c>
    </row>
    <row r="6339">
      <c r="B6339" s="31"/>
      <c r="G6339" s="272" t="s">
        <v>1099</v>
      </c>
    </row>
    <row r="6340">
      <c r="B6340" s="31"/>
      <c r="G6340" s="272" t="s">
        <v>1099</v>
      </c>
    </row>
    <row r="6341">
      <c r="B6341" s="31"/>
      <c r="G6341" s="272" t="s">
        <v>1099</v>
      </c>
    </row>
    <row r="6342">
      <c r="B6342" s="31"/>
      <c r="G6342" s="272" t="s">
        <v>1099</v>
      </c>
    </row>
    <row r="6343">
      <c r="B6343" s="31"/>
      <c r="G6343" s="272" t="s">
        <v>1099</v>
      </c>
    </row>
    <row r="6344">
      <c r="B6344" s="31"/>
      <c r="G6344" s="272" t="s">
        <v>1099</v>
      </c>
    </row>
    <row r="6345">
      <c r="B6345" s="31"/>
      <c r="G6345" s="272" t="s">
        <v>1099</v>
      </c>
    </row>
    <row r="6346">
      <c r="B6346" s="31"/>
      <c r="G6346" s="272" t="s">
        <v>1099</v>
      </c>
    </row>
    <row r="6347">
      <c r="B6347" s="31"/>
      <c r="G6347" s="272" t="s">
        <v>1099</v>
      </c>
    </row>
    <row r="6348">
      <c r="B6348" s="31"/>
      <c r="G6348" s="272" t="s">
        <v>1099</v>
      </c>
    </row>
    <row r="6349">
      <c r="B6349" s="31"/>
      <c r="G6349" s="272" t="s">
        <v>1099</v>
      </c>
    </row>
    <row r="6350">
      <c r="B6350" s="31"/>
      <c r="G6350" s="272" t="s">
        <v>1099</v>
      </c>
    </row>
    <row r="6351">
      <c r="B6351" s="31"/>
      <c r="G6351" s="272" t="s">
        <v>1099</v>
      </c>
    </row>
    <row r="6352">
      <c r="B6352" s="31"/>
      <c r="G6352" s="272" t="s">
        <v>1099</v>
      </c>
    </row>
    <row r="6353">
      <c r="B6353" s="31"/>
      <c r="G6353" s="272" t="s">
        <v>1099</v>
      </c>
    </row>
    <row r="6354">
      <c r="B6354" s="31"/>
      <c r="G6354" s="272" t="s">
        <v>1099</v>
      </c>
    </row>
    <row r="6355">
      <c r="B6355" s="31"/>
      <c r="G6355" s="272" t="s">
        <v>1099</v>
      </c>
    </row>
    <row r="6356">
      <c r="B6356" s="31"/>
      <c r="G6356" s="272" t="s">
        <v>1099</v>
      </c>
    </row>
    <row r="6357">
      <c r="B6357" s="31"/>
      <c r="G6357" s="272" t="s">
        <v>1099</v>
      </c>
    </row>
    <row r="6358">
      <c r="B6358" s="31"/>
      <c r="G6358" s="272" t="s">
        <v>1099</v>
      </c>
    </row>
    <row r="6359">
      <c r="B6359" s="31"/>
      <c r="G6359" s="272" t="s">
        <v>1099</v>
      </c>
    </row>
    <row r="6360">
      <c r="B6360" s="31"/>
      <c r="G6360" s="272" t="s">
        <v>1099</v>
      </c>
    </row>
    <row r="6361">
      <c r="B6361" s="31"/>
      <c r="G6361" s="272" t="s">
        <v>1099</v>
      </c>
    </row>
    <row r="6362">
      <c r="B6362" s="31"/>
      <c r="G6362" s="272" t="s">
        <v>1099</v>
      </c>
    </row>
    <row r="6363">
      <c r="B6363" s="31"/>
      <c r="G6363" s="272" t="s">
        <v>1099</v>
      </c>
    </row>
    <row r="6364">
      <c r="B6364" s="31"/>
      <c r="G6364" s="272" t="s">
        <v>1099</v>
      </c>
    </row>
    <row r="6365">
      <c r="B6365" s="31"/>
      <c r="G6365" s="272" t="s">
        <v>1099</v>
      </c>
    </row>
    <row r="6366">
      <c r="B6366" s="31"/>
      <c r="G6366" s="272" t="s">
        <v>1099</v>
      </c>
    </row>
    <row r="6367">
      <c r="B6367" s="31"/>
      <c r="G6367" s="272" t="s">
        <v>1099</v>
      </c>
    </row>
    <row r="6368">
      <c r="B6368" s="31"/>
      <c r="G6368" s="272" t="s">
        <v>1099</v>
      </c>
    </row>
    <row r="6369">
      <c r="B6369" s="31"/>
      <c r="G6369" s="272" t="s">
        <v>1099</v>
      </c>
    </row>
    <row r="6370">
      <c r="B6370" s="31"/>
      <c r="G6370" s="272" t="s">
        <v>1099</v>
      </c>
    </row>
    <row r="6371">
      <c r="B6371" s="31"/>
      <c r="G6371" s="272" t="s">
        <v>1099</v>
      </c>
    </row>
    <row r="6372">
      <c r="B6372" s="31"/>
      <c r="G6372" s="272" t="s">
        <v>1099</v>
      </c>
    </row>
    <row r="6373">
      <c r="B6373" s="31"/>
      <c r="G6373" s="272" t="s">
        <v>1099</v>
      </c>
    </row>
    <row r="6374">
      <c r="B6374" s="31"/>
      <c r="G6374" s="272" t="s">
        <v>1099</v>
      </c>
    </row>
    <row r="6375">
      <c r="B6375" s="31"/>
      <c r="G6375" s="272" t="s">
        <v>1099</v>
      </c>
    </row>
    <row r="6376">
      <c r="B6376" s="31"/>
      <c r="G6376" s="272" t="s">
        <v>1099</v>
      </c>
    </row>
    <row r="6377">
      <c r="B6377" s="31"/>
      <c r="G6377" s="272" t="s">
        <v>1099</v>
      </c>
    </row>
    <row r="6378">
      <c r="B6378" s="31"/>
      <c r="G6378" s="272" t="s">
        <v>1099</v>
      </c>
    </row>
    <row r="6379">
      <c r="B6379" s="31"/>
      <c r="G6379" s="272" t="s">
        <v>1099</v>
      </c>
    </row>
    <row r="6380">
      <c r="B6380" s="31"/>
      <c r="G6380" s="272" t="s">
        <v>1099</v>
      </c>
    </row>
    <row r="6381">
      <c r="B6381" s="31"/>
      <c r="G6381" s="272" t="s">
        <v>1099</v>
      </c>
    </row>
    <row r="6382">
      <c r="B6382" s="31"/>
      <c r="G6382" s="272" t="s">
        <v>1099</v>
      </c>
    </row>
    <row r="6383">
      <c r="B6383" s="31"/>
      <c r="G6383" s="272" t="s">
        <v>1099</v>
      </c>
    </row>
    <row r="6384">
      <c r="B6384" s="31"/>
      <c r="G6384" s="272" t="s">
        <v>1099</v>
      </c>
    </row>
    <row r="6385">
      <c r="B6385" s="31"/>
      <c r="G6385" s="272" t="s">
        <v>1099</v>
      </c>
    </row>
    <row r="6386">
      <c r="B6386" s="31"/>
      <c r="G6386" s="272" t="s">
        <v>1099</v>
      </c>
    </row>
    <row r="6387">
      <c r="B6387" s="31"/>
      <c r="G6387" s="272" t="s">
        <v>1099</v>
      </c>
    </row>
    <row r="6388">
      <c r="B6388" s="31"/>
      <c r="G6388" s="272" t="s">
        <v>1099</v>
      </c>
    </row>
    <row r="6389">
      <c r="B6389" s="31"/>
      <c r="G6389" s="272" t="s">
        <v>1099</v>
      </c>
    </row>
    <row r="6390">
      <c r="B6390" s="31"/>
      <c r="G6390" s="272" t="s">
        <v>1099</v>
      </c>
    </row>
    <row r="6391">
      <c r="B6391" s="31"/>
      <c r="G6391" s="272" t="s">
        <v>1099</v>
      </c>
    </row>
    <row r="6392">
      <c r="B6392" s="31"/>
      <c r="G6392" s="272" t="s">
        <v>1099</v>
      </c>
    </row>
    <row r="6393">
      <c r="B6393" s="31"/>
      <c r="G6393" s="272" t="s">
        <v>1099</v>
      </c>
    </row>
    <row r="6394">
      <c r="B6394" s="31"/>
      <c r="G6394" s="272" t="s">
        <v>1099</v>
      </c>
    </row>
    <row r="6395">
      <c r="B6395" s="31"/>
      <c r="G6395" s="272" t="s">
        <v>1099</v>
      </c>
    </row>
    <row r="6396">
      <c r="B6396" s="31"/>
      <c r="G6396" s="272" t="s">
        <v>1099</v>
      </c>
    </row>
    <row r="6397">
      <c r="B6397" s="31"/>
      <c r="G6397" s="272" t="s">
        <v>1099</v>
      </c>
    </row>
    <row r="6398">
      <c r="B6398" s="31"/>
      <c r="G6398" s="272" t="s">
        <v>1099</v>
      </c>
    </row>
    <row r="6399">
      <c r="B6399" s="31"/>
      <c r="G6399" s="272" t="s">
        <v>1099</v>
      </c>
    </row>
    <row r="6400">
      <c r="B6400" s="31"/>
      <c r="G6400" s="272" t="s">
        <v>1099</v>
      </c>
    </row>
    <row r="6401">
      <c r="B6401" s="31"/>
      <c r="G6401" s="272" t="s">
        <v>1099</v>
      </c>
    </row>
    <row r="6402">
      <c r="B6402" s="31"/>
      <c r="G6402" s="272" t="s">
        <v>1099</v>
      </c>
    </row>
    <row r="6403">
      <c r="B6403" s="31"/>
      <c r="G6403" s="272" t="s">
        <v>1099</v>
      </c>
    </row>
    <row r="6404">
      <c r="B6404" s="31"/>
      <c r="G6404" s="272" t="s">
        <v>1099</v>
      </c>
    </row>
    <row r="6405">
      <c r="B6405" s="31"/>
      <c r="G6405" s="272" t="s">
        <v>1099</v>
      </c>
    </row>
    <row r="6406">
      <c r="B6406" s="31"/>
      <c r="G6406" s="272" t="s">
        <v>1099</v>
      </c>
    </row>
    <row r="6407">
      <c r="B6407" s="31"/>
      <c r="G6407" s="272" t="s">
        <v>1099</v>
      </c>
    </row>
    <row r="6408">
      <c r="B6408" s="31"/>
      <c r="G6408" s="272" t="s">
        <v>1099</v>
      </c>
    </row>
    <row r="6409">
      <c r="B6409" s="31"/>
      <c r="G6409" s="272" t="s">
        <v>1099</v>
      </c>
    </row>
    <row r="6410">
      <c r="B6410" s="31"/>
      <c r="G6410" s="272" t="s">
        <v>1099</v>
      </c>
    </row>
    <row r="6411">
      <c r="B6411" s="31"/>
      <c r="G6411" s="272" t="s">
        <v>1099</v>
      </c>
    </row>
    <row r="6412">
      <c r="B6412" s="31"/>
      <c r="G6412" s="272" t="s">
        <v>1099</v>
      </c>
    </row>
    <row r="6413">
      <c r="B6413" s="31"/>
      <c r="G6413" s="272" t="s">
        <v>1099</v>
      </c>
    </row>
    <row r="6414">
      <c r="B6414" s="31"/>
      <c r="G6414" s="272" t="s">
        <v>1099</v>
      </c>
    </row>
    <row r="6415">
      <c r="B6415" s="31"/>
      <c r="G6415" s="272" t="s">
        <v>1099</v>
      </c>
    </row>
    <row r="6416">
      <c r="B6416" s="31"/>
      <c r="G6416" s="272" t="s">
        <v>1099</v>
      </c>
    </row>
    <row r="6417">
      <c r="B6417" s="31"/>
      <c r="G6417" s="272" t="s">
        <v>1099</v>
      </c>
    </row>
    <row r="6418">
      <c r="B6418" s="31"/>
      <c r="G6418" s="272" t="s">
        <v>1099</v>
      </c>
    </row>
    <row r="6419">
      <c r="B6419" s="31"/>
      <c r="G6419" s="272" t="s">
        <v>1099</v>
      </c>
    </row>
    <row r="6420">
      <c r="B6420" s="31"/>
      <c r="G6420" s="272" t="s">
        <v>1099</v>
      </c>
    </row>
    <row r="6421">
      <c r="B6421" s="31"/>
      <c r="G6421" s="272" t="s">
        <v>1099</v>
      </c>
    </row>
    <row r="6422">
      <c r="B6422" s="31"/>
      <c r="G6422" s="272" t="s">
        <v>1099</v>
      </c>
    </row>
    <row r="6423">
      <c r="B6423" s="31"/>
      <c r="G6423" s="272" t="s">
        <v>1099</v>
      </c>
    </row>
    <row r="6424">
      <c r="B6424" s="31"/>
      <c r="G6424" s="272" t="s">
        <v>1099</v>
      </c>
    </row>
    <row r="6425">
      <c r="B6425" s="31"/>
      <c r="G6425" s="272" t="s">
        <v>1099</v>
      </c>
    </row>
    <row r="6426">
      <c r="B6426" s="31"/>
      <c r="G6426" s="272" t="s">
        <v>1099</v>
      </c>
    </row>
    <row r="6427">
      <c r="B6427" s="31"/>
      <c r="G6427" s="272" t="s">
        <v>1099</v>
      </c>
    </row>
    <row r="6428">
      <c r="B6428" s="31"/>
      <c r="G6428" s="272" t="s">
        <v>1099</v>
      </c>
    </row>
    <row r="6429">
      <c r="B6429" s="31"/>
      <c r="G6429" s="272" t="s">
        <v>1099</v>
      </c>
    </row>
    <row r="6430">
      <c r="B6430" s="31"/>
      <c r="G6430" s="272" t="s">
        <v>1099</v>
      </c>
    </row>
    <row r="6431">
      <c r="B6431" s="31"/>
      <c r="G6431" s="272" t="s">
        <v>1099</v>
      </c>
    </row>
    <row r="6432">
      <c r="B6432" s="31"/>
      <c r="G6432" s="272" t="s">
        <v>1099</v>
      </c>
    </row>
    <row r="6433">
      <c r="B6433" s="31"/>
      <c r="G6433" s="272" t="s">
        <v>1099</v>
      </c>
    </row>
    <row r="6434">
      <c r="B6434" s="31"/>
      <c r="G6434" s="272" t="s">
        <v>1099</v>
      </c>
    </row>
    <row r="6435">
      <c r="B6435" s="31"/>
      <c r="G6435" s="272" t="s">
        <v>1099</v>
      </c>
    </row>
    <row r="6436">
      <c r="B6436" s="31"/>
      <c r="G6436" s="272" t="s">
        <v>1099</v>
      </c>
    </row>
    <row r="6437">
      <c r="B6437" s="31"/>
      <c r="G6437" s="272" t="s">
        <v>1099</v>
      </c>
    </row>
    <row r="6438">
      <c r="B6438" s="31"/>
      <c r="G6438" s="272" t="s">
        <v>1099</v>
      </c>
    </row>
    <row r="6439">
      <c r="B6439" s="31"/>
      <c r="G6439" s="272" t="s">
        <v>1099</v>
      </c>
    </row>
    <row r="6440">
      <c r="B6440" s="31"/>
      <c r="G6440" s="272" t="s">
        <v>1099</v>
      </c>
    </row>
    <row r="6441">
      <c r="B6441" s="31"/>
      <c r="G6441" s="272" t="s">
        <v>1099</v>
      </c>
    </row>
    <row r="6442">
      <c r="B6442" s="31"/>
      <c r="G6442" s="272" t="s">
        <v>1099</v>
      </c>
    </row>
    <row r="6443">
      <c r="B6443" s="31"/>
      <c r="G6443" s="272" t="s">
        <v>1099</v>
      </c>
    </row>
    <row r="6444">
      <c r="B6444" s="31"/>
      <c r="G6444" s="272" t="s">
        <v>1099</v>
      </c>
    </row>
    <row r="6445">
      <c r="B6445" s="31"/>
      <c r="G6445" s="272" t="s">
        <v>1099</v>
      </c>
    </row>
    <row r="6446">
      <c r="B6446" s="31"/>
      <c r="G6446" s="272" t="s">
        <v>1099</v>
      </c>
    </row>
    <row r="6447">
      <c r="B6447" s="31"/>
      <c r="G6447" s="272" t="s">
        <v>1099</v>
      </c>
    </row>
    <row r="6448">
      <c r="B6448" s="31"/>
      <c r="G6448" s="272" t="s">
        <v>1099</v>
      </c>
    </row>
    <row r="6449">
      <c r="B6449" s="31"/>
      <c r="G6449" s="272" t="s">
        <v>1099</v>
      </c>
    </row>
    <row r="6450">
      <c r="B6450" s="31"/>
      <c r="G6450" s="272" t="s">
        <v>1099</v>
      </c>
    </row>
    <row r="6451">
      <c r="B6451" s="31"/>
      <c r="G6451" s="272" t="s">
        <v>1099</v>
      </c>
    </row>
    <row r="6452">
      <c r="B6452" s="31"/>
      <c r="G6452" s="272" t="s">
        <v>1099</v>
      </c>
    </row>
    <row r="6453">
      <c r="B6453" s="31"/>
      <c r="G6453" s="272" t="s">
        <v>1099</v>
      </c>
    </row>
    <row r="6454">
      <c r="B6454" s="31"/>
      <c r="G6454" s="272" t="s">
        <v>1099</v>
      </c>
    </row>
    <row r="6455">
      <c r="B6455" s="31"/>
      <c r="G6455" s="272" t="s">
        <v>1099</v>
      </c>
    </row>
    <row r="6456">
      <c r="B6456" s="31"/>
      <c r="G6456" s="272" t="s">
        <v>1099</v>
      </c>
    </row>
    <row r="6457">
      <c r="B6457" s="31"/>
      <c r="G6457" s="272" t="s">
        <v>1099</v>
      </c>
    </row>
    <row r="6458">
      <c r="B6458" s="31"/>
      <c r="G6458" s="272" t="s">
        <v>1099</v>
      </c>
    </row>
    <row r="6459">
      <c r="B6459" s="31"/>
      <c r="G6459" s="272" t="s">
        <v>1099</v>
      </c>
    </row>
    <row r="6460">
      <c r="B6460" s="31"/>
      <c r="G6460" s="272" t="s">
        <v>1099</v>
      </c>
    </row>
    <row r="6461">
      <c r="B6461" s="31"/>
      <c r="G6461" s="272" t="s">
        <v>1099</v>
      </c>
    </row>
    <row r="6462">
      <c r="B6462" s="31"/>
      <c r="G6462" s="272" t="s">
        <v>1099</v>
      </c>
    </row>
    <row r="6463">
      <c r="B6463" s="31"/>
      <c r="G6463" s="272" t="s">
        <v>1099</v>
      </c>
    </row>
    <row r="6464">
      <c r="B6464" s="31"/>
      <c r="G6464" s="272" t="s">
        <v>1099</v>
      </c>
    </row>
    <row r="6465">
      <c r="B6465" s="31"/>
      <c r="G6465" s="272" t="s">
        <v>1099</v>
      </c>
    </row>
    <row r="6466">
      <c r="B6466" s="31"/>
      <c r="G6466" s="272" t="s">
        <v>1099</v>
      </c>
    </row>
    <row r="6467">
      <c r="B6467" s="31"/>
      <c r="G6467" s="272" t="s">
        <v>1099</v>
      </c>
    </row>
    <row r="6468">
      <c r="B6468" s="31"/>
      <c r="G6468" s="272" t="s">
        <v>1099</v>
      </c>
    </row>
    <row r="6469">
      <c r="B6469" s="31"/>
      <c r="G6469" s="272" t="s">
        <v>1099</v>
      </c>
    </row>
    <row r="6470">
      <c r="B6470" s="31"/>
      <c r="G6470" s="272" t="s">
        <v>1099</v>
      </c>
    </row>
    <row r="6471">
      <c r="B6471" s="31"/>
      <c r="G6471" s="272" t="s">
        <v>1099</v>
      </c>
    </row>
    <row r="6472">
      <c r="B6472" s="31"/>
      <c r="G6472" s="272" t="s">
        <v>1099</v>
      </c>
    </row>
    <row r="6473">
      <c r="B6473" s="31"/>
      <c r="G6473" s="272" t="s">
        <v>1099</v>
      </c>
    </row>
    <row r="6474">
      <c r="B6474" s="31"/>
      <c r="G6474" s="272" t="s">
        <v>1099</v>
      </c>
    </row>
    <row r="6475">
      <c r="B6475" s="31"/>
      <c r="G6475" s="272" t="s">
        <v>1099</v>
      </c>
    </row>
    <row r="6476">
      <c r="B6476" s="31"/>
      <c r="G6476" s="272" t="s">
        <v>1099</v>
      </c>
    </row>
    <row r="6477">
      <c r="B6477" s="31"/>
      <c r="G6477" s="272" t="s">
        <v>1099</v>
      </c>
    </row>
    <row r="6478">
      <c r="B6478" s="31"/>
      <c r="G6478" s="272" t="s">
        <v>1099</v>
      </c>
    </row>
    <row r="6479">
      <c r="B6479" s="31"/>
      <c r="G6479" s="272" t="s">
        <v>1099</v>
      </c>
    </row>
    <row r="6480">
      <c r="B6480" s="31"/>
      <c r="G6480" s="272" t="s">
        <v>1099</v>
      </c>
    </row>
    <row r="6481">
      <c r="B6481" s="31"/>
      <c r="G6481" s="272" t="s">
        <v>1099</v>
      </c>
    </row>
    <row r="6482">
      <c r="B6482" s="31"/>
      <c r="G6482" s="272" t="s">
        <v>1099</v>
      </c>
    </row>
    <row r="6483">
      <c r="B6483" s="31"/>
      <c r="G6483" s="272" t="s">
        <v>1099</v>
      </c>
    </row>
    <row r="6484">
      <c r="B6484" s="31"/>
      <c r="G6484" s="272" t="s">
        <v>1099</v>
      </c>
    </row>
    <row r="6485">
      <c r="B6485" s="31"/>
      <c r="G6485" s="272" t="s">
        <v>1099</v>
      </c>
    </row>
    <row r="6486">
      <c r="B6486" s="31"/>
      <c r="G6486" s="272" t="s">
        <v>1099</v>
      </c>
    </row>
    <row r="6487">
      <c r="B6487" s="31"/>
      <c r="G6487" s="272" t="s">
        <v>1099</v>
      </c>
    </row>
    <row r="6488">
      <c r="B6488" s="31"/>
      <c r="G6488" s="272" t="s">
        <v>1099</v>
      </c>
    </row>
    <row r="6489">
      <c r="B6489" s="31"/>
      <c r="G6489" s="272" t="s">
        <v>1099</v>
      </c>
    </row>
    <row r="6490">
      <c r="B6490" s="31"/>
      <c r="G6490" s="272" t="s">
        <v>1099</v>
      </c>
    </row>
    <row r="6491">
      <c r="B6491" s="31"/>
      <c r="G6491" s="272" t="s">
        <v>1099</v>
      </c>
    </row>
    <row r="6492">
      <c r="B6492" s="31"/>
      <c r="G6492" s="272" t="s">
        <v>1099</v>
      </c>
    </row>
    <row r="6493">
      <c r="B6493" s="31"/>
      <c r="G6493" s="272" t="s">
        <v>1099</v>
      </c>
    </row>
    <row r="6494">
      <c r="B6494" s="31"/>
      <c r="G6494" s="272" t="s">
        <v>1099</v>
      </c>
    </row>
    <row r="6495">
      <c r="B6495" s="31"/>
      <c r="G6495" s="272" t="s">
        <v>1099</v>
      </c>
    </row>
    <row r="6496">
      <c r="B6496" s="31"/>
      <c r="G6496" s="272" t="s">
        <v>1099</v>
      </c>
    </row>
    <row r="6497">
      <c r="B6497" s="31"/>
      <c r="G6497" s="272" t="s">
        <v>1099</v>
      </c>
    </row>
    <row r="6498">
      <c r="B6498" s="31"/>
      <c r="G6498" s="272" t="s">
        <v>1099</v>
      </c>
    </row>
    <row r="6499">
      <c r="B6499" s="31"/>
      <c r="G6499" s="272" t="s">
        <v>1099</v>
      </c>
    </row>
    <row r="6500">
      <c r="B6500" s="31"/>
      <c r="G6500" s="272" t="s">
        <v>1099</v>
      </c>
    </row>
    <row r="6501">
      <c r="B6501" s="31"/>
      <c r="G6501" s="272" t="s">
        <v>1099</v>
      </c>
    </row>
    <row r="6502">
      <c r="B6502" s="31"/>
      <c r="G6502" s="272" t="s">
        <v>1099</v>
      </c>
    </row>
    <row r="6503">
      <c r="B6503" s="31"/>
      <c r="G6503" s="272" t="s">
        <v>1099</v>
      </c>
    </row>
    <row r="6504">
      <c r="B6504" s="31"/>
      <c r="G6504" s="272" t="s">
        <v>1099</v>
      </c>
    </row>
    <row r="6505">
      <c r="B6505" s="31"/>
      <c r="G6505" s="272" t="s">
        <v>1099</v>
      </c>
    </row>
    <row r="6506">
      <c r="B6506" s="31"/>
      <c r="G6506" s="272" t="s">
        <v>1099</v>
      </c>
    </row>
    <row r="6507">
      <c r="B6507" s="31"/>
      <c r="G6507" s="272" t="s">
        <v>1099</v>
      </c>
    </row>
    <row r="6508">
      <c r="B6508" s="31"/>
      <c r="G6508" s="272" t="s">
        <v>1099</v>
      </c>
    </row>
    <row r="6509">
      <c r="B6509" s="31"/>
      <c r="G6509" s="272" t="s">
        <v>1099</v>
      </c>
    </row>
    <row r="6510">
      <c r="B6510" s="31"/>
      <c r="G6510" s="272" t="s">
        <v>1099</v>
      </c>
    </row>
    <row r="6511">
      <c r="B6511" s="31"/>
      <c r="G6511" s="272" t="s">
        <v>1099</v>
      </c>
    </row>
    <row r="6512">
      <c r="B6512" s="31"/>
      <c r="G6512" s="272" t="s">
        <v>1099</v>
      </c>
    </row>
    <row r="6513">
      <c r="B6513" s="31"/>
      <c r="G6513" s="272" t="s">
        <v>1099</v>
      </c>
    </row>
    <row r="6514">
      <c r="B6514" s="31"/>
      <c r="G6514" s="272" t="s">
        <v>1099</v>
      </c>
    </row>
    <row r="6515">
      <c r="B6515" s="31"/>
      <c r="G6515" s="272" t="s">
        <v>1099</v>
      </c>
    </row>
    <row r="6516">
      <c r="B6516" s="31"/>
      <c r="G6516" s="272" t="s">
        <v>1099</v>
      </c>
    </row>
    <row r="6517">
      <c r="B6517" s="31"/>
      <c r="G6517" s="272" t="s">
        <v>1099</v>
      </c>
    </row>
    <row r="6518">
      <c r="B6518" s="31"/>
      <c r="G6518" s="272" t="s">
        <v>1099</v>
      </c>
    </row>
    <row r="6519">
      <c r="B6519" s="31"/>
      <c r="G6519" s="272" t="s">
        <v>1099</v>
      </c>
    </row>
    <row r="6520">
      <c r="B6520" s="31"/>
      <c r="G6520" s="272" t="s">
        <v>1099</v>
      </c>
    </row>
    <row r="6521">
      <c r="B6521" s="31"/>
      <c r="G6521" s="272" t="s">
        <v>1099</v>
      </c>
    </row>
    <row r="6522">
      <c r="B6522" s="31"/>
      <c r="G6522" s="272" t="s">
        <v>1099</v>
      </c>
    </row>
    <row r="6523">
      <c r="B6523" s="31"/>
      <c r="G6523" s="272" t="s">
        <v>1099</v>
      </c>
    </row>
    <row r="6524">
      <c r="B6524" s="31"/>
      <c r="G6524" s="272" t="s">
        <v>1099</v>
      </c>
    </row>
    <row r="6525">
      <c r="B6525" s="31"/>
      <c r="G6525" s="272" t="s">
        <v>1099</v>
      </c>
    </row>
    <row r="6526">
      <c r="B6526" s="31"/>
      <c r="G6526" s="272" t="s">
        <v>1099</v>
      </c>
    </row>
    <row r="6527">
      <c r="B6527" s="31"/>
      <c r="G6527" s="272" t="s">
        <v>1099</v>
      </c>
    </row>
    <row r="6528">
      <c r="B6528" s="31"/>
      <c r="G6528" s="272" t="s">
        <v>1099</v>
      </c>
    </row>
    <row r="6529">
      <c r="B6529" s="31"/>
      <c r="G6529" s="272" t="s">
        <v>1099</v>
      </c>
    </row>
    <row r="6530">
      <c r="B6530" s="31"/>
      <c r="G6530" s="272" t="s">
        <v>1099</v>
      </c>
    </row>
    <row r="6531">
      <c r="B6531" s="31"/>
      <c r="G6531" s="272" t="s">
        <v>1099</v>
      </c>
    </row>
    <row r="6532">
      <c r="B6532" s="31"/>
      <c r="G6532" s="272" t="s">
        <v>1099</v>
      </c>
    </row>
    <row r="6533">
      <c r="B6533" s="31"/>
      <c r="G6533" s="272" t="s">
        <v>1099</v>
      </c>
    </row>
    <row r="6534">
      <c r="B6534" s="31"/>
      <c r="G6534" s="272" t="s">
        <v>1099</v>
      </c>
    </row>
    <row r="6535">
      <c r="B6535" s="31"/>
      <c r="G6535" s="272" t="s">
        <v>1099</v>
      </c>
    </row>
    <row r="6536">
      <c r="B6536" s="31"/>
      <c r="G6536" s="272" t="s">
        <v>1099</v>
      </c>
    </row>
    <row r="6537">
      <c r="B6537" s="31"/>
      <c r="G6537" s="272" t="s">
        <v>1099</v>
      </c>
    </row>
    <row r="6538">
      <c r="B6538" s="31"/>
      <c r="G6538" s="272" t="s">
        <v>1099</v>
      </c>
    </row>
    <row r="6539">
      <c r="B6539" s="31"/>
      <c r="G6539" s="272" t="s">
        <v>1099</v>
      </c>
    </row>
    <row r="6540">
      <c r="B6540" s="31"/>
      <c r="G6540" s="272" t="s">
        <v>1099</v>
      </c>
    </row>
    <row r="6541">
      <c r="B6541" s="31"/>
      <c r="G6541" s="272" t="s">
        <v>1099</v>
      </c>
    </row>
    <row r="6542">
      <c r="B6542" s="31"/>
      <c r="G6542" s="272" t="s">
        <v>1099</v>
      </c>
    </row>
    <row r="6543">
      <c r="B6543" s="31"/>
      <c r="G6543" s="272" t="s">
        <v>1099</v>
      </c>
    </row>
    <row r="6544">
      <c r="B6544" s="31"/>
      <c r="G6544" s="272" t="s">
        <v>1099</v>
      </c>
    </row>
    <row r="6545">
      <c r="B6545" s="31"/>
      <c r="G6545" s="272" t="s">
        <v>1099</v>
      </c>
    </row>
    <row r="6546">
      <c r="B6546" s="31"/>
      <c r="G6546" s="272" t="s">
        <v>1099</v>
      </c>
    </row>
    <row r="6547">
      <c r="B6547" s="31"/>
      <c r="G6547" s="272" t="s">
        <v>1099</v>
      </c>
    </row>
    <row r="6548">
      <c r="B6548" s="31"/>
      <c r="G6548" s="272" t="s">
        <v>1099</v>
      </c>
    </row>
    <row r="6549">
      <c r="B6549" s="31"/>
      <c r="G6549" s="272" t="s">
        <v>1099</v>
      </c>
    </row>
    <row r="6550">
      <c r="B6550" s="31"/>
      <c r="G6550" s="272" t="s">
        <v>1099</v>
      </c>
    </row>
    <row r="6551">
      <c r="B6551" s="31"/>
      <c r="G6551" s="272" t="s">
        <v>1099</v>
      </c>
    </row>
    <row r="6552">
      <c r="B6552" s="31"/>
      <c r="G6552" s="272" t="s">
        <v>1099</v>
      </c>
    </row>
    <row r="6553">
      <c r="B6553" s="31"/>
      <c r="G6553" s="272" t="s">
        <v>1099</v>
      </c>
    </row>
    <row r="6554">
      <c r="B6554" s="31"/>
      <c r="G6554" s="272" t="s">
        <v>1099</v>
      </c>
    </row>
    <row r="6555">
      <c r="B6555" s="31"/>
      <c r="G6555" s="272" t="s">
        <v>1099</v>
      </c>
    </row>
    <row r="6556">
      <c r="B6556" s="31"/>
      <c r="G6556" s="272" t="s">
        <v>1099</v>
      </c>
    </row>
    <row r="6557">
      <c r="B6557" s="31"/>
      <c r="G6557" s="272" t="s">
        <v>1099</v>
      </c>
    </row>
    <row r="6558">
      <c r="B6558" s="31"/>
      <c r="G6558" s="272" t="s">
        <v>1099</v>
      </c>
    </row>
    <row r="6559">
      <c r="B6559" s="31"/>
      <c r="G6559" s="272" t="s">
        <v>1099</v>
      </c>
    </row>
    <row r="6560">
      <c r="B6560" s="31"/>
      <c r="G6560" s="272" t="s">
        <v>1099</v>
      </c>
    </row>
    <row r="6561">
      <c r="B6561" s="31"/>
      <c r="G6561" s="272" t="s">
        <v>1099</v>
      </c>
    </row>
    <row r="6562">
      <c r="B6562" s="31"/>
      <c r="G6562" s="272" t="s">
        <v>1099</v>
      </c>
    </row>
    <row r="6563">
      <c r="B6563" s="31"/>
      <c r="G6563" s="272" t="s">
        <v>1099</v>
      </c>
    </row>
    <row r="6564">
      <c r="B6564" s="31"/>
      <c r="G6564" s="272" t="s">
        <v>1099</v>
      </c>
    </row>
    <row r="6565">
      <c r="B6565" s="31"/>
      <c r="G6565" s="272" t="s">
        <v>1099</v>
      </c>
    </row>
    <row r="6566">
      <c r="B6566" s="31"/>
      <c r="G6566" s="272" t="s">
        <v>1099</v>
      </c>
    </row>
    <row r="6567">
      <c r="B6567" s="31"/>
      <c r="G6567" s="272" t="s">
        <v>1099</v>
      </c>
    </row>
    <row r="6568">
      <c r="B6568" s="31"/>
      <c r="G6568" s="272" t="s">
        <v>1099</v>
      </c>
    </row>
    <row r="6569">
      <c r="B6569" s="31"/>
      <c r="G6569" s="272" t="s">
        <v>1099</v>
      </c>
    </row>
    <row r="6570">
      <c r="B6570" s="31"/>
      <c r="G6570" s="272" t="s">
        <v>1099</v>
      </c>
    </row>
    <row r="6571">
      <c r="B6571" s="31"/>
      <c r="G6571" s="272" t="s">
        <v>1099</v>
      </c>
    </row>
    <row r="6572">
      <c r="B6572" s="31"/>
      <c r="G6572" s="272" t="s">
        <v>1099</v>
      </c>
    </row>
    <row r="6573">
      <c r="B6573" s="31"/>
      <c r="G6573" s="272" t="s">
        <v>1099</v>
      </c>
    </row>
    <row r="6574">
      <c r="B6574" s="31"/>
      <c r="G6574" s="272" t="s">
        <v>1099</v>
      </c>
    </row>
    <row r="6575">
      <c r="B6575" s="31"/>
      <c r="G6575" s="272" t="s">
        <v>1099</v>
      </c>
    </row>
    <row r="6576">
      <c r="B6576" s="31"/>
      <c r="G6576" s="272" t="s">
        <v>1099</v>
      </c>
    </row>
    <row r="6577">
      <c r="B6577" s="31"/>
      <c r="G6577" s="272" t="s">
        <v>1099</v>
      </c>
    </row>
    <row r="6578">
      <c r="B6578" s="31"/>
      <c r="G6578" s="272" t="s">
        <v>1099</v>
      </c>
    </row>
    <row r="6579">
      <c r="B6579" s="31"/>
      <c r="G6579" s="272" t="s">
        <v>1099</v>
      </c>
    </row>
    <row r="6580">
      <c r="B6580" s="31"/>
      <c r="G6580" s="272" t="s">
        <v>1099</v>
      </c>
    </row>
    <row r="6581">
      <c r="B6581" s="31"/>
      <c r="G6581" s="272" t="s">
        <v>1099</v>
      </c>
    </row>
    <row r="6582">
      <c r="B6582" s="31"/>
      <c r="G6582" s="272" t="s">
        <v>1099</v>
      </c>
    </row>
    <row r="6583">
      <c r="B6583" s="31"/>
      <c r="G6583" s="272" t="s">
        <v>1099</v>
      </c>
    </row>
    <row r="6584">
      <c r="B6584" s="31"/>
      <c r="G6584" s="272" t="s">
        <v>1099</v>
      </c>
    </row>
    <row r="6585">
      <c r="B6585" s="31"/>
      <c r="G6585" s="272" t="s">
        <v>1099</v>
      </c>
    </row>
    <row r="6586">
      <c r="B6586" s="31"/>
      <c r="G6586" s="272" t="s">
        <v>1099</v>
      </c>
    </row>
    <row r="6587">
      <c r="B6587" s="31"/>
      <c r="G6587" s="272" t="s">
        <v>1099</v>
      </c>
    </row>
    <row r="6588">
      <c r="B6588" s="31"/>
      <c r="G6588" s="272" t="s">
        <v>1099</v>
      </c>
    </row>
    <row r="6589">
      <c r="B6589" s="31"/>
      <c r="G6589" s="272" t="s">
        <v>1099</v>
      </c>
    </row>
    <row r="6590">
      <c r="B6590" s="31"/>
      <c r="G6590" s="272" t="s">
        <v>1099</v>
      </c>
    </row>
    <row r="6591">
      <c r="B6591" s="31"/>
      <c r="G6591" s="272" t="s">
        <v>1099</v>
      </c>
    </row>
    <row r="6592">
      <c r="B6592" s="31"/>
      <c r="G6592" s="272" t="s">
        <v>1099</v>
      </c>
    </row>
    <row r="6593">
      <c r="B6593" s="31"/>
      <c r="G6593" s="272" t="s">
        <v>1099</v>
      </c>
    </row>
    <row r="6594">
      <c r="B6594" s="31"/>
      <c r="G6594" s="272" t="s">
        <v>1099</v>
      </c>
    </row>
    <row r="6595">
      <c r="B6595" s="31"/>
      <c r="G6595" s="272" t="s">
        <v>1099</v>
      </c>
    </row>
    <row r="6596">
      <c r="B6596" s="31"/>
      <c r="G6596" s="272" t="s">
        <v>1099</v>
      </c>
    </row>
    <row r="6597">
      <c r="B6597" s="31"/>
      <c r="G6597" s="272" t="s">
        <v>1099</v>
      </c>
    </row>
    <row r="6598">
      <c r="B6598" s="31"/>
      <c r="G6598" s="272" t="s">
        <v>1099</v>
      </c>
    </row>
    <row r="6599">
      <c r="B6599" s="31"/>
      <c r="G6599" s="272" t="s">
        <v>1099</v>
      </c>
    </row>
    <row r="6600">
      <c r="B6600" s="31"/>
      <c r="G6600" s="272" t="s">
        <v>1099</v>
      </c>
    </row>
    <row r="6601">
      <c r="B6601" s="31"/>
      <c r="G6601" s="272" t="s">
        <v>1099</v>
      </c>
    </row>
    <row r="6602">
      <c r="B6602" s="31"/>
      <c r="G6602" s="272" t="s">
        <v>1099</v>
      </c>
    </row>
    <row r="6603">
      <c r="B6603" s="31"/>
      <c r="G6603" s="272" t="s">
        <v>1099</v>
      </c>
    </row>
    <row r="6604">
      <c r="B6604" s="31"/>
      <c r="G6604" s="272" t="s">
        <v>1099</v>
      </c>
    </row>
    <row r="6605">
      <c r="B6605" s="31"/>
      <c r="G6605" s="272" t="s">
        <v>1099</v>
      </c>
    </row>
    <row r="6606">
      <c r="B6606" s="31"/>
      <c r="G6606" s="272" t="s">
        <v>1099</v>
      </c>
    </row>
    <row r="6607">
      <c r="B6607" s="31"/>
      <c r="G6607" s="272" t="s">
        <v>1099</v>
      </c>
    </row>
    <row r="6608">
      <c r="B6608" s="31"/>
      <c r="G6608" s="272" t="s">
        <v>1099</v>
      </c>
    </row>
    <row r="6609">
      <c r="B6609" s="31"/>
      <c r="G6609" s="272" t="s">
        <v>1099</v>
      </c>
    </row>
    <row r="6610">
      <c r="B6610" s="31"/>
      <c r="G6610" s="272" t="s">
        <v>1099</v>
      </c>
    </row>
    <row r="6611">
      <c r="B6611" s="31"/>
      <c r="G6611" s="272" t="s">
        <v>1099</v>
      </c>
    </row>
    <row r="6612">
      <c r="B6612" s="31"/>
      <c r="G6612" s="272" t="s">
        <v>1099</v>
      </c>
    </row>
    <row r="6613">
      <c r="B6613" s="31"/>
      <c r="G6613" s="272" t="s">
        <v>1099</v>
      </c>
    </row>
    <row r="6614">
      <c r="B6614" s="31"/>
      <c r="G6614" s="272" t="s">
        <v>1099</v>
      </c>
    </row>
    <row r="6615">
      <c r="B6615" s="31"/>
      <c r="G6615" s="272" t="s">
        <v>1099</v>
      </c>
    </row>
    <row r="6616">
      <c r="B6616" s="31"/>
      <c r="G6616" s="272" t="s">
        <v>1099</v>
      </c>
    </row>
    <row r="6617">
      <c r="B6617" s="31"/>
      <c r="G6617" s="272" t="s">
        <v>1099</v>
      </c>
    </row>
    <row r="6618">
      <c r="B6618" s="31"/>
      <c r="G6618" s="272" t="s">
        <v>1099</v>
      </c>
    </row>
    <row r="6619">
      <c r="B6619" s="31"/>
      <c r="G6619" s="272" t="s">
        <v>1099</v>
      </c>
    </row>
    <row r="6620">
      <c r="B6620" s="31"/>
      <c r="G6620" s="272" t="s">
        <v>1099</v>
      </c>
    </row>
    <row r="6621">
      <c r="B6621" s="31"/>
      <c r="G6621" s="272" t="s">
        <v>1099</v>
      </c>
    </row>
    <row r="6622">
      <c r="B6622" s="31"/>
      <c r="G6622" s="272" t="s">
        <v>1099</v>
      </c>
    </row>
    <row r="6623">
      <c r="B6623" s="31"/>
      <c r="G6623" s="272" t="s">
        <v>1099</v>
      </c>
    </row>
    <row r="6624">
      <c r="B6624" s="31"/>
      <c r="G6624" s="272" t="s">
        <v>1099</v>
      </c>
    </row>
    <row r="6625">
      <c r="B6625" s="31"/>
      <c r="G6625" s="272" t="s">
        <v>1099</v>
      </c>
    </row>
    <row r="6626">
      <c r="B6626" s="31"/>
      <c r="G6626" s="272" t="s">
        <v>1099</v>
      </c>
    </row>
    <row r="6627">
      <c r="B6627" s="31"/>
      <c r="G6627" s="272" t="s">
        <v>1099</v>
      </c>
    </row>
    <row r="6628">
      <c r="B6628" s="31"/>
      <c r="G6628" s="272" t="s">
        <v>1099</v>
      </c>
    </row>
    <row r="6629">
      <c r="B6629" s="31"/>
      <c r="G6629" s="272" t="s">
        <v>1099</v>
      </c>
    </row>
    <row r="6630">
      <c r="B6630" s="31"/>
      <c r="G6630" s="272" t="s">
        <v>1099</v>
      </c>
    </row>
    <row r="6631">
      <c r="B6631" s="31"/>
      <c r="G6631" s="272" t="s">
        <v>1099</v>
      </c>
    </row>
    <row r="6632">
      <c r="B6632" s="31"/>
      <c r="G6632" s="272" t="s">
        <v>1099</v>
      </c>
    </row>
    <row r="6633">
      <c r="B6633" s="31"/>
      <c r="G6633" s="272" t="s">
        <v>1099</v>
      </c>
    </row>
    <row r="6634">
      <c r="B6634" s="31"/>
      <c r="G6634" s="272" t="s">
        <v>1099</v>
      </c>
    </row>
    <row r="6635">
      <c r="B6635" s="31"/>
      <c r="G6635" s="272" t="s">
        <v>1099</v>
      </c>
    </row>
    <row r="6636">
      <c r="B6636" s="31"/>
      <c r="G6636" s="272" t="s">
        <v>1099</v>
      </c>
    </row>
    <row r="6637">
      <c r="B6637" s="31"/>
      <c r="G6637" s="272" t="s">
        <v>1099</v>
      </c>
    </row>
    <row r="6638">
      <c r="B6638" s="31"/>
      <c r="G6638" s="272" t="s">
        <v>1099</v>
      </c>
    </row>
    <row r="6639">
      <c r="B6639" s="31"/>
      <c r="G6639" s="272" t="s">
        <v>1099</v>
      </c>
    </row>
    <row r="6640">
      <c r="B6640" s="31"/>
      <c r="G6640" s="272" t="s">
        <v>1099</v>
      </c>
    </row>
    <row r="6641">
      <c r="B6641" s="31"/>
      <c r="G6641" s="272" t="s">
        <v>1099</v>
      </c>
    </row>
    <row r="6642">
      <c r="B6642" s="31"/>
      <c r="G6642" s="272" t="s">
        <v>1099</v>
      </c>
    </row>
    <row r="6643">
      <c r="B6643" s="31"/>
      <c r="G6643" s="272" t="s">
        <v>1099</v>
      </c>
    </row>
    <row r="6644">
      <c r="B6644" s="31"/>
      <c r="G6644" s="272" t="s">
        <v>1099</v>
      </c>
    </row>
    <row r="6645">
      <c r="B6645" s="31"/>
      <c r="G6645" s="272" t="s">
        <v>1099</v>
      </c>
    </row>
    <row r="6646">
      <c r="B6646" s="31"/>
      <c r="G6646" s="272" t="s">
        <v>1099</v>
      </c>
    </row>
    <row r="6647">
      <c r="B6647" s="31"/>
      <c r="G6647" s="272" t="s">
        <v>1099</v>
      </c>
    </row>
    <row r="6648">
      <c r="B6648" s="31"/>
      <c r="G6648" s="272" t="s">
        <v>1099</v>
      </c>
    </row>
    <row r="6649">
      <c r="B6649" s="31"/>
      <c r="G6649" s="272" t="s">
        <v>1099</v>
      </c>
    </row>
    <row r="6650">
      <c r="B6650" s="31"/>
      <c r="G6650" s="272" t="s">
        <v>1099</v>
      </c>
    </row>
    <row r="6651">
      <c r="B6651" s="31"/>
      <c r="G6651" s="272" t="s">
        <v>1099</v>
      </c>
    </row>
    <row r="6652">
      <c r="B6652" s="31"/>
      <c r="G6652" s="272" t="s">
        <v>1099</v>
      </c>
    </row>
    <row r="6653">
      <c r="B6653" s="31"/>
      <c r="G6653" s="272" t="s">
        <v>1099</v>
      </c>
    </row>
    <row r="6654">
      <c r="B6654" s="31"/>
      <c r="G6654" s="272" t="s">
        <v>1099</v>
      </c>
    </row>
    <row r="6655">
      <c r="B6655" s="31"/>
      <c r="G6655" s="272" t="s">
        <v>1099</v>
      </c>
    </row>
    <row r="6656">
      <c r="B6656" s="31"/>
      <c r="G6656" s="272" t="s">
        <v>1099</v>
      </c>
    </row>
    <row r="6657">
      <c r="B6657" s="31"/>
      <c r="G6657" s="272" t="s">
        <v>1099</v>
      </c>
    </row>
    <row r="6658">
      <c r="B6658" s="31"/>
      <c r="G6658" s="272" t="s">
        <v>1099</v>
      </c>
    </row>
    <row r="6659">
      <c r="B6659" s="31"/>
      <c r="G6659" s="272" t="s">
        <v>1099</v>
      </c>
    </row>
    <row r="6660">
      <c r="B6660" s="31"/>
      <c r="G6660" s="272" t="s">
        <v>1099</v>
      </c>
    </row>
    <row r="6661">
      <c r="B6661" s="31"/>
      <c r="G6661" s="272" t="s">
        <v>1099</v>
      </c>
    </row>
    <row r="6662">
      <c r="B6662" s="31"/>
      <c r="G6662" s="272" t="s">
        <v>1099</v>
      </c>
    </row>
    <row r="6663">
      <c r="B6663" s="31"/>
      <c r="G6663" s="272" t="s">
        <v>1099</v>
      </c>
    </row>
    <row r="6664">
      <c r="B6664" s="31"/>
      <c r="G6664" s="272" t="s">
        <v>1099</v>
      </c>
    </row>
    <row r="6665">
      <c r="B6665" s="31"/>
      <c r="G6665" s="272" t="s">
        <v>1099</v>
      </c>
    </row>
    <row r="6666">
      <c r="B6666" s="31"/>
      <c r="G6666" s="272" t="s">
        <v>1099</v>
      </c>
    </row>
    <row r="6667">
      <c r="B6667" s="31"/>
      <c r="G6667" s="272" t="s">
        <v>1099</v>
      </c>
    </row>
    <row r="6668">
      <c r="B6668" s="31"/>
      <c r="G6668" s="272" t="s">
        <v>1099</v>
      </c>
    </row>
    <row r="6669">
      <c r="B6669" s="31"/>
      <c r="G6669" s="272" t="s">
        <v>1099</v>
      </c>
    </row>
    <row r="6670">
      <c r="B6670" s="31"/>
      <c r="G6670" s="272" t="s">
        <v>1099</v>
      </c>
    </row>
    <row r="6671">
      <c r="B6671" s="31"/>
      <c r="G6671" s="272" t="s">
        <v>1099</v>
      </c>
    </row>
    <row r="6672">
      <c r="B6672" s="31"/>
      <c r="G6672" s="272" t="s">
        <v>1099</v>
      </c>
    </row>
    <row r="6673">
      <c r="B6673" s="31"/>
      <c r="G6673" s="272" t="s">
        <v>1099</v>
      </c>
    </row>
    <row r="6674">
      <c r="B6674" s="31"/>
      <c r="G6674" s="272" t="s">
        <v>1099</v>
      </c>
    </row>
    <row r="6675">
      <c r="B6675" s="31"/>
      <c r="G6675" s="272" t="s">
        <v>1099</v>
      </c>
    </row>
    <row r="6676">
      <c r="B6676" s="31"/>
      <c r="G6676" s="272" t="s">
        <v>1099</v>
      </c>
    </row>
    <row r="6677">
      <c r="B6677" s="31"/>
      <c r="G6677" s="272" t="s">
        <v>1099</v>
      </c>
    </row>
    <row r="6678">
      <c r="B6678" s="31"/>
      <c r="G6678" s="272" t="s">
        <v>1099</v>
      </c>
    </row>
    <row r="6679">
      <c r="B6679" s="31"/>
      <c r="G6679" s="272" t="s">
        <v>1099</v>
      </c>
    </row>
    <row r="6680">
      <c r="B6680" s="31"/>
      <c r="G6680" s="272" t="s">
        <v>1099</v>
      </c>
    </row>
    <row r="6681">
      <c r="B6681" s="31"/>
      <c r="G6681" s="272" t="s">
        <v>1099</v>
      </c>
    </row>
    <row r="6682">
      <c r="B6682" s="31"/>
      <c r="G6682" s="272" t="s">
        <v>1099</v>
      </c>
    </row>
    <row r="6683">
      <c r="B6683" s="31"/>
      <c r="G6683" s="272" t="s">
        <v>1099</v>
      </c>
    </row>
    <row r="6684">
      <c r="B6684" s="31"/>
      <c r="G6684" s="272" t="s">
        <v>1099</v>
      </c>
    </row>
    <row r="6685">
      <c r="B6685" s="31"/>
      <c r="G6685" s="272" t="s">
        <v>1099</v>
      </c>
    </row>
    <row r="6686">
      <c r="B6686" s="31"/>
      <c r="G6686" s="272" t="s">
        <v>1099</v>
      </c>
    </row>
    <row r="6687">
      <c r="B6687" s="31"/>
      <c r="G6687" s="272" t="s">
        <v>1099</v>
      </c>
    </row>
    <row r="6688">
      <c r="B6688" s="31"/>
      <c r="G6688" s="272" t="s">
        <v>1099</v>
      </c>
    </row>
    <row r="6689">
      <c r="B6689" s="31"/>
      <c r="G6689" s="272" t="s">
        <v>1099</v>
      </c>
    </row>
    <row r="6690">
      <c r="B6690" s="31"/>
      <c r="G6690" s="272" t="s">
        <v>1099</v>
      </c>
    </row>
    <row r="6691">
      <c r="B6691" s="31"/>
      <c r="G6691" s="272" t="s">
        <v>1099</v>
      </c>
    </row>
    <row r="6692">
      <c r="B6692" s="31"/>
      <c r="G6692" s="272" t="s">
        <v>1099</v>
      </c>
    </row>
    <row r="6693">
      <c r="B6693" s="31"/>
      <c r="G6693" s="272" t="s">
        <v>1099</v>
      </c>
    </row>
    <row r="6694">
      <c r="B6694" s="31"/>
      <c r="G6694" s="272" t="s">
        <v>1099</v>
      </c>
    </row>
    <row r="6695">
      <c r="B6695" s="31"/>
      <c r="G6695" s="272" t="s">
        <v>1099</v>
      </c>
    </row>
    <row r="6696">
      <c r="B6696" s="31"/>
      <c r="G6696" s="272" t="s">
        <v>1099</v>
      </c>
    </row>
    <row r="6697">
      <c r="B6697" s="31"/>
      <c r="G6697" s="272" t="s">
        <v>1099</v>
      </c>
    </row>
    <row r="6698">
      <c r="B6698" s="31"/>
      <c r="G6698" s="272" t="s">
        <v>1099</v>
      </c>
    </row>
    <row r="6699">
      <c r="B6699" s="31"/>
      <c r="G6699" s="272" t="s">
        <v>1099</v>
      </c>
    </row>
    <row r="6700">
      <c r="B6700" s="31"/>
      <c r="G6700" s="272" t="s">
        <v>1099</v>
      </c>
    </row>
    <row r="6701">
      <c r="B6701" s="31"/>
      <c r="G6701" s="272" t="s">
        <v>1099</v>
      </c>
    </row>
    <row r="6702">
      <c r="B6702" s="31"/>
      <c r="G6702" s="272" t="s">
        <v>1099</v>
      </c>
    </row>
    <row r="6703">
      <c r="B6703" s="31"/>
      <c r="G6703" s="272" t="s">
        <v>1099</v>
      </c>
    </row>
    <row r="6704">
      <c r="B6704" s="31"/>
      <c r="G6704" s="272" t="s">
        <v>1099</v>
      </c>
    </row>
    <row r="6705">
      <c r="B6705" s="31"/>
      <c r="G6705" s="272" t="s">
        <v>1099</v>
      </c>
    </row>
    <row r="6706">
      <c r="B6706" s="31"/>
      <c r="G6706" s="272" t="s">
        <v>1099</v>
      </c>
    </row>
    <row r="6707">
      <c r="B6707" s="31"/>
      <c r="G6707" s="272" t="s">
        <v>1099</v>
      </c>
    </row>
    <row r="6708">
      <c r="B6708" s="31"/>
      <c r="G6708" s="272" t="s">
        <v>1099</v>
      </c>
    </row>
    <row r="6709">
      <c r="B6709" s="31"/>
      <c r="G6709" s="272" t="s">
        <v>1099</v>
      </c>
    </row>
    <row r="6710">
      <c r="B6710" s="31"/>
      <c r="G6710" s="272" t="s">
        <v>1099</v>
      </c>
    </row>
    <row r="6711">
      <c r="B6711" s="31"/>
      <c r="G6711" s="272" t="s">
        <v>1099</v>
      </c>
    </row>
    <row r="6712">
      <c r="B6712" s="31"/>
      <c r="G6712" s="272" t="s">
        <v>1099</v>
      </c>
    </row>
    <row r="6713">
      <c r="B6713" s="31"/>
      <c r="G6713" s="272" t="s">
        <v>1099</v>
      </c>
    </row>
    <row r="6714">
      <c r="B6714" s="31"/>
      <c r="G6714" s="272" t="s">
        <v>1099</v>
      </c>
    </row>
    <row r="6715">
      <c r="B6715" s="31"/>
      <c r="G6715" s="272" t="s">
        <v>1099</v>
      </c>
    </row>
    <row r="6716">
      <c r="B6716" s="31"/>
      <c r="G6716" s="272" t="s">
        <v>1099</v>
      </c>
    </row>
    <row r="6717">
      <c r="B6717" s="31"/>
      <c r="G6717" s="272" t="s">
        <v>1099</v>
      </c>
    </row>
    <row r="6718">
      <c r="B6718" s="31"/>
      <c r="G6718" s="272" t="s">
        <v>1099</v>
      </c>
    </row>
    <row r="6719">
      <c r="B6719" s="31"/>
      <c r="G6719" s="272" t="s">
        <v>1099</v>
      </c>
    </row>
    <row r="6720">
      <c r="B6720" s="31"/>
      <c r="G6720" s="272" t="s">
        <v>1099</v>
      </c>
    </row>
    <row r="6721">
      <c r="B6721" s="31"/>
      <c r="G6721" s="272" t="s">
        <v>1099</v>
      </c>
    </row>
    <row r="6722">
      <c r="B6722" s="31"/>
      <c r="G6722" s="272" t="s">
        <v>1099</v>
      </c>
    </row>
    <row r="6723">
      <c r="B6723" s="31"/>
      <c r="G6723" s="272" t="s">
        <v>1099</v>
      </c>
    </row>
    <row r="6724">
      <c r="B6724" s="31"/>
      <c r="G6724" s="272" t="s">
        <v>1099</v>
      </c>
    </row>
    <row r="6725">
      <c r="B6725" s="31"/>
      <c r="G6725" s="272" t="s">
        <v>1099</v>
      </c>
    </row>
    <row r="6726">
      <c r="B6726" s="31"/>
      <c r="G6726" s="272" t="s">
        <v>1099</v>
      </c>
    </row>
    <row r="6727">
      <c r="B6727" s="31"/>
      <c r="G6727" s="272" t="s">
        <v>1099</v>
      </c>
    </row>
    <row r="6728">
      <c r="B6728" s="31"/>
      <c r="G6728" s="272" t="s">
        <v>1099</v>
      </c>
    </row>
    <row r="6729">
      <c r="B6729" s="31"/>
      <c r="G6729" s="272" t="s">
        <v>1099</v>
      </c>
    </row>
    <row r="6730">
      <c r="B6730" s="31"/>
      <c r="G6730" s="272" t="s">
        <v>1099</v>
      </c>
    </row>
    <row r="6731">
      <c r="B6731" s="31"/>
      <c r="G6731" s="272" t="s">
        <v>1099</v>
      </c>
    </row>
    <row r="6732">
      <c r="B6732" s="31"/>
      <c r="G6732" s="272" t="s">
        <v>1099</v>
      </c>
    </row>
    <row r="6733">
      <c r="B6733" s="31"/>
      <c r="G6733" s="272" t="s">
        <v>1099</v>
      </c>
    </row>
    <row r="6734">
      <c r="B6734" s="31"/>
      <c r="G6734" s="272" t="s">
        <v>1099</v>
      </c>
    </row>
    <row r="6735">
      <c r="B6735" s="31"/>
      <c r="G6735" s="272" t="s">
        <v>1099</v>
      </c>
    </row>
    <row r="6736">
      <c r="B6736" s="31"/>
      <c r="G6736" s="272" t="s">
        <v>1099</v>
      </c>
    </row>
    <row r="6737">
      <c r="B6737" s="31"/>
      <c r="G6737" s="272" t="s">
        <v>1099</v>
      </c>
    </row>
    <row r="6738">
      <c r="B6738" s="31"/>
      <c r="G6738" s="272" t="s">
        <v>1099</v>
      </c>
    </row>
    <row r="6739">
      <c r="B6739" s="31"/>
      <c r="G6739" s="272" t="s">
        <v>1099</v>
      </c>
    </row>
    <row r="6740">
      <c r="B6740" s="31"/>
      <c r="G6740" s="272" t="s">
        <v>1099</v>
      </c>
    </row>
    <row r="6741">
      <c r="B6741" s="31"/>
      <c r="G6741" s="272" t="s">
        <v>1099</v>
      </c>
    </row>
    <row r="6742">
      <c r="B6742" s="31"/>
      <c r="G6742" s="272" t="s">
        <v>1099</v>
      </c>
    </row>
    <row r="6743">
      <c r="B6743" s="31"/>
      <c r="G6743" s="272" t="s">
        <v>1099</v>
      </c>
    </row>
    <row r="6744">
      <c r="B6744" s="31"/>
      <c r="G6744" s="272" t="s">
        <v>1099</v>
      </c>
    </row>
    <row r="6745">
      <c r="B6745" s="31"/>
      <c r="G6745" s="272" t="s">
        <v>1099</v>
      </c>
    </row>
    <row r="6746">
      <c r="B6746" s="31"/>
      <c r="G6746" s="272" t="s">
        <v>1099</v>
      </c>
    </row>
    <row r="6747">
      <c r="B6747" s="31"/>
      <c r="G6747" s="272" t="s">
        <v>1099</v>
      </c>
    </row>
    <row r="6748">
      <c r="B6748" s="31"/>
      <c r="G6748" s="272" t="s">
        <v>1099</v>
      </c>
    </row>
    <row r="6749">
      <c r="B6749" s="31"/>
      <c r="G6749" s="272" t="s">
        <v>1099</v>
      </c>
    </row>
    <row r="6750">
      <c r="B6750" s="31"/>
      <c r="G6750" s="272" t="s">
        <v>1099</v>
      </c>
    </row>
    <row r="6751">
      <c r="B6751" s="31"/>
      <c r="G6751" s="272" t="s">
        <v>1099</v>
      </c>
    </row>
    <row r="6752">
      <c r="B6752" s="31"/>
      <c r="G6752" s="272" t="s">
        <v>1099</v>
      </c>
    </row>
    <row r="6753">
      <c r="B6753" s="31"/>
      <c r="G6753" s="272" t="s">
        <v>1099</v>
      </c>
    </row>
    <row r="6754">
      <c r="B6754" s="31"/>
      <c r="G6754" s="272" t="s">
        <v>1099</v>
      </c>
    </row>
    <row r="6755">
      <c r="B6755" s="31"/>
      <c r="G6755" s="272" t="s">
        <v>1099</v>
      </c>
    </row>
    <row r="6756">
      <c r="B6756" s="31"/>
      <c r="G6756" s="272" t="s">
        <v>1099</v>
      </c>
    </row>
    <row r="6757">
      <c r="B6757" s="31"/>
      <c r="G6757" s="272" t="s">
        <v>1099</v>
      </c>
    </row>
    <row r="6758">
      <c r="B6758" s="31"/>
      <c r="G6758" s="272" t="s">
        <v>1099</v>
      </c>
    </row>
    <row r="6759">
      <c r="B6759" s="31"/>
      <c r="G6759" s="272" t="s">
        <v>1099</v>
      </c>
    </row>
    <row r="6760">
      <c r="B6760" s="31"/>
      <c r="G6760" s="272" t="s">
        <v>1099</v>
      </c>
    </row>
    <row r="6761">
      <c r="B6761" s="31"/>
      <c r="G6761" s="272" t="s">
        <v>1099</v>
      </c>
    </row>
    <row r="6762">
      <c r="B6762" s="31"/>
      <c r="G6762" s="272" t="s">
        <v>1099</v>
      </c>
    </row>
    <row r="6763">
      <c r="B6763" s="31"/>
      <c r="G6763" s="272" t="s">
        <v>1099</v>
      </c>
    </row>
    <row r="6764">
      <c r="B6764" s="31"/>
      <c r="G6764" s="272" t="s">
        <v>1099</v>
      </c>
    </row>
    <row r="6765">
      <c r="B6765" s="31"/>
      <c r="G6765" s="272" t="s">
        <v>1099</v>
      </c>
    </row>
    <row r="6766">
      <c r="B6766" s="31"/>
      <c r="G6766" s="272" t="s">
        <v>1099</v>
      </c>
    </row>
    <row r="6767">
      <c r="B6767" s="31"/>
      <c r="G6767" s="272" t="s">
        <v>1099</v>
      </c>
    </row>
    <row r="6768">
      <c r="B6768" s="31"/>
      <c r="G6768" s="272" t="s">
        <v>1099</v>
      </c>
    </row>
    <row r="6769">
      <c r="B6769" s="31"/>
      <c r="G6769" s="272" t="s">
        <v>1099</v>
      </c>
    </row>
    <row r="6770">
      <c r="B6770" s="31"/>
      <c r="G6770" s="272" t="s">
        <v>1099</v>
      </c>
    </row>
    <row r="6771">
      <c r="B6771" s="31"/>
      <c r="G6771" s="272" t="s">
        <v>1099</v>
      </c>
    </row>
    <row r="6772">
      <c r="B6772" s="31"/>
      <c r="G6772" s="272" t="s">
        <v>1099</v>
      </c>
    </row>
    <row r="6773">
      <c r="B6773" s="31"/>
      <c r="G6773" s="272" t="s">
        <v>1099</v>
      </c>
    </row>
    <row r="6774">
      <c r="B6774" s="31"/>
      <c r="G6774" s="272" t="s">
        <v>1099</v>
      </c>
    </row>
    <row r="6775">
      <c r="B6775" s="31"/>
      <c r="G6775" s="272" t="s">
        <v>1099</v>
      </c>
    </row>
    <row r="6776">
      <c r="B6776" s="31"/>
      <c r="G6776" s="272" t="s">
        <v>1099</v>
      </c>
    </row>
    <row r="6777">
      <c r="B6777" s="31"/>
      <c r="G6777" s="272" t="s">
        <v>1099</v>
      </c>
    </row>
    <row r="6778">
      <c r="B6778" s="31"/>
      <c r="G6778" s="272" t="s">
        <v>1099</v>
      </c>
    </row>
    <row r="6779">
      <c r="B6779" s="31"/>
      <c r="G6779" s="272" t="s">
        <v>1099</v>
      </c>
    </row>
    <row r="6780">
      <c r="B6780" s="31"/>
      <c r="G6780" s="272" t="s">
        <v>1099</v>
      </c>
    </row>
    <row r="6781">
      <c r="B6781" s="31"/>
      <c r="G6781" s="272" t="s">
        <v>1099</v>
      </c>
    </row>
    <row r="6782">
      <c r="B6782" s="31"/>
      <c r="G6782" s="272" t="s">
        <v>1099</v>
      </c>
    </row>
    <row r="6783">
      <c r="B6783" s="31"/>
      <c r="G6783" s="272" t="s">
        <v>1099</v>
      </c>
    </row>
    <row r="6784">
      <c r="B6784" s="31"/>
      <c r="G6784" s="272" t="s">
        <v>1099</v>
      </c>
    </row>
    <row r="6785">
      <c r="B6785" s="31"/>
      <c r="G6785" s="272" t="s">
        <v>1099</v>
      </c>
    </row>
    <row r="6786">
      <c r="B6786" s="31"/>
      <c r="G6786" s="272" t="s">
        <v>1099</v>
      </c>
    </row>
    <row r="6787">
      <c r="B6787" s="31"/>
      <c r="G6787" s="272" t="s">
        <v>1099</v>
      </c>
    </row>
    <row r="6788">
      <c r="B6788" s="31"/>
      <c r="G6788" s="272" t="s">
        <v>1099</v>
      </c>
    </row>
    <row r="6789">
      <c r="B6789" s="31"/>
      <c r="G6789" s="272" t="s">
        <v>1099</v>
      </c>
    </row>
    <row r="6790">
      <c r="B6790" s="31"/>
      <c r="G6790" s="272" t="s">
        <v>1099</v>
      </c>
    </row>
    <row r="6791">
      <c r="B6791" s="31"/>
      <c r="G6791" s="272" t="s">
        <v>1099</v>
      </c>
    </row>
    <row r="6792">
      <c r="B6792" s="31"/>
      <c r="G6792" s="272" t="s">
        <v>1099</v>
      </c>
    </row>
    <row r="6793">
      <c r="B6793" s="31"/>
      <c r="G6793" s="272" t="s">
        <v>1099</v>
      </c>
    </row>
    <row r="6794">
      <c r="B6794" s="31"/>
      <c r="G6794" s="272" t="s">
        <v>1099</v>
      </c>
    </row>
    <row r="6795">
      <c r="B6795" s="31"/>
      <c r="G6795" s="272" t="s">
        <v>1099</v>
      </c>
    </row>
    <row r="6796">
      <c r="B6796" s="31"/>
      <c r="G6796" s="272" t="s">
        <v>1099</v>
      </c>
    </row>
    <row r="6797">
      <c r="B6797" s="31"/>
      <c r="G6797" s="272" t="s">
        <v>1099</v>
      </c>
    </row>
    <row r="6798">
      <c r="B6798" s="31"/>
      <c r="G6798" s="272" t="s">
        <v>1099</v>
      </c>
    </row>
    <row r="6799">
      <c r="B6799" s="31"/>
      <c r="G6799" s="272" t="s">
        <v>1099</v>
      </c>
    </row>
    <row r="6800">
      <c r="B6800" s="31"/>
      <c r="G6800" s="272" t="s">
        <v>1099</v>
      </c>
    </row>
    <row r="6801">
      <c r="B6801" s="31"/>
      <c r="G6801" s="272" t="s">
        <v>1099</v>
      </c>
    </row>
    <row r="6802">
      <c r="B6802" s="31"/>
      <c r="G6802" s="272" t="s">
        <v>1099</v>
      </c>
    </row>
    <row r="6803">
      <c r="B6803" s="31"/>
      <c r="G6803" s="272" t="s">
        <v>1099</v>
      </c>
    </row>
    <row r="6804">
      <c r="B6804" s="31"/>
      <c r="G6804" s="272" t="s">
        <v>1099</v>
      </c>
    </row>
    <row r="6805">
      <c r="B6805" s="31"/>
      <c r="G6805" s="272" t="s">
        <v>1099</v>
      </c>
    </row>
    <row r="6806">
      <c r="B6806" s="31"/>
      <c r="G6806" s="272" t="s">
        <v>1099</v>
      </c>
    </row>
    <row r="6807">
      <c r="B6807" s="31"/>
      <c r="G6807" s="272" t="s">
        <v>1099</v>
      </c>
    </row>
    <row r="6808">
      <c r="B6808" s="31"/>
      <c r="G6808" s="272" t="s">
        <v>1099</v>
      </c>
    </row>
    <row r="6809">
      <c r="B6809" s="31"/>
      <c r="G6809" s="272" t="s">
        <v>1099</v>
      </c>
    </row>
    <row r="6810">
      <c r="B6810" s="31"/>
      <c r="G6810" s="272" t="s">
        <v>1099</v>
      </c>
    </row>
    <row r="6811">
      <c r="B6811" s="31"/>
      <c r="G6811" s="272" t="s">
        <v>1099</v>
      </c>
    </row>
    <row r="6812">
      <c r="B6812" s="31"/>
      <c r="G6812" s="272" t="s">
        <v>1099</v>
      </c>
    </row>
    <row r="6813">
      <c r="B6813" s="31"/>
      <c r="G6813" s="272" t="s">
        <v>1099</v>
      </c>
    </row>
    <row r="6814">
      <c r="B6814" s="31"/>
      <c r="G6814" s="272" t="s">
        <v>1099</v>
      </c>
    </row>
    <row r="6815">
      <c r="B6815" s="31"/>
      <c r="G6815" s="272" t="s">
        <v>1099</v>
      </c>
    </row>
    <row r="6816">
      <c r="B6816" s="31"/>
      <c r="G6816" s="272" t="s">
        <v>1099</v>
      </c>
    </row>
    <row r="6817">
      <c r="B6817" s="31"/>
      <c r="G6817" s="272" t="s">
        <v>1099</v>
      </c>
    </row>
    <row r="6818">
      <c r="B6818" s="31"/>
      <c r="G6818" s="272" t="s">
        <v>1099</v>
      </c>
    </row>
    <row r="6819">
      <c r="B6819" s="31"/>
      <c r="G6819" s="272" t="s">
        <v>1099</v>
      </c>
    </row>
    <row r="6820">
      <c r="B6820" s="31"/>
      <c r="G6820" s="272" t="s">
        <v>1099</v>
      </c>
    </row>
    <row r="6821">
      <c r="B6821" s="31"/>
      <c r="G6821" s="272" t="s">
        <v>1099</v>
      </c>
    </row>
    <row r="6822">
      <c r="B6822" s="31"/>
      <c r="G6822" s="272" t="s">
        <v>1099</v>
      </c>
    </row>
    <row r="6823">
      <c r="B6823" s="31"/>
      <c r="G6823" s="272" t="s">
        <v>1099</v>
      </c>
    </row>
    <row r="6824">
      <c r="B6824" s="31"/>
      <c r="G6824" s="272" t="s">
        <v>1099</v>
      </c>
    </row>
    <row r="6825">
      <c r="B6825" s="31"/>
      <c r="G6825" s="272" t="s">
        <v>1099</v>
      </c>
    </row>
    <row r="6826">
      <c r="B6826" s="31"/>
      <c r="G6826" s="272" t="s">
        <v>1099</v>
      </c>
    </row>
    <row r="6827">
      <c r="B6827" s="31"/>
      <c r="G6827" s="272" t="s">
        <v>1099</v>
      </c>
    </row>
    <row r="6828">
      <c r="B6828" s="31"/>
      <c r="G6828" s="272" t="s">
        <v>1099</v>
      </c>
    </row>
    <row r="6829">
      <c r="B6829" s="31"/>
      <c r="G6829" s="272" t="s">
        <v>1099</v>
      </c>
    </row>
    <row r="6830">
      <c r="B6830" s="31"/>
      <c r="G6830" s="272" t="s">
        <v>1099</v>
      </c>
    </row>
    <row r="6831">
      <c r="B6831" s="31"/>
      <c r="G6831" s="272" t="s">
        <v>1099</v>
      </c>
    </row>
    <row r="6832">
      <c r="B6832" s="31"/>
      <c r="G6832" s="272" t="s">
        <v>1099</v>
      </c>
    </row>
    <row r="6833">
      <c r="B6833" s="31"/>
      <c r="G6833" s="272" t="s">
        <v>1099</v>
      </c>
    </row>
    <row r="6834">
      <c r="B6834" s="31"/>
      <c r="G6834" s="272" t="s">
        <v>1099</v>
      </c>
    </row>
    <row r="6835">
      <c r="B6835" s="31"/>
      <c r="G6835" s="272" t="s">
        <v>1099</v>
      </c>
    </row>
    <row r="6836">
      <c r="B6836" s="31"/>
      <c r="G6836" s="272" t="s">
        <v>1099</v>
      </c>
    </row>
    <row r="6837">
      <c r="B6837" s="31"/>
      <c r="G6837" s="272" t="s">
        <v>1099</v>
      </c>
    </row>
    <row r="6838">
      <c r="B6838" s="31"/>
      <c r="G6838" s="272" t="s">
        <v>1099</v>
      </c>
    </row>
    <row r="6839">
      <c r="B6839" s="31"/>
      <c r="G6839" s="272" t="s">
        <v>1099</v>
      </c>
    </row>
    <row r="6840">
      <c r="B6840" s="31"/>
      <c r="G6840" s="272" t="s">
        <v>1099</v>
      </c>
    </row>
    <row r="6841">
      <c r="B6841" s="31"/>
      <c r="G6841" s="272" t="s">
        <v>1099</v>
      </c>
    </row>
    <row r="6842">
      <c r="B6842" s="31"/>
      <c r="G6842" s="272" t="s">
        <v>1099</v>
      </c>
    </row>
    <row r="6843">
      <c r="B6843" s="31"/>
      <c r="G6843" s="272" t="s">
        <v>1099</v>
      </c>
    </row>
    <row r="6844">
      <c r="B6844" s="31"/>
      <c r="G6844" s="272" t="s">
        <v>1099</v>
      </c>
    </row>
    <row r="6845">
      <c r="B6845" s="31"/>
      <c r="G6845" s="272" t="s">
        <v>1099</v>
      </c>
    </row>
    <row r="6846">
      <c r="B6846" s="31"/>
      <c r="G6846" s="272" t="s">
        <v>1099</v>
      </c>
    </row>
    <row r="6847">
      <c r="B6847" s="31"/>
      <c r="G6847" s="272" t="s">
        <v>1099</v>
      </c>
    </row>
    <row r="6848">
      <c r="B6848" s="31"/>
      <c r="G6848" s="272" t="s">
        <v>1099</v>
      </c>
    </row>
    <row r="6849">
      <c r="B6849" s="31"/>
      <c r="G6849" s="272" t="s">
        <v>1099</v>
      </c>
    </row>
    <row r="6850">
      <c r="B6850" s="31"/>
      <c r="G6850" s="272" t="s">
        <v>1099</v>
      </c>
    </row>
    <row r="6851">
      <c r="B6851" s="31"/>
      <c r="G6851" s="272" t="s">
        <v>1099</v>
      </c>
    </row>
    <row r="6852">
      <c r="B6852" s="31"/>
      <c r="G6852" s="272" t="s">
        <v>1099</v>
      </c>
    </row>
    <row r="6853">
      <c r="B6853" s="31"/>
      <c r="G6853" s="272" t="s">
        <v>1099</v>
      </c>
    </row>
    <row r="6854">
      <c r="B6854" s="31"/>
      <c r="G6854" s="272" t="s">
        <v>1099</v>
      </c>
    </row>
    <row r="6855">
      <c r="B6855" s="31"/>
      <c r="G6855" s="272" t="s">
        <v>1099</v>
      </c>
    </row>
    <row r="6856">
      <c r="B6856" s="31"/>
      <c r="G6856" s="272" t="s">
        <v>1099</v>
      </c>
    </row>
    <row r="6857">
      <c r="B6857" s="31"/>
      <c r="G6857" s="272" t="s">
        <v>1099</v>
      </c>
    </row>
    <row r="6858">
      <c r="B6858" s="31"/>
      <c r="G6858" s="272" t="s">
        <v>1099</v>
      </c>
    </row>
    <row r="6859">
      <c r="B6859" s="31"/>
      <c r="G6859" s="272" t="s">
        <v>1099</v>
      </c>
    </row>
    <row r="6860">
      <c r="B6860" s="31"/>
      <c r="G6860" s="272" t="s">
        <v>1099</v>
      </c>
    </row>
    <row r="6861">
      <c r="B6861" s="31"/>
      <c r="G6861" s="272" t="s">
        <v>1099</v>
      </c>
    </row>
    <row r="6862">
      <c r="B6862" s="31"/>
      <c r="G6862" s="272" t="s">
        <v>1099</v>
      </c>
    </row>
    <row r="6863">
      <c r="B6863" s="31"/>
      <c r="G6863" s="272" t="s">
        <v>1099</v>
      </c>
    </row>
    <row r="6864">
      <c r="B6864" s="31"/>
      <c r="G6864" s="272" t="s">
        <v>1099</v>
      </c>
    </row>
    <row r="6865">
      <c r="B6865" s="31"/>
      <c r="G6865" s="272" t="s">
        <v>1099</v>
      </c>
    </row>
    <row r="6866">
      <c r="B6866" s="31"/>
      <c r="G6866" s="272" t="s">
        <v>1099</v>
      </c>
    </row>
    <row r="6867">
      <c r="B6867" s="31"/>
      <c r="G6867" s="272" t="s">
        <v>1099</v>
      </c>
    </row>
    <row r="6868">
      <c r="B6868" s="31"/>
      <c r="G6868" s="272" t="s">
        <v>1099</v>
      </c>
    </row>
    <row r="6869">
      <c r="B6869" s="31"/>
      <c r="G6869" s="272" t="s">
        <v>1099</v>
      </c>
    </row>
    <row r="6870">
      <c r="B6870" s="31"/>
      <c r="G6870" s="272" t="s">
        <v>1099</v>
      </c>
    </row>
    <row r="6871">
      <c r="B6871" s="31"/>
      <c r="G6871" s="272" t="s">
        <v>1099</v>
      </c>
    </row>
    <row r="6872">
      <c r="B6872" s="31"/>
      <c r="G6872" s="272" t="s">
        <v>1099</v>
      </c>
    </row>
    <row r="6873">
      <c r="B6873" s="31"/>
      <c r="G6873" s="272" t="s">
        <v>1099</v>
      </c>
    </row>
    <row r="6874">
      <c r="B6874" s="31"/>
      <c r="G6874" s="272" t="s">
        <v>1099</v>
      </c>
    </row>
    <row r="6875">
      <c r="B6875" s="31"/>
      <c r="G6875" s="272" t="s">
        <v>1099</v>
      </c>
    </row>
    <row r="6876">
      <c r="B6876" s="31"/>
      <c r="G6876" s="272" t="s">
        <v>1099</v>
      </c>
    </row>
    <row r="6877">
      <c r="B6877" s="31"/>
      <c r="G6877" s="272" t="s">
        <v>1099</v>
      </c>
    </row>
    <row r="6878">
      <c r="B6878" s="31"/>
      <c r="G6878" s="272" t="s">
        <v>1099</v>
      </c>
    </row>
    <row r="6879">
      <c r="B6879" s="31"/>
      <c r="G6879" s="272" t="s">
        <v>1099</v>
      </c>
    </row>
    <row r="6880">
      <c r="B6880" s="31"/>
      <c r="G6880" s="272" t="s">
        <v>1099</v>
      </c>
    </row>
    <row r="6881">
      <c r="B6881" s="31"/>
      <c r="G6881" s="272" t="s">
        <v>1099</v>
      </c>
    </row>
    <row r="6882">
      <c r="B6882" s="31"/>
      <c r="G6882" s="272" t="s">
        <v>1099</v>
      </c>
    </row>
    <row r="6883">
      <c r="B6883" s="31"/>
      <c r="G6883" s="272" t="s">
        <v>1099</v>
      </c>
    </row>
    <row r="6884">
      <c r="B6884" s="31"/>
      <c r="G6884" s="272" t="s">
        <v>1099</v>
      </c>
    </row>
    <row r="6885">
      <c r="B6885" s="31"/>
      <c r="G6885" s="272" t="s">
        <v>1099</v>
      </c>
    </row>
    <row r="6886">
      <c r="B6886" s="31"/>
      <c r="G6886" s="272" t="s">
        <v>1099</v>
      </c>
    </row>
    <row r="6887">
      <c r="B6887" s="31"/>
      <c r="G6887" s="272" t="s">
        <v>1099</v>
      </c>
    </row>
    <row r="6888">
      <c r="B6888" s="31"/>
      <c r="G6888" s="272" t="s">
        <v>1099</v>
      </c>
    </row>
    <row r="6889">
      <c r="B6889" s="31"/>
      <c r="G6889" s="272" t="s">
        <v>1099</v>
      </c>
    </row>
    <row r="6890">
      <c r="B6890" s="31"/>
      <c r="G6890" s="272" t="s">
        <v>1099</v>
      </c>
    </row>
    <row r="6891">
      <c r="B6891" s="31"/>
      <c r="G6891" s="272" t="s">
        <v>1099</v>
      </c>
    </row>
    <row r="6892">
      <c r="B6892" s="31"/>
      <c r="G6892" s="272" t="s">
        <v>1099</v>
      </c>
    </row>
    <row r="6893">
      <c r="B6893" s="31"/>
      <c r="G6893" s="272" t="s">
        <v>1099</v>
      </c>
    </row>
    <row r="6894">
      <c r="B6894" s="31"/>
      <c r="G6894" s="272" t="s">
        <v>1099</v>
      </c>
    </row>
    <row r="6895">
      <c r="B6895" s="31"/>
      <c r="G6895" s="272" t="s">
        <v>1099</v>
      </c>
    </row>
    <row r="6896">
      <c r="B6896" s="31"/>
      <c r="G6896" s="272" t="s">
        <v>1099</v>
      </c>
    </row>
    <row r="6897">
      <c r="B6897" s="31"/>
      <c r="G6897" s="272" t="s">
        <v>1099</v>
      </c>
    </row>
    <row r="6898">
      <c r="B6898" s="31"/>
      <c r="G6898" s="272" t="s">
        <v>1099</v>
      </c>
    </row>
    <row r="6899">
      <c r="B6899" s="31"/>
      <c r="G6899" s="272" t="s">
        <v>1099</v>
      </c>
    </row>
    <row r="6900">
      <c r="B6900" s="31"/>
      <c r="G6900" s="272" t="s">
        <v>1099</v>
      </c>
    </row>
    <row r="6901">
      <c r="B6901" s="31"/>
      <c r="G6901" s="272" t="s">
        <v>1099</v>
      </c>
    </row>
    <row r="6902">
      <c r="B6902" s="31"/>
      <c r="G6902" s="272" t="s">
        <v>1099</v>
      </c>
    </row>
    <row r="6903">
      <c r="B6903" s="31"/>
      <c r="G6903" s="272" t="s">
        <v>1099</v>
      </c>
    </row>
    <row r="6904">
      <c r="B6904" s="31"/>
      <c r="G6904" s="272" t="s">
        <v>1099</v>
      </c>
    </row>
    <row r="6905">
      <c r="B6905" s="31"/>
      <c r="G6905" s="272" t="s">
        <v>1099</v>
      </c>
    </row>
    <row r="6906">
      <c r="B6906" s="31"/>
      <c r="G6906" s="272" t="s">
        <v>1099</v>
      </c>
    </row>
    <row r="6907">
      <c r="B6907" s="31"/>
      <c r="G6907" s="272" t="s">
        <v>1099</v>
      </c>
    </row>
    <row r="6908">
      <c r="B6908" s="31"/>
      <c r="G6908" s="272" t="s">
        <v>1099</v>
      </c>
    </row>
    <row r="6909">
      <c r="B6909" s="31"/>
      <c r="G6909" s="272" t="s">
        <v>1099</v>
      </c>
    </row>
    <row r="6910">
      <c r="B6910" s="31"/>
      <c r="G6910" s="272" t="s">
        <v>1099</v>
      </c>
    </row>
    <row r="6911">
      <c r="B6911" s="31"/>
      <c r="G6911" s="272" t="s">
        <v>1099</v>
      </c>
    </row>
    <row r="6912">
      <c r="B6912" s="31"/>
      <c r="G6912" s="272" t="s">
        <v>1099</v>
      </c>
    </row>
    <row r="6913">
      <c r="B6913" s="31"/>
      <c r="G6913" s="272" t="s">
        <v>1099</v>
      </c>
    </row>
    <row r="6914">
      <c r="B6914" s="31"/>
      <c r="G6914" s="272" t="s">
        <v>1099</v>
      </c>
    </row>
    <row r="6915">
      <c r="B6915" s="31"/>
      <c r="G6915" s="272" t="s">
        <v>1099</v>
      </c>
    </row>
    <row r="6916">
      <c r="B6916" s="31"/>
      <c r="G6916" s="272" t="s">
        <v>1099</v>
      </c>
    </row>
    <row r="6917">
      <c r="B6917" s="31"/>
      <c r="G6917" s="272" t="s">
        <v>1099</v>
      </c>
    </row>
    <row r="6918">
      <c r="B6918" s="31"/>
      <c r="G6918" s="272" t="s">
        <v>1099</v>
      </c>
    </row>
    <row r="6919">
      <c r="B6919" s="31"/>
      <c r="G6919" s="272" t="s">
        <v>1099</v>
      </c>
    </row>
    <row r="6920">
      <c r="B6920" s="31"/>
      <c r="G6920" s="272" t="s">
        <v>1099</v>
      </c>
    </row>
    <row r="6921">
      <c r="B6921" s="31"/>
      <c r="G6921" s="272" t="s">
        <v>1099</v>
      </c>
    </row>
    <row r="6922">
      <c r="B6922" s="31"/>
      <c r="G6922" s="272" t="s">
        <v>1099</v>
      </c>
    </row>
    <row r="6923">
      <c r="B6923" s="31"/>
      <c r="G6923" s="272" t="s">
        <v>1099</v>
      </c>
    </row>
    <row r="6924">
      <c r="B6924" s="31"/>
      <c r="G6924" s="272" t="s">
        <v>1099</v>
      </c>
    </row>
    <row r="6925">
      <c r="B6925" s="31"/>
      <c r="G6925" s="272" t="s">
        <v>1099</v>
      </c>
    </row>
    <row r="6926">
      <c r="B6926" s="31"/>
      <c r="G6926" s="272" t="s">
        <v>1099</v>
      </c>
    </row>
    <row r="6927">
      <c r="B6927" s="31"/>
      <c r="G6927" s="272" t="s">
        <v>1099</v>
      </c>
    </row>
    <row r="6928">
      <c r="B6928" s="31"/>
      <c r="G6928" s="272" t="s">
        <v>1099</v>
      </c>
    </row>
    <row r="6929">
      <c r="B6929" s="31"/>
      <c r="G6929" s="272" t="s">
        <v>1099</v>
      </c>
    </row>
    <row r="6930">
      <c r="B6930" s="31"/>
      <c r="G6930" s="272" t="s">
        <v>1099</v>
      </c>
    </row>
    <row r="6931">
      <c r="B6931" s="31"/>
      <c r="G6931" s="272" t="s">
        <v>1099</v>
      </c>
    </row>
    <row r="6932">
      <c r="B6932" s="31"/>
      <c r="G6932" s="272" t="s">
        <v>1099</v>
      </c>
    </row>
    <row r="6933">
      <c r="B6933" s="31"/>
      <c r="G6933" s="272" t="s">
        <v>1099</v>
      </c>
    </row>
    <row r="6934">
      <c r="B6934" s="31"/>
      <c r="G6934" s="272" t="s">
        <v>1099</v>
      </c>
    </row>
    <row r="6935">
      <c r="B6935" s="31"/>
      <c r="G6935" s="272" t="s">
        <v>1099</v>
      </c>
    </row>
    <row r="6936">
      <c r="B6936" s="31"/>
      <c r="G6936" s="272" t="s">
        <v>1099</v>
      </c>
    </row>
    <row r="6937">
      <c r="B6937" s="31"/>
      <c r="G6937" s="272" t="s">
        <v>1099</v>
      </c>
    </row>
    <row r="6938">
      <c r="B6938" s="31"/>
      <c r="G6938" s="272" t="s">
        <v>1099</v>
      </c>
    </row>
    <row r="6939">
      <c r="B6939" s="31"/>
      <c r="G6939" s="272" t="s">
        <v>1099</v>
      </c>
    </row>
    <row r="6940">
      <c r="B6940" s="31"/>
      <c r="G6940" s="272" t="s">
        <v>1099</v>
      </c>
    </row>
    <row r="6941">
      <c r="B6941" s="31"/>
      <c r="G6941" s="272" t="s">
        <v>1099</v>
      </c>
    </row>
    <row r="6942">
      <c r="B6942" s="31"/>
      <c r="G6942" s="272" t="s">
        <v>1099</v>
      </c>
    </row>
    <row r="6943">
      <c r="B6943" s="31"/>
      <c r="G6943" s="272" t="s">
        <v>1099</v>
      </c>
    </row>
    <row r="6944">
      <c r="B6944" s="31"/>
      <c r="G6944" s="272" t="s">
        <v>1099</v>
      </c>
    </row>
    <row r="6945">
      <c r="B6945" s="31"/>
      <c r="G6945" s="272" t="s">
        <v>1099</v>
      </c>
    </row>
    <row r="6946">
      <c r="B6946" s="31"/>
      <c r="G6946" s="272" t="s">
        <v>1099</v>
      </c>
    </row>
    <row r="6947">
      <c r="B6947" s="31"/>
      <c r="G6947" s="272" t="s">
        <v>1099</v>
      </c>
    </row>
    <row r="6948">
      <c r="B6948" s="31"/>
      <c r="G6948" s="272" t="s">
        <v>1099</v>
      </c>
    </row>
    <row r="6949">
      <c r="B6949" s="31"/>
      <c r="G6949" s="272" t="s">
        <v>1099</v>
      </c>
    </row>
    <row r="6950">
      <c r="B6950" s="31"/>
      <c r="G6950" s="272" t="s">
        <v>1099</v>
      </c>
    </row>
    <row r="6951">
      <c r="B6951" s="31"/>
      <c r="G6951" s="272" t="s">
        <v>1099</v>
      </c>
    </row>
    <row r="6952">
      <c r="B6952" s="31"/>
      <c r="G6952" s="272" t="s">
        <v>1099</v>
      </c>
    </row>
    <row r="6953">
      <c r="B6953" s="31"/>
      <c r="G6953" s="272" t="s">
        <v>1099</v>
      </c>
    </row>
    <row r="6954">
      <c r="B6954" s="31"/>
      <c r="G6954" s="272" t="s">
        <v>1099</v>
      </c>
    </row>
    <row r="6955">
      <c r="B6955" s="31"/>
      <c r="G6955" s="272" t="s">
        <v>1099</v>
      </c>
    </row>
    <row r="6956">
      <c r="B6956" s="31"/>
      <c r="G6956" s="272" t="s">
        <v>1099</v>
      </c>
    </row>
    <row r="6957">
      <c r="B6957" s="31"/>
      <c r="G6957" s="272" t="s">
        <v>1099</v>
      </c>
    </row>
    <row r="6958">
      <c r="B6958" s="31"/>
      <c r="G6958" s="272" t="s">
        <v>1099</v>
      </c>
    </row>
    <row r="6959">
      <c r="B6959" s="31"/>
      <c r="G6959" s="272" t="s">
        <v>1099</v>
      </c>
    </row>
    <row r="6960">
      <c r="B6960" s="31"/>
      <c r="G6960" s="272" t="s">
        <v>1099</v>
      </c>
    </row>
    <row r="6961">
      <c r="B6961" s="31"/>
      <c r="G6961" s="272" t="s">
        <v>1099</v>
      </c>
    </row>
    <row r="6962">
      <c r="B6962" s="31"/>
      <c r="G6962" s="272" t="s">
        <v>1099</v>
      </c>
    </row>
    <row r="6963">
      <c r="B6963" s="31"/>
      <c r="G6963" s="272" t="s">
        <v>1099</v>
      </c>
    </row>
    <row r="6964">
      <c r="B6964" s="31"/>
      <c r="G6964" s="272" t="s">
        <v>1099</v>
      </c>
    </row>
    <row r="6965">
      <c r="B6965" s="31"/>
      <c r="G6965" s="272" t="s">
        <v>1099</v>
      </c>
    </row>
    <row r="6966">
      <c r="B6966" s="31"/>
      <c r="G6966" s="272" t="s">
        <v>1099</v>
      </c>
    </row>
    <row r="6967">
      <c r="B6967" s="31"/>
      <c r="G6967" s="272" t="s">
        <v>1099</v>
      </c>
    </row>
    <row r="6968">
      <c r="B6968" s="31"/>
      <c r="G6968" s="272" t="s">
        <v>1099</v>
      </c>
    </row>
    <row r="6969">
      <c r="B6969" s="31"/>
      <c r="G6969" s="272" t="s">
        <v>1099</v>
      </c>
    </row>
    <row r="6970">
      <c r="B6970" s="31"/>
      <c r="G6970" s="272" t="s">
        <v>1099</v>
      </c>
    </row>
    <row r="6971">
      <c r="B6971" s="31"/>
      <c r="G6971" s="272" t="s">
        <v>1099</v>
      </c>
    </row>
    <row r="6972">
      <c r="B6972" s="31"/>
      <c r="G6972" s="272" t="s">
        <v>1099</v>
      </c>
    </row>
    <row r="6973">
      <c r="B6973" s="31"/>
      <c r="G6973" s="272" t="s">
        <v>1099</v>
      </c>
    </row>
    <row r="6974">
      <c r="B6974" s="31"/>
      <c r="G6974" s="272" t="s">
        <v>1099</v>
      </c>
    </row>
    <row r="6975">
      <c r="B6975" s="31"/>
      <c r="G6975" s="272" t="s">
        <v>1099</v>
      </c>
    </row>
    <row r="6976">
      <c r="B6976" s="31"/>
      <c r="G6976" s="272" t="s">
        <v>1099</v>
      </c>
    </row>
    <row r="6977">
      <c r="B6977" s="31"/>
      <c r="G6977" s="272" t="s">
        <v>1099</v>
      </c>
    </row>
    <row r="6978">
      <c r="B6978" s="31"/>
      <c r="G6978" s="272" t="s">
        <v>1099</v>
      </c>
    </row>
    <row r="6979">
      <c r="B6979" s="31"/>
      <c r="G6979" s="272" t="s">
        <v>1099</v>
      </c>
    </row>
    <row r="6980">
      <c r="B6980" s="31"/>
      <c r="G6980" s="272" t="s">
        <v>1099</v>
      </c>
    </row>
    <row r="6981">
      <c r="B6981" s="31"/>
      <c r="G6981" s="272" t="s">
        <v>1099</v>
      </c>
    </row>
    <row r="6982">
      <c r="B6982" s="31"/>
      <c r="G6982" s="272" t="s">
        <v>1099</v>
      </c>
    </row>
    <row r="6983">
      <c r="B6983" s="31"/>
      <c r="G6983" s="272" t="s">
        <v>1099</v>
      </c>
    </row>
    <row r="6984">
      <c r="B6984" s="31"/>
      <c r="G6984" s="272" t="s">
        <v>1099</v>
      </c>
    </row>
    <row r="6985">
      <c r="B6985" s="31"/>
      <c r="G6985" s="272" t="s">
        <v>1099</v>
      </c>
    </row>
    <row r="6986">
      <c r="B6986" s="31"/>
      <c r="G6986" s="272" t="s">
        <v>1099</v>
      </c>
    </row>
    <row r="6987">
      <c r="B6987" s="31"/>
      <c r="G6987" s="272" t="s">
        <v>1099</v>
      </c>
    </row>
    <row r="6988">
      <c r="B6988" s="31"/>
      <c r="G6988" s="272" t="s">
        <v>1099</v>
      </c>
    </row>
    <row r="6989">
      <c r="B6989" s="31"/>
      <c r="G6989" s="272" t="s">
        <v>1099</v>
      </c>
    </row>
    <row r="6990">
      <c r="B6990" s="31"/>
      <c r="G6990" s="272" t="s">
        <v>1099</v>
      </c>
    </row>
    <row r="6991">
      <c r="B6991" s="31"/>
      <c r="G6991" s="272" t="s">
        <v>1099</v>
      </c>
    </row>
    <row r="6992">
      <c r="B6992" s="31"/>
      <c r="G6992" s="272" t="s">
        <v>1099</v>
      </c>
    </row>
    <row r="6993">
      <c r="B6993" s="31"/>
      <c r="G6993" s="272" t="s">
        <v>1099</v>
      </c>
    </row>
    <row r="6994">
      <c r="B6994" s="31"/>
      <c r="G6994" s="272" t="s">
        <v>1099</v>
      </c>
    </row>
    <row r="6995">
      <c r="B6995" s="31"/>
      <c r="G6995" s="272" t="s">
        <v>1099</v>
      </c>
    </row>
    <row r="6996">
      <c r="B6996" s="31"/>
      <c r="G6996" s="272" t="s">
        <v>1099</v>
      </c>
    </row>
    <row r="6997">
      <c r="B6997" s="31"/>
      <c r="G6997" s="272" t="s">
        <v>1099</v>
      </c>
    </row>
    <row r="6998">
      <c r="B6998" s="31"/>
      <c r="G6998" s="272" t="s">
        <v>1099</v>
      </c>
    </row>
    <row r="6999">
      <c r="B6999" s="31"/>
      <c r="G6999" s="272" t="s">
        <v>1099</v>
      </c>
    </row>
    <row r="7000">
      <c r="B7000" s="31"/>
      <c r="G7000" s="272" t="s">
        <v>1099</v>
      </c>
    </row>
    <row r="7001">
      <c r="B7001" s="31"/>
      <c r="G7001" s="272" t="s">
        <v>1099</v>
      </c>
    </row>
    <row r="7002">
      <c r="B7002" s="31"/>
      <c r="G7002" s="272" t="s">
        <v>1099</v>
      </c>
    </row>
    <row r="7003">
      <c r="B7003" s="31"/>
      <c r="G7003" s="272" t="s">
        <v>1099</v>
      </c>
    </row>
    <row r="7004">
      <c r="B7004" s="31"/>
      <c r="G7004" s="272" t="s">
        <v>1099</v>
      </c>
    </row>
    <row r="7005">
      <c r="B7005" s="31"/>
      <c r="G7005" s="272" t="s">
        <v>1099</v>
      </c>
    </row>
    <row r="7006">
      <c r="B7006" s="31"/>
      <c r="G7006" s="272" t="s">
        <v>1099</v>
      </c>
    </row>
    <row r="7007">
      <c r="B7007" s="31"/>
      <c r="G7007" s="272" t="s">
        <v>1099</v>
      </c>
    </row>
    <row r="7008">
      <c r="B7008" s="31"/>
      <c r="G7008" s="272" t="s">
        <v>1099</v>
      </c>
    </row>
    <row r="7009">
      <c r="B7009" s="31"/>
      <c r="G7009" s="272" t="s">
        <v>1099</v>
      </c>
    </row>
    <row r="7010">
      <c r="B7010" s="31"/>
      <c r="G7010" s="272" t="s">
        <v>1099</v>
      </c>
    </row>
    <row r="7011">
      <c r="B7011" s="31"/>
      <c r="G7011" s="272" t="s">
        <v>1099</v>
      </c>
    </row>
    <row r="7012">
      <c r="B7012" s="31"/>
      <c r="G7012" s="272" t="s">
        <v>1099</v>
      </c>
    </row>
    <row r="7013">
      <c r="B7013" s="31"/>
      <c r="G7013" s="272" t="s">
        <v>1099</v>
      </c>
    </row>
    <row r="7014">
      <c r="B7014" s="31"/>
      <c r="G7014" s="272" t="s">
        <v>1099</v>
      </c>
    </row>
    <row r="7015">
      <c r="B7015" s="31"/>
      <c r="G7015" s="272" t="s">
        <v>1099</v>
      </c>
    </row>
    <row r="7016">
      <c r="B7016" s="31"/>
      <c r="G7016" s="272" t="s">
        <v>1099</v>
      </c>
    </row>
    <row r="7017">
      <c r="B7017" s="31"/>
      <c r="G7017" s="272" t="s">
        <v>1099</v>
      </c>
    </row>
    <row r="7018">
      <c r="B7018" s="31"/>
      <c r="G7018" s="272" t="s">
        <v>1099</v>
      </c>
    </row>
    <row r="7019">
      <c r="B7019" s="31"/>
      <c r="G7019" s="272" t="s">
        <v>1099</v>
      </c>
    </row>
    <row r="7020">
      <c r="B7020" s="31"/>
      <c r="G7020" s="272" t="s">
        <v>1099</v>
      </c>
    </row>
    <row r="7021">
      <c r="B7021" s="31"/>
      <c r="G7021" s="272" t="s">
        <v>1099</v>
      </c>
    </row>
    <row r="7022">
      <c r="B7022" s="31"/>
      <c r="G7022" s="272" t="s">
        <v>1099</v>
      </c>
    </row>
    <row r="7023">
      <c r="B7023" s="31"/>
      <c r="G7023" s="272" t="s">
        <v>1099</v>
      </c>
    </row>
    <row r="7024">
      <c r="B7024" s="31"/>
      <c r="G7024" s="272" t="s">
        <v>1099</v>
      </c>
    </row>
    <row r="7025">
      <c r="B7025" s="31"/>
      <c r="G7025" s="272" t="s">
        <v>1099</v>
      </c>
    </row>
    <row r="7026">
      <c r="B7026" s="31"/>
      <c r="G7026" s="272" t="s">
        <v>1099</v>
      </c>
    </row>
    <row r="7027">
      <c r="B7027" s="31"/>
      <c r="G7027" s="272" t="s">
        <v>1099</v>
      </c>
    </row>
    <row r="7028">
      <c r="B7028" s="31"/>
      <c r="G7028" s="272" t="s">
        <v>1099</v>
      </c>
    </row>
    <row r="7029">
      <c r="B7029" s="31"/>
      <c r="G7029" s="272" t="s">
        <v>1099</v>
      </c>
    </row>
    <row r="7030">
      <c r="B7030" s="31"/>
      <c r="G7030" s="272" t="s">
        <v>1099</v>
      </c>
    </row>
    <row r="7031">
      <c r="B7031" s="31"/>
      <c r="G7031" s="272" t="s">
        <v>1099</v>
      </c>
    </row>
    <row r="7032">
      <c r="B7032" s="31"/>
      <c r="G7032" s="272" t="s">
        <v>1099</v>
      </c>
    </row>
    <row r="7033">
      <c r="B7033" s="31"/>
      <c r="G7033" s="272" t="s">
        <v>1099</v>
      </c>
    </row>
    <row r="7034">
      <c r="B7034" s="31"/>
      <c r="G7034" s="272" t="s">
        <v>1099</v>
      </c>
    </row>
    <row r="7035">
      <c r="B7035" s="31"/>
      <c r="G7035" s="272" t="s">
        <v>1099</v>
      </c>
    </row>
    <row r="7036">
      <c r="B7036" s="31"/>
      <c r="G7036" s="272" t="s">
        <v>1099</v>
      </c>
    </row>
    <row r="7037">
      <c r="B7037" s="31"/>
      <c r="G7037" s="272" t="s">
        <v>1099</v>
      </c>
    </row>
    <row r="7038">
      <c r="B7038" s="31"/>
      <c r="G7038" s="272" t="s">
        <v>1099</v>
      </c>
    </row>
    <row r="7039">
      <c r="B7039" s="31"/>
      <c r="G7039" s="272" t="s">
        <v>1099</v>
      </c>
    </row>
    <row r="7040">
      <c r="B7040" s="31"/>
      <c r="G7040" s="272" t="s">
        <v>1099</v>
      </c>
    </row>
    <row r="7041">
      <c r="B7041" s="31"/>
      <c r="G7041" s="272" t="s">
        <v>1099</v>
      </c>
    </row>
    <row r="7042">
      <c r="B7042" s="31"/>
      <c r="G7042" s="272" t="s">
        <v>1099</v>
      </c>
    </row>
    <row r="7043">
      <c r="B7043" s="31"/>
      <c r="G7043" s="272" t="s">
        <v>1099</v>
      </c>
    </row>
    <row r="7044">
      <c r="B7044" s="31"/>
      <c r="G7044" s="272" t="s">
        <v>1099</v>
      </c>
    </row>
    <row r="7045">
      <c r="B7045" s="31"/>
      <c r="G7045" s="272" t="s">
        <v>1099</v>
      </c>
    </row>
    <row r="7046">
      <c r="B7046" s="31"/>
      <c r="G7046" s="272" t="s">
        <v>1099</v>
      </c>
    </row>
    <row r="7047">
      <c r="B7047" s="31"/>
      <c r="G7047" s="272" t="s">
        <v>1099</v>
      </c>
    </row>
    <row r="7048">
      <c r="B7048" s="31"/>
      <c r="G7048" s="272" t="s">
        <v>1099</v>
      </c>
    </row>
    <row r="7049">
      <c r="B7049" s="31"/>
      <c r="G7049" s="272" t="s">
        <v>1099</v>
      </c>
    </row>
    <row r="7050">
      <c r="B7050" s="31"/>
      <c r="G7050" s="272" t="s">
        <v>1099</v>
      </c>
    </row>
    <row r="7051">
      <c r="B7051" s="31"/>
      <c r="G7051" s="272" t="s">
        <v>1099</v>
      </c>
    </row>
    <row r="7052">
      <c r="B7052" s="31"/>
      <c r="G7052" s="272" t="s">
        <v>1099</v>
      </c>
    </row>
    <row r="7053">
      <c r="B7053" s="31"/>
      <c r="G7053" s="272" t="s">
        <v>1099</v>
      </c>
    </row>
    <row r="7054">
      <c r="B7054" s="31"/>
      <c r="G7054" s="272" t="s">
        <v>1099</v>
      </c>
    </row>
    <row r="7055">
      <c r="B7055" s="31"/>
      <c r="G7055" s="272" t="s">
        <v>1099</v>
      </c>
    </row>
    <row r="7056">
      <c r="B7056" s="31"/>
      <c r="G7056" s="272" t="s">
        <v>1099</v>
      </c>
    </row>
    <row r="7057">
      <c r="B7057" s="31"/>
      <c r="G7057" s="272" t="s">
        <v>1099</v>
      </c>
    </row>
    <row r="7058">
      <c r="B7058" s="31"/>
      <c r="G7058" s="272" t="s">
        <v>1099</v>
      </c>
    </row>
    <row r="7059">
      <c r="B7059" s="31"/>
      <c r="G7059" s="272" t="s">
        <v>1099</v>
      </c>
    </row>
    <row r="7060">
      <c r="B7060" s="31"/>
      <c r="G7060" s="272" t="s">
        <v>1099</v>
      </c>
    </row>
    <row r="7061">
      <c r="B7061" s="31"/>
      <c r="G7061" s="272" t="s">
        <v>1099</v>
      </c>
    </row>
    <row r="7062">
      <c r="B7062" s="31"/>
      <c r="G7062" s="272" t="s">
        <v>1099</v>
      </c>
    </row>
    <row r="7063">
      <c r="B7063" s="31"/>
      <c r="G7063" s="272" t="s">
        <v>1099</v>
      </c>
    </row>
    <row r="7064">
      <c r="B7064" s="31"/>
      <c r="G7064" s="272" t="s">
        <v>1099</v>
      </c>
    </row>
    <row r="7065">
      <c r="B7065" s="31"/>
      <c r="G7065" s="272" t="s">
        <v>1099</v>
      </c>
    </row>
    <row r="7066">
      <c r="B7066" s="31"/>
      <c r="G7066" s="272" t="s">
        <v>1099</v>
      </c>
    </row>
    <row r="7067">
      <c r="B7067" s="31"/>
      <c r="G7067" s="272" t="s">
        <v>1099</v>
      </c>
    </row>
    <row r="7068">
      <c r="B7068" s="31"/>
      <c r="G7068" s="272" t="s">
        <v>1099</v>
      </c>
    </row>
    <row r="7069">
      <c r="B7069" s="31"/>
      <c r="G7069" s="272" t="s">
        <v>1099</v>
      </c>
    </row>
    <row r="7070">
      <c r="B7070" s="31"/>
      <c r="G7070" s="272" t="s">
        <v>1099</v>
      </c>
    </row>
    <row r="7071">
      <c r="B7071" s="31"/>
      <c r="G7071" s="272" t="s">
        <v>1099</v>
      </c>
    </row>
    <row r="7072">
      <c r="B7072" s="31"/>
      <c r="G7072" s="272" t="s">
        <v>1099</v>
      </c>
    </row>
    <row r="7073">
      <c r="B7073" s="31"/>
      <c r="G7073" s="272" t="s">
        <v>1099</v>
      </c>
    </row>
    <row r="7074">
      <c r="B7074" s="31"/>
      <c r="G7074" s="272" t="s">
        <v>1099</v>
      </c>
    </row>
    <row r="7075">
      <c r="B7075" s="31"/>
      <c r="G7075" s="272" t="s">
        <v>1099</v>
      </c>
    </row>
    <row r="7076">
      <c r="B7076" s="31"/>
      <c r="G7076" s="272" t="s">
        <v>1099</v>
      </c>
    </row>
    <row r="7077">
      <c r="B7077" s="31"/>
      <c r="G7077" s="272" t="s">
        <v>1099</v>
      </c>
    </row>
    <row r="7078">
      <c r="B7078" s="31"/>
      <c r="G7078" s="272" t="s">
        <v>1099</v>
      </c>
    </row>
    <row r="7079">
      <c r="B7079" s="31"/>
      <c r="G7079" s="272" t="s">
        <v>1099</v>
      </c>
    </row>
    <row r="7080">
      <c r="B7080" s="31"/>
      <c r="G7080" s="272" t="s">
        <v>1099</v>
      </c>
    </row>
    <row r="7081">
      <c r="B7081" s="31"/>
      <c r="G7081" s="272" t="s">
        <v>1099</v>
      </c>
    </row>
    <row r="7082">
      <c r="B7082" s="31"/>
      <c r="G7082" s="272" t="s">
        <v>1099</v>
      </c>
    </row>
    <row r="7083">
      <c r="B7083" s="31"/>
      <c r="G7083" s="272" t="s">
        <v>1099</v>
      </c>
    </row>
    <row r="7084">
      <c r="B7084" s="31"/>
      <c r="G7084" s="272" t="s">
        <v>1099</v>
      </c>
    </row>
    <row r="7085">
      <c r="B7085" s="31"/>
      <c r="G7085" s="272" t="s">
        <v>1099</v>
      </c>
    </row>
    <row r="7086">
      <c r="B7086" s="31"/>
      <c r="G7086" s="272" t="s">
        <v>1099</v>
      </c>
    </row>
    <row r="7087">
      <c r="B7087" s="31"/>
      <c r="G7087" s="272" t="s">
        <v>1099</v>
      </c>
    </row>
    <row r="7088">
      <c r="B7088" s="31"/>
      <c r="G7088" s="272" t="s">
        <v>1099</v>
      </c>
    </row>
    <row r="7089">
      <c r="B7089" s="31"/>
      <c r="G7089" s="272" t="s">
        <v>1099</v>
      </c>
    </row>
    <row r="7090">
      <c r="B7090" s="31"/>
      <c r="G7090" s="272" t="s">
        <v>1099</v>
      </c>
    </row>
    <row r="7091">
      <c r="B7091" s="31"/>
      <c r="G7091" s="272" t="s">
        <v>1099</v>
      </c>
    </row>
    <row r="7092">
      <c r="B7092" s="31"/>
      <c r="G7092" s="272" t="s">
        <v>1099</v>
      </c>
    </row>
    <row r="7093">
      <c r="B7093" s="31"/>
      <c r="G7093" s="272" t="s">
        <v>1099</v>
      </c>
    </row>
    <row r="7094">
      <c r="B7094" s="31"/>
      <c r="G7094" s="272" t="s">
        <v>1099</v>
      </c>
    </row>
    <row r="7095">
      <c r="B7095" s="31"/>
      <c r="G7095" s="272" t="s">
        <v>1099</v>
      </c>
    </row>
    <row r="7096">
      <c r="B7096" s="31"/>
      <c r="G7096" s="272" t="s">
        <v>1099</v>
      </c>
    </row>
    <row r="7097">
      <c r="B7097" s="31"/>
      <c r="G7097" s="272" t="s">
        <v>1099</v>
      </c>
    </row>
    <row r="7098">
      <c r="B7098" s="31"/>
      <c r="G7098" s="272" t="s">
        <v>1099</v>
      </c>
    </row>
    <row r="7099">
      <c r="B7099" s="31"/>
      <c r="G7099" s="272" t="s">
        <v>1099</v>
      </c>
    </row>
    <row r="7100">
      <c r="B7100" s="31"/>
      <c r="G7100" s="272" t="s">
        <v>1099</v>
      </c>
    </row>
    <row r="7101">
      <c r="B7101" s="31"/>
      <c r="G7101" s="272" t="s">
        <v>1099</v>
      </c>
    </row>
    <row r="7102">
      <c r="B7102" s="31"/>
      <c r="G7102" s="272" t="s">
        <v>1099</v>
      </c>
    </row>
    <row r="7103">
      <c r="B7103" s="31"/>
      <c r="G7103" s="272" t="s">
        <v>1099</v>
      </c>
    </row>
    <row r="7104">
      <c r="B7104" s="31"/>
      <c r="G7104" s="272" t="s">
        <v>1099</v>
      </c>
    </row>
    <row r="7105">
      <c r="B7105" s="31"/>
      <c r="G7105" s="272" t="s">
        <v>1099</v>
      </c>
    </row>
    <row r="7106">
      <c r="B7106" s="31"/>
      <c r="G7106" s="272" t="s">
        <v>1099</v>
      </c>
    </row>
    <row r="7107">
      <c r="B7107" s="31"/>
      <c r="G7107" s="272" t="s">
        <v>1099</v>
      </c>
    </row>
    <row r="7108">
      <c r="B7108" s="31"/>
      <c r="G7108" s="272" t="s">
        <v>1099</v>
      </c>
    </row>
    <row r="7109">
      <c r="B7109" s="31"/>
      <c r="G7109" s="272" t="s">
        <v>1099</v>
      </c>
    </row>
    <row r="7110">
      <c r="B7110" s="31"/>
      <c r="G7110" s="272" t="s">
        <v>1099</v>
      </c>
    </row>
    <row r="7111">
      <c r="B7111" s="31"/>
      <c r="G7111" s="272" t="s">
        <v>1099</v>
      </c>
    </row>
    <row r="7112">
      <c r="B7112" s="31"/>
      <c r="G7112" s="272" t="s">
        <v>1099</v>
      </c>
    </row>
    <row r="7113">
      <c r="B7113" s="31"/>
      <c r="G7113" s="272" t="s">
        <v>1099</v>
      </c>
    </row>
    <row r="7114">
      <c r="B7114" s="31"/>
      <c r="G7114" s="272" t="s">
        <v>1099</v>
      </c>
    </row>
    <row r="7115">
      <c r="B7115" s="31"/>
      <c r="G7115" s="272" t="s">
        <v>1099</v>
      </c>
    </row>
    <row r="7116">
      <c r="B7116" s="31"/>
      <c r="G7116" s="272" t="s">
        <v>1099</v>
      </c>
    </row>
    <row r="7117">
      <c r="B7117" s="31"/>
      <c r="G7117" s="272" t="s">
        <v>1099</v>
      </c>
    </row>
    <row r="7118">
      <c r="B7118" s="31"/>
      <c r="G7118" s="272" t="s">
        <v>1099</v>
      </c>
    </row>
    <row r="7119">
      <c r="B7119" s="31"/>
      <c r="G7119" s="272" t="s">
        <v>1099</v>
      </c>
    </row>
    <row r="7120">
      <c r="B7120" s="31"/>
      <c r="G7120" s="272" t="s">
        <v>1099</v>
      </c>
    </row>
    <row r="7121">
      <c r="B7121" s="31"/>
      <c r="G7121" s="272" t="s">
        <v>1099</v>
      </c>
    </row>
    <row r="7122">
      <c r="B7122" s="31"/>
      <c r="G7122" s="272" t="s">
        <v>1099</v>
      </c>
    </row>
    <row r="7123">
      <c r="B7123" s="31"/>
      <c r="G7123" s="272" t="s">
        <v>1099</v>
      </c>
    </row>
    <row r="7124">
      <c r="B7124" s="31"/>
      <c r="G7124" s="272" t="s">
        <v>1099</v>
      </c>
    </row>
    <row r="7125">
      <c r="B7125" s="31"/>
      <c r="G7125" s="272" t="s">
        <v>1099</v>
      </c>
    </row>
    <row r="7126">
      <c r="B7126" s="31"/>
      <c r="G7126" s="272" t="s">
        <v>1099</v>
      </c>
    </row>
    <row r="7127">
      <c r="B7127" s="31"/>
      <c r="G7127" s="272" t="s">
        <v>1099</v>
      </c>
    </row>
    <row r="7128">
      <c r="B7128" s="31"/>
      <c r="G7128" s="272" t="s">
        <v>1099</v>
      </c>
    </row>
    <row r="7129">
      <c r="B7129" s="31"/>
      <c r="G7129" s="272" t="s">
        <v>1099</v>
      </c>
    </row>
    <row r="7130">
      <c r="B7130" s="31"/>
      <c r="G7130" s="272" t="s">
        <v>1099</v>
      </c>
    </row>
    <row r="7131">
      <c r="B7131" s="31"/>
      <c r="G7131" s="272" t="s">
        <v>1099</v>
      </c>
    </row>
    <row r="7132">
      <c r="B7132" s="31"/>
      <c r="G7132" s="272" t="s">
        <v>1099</v>
      </c>
    </row>
    <row r="7133">
      <c r="B7133" s="31"/>
      <c r="G7133" s="272" t="s">
        <v>1099</v>
      </c>
    </row>
    <row r="7134">
      <c r="B7134" s="31"/>
      <c r="G7134" s="272" t="s">
        <v>1099</v>
      </c>
    </row>
    <row r="7135">
      <c r="B7135" s="31"/>
      <c r="G7135" s="272" t="s">
        <v>1099</v>
      </c>
    </row>
    <row r="7136">
      <c r="B7136" s="31"/>
      <c r="G7136" s="272" t="s">
        <v>1099</v>
      </c>
    </row>
    <row r="7137">
      <c r="B7137" s="31"/>
      <c r="G7137" s="272" t="s">
        <v>1099</v>
      </c>
    </row>
    <row r="7138">
      <c r="B7138" s="31"/>
      <c r="G7138" s="272" t="s">
        <v>1099</v>
      </c>
    </row>
    <row r="7139">
      <c r="B7139" s="31"/>
      <c r="G7139" s="272" t="s">
        <v>1099</v>
      </c>
    </row>
    <row r="7140">
      <c r="B7140" s="31"/>
      <c r="G7140" s="272" t="s">
        <v>1099</v>
      </c>
    </row>
    <row r="7141">
      <c r="B7141" s="31"/>
      <c r="G7141" s="272" t="s">
        <v>1099</v>
      </c>
    </row>
    <row r="7142">
      <c r="B7142" s="31"/>
      <c r="G7142" s="272" t="s">
        <v>1099</v>
      </c>
    </row>
    <row r="7143">
      <c r="B7143" s="31"/>
      <c r="G7143" s="272" t="s">
        <v>1099</v>
      </c>
    </row>
    <row r="7144">
      <c r="B7144" s="31"/>
      <c r="G7144" s="272" t="s">
        <v>1099</v>
      </c>
    </row>
    <row r="7145">
      <c r="B7145" s="31"/>
      <c r="G7145" s="272" t="s">
        <v>1099</v>
      </c>
    </row>
    <row r="7146">
      <c r="B7146" s="31"/>
      <c r="G7146" s="272" t="s">
        <v>1099</v>
      </c>
    </row>
    <row r="7147">
      <c r="B7147" s="31"/>
      <c r="G7147" s="272" t="s">
        <v>1099</v>
      </c>
    </row>
    <row r="7148">
      <c r="B7148" s="31"/>
      <c r="G7148" s="272" t="s">
        <v>1099</v>
      </c>
    </row>
    <row r="7149">
      <c r="B7149" s="31"/>
      <c r="G7149" s="272" t="s">
        <v>1099</v>
      </c>
    </row>
    <row r="7150">
      <c r="B7150" s="31"/>
      <c r="G7150" s="272" t="s">
        <v>1099</v>
      </c>
    </row>
    <row r="7151">
      <c r="B7151" s="31"/>
      <c r="G7151" s="272" t="s">
        <v>1099</v>
      </c>
    </row>
    <row r="7152">
      <c r="B7152" s="31"/>
      <c r="G7152" s="272" t="s">
        <v>1099</v>
      </c>
    </row>
    <row r="7153">
      <c r="B7153" s="31"/>
      <c r="G7153" s="272" t="s">
        <v>1099</v>
      </c>
    </row>
    <row r="7154">
      <c r="B7154" s="31"/>
      <c r="G7154" s="272" t="s">
        <v>1099</v>
      </c>
    </row>
    <row r="7155">
      <c r="B7155" s="31"/>
      <c r="G7155" s="272" t="s">
        <v>1099</v>
      </c>
    </row>
    <row r="7156">
      <c r="B7156" s="31"/>
      <c r="G7156" s="272" t="s">
        <v>1099</v>
      </c>
    </row>
    <row r="7157">
      <c r="B7157" s="31"/>
      <c r="G7157" s="272" t="s">
        <v>1099</v>
      </c>
    </row>
    <row r="7158">
      <c r="B7158" s="31"/>
      <c r="G7158" s="272" t="s">
        <v>1099</v>
      </c>
    </row>
    <row r="7159">
      <c r="B7159" s="31"/>
      <c r="G7159" s="272" t="s">
        <v>1099</v>
      </c>
    </row>
    <row r="7160">
      <c r="B7160" s="31"/>
      <c r="G7160" s="272" t="s">
        <v>1099</v>
      </c>
    </row>
    <row r="7161">
      <c r="B7161" s="31"/>
      <c r="G7161" s="272" t="s">
        <v>1099</v>
      </c>
    </row>
    <row r="7162">
      <c r="B7162" s="31"/>
      <c r="G7162" s="272" t="s">
        <v>1099</v>
      </c>
    </row>
    <row r="7163">
      <c r="B7163" s="31"/>
      <c r="G7163" s="272" t="s">
        <v>1099</v>
      </c>
    </row>
    <row r="7164">
      <c r="B7164" s="31"/>
      <c r="G7164" s="272" t="s">
        <v>1099</v>
      </c>
    </row>
    <row r="7165">
      <c r="B7165" s="31"/>
      <c r="G7165" s="272" t="s">
        <v>1099</v>
      </c>
    </row>
    <row r="7166">
      <c r="B7166" s="31"/>
      <c r="G7166" s="272" t="s">
        <v>1099</v>
      </c>
    </row>
    <row r="7167">
      <c r="B7167" s="31"/>
      <c r="G7167" s="272" t="s">
        <v>1099</v>
      </c>
    </row>
    <row r="7168">
      <c r="B7168" s="31"/>
      <c r="G7168" s="272" t="s">
        <v>1099</v>
      </c>
    </row>
    <row r="7169">
      <c r="B7169" s="31"/>
      <c r="G7169" s="272" t="s">
        <v>1099</v>
      </c>
    </row>
    <row r="7170">
      <c r="B7170" s="31"/>
      <c r="G7170" s="272" t="s">
        <v>1099</v>
      </c>
    </row>
    <row r="7171">
      <c r="B7171" s="31"/>
      <c r="G7171" s="272" t="s">
        <v>1099</v>
      </c>
    </row>
    <row r="7172">
      <c r="B7172" s="31"/>
      <c r="G7172" s="272" t="s">
        <v>1099</v>
      </c>
    </row>
    <row r="7173">
      <c r="B7173" s="31"/>
      <c r="G7173" s="272" t="s">
        <v>1099</v>
      </c>
    </row>
    <row r="7174">
      <c r="B7174" s="31"/>
      <c r="G7174" s="272" t="s">
        <v>1099</v>
      </c>
    </row>
    <row r="7175">
      <c r="B7175" s="31"/>
      <c r="G7175" s="272" t="s">
        <v>1099</v>
      </c>
    </row>
    <row r="7176">
      <c r="B7176" s="31"/>
      <c r="G7176" s="272" t="s">
        <v>1099</v>
      </c>
    </row>
    <row r="7177">
      <c r="B7177" s="31"/>
      <c r="G7177" s="272" t="s">
        <v>1099</v>
      </c>
    </row>
    <row r="7178">
      <c r="B7178" s="31"/>
      <c r="G7178" s="272" t="s">
        <v>1099</v>
      </c>
    </row>
    <row r="7179">
      <c r="B7179" s="31"/>
      <c r="G7179" s="272" t="s">
        <v>1099</v>
      </c>
    </row>
    <row r="7180">
      <c r="B7180" s="31"/>
      <c r="G7180" s="272" t="s">
        <v>1099</v>
      </c>
    </row>
    <row r="7181">
      <c r="B7181" s="31"/>
      <c r="G7181" s="272" t="s">
        <v>1099</v>
      </c>
    </row>
    <row r="7182">
      <c r="B7182" s="31"/>
      <c r="G7182" s="272" t="s">
        <v>1099</v>
      </c>
    </row>
    <row r="7183">
      <c r="B7183" s="31"/>
      <c r="G7183" s="272" t="s">
        <v>1099</v>
      </c>
    </row>
    <row r="7184">
      <c r="B7184" s="31"/>
      <c r="G7184" s="272" t="s">
        <v>1099</v>
      </c>
    </row>
    <row r="7185">
      <c r="B7185" s="31"/>
      <c r="G7185" s="272" t="s">
        <v>1099</v>
      </c>
    </row>
    <row r="7186">
      <c r="B7186" s="31"/>
      <c r="G7186" s="272" t="s">
        <v>1099</v>
      </c>
    </row>
    <row r="7187">
      <c r="B7187" s="31"/>
      <c r="G7187" s="272" t="s">
        <v>1099</v>
      </c>
    </row>
    <row r="7188">
      <c r="B7188" s="31"/>
      <c r="G7188" s="272" t="s">
        <v>1099</v>
      </c>
    </row>
    <row r="7189">
      <c r="B7189" s="31"/>
      <c r="G7189" s="272" t="s">
        <v>1099</v>
      </c>
    </row>
    <row r="7190">
      <c r="B7190" s="31"/>
      <c r="G7190" s="272" t="s">
        <v>1099</v>
      </c>
    </row>
    <row r="7191">
      <c r="B7191" s="31"/>
      <c r="G7191" s="272" t="s">
        <v>1099</v>
      </c>
    </row>
    <row r="7192">
      <c r="B7192" s="31"/>
      <c r="G7192" s="272" t="s">
        <v>1099</v>
      </c>
    </row>
    <row r="7193">
      <c r="B7193" s="31"/>
      <c r="G7193" s="272" t="s">
        <v>1099</v>
      </c>
    </row>
    <row r="7194">
      <c r="B7194" s="31"/>
      <c r="G7194" s="272" t="s">
        <v>1099</v>
      </c>
    </row>
    <row r="7195">
      <c r="B7195" s="31"/>
      <c r="G7195" s="272" t="s">
        <v>1099</v>
      </c>
    </row>
    <row r="7196">
      <c r="B7196" s="31"/>
      <c r="G7196" s="272" t="s">
        <v>1099</v>
      </c>
    </row>
    <row r="7197">
      <c r="B7197" s="31"/>
      <c r="G7197" s="272" t="s">
        <v>1099</v>
      </c>
    </row>
    <row r="7198">
      <c r="B7198" s="31"/>
      <c r="G7198" s="272" t="s">
        <v>1099</v>
      </c>
    </row>
    <row r="7199">
      <c r="B7199" s="31"/>
      <c r="G7199" s="272" t="s">
        <v>1099</v>
      </c>
    </row>
    <row r="7200">
      <c r="B7200" s="31"/>
      <c r="G7200" s="272" t="s">
        <v>1099</v>
      </c>
    </row>
    <row r="7201">
      <c r="B7201" s="31"/>
      <c r="G7201" s="272" t="s">
        <v>1099</v>
      </c>
    </row>
    <row r="7202">
      <c r="B7202" s="31"/>
      <c r="G7202" s="272" t="s">
        <v>1099</v>
      </c>
    </row>
    <row r="7203">
      <c r="B7203" s="31"/>
      <c r="G7203" s="272" t="s">
        <v>1099</v>
      </c>
    </row>
    <row r="7204">
      <c r="B7204" s="31"/>
      <c r="G7204" s="272" t="s">
        <v>1099</v>
      </c>
    </row>
    <row r="7205">
      <c r="B7205" s="31"/>
      <c r="G7205" s="272" t="s">
        <v>1099</v>
      </c>
    </row>
    <row r="7206">
      <c r="B7206" s="31"/>
      <c r="G7206" s="272" t="s">
        <v>1099</v>
      </c>
    </row>
    <row r="7207">
      <c r="B7207" s="31"/>
      <c r="G7207" s="272" t="s">
        <v>1099</v>
      </c>
    </row>
    <row r="7208">
      <c r="B7208" s="31"/>
      <c r="G7208" s="272" t="s">
        <v>1099</v>
      </c>
    </row>
    <row r="7209">
      <c r="B7209" s="31"/>
      <c r="G7209" s="272" t="s">
        <v>1099</v>
      </c>
    </row>
    <row r="7210">
      <c r="B7210" s="31"/>
      <c r="G7210" s="272" t="s">
        <v>1099</v>
      </c>
    </row>
    <row r="7211">
      <c r="B7211" s="31"/>
      <c r="G7211" s="272" t="s">
        <v>1099</v>
      </c>
    </row>
    <row r="7212">
      <c r="B7212" s="31"/>
      <c r="G7212" s="272" t="s">
        <v>1099</v>
      </c>
    </row>
    <row r="7213">
      <c r="B7213" s="31"/>
      <c r="G7213" s="272" t="s">
        <v>1099</v>
      </c>
    </row>
    <row r="7214">
      <c r="B7214" s="31"/>
      <c r="G7214" s="272" t="s">
        <v>1099</v>
      </c>
    </row>
    <row r="7215">
      <c r="B7215" s="31"/>
      <c r="G7215" s="272" t="s">
        <v>1099</v>
      </c>
    </row>
    <row r="7216">
      <c r="B7216" s="31"/>
      <c r="G7216" s="272" t="s">
        <v>1099</v>
      </c>
    </row>
    <row r="7217">
      <c r="B7217" s="31"/>
      <c r="G7217" s="272" t="s">
        <v>1099</v>
      </c>
    </row>
    <row r="7218">
      <c r="B7218" s="31"/>
      <c r="G7218" s="272" t="s">
        <v>1099</v>
      </c>
    </row>
    <row r="7219">
      <c r="B7219" s="31"/>
      <c r="G7219" s="272" t="s">
        <v>1099</v>
      </c>
    </row>
    <row r="7220">
      <c r="B7220" s="31"/>
      <c r="G7220" s="272" t="s">
        <v>1099</v>
      </c>
    </row>
    <row r="7221">
      <c r="B7221" s="31"/>
      <c r="G7221" s="272" t="s">
        <v>1099</v>
      </c>
    </row>
    <row r="7222">
      <c r="B7222" s="31"/>
      <c r="G7222" s="272" t="s">
        <v>1099</v>
      </c>
    </row>
    <row r="7223">
      <c r="B7223" s="31"/>
      <c r="G7223" s="272" t="s">
        <v>1099</v>
      </c>
    </row>
    <row r="7224">
      <c r="B7224" s="31"/>
      <c r="G7224" s="272" t="s">
        <v>1099</v>
      </c>
    </row>
    <row r="7225">
      <c r="B7225" s="31"/>
      <c r="G7225" s="272" t="s">
        <v>1099</v>
      </c>
    </row>
    <row r="7226">
      <c r="B7226" s="31"/>
      <c r="G7226" s="272" t="s">
        <v>1099</v>
      </c>
    </row>
    <row r="7227">
      <c r="B7227" s="31"/>
      <c r="G7227" s="272" t="s">
        <v>1099</v>
      </c>
    </row>
    <row r="7228">
      <c r="B7228" s="31"/>
      <c r="G7228" s="272" t="s">
        <v>1099</v>
      </c>
    </row>
    <row r="7229">
      <c r="B7229" s="31"/>
      <c r="G7229" s="272" t="s">
        <v>1099</v>
      </c>
    </row>
    <row r="7230">
      <c r="B7230" s="31"/>
      <c r="G7230" s="272" t="s">
        <v>1099</v>
      </c>
    </row>
    <row r="7231">
      <c r="B7231" s="31"/>
      <c r="G7231" s="272" t="s">
        <v>1099</v>
      </c>
    </row>
    <row r="7232">
      <c r="B7232" s="31"/>
      <c r="G7232" s="272" t="s">
        <v>1099</v>
      </c>
    </row>
    <row r="7233">
      <c r="B7233" s="31"/>
      <c r="G7233" s="272" t="s">
        <v>1099</v>
      </c>
    </row>
    <row r="7234">
      <c r="B7234" s="31"/>
      <c r="G7234" s="272" t="s">
        <v>1099</v>
      </c>
    </row>
    <row r="7235">
      <c r="B7235" s="31"/>
      <c r="G7235" s="272" t="s">
        <v>1099</v>
      </c>
    </row>
    <row r="7236">
      <c r="B7236" s="31"/>
      <c r="G7236" s="272" t="s">
        <v>1099</v>
      </c>
    </row>
    <row r="7237">
      <c r="B7237" s="31"/>
      <c r="G7237" s="272" t="s">
        <v>1099</v>
      </c>
    </row>
    <row r="7238">
      <c r="B7238" s="31"/>
      <c r="G7238" s="272" t="s">
        <v>1099</v>
      </c>
    </row>
    <row r="7239">
      <c r="B7239" s="31"/>
      <c r="G7239" s="272" t="s">
        <v>1099</v>
      </c>
    </row>
    <row r="7240">
      <c r="B7240" s="31"/>
      <c r="G7240" s="272" t="s">
        <v>1099</v>
      </c>
    </row>
    <row r="7241">
      <c r="B7241" s="31"/>
      <c r="G7241" s="272" t="s">
        <v>1099</v>
      </c>
    </row>
    <row r="7242">
      <c r="B7242" s="31"/>
      <c r="G7242" s="272" t="s">
        <v>1099</v>
      </c>
    </row>
    <row r="7243">
      <c r="B7243" s="31"/>
      <c r="G7243" s="272" t="s">
        <v>1099</v>
      </c>
    </row>
    <row r="7244">
      <c r="B7244" s="31"/>
      <c r="G7244" s="272" t="s">
        <v>1099</v>
      </c>
    </row>
    <row r="7245">
      <c r="B7245" s="31"/>
      <c r="G7245" s="272" t="s">
        <v>1099</v>
      </c>
    </row>
    <row r="7246">
      <c r="B7246" s="31"/>
      <c r="G7246" s="272" t="s">
        <v>1099</v>
      </c>
    </row>
    <row r="7247">
      <c r="B7247" s="31"/>
      <c r="G7247" s="272" t="s">
        <v>1099</v>
      </c>
    </row>
    <row r="7248">
      <c r="B7248" s="31"/>
      <c r="G7248" s="272" t="s">
        <v>1099</v>
      </c>
    </row>
    <row r="7249">
      <c r="B7249" s="31"/>
      <c r="G7249" s="272" t="s">
        <v>1099</v>
      </c>
    </row>
    <row r="7250">
      <c r="B7250" s="31"/>
      <c r="G7250" s="272" t="s">
        <v>1099</v>
      </c>
    </row>
    <row r="7251">
      <c r="B7251" s="31"/>
      <c r="G7251" s="272" t="s">
        <v>1099</v>
      </c>
    </row>
    <row r="7252">
      <c r="B7252" s="31"/>
      <c r="G7252" s="272" t="s">
        <v>1099</v>
      </c>
    </row>
    <row r="7253">
      <c r="B7253" s="31"/>
      <c r="G7253" s="272" t="s">
        <v>1099</v>
      </c>
    </row>
    <row r="7254">
      <c r="B7254" s="31"/>
      <c r="G7254" s="272" t="s">
        <v>1099</v>
      </c>
    </row>
    <row r="7255">
      <c r="B7255" s="31"/>
      <c r="G7255" s="272" t="s">
        <v>1099</v>
      </c>
    </row>
    <row r="7256">
      <c r="B7256" s="31"/>
      <c r="G7256" s="272" t="s">
        <v>1099</v>
      </c>
    </row>
    <row r="7257">
      <c r="B7257" s="31"/>
      <c r="G7257" s="272" t="s">
        <v>1099</v>
      </c>
    </row>
    <row r="7258">
      <c r="B7258" s="31"/>
      <c r="G7258" s="272" t="s">
        <v>1099</v>
      </c>
    </row>
    <row r="7259">
      <c r="B7259" s="31"/>
      <c r="G7259" s="272" t="s">
        <v>1099</v>
      </c>
    </row>
    <row r="7260">
      <c r="B7260" s="31"/>
      <c r="G7260" s="272" t="s">
        <v>1099</v>
      </c>
    </row>
    <row r="7261">
      <c r="B7261" s="31"/>
      <c r="G7261" s="272" t="s">
        <v>1099</v>
      </c>
    </row>
    <row r="7262">
      <c r="B7262" s="31"/>
      <c r="G7262" s="272" t="s">
        <v>1099</v>
      </c>
    </row>
    <row r="7263">
      <c r="B7263" s="31"/>
      <c r="G7263" s="272" t="s">
        <v>1099</v>
      </c>
    </row>
    <row r="7264">
      <c r="B7264" s="31"/>
      <c r="G7264" s="272" t="s">
        <v>1099</v>
      </c>
    </row>
    <row r="7265">
      <c r="B7265" s="31"/>
      <c r="G7265" s="272" t="s">
        <v>1099</v>
      </c>
    </row>
    <row r="7266">
      <c r="B7266" s="31"/>
      <c r="G7266" s="272" t="s">
        <v>1099</v>
      </c>
    </row>
    <row r="7267">
      <c r="B7267" s="31"/>
      <c r="G7267" s="272" t="s">
        <v>1099</v>
      </c>
    </row>
    <row r="7268">
      <c r="B7268" s="31"/>
      <c r="G7268" s="272" t="s">
        <v>1099</v>
      </c>
    </row>
    <row r="7269">
      <c r="B7269" s="31"/>
      <c r="G7269" s="272" t="s">
        <v>1099</v>
      </c>
    </row>
    <row r="7270">
      <c r="B7270" s="31"/>
      <c r="G7270" s="272" t="s">
        <v>1099</v>
      </c>
    </row>
    <row r="7271">
      <c r="B7271" s="31"/>
      <c r="G7271" s="272" t="s">
        <v>1099</v>
      </c>
    </row>
    <row r="7272">
      <c r="B7272" s="31"/>
      <c r="G7272" s="272" t="s">
        <v>1099</v>
      </c>
    </row>
    <row r="7273">
      <c r="B7273" s="31"/>
      <c r="G7273" s="272" t="s">
        <v>1099</v>
      </c>
    </row>
    <row r="7274">
      <c r="B7274" s="31"/>
      <c r="G7274" s="272" t="s">
        <v>1099</v>
      </c>
    </row>
    <row r="7275">
      <c r="B7275" s="31"/>
      <c r="G7275" s="272" t="s">
        <v>1099</v>
      </c>
    </row>
    <row r="7276">
      <c r="B7276" s="31"/>
      <c r="G7276" s="272" t="s">
        <v>1099</v>
      </c>
    </row>
    <row r="7277">
      <c r="B7277" s="31"/>
      <c r="G7277" s="272" t="s">
        <v>1099</v>
      </c>
    </row>
    <row r="7278">
      <c r="B7278" s="31"/>
      <c r="G7278" s="272" t="s">
        <v>1099</v>
      </c>
    </row>
    <row r="7279">
      <c r="B7279" s="31"/>
      <c r="G7279" s="272" t="s">
        <v>1099</v>
      </c>
    </row>
    <row r="7280">
      <c r="B7280" s="31"/>
      <c r="G7280" s="272" t="s">
        <v>1099</v>
      </c>
    </row>
    <row r="7281">
      <c r="B7281" s="31"/>
      <c r="G7281" s="272" t="s">
        <v>1099</v>
      </c>
    </row>
    <row r="7282">
      <c r="B7282" s="31"/>
      <c r="G7282" s="272" t="s">
        <v>1099</v>
      </c>
    </row>
    <row r="7283">
      <c r="B7283" s="31"/>
      <c r="G7283" s="272" t="s">
        <v>1099</v>
      </c>
    </row>
    <row r="7284">
      <c r="B7284" s="31"/>
      <c r="G7284" s="272" t="s">
        <v>1099</v>
      </c>
    </row>
    <row r="7285">
      <c r="B7285" s="31"/>
      <c r="G7285" s="272" t="s">
        <v>1099</v>
      </c>
    </row>
    <row r="7286">
      <c r="B7286" s="31"/>
      <c r="G7286" s="272" t="s">
        <v>1099</v>
      </c>
    </row>
    <row r="7287">
      <c r="B7287" s="31"/>
      <c r="G7287" s="272" t="s">
        <v>1099</v>
      </c>
    </row>
    <row r="7288">
      <c r="B7288" s="31"/>
      <c r="G7288" s="272" t="s">
        <v>1099</v>
      </c>
    </row>
    <row r="7289">
      <c r="B7289" s="31"/>
      <c r="G7289" s="272" t="s">
        <v>1099</v>
      </c>
    </row>
    <row r="7290">
      <c r="B7290" s="31"/>
      <c r="G7290" s="272" t="s">
        <v>1099</v>
      </c>
    </row>
    <row r="7291">
      <c r="B7291" s="31"/>
      <c r="G7291" s="272" t="s">
        <v>1099</v>
      </c>
    </row>
    <row r="7292">
      <c r="B7292" s="31"/>
      <c r="G7292" s="272" t="s">
        <v>1099</v>
      </c>
    </row>
    <row r="7293">
      <c r="B7293" s="31"/>
      <c r="G7293" s="272" t="s">
        <v>1099</v>
      </c>
    </row>
    <row r="7294">
      <c r="B7294" s="31"/>
      <c r="G7294" s="272" t="s">
        <v>1099</v>
      </c>
    </row>
    <row r="7295">
      <c r="B7295" s="31"/>
      <c r="G7295" s="272" t="s">
        <v>1099</v>
      </c>
    </row>
    <row r="7296">
      <c r="B7296" s="31"/>
      <c r="G7296" s="272" t="s">
        <v>1099</v>
      </c>
    </row>
    <row r="7297">
      <c r="B7297" s="31"/>
      <c r="G7297" s="272" t="s">
        <v>1099</v>
      </c>
    </row>
    <row r="7298">
      <c r="B7298" s="31"/>
      <c r="G7298" s="272" t="s">
        <v>1099</v>
      </c>
    </row>
    <row r="7299">
      <c r="B7299" s="31"/>
      <c r="G7299" s="272" t="s">
        <v>1099</v>
      </c>
    </row>
    <row r="7300">
      <c r="B7300" s="31"/>
      <c r="G7300" s="272" t="s">
        <v>1099</v>
      </c>
    </row>
    <row r="7301">
      <c r="B7301" s="31"/>
      <c r="G7301" s="272" t="s">
        <v>1099</v>
      </c>
    </row>
    <row r="7302">
      <c r="B7302" s="31"/>
      <c r="G7302" s="272" t="s">
        <v>1099</v>
      </c>
    </row>
    <row r="7303">
      <c r="B7303" s="31"/>
      <c r="G7303" s="272" t="s">
        <v>1099</v>
      </c>
    </row>
    <row r="7304">
      <c r="B7304" s="31"/>
      <c r="G7304" s="272" t="s">
        <v>1099</v>
      </c>
    </row>
    <row r="7305">
      <c r="B7305" s="31"/>
      <c r="G7305" s="272" t="s">
        <v>1099</v>
      </c>
    </row>
    <row r="7306">
      <c r="B7306" s="31"/>
      <c r="G7306" s="272" t="s">
        <v>1099</v>
      </c>
    </row>
    <row r="7307">
      <c r="B7307" s="31"/>
      <c r="G7307" s="272" t="s">
        <v>1099</v>
      </c>
    </row>
    <row r="7308">
      <c r="B7308" s="31"/>
      <c r="G7308" s="272" t="s">
        <v>1099</v>
      </c>
    </row>
    <row r="7309">
      <c r="B7309" s="31"/>
      <c r="G7309" s="272" t="s">
        <v>1099</v>
      </c>
    </row>
    <row r="7310">
      <c r="B7310" s="31"/>
      <c r="G7310" s="272" t="s">
        <v>1099</v>
      </c>
    </row>
    <row r="7311">
      <c r="B7311" s="31"/>
      <c r="G7311" s="272" t="s">
        <v>1099</v>
      </c>
    </row>
    <row r="7312">
      <c r="B7312" s="31"/>
      <c r="G7312" s="272" t="s">
        <v>1099</v>
      </c>
    </row>
    <row r="7313">
      <c r="B7313" s="31"/>
      <c r="G7313" s="272" t="s">
        <v>1099</v>
      </c>
    </row>
    <row r="7314">
      <c r="B7314" s="31"/>
      <c r="G7314" s="272" t="s">
        <v>1099</v>
      </c>
    </row>
    <row r="7315">
      <c r="B7315" s="31"/>
      <c r="G7315" s="272" t="s">
        <v>1099</v>
      </c>
    </row>
    <row r="7316">
      <c r="B7316" s="31"/>
      <c r="G7316" s="272" t="s">
        <v>1099</v>
      </c>
    </row>
    <row r="7317">
      <c r="B7317" s="31"/>
      <c r="G7317" s="272" t="s">
        <v>1099</v>
      </c>
    </row>
    <row r="7318">
      <c r="B7318" s="31"/>
      <c r="G7318" s="272" t="s">
        <v>1099</v>
      </c>
    </row>
    <row r="7319">
      <c r="B7319" s="31"/>
      <c r="G7319" s="272" t="s">
        <v>1099</v>
      </c>
    </row>
    <row r="7320">
      <c r="B7320" s="31"/>
      <c r="G7320" s="272" t="s">
        <v>1099</v>
      </c>
    </row>
    <row r="7321">
      <c r="B7321" s="31"/>
      <c r="G7321" s="272" t="s">
        <v>1099</v>
      </c>
    </row>
    <row r="7322">
      <c r="B7322" s="31"/>
      <c r="G7322" s="272" t="s">
        <v>1099</v>
      </c>
    </row>
    <row r="7323">
      <c r="B7323" s="31"/>
      <c r="G7323" s="272" t="s">
        <v>1099</v>
      </c>
    </row>
    <row r="7324">
      <c r="B7324" s="31"/>
      <c r="G7324" s="272" t="s">
        <v>1099</v>
      </c>
    </row>
    <row r="7325">
      <c r="B7325" s="31"/>
      <c r="G7325" s="272" t="s">
        <v>1099</v>
      </c>
    </row>
    <row r="7326">
      <c r="B7326" s="31"/>
      <c r="G7326" s="272" t="s">
        <v>1099</v>
      </c>
    </row>
    <row r="7327">
      <c r="B7327" s="31"/>
      <c r="G7327" s="272" t="s">
        <v>1099</v>
      </c>
    </row>
    <row r="7328">
      <c r="B7328" s="31"/>
      <c r="G7328" s="272" t="s">
        <v>1099</v>
      </c>
    </row>
    <row r="7329">
      <c r="B7329" s="31"/>
      <c r="G7329" s="272" t="s">
        <v>1099</v>
      </c>
    </row>
    <row r="7330">
      <c r="B7330" s="31"/>
      <c r="G7330" s="272" t="s">
        <v>1099</v>
      </c>
    </row>
    <row r="7331">
      <c r="B7331" s="31"/>
      <c r="G7331" s="272" t="s">
        <v>1099</v>
      </c>
    </row>
    <row r="7332">
      <c r="B7332" s="31"/>
      <c r="G7332" s="272" t="s">
        <v>1099</v>
      </c>
    </row>
    <row r="7333">
      <c r="B7333" s="31"/>
      <c r="G7333" s="272" t="s">
        <v>1099</v>
      </c>
    </row>
    <row r="7334">
      <c r="B7334" s="31"/>
      <c r="G7334" s="272" t="s">
        <v>1099</v>
      </c>
    </row>
    <row r="7335">
      <c r="B7335" s="31"/>
      <c r="G7335" s="272" t="s">
        <v>1099</v>
      </c>
    </row>
    <row r="7336">
      <c r="B7336" s="31"/>
      <c r="G7336" s="272" t="s">
        <v>1099</v>
      </c>
    </row>
    <row r="7337">
      <c r="B7337" s="31"/>
      <c r="G7337" s="272" t="s">
        <v>1099</v>
      </c>
    </row>
    <row r="7338">
      <c r="B7338" s="31"/>
      <c r="G7338" s="272" t="s">
        <v>1099</v>
      </c>
    </row>
    <row r="7339">
      <c r="B7339" s="31"/>
      <c r="G7339" s="272" t="s">
        <v>1099</v>
      </c>
    </row>
    <row r="7340">
      <c r="B7340" s="31"/>
      <c r="G7340" s="272" t="s">
        <v>1099</v>
      </c>
    </row>
    <row r="7341">
      <c r="B7341" s="31"/>
      <c r="G7341" s="272" t="s">
        <v>1099</v>
      </c>
    </row>
    <row r="7342">
      <c r="B7342" s="31"/>
      <c r="G7342" s="272" t="s">
        <v>1099</v>
      </c>
    </row>
    <row r="7343">
      <c r="B7343" s="31"/>
      <c r="G7343" s="272" t="s">
        <v>1099</v>
      </c>
    </row>
    <row r="7344">
      <c r="B7344" s="31"/>
      <c r="G7344" s="272" t="s">
        <v>1099</v>
      </c>
    </row>
    <row r="7345">
      <c r="B7345" s="31"/>
      <c r="G7345" s="272" t="s">
        <v>1099</v>
      </c>
    </row>
    <row r="7346">
      <c r="B7346" s="31"/>
      <c r="G7346" s="272" t="s">
        <v>1099</v>
      </c>
    </row>
    <row r="7347">
      <c r="B7347" s="31"/>
      <c r="G7347" s="272" t="s">
        <v>1099</v>
      </c>
    </row>
    <row r="7348">
      <c r="B7348" s="31"/>
      <c r="G7348" s="272" t="s">
        <v>1099</v>
      </c>
    </row>
    <row r="7349">
      <c r="B7349" s="31"/>
      <c r="G7349" s="272" t="s">
        <v>1099</v>
      </c>
    </row>
    <row r="7350">
      <c r="B7350" s="31"/>
      <c r="G7350" s="272" t="s">
        <v>1099</v>
      </c>
    </row>
    <row r="7351">
      <c r="B7351" s="31"/>
      <c r="G7351" s="272" t="s">
        <v>1099</v>
      </c>
    </row>
    <row r="7352">
      <c r="B7352" s="31"/>
      <c r="G7352" s="272" t="s">
        <v>1099</v>
      </c>
    </row>
    <row r="7353">
      <c r="B7353" s="31"/>
      <c r="G7353" s="272" t="s">
        <v>1099</v>
      </c>
    </row>
    <row r="7354">
      <c r="B7354" s="31"/>
      <c r="G7354" s="272" t="s">
        <v>1099</v>
      </c>
    </row>
    <row r="7355">
      <c r="B7355" s="31"/>
      <c r="G7355" s="272" t="s">
        <v>1099</v>
      </c>
    </row>
    <row r="7356">
      <c r="B7356" s="31"/>
      <c r="G7356" s="272" t="s">
        <v>1099</v>
      </c>
    </row>
    <row r="7357">
      <c r="B7357" s="31"/>
      <c r="G7357" s="272" t="s">
        <v>1099</v>
      </c>
    </row>
    <row r="7358">
      <c r="B7358" s="31"/>
      <c r="G7358" s="272" t="s">
        <v>1099</v>
      </c>
    </row>
    <row r="7359">
      <c r="B7359" s="31"/>
      <c r="G7359" s="272" t="s">
        <v>1099</v>
      </c>
    </row>
    <row r="7360">
      <c r="B7360" s="31"/>
      <c r="G7360" s="272" t="s">
        <v>1099</v>
      </c>
    </row>
    <row r="7361">
      <c r="B7361" s="31"/>
      <c r="G7361" s="272" t="s">
        <v>1099</v>
      </c>
    </row>
    <row r="7362">
      <c r="B7362" s="31"/>
      <c r="G7362" s="272" t="s">
        <v>1099</v>
      </c>
    </row>
    <row r="7363">
      <c r="B7363" s="31"/>
      <c r="G7363" s="272" t="s">
        <v>1099</v>
      </c>
    </row>
    <row r="7364">
      <c r="B7364" s="31"/>
      <c r="G7364" s="272" t="s">
        <v>1099</v>
      </c>
    </row>
    <row r="7365">
      <c r="B7365" s="31"/>
      <c r="G7365" s="272" t="s">
        <v>1099</v>
      </c>
    </row>
    <row r="7366">
      <c r="B7366" s="31"/>
      <c r="G7366" s="272" t="s">
        <v>1099</v>
      </c>
    </row>
    <row r="7367">
      <c r="B7367" s="31"/>
      <c r="G7367" s="272" t="s">
        <v>1099</v>
      </c>
    </row>
    <row r="7368">
      <c r="B7368" s="31"/>
      <c r="G7368" s="272" t="s">
        <v>1099</v>
      </c>
    </row>
    <row r="7369">
      <c r="B7369" s="31"/>
      <c r="G7369" s="272" t="s">
        <v>1099</v>
      </c>
    </row>
    <row r="7370">
      <c r="B7370" s="31"/>
      <c r="G7370" s="272" t="s">
        <v>1099</v>
      </c>
    </row>
    <row r="7371">
      <c r="B7371" s="31"/>
      <c r="G7371" s="272" t="s">
        <v>1099</v>
      </c>
    </row>
    <row r="7372">
      <c r="B7372" s="31"/>
      <c r="G7372" s="272" t="s">
        <v>1099</v>
      </c>
    </row>
    <row r="7373">
      <c r="B7373" s="31"/>
      <c r="G7373" s="272" t="s">
        <v>1099</v>
      </c>
    </row>
    <row r="7374">
      <c r="B7374" s="31"/>
      <c r="G7374" s="272" t="s">
        <v>1099</v>
      </c>
    </row>
    <row r="7375">
      <c r="B7375" s="31"/>
      <c r="G7375" s="272" t="s">
        <v>1099</v>
      </c>
    </row>
    <row r="7376">
      <c r="B7376" s="31"/>
      <c r="G7376" s="272" t="s">
        <v>1099</v>
      </c>
    </row>
    <row r="7377">
      <c r="B7377" s="31"/>
      <c r="G7377" s="272" t="s">
        <v>1099</v>
      </c>
    </row>
    <row r="7378">
      <c r="B7378" s="31"/>
      <c r="G7378" s="272" t="s">
        <v>1099</v>
      </c>
    </row>
    <row r="7379">
      <c r="B7379" s="31"/>
      <c r="G7379" s="272" t="s">
        <v>1099</v>
      </c>
    </row>
    <row r="7380">
      <c r="B7380" s="31"/>
      <c r="G7380" s="272" t="s">
        <v>1099</v>
      </c>
    </row>
    <row r="7381">
      <c r="B7381" s="31"/>
      <c r="G7381" s="272" t="s">
        <v>1099</v>
      </c>
    </row>
    <row r="7382">
      <c r="B7382" s="31"/>
      <c r="G7382" s="272" t="s">
        <v>1099</v>
      </c>
    </row>
    <row r="7383">
      <c r="B7383" s="31"/>
      <c r="G7383" s="272" t="s">
        <v>1099</v>
      </c>
    </row>
    <row r="7384">
      <c r="B7384" s="31"/>
      <c r="G7384" s="272" t="s">
        <v>1099</v>
      </c>
    </row>
    <row r="7385">
      <c r="B7385" s="31"/>
      <c r="G7385" s="272" t="s">
        <v>1099</v>
      </c>
    </row>
    <row r="7386">
      <c r="B7386" s="31"/>
      <c r="G7386" s="272" t="s">
        <v>1099</v>
      </c>
    </row>
    <row r="7387">
      <c r="B7387" s="31"/>
      <c r="G7387" s="272" t="s">
        <v>1099</v>
      </c>
    </row>
    <row r="7388">
      <c r="B7388" s="31"/>
      <c r="G7388" s="272" t="s">
        <v>1099</v>
      </c>
    </row>
    <row r="7389">
      <c r="B7389" s="31"/>
      <c r="G7389" s="272" t="s">
        <v>1099</v>
      </c>
    </row>
    <row r="7390">
      <c r="B7390" s="31"/>
      <c r="G7390" s="272" t="s">
        <v>1099</v>
      </c>
    </row>
    <row r="7391">
      <c r="B7391" s="31"/>
      <c r="G7391" s="272" t="s">
        <v>1099</v>
      </c>
    </row>
    <row r="7392">
      <c r="B7392" s="31"/>
      <c r="G7392" s="272" t="s">
        <v>1099</v>
      </c>
    </row>
    <row r="7393">
      <c r="B7393" s="31"/>
      <c r="G7393" s="272" t="s">
        <v>1099</v>
      </c>
    </row>
    <row r="7394">
      <c r="B7394" s="31"/>
      <c r="G7394" s="272" t="s">
        <v>1099</v>
      </c>
    </row>
    <row r="7395">
      <c r="B7395" s="31"/>
      <c r="G7395" s="272" t="s">
        <v>1099</v>
      </c>
    </row>
    <row r="7396">
      <c r="B7396" s="31"/>
      <c r="G7396" s="272" t="s">
        <v>1099</v>
      </c>
    </row>
    <row r="7397">
      <c r="B7397" s="31"/>
      <c r="G7397" s="272" t="s">
        <v>1099</v>
      </c>
    </row>
    <row r="7398">
      <c r="B7398" s="31"/>
      <c r="G7398" s="272" t="s">
        <v>1099</v>
      </c>
    </row>
    <row r="7399">
      <c r="B7399" s="31"/>
      <c r="G7399" s="272" t="s">
        <v>1099</v>
      </c>
    </row>
    <row r="7400">
      <c r="B7400" s="31"/>
      <c r="G7400" s="272" t="s">
        <v>1099</v>
      </c>
    </row>
    <row r="7401">
      <c r="B7401" s="31"/>
      <c r="G7401" s="272" t="s">
        <v>1099</v>
      </c>
    </row>
    <row r="7402">
      <c r="B7402" s="31"/>
      <c r="G7402" s="272" t="s">
        <v>1099</v>
      </c>
    </row>
    <row r="7403">
      <c r="B7403" s="31"/>
      <c r="G7403" s="272" t="s">
        <v>1099</v>
      </c>
    </row>
    <row r="7404">
      <c r="B7404" s="31"/>
      <c r="G7404" s="272" t="s">
        <v>1099</v>
      </c>
    </row>
    <row r="7405">
      <c r="B7405" s="31"/>
      <c r="G7405" s="272" t="s">
        <v>1099</v>
      </c>
    </row>
    <row r="7406">
      <c r="B7406" s="31"/>
      <c r="G7406" s="272" t="s">
        <v>1099</v>
      </c>
    </row>
    <row r="7407">
      <c r="B7407" s="31"/>
      <c r="G7407" s="272" t="s">
        <v>1099</v>
      </c>
    </row>
    <row r="7408">
      <c r="B7408" s="31"/>
      <c r="G7408" s="272" t="s">
        <v>1099</v>
      </c>
    </row>
    <row r="7409">
      <c r="B7409" s="31"/>
      <c r="G7409" s="272" t="s">
        <v>1099</v>
      </c>
    </row>
    <row r="7410">
      <c r="B7410" s="31"/>
      <c r="G7410" s="272" t="s">
        <v>1099</v>
      </c>
    </row>
    <row r="7411">
      <c r="B7411" s="31"/>
      <c r="G7411" s="272" t="s">
        <v>1099</v>
      </c>
    </row>
    <row r="7412">
      <c r="B7412" s="31"/>
      <c r="G7412" s="272" t="s">
        <v>1099</v>
      </c>
    </row>
    <row r="7413">
      <c r="B7413" s="31"/>
      <c r="G7413" s="272" t="s">
        <v>1099</v>
      </c>
    </row>
    <row r="7414">
      <c r="B7414" s="31"/>
      <c r="G7414" s="272" t="s">
        <v>1099</v>
      </c>
    </row>
    <row r="7415">
      <c r="B7415" s="31"/>
      <c r="G7415" s="272" t="s">
        <v>1099</v>
      </c>
    </row>
    <row r="7416">
      <c r="B7416" s="31"/>
      <c r="G7416" s="272" t="s">
        <v>1099</v>
      </c>
    </row>
    <row r="7417">
      <c r="B7417" s="31"/>
      <c r="G7417" s="272" t="s">
        <v>1099</v>
      </c>
    </row>
    <row r="7418">
      <c r="B7418" s="31"/>
      <c r="G7418" s="272" t="s">
        <v>1099</v>
      </c>
    </row>
    <row r="7419">
      <c r="B7419" s="31"/>
      <c r="G7419" s="272" t="s">
        <v>1099</v>
      </c>
    </row>
    <row r="7420">
      <c r="B7420" s="31"/>
      <c r="G7420" s="272" t="s">
        <v>1099</v>
      </c>
    </row>
    <row r="7421">
      <c r="B7421" s="31"/>
      <c r="G7421" s="272" t="s">
        <v>1099</v>
      </c>
    </row>
    <row r="7422">
      <c r="B7422" s="31"/>
      <c r="G7422" s="272" t="s">
        <v>1099</v>
      </c>
    </row>
    <row r="7423">
      <c r="B7423" s="31"/>
      <c r="G7423" s="272" t="s">
        <v>1099</v>
      </c>
    </row>
    <row r="7424">
      <c r="B7424" s="31"/>
      <c r="G7424" s="272" t="s">
        <v>1099</v>
      </c>
    </row>
    <row r="7425">
      <c r="B7425" s="31"/>
      <c r="G7425" s="272" t="s">
        <v>1099</v>
      </c>
    </row>
    <row r="7426">
      <c r="B7426" s="31"/>
      <c r="G7426" s="272" t="s">
        <v>1099</v>
      </c>
    </row>
    <row r="7427">
      <c r="B7427" s="31"/>
      <c r="G7427" s="272" t="s">
        <v>1099</v>
      </c>
    </row>
    <row r="7428">
      <c r="B7428" s="31"/>
      <c r="G7428" s="272" t="s">
        <v>1099</v>
      </c>
    </row>
    <row r="7429">
      <c r="B7429" s="31"/>
      <c r="G7429" s="272" t="s">
        <v>1099</v>
      </c>
    </row>
    <row r="7430">
      <c r="B7430" s="31"/>
      <c r="G7430" s="272" t="s">
        <v>1099</v>
      </c>
    </row>
    <row r="7431">
      <c r="B7431" s="31"/>
      <c r="G7431" s="272" t="s">
        <v>1099</v>
      </c>
    </row>
    <row r="7432">
      <c r="B7432" s="31"/>
      <c r="G7432" s="272" t="s">
        <v>1099</v>
      </c>
    </row>
    <row r="7433">
      <c r="B7433" s="31"/>
      <c r="G7433" s="272" t="s">
        <v>1099</v>
      </c>
    </row>
    <row r="7434">
      <c r="B7434" s="31"/>
      <c r="G7434" s="272" t="s">
        <v>1099</v>
      </c>
    </row>
    <row r="7435">
      <c r="B7435" s="31"/>
      <c r="G7435" s="272" t="s">
        <v>1099</v>
      </c>
    </row>
    <row r="7436">
      <c r="B7436" s="31"/>
      <c r="G7436" s="272" t="s">
        <v>1099</v>
      </c>
    </row>
    <row r="7437">
      <c r="B7437" s="31"/>
      <c r="G7437" s="272" t="s">
        <v>1099</v>
      </c>
    </row>
    <row r="7438">
      <c r="B7438" s="31"/>
      <c r="G7438" s="272" t="s">
        <v>1099</v>
      </c>
    </row>
    <row r="7439">
      <c r="B7439" s="31"/>
      <c r="G7439" s="272" t="s">
        <v>1099</v>
      </c>
    </row>
    <row r="7440">
      <c r="B7440" s="31"/>
      <c r="G7440" s="272" t="s">
        <v>1099</v>
      </c>
    </row>
    <row r="7441">
      <c r="B7441" s="31"/>
      <c r="G7441" s="272" t="s">
        <v>1099</v>
      </c>
    </row>
    <row r="7442">
      <c r="B7442" s="31"/>
      <c r="G7442" s="272" t="s">
        <v>1099</v>
      </c>
    </row>
    <row r="7443">
      <c r="B7443" s="31"/>
      <c r="G7443" s="272" t="s">
        <v>1099</v>
      </c>
    </row>
    <row r="7444">
      <c r="B7444" s="31"/>
      <c r="G7444" s="272" t="s">
        <v>1099</v>
      </c>
    </row>
    <row r="7445">
      <c r="B7445" s="31"/>
      <c r="G7445" s="272" t="s">
        <v>1099</v>
      </c>
    </row>
    <row r="7446">
      <c r="B7446" s="31"/>
      <c r="G7446" s="272" t="s">
        <v>1099</v>
      </c>
    </row>
    <row r="7447">
      <c r="B7447" s="31"/>
      <c r="G7447" s="272" t="s">
        <v>1099</v>
      </c>
    </row>
    <row r="7448">
      <c r="B7448" s="31"/>
      <c r="G7448" s="272" t="s">
        <v>1099</v>
      </c>
    </row>
    <row r="7449">
      <c r="B7449" s="31"/>
      <c r="G7449" s="272" t="s">
        <v>1099</v>
      </c>
    </row>
    <row r="7450">
      <c r="B7450" s="31"/>
      <c r="G7450" s="272" t="s">
        <v>1099</v>
      </c>
    </row>
    <row r="7451">
      <c r="B7451" s="31"/>
      <c r="G7451" s="272" t="s">
        <v>1099</v>
      </c>
    </row>
    <row r="7452">
      <c r="B7452" s="31"/>
      <c r="G7452" s="272" t="s">
        <v>1099</v>
      </c>
    </row>
    <row r="7453">
      <c r="B7453" s="31"/>
      <c r="G7453" s="272" t="s">
        <v>1099</v>
      </c>
    </row>
    <row r="7454">
      <c r="B7454" s="31"/>
      <c r="G7454" s="272" t="s">
        <v>1099</v>
      </c>
    </row>
    <row r="7455">
      <c r="B7455" s="31"/>
      <c r="G7455" s="272" t="s">
        <v>1099</v>
      </c>
    </row>
    <row r="7456">
      <c r="B7456" s="31"/>
      <c r="G7456" s="272" t="s">
        <v>1099</v>
      </c>
    </row>
    <row r="7457">
      <c r="B7457" s="31"/>
      <c r="G7457" s="272" t="s">
        <v>1099</v>
      </c>
    </row>
    <row r="7458">
      <c r="B7458" s="31"/>
      <c r="G7458" s="272" t="s">
        <v>1099</v>
      </c>
    </row>
    <row r="7459">
      <c r="B7459" s="31"/>
      <c r="G7459" s="272" t="s">
        <v>1099</v>
      </c>
    </row>
    <row r="7460">
      <c r="B7460" s="31"/>
      <c r="G7460" s="272" t="s">
        <v>1099</v>
      </c>
    </row>
    <row r="7461">
      <c r="B7461" s="31"/>
      <c r="G7461" s="272" t="s">
        <v>1099</v>
      </c>
    </row>
    <row r="7462">
      <c r="B7462" s="31"/>
      <c r="G7462" s="272" t="s">
        <v>1099</v>
      </c>
    </row>
    <row r="7463">
      <c r="B7463" s="31"/>
      <c r="G7463" s="272" t="s">
        <v>1099</v>
      </c>
    </row>
    <row r="7464">
      <c r="B7464" s="31"/>
      <c r="G7464" s="272" t="s">
        <v>1099</v>
      </c>
    </row>
    <row r="7465">
      <c r="B7465" s="31"/>
      <c r="G7465" s="272" t="s">
        <v>1099</v>
      </c>
    </row>
    <row r="7466">
      <c r="B7466" s="31"/>
      <c r="G7466" s="272" t="s">
        <v>1099</v>
      </c>
    </row>
    <row r="7467">
      <c r="B7467" s="31"/>
      <c r="G7467" s="272" t="s">
        <v>1099</v>
      </c>
    </row>
    <row r="7468">
      <c r="B7468" s="31"/>
      <c r="G7468" s="272" t="s">
        <v>1099</v>
      </c>
    </row>
    <row r="7469">
      <c r="B7469" s="31"/>
      <c r="G7469" s="272" t="s">
        <v>1099</v>
      </c>
    </row>
    <row r="7470">
      <c r="B7470" s="31"/>
      <c r="G7470" s="272" t="s">
        <v>1099</v>
      </c>
    </row>
    <row r="7471">
      <c r="B7471" s="31"/>
      <c r="G7471" s="272" t="s">
        <v>1099</v>
      </c>
    </row>
    <row r="7472">
      <c r="B7472" s="31"/>
      <c r="G7472" s="272" t="s">
        <v>1099</v>
      </c>
    </row>
    <row r="7473">
      <c r="B7473" s="31"/>
      <c r="G7473" s="272" t="s">
        <v>1099</v>
      </c>
    </row>
    <row r="7474">
      <c r="B7474" s="31"/>
      <c r="G7474" s="272" t="s">
        <v>1099</v>
      </c>
    </row>
    <row r="7475">
      <c r="B7475" s="31"/>
      <c r="G7475" s="272" t="s">
        <v>1099</v>
      </c>
    </row>
    <row r="7476">
      <c r="B7476" s="31"/>
      <c r="G7476" s="272" t="s">
        <v>1099</v>
      </c>
    </row>
    <row r="7477">
      <c r="B7477" s="31"/>
      <c r="G7477" s="272" t="s">
        <v>1099</v>
      </c>
    </row>
    <row r="7478">
      <c r="B7478" s="31"/>
      <c r="G7478" s="272" t="s">
        <v>1099</v>
      </c>
    </row>
    <row r="7479">
      <c r="B7479" s="31"/>
      <c r="G7479" s="272" t="s">
        <v>1099</v>
      </c>
    </row>
    <row r="7480">
      <c r="B7480" s="31"/>
      <c r="G7480" s="272" t="s">
        <v>1099</v>
      </c>
    </row>
    <row r="7481">
      <c r="B7481" s="31"/>
      <c r="G7481" s="272" t="s">
        <v>1099</v>
      </c>
    </row>
    <row r="7482">
      <c r="B7482" s="31"/>
      <c r="G7482" s="272" t="s">
        <v>1099</v>
      </c>
    </row>
    <row r="7483">
      <c r="B7483" s="31"/>
      <c r="G7483" s="272" t="s">
        <v>1099</v>
      </c>
    </row>
    <row r="7484">
      <c r="B7484" s="31"/>
      <c r="G7484" s="272" t="s">
        <v>1099</v>
      </c>
    </row>
    <row r="7485">
      <c r="B7485" s="31"/>
      <c r="G7485" s="272" t="s">
        <v>1099</v>
      </c>
    </row>
    <row r="7486">
      <c r="B7486" s="31"/>
      <c r="G7486" s="272" t="s">
        <v>1099</v>
      </c>
    </row>
    <row r="7487">
      <c r="B7487" s="31"/>
      <c r="G7487" s="272" t="s">
        <v>1099</v>
      </c>
    </row>
    <row r="7488">
      <c r="B7488" s="31"/>
      <c r="G7488" s="272" t="s">
        <v>1099</v>
      </c>
    </row>
    <row r="7489">
      <c r="B7489" s="31"/>
      <c r="G7489" s="272" t="s">
        <v>1099</v>
      </c>
    </row>
    <row r="7490">
      <c r="B7490" s="31"/>
      <c r="G7490" s="272" t="s">
        <v>1099</v>
      </c>
    </row>
    <row r="7491">
      <c r="B7491" s="31"/>
      <c r="G7491" s="272" t="s">
        <v>1099</v>
      </c>
    </row>
    <row r="7492">
      <c r="B7492" s="31"/>
      <c r="G7492" s="272" t="s">
        <v>1099</v>
      </c>
    </row>
    <row r="7493">
      <c r="B7493" s="31"/>
      <c r="G7493" s="272" t="s">
        <v>1099</v>
      </c>
    </row>
    <row r="7494">
      <c r="B7494" s="31"/>
      <c r="G7494" s="272" t="s">
        <v>1099</v>
      </c>
    </row>
    <row r="7495">
      <c r="B7495" s="31"/>
      <c r="G7495" s="272" t="s">
        <v>1099</v>
      </c>
    </row>
    <row r="7496">
      <c r="B7496" s="31"/>
      <c r="G7496" s="272" t="s">
        <v>1099</v>
      </c>
    </row>
    <row r="7497">
      <c r="B7497" s="31"/>
      <c r="G7497" s="272" t="s">
        <v>1099</v>
      </c>
    </row>
    <row r="7498">
      <c r="B7498" s="31"/>
      <c r="G7498" s="272" t="s">
        <v>1099</v>
      </c>
    </row>
    <row r="7499">
      <c r="B7499" s="31"/>
      <c r="G7499" s="272" t="s">
        <v>1099</v>
      </c>
    </row>
    <row r="7500">
      <c r="B7500" s="31"/>
      <c r="G7500" s="272" t="s">
        <v>1099</v>
      </c>
    </row>
    <row r="7501">
      <c r="B7501" s="31"/>
      <c r="G7501" s="272" t="s">
        <v>1099</v>
      </c>
    </row>
    <row r="7502">
      <c r="B7502" s="31"/>
      <c r="G7502" s="272" t="s">
        <v>1099</v>
      </c>
    </row>
    <row r="7503">
      <c r="B7503" s="31"/>
      <c r="G7503" s="272" t="s">
        <v>1099</v>
      </c>
    </row>
    <row r="7504">
      <c r="B7504" s="31"/>
      <c r="G7504" s="272" t="s">
        <v>1099</v>
      </c>
    </row>
    <row r="7505">
      <c r="B7505" s="31"/>
      <c r="G7505" s="272" t="s">
        <v>1099</v>
      </c>
    </row>
    <row r="7506">
      <c r="B7506" s="31"/>
      <c r="G7506" s="272" t="s">
        <v>1099</v>
      </c>
    </row>
    <row r="7507">
      <c r="B7507" s="31"/>
      <c r="G7507" s="272" t="s">
        <v>1099</v>
      </c>
    </row>
    <row r="7508">
      <c r="B7508" s="31"/>
      <c r="G7508" s="272" t="s">
        <v>1099</v>
      </c>
    </row>
    <row r="7509">
      <c r="B7509" s="31"/>
      <c r="G7509" s="272" t="s">
        <v>1099</v>
      </c>
    </row>
    <row r="7510">
      <c r="B7510" s="31"/>
      <c r="G7510" s="272" t="s">
        <v>1099</v>
      </c>
    </row>
    <row r="7511">
      <c r="B7511" s="31"/>
      <c r="G7511" s="272" t="s">
        <v>1099</v>
      </c>
    </row>
    <row r="7512">
      <c r="B7512" s="31"/>
      <c r="G7512" s="272" t="s">
        <v>1099</v>
      </c>
    </row>
    <row r="7513">
      <c r="B7513" s="31"/>
      <c r="G7513" s="272" t="s">
        <v>1099</v>
      </c>
    </row>
    <row r="7514">
      <c r="B7514" s="31"/>
      <c r="G7514" s="272" t="s">
        <v>1099</v>
      </c>
    </row>
    <row r="7515">
      <c r="B7515" s="31"/>
      <c r="G7515" s="272" t="s">
        <v>1099</v>
      </c>
    </row>
    <row r="7516">
      <c r="B7516" s="31"/>
      <c r="G7516" s="272" t="s">
        <v>1099</v>
      </c>
    </row>
    <row r="7517">
      <c r="B7517" s="31"/>
      <c r="G7517" s="272" t="s">
        <v>1099</v>
      </c>
    </row>
    <row r="7518">
      <c r="B7518" s="31"/>
      <c r="G7518" s="272" t="s">
        <v>1099</v>
      </c>
    </row>
    <row r="7519">
      <c r="B7519" s="31"/>
      <c r="G7519" s="272" t="s">
        <v>1099</v>
      </c>
    </row>
    <row r="7520">
      <c r="B7520" s="31"/>
      <c r="G7520" s="272" t="s">
        <v>1099</v>
      </c>
    </row>
    <row r="7521">
      <c r="B7521" s="31"/>
      <c r="G7521" s="272" t="s">
        <v>1099</v>
      </c>
    </row>
    <row r="7522">
      <c r="B7522" s="31"/>
      <c r="G7522" s="272" t="s">
        <v>1099</v>
      </c>
    </row>
    <row r="7523">
      <c r="B7523" s="31"/>
      <c r="G7523" s="272" t="s">
        <v>1099</v>
      </c>
    </row>
    <row r="7524">
      <c r="B7524" s="31"/>
      <c r="G7524" s="272" t="s">
        <v>1099</v>
      </c>
    </row>
    <row r="7525">
      <c r="B7525" s="31"/>
      <c r="G7525" s="272" t="s">
        <v>1099</v>
      </c>
    </row>
    <row r="7526">
      <c r="B7526" s="31"/>
      <c r="G7526" s="272" t="s">
        <v>1099</v>
      </c>
    </row>
    <row r="7527">
      <c r="B7527" s="31"/>
      <c r="G7527" s="272" t="s">
        <v>1099</v>
      </c>
    </row>
    <row r="7528">
      <c r="B7528" s="31"/>
      <c r="G7528" s="272" t="s">
        <v>1099</v>
      </c>
    </row>
    <row r="7529">
      <c r="B7529" s="31"/>
      <c r="G7529" s="272" t="s">
        <v>1099</v>
      </c>
    </row>
    <row r="7530">
      <c r="B7530" s="31"/>
      <c r="G7530" s="272" t="s">
        <v>1099</v>
      </c>
    </row>
    <row r="7531">
      <c r="B7531" s="31"/>
      <c r="G7531" s="272" t="s">
        <v>1099</v>
      </c>
    </row>
    <row r="7532">
      <c r="B7532" s="31"/>
      <c r="G7532" s="272" t="s">
        <v>1099</v>
      </c>
    </row>
    <row r="7533">
      <c r="B7533" s="31"/>
      <c r="G7533" s="272" t="s">
        <v>1099</v>
      </c>
    </row>
    <row r="7534">
      <c r="B7534" s="31"/>
      <c r="G7534" s="272" t="s">
        <v>1099</v>
      </c>
    </row>
    <row r="7535">
      <c r="B7535" s="31"/>
      <c r="G7535" s="272" t="s">
        <v>1099</v>
      </c>
    </row>
    <row r="7536">
      <c r="B7536" s="31"/>
      <c r="G7536" s="272" t="s">
        <v>1099</v>
      </c>
    </row>
    <row r="7537">
      <c r="B7537" s="31"/>
      <c r="G7537" s="272" t="s">
        <v>1099</v>
      </c>
    </row>
    <row r="7538">
      <c r="B7538" s="31"/>
      <c r="G7538" s="272" t="s">
        <v>1099</v>
      </c>
    </row>
    <row r="7539">
      <c r="B7539" s="31"/>
      <c r="G7539" s="272" t="s">
        <v>1099</v>
      </c>
    </row>
    <row r="7540">
      <c r="B7540" s="31"/>
      <c r="G7540" s="272" t="s">
        <v>1099</v>
      </c>
    </row>
    <row r="7541">
      <c r="B7541" s="31"/>
      <c r="G7541" s="272" t="s">
        <v>1099</v>
      </c>
    </row>
    <row r="7542">
      <c r="B7542" s="31"/>
      <c r="G7542" s="272" t="s">
        <v>1099</v>
      </c>
    </row>
    <row r="7543">
      <c r="B7543" s="31"/>
      <c r="G7543" s="272" t="s">
        <v>1099</v>
      </c>
    </row>
    <row r="7544">
      <c r="B7544" s="31"/>
      <c r="G7544" s="272" t="s">
        <v>1099</v>
      </c>
    </row>
    <row r="7545">
      <c r="B7545" s="31"/>
      <c r="G7545" s="272" t="s">
        <v>1099</v>
      </c>
    </row>
    <row r="7546">
      <c r="B7546" s="31"/>
      <c r="G7546" s="272" t="s">
        <v>1099</v>
      </c>
    </row>
    <row r="7547">
      <c r="B7547" s="31"/>
      <c r="G7547" s="272" t="s">
        <v>1099</v>
      </c>
    </row>
    <row r="7548">
      <c r="B7548" s="31"/>
      <c r="G7548" s="272" t="s">
        <v>1099</v>
      </c>
    </row>
    <row r="7549">
      <c r="B7549" s="31"/>
      <c r="G7549" s="272" t="s">
        <v>1099</v>
      </c>
    </row>
    <row r="7550">
      <c r="B7550" s="31"/>
      <c r="G7550" s="272" t="s">
        <v>1099</v>
      </c>
    </row>
    <row r="7551">
      <c r="B7551" s="31"/>
      <c r="G7551" s="272" t="s">
        <v>1099</v>
      </c>
    </row>
    <row r="7552">
      <c r="B7552" s="31"/>
      <c r="G7552" s="272" t="s">
        <v>1099</v>
      </c>
    </row>
    <row r="7553">
      <c r="B7553" s="31"/>
      <c r="G7553" s="272" t="s">
        <v>1099</v>
      </c>
    </row>
    <row r="7554">
      <c r="B7554" s="31"/>
      <c r="G7554" s="272" t="s">
        <v>1099</v>
      </c>
    </row>
    <row r="7555">
      <c r="B7555" s="31"/>
      <c r="G7555" s="272" t="s">
        <v>1099</v>
      </c>
    </row>
    <row r="7556">
      <c r="B7556" s="31"/>
      <c r="G7556" s="272" t="s">
        <v>1099</v>
      </c>
    </row>
    <row r="7557">
      <c r="B7557" s="31"/>
      <c r="G7557" s="272" t="s">
        <v>1099</v>
      </c>
    </row>
    <row r="7558">
      <c r="B7558" s="31"/>
      <c r="G7558" s="272" t="s">
        <v>1099</v>
      </c>
    </row>
    <row r="7559">
      <c r="B7559" s="31"/>
      <c r="G7559" s="272" t="s">
        <v>1099</v>
      </c>
    </row>
    <row r="7560">
      <c r="B7560" s="31"/>
      <c r="G7560" s="272" t="s">
        <v>1099</v>
      </c>
    </row>
    <row r="7561">
      <c r="B7561" s="31"/>
      <c r="G7561" s="272" t="s">
        <v>1099</v>
      </c>
    </row>
    <row r="7562">
      <c r="B7562" s="31"/>
      <c r="G7562" s="272" t="s">
        <v>1099</v>
      </c>
    </row>
    <row r="7563">
      <c r="B7563" s="31"/>
      <c r="G7563" s="272" t="s">
        <v>1099</v>
      </c>
    </row>
    <row r="7564">
      <c r="B7564" s="31"/>
      <c r="G7564" s="272" t="s">
        <v>1099</v>
      </c>
    </row>
    <row r="7565">
      <c r="B7565" s="31"/>
      <c r="G7565" s="272" t="s">
        <v>1099</v>
      </c>
    </row>
    <row r="7566">
      <c r="B7566" s="31"/>
      <c r="G7566" s="272" t="s">
        <v>1099</v>
      </c>
    </row>
    <row r="7567">
      <c r="B7567" s="31"/>
      <c r="G7567" s="272" t="s">
        <v>1099</v>
      </c>
    </row>
    <row r="7568">
      <c r="B7568" s="31"/>
      <c r="G7568" s="272" t="s">
        <v>1099</v>
      </c>
    </row>
    <row r="7569">
      <c r="B7569" s="31"/>
      <c r="G7569" s="272" t="s">
        <v>1099</v>
      </c>
    </row>
    <row r="7570">
      <c r="B7570" s="31"/>
      <c r="G7570" s="272" t="s">
        <v>1099</v>
      </c>
    </row>
    <row r="7571">
      <c r="B7571" s="31"/>
      <c r="G7571" s="272" t="s">
        <v>1099</v>
      </c>
    </row>
    <row r="7572">
      <c r="B7572" s="31"/>
      <c r="G7572" s="272" t="s">
        <v>1099</v>
      </c>
    </row>
    <row r="7573">
      <c r="B7573" s="31"/>
      <c r="G7573" s="272" t="s">
        <v>1099</v>
      </c>
    </row>
    <row r="7574">
      <c r="B7574" s="31"/>
      <c r="G7574" s="272" t="s">
        <v>1099</v>
      </c>
    </row>
    <row r="7575">
      <c r="B7575" s="31"/>
      <c r="G7575" s="272" t="s">
        <v>1099</v>
      </c>
    </row>
    <row r="7576">
      <c r="B7576" s="31"/>
      <c r="G7576" s="272" t="s">
        <v>1099</v>
      </c>
    </row>
    <row r="7577">
      <c r="B7577" s="31"/>
      <c r="G7577" s="272" t="s">
        <v>1099</v>
      </c>
    </row>
    <row r="7578">
      <c r="B7578" s="31"/>
      <c r="G7578" s="272" t="s">
        <v>1099</v>
      </c>
    </row>
    <row r="7579">
      <c r="B7579" s="31"/>
      <c r="G7579" s="272" t="s">
        <v>1099</v>
      </c>
    </row>
    <row r="7580">
      <c r="B7580" s="31"/>
      <c r="G7580" s="272" t="s">
        <v>1099</v>
      </c>
    </row>
    <row r="7581">
      <c r="B7581" s="31"/>
      <c r="G7581" s="272" t="s">
        <v>1099</v>
      </c>
    </row>
    <row r="7582">
      <c r="B7582" s="31"/>
      <c r="G7582" s="272" t="s">
        <v>1099</v>
      </c>
    </row>
    <row r="7583">
      <c r="B7583" s="31"/>
      <c r="G7583" s="272" t="s">
        <v>1099</v>
      </c>
    </row>
    <row r="7584">
      <c r="B7584" s="31"/>
      <c r="G7584" s="272" t="s">
        <v>1099</v>
      </c>
    </row>
    <row r="7585">
      <c r="B7585" s="31"/>
      <c r="G7585" s="272" t="s">
        <v>1099</v>
      </c>
    </row>
    <row r="7586">
      <c r="B7586" s="31"/>
      <c r="G7586" s="272" t="s">
        <v>1099</v>
      </c>
    </row>
    <row r="7587">
      <c r="B7587" s="31"/>
      <c r="G7587" s="272" t="s">
        <v>1099</v>
      </c>
    </row>
    <row r="7588">
      <c r="B7588" s="31"/>
      <c r="G7588" s="272" t="s">
        <v>1099</v>
      </c>
    </row>
    <row r="7589">
      <c r="B7589" s="31"/>
      <c r="G7589" s="272" t="s">
        <v>1099</v>
      </c>
    </row>
    <row r="7590">
      <c r="B7590" s="31"/>
      <c r="G7590" s="272" t="s">
        <v>1099</v>
      </c>
    </row>
    <row r="7591">
      <c r="B7591" s="31"/>
      <c r="G7591" s="272" t="s">
        <v>1099</v>
      </c>
    </row>
    <row r="7592">
      <c r="B7592" s="31"/>
      <c r="G7592" s="272" t="s">
        <v>1099</v>
      </c>
    </row>
    <row r="7593">
      <c r="B7593" s="31"/>
      <c r="G7593" s="272" t="s">
        <v>1099</v>
      </c>
    </row>
    <row r="7594">
      <c r="B7594" s="31"/>
      <c r="G7594" s="272" t="s">
        <v>1099</v>
      </c>
    </row>
    <row r="7595">
      <c r="B7595" s="31"/>
      <c r="G7595" s="272" t="s">
        <v>1099</v>
      </c>
    </row>
    <row r="7596">
      <c r="B7596" s="31"/>
      <c r="G7596" s="272" t="s">
        <v>1099</v>
      </c>
    </row>
    <row r="7597">
      <c r="B7597" s="31"/>
      <c r="G7597" s="272" t="s">
        <v>1099</v>
      </c>
    </row>
    <row r="7598">
      <c r="B7598" s="31"/>
      <c r="G7598" s="272" t="s">
        <v>1099</v>
      </c>
    </row>
    <row r="7599">
      <c r="B7599" s="31"/>
      <c r="G7599" s="272" t="s">
        <v>1099</v>
      </c>
    </row>
    <row r="7600">
      <c r="B7600" s="31"/>
      <c r="G7600" s="272" t="s">
        <v>1099</v>
      </c>
    </row>
    <row r="7601">
      <c r="B7601" s="31"/>
      <c r="G7601" s="272" t="s">
        <v>1099</v>
      </c>
    </row>
    <row r="7602">
      <c r="B7602" s="31"/>
      <c r="G7602" s="272" t="s">
        <v>1099</v>
      </c>
    </row>
    <row r="7603">
      <c r="B7603" s="31"/>
      <c r="G7603" s="272" t="s">
        <v>1099</v>
      </c>
    </row>
    <row r="7604">
      <c r="B7604" s="31"/>
      <c r="G7604" s="272" t="s">
        <v>1099</v>
      </c>
    </row>
    <row r="7605">
      <c r="B7605" s="31"/>
      <c r="G7605" s="272" t="s">
        <v>1099</v>
      </c>
    </row>
    <row r="7606">
      <c r="B7606" s="31"/>
      <c r="G7606" s="272" t="s">
        <v>1099</v>
      </c>
    </row>
    <row r="7607">
      <c r="B7607" s="31"/>
      <c r="G7607" s="272" t="s">
        <v>1099</v>
      </c>
    </row>
    <row r="7608">
      <c r="B7608" s="31"/>
      <c r="G7608" s="272" t="s">
        <v>1099</v>
      </c>
    </row>
    <row r="7609">
      <c r="B7609" s="31"/>
      <c r="G7609" s="272" t="s">
        <v>1099</v>
      </c>
    </row>
    <row r="7610">
      <c r="B7610" s="31"/>
      <c r="G7610" s="272" t="s">
        <v>1099</v>
      </c>
    </row>
    <row r="7611">
      <c r="B7611" s="31"/>
      <c r="G7611" s="272" t="s">
        <v>1099</v>
      </c>
    </row>
    <row r="7612">
      <c r="B7612" s="31"/>
      <c r="G7612" s="272" t="s">
        <v>1099</v>
      </c>
    </row>
    <row r="7613">
      <c r="B7613" s="31"/>
      <c r="G7613" s="272" t="s">
        <v>1099</v>
      </c>
    </row>
    <row r="7614">
      <c r="B7614" s="31"/>
      <c r="G7614" s="272" t="s">
        <v>1099</v>
      </c>
    </row>
    <row r="7615">
      <c r="B7615" s="31"/>
      <c r="G7615" s="272" t="s">
        <v>1099</v>
      </c>
    </row>
    <row r="7616">
      <c r="B7616" s="31"/>
      <c r="G7616" s="272" t="s">
        <v>1099</v>
      </c>
    </row>
    <row r="7617">
      <c r="B7617" s="31"/>
      <c r="G7617" s="272" t="s">
        <v>1099</v>
      </c>
    </row>
    <row r="7618">
      <c r="B7618" s="31"/>
      <c r="G7618" s="272" t="s">
        <v>1099</v>
      </c>
    </row>
    <row r="7619">
      <c r="B7619" s="31"/>
      <c r="G7619" s="272" t="s">
        <v>1099</v>
      </c>
    </row>
    <row r="7620">
      <c r="B7620" s="31"/>
      <c r="G7620" s="272" t="s">
        <v>1099</v>
      </c>
    </row>
    <row r="7621">
      <c r="B7621" s="31"/>
      <c r="G7621" s="272" t="s">
        <v>1099</v>
      </c>
    </row>
    <row r="7622">
      <c r="B7622" s="31"/>
      <c r="G7622" s="272" t="s">
        <v>1099</v>
      </c>
    </row>
    <row r="7623">
      <c r="B7623" s="31"/>
      <c r="G7623" s="272" t="s">
        <v>1099</v>
      </c>
    </row>
    <row r="7624">
      <c r="B7624" s="31"/>
      <c r="G7624" s="272" t="s">
        <v>1099</v>
      </c>
    </row>
    <row r="7625">
      <c r="B7625" s="31"/>
      <c r="G7625" s="272" t="s">
        <v>1099</v>
      </c>
    </row>
    <row r="7626">
      <c r="B7626" s="31"/>
      <c r="G7626" s="272" t="s">
        <v>1099</v>
      </c>
    </row>
    <row r="7627">
      <c r="B7627" s="31"/>
      <c r="G7627" s="272" t="s">
        <v>1099</v>
      </c>
    </row>
    <row r="7628">
      <c r="B7628" s="31"/>
      <c r="G7628" s="272" t="s">
        <v>1099</v>
      </c>
    </row>
    <row r="7629">
      <c r="B7629" s="31"/>
      <c r="G7629" s="272" t="s">
        <v>1099</v>
      </c>
    </row>
    <row r="7630">
      <c r="B7630" s="31"/>
      <c r="G7630" s="272" t="s">
        <v>1099</v>
      </c>
    </row>
    <row r="7631">
      <c r="B7631" s="31"/>
      <c r="G7631" s="272" t="s">
        <v>1099</v>
      </c>
    </row>
    <row r="7632">
      <c r="B7632" s="31"/>
      <c r="G7632" s="272" t="s">
        <v>1099</v>
      </c>
    </row>
    <row r="7633">
      <c r="B7633" s="31"/>
      <c r="G7633" s="272" t="s">
        <v>1099</v>
      </c>
    </row>
    <row r="7634">
      <c r="B7634" s="31"/>
      <c r="G7634" s="272" t="s">
        <v>1099</v>
      </c>
    </row>
    <row r="7635">
      <c r="B7635" s="31"/>
      <c r="G7635" s="272" t="s">
        <v>1099</v>
      </c>
    </row>
    <row r="7636">
      <c r="B7636" s="31"/>
      <c r="G7636" s="272" t="s">
        <v>1099</v>
      </c>
    </row>
    <row r="7637">
      <c r="B7637" s="31"/>
      <c r="G7637" s="272" t="s">
        <v>1099</v>
      </c>
    </row>
    <row r="7638">
      <c r="B7638" s="31"/>
      <c r="G7638" s="272" t="s">
        <v>1099</v>
      </c>
    </row>
    <row r="7639">
      <c r="B7639" s="31"/>
      <c r="G7639" s="272" t="s">
        <v>1099</v>
      </c>
    </row>
    <row r="7640">
      <c r="B7640" s="31"/>
      <c r="G7640" s="272" t="s">
        <v>1099</v>
      </c>
    </row>
    <row r="7641">
      <c r="B7641" s="31"/>
      <c r="G7641" s="272" t="s">
        <v>1099</v>
      </c>
    </row>
    <row r="7642">
      <c r="B7642" s="31"/>
      <c r="G7642" s="272" t="s">
        <v>1099</v>
      </c>
    </row>
    <row r="7643">
      <c r="B7643" s="31"/>
      <c r="G7643" s="272" t="s">
        <v>1099</v>
      </c>
    </row>
    <row r="7644">
      <c r="B7644" s="31"/>
      <c r="G7644" s="272" t="s">
        <v>1099</v>
      </c>
    </row>
    <row r="7645">
      <c r="B7645" s="31"/>
      <c r="G7645" s="272" t="s">
        <v>1099</v>
      </c>
    </row>
    <row r="7646">
      <c r="B7646" s="31"/>
      <c r="G7646" s="272" t="s">
        <v>1099</v>
      </c>
    </row>
    <row r="7647">
      <c r="B7647" s="31"/>
      <c r="G7647" s="272" t="s">
        <v>1099</v>
      </c>
    </row>
    <row r="7648">
      <c r="B7648" s="31"/>
      <c r="G7648" s="272" t="s">
        <v>1099</v>
      </c>
    </row>
    <row r="7649">
      <c r="B7649" s="31"/>
      <c r="G7649" s="272" t="s">
        <v>1099</v>
      </c>
    </row>
    <row r="7650">
      <c r="B7650" s="31"/>
      <c r="G7650" s="272" t="s">
        <v>1099</v>
      </c>
    </row>
    <row r="7651">
      <c r="B7651" s="31"/>
      <c r="G7651" s="272" t="s">
        <v>1099</v>
      </c>
    </row>
    <row r="7652">
      <c r="B7652" s="31"/>
      <c r="G7652" s="272" t="s">
        <v>1099</v>
      </c>
    </row>
    <row r="7653">
      <c r="B7653" s="31"/>
      <c r="G7653" s="272" t="s">
        <v>1099</v>
      </c>
    </row>
    <row r="7654">
      <c r="B7654" s="31"/>
      <c r="G7654" s="272" t="s">
        <v>1099</v>
      </c>
    </row>
    <row r="7655">
      <c r="B7655" s="31"/>
      <c r="G7655" s="272" t="s">
        <v>1099</v>
      </c>
    </row>
    <row r="7656">
      <c r="B7656" s="31"/>
      <c r="G7656" s="272" t="s">
        <v>1099</v>
      </c>
    </row>
    <row r="7657">
      <c r="B7657" s="31"/>
      <c r="G7657" s="272" t="s">
        <v>1099</v>
      </c>
    </row>
    <row r="7658">
      <c r="B7658" s="31"/>
      <c r="G7658" s="272" t="s">
        <v>1099</v>
      </c>
    </row>
    <row r="7659">
      <c r="B7659" s="31"/>
      <c r="G7659" s="272" t="s">
        <v>1099</v>
      </c>
    </row>
    <row r="7660">
      <c r="B7660" s="31"/>
      <c r="G7660" s="272" t="s">
        <v>1099</v>
      </c>
    </row>
    <row r="7661">
      <c r="B7661" s="31"/>
      <c r="G7661" s="272" t="s">
        <v>1099</v>
      </c>
    </row>
    <row r="7662">
      <c r="B7662" s="31"/>
      <c r="G7662" s="272" t="s">
        <v>1099</v>
      </c>
    </row>
    <row r="7663">
      <c r="B7663" s="31"/>
      <c r="G7663" s="272" t="s">
        <v>1099</v>
      </c>
    </row>
    <row r="7664">
      <c r="B7664" s="31"/>
      <c r="G7664" s="272" t="s">
        <v>1099</v>
      </c>
    </row>
    <row r="7665">
      <c r="B7665" s="31"/>
      <c r="G7665" s="272" t="s">
        <v>1099</v>
      </c>
    </row>
    <row r="7666">
      <c r="B7666" s="31"/>
      <c r="G7666" s="272" t="s">
        <v>1099</v>
      </c>
    </row>
    <row r="7667">
      <c r="B7667" s="31"/>
      <c r="G7667" s="272" t="s">
        <v>1099</v>
      </c>
    </row>
    <row r="7668">
      <c r="B7668" s="31"/>
      <c r="G7668" s="272" t="s">
        <v>1099</v>
      </c>
    </row>
    <row r="7669">
      <c r="B7669" s="31"/>
      <c r="G7669" s="272" t="s">
        <v>1099</v>
      </c>
    </row>
    <row r="7670">
      <c r="B7670" s="31"/>
      <c r="G7670" s="272" t="s">
        <v>1099</v>
      </c>
    </row>
    <row r="7671">
      <c r="B7671" s="31"/>
      <c r="G7671" s="272" t="s">
        <v>1099</v>
      </c>
    </row>
    <row r="7672">
      <c r="B7672" s="31"/>
      <c r="G7672" s="272" t="s">
        <v>1099</v>
      </c>
    </row>
    <row r="7673">
      <c r="B7673" s="31"/>
      <c r="G7673" s="272" t="s">
        <v>1099</v>
      </c>
    </row>
    <row r="7674">
      <c r="B7674" s="31"/>
      <c r="G7674" s="272" t="s">
        <v>1099</v>
      </c>
    </row>
    <row r="7675">
      <c r="B7675" s="31"/>
      <c r="G7675" s="272" t="s">
        <v>1099</v>
      </c>
    </row>
    <row r="7676">
      <c r="B7676" s="31"/>
      <c r="G7676" s="272" t="s">
        <v>1099</v>
      </c>
    </row>
    <row r="7677">
      <c r="B7677" s="31"/>
      <c r="G7677" s="272" t="s">
        <v>1099</v>
      </c>
    </row>
    <row r="7678">
      <c r="B7678" s="31"/>
      <c r="G7678" s="272" t="s">
        <v>1099</v>
      </c>
    </row>
    <row r="7679">
      <c r="B7679" s="31"/>
      <c r="G7679" s="272" t="s">
        <v>1099</v>
      </c>
    </row>
    <row r="7680">
      <c r="B7680" s="31"/>
      <c r="G7680" s="272" t="s">
        <v>1099</v>
      </c>
    </row>
    <row r="7681">
      <c r="B7681" s="31"/>
      <c r="G7681" s="272" t="s">
        <v>1099</v>
      </c>
    </row>
    <row r="7682">
      <c r="B7682" s="31"/>
      <c r="G7682" s="272" t="s">
        <v>1099</v>
      </c>
    </row>
    <row r="7683">
      <c r="B7683" s="31"/>
      <c r="G7683" s="272" t="s">
        <v>1099</v>
      </c>
    </row>
    <row r="7684">
      <c r="B7684" s="31"/>
      <c r="G7684" s="272" t="s">
        <v>1099</v>
      </c>
    </row>
    <row r="7685">
      <c r="B7685" s="31"/>
      <c r="G7685" s="272" t="s">
        <v>1099</v>
      </c>
    </row>
    <row r="7686">
      <c r="B7686" s="31"/>
      <c r="G7686" s="272" t="s">
        <v>1099</v>
      </c>
    </row>
    <row r="7687">
      <c r="B7687" s="31"/>
      <c r="G7687" s="272" t="s">
        <v>1099</v>
      </c>
    </row>
    <row r="7688">
      <c r="B7688" s="31"/>
      <c r="G7688" s="272" t="s">
        <v>1099</v>
      </c>
    </row>
    <row r="7689">
      <c r="B7689" s="31"/>
      <c r="G7689" s="272" t="s">
        <v>1099</v>
      </c>
    </row>
    <row r="7690">
      <c r="B7690" s="31"/>
      <c r="G7690" s="272" t="s">
        <v>1099</v>
      </c>
    </row>
    <row r="7691">
      <c r="B7691" s="31"/>
      <c r="G7691" s="272" t="s">
        <v>1099</v>
      </c>
    </row>
    <row r="7692">
      <c r="B7692" s="31"/>
      <c r="G7692" s="272" t="s">
        <v>1099</v>
      </c>
    </row>
    <row r="7693">
      <c r="B7693" s="31"/>
      <c r="G7693" s="272" t="s">
        <v>1099</v>
      </c>
    </row>
    <row r="7694">
      <c r="B7694" s="31"/>
      <c r="G7694" s="272" t="s">
        <v>1099</v>
      </c>
    </row>
    <row r="7695">
      <c r="B7695" s="31"/>
      <c r="G7695" s="272" t="s">
        <v>1099</v>
      </c>
    </row>
    <row r="7696">
      <c r="B7696" s="31"/>
      <c r="G7696" s="272" t="s">
        <v>1099</v>
      </c>
    </row>
    <row r="7697">
      <c r="B7697" s="31"/>
      <c r="G7697" s="272" t="s">
        <v>1099</v>
      </c>
    </row>
    <row r="7698">
      <c r="B7698" s="31"/>
      <c r="G7698" s="272" t="s">
        <v>1099</v>
      </c>
    </row>
    <row r="7699">
      <c r="B7699" s="31"/>
      <c r="G7699" s="272" t="s">
        <v>1099</v>
      </c>
    </row>
    <row r="7700">
      <c r="B7700" s="31"/>
      <c r="G7700" s="272" t="s">
        <v>1099</v>
      </c>
    </row>
    <row r="7701">
      <c r="B7701" s="31"/>
      <c r="G7701" s="272" t="s">
        <v>1099</v>
      </c>
    </row>
    <row r="7702">
      <c r="B7702" s="31"/>
      <c r="G7702" s="272" t="s">
        <v>1099</v>
      </c>
    </row>
    <row r="7703">
      <c r="B7703" s="31"/>
      <c r="G7703" s="272" t="s">
        <v>1099</v>
      </c>
    </row>
    <row r="7704">
      <c r="B7704" s="31"/>
      <c r="G7704" s="272" t="s">
        <v>1099</v>
      </c>
    </row>
    <row r="7705">
      <c r="B7705" s="31"/>
      <c r="G7705" s="272" t="s">
        <v>1099</v>
      </c>
    </row>
    <row r="7706">
      <c r="B7706" s="31"/>
      <c r="G7706" s="272" t="s">
        <v>1099</v>
      </c>
    </row>
    <row r="7707">
      <c r="B7707" s="31"/>
      <c r="G7707" s="272" t="s">
        <v>1099</v>
      </c>
    </row>
    <row r="7708">
      <c r="B7708" s="31"/>
      <c r="G7708" s="272" t="s">
        <v>1099</v>
      </c>
    </row>
    <row r="7709">
      <c r="B7709" s="31"/>
      <c r="G7709" s="272" t="s">
        <v>1099</v>
      </c>
    </row>
    <row r="7710">
      <c r="B7710" s="31"/>
      <c r="G7710" s="272" t="s">
        <v>1099</v>
      </c>
    </row>
    <row r="7711">
      <c r="B7711" s="31"/>
      <c r="G7711" s="272" t="s">
        <v>1099</v>
      </c>
    </row>
    <row r="7712">
      <c r="B7712" s="31"/>
      <c r="G7712" s="272" t="s">
        <v>1099</v>
      </c>
    </row>
    <row r="7713">
      <c r="B7713" s="31"/>
      <c r="G7713" s="272" t="s">
        <v>1099</v>
      </c>
    </row>
    <row r="7714">
      <c r="B7714" s="31"/>
      <c r="G7714" s="272" t="s">
        <v>1099</v>
      </c>
    </row>
    <row r="7715">
      <c r="B7715" s="31"/>
      <c r="G7715" s="272" t="s">
        <v>1099</v>
      </c>
    </row>
    <row r="7716">
      <c r="B7716" s="31"/>
      <c r="G7716" s="272" t="s">
        <v>1099</v>
      </c>
    </row>
    <row r="7717">
      <c r="B7717" s="31"/>
      <c r="G7717" s="272" t="s">
        <v>1099</v>
      </c>
    </row>
    <row r="7718">
      <c r="B7718" s="31"/>
      <c r="G7718" s="272" t="s">
        <v>1099</v>
      </c>
    </row>
    <row r="7719">
      <c r="B7719" s="31"/>
      <c r="G7719" s="272" t="s">
        <v>1099</v>
      </c>
    </row>
    <row r="7720">
      <c r="B7720" s="31"/>
      <c r="G7720" s="272" t="s">
        <v>1099</v>
      </c>
    </row>
    <row r="7721">
      <c r="B7721" s="31"/>
      <c r="G7721" s="272" t="s">
        <v>1099</v>
      </c>
    </row>
    <row r="7722">
      <c r="B7722" s="31"/>
      <c r="G7722" s="272" t="s">
        <v>1099</v>
      </c>
    </row>
    <row r="7723">
      <c r="B7723" s="31"/>
      <c r="G7723" s="272" t="s">
        <v>1099</v>
      </c>
    </row>
    <row r="7724">
      <c r="B7724" s="31"/>
      <c r="G7724" s="272" t="s">
        <v>1099</v>
      </c>
    </row>
    <row r="7725">
      <c r="B7725" s="31"/>
      <c r="G7725" s="272" t="s">
        <v>1099</v>
      </c>
    </row>
    <row r="7726">
      <c r="B7726" s="31"/>
      <c r="G7726" s="272" t="s">
        <v>1099</v>
      </c>
    </row>
    <row r="7727">
      <c r="B7727" s="31"/>
      <c r="G7727" s="272" t="s">
        <v>1099</v>
      </c>
    </row>
    <row r="7728">
      <c r="B7728" s="31"/>
      <c r="G7728" s="272" t="s">
        <v>1099</v>
      </c>
    </row>
    <row r="7729">
      <c r="B7729" s="31"/>
      <c r="G7729" s="272" t="s">
        <v>1099</v>
      </c>
    </row>
    <row r="7730">
      <c r="B7730" s="31"/>
      <c r="G7730" s="272" t="s">
        <v>1099</v>
      </c>
    </row>
    <row r="7731">
      <c r="B7731" s="31"/>
      <c r="G7731" s="272" t="s">
        <v>1099</v>
      </c>
    </row>
    <row r="7732">
      <c r="B7732" s="31"/>
      <c r="G7732" s="272" t="s">
        <v>1099</v>
      </c>
    </row>
    <row r="7733">
      <c r="B7733" s="31"/>
      <c r="G7733" s="272" t="s">
        <v>1099</v>
      </c>
    </row>
    <row r="7734">
      <c r="B7734" s="31"/>
      <c r="G7734" s="272" t="s">
        <v>1099</v>
      </c>
    </row>
    <row r="7735">
      <c r="B7735" s="31"/>
      <c r="G7735" s="272" t="s">
        <v>1099</v>
      </c>
    </row>
    <row r="7736">
      <c r="B7736" s="31"/>
      <c r="G7736" s="272" t="s">
        <v>1099</v>
      </c>
    </row>
    <row r="7737">
      <c r="B7737" s="31"/>
      <c r="G7737" s="272" t="s">
        <v>1099</v>
      </c>
    </row>
    <row r="7738">
      <c r="B7738" s="31"/>
      <c r="G7738" s="272" t="s">
        <v>1099</v>
      </c>
    </row>
    <row r="7739">
      <c r="B7739" s="31"/>
      <c r="G7739" s="272" t="s">
        <v>1099</v>
      </c>
    </row>
    <row r="7740">
      <c r="B7740" s="31"/>
      <c r="G7740" s="272" t="s">
        <v>1099</v>
      </c>
    </row>
    <row r="7741">
      <c r="B7741" s="31"/>
      <c r="G7741" s="272" t="s">
        <v>1099</v>
      </c>
    </row>
    <row r="7742">
      <c r="B7742" s="31"/>
      <c r="G7742" s="272" t="s">
        <v>1099</v>
      </c>
    </row>
    <row r="7743">
      <c r="B7743" s="31"/>
      <c r="G7743" s="272" t="s">
        <v>1099</v>
      </c>
    </row>
    <row r="7744">
      <c r="B7744" s="31"/>
      <c r="G7744" s="272" t="s">
        <v>1099</v>
      </c>
    </row>
    <row r="7745">
      <c r="B7745" s="31"/>
      <c r="G7745" s="272" t="s">
        <v>1099</v>
      </c>
    </row>
    <row r="7746">
      <c r="B7746" s="31"/>
      <c r="G7746" s="272" t="s">
        <v>1099</v>
      </c>
    </row>
    <row r="7747">
      <c r="B7747" s="31"/>
      <c r="G7747" s="272" t="s">
        <v>1099</v>
      </c>
    </row>
    <row r="7748">
      <c r="B7748" s="31"/>
      <c r="G7748" s="272" t="s">
        <v>1099</v>
      </c>
    </row>
    <row r="7749">
      <c r="B7749" s="31"/>
      <c r="G7749" s="272" t="s">
        <v>1099</v>
      </c>
    </row>
    <row r="7750">
      <c r="B7750" s="31"/>
      <c r="G7750" s="272" t="s">
        <v>1099</v>
      </c>
    </row>
    <row r="7751">
      <c r="B7751" s="31"/>
      <c r="G7751" s="272" t="s">
        <v>1099</v>
      </c>
    </row>
    <row r="7752">
      <c r="B7752" s="31"/>
      <c r="G7752" s="272" t="s">
        <v>1099</v>
      </c>
    </row>
    <row r="7753">
      <c r="B7753" s="31"/>
      <c r="G7753" s="272" t="s">
        <v>1099</v>
      </c>
    </row>
    <row r="7754">
      <c r="B7754" s="31"/>
      <c r="G7754" s="272" t="s">
        <v>1099</v>
      </c>
    </row>
    <row r="7755">
      <c r="B7755" s="31"/>
      <c r="G7755" s="272" t="s">
        <v>1099</v>
      </c>
    </row>
    <row r="7756">
      <c r="B7756" s="31"/>
      <c r="G7756" s="272" t="s">
        <v>1099</v>
      </c>
    </row>
    <row r="7757">
      <c r="B7757" s="31"/>
      <c r="G7757" s="272" t="s">
        <v>1099</v>
      </c>
    </row>
    <row r="7758">
      <c r="B7758" s="31"/>
      <c r="G7758" s="272" t="s">
        <v>1099</v>
      </c>
    </row>
    <row r="7759">
      <c r="B7759" s="31"/>
      <c r="G7759" s="272" t="s">
        <v>1099</v>
      </c>
    </row>
    <row r="7760">
      <c r="B7760" s="31"/>
      <c r="G7760" s="272" t="s">
        <v>1099</v>
      </c>
    </row>
    <row r="7761">
      <c r="B7761" s="31"/>
      <c r="G7761" s="272" t="s">
        <v>1099</v>
      </c>
    </row>
    <row r="7762">
      <c r="B7762" s="31"/>
      <c r="G7762" s="272" t="s">
        <v>1099</v>
      </c>
    </row>
    <row r="7763">
      <c r="B7763" s="31"/>
      <c r="G7763" s="272" t="s">
        <v>1099</v>
      </c>
    </row>
    <row r="7764">
      <c r="B7764" s="31"/>
      <c r="G7764" s="272" t="s">
        <v>1099</v>
      </c>
    </row>
    <row r="7765">
      <c r="B7765" s="31"/>
      <c r="G7765" s="272" t="s">
        <v>1099</v>
      </c>
    </row>
    <row r="7766">
      <c r="B7766" s="31"/>
      <c r="G7766" s="272" t="s">
        <v>1099</v>
      </c>
    </row>
    <row r="7767">
      <c r="B7767" s="31"/>
      <c r="G7767" s="272" t="s">
        <v>1099</v>
      </c>
    </row>
    <row r="7768">
      <c r="B7768" s="31"/>
      <c r="G7768" s="272" t="s">
        <v>1099</v>
      </c>
    </row>
    <row r="7769">
      <c r="B7769" s="31"/>
      <c r="G7769" s="272" t="s">
        <v>1099</v>
      </c>
    </row>
    <row r="7770">
      <c r="B7770" s="31"/>
      <c r="G7770" s="272" t="s">
        <v>1099</v>
      </c>
    </row>
    <row r="7771">
      <c r="B7771" s="31"/>
      <c r="G7771" s="272" t="s">
        <v>1099</v>
      </c>
    </row>
    <row r="7772">
      <c r="B7772" s="31"/>
      <c r="G7772" s="272" t="s">
        <v>1099</v>
      </c>
    </row>
    <row r="7773">
      <c r="B7773" s="31"/>
      <c r="G7773" s="272" t="s">
        <v>1099</v>
      </c>
    </row>
    <row r="7774">
      <c r="B7774" s="31"/>
      <c r="G7774" s="272" t="s">
        <v>1099</v>
      </c>
    </row>
    <row r="7775">
      <c r="B7775" s="31"/>
      <c r="G7775" s="272" t="s">
        <v>1099</v>
      </c>
    </row>
    <row r="7776">
      <c r="B7776" s="31"/>
      <c r="G7776" s="272" t="s">
        <v>1099</v>
      </c>
    </row>
    <row r="7777">
      <c r="B7777" s="31"/>
      <c r="G7777" s="272" t="s">
        <v>1099</v>
      </c>
    </row>
    <row r="7778">
      <c r="B7778" s="31"/>
      <c r="G7778" s="272" t="s">
        <v>1099</v>
      </c>
    </row>
    <row r="7779">
      <c r="B7779" s="31"/>
      <c r="G7779" s="272" t="s">
        <v>1099</v>
      </c>
    </row>
    <row r="7780">
      <c r="B7780" s="31"/>
      <c r="G7780" s="272" t="s">
        <v>1099</v>
      </c>
    </row>
    <row r="7781">
      <c r="B7781" s="31"/>
      <c r="G7781" s="272" t="s">
        <v>1099</v>
      </c>
    </row>
    <row r="7782">
      <c r="B7782" s="31"/>
      <c r="G7782" s="272" t="s">
        <v>1099</v>
      </c>
    </row>
    <row r="7783">
      <c r="B7783" s="31"/>
      <c r="G7783" s="272" t="s">
        <v>1099</v>
      </c>
    </row>
    <row r="7784">
      <c r="B7784" s="31"/>
      <c r="G7784" s="272" t="s">
        <v>1099</v>
      </c>
    </row>
    <row r="7785">
      <c r="B7785" s="31"/>
      <c r="G7785" s="272" t="s">
        <v>1099</v>
      </c>
    </row>
    <row r="7786">
      <c r="B7786" s="31"/>
      <c r="G7786" s="272" t="s">
        <v>1099</v>
      </c>
    </row>
    <row r="7787">
      <c r="B7787" s="31"/>
      <c r="G7787" s="272" t="s">
        <v>1099</v>
      </c>
    </row>
    <row r="7788">
      <c r="B7788" s="31"/>
      <c r="G7788" s="272" t="s">
        <v>1099</v>
      </c>
    </row>
    <row r="7789">
      <c r="B7789" s="31"/>
      <c r="G7789" s="272" t="s">
        <v>1099</v>
      </c>
    </row>
    <row r="7790">
      <c r="B7790" s="31"/>
      <c r="G7790" s="272" t="s">
        <v>1099</v>
      </c>
    </row>
    <row r="7791">
      <c r="B7791" s="31"/>
      <c r="G7791" s="272" t="s">
        <v>1099</v>
      </c>
    </row>
    <row r="7792">
      <c r="B7792" s="31"/>
      <c r="G7792" s="272" t="s">
        <v>1099</v>
      </c>
    </row>
    <row r="7793">
      <c r="B7793" s="31"/>
      <c r="G7793" s="272" t="s">
        <v>1099</v>
      </c>
    </row>
    <row r="7794">
      <c r="B7794" s="31"/>
      <c r="G7794" s="272" t="s">
        <v>1099</v>
      </c>
    </row>
    <row r="7795">
      <c r="B7795" s="31"/>
      <c r="G7795" s="272" t="s">
        <v>1099</v>
      </c>
    </row>
    <row r="7796">
      <c r="B7796" s="31"/>
      <c r="G7796" s="272" t="s">
        <v>1099</v>
      </c>
    </row>
    <row r="7797">
      <c r="B7797" s="31"/>
      <c r="G7797" s="272" t="s">
        <v>1099</v>
      </c>
    </row>
    <row r="7798">
      <c r="B7798" s="31"/>
      <c r="G7798" s="272" t="s">
        <v>1099</v>
      </c>
    </row>
    <row r="7799">
      <c r="B7799" s="31"/>
      <c r="G7799" s="272" t="s">
        <v>1099</v>
      </c>
    </row>
    <row r="7800">
      <c r="B7800" s="31"/>
      <c r="G7800" s="272" t="s">
        <v>1099</v>
      </c>
    </row>
    <row r="7801">
      <c r="B7801" s="31"/>
      <c r="G7801" s="272" t="s">
        <v>1099</v>
      </c>
    </row>
    <row r="7802">
      <c r="B7802" s="31"/>
      <c r="G7802" s="272" t="s">
        <v>1099</v>
      </c>
    </row>
    <row r="7803">
      <c r="B7803" s="31"/>
      <c r="G7803" s="272" t="s">
        <v>1099</v>
      </c>
    </row>
    <row r="7804">
      <c r="B7804" s="31"/>
      <c r="G7804" s="272" t="s">
        <v>1099</v>
      </c>
    </row>
    <row r="7805">
      <c r="B7805" s="31"/>
      <c r="G7805" s="272" t="s">
        <v>1099</v>
      </c>
    </row>
    <row r="7806">
      <c r="B7806" s="31"/>
      <c r="G7806" s="272" t="s">
        <v>1099</v>
      </c>
    </row>
    <row r="7807">
      <c r="B7807" s="31"/>
      <c r="G7807" s="272" t="s">
        <v>1099</v>
      </c>
    </row>
    <row r="7808">
      <c r="B7808" s="31"/>
      <c r="G7808" s="272" t="s">
        <v>1099</v>
      </c>
    </row>
    <row r="7809">
      <c r="B7809" s="31"/>
      <c r="G7809" s="272" t="s">
        <v>1099</v>
      </c>
    </row>
    <row r="7810">
      <c r="B7810" s="31"/>
      <c r="G7810" s="272" t="s">
        <v>1099</v>
      </c>
    </row>
    <row r="7811">
      <c r="B7811" s="31"/>
      <c r="G7811" s="272" t="s">
        <v>1099</v>
      </c>
    </row>
    <row r="7812">
      <c r="B7812" s="31"/>
      <c r="G7812" s="272" t="s">
        <v>1099</v>
      </c>
    </row>
    <row r="7813">
      <c r="B7813" s="31"/>
      <c r="G7813" s="272" t="s">
        <v>1099</v>
      </c>
    </row>
    <row r="7814">
      <c r="B7814" s="31"/>
      <c r="G7814" s="272" t="s">
        <v>1099</v>
      </c>
    </row>
    <row r="7815">
      <c r="B7815" s="31"/>
      <c r="G7815" s="272" t="s">
        <v>1099</v>
      </c>
    </row>
    <row r="7816">
      <c r="B7816" s="31"/>
      <c r="G7816" s="272" t="s">
        <v>1099</v>
      </c>
    </row>
    <row r="7817">
      <c r="B7817" s="31"/>
      <c r="G7817" s="272" t="s">
        <v>1099</v>
      </c>
    </row>
    <row r="7818">
      <c r="B7818" s="31"/>
      <c r="G7818" s="272" t="s">
        <v>1099</v>
      </c>
    </row>
    <row r="7819">
      <c r="B7819" s="31"/>
      <c r="G7819" s="272" t="s">
        <v>1099</v>
      </c>
    </row>
    <row r="7820">
      <c r="B7820" s="31"/>
      <c r="G7820" s="272" t="s">
        <v>1099</v>
      </c>
    </row>
    <row r="7821">
      <c r="B7821" s="31"/>
      <c r="G7821" s="272" t="s">
        <v>1099</v>
      </c>
    </row>
    <row r="7822">
      <c r="B7822" s="31"/>
      <c r="G7822" s="272" t="s">
        <v>1099</v>
      </c>
    </row>
    <row r="7823">
      <c r="B7823" s="31"/>
      <c r="G7823" s="272" t="s">
        <v>1099</v>
      </c>
    </row>
    <row r="7824">
      <c r="B7824" s="31"/>
      <c r="G7824" s="272" t="s">
        <v>1099</v>
      </c>
    </row>
    <row r="7825">
      <c r="B7825" s="31"/>
      <c r="G7825" s="272" t="s">
        <v>1099</v>
      </c>
    </row>
    <row r="7826">
      <c r="B7826" s="31"/>
      <c r="G7826" s="272" t="s">
        <v>1099</v>
      </c>
    </row>
    <row r="7827">
      <c r="B7827" s="31"/>
      <c r="G7827" s="272" t="s">
        <v>1099</v>
      </c>
    </row>
    <row r="7828">
      <c r="B7828" s="31"/>
      <c r="G7828" s="272" t="s">
        <v>1099</v>
      </c>
    </row>
    <row r="7829">
      <c r="B7829" s="31"/>
      <c r="G7829" s="272" t="s">
        <v>1099</v>
      </c>
    </row>
    <row r="7830">
      <c r="B7830" s="31"/>
      <c r="G7830" s="272" t="s">
        <v>1099</v>
      </c>
    </row>
    <row r="7831">
      <c r="B7831" s="31"/>
      <c r="G7831" s="272" t="s">
        <v>1099</v>
      </c>
    </row>
    <row r="7832">
      <c r="B7832" s="31"/>
      <c r="G7832" s="272" t="s">
        <v>1099</v>
      </c>
    </row>
    <row r="7833">
      <c r="B7833" s="31"/>
      <c r="G7833" s="272" t="s">
        <v>1099</v>
      </c>
    </row>
    <row r="7834">
      <c r="B7834" s="31"/>
      <c r="G7834" s="272" t="s">
        <v>1099</v>
      </c>
    </row>
    <row r="7835">
      <c r="B7835" s="31"/>
      <c r="G7835" s="272" t="s">
        <v>1099</v>
      </c>
    </row>
    <row r="7836">
      <c r="B7836" s="31"/>
      <c r="G7836" s="272" t="s">
        <v>1099</v>
      </c>
    </row>
    <row r="7837">
      <c r="B7837" s="31"/>
      <c r="G7837" s="272" t="s">
        <v>1099</v>
      </c>
    </row>
    <row r="7838">
      <c r="B7838" s="31"/>
      <c r="G7838" s="272" t="s">
        <v>1099</v>
      </c>
    </row>
    <row r="7839">
      <c r="B7839" s="31"/>
      <c r="G7839" s="272" t="s">
        <v>1099</v>
      </c>
    </row>
    <row r="7840">
      <c r="B7840" s="31"/>
      <c r="G7840" s="272" t="s">
        <v>1099</v>
      </c>
    </row>
    <row r="7841">
      <c r="B7841" s="31"/>
      <c r="G7841" s="272" t="s">
        <v>1099</v>
      </c>
    </row>
    <row r="7842">
      <c r="B7842" s="31"/>
      <c r="G7842" s="272" t="s">
        <v>1099</v>
      </c>
    </row>
    <row r="7843">
      <c r="B7843" s="31"/>
      <c r="G7843" s="272" t="s">
        <v>1099</v>
      </c>
    </row>
    <row r="7844">
      <c r="B7844" s="31"/>
      <c r="G7844" s="272" t="s">
        <v>1099</v>
      </c>
    </row>
    <row r="7845">
      <c r="B7845" s="31"/>
      <c r="G7845" s="272" t="s">
        <v>1099</v>
      </c>
    </row>
    <row r="7846">
      <c r="B7846" s="31"/>
      <c r="G7846" s="272" t="s">
        <v>1099</v>
      </c>
    </row>
    <row r="7847">
      <c r="B7847" s="31"/>
      <c r="G7847" s="272" t="s">
        <v>1099</v>
      </c>
    </row>
    <row r="7848">
      <c r="B7848" s="31"/>
      <c r="G7848" s="272" t="s">
        <v>1099</v>
      </c>
    </row>
    <row r="7849">
      <c r="B7849" s="31"/>
      <c r="G7849" s="272" t="s">
        <v>1099</v>
      </c>
    </row>
    <row r="7850">
      <c r="B7850" s="31"/>
      <c r="G7850" s="272" t="s">
        <v>1099</v>
      </c>
    </row>
    <row r="7851">
      <c r="B7851" s="31"/>
      <c r="G7851" s="272" t="s">
        <v>1099</v>
      </c>
    </row>
    <row r="7852">
      <c r="B7852" s="31"/>
      <c r="G7852" s="272" t="s">
        <v>1099</v>
      </c>
    </row>
    <row r="7853">
      <c r="B7853" s="31"/>
      <c r="G7853" s="272" t="s">
        <v>1099</v>
      </c>
    </row>
    <row r="7854">
      <c r="B7854" s="31"/>
      <c r="G7854" s="272" t="s">
        <v>1099</v>
      </c>
    </row>
    <row r="7855">
      <c r="B7855" s="31"/>
      <c r="G7855" s="272" t="s">
        <v>1099</v>
      </c>
    </row>
    <row r="7856">
      <c r="B7856" s="31"/>
      <c r="G7856" s="272" t="s">
        <v>1099</v>
      </c>
    </row>
    <row r="7857">
      <c r="B7857" s="31"/>
      <c r="G7857" s="272" t="s">
        <v>1099</v>
      </c>
    </row>
    <row r="7858">
      <c r="B7858" s="31"/>
      <c r="G7858" s="272" t="s">
        <v>1099</v>
      </c>
    </row>
    <row r="7859">
      <c r="B7859" s="31"/>
      <c r="G7859" s="272" t="s">
        <v>1099</v>
      </c>
    </row>
    <row r="7860">
      <c r="B7860" s="31"/>
      <c r="G7860" s="272" t="s">
        <v>1099</v>
      </c>
    </row>
    <row r="7861">
      <c r="B7861" s="31"/>
      <c r="G7861" s="272" t="s">
        <v>1099</v>
      </c>
    </row>
    <row r="7862">
      <c r="B7862" s="31"/>
      <c r="G7862" s="272" t="s">
        <v>1099</v>
      </c>
    </row>
    <row r="7863">
      <c r="B7863" s="31"/>
      <c r="G7863" s="272" t="s">
        <v>1099</v>
      </c>
    </row>
    <row r="7864">
      <c r="B7864" s="31"/>
      <c r="G7864" s="272" t="s">
        <v>1099</v>
      </c>
    </row>
    <row r="7865">
      <c r="B7865" s="31"/>
      <c r="G7865" s="272" t="s">
        <v>1099</v>
      </c>
    </row>
    <row r="7866">
      <c r="B7866" s="31"/>
      <c r="G7866" s="272" t="s">
        <v>1099</v>
      </c>
    </row>
    <row r="7867">
      <c r="B7867" s="31"/>
      <c r="G7867" s="272" t="s">
        <v>1099</v>
      </c>
    </row>
    <row r="7868">
      <c r="B7868" s="31"/>
      <c r="G7868" s="272" t="s">
        <v>1099</v>
      </c>
    </row>
    <row r="7869">
      <c r="B7869" s="31"/>
      <c r="G7869" s="272" t="s">
        <v>1099</v>
      </c>
    </row>
    <row r="7870">
      <c r="B7870" s="31"/>
      <c r="G7870" s="272" t="s">
        <v>1099</v>
      </c>
    </row>
    <row r="7871">
      <c r="B7871" s="31"/>
      <c r="G7871" s="272" t="s">
        <v>1099</v>
      </c>
    </row>
    <row r="7872">
      <c r="B7872" s="31"/>
      <c r="G7872" s="272" t="s">
        <v>1099</v>
      </c>
    </row>
    <row r="7873">
      <c r="B7873" s="31"/>
      <c r="G7873" s="272" t="s">
        <v>1099</v>
      </c>
    </row>
    <row r="7874">
      <c r="B7874" s="31"/>
      <c r="G7874" s="272" t="s">
        <v>1099</v>
      </c>
    </row>
    <row r="7875">
      <c r="B7875" s="31"/>
      <c r="G7875" s="272" t="s">
        <v>1099</v>
      </c>
    </row>
    <row r="7876">
      <c r="B7876" s="31"/>
      <c r="G7876" s="272" t="s">
        <v>1099</v>
      </c>
    </row>
    <row r="7877">
      <c r="B7877" s="31"/>
      <c r="G7877" s="272" t="s">
        <v>1099</v>
      </c>
    </row>
    <row r="7878">
      <c r="B7878" s="31"/>
      <c r="G7878" s="272" t="s">
        <v>1099</v>
      </c>
    </row>
    <row r="7879">
      <c r="B7879" s="31"/>
      <c r="G7879" s="272" t="s">
        <v>1099</v>
      </c>
    </row>
    <row r="7880">
      <c r="B7880" s="31"/>
      <c r="G7880" s="272" t="s">
        <v>1099</v>
      </c>
    </row>
    <row r="7881">
      <c r="B7881" s="31"/>
      <c r="G7881" s="272" t="s">
        <v>1099</v>
      </c>
    </row>
    <row r="7882">
      <c r="B7882" s="31"/>
      <c r="G7882" s="272" t="s">
        <v>1099</v>
      </c>
    </row>
    <row r="7883">
      <c r="B7883" s="31"/>
      <c r="G7883" s="272" t="s">
        <v>1099</v>
      </c>
    </row>
    <row r="7884">
      <c r="B7884" s="31"/>
      <c r="G7884" s="272" t="s">
        <v>1099</v>
      </c>
    </row>
    <row r="7885">
      <c r="B7885" s="31"/>
      <c r="G7885" s="272" t="s">
        <v>1099</v>
      </c>
    </row>
    <row r="7886">
      <c r="B7886" s="31"/>
      <c r="G7886" s="272" t="s">
        <v>1099</v>
      </c>
    </row>
    <row r="7887">
      <c r="B7887" s="31"/>
      <c r="G7887" s="272" t="s">
        <v>1099</v>
      </c>
    </row>
    <row r="7888">
      <c r="B7888" s="31"/>
      <c r="G7888" s="272" t="s">
        <v>1099</v>
      </c>
    </row>
    <row r="7889">
      <c r="B7889" s="31"/>
      <c r="G7889" s="272" t="s">
        <v>1099</v>
      </c>
    </row>
    <row r="7890">
      <c r="B7890" s="31"/>
      <c r="G7890" s="272" t="s">
        <v>1099</v>
      </c>
    </row>
    <row r="7891">
      <c r="B7891" s="31"/>
      <c r="G7891" s="272" t="s">
        <v>1099</v>
      </c>
    </row>
    <row r="7892">
      <c r="B7892" s="31"/>
      <c r="G7892" s="272" t="s">
        <v>1099</v>
      </c>
    </row>
    <row r="7893">
      <c r="B7893" s="31"/>
      <c r="G7893" s="272" t="s">
        <v>1099</v>
      </c>
    </row>
    <row r="7894">
      <c r="B7894" s="31"/>
      <c r="G7894" s="272" t="s">
        <v>1099</v>
      </c>
    </row>
    <row r="7895">
      <c r="B7895" s="31"/>
      <c r="G7895" s="272" t="s">
        <v>1099</v>
      </c>
    </row>
    <row r="7896">
      <c r="B7896" s="31"/>
      <c r="G7896" s="272" t="s">
        <v>1099</v>
      </c>
    </row>
    <row r="7897">
      <c r="B7897" s="31"/>
      <c r="G7897" s="272" t="s">
        <v>1099</v>
      </c>
    </row>
    <row r="7898">
      <c r="B7898" s="31"/>
      <c r="G7898" s="272" t="s">
        <v>1099</v>
      </c>
    </row>
    <row r="7899">
      <c r="B7899" s="31"/>
      <c r="G7899" s="272" t="s">
        <v>1099</v>
      </c>
    </row>
    <row r="7900">
      <c r="B7900" s="31"/>
      <c r="G7900" s="272" t="s">
        <v>1099</v>
      </c>
    </row>
    <row r="7901">
      <c r="B7901" s="31"/>
      <c r="G7901" s="272" t="s">
        <v>1099</v>
      </c>
    </row>
    <row r="7902">
      <c r="B7902" s="31"/>
      <c r="G7902" s="272" t="s">
        <v>1099</v>
      </c>
    </row>
    <row r="7903">
      <c r="B7903" s="31"/>
      <c r="G7903" s="272" t="s">
        <v>1099</v>
      </c>
    </row>
    <row r="7904">
      <c r="B7904" s="31"/>
      <c r="G7904" s="272" t="s">
        <v>1099</v>
      </c>
    </row>
    <row r="7905">
      <c r="B7905" s="31"/>
      <c r="G7905" s="272" t="s">
        <v>1099</v>
      </c>
    </row>
    <row r="7906">
      <c r="B7906" s="31"/>
      <c r="G7906" s="272" t="s">
        <v>1099</v>
      </c>
    </row>
    <row r="7907">
      <c r="B7907" s="31"/>
      <c r="G7907" s="272" t="s">
        <v>1099</v>
      </c>
    </row>
    <row r="7908">
      <c r="B7908" s="31"/>
      <c r="G7908" s="272" t="s">
        <v>1099</v>
      </c>
    </row>
    <row r="7909">
      <c r="B7909" s="31"/>
      <c r="G7909" s="272" t="s">
        <v>1099</v>
      </c>
    </row>
    <row r="7910">
      <c r="B7910" s="31"/>
      <c r="G7910" s="272" t="s">
        <v>1099</v>
      </c>
    </row>
    <row r="7911">
      <c r="B7911" s="31"/>
      <c r="G7911" s="272" t="s">
        <v>1099</v>
      </c>
    </row>
    <row r="7912">
      <c r="B7912" s="31"/>
      <c r="G7912" s="272" t="s">
        <v>1099</v>
      </c>
    </row>
    <row r="7913">
      <c r="B7913" s="31"/>
      <c r="G7913" s="272" t="s">
        <v>1099</v>
      </c>
    </row>
    <row r="7914">
      <c r="B7914" s="31"/>
      <c r="G7914" s="272" t="s">
        <v>1099</v>
      </c>
    </row>
    <row r="7915">
      <c r="B7915" s="31"/>
      <c r="G7915" s="272" t="s">
        <v>1099</v>
      </c>
    </row>
    <row r="7916">
      <c r="B7916" s="31"/>
      <c r="G7916" s="272" t="s">
        <v>1099</v>
      </c>
    </row>
    <row r="7917">
      <c r="B7917" s="31"/>
      <c r="G7917" s="272" t="s">
        <v>1099</v>
      </c>
    </row>
    <row r="7918">
      <c r="B7918" s="31"/>
      <c r="G7918" s="272" t="s">
        <v>1099</v>
      </c>
    </row>
    <row r="7919">
      <c r="B7919" s="31"/>
      <c r="G7919" s="272" t="s">
        <v>1099</v>
      </c>
    </row>
    <row r="7920">
      <c r="B7920" s="31"/>
      <c r="G7920" s="272" t="s">
        <v>1099</v>
      </c>
    </row>
    <row r="7921">
      <c r="B7921" s="31"/>
      <c r="G7921" s="272" t="s">
        <v>1099</v>
      </c>
    </row>
    <row r="7922">
      <c r="B7922" s="31"/>
      <c r="G7922" s="272" t="s">
        <v>1099</v>
      </c>
    </row>
    <row r="7923">
      <c r="B7923" s="31"/>
      <c r="G7923" s="272" t="s">
        <v>1099</v>
      </c>
    </row>
    <row r="7924">
      <c r="B7924" s="31"/>
      <c r="G7924" s="272" t="s">
        <v>1099</v>
      </c>
    </row>
    <row r="7925">
      <c r="B7925" s="31"/>
      <c r="G7925" s="272" t="s">
        <v>1099</v>
      </c>
    </row>
    <row r="7926">
      <c r="B7926" s="31"/>
      <c r="G7926" s="272" t="s">
        <v>1099</v>
      </c>
    </row>
    <row r="7927">
      <c r="B7927" s="31"/>
      <c r="G7927" s="272" t="s">
        <v>1099</v>
      </c>
    </row>
    <row r="7928">
      <c r="B7928" s="31"/>
      <c r="G7928" s="272" t="s">
        <v>1099</v>
      </c>
    </row>
    <row r="7929">
      <c r="B7929" s="31"/>
      <c r="G7929" s="272" t="s">
        <v>1099</v>
      </c>
    </row>
    <row r="7930">
      <c r="B7930" s="31"/>
      <c r="G7930" s="272" t="s">
        <v>1099</v>
      </c>
    </row>
    <row r="7931">
      <c r="B7931" s="31"/>
      <c r="G7931" s="272" t="s">
        <v>1099</v>
      </c>
    </row>
    <row r="7932">
      <c r="B7932" s="31"/>
      <c r="G7932" s="272" t="s">
        <v>1099</v>
      </c>
    </row>
    <row r="7933">
      <c r="B7933" s="31"/>
      <c r="G7933" s="272" t="s">
        <v>1099</v>
      </c>
    </row>
    <row r="7934">
      <c r="B7934" s="31"/>
      <c r="G7934" s="272" t="s">
        <v>1099</v>
      </c>
    </row>
    <row r="7935">
      <c r="B7935" s="31"/>
      <c r="G7935" s="272" t="s">
        <v>1099</v>
      </c>
    </row>
    <row r="7936">
      <c r="B7936" s="31"/>
      <c r="G7936" s="272" t="s">
        <v>1099</v>
      </c>
    </row>
    <row r="7937">
      <c r="B7937" s="31"/>
      <c r="G7937" s="272" t="s">
        <v>1099</v>
      </c>
    </row>
    <row r="7938">
      <c r="B7938" s="31"/>
      <c r="G7938" s="272" t="s">
        <v>1099</v>
      </c>
    </row>
    <row r="7939">
      <c r="B7939" s="31"/>
      <c r="G7939" s="272" t="s">
        <v>1099</v>
      </c>
    </row>
    <row r="7940">
      <c r="B7940" s="31"/>
      <c r="G7940" s="272" t="s">
        <v>1099</v>
      </c>
    </row>
    <row r="7941">
      <c r="B7941" s="31"/>
      <c r="G7941" s="272" t="s">
        <v>1099</v>
      </c>
    </row>
    <row r="7942">
      <c r="B7942" s="31"/>
      <c r="G7942" s="272" t="s">
        <v>1099</v>
      </c>
    </row>
    <row r="7943">
      <c r="B7943" s="31"/>
      <c r="G7943" s="272" t="s">
        <v>1099</v>
      </c>
    </row>
    <row r="7944">
      <c r="B7944" s="31"/>
      <c r="G7944" s="272" t="s">
        <v>1099</v>
      </c>
    </row>
    <row r="7945">
      <c r="B7945" s="31"/>
      <c r="G7945" s="272" t="s">
        <v>1099</v>
      </c>
    </row>
    <row r="7946">
      <c r="B7946" s="31"/>
      <c r="G7946" s="272" t="s">
        <v>1099</v>
      </c>
    </row>
    <row r="7947">
      <c r="B7947" s="31"/>
      <c r="G7947" s="272" t="s">
        <v>1099</v>
      </c>
    </row>
    <row r="7948">
      <c r="B7948" s="31"/>
      <c r="G7948" s="272" t="s">
        <v>1099</v>
      </c>
    </row>
    <row r="7949">
      <c r="B7949" s="31"/>
      <c r="G7949" s="272" t="s">
        <v>1099</v>
      </c>
    </row>
    <row r="7950">
      <c r="B7950" s="31"/>
      <c r="G7950" s="272" t="s">
        <v>1099</v>
      </c>
    </row>
    <row r="7951">
      <c r="B7951" s="31"/>
      <c r="G7951" s="272" t="s">
        <v>1099</v>
      </c>
    </row>
    <row r="7952">
      <c r="B7952" s="31"/>
      <c r="G7952" s="272" t="s">
        <v>1099</v>
      </c>
    </row>
    <row r="7953">
      <c r="B7953" s="31"/>
      <c r="G7953" s="272" t="s">
        <v>1099</v>
      </c>
    </row>
    <row r="7954">
      <c r="B7954" s="31"/>
      <c r="G7954" s="272" t="s">
        <v>1099</v>
      </c>
    </row>
    <row r="7955">
      <c r="B7955" s="31"/>
      <c r="G7955" s="272" t="s">
        <v>1099</v>
      </c>
    </row>
    <row r="7956">
      <c r="B7956" s="31"/>
      <c r="G7956" s="272" t="s">
        <v>1099</v>
      </c>
    </row>
    <row r="7957">
      <c r="B7957" s="31"/>
      <c r="G7957" s="272" t="s">
        <v>1099</v>
      </c>
    </row>
    <row r="7958">
      <c r="B7958" s="31"/>
      <c r="G7958" s="272" t="s">
        <v>1099</v>
      </c>
    </row>
    <row r="7959">
      <c r="B7959" s="31"/>
      <c r="G7959" s="272" t="s">
        <v>1099</v>
      </c>
    </row>
    <row r="7960">
      <c r="B7960" s="31"/>
      <c r="G7960" s="272" t="s">
        <v>1099</v>
      </c>
    </row>
    <row r="7961">
      <c r="B7961" s="31"/>
      <c r="G7961" s="272" t="s">
        <v>1099</v>
      </c>
    </row>
    <row r="7962">
      <c r="B7962" s="31"/>
      <c r="G7962" s="272" t="s">
        <v>1099</v>
      </c>
    </row>
    <row r="7963">
      <c r="B7963" s="31"/>
      <c r="G7963" s="272" t="s">
        <v>1099</v>
      </c>
    </row>
    <row r="7964">
      <c r="B7964" s="31"/>
      <c r="G7964" s="272" t="s">
        <v>1099</v>
      </c>
    </row>
    <row r="7965">
      <c r="B7965" s="31"/>
      <c r="G7965" s="272" t="s">
        <v>1099</v>
      </c>
    </row>
    <row r="7966">
      <c r="B7966" s="31"/>
      <c r="G7966" s="272" t="s">
        <v>1099</v>
      </c>
    </row>
    <row r="7967">
      <c r="B7967" s="31"/>
      <c r="G7967" s="272" t="s">
        <v>1099</v>
      </c>
    </row>
    <row r="7968">
      <c r="B7968" s="31"/>
      <c r="G7968" s="272" t="s">
        <v>1099</v>
      </c>
    </row>
    <row r="7969">
      <c r="B7969" s="31"/>
      <c r="G7969" s="272" t="s">
        <v>1099</v>
      </c>
    </row>
    <row r="7970">
      <c r="B7970" s="31"/>
      <c r="G7970" s="272" t="s">
        <v>1099</v>
      </c>
    </row>
    <row r="7971">
      <c r="B7971" s="31"/>
      <c r="G7971" s="272" t="s">
        <v>1099</v>
      </c>
    </row>
    <row r="7972">
      <c r="B7972" s="31"/>
      <c r="G7972" s="272" t="s">
        <v>1099</v>
      </c>
    </row>
    <row r="7973">
      <c r="B7973" s="31"/>
      <c r="G7973" s="272" t="s">
        <v>1099</v>
      </c>
    </row>
    <row r="7974">
      <c r="B7974" s="31"/>
      <c r="G7974" s="272" t="s">
        <v>1099</v>
      </c>
    </row>
    <row r="7975">
      <c r="B7975" s="31"/>
      <c r="G7975" s="272" t="s">
        <v>1099</v>
      </c>
    </row>
    <row r="7976">
      <c r="B7976" s="31"/>
      <c r="G7976" s="272" t="s">
        <v>1099</v>
      </c>
    </row>
    <row r="7977">
      <c r="B7977" s="31"/>
      <c r="G7977" s="272" t="s">
        <v>1099</v>
      </c>
    </row>
    <row r="7978">
      <c r="B7978" s="31"/>
      <c r="G7978" s="272" t="s">
        <v>1099</v>
      </c>
    </row>
    <row r="7979">
      <c r="B7979" s="31"/>
      <c r="G7979" s="272" t="s">
        <v>1099</v>
      </c>
    </row>
    <row r="7980">
      <c r="B7980" s="31"/>
      <c r="G7980" s="272" t="s">
        <v>1099</v>
      </c>
    </row>
    <row r="7981">
      <c r="B7981" s="31"/>
      <c r="G7981" s="272" t="s">
        <v>1099</v>
      </c>
    </row>
    <row r="7982">
      <c r="B7982" s="31"/>
      <c r="G7982" s="272" t="s">
        <v>1099</v>
      </c>
    </row>
    <row r="7983">
      <c r="B7983" s="31"/>
      <c r="G7983" s="272" t="s">
        <v>1099</v>
      </c>
    </row>
    <row r="7984">
      <c r="B7984" s="31"/>
      <c r="G7984" s="272" t="s">
        <v>1099</v>
      </c>
    </row>
    <row r="7985">
      <c r="B7985" s="31"/>
      <c r="G7985" s="272" t="s">
        <v>1099</v>
      </c>
    </row>
    <row r="7986">
      <c r="B7986" s="31"/>
      <c r="G7986" s="272" t="s">
        <v>1099</v>
      </c>
    </row>
    <row r="7987">
      <c r="B7987" s="31"/>
      <c r="G7987" s="272" t="s">
        <v>1099</v>
      </c>
    </row>
    <row r="7988">
      <c r="B7988" s="31"/>
      <c r="G7988" s="272" t="s">
        <v>1099</v>
      </c>
    </row>
    <row r="7989">
      <c r="B7989" s="31"/>
      <c r="G7989" s="272" t="s">
        <v>1099</v>
      </c>
    </row>
    <row r="7990">
      <c r="B7990" s="31"/>
      <c r="G7990" s="272" t="s">
        <v>1099</v>
      </c>
    </row>
    <row r="7991">
      <c r="B7991" s="31"/>
      <c r="G7991" s="272" t="s">
        <v>1099</v>
      </c>
    </row>
    <row r="7992">
      <c r="B7992" s="31"/>
      <c r="G7992" s="272" t="s">
        <v>1099</v>
      </c>
    </row>
    <row r="7993">
      <c r="B7993" s="31"/>
      <c r="G7993" s="272" t="s">
        <v>1099</v>
      </c>
    </row>
    <row r="7994">
      <c r="B7994" s="31"/>
      <c r="G7994" s="272" t="s">
        <v>1099</v>
      </c>
    </row>
    <row r="7995">
      <c r="B7995" s="31"/>
      <c r="G7995" s="272" t="s">
        <v>1099</v>
      </c>
    </row>
    <row r="7996">
      <c r="B7996" s="31"/>
      <c r="G7996" s="272" t="s">
        <v>1099</v>
      </c>
    </row>
    <row r="7997">
      <c r="B7997" s="31"/>
      <c r="G7997" s="272" t="s">
        <v>1099</v>
      </c>
    </row>
    <row r="7998">
      <c r="B7998" s="31"/>
      <c r="G7998" s="272" t="s">
        <v>1099</v>
      </c>
    </row>
    <row r="7999">
      <c r="B7999" s="31"/>
      <c r="G7999" s="272" t="s">
        <v>1099</v>
      </c>
    </row>
    <row r="8000">
      <c r="B8000" s="31"/>
      <c r="G8000" s="272" t="s">
        <v>1099</v>
      </c>
    </row>
    <row r="8001">
      <c r="B8001" s="31"/>
      <c r="G8001" s="272" t="s">
        <v>1099</v>
      </c>
    </row>
    <row r="8002">
      <c r="B8002" s="31"/>
      <c r="G8002" s="272" t="s">
        <v>1099</v>
      </c>
    </row>
    <row r="8003">
      <c r="B8003" s="31"/>
      <c r="G8003" s="272" t="s">
        <v>1099</v>
      </c>
    </row>
    <row r="8004">
      <c r="B8004" s="31"/>
      <c r="G8004" s="272" t="s">
        <v>1099</v>
      </c>
    </row>
    <row r="8005">
      <c r="B8005" s="31"/>
      <c r="G8005" s="272" t="s">
        <v>1099</v>
      </c>
    </row>
    <row r="8006">
      <c r="B8006" s="31"/>
      <c r="G8006" s="272" t="s">
        <v>1099</v>
      </c>
    </row>
    <row r="8007">
      <c r="B8007" s="31"/>
      <c r="G8007" s="272" t="s">
        <v>1099</v>
      </c>
    </row>
    <row r="8008">
      <c r="B8008" s="31"/>
      <c r="G8008" s="272" t="s">
        <v>1099</v>
      </c>
    </row>
    <row r="8009">
      <c r="B8009" s="31"/>
      <c r="G8009" s="272" t="s">
        <v>1099</v>
      </c>
    </row>
    <row r="8010">
      <c r="B8010" s="31"/>
      <c r="G8010" s="272" t="s">
        <v>1099</v>
      </c>
    </row>
    <row r="8011">
      <c r="B8011" s="31"/>
      <c r="G8011" s="272" t="s">
        <v>1099</v>
      </c>
    </row>
    <row r="8012">
      <c r="B8012" s="31"/>
      <c r="G8012" s="272" t="s">
        <v>1099</v>
      </c>
    </row>
    <row r="8013">
      <c r="B8013" s="31"/>
      <c r="G8013" s="272" t="s">
        <v>1099</v>
      </c>
    </row>
    <row r="8014">
      <c r="B8014" s="31"/>
      <c r="G8014" s="272" t="s">
        <v>1099</v>
      </c>
    </row>
    <row r="8015">
      <c r="B8015" s="31"/>
      <c r="G8015" s="272" t="s">
        <v>1099</v>
      </c>
    </row>
    <row r="8016">
      <c r="B8016" s="31"/>
      <c r="G8016" s="272" t="s">
        <v>1099</v>
      </c>
    </row>
    <row r="8017">
      <c r="B8017" s="31"/>
      <c r="G8017" s="272" t="s">
        <v>1099</v>
      </c>
    </row>
    <row r="8018">
      <c r="B8018" s="31"/>
      <c r="G8018" s="272" t="s">
        <v>1099</v>
      </c>
    </row>
    <row r="8019">
      <c r="B8019" s="31"/>
      <c r="G8019" s="272" t="s">
        <v>1099</v>
      </c>
    </row>
    <row r="8020">
      <c r="B8020" s="31"/>
      <c r="G8020" s="272" t="s">
        <v>1099</v>
      </c>
    </row>
    <row r="8021">
      <c r="B8021" s="31"/>
      <c r="G8021" s="272" t="s">
        <v>1099</v>
      </c>
    </row>
    <row r="8022">
      <c r="B8022" s="31"/>
      <c r="G8022" s="272" t="s">
        <v>1099</v>
      </c>
    </row>
    <row r="8023">
      <c r="B8023" s="31"/>
      <c r="G8023" s="272" t="s">
        <v>1099</v>
      </c>
    </row>
    <row r="8024">
      <c r="B8024" s="31"/>
      <c r="G8024" s="272" t="s">
        <v>1099</v>
      </c>
    </row>
    <row r="8025">
      <c r="B8025" s="31"/>
      <c r="G8025" s="272" t="s">
        <v>1099</v>
      </c>
    </row>
    <row r="8026">
      <c r="B8026" s="31"/>
      <c r="G8026" s="272" t="s">
        <v>1099</v>
      </c>
    </row>
    <row r="8027">
      <c r="B8027" s="31"/>
      <c r="G8027" s="272" t="s">
        <v>1099</v>
      </c>
    </row>
    <row r="8028">
      <c r="B8028" s="31"/>
      <c r="G8028" s="272" t="s">
        <v>1099</v>
      </c>
    </row>
    <row r="8029">
      <c r="B8029" s="31"/>
      <c r="G8029" s="272" t="s">
        <v>1099</v>
      </c>
    </row>
    <row r="8030">
      <c r="B8030" s="31"/>
      <c r="G8030" s="272" t="s">
        <v>1099</v>
      </c>
    </row>
    <row r="8031">
      <c r="B8031" s="31"/>
      <c r="G8031" s="272" t="s">
        <v>1099</v>
      </c>
    </row>
    <row r="8032">
      <c r="B8032" s="31"/>
      <c r="G8032" s="272" t="s">
        <v>1099</v>
      </c>
    </row>
    <row r="8033">
      <c r="B8033" s="31"/>
      <c r="G8033" s="272" t="s">
        <v>1099</v>
      </c>
    </row>
    <row r="8034">
      <c r="B8034" s="31"/>
      <c r="G8034" s="272" t="s">
        <v>1099</v>
      </c>
    </row>
    <row r="8035">
      <c r="B8035" s="31"/>
      <c r="G8035" s="272" t="s">
        <v>1099</v>
      </c>
    </row>
    <row r="8036">
      <c r="B8036" s="31"/>
      <c r="G8036" s="272" t="s">
        <v>1099</v>
      </c>
    </row>
    <row r="8037">
      <c r="B8037" s="31"/>
      <c r="G8037" s="272" t="s">
        <v>1099</v>
      </c>
    </row>
    <row r="8038">
      <c r="B8038" s="31"/>
      <c r="G8038" s="272" t="s">
        <v>1099</v>
      </c>
    </row>
    <row r="8039">
      <c r="B8039" s="31"/>
      <c r="G8039" s="272" t="s">
        <v>1099</v>
      </c>
    </row>
    <row r="8040">
      <c r="B8040" s="31"/>
      <c r="G8040" s="272" t="s">
        <v>1099</v>
      </c>
    </row>
    <row r="8041">
      <c r="B8041" s="31"/>
      <c r="G8041" s="272" t="s">
        <v>1099</v>
      </c>
    </row>
    <row r="8042">
      <c r="B8042" s="31"/>
      <c r="G8042" s="272" t="s">
        <v>1099</v>
      </c>
    </row>
    <row r="8043">
      <c r="B8043" s="31"/>
      <c r="G8043" s="272" t="s">
        <v>1099</v>
      </c>
    </row>
    <row r="8044">
      <c r="B8044" s="31"/>
      <c r="G8044" s="272" t="s">
        <v>1099</v>
      </c>
    </row>
    <row r="8045">
      <c r="B8045" s="31"/>
      <c r="G8045" s="272" t="s">
        <v>1099</v>
      </c>
    </row>
    <row r="8046">
      <c r="B8046" s="31"/>
      <c r="G8046" s="272" t="s">
        <v>1099</v>
      </c>
    </row>
    <row r="8047">
      <c r="B8047" s="31"/>
      <c r="G8047" s="272" t="s">
        <v>1099</v>
      </c>
    </row>
    <row r="8048">
      <c r="B8048" s="31"/>
      <c r="G8048" s="272" t="s">
        <v>1099</v>
      </c>
    </row>
    <row r="8049">
      <c r="B8049" s="31"/>
      <c r="G8049" s="272" t="s">
        <v>1099</v>
      </c>
    </row>
    <row r="8050">
      <c r="B8050" s="31"/>
      <c r="G8050" s="272" t="s">
        <v>1099</v>
      </c>
    </row>
    <row r="8051">
      <c r="B8051" s="31"/>
      <c r="G8051" s="272" t="s">
        <v>1099</v>
      </c>
    </row>
    <row r="8052">
      <c r="B8052" s="31"/>
      <c r="G8052" s="272" t="s">
        <v>1099</v>
      </c>
    </row>
    <row r="8053">
      <c r="B8053" s="31"/>
      <c r="G8053" s="272" t="s">
        <v>1099</v>
      </c>
    </row>
    <row r="8054">
      <c r="B8054" s="31"/>
      <c r="G8054" s="272" t="s">
        <v>1099</v>
      </c>
    </row>
    <row r="8055">
      <c r="B8055" s="31"/>
      <c r="G8055" s="272" t="s">
        <v>1099</v>
      </c>
    </row>
    <row r="8056">
      <c r="B8056" s="31"/>
      <c r="G8056" s="272" t="s">
        <v>1099</v>
      </c>
    </row>
    <row r="8057">
      <c r="B8057" s="31"/>
      <c r="G8057" s="272" t="s">
        <v>1099</v>
      </c>
    </row>
    <row r="8058">
      <c r="B8058" s="31"/>
      <c r="G8058" s="272" t="s">
        <v>1099</v>
      </c>
    </row>
    <row r="8059">
      <c r="B8059" s="31"/>
      <c r="G8059" s="272" t="s">
        <v>1099</v>
      </c>
    </row>
    <row r="8060">
      <c r="B8060" s="31"/>
      <c r="G8060" s="272" t="s">
        <v>1099</v>
      </c>
    </row>
    <row r="8061">
      <c r="B8061" s="31"/>
      <c r="G8061" s="272" t="s">
        <v>1099</v>
      </c>
    </row>
    <row r="8062">
      <c r="B8062" s="31"/>
      <c r="G8062" s="272" t="s">
        <v>1099</v>
      </c>
    </row>
    <row r="8063">
      <c r="B8063" s="31"/>
      <c r="G8063" s="272" t="s">
        <v>1099</v>
      </c>
    </row>
    <row r="8064">
      <c r="B8064" s="31"/>
      <c r="G8064" s="272" t="s">
        <v>1099</v>
      </c>
    </row>
    <row r="8065">
      <c r="B8065" s="31"/>
      <c r="G8065" s="272" t="s">
        <v>1099</v>
      </c>
    </row>
    <row r="8066">
      <c r="B8066" s="31"/>
      <c r="G8066" s="272" t="s">
        <v>1099</v>
      </c>
    </row>
    <row r="8067">
      <c r="B8067" s="31"/>
      <c r="G8067" s="272" t="s">
        <v>1099</v>
      </c>
    </row>
    <row r="8068">
      <c r="B8068" s="31"/>
      <c r="G8068" s="272" t="s">
        <v>1099</v>
      </c>
    </row>
    <row r="8069">
      <c r="B8069" s="31"/>
      <c r="G8069" s="272" t="s">
        <v>1099</v>
      </c>
    </row>
    <row r="8070">
      <c r="B8070" s="31"/>
      <c r="G8070" s="272" t="s">
        <v>1099</v>
      </c>
    </row>
    <row r="8071">
      <c r="B8071" s="31"/>
      <c r="G8071" s="272" t="s">
        <v>1099</v>
      </c>
    </row>
    <row r="8072">
      <c r="B8072" s="31"/>
      <c r="G8072" s="272" t="s">
        <v>1099</v>
      </c>
    </row>
    <row r="8073">
      <c r="B8073" s="31"/>
      <c r="G8073" s="272" t="s">
        <v>1099</v>
      </c>
    </row>
    <row r="8074">
      <c r="B8074" s="31"/>
      <c r="G8074" s="272" t="s">
        <v>1099</v>
      </c>
    </row>
    <row r="8075">
      <c r="B8075" s="31"/>
      <c r="G8075" s="272" t="s">
        <v>1099</v>
      </c>
    </row>
    <row r="8076">
      <c r="B8076" s="31"/>
      <c r="G8076" s="272" t="s">
        <v>1099</v>
      </c>
    </row>
    <row r="8077">
      <c r="B8077" s="31"/>
      <c r="G8077" s="272" t="s">
        <v>1099</v>
      </c>
    </row>
    <row r="8078">
      <c r="B8078" s="31"/>
      <c r="G8078" s="272" t="s">
        <v>1099</v>
      </c>
    </row>
    <row r="8079">
      <c r="B8079" s="31"/>
      <c r="G8079" s="272" t="s">
        <v>1099</v>
      </c>
    </row>
    <row r="8080">
      <c r="B8080" s="31"/>
      <c r="G8080" s="272" t="s">
        <v>1099</v>
      </c>
    </row>
    <row r="8081">
      <c r="B8081" s="31"/>
      <c r="G8081" s="272" t="s">
        <v>1099</v>
      </c>
    </row>
    <row r="8082">
      <c r="B8082" s="31"/>
      <c r="G8082" s="272" t="s">
        <v>1099</v>
      </c>
    </row>
    <row r="8083">
      <c r="B8083" s="31"/>
      <c r="G8083" s="272" t="s">
        <v>1099</v>
      </c>
    </row>
    <row r="8084">
      <c r="B8084" s="31"/>
      <c r="G8084" s="272" t="s">
        <v>1099</v>
      </c>
    </row>
    <row r="8085">
      <c r="B8085" s="31"/>
      <c r="G8085" s="272" t="s">
        <v>1099</v>
      </c>
    </row>
    <row r="8086">
      <c r="B8086" s="31"/>
      <c r="G8086" s="272" t="s">
        <v>1099</v>
      </c>
    </row>
    <row r="8087">
      <c r="B8087" s="31"/>
      <c r="G8087" s="272" t="s">
        <v>1099</v>
      </c>
    </row>
    <row r="8088">
      <c r="B8088" s="31"/>
      <c r="G8088" s="272" t="s">
        <v>1099</v>
      </c>
    </row>
    <row r="8089">
      <c r="B8089" s="31"/>
      <c r="G8089" s="272" t="s">
        <v>1099</v>
      </c>
    </row>
    <row r="8090">
      <c r="B8090" s="31"/>
      <c r="G8090" s="272" t="s">
        <v>1099</v>
      </c>
    </row>
    <row r="8091">
      <c r="B8091" s="31"/>
      <c r="G8091" s="272" t="s">
        <v>1099</v>
      </c>
    </row>
    <row r="8092">
      <c r="B8092" s="31"/>
      <c r="G8092" s="272" t="s">
        <v>1099</v>
      </c>
    </row>
    <row r="8093">
      <c r="B8093" s="31"/>
      <c r="G8093" s="272" t="s">
        <v>1099</v>
      </c>
    </row>
    <row r="8094">
      <c r="B8094" s="31"/>
      <c r="G8094" s="272" t="s">
        <v>1099</v>
      </c>
    </row>
    <row r="8095">
      <c r="B8095" s="31"/>
      <c r="G8095" s="272" t="s">
        <v>1099</v>
      </c>
    </row>
    <row r="8096">
      <c r="B8096" s="31"/>
      <c r="G8096" s="272" t="s">
        <v>1099</v>
      </c>
    </row>
    <row r="8097">
      <c r="B8097" s="31"/>
      <c r="G8097" s="272" t="s">
        <v>1099</v>
      </c>
    </row>
    <row r="8098">
      <c r="B8098" s="31"/>
      <c r="G8098" s="272" t="s">
        <v>1099</v>
      </c>
    </row>
    <row r="8099">
      <c r="B8099" s="31"/>
      <c r="G8099" s="272" t="s">
        <v>1099</v>
      </c>
    </row>
    <row r="8100">
      <c r="B8100" s="31"/>
      <c r="G8100" s="272" t="s">
        <v>1099</v>
      </c>
    </row>
    <row r="8101">
      <c r="B8101" s="31"/>
      <c r="G8101" s="272" t="s">
        <v>1099</v>
      </c>
    </row>
    <row r="8102">
      <c r="B8102" s="31"/>
      <c r="G8102" s="272" t="s">
        <v>1099</v>
      </c>
    </row>
    <row r="8103">
      <c r="B8103" s="31"/>
      <c r="G8103" s="272" t="s">
        <v>1099</v>
      </c>
    </row>
    <row r="8104">
      <c r="B8104" s="31"/>
      <c r="G8104" s="272" t="s">
        <v>1099</v>
      </c>
    </row>
    <row r="8105">
      <c r="B8105" s="31"/>
      <c r="G8105" s="272" t="s">
        <v>1099</v>
      </c>
    </row>
    <row r="8106">
      <c r="B8106" s="31"/>
      <c r="G8106" s="272" t="s">
        <v>1099</v>
      </c>
    </row>
    <row r="8107">
      <c r="B8107" s="31"/>
      <c r="G8107" s="272" t="s">
        <v>1099</v>
      </c>
    </row>
    <row r="8108">
      <c r="B8108" s="31"/>
      <c r="G8108" s="272" t="s">
        <v>1099</v>
      </c>
    </row>
    <row r="8109">
      <c r="B8109" s="31"/>
      <c r="G8109" s="272" t="s">
        <v>1099</v>
      </c>
    </row>
    <row r="8110">
      <c r="B8110" s="31"/>
      <c r="G8110" s="272" t="s">
        <v>1099</v>
      </c>
    </row>
    <row r="8111">
      <c r="B8111" s="31"/>
      <c r="G8111" s="272" t="s">
        <v>1099</v>
      </c>
    </row>
    <row r="8112">
      <c r="B8112" s="31"/>
      <c r="G8112" s="272" t="s">
        <v>1099</v>
      </c>
    </row>
    <row r="8113">
      <c r="B8113" s="31"/>
      <c r="G8113" s="272" t="s">
        <v>1099</v>
      </c>
    </row>
    <row r="8114">
      <c r="B8114" s="31"/>
      <c r="G8114" s="272" t="s">
        <v>1099</v>
      </c>
    </row>
    <row r="8115">
      <c r="B8115" s="31"/>
      <c r="G8115" s="272" t="s">
        <v>1099</v>
      </c>
    </row>
    <row r="8116">
      <c r="B8116" s="31"/>
      <c r="G8116" s="272" t="s">
        <v>1099</v>
      </c>
    </row>
    <row r="8117">
      <c r="B8117" s="31"/>
      <c r="G8117" s="272" t="s">
        <v>1099</v>
      </c>
    </row>
    <row r="8118">
      <c r="B8118" s="31"/>
      <c r="G8118" s="272" t="s">
        <v>1099</v>
      </c>
    </row>
    <row r="8119">
      <c r="B8119" s="31"/>
      <c r="G8119" s="272" t="s">
        <v>1099</v>
      </c>
    </row>
    <row r="8120">
      <c r="B8120" s="31"/>
      <c r="G8120" s="272" t="s">
        <v>1099</v>
      </c>
    </row>
    <row r="8121">
      <c r="B8121" s="31"/>
      <c r="G8121" s="272" t="s">
        <v>1099</v>
      </c>
    </row>
    <row r="8122">
      <c r="B8122" s="31"/>
      <c r="G8122" s="272" t="s">
        <v>1099</v>
      </c>
    </row>
    <row r="8123">
      <c r="B8123" s="31"/>
      <c r="G8123" s="272" t="s">
        <v>1099</v>
      </c>
    </row>
    <row r="8124">
      <c r="B8124" s="31"/>
      <c r="G8124" s="272" t="s">
        <v>1099</v>
      </c>
    </row>
    <row r="8125">
      <c r="B8125" s="31"/>
      <c r="G8125" s="272" t="s">
        <v>1099</v>
      </c>
    </row>
    <row r="8126">
      <c r="B8126" s="31"/>
      <c r="G8126" s="272" t="s">
        <v>1099</v>
      </c>
    </row>
    <row r="8127">
      <c r="B8127" s="31"/>
      <c r="G8127" s="272" t="s">
        <v>1099</v>
      </c>
    </row>
    <row r="8128">
      <c r="B8128" s="31"/>
      <c r="G8128" s="272" t="s">
        <v>1099</v>
      </c>
    </row>
    <row r="8129">
      <c r="B8129" s="31"/>
      <c r="G8129" s="272" t="s">
        <v>1099</v>
      </c>
    </row>
    <row r="8130">
      <c r="B8130" s="31"/>
      <c r="G8130" s="272" t="s">
        <v>1099</v>
      </c>
    </row>
    <row r="8131">
      <c r="B8131" s="31"/>
      <c r="G8131" s="272" t="s">
        <v>1099</v>
      </c>
    </row>
    <row r="8132">
      <c r="B8132" s="31"/>
      <c r="G8132" s="272" t="s">
        <v>1099</v>
      </c>
    </row>
    <row r="8133">
      <c r="B8133" s="31"/>
      <c r="G8133" s="272" t="s">
        <v>1099</v>
      </c>
    </row>
    <row r="8134">
      <c r="B8134" s="31"/>
      <c r="G8134" s="272" t="s">
        <v>1099</v>
      </c>
    </row>
    <row r="8135">
      <c r="B8135" s="31"/>
      <c r="G8135" s="272" t="s">
        <v>1099</v>
      </c>
    </row>
    <row r="8136">
      <c r="B8136" s="31"/>
      <c r="G8136" s="272" t="s">
        <v>1099</v>
      </c>
    </row>
    <row r="8137">
      <c r="B8137" s="31"/>
      <c r="G8137" s="272" t="s">
        <v>1099</v>
      </c>
    </row>
    <row r="8138">
      <c r="B8138" s="31"/>
      <c r="G8138" s="272" t="s">
        <v>1099</v>
      </c>
    </row>
    <row r="8139">
      <c r="B8139" s="31"/>
      <c r="G8139" s="272" t="s">
        <v>1099</v>
      </c>
    </row>
    <row r="8140">
      <c r="B8140" s="31"/>
      <c r="G8140" s="272" t="s">
        <v>1099</v>
      </c>
    </row>
    <row r="8141">
      <c r="B8141" s="31"/>
      <c r="G8141" s="272" t="s">
        <v>1099</v>
      </c>
    </row>
    <row r="8142">
      <c r="B8142" s="31"/>
      <c r="G8142" s="272" t="s">
        <v>1099</v>
      </c>
    </row>
    <row r="8143">
      <c r="B8143" s="31"/>
      <c r="G8143" s="272" t="s">
        <v>1099</v>
      </c>
    </row>
    <row r="8144">
      <c r="B8144" s="31"/>
      <c r="G8144" s="272" t="s">
        <v>1099</v>
      </c>
    </row>
    <row r="8145">
      <c r="B8145" s="31"/>
      <c r="G8145" s="272" t="s">
        <v>1099</v>
      </c>
    </row>
    <row r="8146">
      <c r="B8146" s="31"/>
      <c r="G8146" s="272" t="s">
        <v>1099</v>
      </c>
    </row>
    <row r="8147">
      <c r="B8147" s="31"/>
      <c r="G8147" s="272" t="s">
        <v>1099</v>
      </c>
    </row>
    <row r="8148">
      <c r="B8148" s="31"/>
      <c r="G8148" s="272" t="s">
        <v>1099</v>
      </c>
    </row>
    <row r="8149">
      <c r="B8149" s="31"/>
      <c r="G8149" s="272" t="s">
        <v>1099</v>
      </c>
    </row>
    <row r="8150">
      <c r="B8150" s="31"/>
      <c r="G8150" s="272" t="s">
        <v>1099</v>
      </c>
    </row>
    <row r="8151">
      <c r="B8151" s="31"/>
      <c r="G8151" s="272" t="s">
        <v>1099</v>
      </c>
    </row>
    <row r="8152">
      <c r="B8152" s="31"/>
      <c r="G8152" s="272" t="s">
        <v>1099</v>
      </c>
    </row>
    <row r="8153">
      <c r="B8153" s="31"/>
      <c r="G8153" s="272" t="s">
        <v>1099</v>
      </c>
    </row>
    <row r="8154">
      <c r="B8154" s="31"/>
      <c r="G8154" s="272" t="s">
        <v>1099</v>
      </c>
    </row>
    <row r="8155">
      <c r="B8155" s="31"/>
      <c r="G8155" s="272" t="s">
        <v>1099</v>
      </c>
    </row>
    <row r="8156">
      <c r="B8156" s="31"/>
      <c r="G8156" s="272" t="s">
        <v>1099</v>
      </c>
    </row>
    <row r="8157">
      <c r="B8157" s="31"/>
      <c r="G8157" s="272" t="s">
        <v>1099</v>
      </c>
    </row>
    <row r="8158">
      <c r="B8158" s="31"/>
      <c r="G8158" s="272" t="s">
        <v>1099</v>
      </c>
    </row>
    <row r="8159">
      <c r="B8159" s="31"/>
      <c r="G8159" s="272" t="s">
        <v>1099</v>
      </c>
    </row>
    <row r="8160">
      <c r="B8160" s="31"/>
      <c r="G8160" s="272" t="s">
        <v>1099</v>
      </c>
    </row>
    <row r="8161">
      <c r="B8161" s="31"/>
      <c r="G8161" s="272" t="s">
        <v>1099</v>
      </c>
    </row>
    <row r="8162">
      <c r="B8162" s="31"/>
      <c r="G8162" s="272" t="s">
        <v>1099</v>
      </c>
    </row>
    <row r="8163">
      <c r="B8163" s="31"/>
      <c r="G8163" s="272" t="s">
        <v>1099</v>
      </c>
    </row>
    <row r="8164">
      <c r="B8164" s="31"/>
      <c r="G8164" s="272" t="s">
        <v>1099</v>
      </c>
    </row>
    <row r="8165">
      <c r="B8165" s="31"/>
      <c r="G8165" s="272" t="s">
        <v>1099</v>
      </c>
    </row>
    <row r="8166">
      <c r="B8166" s="31"/>
      <c r="G8166" s="272" t="s">
        <v>1099</v>
      </c>
    </row>
    <row r="8167">
      <c r="B8167" s="31"/>
      <c r="G8167" s="272" t="s">
        <v>1099</v>
      </c>
    </row>
    <row r="8168">
      <c r="B8168" s="31"/>
      <c r="G8168" s="272" t="s">
        <v>1099</v>
      </c>
    </row>
    <row r="8169">
      <c r="B8169" s="31"/>
      <c r="G8169" s="272" t="s">
        <v>1099</v>
      </c>
    </row>
    <row r="8170">
      <c r="B8170" s="31"/>
      <c r="G8170" s="272" t="s">
        <v>1099</v>
      </c>
    </row>
    <row r="8171">
      <c r="B8171" s="31"/>
      <c r="G8171" s="272" t="s">
        <v>1099</v>
      </c>
    </row>
    <row r="8172">
      <c r="B8172" s="31"/>
      <c r="G8172" s="272" t="s">
        <v>1099</v>
      </c>
    </row>
    <row r="8173">
      <c r="B8173" s="31"/>
      <c r="G8173" s="272" t="s">
        <v>1099</v>
      </c>
    </row>
    <row r="8174">
      <c r="B8174" s="31"/>
      <c r="G8174" s="272" t="s">
        <v>1099</v>
      </c>
    </row>
    <row r="8175">
      <c r="B8175" s="31"/>
      <c r="G8175" s="272" t="s">
        <v>1099</v>
      </c>
    </row>
    <row r="8176">
      <c r="B8176" s="31"/>
      <c r="G8176" s="272" t="s">
        <v>1099</v>
      </c>
    </row>
    <row r="8177">
      <c r="B8177" s="31"/>
      <c r="G8177" s="272" t="s">
        <v>1099</v>
      </c>
    </row>
    <row r="8178">
      <c r="B8178" s="31"/>
      <c r="G8178" s="272" t="s">
        <v>1099</v>
      </c>
    </row>
    <row r="8179">
      <c r="B8179" s="31"/>
      <c r="G8179" s="272" t="s">
        <v>1099</v>
      </c>
    </row>
    <row r="8180">
      <c r="B8180" s="31"/>
      <c r="G8180" s="272" t="s">
        <v>1099</v>
      </c>
    </row>
    <row r="8181">
      <c r="B8181" s="31"/>
      <c r="G8181" s="272" t="s">
        <v>1099</v>
      </c>
    </row>
    <row r="8182">
      <c r="B8182" s="31"/>
      <c r="G8182" s="272" t="s">
        <v>1099</v>
      </c>
    </row>
    <row r="8183">
      <c r="B8183" s="31"/>
      <c r="G8183" s="272" t="s">
        <v>1099</v>
      </c>
    </row>
    <row r="8184">
      <c r="B8184" s="31"/>
      <c r="G8184" s="272" t="s">
        <v>1099</v>
      </c>
    </row>
    <row r="8185">
      <c r="B8185" s="31"/>
      <c r="G8185" s="272" t="s">
        <v>1099</v>
      </c>
    </row>
    <row r="8186">
      <c r="B8186" s="31"/>
      <c r="G8186" s="272" t="s">
        <v>1099</v>
      </c>
    </row>
    <row r="8187">
      <c r="B8187" s="31"/>
      <c r="G8187" s="272" t="s">
        <v>1099</v>
      </c>
    </row>
    <row r="8188">
      <c r="B8188" s="31"/>
      <c r="G8188" s="272" t="s">
        <v>1099</v>
      </c>
    </row>
    <row r="8189">
      <c r="B8189" s="31"/>
      <c r="G8189" s="272" t="s">
        <v>1099</v>
      </c>
    </row>
    <row r="8190">
      <c r="B8190" s="31"/>
      <c r="G8190" s="272" t="s">
        <v>1099</v>
      </c>
    </row>
    <row r="8191">
      <c r="B8191" s="31"/>
      <c r="G8191" s="272" t="s">
        <v>1099</v>
      </c>
    </row>
    <row r="8192">
      <c r="B8192" s="31"/>
      <c r="G8192" s="272" t="s">
        <v>1099</v>
      </c>
    </row>
    <row r="8193">
      <c r="B8193" s="31"/>
      <c r="G8193" s="272" t="s">
        <v>1099</v>
      </c>
    </row>
    <row r="8194">
      <c r="B8194" s="31"/>
      <c r="G8194" s="272" t="s">
        <v>1099</v>
      </c>
    </row>
    <row r="8195">
      <c r="B8195" s="31"/>
      <c r="G8195" s="272" t="s">
        <v>1099</v>
      </c>
    </row>
    <row r="8196">
      <c r="B8196" s="31"/>
      <c r="G8196" s="272" t="s">
        <v>1099</v>
      </c>
    </row>
    <row r="8197">
      <c r="B8197" s="31"/>
      <c r="G8197" s="272" t="s">
        <v>1099</v>
      </c>
    </row>
    <row r="8198">
      <c r="B8198" s="31"/>
      <c r="G8198" s="272" t="s">
        <v>1099</v>
      </c>
    </row>
    <row r="8199">
      <c r="B8199" s="31"/>
      <c r="G8199" s="272" t="s">
        <v>1099</v>
      </c>
    </row>
    <row r="8200">
      <c r="B8200" s="31"/>
      <c r="G8200" s="272" t="s">
        <v>1099</v>
      </c>
    </row>
    <row r="8201">
      <c r="B8201" s="31"/>
      <c r="G8201" s="272" t="s">
        <v>1099</v>
      </c>
    </row>
    <row r="8202">
      <c r="B8202" s="31"/>
      <c r="G8202" s="272" t="s">
        <v>1099</v>
      </c>
    </row>
    <row r="8203">
      <c r="B8203" s="31"/>
      <c r="G8203" s="272" t="s">
        <v>1099</v>
      </c>
    </row>
    <row r="8204">
      <c r="B8204" s="31"/>
      <c r="G8204" s="272" t="s">
        <v>1099</v>
      </c>
    </row>
    <row r="8205">
      <c r="B8205" s="31"/>
      <c r="G8205" s="272" t="s">
        <v>1099</v>
      </c>
    </row>
    <row r="8206">
      <c r="B8206" s="31"/>
      <c r="G8206" s="272" t="s">
        <v>1099</v>
      </c>
    </row>
    <row r="8207">
      <c r="B8207" s="31"/>
      <c r="G8207" s="272" t="s">
        <v>1099</v>
      </c>
    </row>
    <row r="8208">
      <c r="B8208" s="31"/>
      <c r="G8208" s="272" t="s">
        <v>1099</v>
      </c>
    </row>
    <row r="8209">
      <c r="B8209" s="31"/>
      <c r="G8209" s="272" t="s">
        <v>1099</v>
      </c>
    </row>
    <row r="8210">
      <c r="B8210" s="31"/>
      <c r="G8210" s="272" t="s">
        <v>1099</v>
      </c>
    </row>
    <row r="8211">
      <c r="B8211" s="31"/>
      <c r="G8211" s="272" t="s">
        <v>1099</v>
      </c>
    </row>
    <row r="8212">
      <c r="B8212" s="31"/>
      <c r="G8212" s="272" t="s">
        <v>1099</v>
      </c>
    </row>
    <row r="8213">
      <c r="B8213" s="31"/>
      <c r="G8213" s="272" t="s">
        <v>1099</v>
      </c>
    </row>
    <row r="8214">
      <c r="B8214" s="31"/>
      <c r="G8214" s="272" t="s">
        <v>1099</v>
      </c>
    </row>
    <row r="8215">
      <c r="B8215" s="31"/>
      <c r="G8215" s="272" t="s">
        <v>1099</v>
      </c>
    </row>
    <row r="8216">
      <c r="B8216" s="31"/>
      <c r="G8216" s="272" t="s">
        <v>1099</v>
      </c>
    </row>
    <row r="8217">
      <c r="B8217" s="31"/>
      <c r="G8217" s="272" t="s">
        <v>1099</v>
      </c>
    </row>
    <row r="8218">
      <c r="B8218" s="31"/>
      <c r="G8218" s="272" t="s">
        <v>1099</v>
      </c>
    </row>
    <row r="8219">
      <c r="B8219" s="31"/>
      <c r="G8219" s="272" t="s">
        <v>1099</v>
      </c>
    </row>
    <row r="8220">
      <c r="B8220" s="31"/>
      <c r="G8220" s="272" t="s">
        <v>1099</v>
      </c>
    </row>
    <row r="8221">
      <c r="B8221" s="31"/>
      <c r="G8221" s="272" t="s">
        <v>1099</v>
      </c>
    </row>
    <row r="8222">
      <c r="B8222" s="31"/>
      <c r="G8222" s="272" t="s">
        <v>1099</v>
      </c>
    </row>
    <row r="8223">
      <c r="B8223" s="31"/>
      <c r="G8223" s="272" t="s">
        <v>1099</v>
      </c>
    </row>
    <row r="8224">
      <c r="B8224" s="31"/>
      <c r="G8224" s="272" t="s">
        <v>1099</v>
      </c>
    </row>
    <row r="8225">
      <c r="B8225" s="31"/>
      <c r="G8225" s="272" t="s">
        <v>1099</v>
      </c>
    </row>
    <row r="8226">
      <c r="B8226" s="31"/>
      <c r="G8226" s="272" t="s">
        <v>1099</v>
      </c>
    </row>
    <row r="8227">
      <c r="B8227" s="31"/>
      <c r="G8227" s="272" t="s">
        <v>1099</v>
      </c>
    </row>
    <row r="8228">
      <c r="B8228" s="31"/>
      <c r="G8228" s="272" t="s">
        <v>1099</v>
      </c>
    </row>
    <row r="8229">
      <c r="B8229" s="31"/>
      <c r="G8229" s="272" t="s">
        <v>1099</v>
      </c>
    </row>
    <row r="8230">
      <c r="B8230" s="31"/>
      <c r="G8230" s="272" t="s">
        <v>1099</v>
      </c>
    </row>
    <row r="8231">
      <c r="B8231" s="31"/>
      <c r="G8231" s="272" t="s">
        <v>1099</v>
      </c>
    </row>
    <row r="8232">
      <c r="B8232" s="31"/>
      <c r="G8232" s="272" t="s">
        <v>1099</v>
      </c>
    </row>
    <row r="8233">
      <c r="B8233" s="31"/>
      <c r="G8233" s="272" t="s">
        <v>1099</v>
      </c>
    </row>
    <row r="8234">
      <c r="B8234" s="31"/>
      <c r="G8234" s="272" t="s">
        <v>1099</v>
      </c>
    </row>
    <row r="8235">
      <c r="B8235" s="31"/>
      <c r="G8235" s="272" t="s">
        <v>1099</v>
      </c>
    </row>
    <row r="8236">
      <c r="B8236" s="31"/>
      <c r="G8236" s="272" t="s">
        <v>1099</v>
      </c>
    </row>
    <row r="8237">
      <c r="B8237" s="31"/>
      <c r="G8237" s="272" t="s">
        <v>1099</v>
      </c>
    </row>
    <row r="8238">
      <c r="B8238" s="31"/>
      <c r="G8238" s="272" t="s">
        <v>1099</v>
      </c>
    </row>
    <row r="8239">
      <c r="B8239" s="31"/>
      <c r="G8239" s="272" t="s">
        <v>1099</v>
      </c>
    </row>
    <row r="8240">
      <c r="B8240" s="31"/>
      <c r="G8240" s="272" t="s">
        <v>1099</v>
      </c>
    </row>
    <row r="8241">
      <c r="B8241" s="31"/>
      <c r="G8241" s="272" t="s">
        <v>1099</v>
      </c>
    </row>
    <row r="8242">
      <c r="B8242" s="31"/>
      <c r="G8242" s="272" t="s">
        <v>1099</v>
      </c>
    </row>
    <row r="8243">
      <c r="B8243" s="31"/>
      <c r="G8243" s="272" t="s">
        <v>1099</v>
      </c>
    </row>
    <row r="8244">
      <c r="B8244" s="31"/>
      <c r="G8244" s="272" t="s">
        <v>1099</v>
      </c>
    </row>
    <row r="8245">
      <c r="B8245" s="31"/>
      <c r="G8245" s="272" t="s">
        <v>1099</v>
      </c>
    </row>
    <row r="8246">
      <c r="B8246" s="31"/>
      <c r="G8246" s="272" t="s">
        <v>1099</v>
      </c>
    </row>
    <row r="8247">
      <c r="B8247" s="31"/>
      <c r="G8247" s="272" t="s">
        <v>1099</v>
      </c>
    </row>
    <row r="8248">
      <c r="B8248" s="31"/>
      <c r="G8248" s="272" t="s">
        <v>1099</v>
      </c>
    </row>
    <row r="8249">
      <c r="B8249" s="31"/>
      <c r="G8249" s="272" t="s">
        <v>1099</v>
      </c>
    </row>
    <row r="8250">
      <c r="B8250" s="31"/>
      <c r="G8250" s="272" t="s">
        <v>1099</v>
      </c>
    </row>
    <row r="8251">
      <c r="B8251" s="31"/>
      <c r="G8251" s="272" t="s">
        <v>1099</v>
      </c>
    </row>
    <row r="8252">
      <c r="B8252" s="31"/>
      <c r="G8252" s="272" t="s">
        <v>1099</v>
      </c>
    </row>
    <row r="8253">
      <c r="B8253" s="31"/>
      <c r="G8253" s="272" t="s">
        <v>1099</v>
      </c>
    </row>
    <row r="8254">
      <c r="B8254" s="31"/>
      <c r="G8254" s="272" t="s">
        <v>1099</v>
      </c>
    </row>
    <row r="8255">
      <c r="B8255" s="31"/>
      <c r="G8255" s="272" t="s">
        <v>1099</v>
      </c>
    </row>
    <row r="8256">
      <c r="B8256" s="31"/>
      <c r="G8256" s="272" t="s">
        <v>1099</v>
      </c>
    </row>
    <row r="8257">
      <c r="B8257" s="31"/>
      <c r="G8257" s="272" t="s">
        <v>1099</v>
      </c>
    </row>
    <row r="8258">
      <c r="B8258" s="31"/>
      <c r="G8258" s="272" t="s">
        <v>1099</v>
      </c>
    </row>
    <row r="8259">
      <c r="B8259" s="31"/>
      <c r="G8259" s="272" t="s">
        <v>1099</v>
      </c>
    </row>
    <row r="8260">
      <c r="B8260" s="31"/>
      <c r="G8260" s="272" t="s">
        <v>1099</v>
      </c>
    </row>
    <row r="8261">
      <c r="B8261" s="31"/>
      <c r="G8261" s="272" t="s">
        <v>1099</v>
      </c>
    </row>
    <row r="8262">
      <c r="B8262" s="31"/>
      <c r="G8262" s="272" t="s">
        <v>1099</v>
      </c>
    </row>
    <row r="8263">
      <c r="B8263" s="31"/>
      <c r="G8263" s="272" t="s">
        <v>1099</v>
      </c>
    </row>
    <row r="8264">
      <c r="B8264" s="31"/>
      <c r="G8264" s="272" t="s">
        <v>1099</v>
      </c>
    </row>
    <row r="8265">
      <c r="B8265" s="31"/>
      <c r="G8265" s="272" t="s">
        <v>1099</v>
      </c>
    </row>
    <row r="8266">
      <c r="B8266" s="31"/>
      <c r="G8266" s="272" t="s">
        <v>1099</v>
      </c>
    </row>
    <row r="8267">
      <c r="B8267" s="31"/>
      <c r="G8267" s="272" t="s">
        <v>1099</v>
      </c>
    </row>
    <row r="8268">
      <c r="B8268" s="31"/>
      <c r="G8268" s="272" t="s">
        <v>1099</v>
      </c>
    </row>
    <row r="8269">
      <c r="B8269" s="31"/>
      <c r="G8269" s="272" t="s">
        <v>1099</v>
      </c>
    </row>
    <row r="8270">
      <c r="B8270" s="31"/>
      <c r="G8270" s="272" t="s">
        <v>1099</v>
      </c>
    </row>
    <row r="8271">
      <c r="B8271" s="31"/>
      <c r="G8271" s="272" t="s">
        <v>1099</v>
      </c>
    </row>
    <row r="8272">
      <c r="B8272" s="31"/>
      <c r="G8272" s="272" t="s">
        <v>1099</v>
      </c>
    </row>
    <row r="8273">
      <c r="B8273" s="31"/>
      <c r="G8273" s="272" t="s">
        <v>1099</v>
      </c>
    </row>
    <row r="8274">
      <c r="B8274" s="31"/>
      <c r="G8274" s="272" t="s">
        <v>1099</v>
      </c>
    </row>
    <row r="8275">
      <c r="B8275" s="31"/>
      <c r="G8275" s="272" t="s">
        <v>1099</v>
      </c>
    </row>
    <row r="8276">
      <c r="B8276" s="31"/>
      <c r="G8276" s="272" t="s">
        <v>1099</v>
      </c>
    </row>
    <row r="8277">
      <c r="B8277" s="31"/>
      <c r="G8277" s="272" t="s">
        <v>1099</v>
      </c>
    </row>
    <row r="8278">
      <c r="B8278" s="31"/>
      <c r="G8278" s="272" t="s">
        <v>1099</v>
      </c>
    </row>
    <row r="8279">
      <c r="B8279" s="31"/>
      <c r="G8279" s="272" t="s">
        <v>1099</v>
      </c>
    </row>
    <row r="8280">
      <c r="B8280" s="31"/>
      <c r="G8280" s="272" t="s">
        <v>1099</v>
      </c>
    </row>
    <row r="8281">
      <c r="B8281" s="31"/>
      <c r="G8281" s="272" t="s">
        <v>1099</v>
      </c>
    </row>
    <row r="8282">
      <c r="B8282" s="31"/>
      <c r="G8282" s="272" t="s">
        <v>1099</v>
      </c>
    </row>
    <row r="8283">
      <c r="B8283" s="31"/>
      <c r="G8283" s="272" t="s">
        <v>1099</v>
      </c>
    </row>
    <row r="8284">
      <c r="B8284" s="31"/>
      <c r="G8284" s="272" t="s">
        <v>1099</v>
      </c>
    </row>
    <row r="8285">
      <c r="B8285" s="31"/>
      <c r="G8285" s="272" t="s">
        <v>1099</v>
      </c>
    </row>
    <row r="8286">
      <c r="B8286" s="31"/>
      <c r="G8286" s="272" t="s">
        <v>1099</v>
      </c>
    </row>
    <row r="8287">
      <c r="B8287" s="31"/>
      <c r="G8287" s="272" t="s">
        <v>1099</v>
      </c>
    </row>
    <row r="8288">
      <c r="B8288" s="31"/>
      <c r="G8288" s="272" t="s">
        <v>1099</v>
      </c>
    </row>
    <row r="8289">
      <c r="B8289" s="31"/>
      <c r="G8289" s="272" t="s">
        <v>1099</v>
      </c>
    </row>
    <row r="8290">
      <c r="B8290" s="31"/>
      <c r="G8290" s="272" t="s">
        <v>1099</v>
      </c>
    </row>
    <row r="8291">
      <c r="B8291" s="31"/>
      <c r="G8291" s="272" t="s">
        <v>1099</v>
      </c>
    </row>
    <row r="8292">
      <c r="B8292" s="31"/>
      <c r="G8292" s="272" t="s">
        <v>1099</v>
      </c>
    </row>
    <row r="8293">
      <c r="B8293" s="31"/>
      <c r="G8293" s="272" t="s">
        <v>1099</v>
      </c>
    </row>
    <row r="8294">
      <c r="B8294" s="31"/>
      <c r="G8294" s="272" t="s">
        <v>1099</v>
      </c>
    </row>
    <row r="8295">
      <c r="B8295" s="31"/>
      <c r="G8295" s="272" t="s">
        <v>1099</v>
      </c>
    </row>
    <row r="8296">
      <c r="B8296" s="31"/>
      <c r="G8296" s="272" t="s">
        <v>1099</v>
      </c>
    </row>
    <row r="8297">
      <c r="B8297" s="31"/>
      <c r="G8297" s="272" t="s">
        <v>1099</v>
      </c>
    </row>
    <row r="8298">
      <c r="B8298" s="31"/>
      <c r="G8298" s="272" t="s">
        <v>1099</v>
      </c>
    </row>
    <row r="8299">
      <c r="B8299" s="31"/>
      <c r="G8299" s="272" t="s">
        <v>1099</v>
      </c>
    </row>
    <row r="8300">
      <c r="B8300" s="31"/>
      <c r="G8300" s="272" t="s">
        <v>1099</v>
      </c>
    </row>
    <row r="8301">
      <c r="B8301" s="31"/>
      <c r="G8301" s="272" t="s">
        <v>1099</v>
      </c>
    </row>
    <row r="8302">
      <c r="B8302" s="31"/>
      <c r="G8302" s="272" t="s">
        <v>1099</v>
      </c>
    </row>
    <row r="8303">
      <c r="B8303" s="31"/>
      <c r="G8303" s="272" t="s">
        <v>1099</v>
      </c>
    </row>
    <row r="8304">
      <c r="B8304" s="31"/>
      <c r="G8304" s="272" t="s">
        <v>1099</v>
      </c>
    </row>
    <row r="8305">
      <c r="B8305" s="31"/>
      <c r="G8305" s="272" t="s">
        <v>1099</v>
      </c>
    </row>
    <row r="8306">
      <c r="B8306" s="31"/>
      <c r="G8306" s="272" t="s">
        <v>1099</v>
      </c>
    </row>
    <row r="8307">
      <c r="B8307" s="31"/>
      <c r="G8307" s="272" t="s">
        <v>1099</v>
      </c>
    </row>
    <row r="8308">
      <c r="B8308" s="31"/>
      <c r="G8308" s="272" t="s">
        <v>1099</v>
      </c>
    </row>
    <row r="8309">
      <c r="B8309" s="31"/>
      <c r="G8309" s="272" t="s">
        <v>1099</v>
      </c>
    </row>
    <row r="8310">
      <c r="B8310" s="31"/>
      <c r="G8310" s="272" t="s">
        <v>1099</v>
      </c>
    </row>
    <row r="8311">
      <c r="B8311" s="31"/>
      <c r="G8311" s="272" t="s">
        <v>1099</v>
      </c>
    </row>
    <row r="8312">
      <c r="B8312" s="31"/>
      <c r="G8312" s="272" t="s">
        <v>1099</v>
      </c>
    </row>
    <row r="8313">
      <c r="B8313" s="31"/>
      <c r="G8313" s="272" t="s">
        <v>1099</v>
      </c>
    </row>
    <row r="8314">
      <c r="B8314" s="31"/>
      <c r="G8314" s="272" t="s">
        <v>1099</v>
      </c>
    </row>
    <row r="8315">
      <c r="B8315" s="31"/>
      <c r="G8315" s="272" t="s">
        <v>1099</v>
      </c>
    </row>
    <row r="8316">
      <c r="B8316" s="31"/>
      <c r="G8316" s="272" t="s">
        <v>1099</v>
      </c>
    </row>
    <row r="8317">
      <c r="B8317" s="31"/>
      <c r="G8317" s="272" t="s">
        <v>1099</v>
      </c>
    </row>
    <row r="8318">
      <c r="B8318" s="31"/>
      <c r="G8318" s="272" t="s">
        <v>1099</v>
      </c>
    </row>
    <row r="8319">
      <c r="B8319" s="31"/>
      <c r="G8319" s="272" t="s">
        <v>1099</v>
      </c>
    </row>
    <row r="8320">
      <c r="B8320" s="31"/>
      <c r="G8320" s="272" t="s">
        <v>1099</v>
      </c>
    </row>
    <row r="8321">
      <c r="B8321" s="31"/>
      <c r="G8321" s="272" t="s">
        <v>1099</v>
      </c>
    </row>
    <row r="8322">
      <c r="B8322" s="31"/>
      <c r="G8322" s="272" t="s">
        <v>1099</v>
      </c>
    </row>
    <row r="8323">
      <c r="B8323" s="31"/>
      <c r="G8323" s="272" t="s">
        <v>1099</v>
      </c>
    </row>
    <row r="8324">
      <c r="B8324" s="31"/>
      <c r="G8324" s="272" t="s">
        <v>1099</v>
      </c>
    </row>
    <row r="8325">
      <c r="B8325" s="31"/>
      <c r="G8325" s="272" t="s">
        <v>1099</v>
      </c>
    </row>
    <row r="8326">
      <c r="B8326" s="31"/>
      <c r="G8326" s="272" t="s">
        <v>1099</v>
      </c>
    </row>
    <row r="8327">
      <c r="B8327" s="31"/>
      <c r="G8327" s="272" t="s">
        <v>1099</v>
      </c>
    </row>
    <row r="8328">
      <c r="B8328" s="31"/>
      <c r="G8328" s="272" t="s">
        <v>1099</v>
      </c>
    </row>
    <row r="8329">
      <c r="B8329" s="31"/>
      <c r="G8329" s="272" t="s">
        <v>1099</v>
      </c>
    </row>
    <row r="8330">
      <c r="B8330" s="31"/>
      <c r="G8330" s="272" t="s">
        <v>1099</v>
      </c>
    </row>
    <row r="8331">
      <c r="B8331" s="31"/>
      <c r="G8331" s="272" t="s">
        <v>1099</v>
      </c>
    </row>
    <row r="8332">
      <c r="B8332" s="31"/>
      <c r="G8332" s="272" t="s">
        <v>1099</v>
      </c>
    </row>
    <row r="8333">
      <c r="B8333" s="31"/>
      <c r="G8333" s="272" t="s">
        <v>1099</v>
      </c>
    </row>
    <row r="8334">
      <c r="B8334" s="31"/>
      <c r="G8334" s="272" t="s">
        <v>1099</v>
      </c>
    </row>
    <row r="8335">
      <c r="B8335" s="31"/>
      <c r="G8335" s="272" t="s">
        <v>1099</v>
      </c>
    </row>
    <row r="8336">
      <c r="B8336" s="31"/>
      <c r="G8336" s="272" t="s">
        <v>1099</v>
      </c>
    </row>
    <row r="8337">
      <c r="B8337" s="31"/>
      <c r="G8337" s="272" t="s">
        <v>1099</v>
      </c>
    </row>
    <row r="8338">
      <c r="B8338" s="31"/>
      <c r="G8338" s="272" t="s">
        <v>1099</v>
      </c>
    </row>
    <row r="8339">
      <c r="B8339" s="31"/>
      <c r="G8339" s="272" t="s">
        <v>1099</v>
      </c>
    </row>
    <row r="8340">
      <c r="B8340" s="31"/>
      <c r="G8340" s="272" t="s">
        <v>1099</v>
      </c>
    </row>
    <row r="8341">
      <c r="B8341" s="31"/>
      <c r="G8341" s="272" t="s">
        <v>1099</v>
      </c>
    </row>
    <row r="8342">
      <c r="B8342" s="31"/>
      <c r="G8342" s="272" t="s">
        <v>1099</v>
      </c>
    </row>
    <row r="8343">
      <c r="B8343" s="31"/>
      <c r="G8343" s="272" t="s">
        <v>1099</v>
      </c>
    </row>
    <row r="8344">
      <c r="B8344" s="31"/>
      <c r="G8344" s="272" t="s">
        <v>1099</v>
      </c>
    </row>
    <row r="8345">
      <c r="B8345" s="31"/>
      <c r="G8345" s="272" t="s">
        <v>1099</v>
      </c>
    </row>
    <row r="8346">
      <c r="B8346" s="31"/>
      <c r="G8346" s="272" t="s">
        <v>1099</v>
      </c>
    </row>
    <row r="8347">
      <c r="B8347" s="31"/>
      <c r="G8347" s="272" t="s">
        <v>1099</v>
      </c>
    </row>
    <row r="8348">
      <c r="B8348" s="31"/>
      <c r="G8348" s="272" t="s">
        <v>1099</v>
      </c>
    </row>
    <row r="8349">
      <c r="B8349" s="31"/>
      <c r="G8349" s="272" t="s">
        <v>1099</v>
      </c>
    </row>
    <row r="8350">
      <c r="B8350" s="31"/>
      <c r="G8350" s="272" t="s">
        <v>1099</v>
      </c>
    </row>
    <row r="8351">
      <c r="B8351" s="31"/>
      <c r="G8351" s="272" t="s">
        <v>1099</v>
      </c>
    </row>
    <row r="8352">
      <c r="B8352" s="31"/>
      <c r="G8352" s="272" t="s">
        <v>1099</v>
      </c>
    </row>
    <row r="8353">
      <c r="B8353" s="31"/>
      <c r="G8353" s="272" t="s">
        <v>1099</v>
      </c>
    </row>
    <row r="8354">
      <c r="B8354" s="31"/>
      <c r="G8354" s="272" t="s">
        <v>1099</v>
      </c>
    </row>
    <row r="8355">
      <c r="B8355" s="31"/>
      <c r="G8355" s="272" t="s">
        <v>1099</v>
      </c>
    </row>
    <row r="8356">
      <c r="B8356" s="31"/>
      <c r="G8356" s="272" t="s">
        <v>1099</v>
      </c>
    </row>
    <row r="8357">
      <c r="B8357" s="31"/>
      <c r="G8357" s="272" t="s">
        <v>1099</v>
      </c>
    </row>
    <row r="8358">
      <c r="B8358" s="31"/>
      <c r="G8358" s="272" t="s">
        <v>1099</v>
      </c>
    </row>
    <row r="8359">
      <c r="B8359" s="31"/>
      <c r="G8359" s="272" t="s">
        <v>1099</v>
      </c>
    </row>
    <row r="8360">
      <c r="B8360" s="31"/>
      <c r="G8360" s="272" t="s">
        <v>1099</v>
      </c>
    </row>
    <row r="8361">
      <c r="B8361" s="31"/>
      <c r="G8361" s="272" t="s">
        <v>1099</v>
      </c>
    </row>
    <row r="8362">
      <c r="B8362" s="31"/>
      <c r="G8362" s="272" t="s">
        <v>1099</v>
      </c>
    </row>
    <row r="8363">
      <c r="B8363" s="31"/>
      <c r="G8363" s="272" t="s">
        <v>1099</v>
      </c>
    </row>
    <row r="8364">
      <c r="B8364" s="31"/>
      <c r="G8364" s="272" t="s">
        <v>1099</v>
      </c>
    </row>
    <row r="8365">
      <c r="B8365" s="31"/>
      <c r="G8365" s="272" t="s">
        <v>1099</v>
      </c>
    </row>
    <row r="8366">
      <c r="B8366" s="31"/>
      <c r="G8366" s="272" t="s">
        <v>1099</v>
      </c>
    </row>
    <row r="8367">
      <c r="B8367" s="31"/>
      <c r="G8367" s="272" t="s">
        <v>1099</v>
      </c>
    </row>
    <row r="8368">
      <c r="B8368" s="31"/>
      <c r="G8368" s="272" t="s">
        <v>1099</v>
      </c>
    </row>
    <row r="8369">
      <c r="B8369" s="31"/>
      <c r="G8369" s="272" t="s">
        <v>1099</v>
      </c>
    </row>
    <row r="8370">
      <c r="B8370" s="31"/>
      <c r="G8370" s="272" t="s">
        <v>1099</v>
      </c>
    </row>
    <row r="8371">
      <c r="B8371" s="31"/>
      <c r="G8371" s="272" t="s">
        <v>1099</v>
      </c>
    </row>
    <row r="8372">
      <c r="B8372" s="31"/>
      <c r="G8372" s="272" t="s">
        <v>1099</v>
      </c>
    </row>
    <row r="8373">
      <c r="B8373" s="31"/>
      <c r="G8373" s="272" t="s">
        <v>1099</v>
      </c>
    </row>
    <row r="8374">
      <c r="B8374" s="31"/>
      <c r="G8374" s="272" t="s">
        <v>1099</v>
      </c>
    </row>
    <row r="8375">
      <c r="B8375" s="31"/>
      <c r="G8375" s="272" t="s">
        <v>1099</v>
      </c>
    </row>
    <row r="8376">
      <c r="B8376" s="31"/>
      <c r="G8376" s="272" t="s">
        <v>1099</v>
      </c>
    </row>
    <row r="8377">
      <c r="B8377" s="31"/>
      <c r="G8377" s="272" t="s">
        <v>1099</v>
      </c>
    </row>
    <row r="8378">
      <c r="B8378" s="31"/>
      <c r="G8378" s="272" t="s">
        <v>1099</v>
      </c>
    </row>
    <row r="8379">
      <c r="B8379" s="31"/>
      <c r="G8379" s="272" t="s">
        <v>1099</v>
      </c>
    </row>
    <row r="8380">
      <c r="B8380" s="31"/>
      <c r="G8380" s="272" t="s">
        <v>1099</v>
      </c>
    </row>
    <row r="8381">
      <c r="B8381" s="31"/>
      <c r="G8381" s="272" t="s">
        <v>1099</v>
      </c>
    </row>
    <row r="8382">
      <c r="B8382" s="31"/>
      <c r="G8382" s="272" t="s">
        <v>1099</v>
      </c>
    </row>
    <row r="8383">
      <c r="B8383" s="31"/>
      <c r="G8383" s="272" t="s">
        <v>1099</v>
      </c>
    </row>
    <row r="8384">
      <c r="B8384" s="31"/>
      <c r="G8384" s="272" t="s">
        <v>1099</v>
      </c>
    </row>
    <row r="8385">
      <c r="B8385" s="31"/>
      <c r="G8385" s="272" t="s">
        <v>1099</v>
      </c>
    </row>
    <row r="8386">
      <c r="B8386" s="31"/>
      <c r="G8386" s="272" t="s">
        <v>1099</v>
      </c>
    </row>
    <row r="8387">
      <c r="B8387" s="31"/>
      <c r="G8387" s="272" t="s">
        <v>1099</v>
      </c>
    </row>
    <row r="8388">
      <c r="B8388" s="31"/>
      <c r="G8388" s="272" t="s">
        <v>1099</v>
      </c>
    </row>
    <row r="8389">
      <c r="B8389" s="31"/>
      <c r="G8389" s="272" t="s">
        <v>1099</v>
      </c>
    </row>
    <row r="8390">
      <c r="B8390" s="31"/>
      <c r="G8390" s="272" t="s">
        <v>1099</v>
      </c>
    </row>
    <row r="8391">
      <c r="B8391" s="31"/>
      <c r="G8391" s="272" t="s">
        <v>1099</v>
      </c>
    </row>
    <row r="8392">
      <c r="B8392" s="31"/>
      <c r="G8392" s="272" t="s">
        <v>1099</v>
      </c>
    </row>
    <row r="8393">
      <c r="B8393" s="31"/>
      <c r="G8393" s="272" t="s">
        <v>1099</v>
      </c>
    </row>
    <row r="8394">
      <c r="B8394" s="31"/>
      <c r="G8394" s="272" t="s">
        <v>1099</v>
      </c>
    </row>
    <row r="8395">
      <c r="B8395" s="31"/>
      <c r="G8395" s="272" t="s">
        <v>1099</v>
      </c>
    </row>
    <row r="8396">
      <c r="B8396" s="31"/>
      <c r="G8396" s="272" t="s">
        <v>1099</v>
      </c>
    </row>
    <row r="8397">
      <c r="B8397" s="31"/>
      <c r="G8397" s="272" t="s">
        <v>1099</v>
      </c>
    </row>
    <row r="8398">
      <c r="B8398" s="31"/>
      <c r="G8398" s="272" t="s">
        <v>1099</v>
      </c>
    </row>
    <row r="8399">
      <c r="B8399" s="31"/>
      <c r="G8399" s="272" t="s">
        <v>1099</v>
      </c>
    </row>
    <row r="8400">
      <c r="B8400" s="31"/>
      <c r="G8400" s="272" t="s">
        <v>1099</v>
      </c>
    </row>
    <row r="8401">
      <c r="B8401" s="31"/>
      <c r="G8401" s="272" t="s">
        <v>1099</v>
      </c>
    </row>
    <row r="8402">
      <c r="B8402" s="31"/>
      <c r="G8402" s="272" t="s">
        <v>1099</v>
      </c>
    </row>
    <row r="8403">
      <c r="B8403" s="31"/>
      <c r="G8403" s="272" t="s">
        <v>1099</v>
      </c>
    </row>
    <row r="8404">
      <c r="B8404" s="31"/>
      <c r="G8404" s="272" t="s">
        <v>1099</v>
      </c>
    </row>
    <row r="8405">
      <c r="B8405" s="31"/>
      <c r="G8405" s="272" t="s">
        <v>1099</v>
      </c>
    </row>
    <row r="8406">
      <c r="B8406" s="31"/>
      <c r="G8406" s="272" t="s">
        <v>1099</v>
      </c>
    </row>
    <row r="8407">
      <c r="B8407" s="31"/>
      <c r="G8407" s="272" t="s">
        <v>1099</v>
      </c>
    </row>
    <row r="8408">
      <c r="B8408" s="31"/>
      <c r="G8408" s="272" t="s">
        <v>1099</v>
      </c>
    </row>
    <row r="8409">
      <c r="B8409" s="31"/>
      <c r="G8409" s="272" t="s">
        <v>1099</v>
      </c>
    </row>
    <row r="8410">
      <c r="B8410" s="31"/>
      <c r="G8410" s="272" t="s">
        <v>1099</v>
      </c>
    </row>
    <row r="8411">
      <c r="B8411" s="31"/>
      <c r="G8411" s="272" t="s">
        <v>1099</v>
      </c>
    </row>
    <row r="8412">
      <c r="B8412" s="31"/>
      <c r="G8412" s="272" t="s">
        <v>1099</v>
      </c>
    </row>
    <row r="8413">
      <c r="B8413" s="31"/>
      <c r="G8413" s="272" t="s">
        <v>1099</v>
      </c>
    </row>
    <row r="8414">
      <c r="B8414" s="31"/>
      <c r="G8414" s="272" t="s">
        <v>1099</v>
      </c>
    </row>
    <row r="8415">
      <c r="B8415" s="31"/>
      <c r="G8415" s="272" t="s">
        <v>1099</v>
      </c>
    </row>
    <row r="8416">
      <c r="B8416" s="31"/>
      <c r="G8416" s="272" t="s">
        <v>1099</v>
      </c>
    </row>
    <row r="8417">
      <c r="B8417" s="31"/>
      <c r="G8417" s="272" t="s">
        <v>1099</v>
      </c>
    </row>
    <row r="8418">
      <c r="B8418" s="31"/>
      <c r="G8418" s="272" t="s">
        <v>1099</v>
      </c>
    </row>
    <row r="8419">
      <c r="B8419" s="31"/>
      <c r="G8419" s="272" t="s">
        <v>1099</v>
      </c>
    </row>
    <row r="8420">
      <c r="B8420" s="31"/>
      <c r="G8420" s="272" t="s">
        <v>1099</v>
      </c>
    </row>
    <row r="8421">
      <c r="B8421" s="31"/>
      <c r="G8421" s="272" t="s">
        <v>1099</v>
      </c>
    </row>
    <row r="8422">
      <c r="B8422" s="31"/>
      <c r="G8422" s="272" t="s">
        <v>1099</v>
      </c>
    </row>
    <row r="8423">
      <c r="B8423" s="31"/>
      <c r="G8423" s="272" t="s">
        <v>1099</v>
      </c>
    </row>
    <row r="8424">
      <c r="B8424" s="31"/>
      <c r="G8424" s="272" t="s">
        <v>1099</v>
      </c>
    </row>
    <row r="8425">
      <c r="B8425" s="31"/>
      <c r="G8425" s="272" t="s">
        <v>1099</v>
      </c>
    </row>
    <row r="8426">
      <c r="B8426" s="31"/>
      <c r="G8426" s="272" t="s">
        <v>1099</v>
      </c>
    </row>
    <row r="8427">
      <c r="B8427" s="31"/>
      <c r="G8427" s="272" t="s">
        <v>1099</v>
      </c>
    </row>
    <row r="8428">
      <c r="B8428" s="31"/>
      <c r="G8428" s="272" t="s">
        <v>1099</v>
      </c>
    </row>
    <row r="8429">
      <c r="B8429" s="31"/>
      <c r="G8429" s="272" t="s">
        <v>1099</v>
      </c>
    </row>
    <row r="8430">
      <c r="B8430" s="31"/>
      <c r="G8430" s="272" t="s">
        <v>1099</v>
      </c>
    </row>
    <row r="8431">
      <c r="B8431" s="31"/>
      <c r="G8431" s="272" t="s">
        <v>1099</v>
      </c>
    </row>
    <row r="8432">
      <c r="B8432" s="31"/>
      <c r="G8432" s="272" t="s">
        <v>1099</v>
      </c>
    </row>
    <row r="8433">
      <c r="B8433" s="31"/>
      <c r="G8433" s="272" t="s">
        <v>1099</v>
      </c>
    </row>
    <row r="8434">
      <c r="B8434" s="31"/>
      <c r="G8434" s="272" t="s">
        <v>1099</v>
      </c>
    </row>
    <row r="8435">
      <c r="B8435" s="31"/>
      <c r="G8435" s="272" t="s">
        <v>1099</v>
      </c>
    </row>
    <row r="8436">
      <c r="B8436" s="31"/>
      <c r="G8436" s="272" t="s">
        <v>1099</v>
      </c>
    </row>
    <row r="8437">
      <c r="B8437" s="31"/>
      <c r="G8437" s="272" t="s">
        <v>1099</v>
      </c>
    </row>
    <row r="8438">
      <c r="B8438" s="31"/>
      <c r="G8438" s="272" t="s">
        <v>1099</v>
      </c>
    </row>
    <row r="8439">
      <c r="B8439" s="31"/>
      <c r="G8439" s="272" t="s">
        <v>1099</v>
      </c>
    </row>
    <row r="8440">
      <c r="B8440" s="31"/>
      <c r="G8440" s="272" t="s">
        <v>1099</v>
      </c>
    </row>
    <row r="8441">
      <c r="B8441" s="31"/>
      <c r="G8441" s="272" t="s">
        <v>1099</v>
      </c>
    </row>
    <row r="8442">
      <c r="B8442" s="31"/>
      <c r="G8442" s="272" t="s">
        <v>1099</v>
      </c>
    </row>
    <row r="8443">
      <c r="B8443" s="31"/>
      <c r="G8443" s="272" t="s">
        <v>1099</v>
      </c>
    </row>
    <row r="8444">
      <c r="B8444" s="31"/>
      <c r="G8444" s="272" t="s">
        <v>1099</v>
      </c>
    </row>
    <row r="8445">
      <c r="B8445" s="31"/>
      <c r="G8445" s="272" t="s">
        <v>1099</v>
      </c>
    </row>
    <row r="8446">
      <c r="B8446" s="31"/>
      <c r="G8446" s="272" t="s">
        <v>1099</v>
      </c>
    </row>
    <row r="8447">
      <c r="B8447" s="31"/>
      <c r="G8447" s="272" t="s">
        <v>1099</v>
      </c>
    </row>
    <row r="8448">
      <c r="B8448" s="31"/>
      <c r="G8448" s="272" t="s">
        <v>1099</v>
      </c>
    </row>
    <row r="8449">
      <c r="B8449" s="31"/>
      <c r="G8449" s="272" t="s">
        <v>1099</v>
      </c>
    </row>
    <row r="8450">
      <c r="B8450" s="31"/>
      <c r="G8450" s="272" t="s">
        <v>1099</v>
      </c>
    </row>
    <row r="8451">
      <c r="B8451" s="31"/>
      <c r="G8451" s="272" t="s">
        <v>1099</v>
      </c>
    </row>
    <row r="8452">
      <c r="B8452" s="31"/>
      <c r="G8452" s="272" t="s">
        <v>1099</v>
      </c>
    </row>
    <row r="8453">
      <c r="B8453" s="31"/>
      <c r="G8453" s="272" t="s">
        <v>1099</v>
      </c>
    </row>
    <row r="8454">
      <c r="B8454" s="31"/>
      <c r="G8454" s="272" t="s">
        <v>1099</v>
      </c>
    </row>
    <row r="8455">
      <c r="B8455" s="31"/>
      <c r="G8455" s="272" t="s">
        <v>1099</v>
      </c>
    </row>
    <row r="8456">
      <c r="B8456" s="31"/>
      <c r="G8456" s="272" t="s">
        <v>1099</v>
      </c>
    </row>
    <row r="8457">
      <c r="B8457" s="31"/>
      <c r="G8457" s="272" t="s">
        <v>1099</v>
      </c>
    </row>
    <row r="8458">
      <c r="B8458" s="31"/>
      <c r="G8458" s="272" t="s">
        <v>1099</v>
      </c>
    </row>
    <row r="8459">
      <c r="B8459" s="31"/>
      <c r="G8459" s="272" t="s">
        <v>1099</v>
      </c>
    </row>
    <row r="8460">
      <c r="B8460" s="31"/>
      <c r="G8460" s="272" t="s">
        <v>1099</v>
      </c>
    </row>
    <row r="8461">
      <c r="B8461" s="31"/>
      <c r="G8461" s="272" t="s">
        <v>1099</v>
      </c>
    </row>
    <row r="8462">
      <c r="B8462" s="31"/>
      <c r="G8462" s="272" t="s">
        <v>1099</v>
      </c>
    </row>
    <row r="8463">
      <c r="B8463" s="31"/>
      <c r="G8463" s="272" t="s">
        <v>1099</v>
      </c>
    </row>
    <row r="8464">
      <c r="B8464" s="31"/>
      <c r="G8464" s="272" t="s">
        <v>1099</v>
      </c>
    </row>
    <row r="8465">
      <c r="B8465" s="31"/>
      <c r="G8465" s="272" t="s">
        <v>1099</v>
      </c>
    </row>
    <row r="8466">
      <c r="B8466" s="31"/>
      <c r="G8466" s="272" t="s">
        <v>1099</v>
      </c>
    </row>
    <row r="8467">
      <c r="B8467" s="31"/>
      <c r="G8467" s="272" t="s">
        <v>1099</v>
      </c>
    </row>
    <row r="8468">
      <c r="B8468" s="31"/>
      <c r="G8468" s="272" t="s">
        <v>1099</v>
      </c>
    </row>
    <row r="8469">
      <c r="B8469" s="31"/>
      <c r="G8469" s="272" t="s">
        <v>1099</v>
      </c>
    </row>
    <row r="8470">
      <c r="B8470" s="31"/>
      <c r="G8470" s="272" t="s">
        <v>1099</v>
      </c>
    </row>
    <row r="8471">
      <c r="B8471" s="31"/>
      <c r="G8471" s="272" t="s">
        <v>1099</v>
      </c>
    </row>
    <row r="8472">
      <c r="B8472" s="31"/>
      <c r="G8472" s="272" t="s">
        <v>1099</v>
      </c>
    </row>
    <row r="8473">
      <c r="B8473" s="31"/>
      <c r="G8473" s="272" t="s">
        <v>1099</v>
      </c>
    </row>
    <row r="8474">
      <c r="B8474" s="31"/>
      <c r="G8474" s="272" t="s">
        <v>1099</v>
      </c>
    </row>
    <row r="8475">
      <c r="B8475" s="31"/>
      <c r="G8475" s="272" t="s">
        <v>1099</v>
      </c>
    </row>
    <row r="8476">
      <c r="B8476" s="31"/>
      <c r="G8476" s="272" t="s">
        <v>1099</v>
      </c>
    </row>
    <row r="8477">
      <c r="B8477" s="31"/>
      <c r="G8477" s="272" t="s">
        <v>1099</v>
      </c>
    </row>
    <row r="8478">
      <c r="B8478" s="31"/>
      <c r="G8478" s="272" t="s">
        <v>1099</v>
      </c>
    </row>
    <row r="8479">
      <c r="B8479" s="31"/>
      <c r="G8479" s="272" t="s">
        <v>1099</v>
      </c>
    </row>
    <row r="8480">
      <c r="B8480" s="31"/>
      <c r="G8480" s="272" t="s">
        <v>1099</v>
      </c>
    </row>
    <row r="8481">
      <c r="B8481" s="31"/>
      <c r="G8481" s="272" t="s">
        <v>1099</v>
      </c>
    </row>
    <row r="8482">
      <c r="B8482" s="31"/>
      <c r="G8482" s="272" t="s">
        <v>1099</v>
      </c>
    </row>
    <row r="8483">
      <c r="B8483" s="31"/>
      <c r="G8483" s="272" t="s">
        <v>1099</v>
      </c>
    </row>
    <row r="8484">
      <c r="B8484" s="31"/>
      <c r="G8484" s="272" t="s">
        <v>1099</v>
      </c>
    </row>
    <row r="8485">
      <c r="B8485" s="31"/>
      <c r="G8485" s="272" t="s">
        <v>1099</v>
      </c>
    </row>
    <row r="8486">
      <c r="B8486" s="31"/>
      <c r="G8486" s="272" t="s">
        <v>1099</v>
      </c>
    </row>
    <row r="8487">
      <c r="B8487" s="31"/>
      <c r="G8487" s="272" t="s">
        <v>1099</v>
      </c>
    </row>
    <row r="8488">
      <c r="B8488" s="31"/>
      <c r="G8488" s="272" t="s">
        <v>1099</v>
      </c>
    </row>
    <row r="8489">
      <c r="B8489" s="31"/>
      <c r="G8489" s="272" t="s">
        <v>1099</v>
      </c>
    </row>
    <row r="8490">
      <c r="B8490" s="31"/>
      <c r="G8490" s="272" t="s">
        <v>1099</v>
      </c>
    </row>
    <row r="8491">
      <c r="B8491" s="31"/>
      <c r="G8491" s="272" t="s">
        <v>1099</v>
      </c>
    </row>
    <row r="8492">
      <c r="B8492" s="31"/>
      <c r="G8492" s="272" t="s">
        <v>1099</v>
      </c>
    </row>
    <row r="8493">
      <c r="B8493" s="31"/>
      <c r="G8493" s="272" t="s">
        <v>1099</v>
      </c>
    </row>
    <row r="8494">
      <c r="B8494" s="31"/>
      <c r="G8494" s="272" t="s">
        <v>1099</v>
      </c>
    </row>
    <row r="8495">
      <c r="B8495" s="31"/>
      <c r="G8495" s="272" t="s">
        <v>1099</v>
      </c>
    </row>
    <row r="8496">
      <c r="B8496" s="31"/>
      <c r="G8496" s="272" t="s">
        <v>1099</v>
      </c>
    </row>
    <row r="8497">
      <c r="B8497" s="31"/>
      <c r="G8497" s="272" t="s">
        <v>1099</v>
      </c>
    </row>
    <row r="8498">
      <c r="B8498" s="31"/>
      <c r="G8498" s="272" t="s">
        <v>1099</v>
      </c>
    </row>
    <row r="8499">
      <c r="B8499" s="31"/>
      <c r="G8499" s="272" t="s">
        <v>1099</v>
      </c>
    </row>
    <row r="8500">
      <c r="B8500" s="31"/>
      <c r="G8500" s="272" t="s">
        <v>1099</v>
      </c>
    </row>
    <row r="8501">
      <c r="B8501" s="31"/>
      <c r="G8501" s="272" t="s">
        <v>1099</v>
      </c>
    </row>
    <row r="8502">
      <c r="B8502" s="31"/>
      <c r="G8502" s="272" t="s">
        <v>1099</v>
      </c>
    </row>
    <row r="8503">
      <c r="B8503" s="31"/>
      <c r="G8503" s="272" t="s">
        <v>1099</v>
      </c>
    </row>
    <row r="8504">
      <c r="B8504" s="31"/>
      <c r="G8504" s="272" t="s">
        <v>1099</v>
      </c>
    </row>
    <row r="8505">
      <c r="B8505" s="31"/>
      <c r="G8505" s="272" t="s">
        <v>1099</v>
      </c>
    </row>
    <row r="8506">
      <c r="B8506" s="31"/>
      <c r="G8506" s="272" t="s">
        <v>1099</v>
      </c>
    </row>
    <row r="8507">
      <c r="B8507" s="31"/>
      <c r="G8507" s="272" t="s">
        <v>1099</v>
      </c>
    </row>
    <row r="8508">
      <c r="B8508" s="31"/>
      <c r="G8508" s="272" t="s">
        <v>1099</v>
      </c>
    </row>
    <row r="8509">
      <c r="B8509" s="31"/>
      <c r="G8509" s="272" t="s">
        <v>1099</v>
      </c>
    </row>
    <row r="8510">
      <c r="B8510" s="31"/>
      <c r="G8510" s="272" t="s">
        <v>1099</v>
      </c>
    </row>
    <row r="8511">
      <c r="B8511" s="31"/>
      <c r="G8511" s="272" t="s">
        <v>1099</v>
      </c>
    </row>
    <row r="8512">
      <c r="B8512" s="31"/>
      <c r="G8512" s="272" t="s">
        <v>1099</v>
      </c>
    </row>
    <row r="8513">
      <c r="B8513" s="31"/>
      <c r="G8513" s="272" t="s">
        <v>1099</v>
      </c>
    </row>
    <row r="8514">
      <c r="B8514" s="31"/>
      <c r="G8514" s="272" t="s">
        <v>1099</v>
      </c>
    </row>
    <row r="8515">
      <c r="B8515" s="31"/>
      <c r="G8515" s="272" t="s">
        <v>1099</v>
      </c>
    </row>
    <row r="8516">
      <c r="B8516" s="31"/>
      <c r="G8516" s="272" t="s">
        <v>1099</v>
      </c>
    </row>
    <row r="8517">
      <c r="B8517" s="31"/>
      <c r="G8517" s="272" t="s">
        <v>1099</v>
      </c>
    </row>
    <row r="8518">
      <c r="B8518" s="31"/>
      <c r="G8518" s="272" t="s">
        <v>1099</v>
      </c>
    </row>
    <row r="8519">
      <c r="B8519" s="31"/>
      <c r="G8519" s="272" t="s">
        <v>1099</v>
      </c>
    </row>
    <row r="8520">
      <c r="B8520" s="31"/>
      <c r="G8520" s="272" t="s">
        <v>1099</v>
      </c>
    </row>
    <row r="8521">
      <c r="B8521" s="31"/>
      <c r="G8521" s="272" t="s">
        <v>1099</v>
      </c>
    </row>
    <row r="8522">
      <c r="B8522" s="31"/>
      <c r="G8522" s="272" t="s">
        <v>1099</v>
      </c>
    </row>
    <row r="8523">
      <c r="B8523" s="31"/>
      <c r="G8523" s="272" t="s">
        <v>1099</v>
      </c>
    </row>
    <row r="8524">
      <c r="B8524" s="31"/>
      <c r="G8524" s="272" t="s">
        <v>1099</v>
      </c>
    </row>
    <row r="8525">
      <c r="B8525" s="31"/>
      <c r="G8525" s="272" t="s">
        <v>1099</v>
      </c>
    </row>
    <row r="8526">
      <c r="B8526" s="31"/>
      <c r="G8526" s="272" t="s">
        <v>1099</v>
      </c>
    </row>
    <row r="8527">
      <c r="B8527" s="31"/>
      <c r="G8527" s="272" t="s">
        <v>1099</v>
      </c>
    </row>
    <row r="8528">
      <c r="B8528" s="31"/>
      <c r="G8528" s="272" t="s">
        <v>1099</v>
      </c>
    </row>
    <row r="8529">
      <c r="B8529" s="31"/>
      <c r="G8529" s="272" t="s">
        <v>1099</v>
      </c>
    </row>
    <row r="8530">
      <c r="B8530" s="31"/>
      <c r="G8530" s="272" t="s">
        <v>1099</v>
      </c>
    </row>
    <row r="8531">
      <c r="B8531" s="31"/>
      <c r="G8531" s="272" t="s">
        <v>1099</v>
      </c>
    </row>
    <row r="8532">
      <c r="B8532" s="31"/>
      <c r="G8532" s="272" t="s">
        <v>1099</v>
      </c>
    </row>
    <row r="8533">
      <c r="B8533" s="31"/>
      <c r="G8533" s="272" t="s">
        <v>1099</v>
      </c>
    </row>
    <row r="8534">
      <c r="B8534" s="31"/>
      <c r="G8534" s="272" t="s">
        <v>1099</v>
      </c>
    </row>
    <row r="8535">
      <c r="B8535" s="31"/>
      <c r="G8535" s="272" t="s">
        <v>1099</v>
      </c>
    </row>
    <row r="8536">
      <c r="B8536" s="31"/>
      <c r="G8536" s="272" t="s">
        <v>1099</v>
      </c>
    </row>
    <row r="8537">
      <c r="B8537" s="31"/>
      <c r="G8537" s="272" t="s">
        <v>1099</v>
      </c>
    </row>
    <row r="8538">
      <c r="B8538" s="31"/>
      <c r="G8538" s="272" t="s">
        <v>1099</v>
      </c>
    </row>
    <row r="8539">
      <c r="B8539" s="31"/>
      <c r="G8539" s="272" t="s">
        <v>1099</v>
      </c>
    </row>
    <row r="8540">
      <c r="B8540" s="31"/>
      <c r="G8540" s="272" t="s">
        <v>1099</v>
      </c>
    </row>
    <row r="8541">
      <c r="B8541" s="31"/>
      <c r="G8541" s="272" t="s">
        <v>1099</v>
      </c>
    </row>
    <row r="8542">
      <c r="B8542" s="31"/>
      <c r="G8542" s="272" t="s">
        <v>1099</v>
      </c>
    </row>
    <row r="8543">
      <c r="B8543" s="31"/>
      <c r="G8543" s="272" t="s">
        <v>1099</v>
      </c>
    </row>
    <row r="8544">
      <c r="B8544" s="31"/>
      <c r="G8544" s="272" t="s">
        <v>1099</v>
      </c>
    </row>
    <row r="8545">
      <c r="B8545" s="31"/>
      <c r="G8545" s="272" t="s">
        <v>1099</v>
      </c>
    </row>
    <row r="8546">
      <c r="B8546" s="31"/>
      <c r="G8546" s="272" t="s">
        <v>1099</v>
      </c>
    </row>
    <row r="8547">
      <c r="B8547" s="31"/>
      <c r="G8547" s="272" t="s">
        <v>1099</v>
      </c>
    </row>
    <row r="8548">
      <c r="B8548" s="31"/>
      <c r="G8548" s="272" t="s">
        <v>1099</v>
      </c>
    </row>
    <row r="8549">
      <c r="B8549" s="31"/>
      <c r="G8549" s="272" t="s">
        <v>1099</v>
      </c>
    </row>
    <row r="8550">
      <c r="B8550" s="31"/>
      <c r="G8550" s="272" t="s">
        <v>1099</v>
      </c>
    </row>
    <row r="8551">
      <c r="B8551" s="31"/>
      <c r="G8551" s="272" t="s">
        <v>1099</v>
      </c>
    </row>
    <row r="8552">
      <c r="B8552" s="31"/>
      <c r="G8552" s="272" t="s">
        <v>1099</v>
      </c>
    </row>
    <row r="8553">
      <c r="B8553" s="31"/>
      <c r="G8553" s="272" t="s">
        <v>1099</v>
      </c>
    </row>
    <row r="8554">
      <c r="B8554" s="31"/>
      <c r="G8554" s="272" t="s">
        <v>1099</v>
      </c>
    </row>
    <row r="8555">
      <c r="B8555" s="31"/>
      <c r="G8555" s="272" t="s">
        <v>1099</v>
      </c>
    </row>
    <row r="8556">
      <c r="B8556" s="31"/>
      <c r="G8556" s="272" t="s">
        <v>1099</v>
      </c>
    </row>
    <row r="8557">
      <c r="B8557" s="31"/>
      <c r="G8557" s="272" t="s">
        <v>1099</v>
      </c>
    </row>
    <row r="8558">
      <c r="B8558" s="31"/>
      <c r="G8558" s="272" t="s">
        <v>1099</v>
      </c>
    </row>
    <row r="8559">
      <c r="B8559" s="31"/>
      <c r="G8559" s="272" t="s">
        <v>1099</v>
      </c>
    </row>
    <row r="8560">
      <c r="B8560" s="31"/>
      <c r="G8560" s="272" t="s">
        <v>1099</v>
      </c>
    </row>
    <row r="8561">
      <c r="B8561" s="31"/>
      <c r="G8561" s="272" t="s">
        <v>1099</v>
      </c>
    </row>
    <row r="8562">
      <c r="B8562" s="31"/>
      <c r="G8562" s="272" t="s">
        <v>1099</v>
      </c>
    </row>
    <row r="8563">
      <c r="B8563" s="31"/>
      <c r="G8563" s="272" t="s">
        <v>1099</v>
      </c>
    </row>
    <row r="8564">
      <c r="B8564" s="31"/>
      <c r="G8564" s="272" t="s">
        <v>1099</v>
      </c>
    </row>
    <row r="8565">
      <c r="B8565" s="31"/>
      <c r="G8565" s="272" t="s">
        <v>1099</v>
      </c>
    </row>
    <row r="8566">
      <c r="B8566" s="31"/>
      <c r="G8566" s="272" t="s">
        <v>1099</v>
      </c>
    </row>
    <row r="8567">
      <c r="B8567" s="31"/>
      <c r="G8567" s="272" t="s">
        <v>1099</v>
      </c>
    </row>
    <row r="8568">
      <c r="B8568" s="31"/>
      <c r="G8568" s="272" t="s">
        <v>1099</v>
      </c>
    </row>
    <row r="8569">
      <c r="B8569" s="31"/>
      <c r="G8569" s="272" t="s">
        <v>1099</v>
      </c>
    </row>
    <row r="8570">
      <c r="B8570" s="31"/>
      <c r="G8570" s="272" t="s">
        <v>1099</v>
      </c>
    </row>
    <row r="8571">
      <c r="B8571" s="31"/>
      <c r="G8571" s="272" t="s">
        <v>1099</v>
      </c>
    </row>
    <row r="8572">
      <c r="B8572" s="31"/>
      <c r="G8572" s="272" t="s">
        <v>1099</v>
      </c>
    </row>
    <row r="8573">
      <c r="B8573" s="31"/>
      <c r="G8573" s="272" t="s">
        <v>1099</v>
      </c>
    </row>
    <row r="8574">
      <c r="B8574" s="31"/>
      <c r="G8574" s="272" t="s">
        <v>1099</v>
      </c>
    </row>
    <row r="8575">
      <c r="B8575" s="31"/>
      <c r="G8575" s="272" t="s">
        <v>1099</v>
      </c>
    </row>
    <row r="8576">
      <c r="B8576" s="31"/>
      <c r="G8576" s="272" t="s">
        <v>1099</v>
      </c>
    </row>
    <row r="8577">
      <c r="B8577" s="31"/>
      <c r="G8577" s="272" t="s">
        <v>1099</v>
      </c>
    </row>
    <row r="8578">
      <c r="B8578" s="31"/>
      <c r="G8578" s="272" t="s">
        <v>1099</v>
      </c>
    </row>
    <row r="8579">
      <c r="B8579" s="31"/>
      <c r="G8579" s="272" t="s">
        <v>1099</v>
      </c>
    </row>
    <row r="8580">
      <c r="B8580" s="31"/>
      <c r="G8580" s="272" t="s">
        <v>1099</v>
      </c>
    </row>
    <row r="8581">
      <c r="B8581" s="31"/>
      <c r="G8581" s="272" t="s">
        <v>1099</v>
      </c>
    </row>
    <row r="8582">
      <c r="B8582" s="31"/>
      <c r="G8582" s="272" t="s">
        <v>1099</v>
      </c>
    </row>
    <row r="8583">
      <c r="B8583" s="31"/>
      <c r="G8583" s="272" t="s">
        <v>1099</v>
      </c>
    </row>
    <row r="8584">
      <c r="B8584" s="31"/>
      <c r="G8584" s="272" t="s">
        <v>1099</v>
      </c>
    </row>
    <row r="8585">
      <c r="B8585" s="31"/>
      <c r="G8585" s="272" t="s">
        <v>1099</v>
      </c>
    </row>
    <row r="8586">
      <c r="B8586" s="31"/>
      <c r="G8586" s="272" t="s">
        <v>1099</v>
      </c>
    </row>
    <row r="8587">
      <c r="B8587" s="31"/>
      <c r="G8587" s="272" t="s">
        <v>1099</v>
      </c>
    </row>
    <row r="8588">
      <c r="B8588" s="31"/>
      <c r="G8588" s="272" t="s">
        <v>1099</v>
      </c>
    </row>
    <row r="8589">
      <c r="B8589" s="31"/>
      <c r="G8589" s="272" t="s">
        <v>1099</v>
      </c>
    </row>
    <row r="8590">
      <c r="B8590" s="31"/>
      <c r="G8590" s="272" t="s">
        <v>1099</v>
      </c>
    </row>
    <row r="8591">
      <c r="B8591" s="31"/>
      <c r="G8591" s="272" t="s">
        <v>1099</v>
      </c>
    </row>
    <row r="8592">
      <c r="B8592" s="31"/>
      <c r="G8592" s="272" t="s">
        <v>1099</v>
      </c>
    </row>
    <row r="8593">
      <c r="B8593" s="31"/>
      <c r="G8593" s="272" t="s">
        <v>1099</v>
      </c>
    </row>
    <row r="8594">
      <c r="B8594" s="31"/>
      <c r="G8594" s="272" t="s">
        <v>1099</v>
      </c>
    </row>
    <row r="8595">
      <c r="B8595" s="31"/>
      <c r="G8595" s="272" t="s">
        <v>1099</v>
      </c>
    </row>
    <row r="8596">
      <c r="B8596" s="31"/>
      <c r="G8596" s="272" t="s">
        <v>1099</v>
      </c>
    </row>
    <row r="8597">
      <c r="B8597" s="31"/>
      <c r="G8597" s="272" t="s">
        <v>1099</v>
      </c>
    </row>
    <row r="8598">
      <c r="B8598" s="31"/>
      <c r="G8598" s="272" t="s">
        <v>1099</v>
      </c>
    </row>
    <row r="8599">
      <c r="B8599" s="31"/>
      <c r="G8599" s="272" t="s">
        <v>1099</v>
      </c>
    </row>
    <row r="8600">
      <c r="B8600" s="31"/>
      <c r="G8600" s="272" t="s">
        <v>1099</v>
      </c>
    </row>
    <row r="8601">
      <c r="B8601" s="31"/>
      <c r="G8601" s="272" t="s">
        <v>1099</v>
      </c>
    </row>
    <row r="8602">
      <c r="B8602" s="31"/>
      <c r="G8602" s="272" t="s">
        <v>1099</v>
      </c>
    </row>
    <row r="8603">
      <c r="B8603" s="31"/>
      <c r="G8603" s="272" t="s">
        <v>1099</v>
      </c>
    </row>
    <row r="8604">
      <c r="B8604" s="31"/>
      <c r="G8604" s="272" t="s">
        <v>1099</v>
      </c>
    </row>
    <row r="8605">
      <c r="B8605" s="31"/>
      <c r="G8605" s="272" t="s">
        <v>1099</v>
      </c>
    </row>
    <row r="8606">
      <c r="B8606" s="31"/>
      <c r="G8606" s="272" t="s">
        <v>1099</v>
      </c>
    </row>
    <row r="8607">
      <c r="B8607" s="31"/>
      <c r="G8607" s="272" t="s">
        <v>1099</v>
      </c>
    </row>
    <row r="8608">
      <c r="B8608" s="31"/>
      <c r="G8608" s="272" t="s">
        <v>1099</v>
      </c>
    </row>
    <row r="8609">
      <c r="B8609" s="31"/>
      <c r="G8609" s="272" t="s">
        <v>1099</v>
      </c>
    </row>
    <row r="8610">
      <c r="B8610" s="31"/>
      <c r="G8610" s="272" t="s">
        <v>1099</v>
      </c>
    </row>
    <row r="8611">
      <c r="B8611" s="31"/>
      <c r="G8611" s="272" t="s">
        <v>1099</v>
      </c>
    </row>
    <row r="8612">
      <c r="B8612" s="31"/>
      <c r="G8612" s="272" t="s">
        <v>1099</v>
      </c>
    </row>
    <row r="8613">
      <c r="B8613" s="31"/>
      <c r="G8613" s="272" t="s">
        <v>1099</v>
      </c>
    </row>
    <row r="8614">
      <c r="B8614" s="31"/>
      <c r="G8614" s="272" t="s">
        <v>1099</v>
      </c>
    </row>
    <row r="8615">
      <c r="B8615" s="31"/>
      <c r="G8615" s="272" t="s">
        <v>1099</v>
      </c>
    </row>
    <row r="8616">
      <c r="B8616" s="31"/>
      <c r="G8616" s="272" t="s">
        <v>1099</v>
      </c>
    </row>
    <row r="8617">
      <c r="B8617" s="31"/>
      <c r="G8617" s="272" t="s">
        <v>1099</v>
      </c>
    </row>
    <row r="8618">
      <c r="B8618" s="31"/>
      <c r="G8618" s="272" t="s">
        <v>1099</v>
      </c>
    </row>
    <row r="8619">
      <c r="B8619" s="31"/>
      <c r="G8619" s="272" t="s">
        <v>1099</v>
      </c>
    </row>
    <row r="8620">
      <c r="B8620" s="31"/>
      <c r="G8620" s="272" t="s">
        <v>1099</v>
      </c>
    </row>
    <row r="8621">
      <c r="B8621" s="31"/>
      <c r="G8621" s="272" t="s">
        <v>1099</v>
      </c>
    </row>
    <row r="8622">
      <c r="B8622" s="31"/>
      <c r="G8622" s="272" t="s">
        <v>1099</v>
      </c>
    </row>
    <row r="8623">
      <c r="B8623" s="31"/>
      <c r="G8623" s="272" t="s">
        <v>1099</v>
      </c>
    </row>
    <row r="8624">
      <c r="B8624" s="31"/>
      <c r="G8624" s="272" t="s">
        <v>1099</v>
      </c>
    </row>
    <row r="8625">
      <c r="B8625" s="31"/>
      <c r="G8625" s="272" t="s">
        <v>1099</v>
      </c>
    </row>
    <row r="8626">
      <c r="B8626" s="31"/>
      <c r="G8626" s="272" t="s">
        <v>1099</v>
      </c>
    </row>
    <row r="8627">
      <c r="B8627" s="31"/>
      <c r="G8627" s="272" t="s">
        <v>1099</v>
      </c>
    </row>
    <row r="8628">
      <c r="B8628" s="31"/>
      <c r="G8628" s="272" t="s">
        <v>1099</v>
      </c>
    </row>
    <row r="8629">
      <c r="B8629" s="31"/>
      <c r="G8629" s="272" t="s">
        <v>1099</v>
      </c>
    </row>
    <row r="8630">
      <c r="B8630" s="31"/>
      <c r="G8630" s="272" t="s">
        <v>1099</v>
      </c>
    </row>
    <row r="8631">
      <c r="B8631" s="31"/>
      <c r="G8631" s="272" t="s">
        <v>1099</v>
      </c>
    </row>
    <row r="8632">
      <c r="B8632" s="31"/>
      <c r="G8632" s="272" t="s">
        <v>1099</v>
      </c>
    </row>
    <row r="8633">
      <c r="B8633" s="31"/>
      <c r="G8633" s="272" t="s">
        <v>1099</v>
      </c>
    </row>
    <row r="8634">
      <c r="B8634" s="31"/>
      <c r="G8634" s="272" t="s">
        <v>1099</v>
      </c>
    </row>
    <row r="8635">
      <c r="B8635" s="31"/>
      <c r="G8635" s="272" t="s">
        <v>1099</v>
      </c>
    </row>
    <row r="8636">
      <c r="B8636" s="31"/>
      <c r="G8636" s="272" t="s">
        <v>1099</v>
      </c>
    </row>
    <row r="8637">
      <c r="B8637" s="31"/>
      <c r="G8637" s="272" t="s">
        <v>1099</v>
      </c>
    </row>
    <row r="8638">
      <c r="B8638" s="31"/>
      <c r="G8638" s="272" t="s">
        <v>1099</v>
      </c>
    </row>
    <row r="8639">
      <c r="B8639" s="31"/>
      <c r="G8639" s="272" t="s">
        <v>1099</v>
      </c>
    </row>
    <row r="8640">
      <c r="B8640" s="31"/>
      <c r="G8640" s="272" t="s">
        <v>1099</v>
      </c>
    </row>
    <row r="8641">
      <c r="B8641" s="31"/>
      <c r="G8641" s="272" t="s">
        <v>1099</v>
      </c>
    </row>
    <row r="8642">
      <c r="B8642" s="31"/>
      <c r="G8642" s="272" t="s">
        <v>1099</v>
      </c>
    </row>
    <row r="8643">
      <c r="B8643" s="31"/>
      <c r="G8643" s="272" t="s">
        <v>1099</v>
      </c>
    </row>
    <row r="8644">
      <c r="B8644" s="31"/>
      <c r="G8644" s="272" t="s">
        <v>1099</v>
      </c>
    </row>
    <row r="8645">
      <c r="B8645" s="31"/>
      <c r="G8645" s="272" t="s">
        <v>1099</v>
      </c>
    </row>
    <row r="8646">
      <c r="B8646" s="31"/>
      <c r="G8646" s="272" t="s">
        <v>1099</v>
      </c>
    </row>
    <row r="8647">
      <c r="B8647" s="31"/>
      <c r="G8647" s="272" t="s">
        <v>1099</v>
      </c>
    </row>
    <row r="8648">
      <c r="B8648" s="31"/>
      <c r="G8648" s="272" t="s">
        <v>1099</v>
      </c>
    </row>
    <row r="8649">
      <c r="B8649" s="31"/>
      <c r="G8649" s="272" t="s">
        <v>1099</v>
      </c>
    </row>
    <row r="8650">
      <c r="B8650" s="31"/>
      <c r="G8650" s="272" t="s">
        <v>1099</v>
      </c>
    </row>
    <row r="8651">
      <c r="B8651" s="31"/>
      <c r="G8651" s="272" t="s">
        <v>1099</v>
      </c>
    </row>
    <row r="8652">
      <c r="B8652" s="31"/>
      <c r="G8652" s="272" t="s">
        <v>1099</v>
      </c>
    </row>
    <row r="8653">
      <c r="B8653" s="31"/>
      <c r="G8653" s="272" t="s">
        <v>1099</v>
      </c>
    </row>
    <row r="8654">
      <c r="B8654" s="31"/>
      <c r="G8654" s="272" t="s">
        <v>1099</v>
      </c>
    </row>
    <row r="8655">
      <c r="B8655" s="31"/>
      <c r="G8655" s="272" t="s">
        <v>1099</v>
      </c>
    </row>
    <row r="8656">
      <c r="B8656" s="31"/>
      <c r="G8656" s="272" t="s">
        <v>1099</v>
      </c>
    </row>
    <row r="8657">
      <c r="B8657" s="31"/>
      <c r="G8657" s="272" t="s">
        <v>1099</v>
      </c>
    </row>
    <row r="8658">
      <c r="B8658" s="31"/>
      <c r="G8658" s="272" t="s">
        <v>1099</v>
      </c>
    </row>
    <row r="8659">
      <c r="B8659" s="31"/>
      <c r="G8659" s="272" t="s">
        <v>1099</v>
      </c>
    </row>
    <row r="8660">
      <c r="B8660" s="31"/>
      <c r="G8660" s="272" t="s">
        <v>1099</v>
      </c>
    </row>
    <row r="8661">
      <c r="B8661" s="31"/>
      <c r="G8661" s="272" t="s">
        <v>1099</v>
      </c>
    </row>
    <row r="8662">
      <c r="B8662" s="31"/>
      <c r="G8662" s="272" t="s">
        <v>1099</v>
      </c>
    </row>
    <row r="8663">
      <c r="B8663" s="31"/>
      <c r="G8663" s="272" t="s">
        <v>1099</v>
      </c>
    </row>
    <row r="8664">
      <c r="B8664" s="31"/>
      <c r="G8664" s="272" t="s">
        <v>1099</v>
      </c>
    </row>
    <row r="8665">
      <c r="B8665" s="31"/>
      <c r="G8665" s="272" t="s">
        <v>1099</v>
      </c>
    </row>
    <row r="8666">
      <c r="B8666" s="31"/>
      <c r="G8666" s="272" t="s">
        <v>1099</v>
      </c>
    </row>
    <row r="8667">
      <c r="B8667" s="31"/>
      <c r="G8667" s="272" t="s">
        <v>1099</v>
      </c>
    </row>
    <row r="8668">
      <c r="B8668" s="31"/>
      <c r="G8668" s="272" t="s">
        <v>1099</v>
      </c>
    </row>
    <row r="8669">
      <c r="B8669" s="31"/>
      <c r="G8669" s="272" t="s">
        <v>1099</v>
      </c>
    </row>
    <row r="8670">
      <c r="B8670" s="31"/>
      <c r="G8670" s="272" t="s">
        <v>1099</v>
      </c>
    </row>
    <row r="8671">
      <c r="B8671" s="31"/>
      <c r="G8671" s="272" t="s">
        <v>1099</v>
      </c>
    </row>
    <row r="8672">
      <c r="B8672" s="31"/>
      <c r="G8672" s="272" t="s">
        <v>1099</v>
      </c>
    </row>
    <row r="8673">
      <c r="B8673" s="31"/>
      <c r="G8673" s="272" t="s">
        <v>1099</v>
      </c>
    </row>
    <row r="8674">
      <c r="B8674" s="31"/>
      <c r="G8674" s="272" t="s">
        <v>1099</v>
      </c>
    </row>
    <row r="8675">
      <c r="B8675" s="31"/>
      <c r="G8675" s="272" t="s">
        <v>1099</v>
      </c>
    </row>
    <row r="8676">
      <c r="B8676" s="31"/>
      <c r="G8676" s="272" t="s">
        <v>1099</v>
      </c>
    </row>
    <row r="8677">
      <c r="B8677" s="31"/>
      <c r="G8677" s="272" t="s">
        <v>1099</v>
      </c>
    </row>
    <row r="8678">
      <c r="B8678" s="31"/>
      <c r="G8678" s="272" t="s">
        <v>1099</v>
      </c>
    </row>
    <row r="8679">
      <c r="B8679" s="31"/>
      <c r="G8679" s="272" t="s">
        <v>1099</v>
      </c>
    </row>
    <row r="8680">
      <c r="B8680" s="31"/>
      <c r="G8680" s="272" t="s">
        <v>1099</v>
      </c>
    </row>
    <row r="8681">
      <c r="B8681" s="31"/>
      <c r="G8681" s="272" t="s">
        <v>1099</v>
      </c>
    </row>
    <row r="8682">
      <c r="B8682" s="31"/>
      <c r="G8682" s="272" t="s">
        <v>1099</v>
      </c>
    </row>
    <row r="8683">
      <c r="B8683" s="31"/>
      <c r="G8683" s="272" t="s">
        <v>1099</v>
      </c>
    </row>
    <row r="8684">
      <c r="B8684" s="31"/>
      <c r="G8684" s="272" t="s">
        <v>1099</v>
      </c>
    </row>
    <row r="8685">
      <c r="B8685" s="31"/>
      <c r="G8685" s="272" t="s">
        <v>1099</v>
      </c>
    </row>
    <row r="8686">
      <c r="B8686" s="31"/>
      <c r="G8686" s="272" t="s">
        <v>1099</v>
      </c>
    </row>
    <row r="8687">
      <c r="B8687" s="31"/>
      <c r="G8687" s="272" t="s">
        <v>1099</v>
      </c>
    </row>
    <row r="8688">
      <c r="B8688" s="31"/>
      <c r="G8688" s="272" t="s">
        <v>1099</v>
      </c>
    </row>
    <row r="8689">
      <c r="B8689" s="31"/>
      <c r="G8689" s="272" t="s">
        <v>1099</v>
      </c>
    </row>
    <row r="8690">
      <c r="B8690" s="31"/>
      <c r="G8690" s="272" t="s">
        <v>1099</v>
      </c>
    </row>
    <row r="8691">
      <c r="B8691" s="31"/>
      <c r="G8691" s="272" t="s">
        <v>1099</v>
      </c>
    </row>
    <row r="8692">
      <c r="B8692" s="31"/>
      <c r="G8692" s="272" t="s">
        <v>1099</v>
      </c>
    </row>
    <row r="8693">
      <c r="B8693" s="31"/>
      <c r="G8693" s="272" t="s">
        <v>1099</v>
      </c>
    </row>
    <row r="8694">
      <c r="B8694" s="31"/>
      <c r="G8694" s="272" t="s">
        <v>1099</v>
      </c>
    </row>
    <row r="8695">
      <c r="B8695" s="31"/>
      <c r="G8695" s="272" t="s">
        <v>1099</v>
      </c>
    </row>
    <row r="8696">
      <c r="B8696" s="31"/>
      <c r="G8696" s="272" t="s">
        <v>1099</v>
      </c>
    </row>
    <row r="8697">
      <c r="B8697" s="31"/>
      <c r="G8697" s="272" t="s">
        <v>1099</v>
      </c>
    </row>
    <row r="8698">
      <c r="B8698" s="31"/>
      <c r="G8698" s="272" t="s">
        <v>1099</v>
      </c>
    </row>
    <row r="8699">
      <c r="B8699" s="31"/>
      <c r="G8699" s="272" t="s">
        <v>1099</v>
      </c>
    </row>
    <row r="8700">
      <c r="B8700" s="31"/>
      <c r="G8700" s="272" t="s">
        <v>1099</v>
      </c>
    </row>
    <row r="8701">
      <c r="B8701" s="31"/>
      <c r="G8701" s="272" t="s">
        <v>1099</v>
      </c>
    </row>
    <row r="8702">
      <c r="B8702" s="31"/>
      <c r="G8702" s="272" t="s">
        <v>1099</v>
      </c>
    </row>
    <row r="8703">
      <c r="B8703" s="31"/>
      <c r="G8703" s="272" t="s">
        <v>1099</v>
      </c>
    </row>
    <row r="8704">
      <c r="B8704" s="31"/>
      <c r="G8704" s="272" t="s">
        <v>1099</v>
      </c>
    </row>
    <row r="8705">
      <c r="B8705" s="31"/>
      <c r="G8705" s="272" t="s">
        <v>1099</v>
      </c>
    </row>
    <row r="8706">
      <c r="B8706" s="31"/>
      <c r="G8706" s="272" t="s">
        <v>1099</v>
      </c>
    </row>
    <row r="8707">
      <c r="B8707" s="31"/>
      <c r="G8707" s="272" t="s">
        <v>1099</v>
      </c>
    </row>
    <row r="8708">
      <c r="B8708" s="31"/>
      <c r="G8708" s="272" t="s">
        <v>1099</v>
      </c>
    </row>
    <row r="8709">
      <c r="B8709" s="31"/>
      <c r="G8709" s="272" t="s">
        <v>1099</v>
      </c>
    </row>
    <row r="8710">
      <c r="B8710" s="31"/>
      <c r="G8710" s="272" t="s">
        <v>1099</v>
      </c>
    </row>
    <row r="8711">
      <c r="B8711" s="31"/>
      <c r="G8711" s="272" t="s">
        <v>1099</v>
      </c>
    </row>
    <row r="8712">
      <c r="B8712" s="31"/>
      <c r="G8712" s="272" t="s">
        <v>1099</v>
      </c>
    </row>
    <row r="8713">
      <c r="B8713" s="31"/>
      <c r="G8713" s="272" t="s">
        <v>1099</v>
      </c>
    </row>
    <row r="8714">
      <c r="B8714" s="31"/>
      <c r="G8714" s="272" t="s">
        <v>1099</v>
      </c>
    </row>
    <row r="8715">
      <c r="B8715" s="31"/>
      <c r="G8715" s="272" t="s">
        <v>1099</v>
      </c>
    </row>
    <row r="8716">
      <c r="B8716" s="31"/>
      <c r="G8716" s="272" t="s">
        <v>1099</v>
      </c>
    </row>
    <row r="8717">
      <c r="B8717" s="31"/>
      <c r="G8717" s="272" t="s">
        <v>1099</v>
      </c>
    </row>
    <row r="8718">
      <c r="B8718" s="31"/>
      <c r="G8718" s="272" t="s">
        <v>1099</v>
      </c>
    </row>
    <row r="8719">
      <c r="B8719" s="31"/>
      <c r="G8719" s="272" t="s">
        <v>1099</v>
      </c>
    </row>
    <row r="8720">
      <c r="B8720" s="31"/>
      <c r="G8720" s="272" t="s">
        <v>1099</v>
      </c>
    </row>
    <row r="8721">
      <c r="B8721" s="31"/>
      <c r="G8721" s="272" t="s">
        <v>1099</v>
      </c>
    </row>
    <row r="8722">
      <c r="B8722" s="31"/>
      <c r="G8722" s="272" t="s">
        <v>1099</v>
      </c>
    </row>
    <row r="8723">
      <c r="B8723" s="31"/>
      <c r="G8723" s="272" t="s">
        <v>1099</v>
      </c>
    </row>
    <row r="8724">
      <c r="B8724" s="31"/>
      <c r="G8724" s="272" t="s">
        <v>1099</v>
      </c>
    </row>
    <row r="8725">
      <c r="B8725" s="31"/>
      <c r="G8725" s="272" t="s">
        <v>1099</v>
      </c>
    </row>
    <row r="8726">
      <c r="B8726" s="31"/>
      <c r="G8726" s="272" t="s">
        <v>1099</v>
      </c>
    </row>
    <row r="8727">
      <c r="B8727" s="31"/>
      <c r="G8727" s="272" t="s">
        <v>1099</v>
      </c>
    </row>
    <row r="8728">
      <c r="B8728" s="31"/>
      <c r="G8728" s="272" t="s">
        <v>1099</v>
      </c>
    </row>
    <row r="8729">
      <c r="B8729" s="31"/>
      <c r="G8729" s="272" t="s">
        <v>1099</v>
      </c>
    </row>
    <row r="8730">
      <c r="B8730" s="31"/>
      <c r="G8730" s="272" t="s">
        <v>1099</v>
      </c>
    </row>
    <row r="8731">
      <c r="B8731" s="31"/>
      <c r="G8731" s="272" t="s">
        <v>1099</v>
      </c>
    </row>
    <row r="8732">
      <c r="B8732" s="31"/>
      <c r="G8732" s="272" t="s">
        <v>1099</v>
      </c>
    </row>
    <row r="8733">
      <c r="B8733" s="31"/>
      <c r="G8733" s="272" t="s">
        <v>1099</v>
      </c>
    </row>
    <row r="8734">
      <c r="B8734" s="31"/>
      <c r="G8734" s="272" t="s">
        <v>1099</v>
      </c>
    </row>
    <row r="8735">
      <c r="B8735" s="31"/>
      <c r="G8735" s="272" t="s">
        <v>1099</v>
      </c>
    </row>
    <row r="8736">
      <c r="B8736" s="31"/>
      <c r="G8736" s="272" t="s">
        <v>1099</v>
      </c>
    </row>
    <row r="8737">
      <c r="B8737" s="31"/>
      <c r="G8737" s="272" t="s">
        <v>1099</v>
      </c>
    </row>
    <row r="8738">
      <c r="B8738" s="31"/>
      <c r="G8738" s="272" t="s">
        <v>1099</v>
      </c>
    </row>
    <row r="8739">
      <c r="B8739" s="31"/>
      <c r="G8739" s="272" t="s">
        <v>1099</v>
      </c>
    </row>
    <row r="8740">
      <c r="B8740" s="31"/>
      <c r="G8740" s="272" t="s">
        <v>1099</v>
      </c>
    </row>
    <row r="8741">
      <c r="B8741" s="31"/>
      <c r="G8741" s="272" t="s">
        <v>1099</v>
      </c>
    </row>
    <row r="8742">
      <c r="B8742" s="31"/>
      <c r="G8742" s="272" t="s">
        <v>1099</v>
      </c>
    </row>
    <row r="8743">
      <c r="B8743" s="31"/>
      <c r="G8743" s="272" t="s">
        <v>1099</v>
      </c>
    </row>
    <row r="8744">
      <c r="B8744" s="31"/>
      <c r="G8744" s="272" t="s">
        <v>1099</v>
      </c>
    </row>
    <row r="8745">
      <c r="B8745" s="31"/>
      <c r="G8745" s="272" t="s">
        <v>1099</v>
      </c>
    </row>
    <row r="8746">
      <c r="B8746" s="31"/>
      <c r="G8746" s="272" t="s">
        <v>1099</v>
      </c>
    </row>
    <row r="8747">
      <c r="B8747" s="31"/>
      <c r="G8747" s="272" t="s">
        <v>1099</v>
      </c>
    </row>
    <row r="8748">
      <c r="B8748" s="31"/>
      <c r="G8748" s="272" t="s">
        <v>1099</v>
      </c>
    </row>
    <row r="8749">
      <c r="B8749" s="31"/>
      <c r="G8749" s="272" t="s">
        <v>1099</v>
      </c>
    </row>
    <row r="8750">
      <c r="B8750" s="31"/>
      <c r="G8750" s="272" t="s">
        <v>1099</v>
      </c>
    </row>
    <row r="8751">
      <c r="B8751" s="31"/>
      <c r="G8751" s="272" t="s">
        <v>1099</v>
      </c>
    </row>
    <row r="8752">
      <c r="B8752" s="31"/>
      <c r="G8752" s="272" t="s">
        <v>1099</v>
      </c>
    </row>
    <row r="8753">
      <c r="B8753" s="31"/>
      <c r="G8753" s="272" t="s">
        <v>1099</v>
      </c>
    </row>
    <row r="8754">
      <c r="B8754" s="31"/>
      <c r="G8754" s="272" t="s">
        <v>1099</v>
      </c>
    </row>
    <row r="8755">
      <c r="B8755" s="31"/>
      <c r="G8755" s="272" t="s">
        <v>1099</v>
      </c>
    </row>
    <row r="8756">
      <c r="B8756" s="31"/>
      <c r="G8756" s="272" t="s">
        <v>1099</v>
      </c>
    </row>
    <row r="8757">
      <c r="B8757" s="31"/>
      <c r="G8757" s="272" t="s">
        <v>1099</v>
      </c>
    </row>
    <row r="8758">
      <c r="B8758" s="31"/>
      <c r="G8758" s="272" t="s">
        <v>1099</v>
      </c>
    </row>
    <row r="8759">
      <c r="B8759" s="31"/>
      <c r="G8759" s="272" t="s">
        <v>1099</v>
      </c>
    </row>
    <row r="8760">
      <c r="B8760" s="31"/>
      <c r="G8760" s="272" t="s">
        <v>1099</v>
      </c>
    </row>
    <row r="8761">
      <c r="B8761" s="31"/>
      <c r="G8761" s="272" t="s">
        <v>1099</v>
      </c>
    </row>
    <row r="8762">
      <c r="B8762" s="31"/>
      <c r="G8762" s="272" t="s">
        <v>1099</v>
      </c>
    </row>
    <row r="8763">
      <c r="B8763" s="31"/>
      <c r="G8763" s="272" t="s">
        <v>1099</v>
      </c>
    </row>
    <row r="8764">
      <c r="B8764" s="31"/>
      <c r="G8764" s="272" t="s">
        <v>1099</v>
      </c>
    </row>
    <row r="8765">
      <c r="B8765" s="31"/>
      <c r="G8765" s="272" t="s">
        <v>1099</v>
      </c>
    </row>
    <row r="8766">
      <c r="B8766" s="31"/>
      <c r="G8766" s="272" t="s">
        <v>1099</v>
      </c>
    </row>
    <row r="8767">
      <c r="B8767" s="31"/>
      <c r="G8767" s="272" t="s">
        <v>1099</v>
      </c>
    </row>
    <row r="8768">
      <c r="B8768" s="31"/>
      <c r="G8768" s="272" t="s">
        <v>1099</v>
      </c>
    </row>
    <row r="8769">
      <c r="B8769" s="31"/>
      <c r="G8769" s="272" t="s">
        <v>1099</v>
      </c>
    </row>
    <row r="8770">
      <c r="B8770" s="31"/>
      <c r="G8770" s="272" t="s">
        <v>1099</v>
      </c>
    </row>
    <row r="8771">
      <c r="B8771" s="31"/>
      <c r="G8771" s="272" t="s">
        <v>1099</v>
      </c>
    </row>
    <row r="8772">
      <c r="B8772" s="31"/>
      <c r="G8772" s="272" t="s">
        <v>1099</v>
      </c>
    </row>
    <row r="8773">
      <c r="B8773" s="31"/>
      <c r="G8773" s="272" t="s">
        <v>1099</v>
      </c>
    </row>
    <row r="8774">
      <c r="B8774" s="31"/>
      <c r="G8774" s="272" t="s">
        <v>1099</v>
      </c>
    </row>
    <row r="8775">
      <c r="B8775" s="31"/>
      <c r="G8775" s="272" t="s">
        <v>1099</v>
      </c>
    </row>
    <row r="8776">
      <c r="B8776" s="31"/>
      <c r="G8776" s="272" t="s">
        <v>1099</v>
      </c>
    </row>
    <row r="8777">
      <c r="B8777" s="31"/>
      <c r="G8777" s="272" t="s">
        <v>1099</v>
      </c>
    </row>
    <row r="8778">
      <c r="B8778" s="31"/>
      <c r="G8778" s="272" t="s">
        <v>1099</v>
      </c>
    </row>
    <row r="8779">
      <c r="B8779" s="31"/>
      <c r="G8779" s="272" t="s">
        <v>1099</v>
      </c>
    </row>
    <row r="8780">
      <c r="B8780" s="31"/>
      <c r="G8780" s="272" t="s">
        <v>1099</v>
      </c>
    </row>
    <row r="8781">
      <c r="B8781" s="31"/>
      <c r="G8781" s="272" t="s">
        <v>1099</v>
      </c>
    </row>
    <row r="8782">
      <c r="B8782" s="31"/>
      <c r="G8782" s="272" t="s">
        <v>1099</v>
      </c>
    </row>
    <row r="8783">
      <c r="B8783" s="31"/>
      <c r="G8783" s="272" t="s">
        <v>1099</v>
      </c>
    </row>
    <row r="8784">
      <c r="B8784" s="31"/>
      <c r="G8784" s="272" t="s">
        <v>1099</v>
      </c>
    </row>
    <row r="8785">
      <c r="B8785" s="31"/>
      <c r="G8785" s="272" t="s">
        <v>1099</v>
      </c>
    </row>
    <row r="8786">
      <c r="B8786" s="31"/>
      <c r="G8786" s="272" t="s">
        <v>1099</v>
      </c>
    </row>
    <row r="8787">
      <c r="B8787" s="31"/>
      <c r="G8787" s="272" t="s">
        <v>1099</v>
      </c>
    </row>
    <row r="8788">
      <c r="B8788" s="31"/>
      <c r="G8788" s="272" t="s">
        <v>1099</v>
      </c>
    </row>
    <row r="8789">
      <c r="B8789" s="31"/>
      <c r="G8789" s="272" t="s">
        <v>1099</v>
      </c>
    </row>
    <row r="8790">
      <c r="B8790" s="31"/>
      <c r="G8790" s="272" t="s">
        <v>1099</v>
      </c>
    </row>
    <row r="8791">
      <c r="B8791" s="31"/>
      <c r="G8791" s="272" t="s">
        <v>1099</v>
      </c>
    </row>
    <row r="8792">
      <c r="B8792" s="31"/>
      <c r="G8792" s="272" t="s">
        <v>1099</v>
      </c>
    </row>
    <row r="8793">
      <c r="B8793" s="31"/>
      <c r="G8793" s="272" t="s">
        <v>1099</v>
      </c>
    </row>
    <row r="8794">
      <c r="B8794" s="31"/>
      <c r="G8794" s="272" t="s">
        <v>1099</v>
      </c>
    </row>
    <row r="8795">
      <c r="B8795" s="31"/>
      <c r="G8795" s="272" t="s">
        <v>1099</v>
      </c>
    </row>
    <row r="8796">
      <c r="B8796" s="31"/>
      <c r="G8796" s="272" t="s">
        <v>1099</v>
      </c>
    </row>
    <row r="8797">
      <c r="B8797" s="31"/>
      <c r="G8797" s="272" t="s">
        <v>1099</v>
      </c>
    </row>
    <row r="8798">
      <c r="B8798" s="31"/>
      <c r="G8798" s="272" t="s">
        <v>1099</v>
      </c>
    </row>
    <row r="8799">
      <c r="B8799" s="31"/>
      <c r="G8799" s="272" t="s">
        <v>1099</v>
      </c>
    </row>
    <row r="8800">
      <c r="B8800" s="31"/>
      <c r="G8800" s="272" t="s">
        <v>1099</v>
      </c>
    </row>
    <row r="8801">
      <c r="B8801" s="31"/>
      <c r="G8801" s="272" t="s">
        <v>1099</v>
      </c>
    </row>
    <row r="8802">
      <c r="B8802" s="31"/>
      <c r="G8802" s="272" t="s">
        <v>1099</v>
      </c>
    </row>
    <row r="8803">
      <c r="B8803" s="31"/>
      <c r="G8803" s="272" t="s">
        <v>1099</v>
      </c>
    </row>
    <row r="8804">
      <c r="B8804" s="31"/>
      <c r="G8804" s="272" t="s">
        <v>1099</v>
      </c>
    </row>
    <row r="8805">
      <c r="B8805" s="31"/>
      <c r="G8805" s="272" t="s">
        <v>1099</v>
      </c>
    </row>
    <row r="8806">
      <c r="B8806" s="31"/>
      <c r="G8806" s="272" t="s">
        <v>1099</v>
      </c>
    </row>
    <row r="8807">
      <c r="B8807" s="31"/>
      <c r="G8807" s="272" t="s">
        <v>1099</v>
      </c>
    </row>
    <row r="8808">
      <c r="B8808" s="31"/>
      <c r="G8808" s="272" t="s">
        <v>1099</v>
      </c>
    </row>
    <row r="8809">
      <c r="B8809" s="31"/>
      <c r="G8809" s="272" t="s">
        <v>1099</v>
      </c>
    </row>
    <row r="8810">
      <c r="B8810" s="31"/>
      <c r="G8810" s="272" t="s">
        <v>1099</v>
      </c>
    </row>
    <row r="8811">
      <c r="B8811" s="31"/>
      <c r="G8811" s="272" t="s">
        <v>1099</v>
      </c>
    </row>
    <row r="8812">
      <c r="B8812" s="31"/>
      <c r="G8812" s="272" t="s">
        <v>1099</v>
      </c>
    </row>
    <row r="8813">
      <c r="B8813" s="31"/>
      <c r="G8813" s="272" t="s">
        <v>1099</v>
      </c>
    </row>
    <row r="8814">
      <c r="B8814" s="31"/>
      <c r="G8814" s="272" t="s">
        <v>1099</v>
      </c>
    </row>
    <row r="8815">
      <c r="B8815" s="31"/>
      <c r="G8815" s="272" t="s">
        <v>1099</v>
      </c>
    </row>
    <row r="8816">
      <c r="B8816" s="31"/>
      <c r="G8816" s="272" t="s">
        <v>1099</v>
      </c>
    </row>
    <row r="8817">
      <c r="B8817" s="31"/>
      <c r="G8817" s="272" t="s">
        <v>1099</v>
      </c>
    </row>
    <row r="8818">
      <c r="B8818" s="31"/>
      <c r="G8818" s="272" t="s">
        <v>1099</v>
      </c>
    </row>
    <row r="8819">
      <c r="B8819" s="31"/>
      <c r="G8819" s="272" t="s">
        <v>1099</v>
      </c>
    </row>
    <row r="8820">
      <c r="B8820" s="31"/>
      <c r="G8820" s="272" t="s">
        <v>1099</v>
      </c>
    </row>
    <row r="8821">
      <c r="B8821" s="31"/>
      <c r="G8821" s="272" t="s">
        <v>1099</v>
      </c>
    </row>
    <row r="8822">
      <c r="B8822" s="31"/>
      <c r="G8822" s="272" t="s">
        <v>1099</v>
      </c>
    </row>
    <row r="8823">
      <c r="B8823" s="31"/>
      <c r="G8823" s="272" t="s">
        <v>1099</v>
      </c>
    </row>
    <row r="8824">
      <c r="B8824" s="31"/>
      <c r="G8824" s="272" t="s">
        <v>1099</v>
      </c>
    </row>
    <row r="8825">
      <c r="B8825" s="31"/>
      <c r="G8825" s="272" t="s">
        <v>1099</v>
      </c>
    </row>
    <row r="8826">
      <c r="B8826" s="31"/>
      <c r="G8826" s="272" t="s">
        <v>1099</v>
      </c>
    </row>
    <row r="8827">
      <c r="B8827" s="31"/>
      <c r="G8827" s="272" t="s">
        <v>1099</v>
      </c>
    </row>
    <row r="8828">
      <c r="B8828" s="31"/>
      <c r="G8828" s="272" t="s">
        <v>1099</v>
      </c>
    </row>
    <row r="8829">
      <c r="B8829" s="31"/>
      <c r="G8829" s="272" t="s">
        <v>1099</v>
      </c>
    </row>
    <row r="8830">
      <c r="B8830" s="31"/>
      <c r="G8830" s="272" t="s">
        <v>1099</v>
      </c>
    </row>
    <row r="8831">
      <c r="B8831" s="31"/>
      <c r="G8831" s="272" t="s">
        <v>1099</v>
      </c>
    </row>
    <row r="8832">
      <c r="B8832" s="31"/>
      <c r="G8832" s="272" t="s">
        <v>1099</v>
      </c>
    </row>
    <row r="8833">
      <c r="B8833" s="31"/>
      <c r="G8833" s="272" t="s">
        <v>1099</v>
      </c>
    </row>
    <row r="8834">
      <c r="B8834" s="31"/>
      <c r="G8834" s="272" t="s">
        <v>1099</v>
      </c>
    </row>
    <row r="8835">
      <c r="B8835" s="31"/>
      <c r="G8835" s="272" t="s">
        <v>1099</v>
      </c>
    </row>
    <row r="8836">
      <c r="B8836" s="31"/>
      <c r="G8836" s="272" t="s">
        <v>1099</v>
      </c>
    </row>
    <row r="8837">
      <c r="B8837" s="31"/>
      <c r="G8837" s="272" t="s">
        <v>1099</v>
      </c>
    </row>
    <row r="8838">
      <c r="B8838" s="31"/>
      <c r="G8838" s="272" t="s">
        <v>1099</v>
      </c>
    </row>
    <row r="8839">
      <c r="B8839" s="31"/>
      <c r="G8839" s="272" t="s">
        <v>1099</v>
      </c>
    </row>
    <row r="8840">
      <c r="B8840" s="31"/>
      <c r="G8840" s="272" t="s">
        <v>1099</v>
      </c>
    </row>
    <row r="8841">
      <c r="B8841" s="31"/>
      <c r="G8841" s="272" t="s">
        <v>1099</v>
      </c>
    </row>
    <row r="8842">
      <c r="B8842" s="31"/>
      <c r="G8842" s="272" t="s">
        <v>1099</v>
      </c>
    </row>
    <row r="8843">
      <c r="B8843" s="31"/>
      <c r="G8843" s="272" t="s">
        <v>1099</v>
      </c>
    </row>
    <row r="8844">
      <c r="B8844" s="31"/>
      <c r="G8844" s="272" t="s">
        <v>1099</v>
      </c>
    </row>
    <row r="8845">
      <c r="B8845" s="31"/>
      <c r="G8845" s="272" t="s">
        <v>1099</v>
      </c>
    </row>
    <row r="8846">
      <c r="B8846" s="31"/>
      <c r="G8846" s="272" t="s">
        <v>1099</v>
      </c>
    </row>
    <row r="8847">
      <c r="B8847" s="31"/>
      <c r="G8847" s="272" t="s">
        <v>1099</v>
      </c>
    </row>
    <row r="8848">
      <c r="B8848" s="31"/>
      <c r="G8848" s="272" t="s">
        <v>1099</v>
      </c>
    </row>
    <row r="8849">
      <c r="B8849" s="31"/>
      <c r="G8849" s="272" t="s">
        <v>1099</v>
      </c>
    </row>
    <row r="8850">
      <c r="B8850" s="31"/>
      <c r="G8850" s="272" t="s">
        <v>1099</v>
      </c>
    </row>
    <row r="8851">
      <c r="B8851" s="31"/>
      <c r="G8851" s="272" t="s">
        <v>1099</v>
      </c>
    </row>
    <row r="8852">
      <c r="B8852" s="31"/>
      <c r="G8852" s="272" t="s">
        <v>1099</v>
      </c>
    </row>
    <row r="8853">
      <c r="B8853" s="31"/>
      <c r="G8853" s="272" t="s">
        <v>1099</v>
      </c>
    </row>
    <row r="8854">
      <c r="B8854" s="31"/>
      <c r="G8854" s="272" t="s">
        <v>1099</v>
      </c>
    </row>
    <row r="8855">
      <c r="B8855" s="31"/>
      <c r="G8855" s="272" t="s">
        <v>1099</v>
      </c>
    </row>
    <row r="8856">
      <c r="B8856" s="31"/>
      <c r="G8856" s="272" t="s">
        <v>1099</v>
      </c>
    </row>
    <row r="8857">
      <c r="B8857" s="31"/>
      <c r="G8857" s="272" t="s">
        <v>1099</v>
      </c>
    </row>
    <row r="8858">
      <c r="B8858" s="31"/>
      <c r="G8858" s="272" t="s">
        <v>1099</v>
      </c>
    </row>
    <row r="8859">
      <c r="B8859" s="31"/>
      <c r="G8859" s="272" t="s">
        <v>1099</v>
      </c>
    </row>
    <row r="8860">
      <c r="B8860" s="31"/>
      <c r="G8860" s="272" t="s">
        <v>1099</v>
      </c>
    </row>
    <row r="8861">
      <c r="B8861" s="31"/>
      <c r="G8861" s="272" t="s">
        <v>1099</v>
      </c>
    </row>
    <row r="8862">
      <c r="B8862" s="31"/>
      <c r="G8862" s="272" t="s">
        <v>1099</v>
      </c>
    </row>
    <row r="8863">
      <c r="B8863" s="31"/>
      <c r="G8863" s="272" t="s">
        <v>1099</v>
      </c>
    </row>
    <row r="8864">
      <c r="B8864" s="31"/>
      <c r="G8864" s="272" t="s">
        <v>1099</v>
      </c>
    </row>
    <row r="8865">
      <c r="B8865" s="31"/>
      <c r="G8865" s="272" t="s">
        <v>1099</v>
      </c>
    </row>
    <row r="8866">
      <c r="B8866" s="31"/>
      <c r="G8866" s="272" t="s">
        <v>1099</v>
      </c>
    </row>
    <row r="8867">
      <c r="B8867" s="31"/>
      <c r="G8867" s="272" t="s">
        <v>1099</v>
      </c>
    </row>
    <row r="8868">
      <c r="B8868" s="31"/>
      <c r="G8868" s="272" t="s">
        <v>1099</v>
      </c>
    </row>
    <row r="8869">
      <c r="B8869" s="31"/>
      <c r="G8869" s="272" t="s">
        <v>1099</v>
      </c>
    </row>
    <row r="8870">
      <c r="B8870" s="31"/>
      <c r="G8870" s="272" t="s">
        <v>1099</v>
      </c>
    </row>
    <row r="8871">
      <c r="B8871" s="31"/>
      <c r="G8871" s="272" t="s">
        <v>1099</v>
      </c>
    </row>
    <row r="8872">
      <c r="B8872" s="31"/>
      <c r="G8872" s="272" t="s">
        <v>1099</v>
      </c>
    </row>
    <row r="8873">
      <c r="B8873" s="31"/>
      <c r="G8873" s="272" t="s">
        <v>1099</v>
      </c>
    </row>
    <row r="8874">
      <c r="B8874" s="31"/>
      <c r="G8874" s="272" t="s">
        <v>1099</v>
      </c>
    </row>
    <row r="8875">
      <c r="B8875" s="31"/>
      <c r="G8875" s="272" t="s">
        <v>1099</v>
      </c>
    </row>
    <row r="8876">
      <c r="B8876" s="31"/>
      <c r="G8876" s="272" t="s">
        <v>1099</v>
      </c>
    </row>
    <row r="8877">
      <c r="B8877" s="31"/>
      <c r="G8877" s="272" t="s">
        <v>1099</v>
      </c>
    </row>
    <row r="8878">
      <c r="B8878" s="31"/>
      <c r="G8878" s="272" t="s">
        <v>1099</v>
      </c>
    </row>
    <row r="8879">
      <c r="B8879" s="31"/>
      <c r="G8879" s="272" t="s">
        <v>1099</v>
      </c>
    </row>
    <row r="8880">
      <c r="B8880" s="31"/>
      <c r="G8880" s="272" t="s">
        <v>1099</v>
      </c>
    </row>
    <row r="8881">
      <c r="B8881" s="31"/>
      <c r="G8881" s="272" t="s">
        <v>1099</v>
      </c>
    </row>
    <row r="8882">
      <c r="B8882" s="31"/>
      <c r="G8882" s="272" t="s">
        <v>1099</v>
      </c>
    </row>
    <row r="8883">
      <c r="B8883" s="31"/>
      <c r="G8883" s="272" t="s">
        <v>1099</v>
      </c>
    </row>
    <row r="8884">
      <c r="B8884" s="31"/>
      <c r="G8884" s="272" t="s">
        <v>1099</v>
      </c>
    </row>
    <row r="8885">
      <c r="B8885" s="31"/>
      <c r="G8885" s="272" t="s">
        <v>1099</v>
      </c>
    </row>
    <row r="8886">
      <c r="B8886" s="31"/>
      <c r="G8886" s="272" t="s">
        <v>1099</v>
      </c>
    </row>
    <row r="8887">
      <c r="B8887" s="31"/>
      <c r="G8887" s="272" t="s">
        <v>1099</v>
      </c>
    </row>
    <row r="8888">
      <c r="B8888" s="31"/>
      <c r="G8888" s="272" t="s">
        <v>1099</v>
      </c>
    </row>
    <row r="8889">
      <c r="B8889" s="31"/>
      <c r="G8889" s="272" t="s">
        <v>1099</v>
      </c>
    </row>
    <row r="8890">
      <c r="B8890" s="31"/>
      <c r="G8890" s="272" t="s">
        <v>1099</v>
      </c>
    </row>
    <row r="8891">
      <c r="B8891" s="31"/>
      <c r="G8891" s="272" t="s">
        <v>1099</v>
      </c>
    </row>
    <row r="8892">
      <c r="B8892" s="31"/>
      <c r="G8892" s="272" t="s">
        <v>1099</v>
      </c>
    </row>
    <row r="8893">
      <c r="B8893" s="31"/>
      <c r="G8893" s="272" t="s">
        <v>1099</v>
      </c>
    </row>
    <row r="8894">
      <c r="B8894" s="31"/>
      <c r="G8894" s="272" t="s">
        <v>1099</v>
      </c>
    </row>
    <row r="8895">
      <c r="B8895" s="31"/>
      <c r="G8895" s="272" t="s">
        <v>1099</v>
      </c>
    </row>
    <row r="8896">
      <c r="B8896" s="31"/>
      <c r="G8896" s="272" t="s">
        <v>1099</v>
      </c>
    </row>
    <row r="8897">
      <c r="B8897" s="31"/>
      <c r="G8897" s="272" t="s">
        <v>1099</v>
      </c>
    </row>
    <row r="8898">
      <c r="B8898" s="31"/>
      <c r="G8898" s="272" t="s">
        <v>1099</v>
      </c>
    </row>
    <row r="8899">
      <c r="B8899" s="31"/>
      <c r="G8899" s="272" t="s">
        <v>1099</v>
      </c>
    </row>
    <row r="8900">
      <c r="B8900" s="31"/>
      <c r="G8900" s="272" t="s">
        <v>1099</v>
      </c>
    </row>
    <row r="8901">
      <c r="B8901" s="31"/>
      <c r="G8901" s="272" t="s">
        <v>1099</v>
      </c>
    </row>
    <row r="8902">
      <c r="B8902" s="31"/>
      <c r="G8902" s="272" t="s">
        <v>1099</v>
      </c>
    </row>
    <row r="8903">
      <c r="B8903" s="31"/>
      <c r="G8903" s="272" t="s">
        <v>1099</v>
      </c>
    </row>
    <row r="8904">
      <c r="B8904" s="31"/>
      <c r="G8904" s="272" t="s">
        <v>1099</v>
      </c>
    </row>
    <row r="8905">
      <c r="B8905" s="31"/>
      <c r="G8905" s="272" t="s">
        <v>1099</v>
      </c>
    </row>
    <row r="8906">
      <c r="B8906" s="31"/>
      <c r="G8906" s="272" t="s">
        <v>1099</v>
      </c>
    </row>
    <row r="8907">
      <c r="B8907" s="31"/>
      <c r="G8907" s="272" t="s">
        <v>1099</v>
      </c>
    </row>
    <row r="8908">
      <c r="B8908" s="31"/>
      <c r="G8908" s="272" t="s">
        <v>1099</v>
      </c>
    </row>
    <row r="8909">
      <c r="B8909" s="31"/>
      <c r="G8909" s="272" t="s">
        <v>1099</v>
      </c>
    </row>
    <row r="8910">
      <c r="B8910" s="31"/>
      <c r="G8910" s="272" t="s">
        <v>1099</v>
      </c>
    </row>
    <row r="8911">
      <c r="B8911" s="31"/>
      <c r="G8911" s="272" t="s">
        <v>1099</v>
      </c>
    </row>
    <row r="8912">
      <c r="B8912" s="31"/>
      <c r="G8912" s="272" t="s">
        <v>1099</v>
      </c>
    </row>
    <row r="8913">
      <c r="B8913" s="31"/>
      <c r="G8913" s="272" t="s">
        <v>1099</v>
      </c>
    </row>
    <row r="8914">
      <c r="B8914" s="31"/>
      <c r="G8914" s="272" t="s">
        <v>1099</v>
      </c>
    </row>
    <row r="8915">
      <c r="B8915" s="31"/>
      <c r="G8915" s="272" t="s">
        <v>1099</v>
      </c>
    </row>
    <row r="8916">
      <c r="B8916" s="31"/>
      <c r="G8916" s="272" t="s">
        <v>1099</v>
      </c>
    </row>
    <row r="8917">
      <c r="B8917" s="31"/>
      <c r="G8917" s="272" t="s">
        <v>1099</v>
      </c>
    </row>
    <row r="8918">
      <c r="B8918" s="31"/>
      <c r="G8918" s="272" t="s">
        <v>1099</v>
      </c>
    </row>
    <row r="8919">
      <c r="B8919" s="31"/>
      <c r="G8919" s="272" t="s">
        <v>1099</v>
      </c>
    </row>
    <row r="8920">
      <c r="B8920" s="31"/>
      <c r="G8920" s="272" t="s">
        <v>1099</v>
      </c>
    </row>
    <row r="8921">
      <c r="B8921" s="31"/>
      <c r="G8921" s="272" t="s">
        <v>1099</v>
      </c>
    </row>
    <row r="8922">
      <c r="B8922" s="31"/>
      <c r="G8922" s="272" t="s">
        <v>1099</v>
      </c>
    </row>
    <row r="8923">
      <c r="B8923" s="31"/>
      <c r="G8923" s="272" t="s">
        <v>1099</v>
      </c>
    </row>
    <row r="8924">
      <c r="B8924" s="31"/>
      <c r="G8924" s="272" t="s">
        <v>1099</v>
      </c>
    </row>
    <row r="8925">
      <c r="B8925" s="31"/>
      <c r="G8925" s="272" t="s">
        <v>1099</v>
      </c>
    </row>
    <row r="8926">
      <c r="B8926" s="31"/>
      <c r="G8926" s="272" t="s">
        <v>1099</v>
      </c>
    </row>
    <row r="8927">
      <c r="B8927" s="31"/>
      <c r="G8927" s="272" t="s">
        <v>1099</v>
      </c>
    </row>
    <row r="8928">
      <c r="B8928" s="31"/>
      <c r="G8928" s="272" t="s">
        <v>1099</v>
      </c>
    </row>
    <row r="8929">
      <c r="B8929" s="31"/>
      <c r="G8929" s="272" t="s">
        <v>1099</v>
      </c>
    </row>
    <row r="8930">
      <c r="B8930" s="31"/>
      <c r="G8930" s="272" t="s">
        <v>1099</v>
      </c>
    </row>
    <row r="8931">
      <c r="B8931" s="31"/>
      <c r="G8931" s="272" t="s">
        <v>1099</v>
      </c>
    </row>
    <row r="8932">
      <c r="B8932" s="31"/>
      <c r="G8932" s="272" t="s">
        <v>1099</v>
      </c>
    </row>
    <row r="8933">
      <c r="B8933" s="31"/>
      <c r="G8933" s="272" t="s">
        <v>1099</v>
      </c>
    </row>
    <row r="8934">
      <c r="B8934" s="31"/>
      <c r="G8934" s="272" t="s">
        <v>1099</v>
      </c>
    </row>
    <row r="8935">
      <c r="B8935" s="31"/>
      <c r="G8935" s="272" t="s">
        <v>1099</v>
      </c>
    </row>
    <row r="8936">
      <c r="B8936" s="31"/>
      <c r="G8936" s="272" t="s">
        <v>1099</v>
      </c>
    </row>
    <row r="8937">
      <c r="B8937" s="31"/>
      <c r="G8937" s="272" t="s">
        <v>1099</v>
      </c>
    </row>
    <row r="8938">
      <c r="B8938" s="31"/>
      <c r="G8938" s="272" t="s">
        <v>1099</v>
      </c>
    </row>
    <row r="8939">
      <c r="B8939" s="31"/>
      <c r="G8939" s="272" t="s">
        <v>1099</v>
      </c>
    </row>
    <row r="8940">
      <c r="B8940" s="31"/>
      <c r="G8940" s="272" t="s">
        <v>1099</v>
      </c>
    </row>
    <row r="8941">
      <c r="B8941" s="31"/>
      <c r="G8941" s="272" t="s">
        <v>1099</v>
      </c>
    </row>
    <row r="8942">
      <c r="B8942" s="31"/>
      <c r="G8942" s="272" t="s">
        <v>1099</v>
      </c>
    </row>
    <row r="8943">
      <c r="B8943" s="31"/>
      <c r="G8943" s="272" t="s">
        <v>1099</v>
      </c>
    </row>
    <row r="8944">
      <c r="B8944" s="31"/>
      <c r="G8944" s="272" t="s">
        <v>1099</v>
      </c>
    </row>
    <row r="8945">
      <c r="B8945" s="31"/>
      <c r="G8945" s="272" t="s">
        <v>1099</v>
      </c>
    </row>
    <row r="8946">
      <c r="B8946" s="31"/>
      <c r="G8946" s="272" t="s">
        <v>1099</v>
      </c>
    </row>
    <row r="8947">
      <c r="B8947" s="31"/>
      <c r="G8947" s="272" t="s">
        <v>1099</v>
      </c>
    </row>
    <row r="8948">
      <c r="B8948" s="31"/>
      <c r="G8948" s="272" t="s">
        <v>1099</v>
      </c>
    </row>
    <row r="8949">
      <c r="B8949" s="31"/>
      <c r="G8949" s="272" t="s">
        <v>1099</v>
      </c>
    </row>
    <row r="8950">
      <c r="B8950" s="31"/>
      <c r="G8950" s="272" t="s">
        <v>1099</v>
      </c>
    </row>
    <row r="8951">
      <c r="B8951" s="31"/>
      <c r="G8951" s="272" t="s">
        <v>1099</v>
      </c>
    </row>
    <row r="8952">
      <c r="B8952" s="31"/>
      <c r="G8952" s="272" t="s">
        <v>1099</v>
      </c>
    </row>
    <row r="8953">
      <c r="B8953" s="31"/>
      <c r="G8953" s="272" t="s">
        <v>1099</v>
      </c>
    </row>
    <row r="8954">
      <c r="B8954" s="31"/>
      <c r="G8954" s="272" t="s">
        <v>1099</v>
      </c>
    </row>
    <row r="8955">
      <c r="B8955" s="31"/>
      <c r="G8955" s="272" t="s">
        <v>1099</v>
      </c>
    </row>
    <row r="8956">
      <c r="B8956" s="31"/>
      <c r="G8956" s="272" t="s">
        <v>1099</v>
      </c>
    </row>
    <row r="8957">
      <c r="B8957" s="31"/>
      <c r="G8957" s="272" t="s">
        <v>1099</v>
      </c>
    </row>
    <row r="8958">
      <c r="B8958" s="31"/>
      <c r="G8958" s="272" t="s">
        <v>1099</v>
      </c>
    </row>
    <row r="8959">
      <c r="B8959" s="31"/>
      <c r="G8959" s="272" t="s">
        <v>1099</v>
      </c>
    </row>
    <row r="8960">
      <c r="B8960" s="31"/>
      <c r="G8960" s="272" t="s">
        <v>1099</v>
      </c>
    </row>
    <row r="8961">
      <c r="B8961" s="31"/>
      <c r="G8961" s="272" t="s">
        <v>1099</v>
      </c>
    </row>
    <row r="8962">
      <c r="B8962" s="31"/>
      <c r="G8962" s="272" t="s">
        <v>1099</v>
      </c>
    </row>
    <row r="8963">
      <c r="B8963" s="31"/>
      <c r="G8963" s="272" t="s">
        <v>1099</v>
      </c>
    </row>
    <row r="8964">
      <c r="B8964" s="31"/>
      <c r="G8964" s="272" t="s">
        <v>1099</v>
      </c>
    </row>
    <row r="8965">
      <c r="B8965" s="31"/>
      <c r="G8965" s="272" t="s">
        <v>1099</v>
      </c>
    </row>
    <row r="8966">
      <c r="B8966" s="31"/>
      <c r="G8966" s="272" t="s">
        <v>1099</v>
      </c>
    </row>
    <row r="8967">
      <c r="B8967" s="31"/>
      <c r="G8967" s="272" t="s">
        <v>1099</v>
      </c>
    </row>
    <row r="8968">
      <c r="B8968" s="31"/>
      <c r="G8968" s="272" t="s">
        <v>1099</v>
      </c>
    </row>
    <row r="8969">
      <c r="B8969" s="31"/>
      <c r="G8969" s="272" t="s">
        <v>1099</v>
      </c>
    </row>
    <row r="8970">
      <c r="B8970" s="31"/>
      <c r="G8970" s="272" t="s">
        <v>1099</v>
      </c>
    </row>
    <row r="8971">
      <c r="B8971" s="31"/>
      <c r="G8971" s="272" t="s">
        <v>1099</v>
      </c>
    </row>
    <row r="8972">
      <c r="B8972" s="31"/>
      <c r="G8972" s="272" t="s">
        <v>1099</v>
      </c>
    </row>
    <row r="8973">
      <c r="B8973" s="31"/>
      <c r="G8973" s="272" t="s">
        <v>1099</v>
      </c>
    </row>
    <row r="8974">
      <c r="B8974" s="31"/>
      <c r="G8974" s="272" t="s">
        <v>1099</v>
      </c>
    </row>
    <row r="8975">
      <c r="B8975" s="31"/>
      <c r="G8975" s="272" t="s">
        <v>1099</v>
      </c>
    </row>
    <row r="8976">
      <c r="B8976" s="31"/>
      <c r="G8976" s="272" t="s">
        <v>1099</v>
      </c>
    </row>
    <row r="8977">
      <c r="B8977" s="31"/>
      <c r="G8977" s="272" t="s">
        <v>1099</v>
      </c>
    </row>
    <row r="8978">
      <c r="B8978" s="31"/>
      <c r="G8978" s="272" t="s">
        <v>1099</v>
      </c>
    </row>
    <row r="8979">
      <c r="B8979" s="31"/>
      <c r="G8979" s="272" t="s">
        <v>1099</v>
      </c>
    </row>
    <row r="8980">
      <c r="B8980" s="31"/>
      <c r="G8980" s="272" t="s">
        <v>1099</v>
      </c>
    </row>
    <row r="8981">
      <c r="B8981" s="31"/>
      <c r="G8981" s="272" t="s">
        <v>1099</v>
      </c>
    </row>
    <row r="8982">
      <c r="B8982" s="31"/>
      <c r="G8982" s="272" t="s">
        <v>1099</v>
      </c>
    </row>
    <row r="8983">
      <c r="B8983" s="31"/>
      <c r="G8983" s="272" t="s">
        <v>1099</v>
      </c>
    </row>
    <row r="8984">
      <c r="B8984" s="31"/>
      <c r="G8984" s="272" t="s">
        <v>1099</v>
      </c>
    </row>
    <row r="8985">
      <c r="B8985" s="31"/>
      <c r="G8985" s="272" t="s">
        <v>1099</v>
      </c>
    </row>
    <row r="8986">
      <c r="B8986" s="31"/>
      <c r="G8986" s="272" t="s">
        <v>1099</v>
      </c>
    </row>
    <row r="8987">
      <c r="B8987" s="31"/>
      <c r="G8987" s="272" t="s">
        <v>1099</v>
      </c>
    </row>
    <row r="8988">
      <c r="B8988" s="31"/>
      <c r="G8988" s="272" t="s">
        <v>1099</v>
      </c>
    </row>
    <row r="8989">
      <c r="B8989" s="31"/>
      <c r="G8989" s="272" t="s">
        <v>1099</v>
      </c>
    </row>
    <row r="8990">
      <c r="B8990" s="31"/>
      <c r="G8990" s="272" t="s">
        <v>1099</v>
      </c>
    </row>
    <row r="8991">
      <c r="B8991" s="31"/>
      <c r="G8991" s="272" t="s">
        <v>1099</v>
      </c>
    </row>
    <row r="8992">
      <c r="B8992" s="31"/>
      <c r="G8992" s="272" t="s">
        <v>1099</v>
      </c>
    </row>
    <row r="8993">
      <c r="B8993" s="31"/>
      <c r="G8993" s="272" t="s">
        <v>1099</v>
      </c>
    </row>
    <row r="8994">
      <c r="B8994" s="31"/>
      <c r="G8994" s="272" t="s">
        <v>1099</v>
      </c>
    </row>
    <row r="8995">
      <c r="B8995" s="31"/>
      <c r="G8995" s="272" t="s">
        <v>1099</v>
      </c>
    </row>
    <row r="8996">
      <c r="B8996" s="31"/>
      <c r="G8996" s="272" t="s">
        <v>1099</v>
      </c>
    </row>
    <row r="8997">
      <c r="B8997" s="31"/>
      <c r="G8997" s="272" t="s">
        <v>1099</v>
      </c>
    </row>
    <row r="8998">
      <c r="B8998" s="31"/>
      <c r="G8998" s="272" t="s">
        <v>1099</v>
      </c>
    </row>
    <row r="8999">
      <c r="B8999" s="31"/>
      <c r="G8999" s="272" t="s">
        <v>1099</v>
      </c>
    </row>
    <row r="9000">
      <c r="B9000" s="31"/>
      <c r="G9000" s="272" t="s">
        <v>1099</v>
      </c>
    </row>
    <row r="9001">
      <c r="B9001" s="31"/>
      <c r="G9001" s="272" t="s">
        <v>1099</v>
      </c>
    </row>
    <row r="9002">
      <c r="B9002" s="31"/>
      <c r="G9002" s="272" t="s">
        <v>1099</v>
      </c>
    </row>
    <row r="9003">
      <c r="B9003" s="31"/>
      <c r="G9003" s="272" t="s">
        <v>1099</v>
      </c>
    </row>
    <row r="9004">
      <c r="B9004" s="31"/>
      <c r="G9004" s="272" t="s">
        <v>1099</v>
      </c>
    </row>
    <row r="9005">
      <c r="B9005" s="31"/>
      <c r="G9005" s="272" t="s">
        <v>1099</v>
      </c>
    </row>
    <row r="9006">
      <c r="B9006" s="31"/>
      <c r="G9006" s="272" t="s">
        <v>1099</v>
      </c>
    </row>
    <row r="9007">
      <c r="B9007" s="31"/>
      <c r="G9007" s="272" t="s">
        <v>1099</v>
      </c>
    </row>
    <row r="9008">
      <c r="B9008" s="31"/>
      <c r="G9008" s="272" t="s">
        <v>1099</v>
      </c>
    </row>
    <row r="9009">
      <c r="B9009" s="31"/>
      <c r="G9009" s="272" t="s">
        <v>1099</v>
      </c>
    </row>
    <row r="9010">
      <c r="B9010" s="31"/>
      <c r="G9010" s="272" t="s">
        <v>1099</v>
      </c>
    </row>
    <row r="9011">
      <c r="B9011" s="31"/>
      <c r="G9011" s="272" t="s">
        <v>1099</v>
      </c>
    </row>
    <row r="9012">
      <c r="B9012" s="31"/>
      <c r="G9012" s="272" t="s">
        <v>1099</v>
      </c>
    </row>
    <row r="9013">
      <c r="B9013" s="31"/>
      <c r="G9013" s="272" t="s">
        <v>1099</v>
      </c>
    </row>
    <row r="9014">
      <c r="B9014" s="31"/>
      <c r="G9014" s="272" t="s">
        <v>1099</v>
      </c>
    </row>
    <row r="9015">
      <c r="B9015" s="31"/>
      <c r="G9015" s="272" t="s">
        <v>1099</v>
      </c>
    </row>
    <row r="9016">
      <c r="B9016" s="31"/>
      <c r="G9016" s="272" t="s">
        <v>1099</v>
      </c>
    </row>
    <row r="9017">
      <c r="B9017" s="31"/>
      <c r="G9017" s="272" t="s">
        <v>1099</v>
      </c>
    </row>
    <row r="9018">
      <c r="B9018" s="31"/>
      <c r="G9018" s="272" t="s">
        <v>1099</v>
      </c>
    </row>
    <row r="9019">
      <c r="B9019" s="31"/>
      <c r="G9019" s="272" t="s">
        <v>1099</v>
      </c>
    </row>
    <row r="9020">
      <c r="B9020" s="31"/>
      <c r="G9020" s="272" t="s">
        <v>1099</v>
      </c>
    </row>
    <row r="9021">
      <c r="B9021" s="31"/>
      <c r="G9021" s="272" t="s">
        <v>1099</v>
      </c>
    </row>
    <row r="9022">
      <c r="B9022" s="31"/>
      <c r="G9022" s="272" t="s">
        <v>1099</v>
      </c>
    </row>
    <row r="9023">
      <c r="B9023" s="31"/>
      <c r="G9023" s="272" t="s">
        <v>1099</v>
      </c>
    </row>
    <row r="9024">
      <c r="B9024" s="31"/>
      <c r="G9024" s="272" t="s">
        <v>1099</v>
      </c>
    </row>
    <row r="9025">
      <c r="B9025" s="31"/>
      <c r="G9025" s="272" t="s">
        <v>1099</v>
      </c>
    </row>
    <row r="9026">
      <c r="B9026" s="31"/>
      <c r="G9026" s="272" t="s">
        <v>1099</v>
      </c>
    </row>
    <row r="9027">
      <c r="B9027" s="31"/>
      <c r="G9027" s="272" t="s">
        <v>1099</v>
      </c>
    </row>
    <row r="9028">
      <c r="B9028" s="31"/>
      <c r="G9028" s="272" t="s">
        <v>1099</v>
      </c>
    </row>
    <row r="9029">
      <c r="B9029" s="31"/>
      <c r="G9029" s="272" t="s">
        <v>1099</v>
      </c>
    </row>
    <row r="9030">
      <c r="B9030" s="31"/>
      <c r="G9030" s="272" t="s">
        <v>1099</v>
      </c>
    </row>
    <row r="9031">
      <c r="B9031" s="31"/>
      <c r="G9031" s="272" t="s">
        <v>1099</v>
      </c>
    </row>
    <row r="9032">
      <c r="B9032" s="31"/>
      <c r="G9032" s="272" t="s">
        <v>1099</v>
      </c>
    </row>
    <row r="9033">
      <c r="B9033" s="31"/>
      <c r="G9033" s="272" t="s">
        <v>1099</v>
      </c>
    </row>
    <row r="9034">
      <c r="B9034" s="31"/>
      <c r="G9034" s="272" t="s">
        <v>1099</v>
      </c>
    </row>
    <row r="9035">
      <c r="B9035" s="31"/>
      <c r="G9035" s="272" t="s">
        <v>1099</v>
      </c>
    </row>
    <row r="9036">
      <c r="B9036" s="31"/>
      <c r="G9036" s="272" t="s">
        <v>1099</v>
      </c>
    </row>
    <row r="9037">
      <c r="B9037" s="31"/>
      <c r="G9037" s="272" t="s">
        <v>1099</v>
      </c>
    </row>
    <row r="9038">
      <c r="B9038" s="31"/>
      <c r="G9038" s="272" t="s">
        <v>1099</v>
      </c>
    </row>
    <row r="9039">
      <c r="B9039" s="31"/>
      <c r="G9039" s="272" t="s">
        <v>1099</v>
      </c>
    </row>
    <row r="9040">
      <c r="B9040" s="31"/>
      <c r="G9040" s="272" t="s">
        <v>1099</v>
      </c>
    </row>
    <row r="9041">
      <c r="B9041" s="31"/>
      <c r="G9041" s="272" t="s">
        <v>1099</v>
      </c>
    </row>
    <row r="9042">
      <c r="B9042" s="31"/>
      <c r="G9042" s="272" t="s">
        <v>1099</v>
      </c>
    </row>
    <row r="9043">
      <c r="B9043" s="31"/>
      <c r="G9043" s="272" t="s">
        <v>1099</v>
      </c>
    </row>
    <row r="9044">
      <c r="B9044" s="31"/>
      <c r="G9044" s="272" t="s">
        <v>1099</v>
      </c>
    </row>
    <row r="9045">
      <c r="B9045" s="31"/>
      <c r="G9045" s="272" t="s">
        <v>1099</v>
      </c>
    </row>
    <row r="9046">
      <c r="B9046" s="31"/>
      <c r="G9046" s="272" t="s">
        <v>1099</v>
      </c>
    </row>
    <row r="9047">
      <c r="B9047" s="31"/>
      <c r="G9047" s="272" t="s">
        <v>1099</v>
      </c>
    </row>
    <row r="9048">
      <c r="B9048" s="31"/>
      <c r="G9048" s="272" t="s">
        <v>1099</v>
      </c>
    </row>
    <row r="9049">
      <c r="B9049" s="31"/>
      <c r="G9049" s="272" t="s">
        <v>1099</v>
      </c>
    </row>
    <row r="9050">
      <c r="B9050" s="31"/>
      <c r="G9050" s="272" t="s">
        <v>1099</v>
      </c>
    </row>
    <row r="9051">
      <c r="B9051" s="31"/>
      <c r="G9051" s="272" t="s">
        <v>1099</v>
      </c>
    </row>
    <row r="9052">
      <c r="B9052" s="31"/>
      <c r="G9052" s="272" t="s">
        <v>1099</v>
      </c>
    </row>
    <row r="9053">
      <c r="B9053" s="31"/>
      <c r="G9053" s="272" t="s">
        <v>1099</v>
      </c>
    </row>
    <row r="9054">
      <c r="B9054" s="31"/>
      <c r="G9054" s="272" t="s">
        <v>1099</v>
      </c>
    </row>
    <row r="9055">
      <c r="B9055" s="31"/>
      <c r="G9055" s="272" t="s">
        <v>1099</v>
      </c>
    </row>
    <row r="9056">
      <c r="B9056" s="31"/>
      <c r="G9056" s="272" t="s">
        <v>1099</v>
      </c>
    </row>
    <row r="9057">
      <c r="B9057" s="31"/>
      <c r="G9057" s="272" t="s">
        <v>1099</v>
      </c>
    </row>
    <row r="9058">
      <c r="B9058" s="31"/>
      <c r="G9058" s="272" t="s">
        <v>1099</v>
      </c>
    </row>
    <row r="9059">
      <c r="B9059" s="31"/>
      <c r="G9059" s="272" t="s">
        <v>1099</v>
      </c>
    </row>
    <row r="9060">
      <c r="B9060" s="31"/>
      <c r="G9060" s="272" t="s">
        <v>1099</v>
      </c>
    </row>
    <row r="9061">
      <c r="B9061" s="31"/>
      <c r="G9061" s="272" t="s">
        <v>1099</v>
      </c>
    </row>
    <row r="9062">
      <c r="B9062" s="31"/>
      <c r="G9062" s="272" t="s">
        <v>1099</v>
      </c>
    </row>
    <row r="9063">
      <c r="B9063" s="31"/>
      <c r="G9063" s="272" t="s">
        <v>1099</v>
      </c>
    </row>
    <row r="9064">
      <c r="B9064" s="31"/>
      <c r="G9064" s="272" t="s">
        <v>1099</v>
      </c>
    </row>
    <row r="9065">
      <c r="B9065" s="31"/>
      <c r="G9065" s="272" t="s">
        <v>1099</v>
      </c>
    </row>
    <row r="9066">
      <c r="B9066" s="31"/>
      <c r="G9066" s="272" t="s">
        <v>1099</v>
      </c>
    </row>
    <row r="9067">
      <c r="B9067" s="31"/>
      <c r="G9067" s="272" t="s">
        <v>1099</v>
      </c>
    </row>
    <row r="9068">
      <c r="B9068" s="31"/>
      <c r="G9068" s="272" t="s">
        <v>1099</v>
      </c>
    </row>
    <row r="9069">
      <c r="B9069" s="31"/>
      <c r="G9069" s="272" t="s">
        <v>1099</v>
      </c>
    </row>
    <row r="9070">
      <c r="B9070" s="31"/>
      <c r="G9070" s="272" t="s">
        <v>1099</v>
      </c>
    </row>
    <row r="9071">
      <c r="B9071" s="31"/>
      <c r="G9071" s="272" t="s">
        <v>1099</v>
      </c>
    </row>
    <row r="9072">
      <c r="B9072" s="31"/>
      <c r="G9072" s="272" t="s">
        <v>1099</v>
      </c>
    </row>
    <row r="9073">
      <c r="B9073" s="31"/>
      <c r="G9073" s="272" t="s">
        <v>1099</v>
      </c>
    </row>
    <row r="9074">
      <c r="B9074" s="31"/>
      <c r="G9074" s="272" t="s">
        <v>1099</v>
      </c>
    </row>
    <row r="9075">
      <c r="B9075" s="31"/>
      <c r="G9075" s="272" t="s">
        <v>1099</v>
      </c>
    </row>
    <row r="9076">
      <c r="B9076" s="31"/>
      <c r="G9076" s="272" t="s">
        <v>1099</v>
      </c>
    </row>
    <row r="9077">
      <c r="B9077" s="31"/>
      <c r="G9077" s="272" t="s">
        <v>1099</v>
      </c>
    </row>
    <row r="9078">
      <c r="B9078" s="31"/>
      <c r="G9078" s="272" t="s">
        <v>1099</v>
      </c>
    </row>
    <row r="9079">
      <c r="B9079" s="31"/>
      <c r="G9079" s="272" t="s">
        <v>1099</v>
      </c>
    </row>
    <row r="9080">
      <c r="B9080" s="31"/>
      <c r="G9080" s="272" t="s">
        <v>1099</v>
      </c>
    </row>
    <row r="9081">
      <c r="B9081" s="31"/>
      <c r="G9081" s="272" t="s">
        <v>1099</v>
      </c>
    </row>
    <row r="9082">
      <c r="B9082" s="31"/>
      <c r="G9082" s="272" t="s">
        <v>1099</v>
      </c>
    </row>
    <row r="9083">
      <c r="B9083" s="31"/>
      <c r="G9083" s="272" t="s">
        <v>1099</v>
      </c>
    </row>
    <row r="9084">
      <c r="B9084" s="31"/>
      <c r="G9084" s="272" t="s">
        <v>1099</v>
      </c>
    </row>
    <row r="9085">
      <c r="B9085" s="31"/>
      <c r="G9085" s="272" t="s">
        <v>1099</v>
      </c>
    </row>
    <row r="9086">
      <c r="B9086" s="31"/>
      <c r="G9086" s="272" t="s">
        <v>1099</v>
      </c>
    </row>
    <row r="9087">
      <c r="B9087" s="31"/>
      <c r="G9087" s="272" t="s">
        <v>1099</v>
      </c>
    </row>
    <row r="9088">
      <c r="B9088" s="31"/>
      <c r="G9088" s="272" t="s">
        <v>1099</v>
      </c>
    </row>
    <row r="9089">
      <c r="B9089" s="31"/>
      <c r="G9089" s="272" t="s">
        <v>1099</v>
      </c>
    </row>
    <row r="9090">
      <c r="B9090" s="31"/>
      <c r="G9090" s="272" t="s">
        <v>1099</v>
      </c>
    </row>
    <row r="9091">
      <c r="B9091" s="31"/>
      <c r="G9091" s="272" t="s">
        <v>1099</v>
      </c>
    </row>
    <row r="9092">
      <c r="B9092" s="31"/>
      <c r="G9092" s="272" t="s">
        <v>1099</v>
      </c>
    </row>
    <row r="9093">
      <c r="B9093" s="31"/>
      <c r="G9093" s="272" t="s">
        <v>1099</v>
      </c>
    </row>
    <row r="9094">
      <c r="B9094" s="31"/>
      <c r="G9094" s="272" t="s">
        <v>1099</v>
      </c>
    </row>
    <row r="9095">
      <c r="B9095" s="31"/>
      <c r="G9095" s="272" t="s">
        <v>1099</v>
      </c>
    </row>
    <row r="9096">
      <c r="B9096" s="31"/>
      <c r="G9096" s="272" t="s">
        <v>1099</v>
      </c>
    </row>
    <row r="9097">
      <c r="B9097" s="31"/>
      <c r="G9097" s="272" t="s">
        <v>1099</v>
      </c>
    </row>
    <row r="9098">
      <c r="B9098" s="31"/>
      <c r="G9098" s="272" t="s">
        <v>1099</v>
      </c>
    </row>
    <row r="9099">
      <c r="B9099" s="31"/>
      <c r="G9099" s="272" t="s">
        <v>1099</v>
      </c>
    </row>
    <row r="9100">
      <c r="B9100" s="31"/>
      <c r="G9100" s="272" t="s">
        <v>1099</v>
      </c>
    </row>
    <row r="9101">
      <c r="B9101" s="31"/>
      <c r="G9101" s="272" t="s">
        <v>1099</v>
      </c>
    </row>
    <row r="9102">
      <c r="B9102" s="31"/>
      <c r="G9102" s="272" t="s">
        <v>1099</v>
      </c>
    </row>
    <row r="9103">
      <c r="B9103" s="31"/>
      <c r="G9103" s="272" t="s">
        <v>1099</v>
      </c>
    </row>
    <row r="9104">
      <c r="B9104" s="31"/>
      <c r="G9104" s="272" t="s">
        <v>1099</v>
      </c>
    </row>
    <row r="9105">
      <c r="B9105" s="31"/>
      <c r="G9105" s="272" t="s">
        <v>1099</v>
      </c>
    </row>
    <row r="9106">
      <c r="B9106" s="31"/>
      <c r="G9106" s="272" t="s">
        <v>1099</v>
      </c>
    </row>
    <row r="9107">
      <c r="B9107" s="31"/>
      <c r="G9107" s="272" t="s">
        <v>1099</v>
      </c>
    </row>
    <row r="9108">
      <c r="B9108" s="31"/>
      <c r="G9108" s="272" t="s">
        <v>1099</v>
      </c>
    </row>
    <row r="9109">
      <c r="B9109" s="31"/>
      <c r="G9109" s="272" t="s">
        <v>1099</v>
      </c>
    </row>
    <row r="9110">
      <c r="B9110" s="31"/>
      <c r="G9110" s="272" t="s">
        <v>1099</v>
      </c>
    </row>
    <row r="9111">
      <c r="B9111" s="31"/>
      <c r="G9111" s="272" t="s">
        <v>1099</v>
      </c>
    </row>
    <row r="9112">
      <c r="B9112" s="31"/>
      <c r="G9112" s="272" t="s">
        <v>1099</v>
      </c>
    </row>
    <row r="9113">
      <c r="B9113" s="31"/>
      <c r="G9113" s="272" t="s">
        <v>1099</v>
      </c>
    </row>
    <row r="9114">
      <c r="B9114" s="31"/>
      <c r="G9114" s="272" t="s">
        <v>1099</v>
      </c>
    </row>
    <row r="9115">
      <c r="B9115" s="31"/>
      <c r="G9115" s="272" t="s">
        <v>1099</v>
      </c>
    </row>
    <row r="9116">
      <c r="B9116" s="31"/>
      <c r="G9116" s="272" t="s">
        <v>1099</v>
      </c>
    </row>
    <row r="9117">
      <c r="B9117" s="31"/>
      <c r="G9117" s="272" t="s">
        <v>1099</v>
      </c>
    </row>
    <row r="9118">
      <c r="B9118" s="31"/>
      <c r="G9118" s="272" t="s">
        <v>1099</v>
      </c>
    </row>
    <row r="9119">
      <c r="B9119" s="31"/>
      <c r="G9119" s="272" t="s">
        <v>1099</v>
      </c>
    </row>
    <row r="9120">
      <c r="B9120" s="31"/>
      <c r="G9120" s="272" t="s">
        <v>1099</v>
      </c>
    </row>
    <row r="9121">
      <c r="B9121" s="31"/>
      <c r="G9121" s="272" t="s">
        <v>1099</v>
      </c>
    </row>
    <row r="9122">
      <c r="B9122" s="31"/>
      <c r="G9122" s="272" t="s">
        <v>1099</v>
      </c>
    </row>
    <row r="9123">
      <c r="B9123" s="31"/>
      <c r="G9123" s="272" t="s">
        <v>1099</v>
      </c>
    </row>
    <row r="9124">
      <c r="B9124" s="31"/>
      <c r="G9124" s="272" t="s">
        <v>1099</v>
      </c>
    </row>
    <row r="9125">
      <c r="B9125" s="31"/>
      <c r="G9125" s="272" t="s">
        <v>1099</v>
      </c>
    </row>
    <row r="9126">
      <c r="B9126" s="31"/>
      <c r="G9126" s="272" t="s">
        <v>1099</v>
      </c>
    </row>
    <row r="9127">
      <c r="B9127" s="31"/>
      <c r="G9127" s="272" t="s">
        <v>1099</v>
      </c>
    </row>
    <row r="9128">
      <c r="B9128" s="31"/>
      <c r="G9128" s="272" t="s">
        <v>1099</v>
      </c>
    </row>
    <row r="9129">
      <c r="B9129" s="31"/>
      <c r="G9129" s="272" t="s">
        <v>1099</v>
      </c>
    </row>
    <row r="9130">
      <c r="B9130" s="31"/>
      <c r="G9130" s="272" t="s">
        <v>1099</v>
      </c>
    </row>
    <row r="9131">
      <c r="B9131" s="31"/>
      <c r="G9131" s="272" t="s">
        <v>1099</v>
      </c>
    </row>
    <row r="9132">
      <c r="B9132" s="31"/>
      <c r="G9132" s="272" t="s">
        <v>1099</v>
      </c>
    </row>
    <row r="9133">
      <c r="B9133" s="31"/>
      <c r="G9133" s="272" t="s">
        <v>1099</v>
      </c>
    </row>
    <row r="9134">
      <c r="B9134" s="31"/>
      <c r="G9134" s="272" t="s">
        <v>1099</v>
      </c>
    </row>
    <row r="9135">
      <c r="B9135" s="31"/>
      <c r="G9135" s="272" t="s">
        <v>1099</v>
      </c>
    </row>
    <row r="9136">
      <c r="B9136" s="31"/>
      <c r="G9136" s="272" t="s">
        <v>1099</v>
      </c>
    </row>
    <row r="9137">
      <c r="B9137" s="31"/>
      <c r="G9137" s="272" t="s">
        <v>1099</v>
      </c>
    </row>
    <row r="9138">
      <c r="B9138" s="31"/>
      <c r="G9138" s="272" t="s">
        <v>1099</v>
      </c>
    </row>
    <row r="9139">
      <c r="B9139" s="31"/>
      <c r="G9139" s="272" t="s">
        <v>1099</v>
      </c>
    </row>
    <row r="9140">
      <c r="B9140" s="31"/>
      <c r="G9140" s="272" t="s">
        <v>1099</v>
      </c>
    </row>
    <row r="9141">
      <c r="B9141" s="31"/>
      <c r="G9141" s="272" t="s">
        <v>1099</v>
      </c>
    </row>
    <row r="9142">
      <c r="B9142" s="31"/>
      <c r="G9142" s="272" t="s">
        <v>1099</v>
      </c>
    </row>
    <row r="9143">
      <c r="B9143" s="31"/>
      <c r="G9143" s="272" t="s">
        <v>1099</v>
      </c>
    </row>
    <row r="9144">
      <c r="B9144" s="31"/>
      <c r="G9144" s="272" t="s">
        <v>1099</v>
      </c>
    </row>
    <row r="9145">
      <c r="B9145" s="31"/>
      <c r="G9145" s="272" t="s">
        <v>1099</v>
      </c>
    </row>
    <row r="9146">
      <c r="B9146" s="31"/>
      <c r="G9146" s="272" t="s">
        <v>1099</v>
      </c>
    </row>
    <row r="9147">
      <c r="B9147" s="31"/>
      <c r="G9147" s="272" t="s">
        <v>1099</v>
      </c>
    </row>
    <row r="9148">
      <c r="B9148" s="31"/>
      <c r="G9148" s="272" t="s">
        <v>1099</v>
      </c>
    </row>
    <row r="9149">
      <c r="B9149" s="31"/>
      <c r="G9149" s="272" t="s">
        <v>1099</v>
      </c>
    </row>
    <row r="9150">
      <c r="B9150" s="31"/>
      <c r="G9150" s="272" t="s">
        <v>1099</v>
      </c>
    </row>
    <row r="9151">
      <c r="B9151" s="31"/>
      <c r="G9151" s="272" t="s">
        <v>1099</v>
      </c>
    </row>
    <row r="9152">
      <c r="B9152" s="31"/>
      <c r="G9152" s="272" t="s">
        <v>1099</v>
      </c>
    </row>
    <row r="9153">
      <c r="B9153" s="31"/>
      <c r="G9153" s="272" t="s">
        <v>1099</v>
      </c>
    </row>
    <row r="9154">
      <c r="B9154" s="31"/>
      <c r="G9154" s="272" t="s">
        <v>1099</v>
      </c>
    </row>
    <row r="9155">
      <c r="B9155" s="31"/>
      <c r="G9155" s="272" t="s">
        <v>1099</v>
      </c>
    </row>
    <row r="9156">
      <c r="B9156" s="31"/>
      <c r="G9156" s="272" t="s">
        <v>1099</v>
      </c>
    </row>
    <row r="9157">
      <c r="B9157" s="31"/>
      <c r="G9157" s="272" t="s">
        <v>1099</v>
      </c>
    </row>
    <row r="9158">
      <c r="B9158" s="31"/>
      <c r="G9158" s="272" t="s">
        <v>1099</v>
      </c>
    </row>
    <row r="9159">
      <c r="B9159" s="31"/>
      <c r="G9159" s="272" t="s">
        <v>1099</v>
      </c>
    </row>
    <row r="9160">
      <c r="B9160" s="31"/>
      <c r="G9160" s="272" t="s">
        <v>1099</v>
      </c>
    </row>
    <row r="9161">
      <c r="B9161" s="31"/>
      <c r="G9161" s="272" t="s">
        <v>1099</v>
      </c>
    </row>
    <row r="9162">
      <c r="B9162" s="31"/>
      <c r="G9162" s="272" t="s">
        <v>1099</v>
      </c>
    </row>
    <row r="9163">
      <c r="B9163" s="31"/>
      <c r="G9163" s="272" t="s">
        <v>1099</v>
      </c>
    </row>
    <row r="9164">
      <c r="B9164" s="31"/>
      <c r="G9164" s="272" t="s">
        <v>1099</v>
      </c>
    </row>
    <row r="9165">
      <c r="B9165" s="31"/>
      <c r="G9165" s="272" t="s">
        <v>1099</v>
      </c>
    </row>
    <row r="9166">
      <c r="B9166" s="31"/>
      <c r="G9166" s="272" t="s">
        <v>1099</v>
      </c>
    </row>
    <row r="9167">
      <c r="B9167" s="31"/>
      <c r="G9167" s="272" t="s">
        <v>1099</v>
      </c>
    </row>
    <row r="9168">
      <c r="B9168" s="31"/>
      <c r="G9168" s="272" t="s">
        <v>1099</v>
      </c>
    </row>
    <row r="9169">
      <c r="B9169" s="31"/>
      <c r="G9169" s="272" t="s">
        <v>1099</v>
      </c>
    </row>
    <row r="9170">
      <c r="B9170" s="31"/>
      <c r="G9170" s="272" t="s">
        <v>1099</v>
      </c>
    </row>
    <row r="9171">
      <c r="B9171" s="31"/>
      <c r="G9171" s="272" t="s">
        <v>1099</v>
      </c>
    </row>
    <row r="9172">
      <c r="B9172" s="31"/>
      <c r="G9172" s="272" t="s">
        <v>1099</v>
      </c>
    </row>
    <row r="9173">
      <c r="B9173" s="31"/>
      <c r="G9173" s="272" t="s">
        <v>1099</v>
      </c>
    </row>
    <row r="9174">
      <c r="B9174" s="31"/>
      <c r="G9174" s="272" t="s">
        <v>1099</v>
      </c>
    </row>
    <row r="9175">
      <c r="B9175" s="31"/>
      <c r="G9175" s="272" t="s">
        <v>1099</v>
      </c>
    </row>
    <row r="9176">
      <c r="B9176" s="31"/>
      <c r="G9176" s="272" t="s">
        <v>1099</v>
      </c>
    </row>
    <row r="9177">
      <c r="B9177" s="31"/>
      <c r="G9177" s="272" t="s">
        <v>1099</v>
      </c>
    </row>
    <row r="9178">
      <c r="B9178" s="31"/>
      <c r="G9178" s="272" t="s">
        <v>1099</v>
      </c>
    </row>
    <row r="9179">
      <c r="B9179" s="31"/>
      <c r="G9179" s="272" t="s">
        <v>1099</v>
      </c>
    </row>
    <row r="9180">
      <c r="B9180" s="31"/>
      <c r="G9180" s="272" t="s">
        <v>1099</v>
      </c>
    </row>
    <row r="9181">
      <c r="B9181" s="31"/>
      <c r="G9181" s="272" t="s">
        <v>1099</v>
      </c>
    </row>
    <row r="9182">
      <c r="B9182" s="31"/>
      <c r="G9182" s="272" t="s">
        <v>1099</v>
      </c>
    </row>
    <row r="9183">
      <c r="B9183" s="31"/>
      <c r="G9183" s="272" t="s">
        <v>1099</v>
      </c>
    </row>
    <row r="9184">
      <c r="B9184" s="31"/>
      <c r="G9184" s="272" t="s">
        <v>1099</v>
      </c>
    </row>
    <row r="9185">
      <c r="B9185" s="31"/>
      <c r="G9185" s="272" t="s">
        <v>1099</v>
      </c>
    </row>
    <row r="9186">
      <c r="B9186" s="31"/>
      <c r="G9186" s="272" t="s">
        <v>1099</v>
      </c>
    </row>
    <row r="9187">
      <c r="B9187" s="31"/>
      <c r="G9187" s="272" t="s">
        <v>1099</v>
      </c>
    </row>
    <row r="9188">
      <c r="B9188" s="31"/>
      <c r="G9188" s="272" t="s">
        <v>1099</v>
      </c>
    </row>
    <row r="9189">
      <c r="B9189" s="31"/>
      <c r="G9189" s="272" t="s">
        <v>1099</v>
      </c>
    </row>
    <row r="9190">
      <c r="B9190" s="31"/>
      <c r="G9190" s="272" t="s">
        <v>1099</v>
      </c>
    </row>
    <row r="9191">
      <c r="B9191" s="31"/>
      <c r="G9191" s="272" t="s">
        <v>1099</v>
      </c>
    </row>
    <row r="9192">
      <c r="B9192" s="31"/>
      <c r="G9192" s="272" t="s">
        <v>1099</v>
      </c>
    </row>
    <row r="9193">
      <c r="B9193" s="31"/>
      <c r="G9193" s="272" t="s">
        <v>1099</v>
      </c>
    </row>
    <row r="9194">
      <c r="B9194" s="31"/>
      <c r="G9194" s="272" t="s">
        <v>1099</v>
      </c>
    </row>
    <row r="9195">
      <c r="B9195" s="31"/>
      <c r="G9195" s="272" t="s">
        <v>1099</v>
      </c>
    </row>
    <row r="9196">
      <c r="B9196" s="31"/>
      <c r="G9196" s="272" t="s">
        <v>1099</v>
      </c>
    </row>
    <row r="9197">
      <c r="B9197" s="31"/>
      <c r="G9197" s="272" t="s">
        <v>1099</v>
      </c>
    </row>
    <row r="9198">
      <c r="B9198" s="31"/>
      <c r="G9198" s="272" t="s">
        <v>1099</v>
      </c>
    </row>
    <row r="9199">
      <c r="B9199" s="31"/>
      <c r="G9199" s="272" t="s">
        <v>1099</v>
      </c>
    </row>
    <row r="9200">
      <c r="B9200" s="31"/>
      <c r="G9200" s="272" t="s">
        <v>1099</v>
      </c>
    </row>
    <row r="9201">
      <c r="B9201" s="31"/>
      <c r="G9201" s="272" t="s">
        <v>1099</v>
      </c>
    </row>
    <row r="9202">
      <c r="B9202" s="31"/>
      <c r="G9202" s="272" t="s">
        <v>1099</v>
      </c>
    </row>
    <row r="9203">
      <c r="B9203" s="31"/>
      <c r="G9203" s="272" t="s">
        <v>1099</v>
      </c>
    </row>
    <row r="9204">
      <c r="B9204" s="31"/>
      <c r="G9204" s="272" t="s">
        <v>1099</v>
      </c>
    </row>
    <row r="9205">
      <c r="B9205" s="31"/>
      <c r="G9205" s="272" t="s">
        <v>1099</v>
      </c>
    </row>
    <row r="9206">
      <c r="B9206" s="31"/>
      <c r="G9206" s="272" t="s">
        <v>1099</v>
      </c>
    </row>
    <row r="9207">
      <c r="B9207" s="31"/>
      <c r="G9207" s="272" t="s">
        <v>1099</v>
      </c>
    </row>
    <row r="9208">
      <c r="B9208" s="31"/>
      <c r="G9208" s="272" t="s">
        <v>1099</v>
      </c>
    </row>
    <row r="9209">
      <c r="B9209" s="31"/>
      <c r="G9209" s="272" t="s">
        <v>1099</v>
      </c>
    </row>
    <row r="9210">
      <c r="B9210" s="31"/>
      <c r="G9210" s="272" t="s">
        <v>1099</v>
      </c>
    </row>
    <row r="9211">
      <c r="B9211" s="31"/>
      <c r="G9211" s="272" t="s">
        <v>1099</v>
      </c>
    </row>
    <row r="9212">
      <c r="B9212" s="31"/>
      <c r="G9212" s="272" t="s">
        <v>1099</v>
      </c>
    </row>
    <row r="9213">
      <c r="B9213" s="31"/>
      <c r="G9213" s="272" t="s">
        <v>1099</v>
      </c>
    </row>
    <row r="9214">
      <c r="B9214" s="31"/>
      <c r="G9214" s="272" t="s">
        <v>1099</v>
      </c>
    </row>
    <row r="9215">
      <c r="B9215" s="31"/>
      <c r="G9215" s="272" t="s">
        <v>1099</v>
      </c>
    </row>
    <row r="9216">
      <c r="B9216" s="31"/>
      <c r="G9216" s="272" t="s">
        <v>1099</v>
      </c>
    </row>
    <row r="9217">
      <c r="B9217" s="31"/>
      <c r="G9217" s="272" t="s">
        <v>1099</v>
      </c>
    </row>
    <row r="9218">
      <c r="B9218" s="31"/>
      <c r="G9218" s="272" t="s">
        <v>1099</v>
      </c>
    </row>
    <row r="9219">
      <c r="B9219" s="31"/>
      <c r="G9219" s="272" t="s">
        <v>1099</v>
      </c>
    </row>
    <row r="9220">
      <c r="B9220" s="31"/>
      <c r="G9220" s="272" t="s">
        <v>1099</v>
      </c>
    </row>
    <row r="9221">
      <c r="B9221" s="31"/>
      <c r="G9221" s="272" t="s">
        <v>1099</v>
      </c>
    </row>
    <row r="9222">
      <c r="B9222" s="31"/>
      <c r="G9222" s="272" t="s">
        <v>1099</v>
      </c>
    </row>
    <row r="9223">
      <c r="B9223" s="31"/>
      <c r="G9223" s="272" t="s">
        <v>1099</v>
      </c>
    </row>
    <row r="9224">
      <c r="B9224" s="31"/>
      <c r="G9224" s="272" t="s">
        <v>1099</v>
      </c>
    </row>
    <row r="9225">
      <c r="B9225" s="31"/>
      <c r="G9225" s="272" t="s">
        <v>1099</v>
      </c>
    </row>
    <row r="9226">
      <c r="B9226" s="31"/>
      <c r="G9226" s="272" t="s">
        <v>1099</v>
      </c>
    </row>
    <row r="9227">
      <c r="B9227" s="31"/>
      <c r="G9227" s="272" t="s">
        <v>1099</v>
      </c>
    </row>
    <row r="9228">
      <c r="B9228" s="31"/>
      <c r="G9228" s="272" t="s">
        <v>1099</v>
      </c>
    </row>
    <row r="9229">
      <c r="B9229" s="31"/>
      <c r="G9229" s="272" t="s">
        <v>1099</v>
      </c>
    </row>
    <row r="9230">
      <c r="B9230" s="31"/>
      <c r="G9230" s="272" t="s">
        <v>1099</v>
      </c>
    </row>
    <row r="9231">
      <c r="B9231" s="31"/>
      <c r="G9231" s="272" t="s">
        <v>1099</v>
      </c>
    </row>
    <row r="9232">
      <c r="B9232" s="31"/>
      <c r="G9232" s="272" t="s">
        <v>1099</v>
      </c>
    </row>
    <row r="9233">
      <c r="B9233" s="31"/>
      <c r="G9233" s="272" t="s">
        <v>1099</v>
      </c>
    </row>
    <row r="9234">
      <c r="B9234" s="31"/>
      <c r="G9234" s="272" t="s">
        <v>1099</v>
      </c>
    </row>
    <row r="9235">
      <c r="B9235" s="31"/>
      <c r="G9235" s="272" t="s">
        <v>1099</v>
      </c>
    </row>
    <row r="9236">
      <c r="B9236" s="31"/>
      <c r="G9236" s="272" t="s">
        <v>1099</v>
      </c>
    </row>
    <row r="9237">
      <c r="B9237" s="31"/>
      <c r="G9237" s="272" t="s">
        <v>1099</v>
      </c>
    </row>
    <row r="9238">
      <c r="B9238" s="31"/>
      <c r="G9238" s="272" t="s">
        <v>1099</v>
      </c>
    </row>
    <row r="9239">
      <c r="B9239" s="31"/>
      <c r="G9239" s="272" t="s">
        <v>1099</v>
      </c>
    </row>
    <row r="9240">
      <c r="B9240" s="31"/>
      <c r="G9240" s="272" t="s">
        <v>1099</v>
      </c>
    </row>
    <row r="9241">
      <c r="B9241" s="31"/>
      <c r="G9241" s="272" t="s">
        <v>1099</v>
      </c>
    </row>
    <row r="9242">
      <c r="B9242" s="31"/>
      <c r="G9242" s="272" t="s">
        <v>1099</v>
      </c>
    </row>
    <row r="9243">
      <c r="B9243" s="31"/>
      <c r="G9243" s="272" t="s">
        <v>1099</v>
      </c>
    </row>
    <row r="9244">
      <c r="B9244" s="31"/>
      <c r="G9244" s="272" t="s">
        <v>1099</v>
      </c>
    </row>
    <row r="9245">
      <c r="B9245" s="31"/>
      <c r="G9245" s="272" t="s">
        <v>1099</v>
      </c>
    </row>
    <row r="9246">
      <c r="B9246" s="31"/>
      <c r="G9246" s="272" t="s">
        <v>1099</v>
      </c>
    </row>
    <row r="9247">
      <c r="B9247" s="31"/>
      <c r="G9247" s="272" t="s">
        <v>1099</v>
      </c>
    </row>
    <row r="9248">
      <c r="B9248" s="31"/>
      <c r="G9248" s="272" t="s">
        <v>1099</v>
      </c>
    </row>
    <row r="9249">
      <c r="B9249" s="31"/>
      <c r="G9249" s="272" t="s">
        <v>1099</v>
      </c>
    </row>
    <row r="9250">
      <c r="B9250" s="31"/>
      <c r="G9250" s="272" t="s">
        <v>1099</v>
      </c>
    </row>
    <row r="9251">
      <c r="B9251" s="31"/>
      <c r="G9251" s="272" t="s">
        <v>1099</v>
      </c>
    </row>
    <row r="9252">
      <c r="B9252" s="31"/>
      <c r="G9252" s="272" t="s">
        <v>1099</v>
      </c>
    </row>
    <row r="9253">
      <c r="B9253" s="31"/>
      <c r="G9253" s="272" t="s">
        <v>1099</v>
      </c>
    </row>
    <row r="9254">
      <c r="B9254" s="31"/>
      <c r="G9254" s="272" t="s">
        <v>1099</v>
      </c>
    </row>
    <row r="9255">
      <c r="B9255" s="31"/>
      <c r="G9255" s="272" t="s">
        <v>1099</v>
      </c>
    </row>
    <row r="9256">
      <c r="B9256" s="31"/>
      <c r="G9256" s="272" t="s">
        <v>1099</v>
      </c>
    </row>
    <row r="9257">
      <c r="B9257" s="31"/>
      <c r="G9257" s="272" t="s">
        <v>1099</v>
      </c>
    </row>
    <row r="9258">
      <c r="B9258" s="31"/>
      <c r="G9258" s="272" t="s">
        <v>1099</v>
      </c>
    </row>
    <row r="9259">
      <c r="B9259" s="31"/>
      <c r="G9259" s="272" t="s">
        <v>1099</v>
      </c>
    </row>
    <row r="9260">
      <c r="B9260" s="31"/>
      <c r="G9260" s="272" t="s">
        <v>1099</v>
      </c>
    </row>
    <row r="9261">
      <c r="B9261" s="31"/>
      <c r="G9261" s="272" t="s">
        <v>1099</v>
      </c>
    </row>
    <row r="9262">
      <c r="B9262" s="31"/>
      <c r="G9262" s="272" t="s">
        <v>1099</v>
      </c>
    </row>
    <row r="9263">
      <c r="B9263" s="31"/>
      <c r="G9263" s="272" t="s">
        <v>1099</v>
      </c>
    </row>
    <row r="9264">
      <c r="B9264" s="31"/>
      <c r="G9264" s="272" t="s">
        <v>1099</v>
      </c>
    </row>
    <row r="9265">
      <c r="B9265" s="31"/>
      <c r="G9265" s="272" t="s">
        <v>1099</v>
      </c>
    </row>
    <row r="9266">
      <c r="B9266" s="31"/>
      <c r="G9266" s="272" t="s">
        <v>1099</v>
      </c>
    </row>
    <row r="9267">
      <c r="B9267" s="31"/>
      <c r="G9267" s="272" t="s">
        <v>1099</v>
      </c>
    </row>
    <row r="9268">
      <c r="B9268" s="31"/>
      <c r="G9268" s="272" t="s">
        <v>1099</v>
      </c>
    </row>
    <row r="9269">
      <c r="B9269" s="31"/>
      <c r="G9269" s="272" t="s">
        <v>1099</v>
      </c>
    </row>
    <row r="9270">
      <c r="B9270" s="31"/>
      <c r="G9270" s="272" t="s">
        <v>1099</v>
      </c>
    </row>
    <row r="9271">
      <c r="B9271" s="31"/>
      <c r="G9271" s="272" t="s">
        <v>1099</v>
      </c>
    </row>
    <row r="9272">
      <c r="B9272" s="31"/>
      <c r="G9272" s="272" t="s">
        <v>1099</v>
      </c>
    </row>
    <row r="9273">
      <c r="B9273" s="31"/>
      <c r="G9273" s="272" t="s">
        <v>1099</v>
      </c>
    </row>
    <row r="9274">
      <c r="B9274" s="31"/>
      <c r="G9274" s="272" t="s">
        <v>1099</v>
      </c>
    </row>
    <row r="9275">
      <c r="B9275" s="31"/>
      <c r="G9275" s="272" t="s">
        <v>1099</v>
      </c>
    </row>
    <row r="9276">
      <c r="B9276" s="31"/>
      <c r="G9276" s="272" t="s">
        <v>1099</v>
      </c>
    </row>
    <row r="9277">
      <c r="B9277" s="31"/>
      <c r="G9277" s="272" t="s">
        <v>1099</v>
      </c>
    </row>
    <row r="9278">
      <c r="B9278" s="31"/>
      <c r="G9278" s="272" t="s">
        <v>1099</v>
      </c>
    </row>
    <row r="9279">
      <c r="B9279" s="31"/>
      <c r="G9279" s="272" t="s">
        <v>1099</v>
      </c>
    </row>
    <row r="9280">
      <c r="B9280" s="31"/>
      <c r="G9280" s="272" t="s">
        <v>1099</v>
      </c>
    </row>
    <row r="9281">
      <c r="B9281" s="31"/>
      <c r="G9281" s="272" t="s">
        <v>1099</v>
      </c>
    </row>
    <row r="9282">
      <c r="B9282" s="31"/>
      <c r="G9282" s="272" t="s">
        <v>1099</v>
      </c>
    </row>
    <row r="9283">
      <c r="B9283" s="31"/>
      <c r="G9283" s="272" t="s">
        <v>1099</v>
      </c>
    </row>
    <row r="9284">
      <c r="B9284" s="31"/>
      <c r="G9284" s="272" t="s">
        <v>1099</v>
      </c>
    </row>
    <row r="9285">
      <c r="B9285" s="31"/>
      <c r="G9285" s="272" t="s">
        <v>1099</v>
      </c>
    </row>
    <row r="9286">
      <c r="B9286" s="31"/>
      <c r="G9286" s="272" t="s">
        <v>1099</v>
      </c>
    </row>
    <row r="9287">
      <c r="B9287" s="31"/>
      <c r="G9287" s="272" t="s">
        <v>1099</v>
      </c>
    </row>
    <row r="9288">
      <c r="B9288" s="31"/>
      <c r="G9288" s="272" t="s">
        <v>1099</v>
      </c>
    </row>
    <row r="9289">
      <c r="B9289" s="31"/>
      <c r="G9289" s="272" t="s">
        <v>1099</v>
      </c>
    </row>
    <row r="9290">
      <c r="B9290" s="31"/>
      <c r="G9290" s="272" t="s">
        <v>1099</v>
      </c>
    </row>
    <row r="9291">
      <c r="B9291" s="31"/>
      <c r="G9291" s="272" t="s">
        <v>1099</v>
      </c>
    </row>
    <row r="9292">
      <c r="B9292" s="31"/>
      <c r="G9292" s="272" t="s">
        <v>1099</v>
      </c>
    </row>
    <row r="9293">
      <c r="B9293" s="31"/>
      <c r="G9293" s="272" t="s">
        <v>1099</v>
      </c>
    </row>
    <row r="9294">
      <c r="B9294" s="31"/>
      <c r="G9294" s="272" t="s">
        <v>1099</v>
      </c>
    </row>
    <row r="9295">
      <c r="B9295" s="31"/>
      <c r="G9295" s="272" t="s">
        <v>1099</v>
      </c>
    </row>
    <row r="9296">
      <c r="B9296" s="31"/>
      <c r="G9296" s="272" t="s">
        <v>1099</v>
      </c>
    </row>
    <row r="9297">
      <c r="B9297" s="31"/>
      <c r="G9297" s="272" t="s">
        <v>1099</v>
      </c>
    </row>
    <row r="9298">
      <c r="B9298" s="31"/>
      <c r="G9298" s="272" t="s">
        <v>1099</v>
      </c>
    </row>
    <row r="9299">
      <c r="B9299" s="31"/>
      <c r="G9299" s="272" t="s">
        <v>1099</v>
      </c>
    </row>
    <row r="9300">
      <c r="B9300" s="31"/>
      <c r="G9300" s="272" t="s">
        <v>1099</v>
      </c>
    </row>
    <row r="9301">
      <c r="B9301" s="31"/>
      <c r="G9301" s="272" t="s">
        <v>1099</v>
      </c>
    </row>
    <row r="9302">
      <c r="B9302" s="31"/>
      <c r="G9302" s="272" t="s">
        <v>1099</v>
      </c>
    </row>
    <row r="9303">
      <c r="B9303" s="31"/>
      <c r="G9303" s="272" t="s">
        <v>1099</v>
      </c>
    </row>
    <row r="9304">
      <c r="B9304" s="31"/>
      <c r="G9304" s="272" t="s">
        <v>1099</v>
      </c>
    </row>
    <row r="9305">
      <c r="B9305" s="31"/>
      <c r="G9305" s="272" t="s">
        <v>1099</v>
      </c>
    </row>
    <row r="9306">
      <c r="B9306" s="31"/>
      <c r="G9306" s="272" t="s">
        <v>1099</v>
      </c>
    </row>
    <row r="9307">
      <c r="B9307" s="31"/>
      <c r="G9307" s="272" t="s">
        <v>1099</v>
      </c>
    </row>
    <row r="9308">
      <c r="B9308" s="31"/>
      <c r="G9308" s="272" t="s">
        <v>1099</v>
      </c>
    </row>
    <row r="9309">
      <c r="B9309" s="31"/>
      <c r="G9309" s="272" t="s">
        <v>1099</v>
      </c>
    </row>
    <row r="9310">
      <c r="B9310" s="31"/>
      <c r="G9310" s="272" t="s">
        <v>1099</v>
      </c>
    </row>
    <row r="9311">
      <c r="B9311" s="31"/>
      <c r="G9311" s="272" t="s">
        <v>1099</v>
      </c>
    </row>
    <row r="9312">
      <c r="B9312" s="31"/>
      <c r="G9312" s="272" t="s">
        <v>1099</v>
      </c>
    </row>
    <row r="9313">
      <c r="B9313" s="31"/>
      <c r="G9313" s="272" t="s">
        <v>1099</v>
      </c>
    </row>
    <row r="9314">
      <c r="B9314" s="31"/>
      <c r="G9314" s="272" t="s">
        <v>1099</v>
      </c>
    </row>
    <row r="9315">
      <c r="B9315" s="31"/>
      <c r="G9315" s="272" t="s">
        <v>1099</v>
      </c>
    </row>
    <row r="9316">
      <c r="B9316" s="31"/>
      <c r="G9316" s="272" t="s">
        <v>1099</v>
      </c>
    </row>
    <row r="9317">
      <c r="B9317" s="31"/>
      <c r="G9317" s="272" t="s">
        <v>1099</v>
      </c>
    </row>
    <row r="9318">
      <c r="B9318" s="31"/>
      <c r="G9318" s="272" t="s">
        <v>1099</v>
      </c>
    </row>
    <row r="9319">
      <c r="B9319" s="31"/>
      <c r="G9319" s="272" t="s">
        <v>1099</v>
      </c>
    </row>
    <row r="9320">
      <c r="B9320" s="31"/>
      <c r="G9320" s="272" t="s">
        <v>1099</v>
      </c>
    </row>
    <row r="9321">
      <c r="B9321" s="31"/>
      <c r="G9321" s="272" t="s">
        <v>1099</v>
      </c>
    </row>
    <row r="9322">
      <c r="B9322" s="31"/>
      <c r="G9322" s="272" t="s">
        <v>1099</v>
      </c>
    </row>
    <row r="9323">
      <c r="B9323" s="31"/>
      <c r="G9323" s="272" t="s">
        <v>1099</v>
      </c>
    </row>
    <row r="9324">
      <c r="B9324" s="31"/>
      <c r="G9324" s="272" t="s">
        <v>1099</v>
      </c>
    </row>
    <row r="9325">
      <c r="B9325" s="31"/>
      <c r="G9325" s="272" t="s">
        <v>1099</v>
      </c>
    </row>
    <row r="9326">
      <c r="B9326" s="31"/>
      <c r="G9326" s="272" t="s">
        <v>1099</v>
      </c>
    </row>
    <row r="9327">
      <c r="B9327" s="31"/>
      <c r="G9327" s="272" t="s">
        <v>1099</v>
      </c>
    </row>
    <row r="9328">
      <c r="B9328" s="31"/>
      <c r="G9328" s="272" t="s">
        <v>1099</v>
      </c>
    </row>
    <row r="9329">
      <c r="B9329" s="31"/>
      <c r="G9329" s="272" t="s">
        <v>1099</v>
      </c>
    </row>
    <row r="9330">
      <c r="B9330" s="31"/>
      <c r="G9330" s="272" t="s">
        <v>1099</v>
      </c>
    </row>
    <row r="9331">
      <c r="B9331" s="31"/>
      <c r="G9331" s="272" t="s">
        <v>1099</v>
      </c>
    </row>
    <row r="9332">
      <c r="B9332" s="31"/>
      <c r="G9332" s="272" t="s">
        <v>1099</v>
      </c>
    </row>
    <row r="9333">
      <c r="B9333" s="31"/>
      <c r="G9333" s="272" t="s">
        <v>1099</v>
      </c>
    </row>
    <row r="9334">
      <c r="B9334" s="31"/>
      <c r="G9334" s="272" t="s">
        <v>1099</v>
      </c>
    </row>
    <row r="9335">
      <c r="B9335" s="31"/>
      <c r="G9335" s="272" t="s">
        <v>1099</v>
      </c>
    </row>
    <row r="9336">
      <c r="B9336" s="31"/>
      <c r="G9336" s="272" t="s">
        <v>1099</v>
      </c>
    </row>
    <row r="9337">
      <c r="B9337" s="31"/>
      <c r="G9337" s="272" t="s">
        <v>1099</v>
      </c>
    </row>
    <row r="9338">
      <c r="B9338" s="31"/>
      <c r="G9338" s="272" t="s">
        <v>1099</v>
      </c>
    </row>
    <row r="9339">
      <c r="B9339" s="31"/>
      <c r="G9339" s="272" t="s">
        <v>1099</v>
      </c>
    </row>
    <row r="9340">
      <c r="B9340" s="31"/>
      <c r="G9340" s="272" t="s">
        <v>1099</v>
      </c>
    </row>
    <row r="9341">
      <c r="B9341" s="31"/>
      <c r="G9341" s="272" t="s">
        <v>1099</v>
      </c>
    </row>
    <row r="9342">
      <c r="B9342" s="31"/>
      <c r="G9342" s="272" t="s">
        <v>1099</v>
      </c>
    </row>
    <row r="9343">
      <c r="B9343" s="31"/>
      <c r="G9343" s="272" t="s">
        <v>1099</v>
      </c>
    </row>
    <row r="9344">
      <c r="B9344" s="31"/>
      <c r="G9344" s="272" t="s">
        <v>1099</v>
      </c>
    </row>
    <row r="9345">
      <c r="B9345" s="31"/>
      <c r="G9345" s="272" t="s">
        <v>1099</v>
      </c>
    </row>
    <row r="9346">
      <c r="B9346" s="31"/>
      <c r="G9346" s="272" t="s">
        <v>1099</v>
      </c>
    </row>
    <row r="9347">
      <c r="B9347" s="31"/>
      <c r="G9347" s="272" t="s">
        <v>1099</v>
      </c>
    </row>
    <row r="9348">
      <c r="B9348" s="31"/>
      <c r="G9348" s="272" t="s">
        <v>1099</v>
      </c>
    </row>
    <row r="9349">
      <c r="B9349" s="31"/>
      <c r="G9349" s="272" t="s">
        <v>1099</v>
      </c>
    </row>
    <row r="9350">
      <c r="B9350" s="31"/>
      <c r="G9350" s="272" t="s">
        <v>1099</v>
      </c>
    </row>
    <row r="9351">
      <c r="B9351" s="31"/>
      <c r="G9351" s="272" t="s">
        <v>1099</v>
      </c>
    </row>
    <row r="9352">
      <c r="B9352" s="31"/>
      <c r="G9352" s="272" t="s">
        <v>1099</v>
      </c>
    </row>
    <row r="9353">
      <c r="B9353" s="31"/>
      <c r="G9353" s="272" t="s">
        <v>1099</v>
      </c>
    </row>
    <row r="9354">
      <c r="B9354" s="31"/>
      <c r="G9354" s="272" t="s">
        <v>1099</v>
      </c>
    </row>
    <row r="9355">
      <c r="B9355" s="31"/>
      <c r="G9355" s="272" t="s">
        <v>1099</v>
      </c>
    </row>
    <row r="9356">
      <c r="B9356" s="31"/>
      <c r="G9356" s="272" t="s">
        <v>1099</v>
      </c>
    </row>
    <row r="9357">
      <c r="B9357" s="31"/>
      <c r="G9357" s="272" t="s">
        <v>1099</v>
      </c>
    </row>
    <row r="9358">
      <c r="B9358" s="31"/>
      <c r="G9358" s="272" t="s">
        <v>1099</v>
      </c>
    </row>
    <row r="9359">
      <c r="B9359" s="31"/>
      <c r="G9359" s="272" t="s">
        <v>1099</v>
      </c>
    </row>
    <row r="9360">
      <c r="B9360" s="31"/>
      <c r="G9360" s="272" t="s">
        <v>1099</v>
      </c>
    </row>
    <row r="9361">
      <c r="B9361" s="31"/>
      <c r="G9361" s="272" t="s">
        <v>1099</v>
      </c>
    </row>
    <row r="9362">
      <c r="B9362" s="31"/>
      <c r="G9362" s="272" t="s">
        <v>1099</v>
      </c>
    </row>
    <row r="9363">
      <c r="B9363" s="31"/>
      <c r="G9363" s="272" t="s">
        <v>1099</v>
      </c>
    </row>
    <row r="9364">
      <c r="B9364" s="31"/>
      <c r="G9364" s="272" t="s">
        <v>1099</v>
      </c>
    </row>
    <row r="9365">
      <c r="B9365" s="31"/>
      <c r="G9365" s="272" t="s">
        <v>1099</v>
      </c>
    </row>
    <row r="9366">
      <c r="B9366" s="31"/>
      <c r="G9366" s="272" t="s">
        <v>1099</v>
      </c>
    </row>
    <row r="9367">
      <c r="B9367" s="31"/>
      <c r="G9367" s="272" t="s">
        <v>1099</v>
      </c>
    </row>
    <row r="9368">
      <c r="B9368" s="31"/>
      <c r="G9368" s="272" t="s">
        <v>1099</v>
      </c>
    </row>
    <row r="9369">
      <c r="B9369" s="31"/>
      <c r="G9369" s="272" t="s">
        <v>1099</v>
      </c>
    </row>
    <row r="9370">
      <c r="B9370" s="31"/>
      <c r="G9370" s="272" t="s">
        <v>1099</v>
      </c>
    </row>
    <row r="9371">
      <c r="B9371" s="31"/>
      <c r="G9371" s="272" t="s">
        <v>1099</v>
      </c>
    </row>
    <row r="9372">
      <c r="B9372" s="31"/>
      <c r="G9372" s="272" t="s">
        <v>1099</v>
      </c>
    </row>
    <row r="9373">
      <c r="B9373" s="31"/>
      <c r="G9373" s="272" t="s">
        <v>1099</v>
      </c>
    </row>
    <row r="9374">
      <c r="B9374" s="31"/>
      <c r="G9374" s="272" t="s">
        <v>1099</v>
      </c>
    </row>
    <row r="9375">
      <c r="B9375" s="31"/>
      <c r="G9375" s="272" t="s">
        <v>1099</v>
      </c>
    </row>
    <row r="9376">
      <c r="B9376" s="31"/>
      <c r="G9376" s="272" t="s">
        <v>1099</v>
      </c>
    </row>
    <row r="9377">
      <c r="B9377" s="31"/>
      <c r="G9377" s="272" t="s">
        <v>1099</v>
      </c>
    </row>
    <row r="9378">
      <c r="B9378" s="31"/>
      <c r="G9378" s="272" t="s">
        <v>1099</v>
      </c>
    </row>
    <row r="9379">
      <c r="B9379" s="31"/>
      <c r="G9379" s="272" t="s">
        <v>1099</v>
      </c>
    </row>
    <row r="9380">
      <c r="B9380" s="31"/>
      <c r="G9380" s="272" t="s">
        <v>1099</v>
      </c>
    </row>
    <row r="9381">
      <c r="B9381" s="31"/>
      <c r="G9381" s="272" t="s">
        <v>1099</v>
      </c>
    </row>
    <row r="9382">
      <c r="B9382" s="31"/>
      <c r="G9382" s="272" t="s">
        <v>1099</v>
      </c>
    </row>
    <row r="9383">
      <c r="B9383" s="31"/>
      <c r="G9383" s="272" t="s">
        <v>1099</v>
      </c>
    </row>
    <row r="9384">
      <c r="B9384" s="31"/>
      <c r="G9384" s="272" t="s">
        <v>1099</v>
      </c>
    </row>
    <row r="9385">
      <c r="B9385" s="31"/>
      <c r="G9385" s="272" t="s">
        <v>1099</v>
      </c>
    </row>
    <row r="9386">
      <c r="B9386" s="31"/>
      <c r="G9386" s="272" t="s">
        <v>1099</v>
      </c>
    </row>
    <row r="9387">
      <c r="B9387" s="31"/>
      <c r="G9387" s="272" t="s">
        <v>1099</v>
      </c>
    </row>
    <row r="9388">
      <c r="B9388" s="31"/>
      <c r="G9388" s="272" t="s">
        <v>1099</v>
      </c>
    </row>
    <row r="9389">
      <c r="B9389" s="31"/>
      <c r="G9389" s="272" t="s">
        <v>1099</v>
      </c>
    </row>
    <row r="9390">
      <c r="B9390" s="31"/>
      <c r="G9390" s="272" t="s">
        <v>1099</v>
      </c>
    </row>
    <row r="9391">
      <c r="B9391" s="31"/>
      <c r="G9391" s="272" t="s">
        <v>1099</v>
      </c>
    </row>
    <row r="9392">
      <c r="B9392" s="31"/>
      <c r="G9392" s="272" t="s">
        <v>1099</v>
      </c>
    </row>
    <row r="9393">
      <c r="B9393" s="31"/>
      <c r="G9393" s="272" t="s">
        <v>1099</v>
      </c>
    </row>
    <row r="9394">
      <c r="B9394" s="31"/>
      <c r="G9394" s="272" t="s">
        <v>1099</v>
      </c>
    </row>
    <row r="9395">
      <c r="B9395" s="31"/>
      <c r="G9395" s="272" t="s">
        <v>1099</v>
      </c>
    </row>
    <row r="9396">
      <c r="B9396" s="31"/>
      <c r="G9396" s="272" t="s">
        <v>1099</v>
      </c>
    </row>
    <row r="9397">
      <c r="B9397" s="31"/>
      <c r="G9397" s="272" t="s">
        <v>1099</v>
      </c>
    </row>
    <row r="9398">
      <c r="B9398" s="31"/>
      <c r="G9398" s="272" t="s">
        <v>1099</v>
      </c>
    </row>
    <row r="9399">
      <c r="B9399" s="31"/>
      <c r="G9399" s="272" t="s">
        <v>1099</v>
      </c>
    </row>
    <row r="9400">
      <c r="B9400" s="31"/>
      <c r="G9400" s="272" t="s">
        <v>1099</v>
      </c>
    </row>
    <row r="9401">
      <c r="B9401" s="31"/>
      <c r="G9401" s="272" t="s">
        <v>1099</v>
      </c>
    </row>
    <row r="9402">
      <c r="B9402" s="31"/>
      <c r="G9402" s="272" t="s">
        <v>1099</v>
      </c>
    </row>
    <row r="9403">
      <c r="B9403" s="31"/>
      <c r="G9403" s="272" t="s">
        <v>1099</v>
      </c>
    </row>
    <row r="9404">
      <c r="B9404" s="31"/>
      <c r="G9404" s="272" t="s">
        <v>1099</v>
      </c>
    </row>
    <row r="9405">
      <c r="B9405" s="31"/>
      <c r="G9405" s="272" t="s">
        <v>1099</v>
      </c>
    </row>
    <row r="9406">
      <c r="B9406" s="31"/>
      <c r="G9406" s="272" t="s">
        <v>1099</v>
      </c>
    </row>
    <row r="9407">
      <c r="B9407" s="31"/>
      <c r="G9407" s="272" t="s">
        <v>1099</v>
      </c>
    </row>
    <row r="9408">
      <c r="B9408" s="31"/>
      <c r="G9408" s="272" t="s">
        <v>1099</v>
      </c>
    </row>
    <row r="9409">
      <c r="B9409" s="31"/>
      <c r="G9409" s="272" t="s">
        <v>1099</v>
      </c>
    </row>
    <row r="9410">
      <c r="B9410" s="31"/>
      <c r="G9410" s="272" t="s">
        <v>1099</v>
      </c>
    </row>
    <row r="9411">
      <c r="B9411" s="31"/>
      <c r="G9411" s="272" t="s">
        <v>1099</v>
      </c>
    </row>
    <row r="9412">
      <c r="B9412" s="31"/>
      <c r="G9412" s="272" t="s">
        <v>1099</v>
      </c>
    </row>
    <row r="9413">
      <c r="B9413" s="31"/>
      <c r="G9413" s="272" t="s">
        <v>1099</v>
      </c>
    </row>
    <row r="9414">
      <c r="B9414" s="31"/>
      <c r="G9414" s="272" t="s">
        <v>1099</v>
      </c>
    </row>
    <row r="9415">
      <c r="B9415" s="31"/>
      <c r="G9415" s="272" t="s">
        <v>1099</v>
      </c>
    </row>
    <row r="9416">
      <c r="B9416" s="31"/>
      <c r="G9416" s="272" t="s">
        <v>1099</v>
      </c>
    </row>
    <row r="9417">
      <c r="B9417" s="31"/>
      <c r="G9417" s="272" t="s">
        <v>1099</v>
      </c>
    </row>
    <row r="9418">
      <c r="B9418" s="31"/>
      <c r="G9418" s="272" t="s">
        <v>1099</v>
      </c>
    </row>
    <row r="9419">
      <c r="B9419" s="31"/>
      <c r="G9419" s="272" t="s">
        <v>1099</v>
      </c>
    </row>
    <row r="9420">
      <c r="B9420" s="31"/>
      <c r="G9420" s="272" t="s">
        <v>1099</v>
      </c>
    </row>
    <row r="9421">
      <c r="B9421" s="31"/>
      <c r="G9421" s="272" t="s">
        <v>1099</v>
      </c>
    </row>
    <row r="9422">
      <c r="B9422" s="31"/>
      <c r="G9422" s="272" t="s">
        <v>1099</v>
      </c>
    </row>
    <row r="9423">
      <c r="B9423" s="31"/>
      <c r="G9423" s="272" t="s">
        <v>1099</v>
      </c>
    </row>
    <row r="9424">
      <c r="B9424" s="31"/>
      <c r="G9424" s="272" t="s">
        <v>1099</v>
      </c>
    </row>
    <row r="9425">
      <c r="B9425" s="31"/>
      <c r="G9425" s="272" t="s">
        <v>1099</v>
      </c>
    </row>
    <row r="9426">
      <c r="B9426" s="31"/>
      <c r="G9426" s="272" t="s">
        <v>1099</v>
      </c>
    </row>
    <row r="9427">
      <c r="B9427" s="31"/>
      <c r="G9427" s="272" t="s">
        <v>1099</v>
      </c>
    </row>
    <row r="9428">
      <c r="B9428" s="31"/>
      <c r="G9428" s="272" t="s">
        <v>1099</v>
      </c>
    </row>
    <row r="9429">
      <c r="B9429" s="31"/>
      <c r="G9429" s="272" t="s">
        <v>1099</v>
      </c>
    </row>
    <row r="9430">
      <c r="B9430" s="31"/>
      <c r="G9430" s="272" t="s">
        <v>1099</v>
      </c>
    </row>
    <row r="9431">
      <c r="B9431" s="31"/>
      <c r="G9431" s="272" t="s">
        <v>1099</v>
      </c>
    </row>
    <row r="9432">
      <c r="B9432" s="31"/>
      <c r="G9432" s="272" t="s">
        <v>1099</v>
      </c>
    </row>
    <row r="9433">
      <c r="B9433" s="31"/>
      <c r="G9433" s="272" t="s">
        <v>1099</v>
      </c>
    </row>
    <row r="9434">
      <c r="B9434" s="31"/>
      <c r="G9434" s="272" t="s">
        <v>1099</v>
      </c>
    </row>
    <row r="9435">
      <c r="B9435" s="31"/>
      <c r="G9435" s="272" t="s">
        <v>1099</v>
      </c>
    </row>
    <row r="9436">
      <c r="B9436" s="31"/>
      <c r="G9436" s="272" t="s">
        <v>1099</v>
      </c>
    </row>
    <row r="9437">
      <c r="B9437" s="31"/>
      <c r="G9437" s="272" t="s">
        <v>1099</v>
      </c>
    </row>
    <row r="9438">
      <c r="B9438" s="31"/>
      <c r="G9438" s="272" t="s">
        <v>1099</v>
      </c>
    </row>
    <row r="9439">
      <c r="B9439" s="31"/>
      <c r="G9439" s="272" t="s">
        <v>1099</v>
      </c>
    </row>
    <row r="9440">
      <c r="B9440" s="31"/>
      <c r="G9440" s="272" t="s">
        <v>1099</v>
      </c>
    </row>
    <row r="9441">
      <c r="B9441" s="31"/>
      <c r="G9441" s="272" t="s">
        <v>1099</v>
      </c>
    </row>
    <row r="9442">
      <c r="B9442" s="31"/>
      <c r="G9442" s="272" t="s">
        <v>1099</v>
      </c>
    </row>
    <row r="9443">
      <c r="B9443" s="31"/>
      <c r="G9443" s="272" t="s">
        <v>1099</v>
      </c>
    </row>
    <row r="9444">
      <c r="B9444" s="31"/>
      <c r="G9444" s="272" t="s">
        <v>1099</v>
      </c>
    </row>
    <row r="9445">
      <c r="B9445" s="31"/>
      <c r="G9445" s="272" t="s">
        <v>1099</v>
      </c>
    </row>
    <row r="9446">
      <c r="B9446" s="31"/>
      <c r="G9446" s="272" t="s">
        <v>1099</v>
      </c>
    </row>
    <row r="9447">
      <c r="B9447" s="31"/>
      <c r="G9447" s="272" t="s">
        <v>1099</v>
      </c>
    </row>
    <row r="9448">
      <c r="B9448" s="31"/>
      <c r="G9448" s="272" t="s">
        <v>1099</v>
      </c>
    </row>
    <row r="9449">
      <c r="B9449" s="31"/>
      <c r="G9449" s="272" t="s">
        <v>1099</v>
      </c>
    </row>
    <row r="9450">
      <c r="B9450" s="31"/>
      <c r="G9450" s="272" t="s">
        <v>1099</v>
      </c>
    </row>
    <row r="9451">
      <c r="B9451" s="31"/>
      <c r="G9451" s="272" t="s">
        <v>1099</v>
      </c>
    </row>
    <row r="9452">
      <c r="B9452" s="31"/>
      <c r="G9452" s="272" t="s">
        <v>1099</v>
      </c>
    </row>
    <row r="9453">
      <c r="B9453" s="31"/>
      <c r="G9453" s="272" t="s">
        <v>1099</v>
      </c>
    </row>
    <row r="9454">
      <c r="B9454" s="31"/>
      <c r="G9454" s="272" t="s">
        <v>1099</v>
      </c>
    </row>
    <row r="9455">
      <c r="B9455" s="31"/>
      <c r="G9455" s="272" t="s">
        <v>1099</v>
      </c>
    </row>
    <row r="9456">
      <c r="B9456" s="31"/>
      <c r="G9456" s="272" t="s">
        <v>1099</v>
      </c>
    </row>
    <row r="9457">
      <c r="B9457" s="31"/>
      <c r="G9457" s="272" t="s">
        <v>1099</v>
      </c>
    </row>
    <row r="9458">
      <c r="B9458" s="31"/>
      <c r="G9458" s="272" t="s">
        <v>1099</v>
      </c>
    </row>
    <row r="9459">
      <c r="B9459" s="31"/>
      <c r="G9459" s="272" t="s">
        <v>1099</v>
      </c>
    </row>
    <row r="9460">
      <c r="B9460" s="31"/>
      <c r="G9460" s="272" t="s">
        <v>1099</v>
      </c>
    </row>
    <row r="9461">
      <c r="B9461" s="31"/>
      <c r="G9461" s="272" t="s">
        <v>1099</v>
      </c>
    </row>
    <row r="9462">
      <c r="B9462" s="31"/>
      <c r="G9462" s="272" t="s">
        <v>1099</v>
      </c>
    </row>
    <row r="9463">
      <c r="B9463" s="31"/>
      <c r="G9463" s="272" t="s">
        <v>1099</v>
      </c>
    </row>
    <row r="9464">
      <c r="B9464" s="31"/>
      <c r="G9464" s="272" t="s">
        <v>1099</v>
      </c>
    </row>
    <row r="9465">
      <c r="B9465" s="31"/>
      <c r="G9465" s="272" t="s">
        <v>1099</v>
      </c>
    </row>
    <row r="9466">
      <c r="B9466" s="31"/>
      <c r="G9466" s="272" t="s">
        <v>1099</v>
      </c>
    </row>
    <row r="9467">
      <c r="B9467" s="31"/>
      <c r="G9467" s="272" t="s">
        <v>1099</v>
      </c>
    </row>
    <row r="9468">
      <c r="B9468" s="31"/>
      <c r="G9468" s="272" t="s">
        <v>1099</v>
      </c>
    </row>
    <row r="9469">
      <c r="B9469" s="31"/>
      <c r="G9469" s="272" t="s">
        <v>1099</v>
      </c>
    </row>
    <row r="9470">
      <c r="B9470" s="31"/>
      <c r="G9470" s="272" t="s">
        <v>1099</v>
      </c>
    </row>
    <row r="9471">
      <c r="B9471" s="31"/>
      <c r="G9471" s="272" t="s">
        <v>1099</v>
      </c>
    </row>
    <row r="9472">
      <c r="B9472" s="31"/>
      <c r="G9472" s="272" t="s">
        <v>1099</v>
      </c>
    </row>
    <row r="9473">
      <c r="B9473" s="31"/>
      <c r="G9473" s="272" t="s">
        <v>1099</v>
      </c>
    </row>
    <row r="9474">
      <c r="B9474" s="31"/>
      <c r="G9474" s="272" t="s">
        <v>1099</v>
      </c>
    </row>
    <row r="9475">
      <c r="B9475" s="31"/>
      <c r="G9475" s="272" t="s">
        <v>1099</v>
      </c>
    </row>
    <row r="9476">
      <c r="B9476" s="31"/>
      <c r="G9476" s="272" t="s">
        <v>1099</v>
      </c>
    </row>
    <row r="9477">
      <c r="B9477" s="31"/>
      <c r="G9477" s="272" t="s">
        <v>1099</v>
      </c>
    </row>
    <row r="9478">
      <c r="B9478" s="31"/>
      <c r="G9478" s="272" t="s">
        <v>1099</v>
      </c>
    </row>
    <row r="9479">
      <c r="B9479" s="31"/>
      <c r="G9479" s="272" t="s">
        <v>1099</v>
      </c>
    </row>
    <row r="9480">
      <c r="B9480" s="31"/>
      <c r="G9480" s="272" t="s">
        <v>1099</v>
      </c>
    </row>
    <row r="9481">
      <c r="B9481" s="31"/>
      <c r="G9481" s="272" t="s">
        <v>1099</v>
      </c>
    </row>
    <row r="9482">
      <c r="B9482" s="31"/>
      <c r="G9482" s="272" t="s">
        <v>1099</v>
      </c>
    </row>
    <row r="9483">
      <c r="B9483" s="31"/>
      <c r="G9483" s="272" t="s">
        <v>1099</v>
      </c>
    </row>
    <row r="9484">
      <c r="B9484" s="31"/>
      <c r="G9484" s="272" t="s">
        <v>1099</v>
      </c>
    </row>
    <row r="9485">
      <c r="B9485" s="31"/>
      <c r="G9485" s="272" t="s">
        <v>1099</v>
      </c>
    </row>
    <row r="9486">
      <c r="B9486" s="31"/>
      <c r="G9486" s="272" t="s">
        <v>1099</v>
      </c>
    </row>
    <row r="9487">
      <c r="B9487" s="31"/>
      <c r="G9487" s="272" t="s">
        <v>1099</v>
      </c>
    </row>
    <row r="9488">
      <c r="B9488" s="31"/>
      <c r="G9488" s="272" t="s">
        <v>1099</v>
      </c>
    </row>
    <row r="9489">
      <c r="B9489" s="31"/>
      <c r="G9489" s="272" t="s">
        <v>1099</v>
      </c>
    </row>
    <row r="9490">
      <c r="B9490" s="31"/>
      <c r="G9490" s="272" t="s">
        <v>1099</v>
      </c>
    </row>
    <row r="9491">
      <c r="B9491" s="31"/>
      <c r="G9491" s="272" t="s">
        <v>1099</v>
      </c>
    </row>
    <row r="9492">
      <c r="B9492" s="31"/>
      <c r="G9492" s="272" t="s">
        <v>1099</v>
      </c>
    </row>
    <row r="9493">
      <c r="B9493" s="31"/>
      <c r="G9493" s="272" t="s">
        <v>1099</v>
      </c>
    </row>
    <row r="9494">
      <c r="B9494" s="31"/>
      <c r="G9494" s="272" t="s">
        <v>1099</v>
      </c>
    </row>
    <row r="9495">
      <c r="B9495" s="31"/>
      <c r="G9495" s="272" t="s">
        <v>1099</v>
      </c>
    </row>
    <row r="9496">
      <c r="B9496" s="31"/>
      <c r="G9496" s="272" t="s">
        <v>1099</v>
      </c>
    </row>
    <row r="9497">
      <c r="B9497" s="31"/>
      <c r="G9497" s="272" t="s">
        <v>1099</v>
      </c>
    </row>
    <row r="9498">
      <c r="B9498" s="31"/>
      <c r="G9498" s="272" t="s">
        <v>1099</v>
      </c>
    </row>
    <row r="9499">
      <c r="B9499" s="31"/>
      <c r="G9499" s="272" t="s">
        <v>1099</v>
      </c>
    </row>
    <row r="9500">
      <c r="B9500" s="31"/>
      <c r="G9500" s="272" t="s">
        <v>1099</v>
      </c>
    </row>
    <row r="9501">
      <c r="B9501" s="31"/>
      <c r="G9501" s="272" t="s">
        <v>1099</v>
      </c>
    </row>
    <row r="9502">
      <c r="B9502" s="31"/>
      <c r="G9502" s="272" t="s">
        <v>1099</v>
      </c>
    </row>
    <row r="9503">
      <c r="B9503" s="31"/>
      <c r="G9503" s="272" t="s">
        <v>1099</v>
      </c>
    </row>
    <row r="9504">
      <c r="B9504" s="31"/>
      <c r="G9504" s="272" t="s">
        <v>1099</v>
      </c>
    </row>
    <row r="9505">
      <c r="B9505" s="31"/>
      <c r="G9505" s="272" t="s">
        <v>1099</v>
      </c>
    </row>
    <row r="9506">
      <c r="B9506" s="31"/>
      <c r="G9506" s="272" t="s">
        <v>1099</v>
      </c>
    </row>
    <row r="9507">
      <c r="B9507" s="31"/>
      <c r="G9507" s="272" t="s">
        <v>1099</v>
      </c>
    </row>
    <row r="9508">
      <c r="B9508" s="31"/>
      <c r="G9508" s="272" t="s">
        <v>1099</v>
      </c>
    </row>
    <row r="9509">
      <c r="B9509" s="31"/>
      <c r="G9509" s="272" t="s">
        <v>1099</v>
      </c>
    </row>
    <row r="9510">
      <c r="B9510" s="31"/>
      <c r="G9510" s="272" t="s">
        <v>1099</v>
      </c>
    </row>
    <row r="9511">
      <c r="B9511" s="31"/>
      <c r="G9511" s="272" t="s">
        <v>1099</v>
      </c>
    </row>
    <row r="9512">
      <c r="B9512" s="31"/>
      <c r="G9512" s="272" t="s">
        <v>1099</v>
      </c>
    </row>
    <row r="9513">
      <c r="B9513" s="31"/>
      <c r="G9513" s="272" t="s">
        <v>1099</v>
      </c>
    </row>
    <row r="9514">
      <c r="B9514" s="31"/>
      <c r="G9514" s="272" t="s">
        <v>1099</v>
      </c>
    </row>
    <row r="9515">
      <c r="B9515" s="31"/>
      <c r="G9515" s="272" t="s">
        <v>1099</v>
      </c>
    </row>
    <row r="9516">
      <c r="B9516" s="31"/>
      <c r="G9516" s="272" t="s">
        <v>1099</v>
      </c>
    </row>
    <row r="9517">
      <c r="B9517" s="31"/>
      <c r="G9517" s="272" t="s">
        <v>1099</v>
      </c>
    </row>
    <row r="9518">
      <c r="B9518" s="31"/>
      <c r="G9518" s="272" t="s">
        <v>1099</v>
      </c>
    </row>
    <row r="9519">
      <c r="B9519" s="31"/>
      <c r="G9519" s="272" t="s">
        <v>1099</v>
      </c>
    </row>
    <row r="9520">
      <c r="B9520" s="31"/>
      <c r="G9520" s="272" t="s">
        <v>1099</v>
      </c>
    </row>
    <row r="9521">
      <c r="B9521" s="31"/>
      <c r="G9521" s="272" t="s">
        <v>1099</v>
      </c>
    </row>
    <row r="9522">
      <c r="B9522" s="31"/>
      <c r="G9522" s="272" t="s">
        <v>1099</v>
      </c>
    </row>
    <row r="9523">
      <c r="B9523" s="31"/>
      <c r="G9523" s="272" t="s">
        <v>1099</v>
      </c>
    </row>
    <row r="9524">
      <c r="B9524" s="31"/>
      <c r="G9524" s="272" t="s">
        <v>1099</v>
      </c>
    </row>
    <row r="9525">
      <c r="B9525" s="31"/>
      <c r="G9525" s="272" t="s">
        <v>1099</v>
      </c>
    </row>
    <row r="9526">
      <c r="B9526" s="31"/>
      <c r="G9526" s="272" t="s">
        <v>1099</v>
      </c>
    </row>
    <row r="9527">
      <c r="B9527" s="31"/>
      <c r="G9527" s="272" t="s">
        <v>1099</v>
      </c>
    </row>
    <row r="9528">
      <c r="B9528" s="31"/>
      <c r="G9528" s="272" t="s">
        <v>1099</v>
      </c>
    </row>
    <row r="9529">
      <c r="B9529" s="31"/>
      <c r="G9529" s="272" t="s">
        <v>1099</v>
      </c>
    </row>
    <row r="9530">
      <c r="B9530" s="31"/>
      <c r="G9530" s="272" t="s">
        <v>1099</v>
      </c>
    </row>
    <row r="9531">
      <c r="B9531" s="31"/>
      <c r="G9531" s="272" t="s">
        <v>1099</v>
      </c>
    </row>
    <row r="9532">
      <c r="B9532" s="31"/>
      <c r="G9532" s="272" t="s">
        <v>1099</v>
      </c>
    </row>
    <row r="9533">
      <c r="B9533" s="31"/>
      <c r="G9533" s="272" t="s">
        <v>1099</v>
      </c>
    </row>
    <row r="9534">
      <c r="B9534" s="31"/>
      <c r="G9534" s="272" t="s">
        <v>1099</v>
      </c>
    </row>
    <row r="9535">
      <c r="B9535" s="31"/>
      <c r="G9535" s="272" t="s">
        <v>1099</v>
      </c>
    </row>
    <row r="9536">
      <c r="B9536" s="31"/>
      <c r="G9536" s="272" t="s">
        <v>1099</v>
      </c>
    </row>
    <row r="9537">
      <c r="B9537" s="31"/>
      <c r="G9537" s="272" t="s">
        <v>1099</v>
      </c>
    </row>
    <row r="9538">
      <c r="B9538" s="31"/>
      <c r="G9538" s="272" t="s">
        <v>1099</v>
      </c>
    </row>
    <row r="9539">
      <c r="B9539" s="31"/>
      <c r="G9539" s="272" t="s">
        <v>1099</v>
      </c>
    </row>
    <row r="9540">
      <c r="B9540" s="31"/>
      <c r="G9540" s="272" t="s">
        <v>1099</v>
      </c>
    </row>
    <row r="9541">
      <c r="B9541" s="31"/>
      <c r="G9541" s="272" t="s">
        <v>1099</v>
      </c>
    </row>
    <row r="9542">
      <c r="B9542" s="31"/>
      <c r="G9542" s="272" t="s">
        <v>1099</v>
      </c>
    </row>
    <row r="9543">
      <c r="B9543" s="31"/>
      <c r="G9543" s="272" t="s">
        <v>1099</v>
      </c>
    </row>
    <row r="9544">
      <c r="B9544" s="31"/>
      <c r="G9544" s="272" t="s">
        <v>1099</v>
      </c>
    </row>
    <row r="9545">
      <c r="B9545" s="31"/>
      <c r="G9545" s="272" t="s">
        <v>1099</v>
      </c>
    </row>
    <row r="9546">
      <c r="B9546" s="31"/>
      <c r="G9546" s="272" t="s">
        <v>1099</v>
      </c>
    </row>
    <row r="9547">
      <c r="B9547" s="31"/>
      <c r="G9547" s="272" t="s">
        <v>1099</v>
      </c>
    </row>
    <row r="9548">
      <c r="B9548" s="31"/>
      <c r="G9548" s="272" t="s">
        <v>1099</v>
      </c>
    </row>
    <row r="9549">
      <c r="B9549" s="31"/>
      <c r="G9549" s="272" t="s">
        <v>1099</v>
      </c>
    </row>
    <row r="9550">
      <c r="B9550" s="31"/>
      <c r="G9550" s="272" t="s">
        <v>1099</v>
      </c>
    </row>
    <row r="9551">
      <c r="B9551" s="31"/>
      <c r="G9551" s="272" t="s">
        <v>1099</v>
      </c>
    </row>
    <row r="9552">
      <c r="B9552" s="31"/>
      <c r="G9552" s="272" t="s">
        <v>1099</v>
      </c>
    </row>
    <row r="9553">
      <c r="B9553" s="31"/>
      <c r="G9553" s="272" t="s">
        <v>1099</v>
      </c>
    </row>
    <row r="9554">
      <c r="B9554" s="31"/>
      <c r="G9554" s="272" t="s">
        <v>1099</v>
      </c>
    </row>
    <row r="9555">
      <c r="B9555" s="31"/>
      <c r="G9555" s="272" t="s">
        <v>1099</v>
      </c>
    </row>
    <row r="9556">
      <c r="B9556" s="31"/>
      <c r="G9556" s="272" t="s">
        <v>1099</v>
      </c>
    </row>
    <row r="9557">
      <c r="B9557" s="31"/>
      <c r="G9557" s="272" t="s">
        <v>1099</v>
      </c>
    </row>
    <row r="9558">
      <c r="B9558" s="31"/>
      <c r="G9558" s="272" t="s">
        <v>1099</v>
      </c>
    </row>
    <row r="9559">
      <c r="B9559" s="31"/>
      <c r="G9559" s="272" t="s">
        <v>1099</v>
      </c>
    </row>
    <row r="9560">
      <c r="B9560" s="31"/>
      <c r="G9560" s="272" t="s">
        <v>1099</v>
      </c>
    </row>
    <row r="9561">
      <c r="B9561" s="31"/>
      <c r="G9561" s="272" t="s">
        <v>1099</v>
      </c>
    </row>
    <row r="9562">
      <c r="B9562" s="31"/>
      <c r="G9562" s="272" t="s">
        <v>1099</v>
      </c>
    </row>
    <row r="9563">
      <c r="B9563" s="31"/>
      <c r="G9563" s="272" t="s">
        <v>1099</v>
      </c>
    </row>
    <row r="9564">
      <c r="B9564" s="31"/>
      <c r="G9564" s="272" t="s">
        <v>1099</v>
      </c>
    </row>
    <row r="9565">
      <c r="B9565" s="31"/>
      <c r="G9565" s="272" t="s">
        <v>1099</v>
      </c>
    </row>
    <row r="9566">
      <c r="B9566" s="31"/>
      <c r="G9566" s="272" t="s">
        <v>1099</v>
      </c>
    </row>
    <row r="9567">
      <c r="B9567" s="31"/>
      <c r="G9567" s="272" t="s">
        <v>1099</v>
      </c>
    </row>
    <row r="9568">
      <c r="B9568" s="31"/>
      <c r="G9568" s="272" t="s">
        <v>1099</v>
      </c>
    </row>
    <row r="9569">
      <c r="B9569" s="31"/>
      <c r="G9569" s="272" t="s">
        <v>1099</v>
      </c>
    </row>
    <row r="9570">
      <c r="B9570" s="31"/>
      <c r="G9570" s="272" t="s">
        <v>1099</v>
      </c>
    </row>
    <row r="9571">
      <c r="B9571" s="31"/>
      <c r="G9571" s="272" t="s">
        <v>1099</v>
      </c>
    </row>
    <row r="9572">
      <c r="B9572" s="31"/>
      <c r="G9572" s="272" t="s">
        <v>1099</v>
      </c>
    </row>
    <row r="9573">
      <c r="B9573" s="31"/>
      <c r="G9573" s="272" t="s">
        <v>1099</v>
      </c>
    </row>
    <row r="9574">
      <c r="B9574" s="31"/>
      <c r="G9574" s="272" t="s">
        <v>1099</v>
      </c>
    </row>
    <row r="9575">
      <c r="B9575" s="31"/>
      <c r="G9575" s="272" t="s">
        <v>1099</v>
      </c>
    </row>
    <row r="9576">
      <c r="B9576" s="31"/>
      <c r="G9576" s="272" t="s">
        <v>1099</v>
      </c>
    </row>
    <row r="9577">
      <c r="B9577" s="31"/>
      <c r="G9577" s="272" t="s">
        <v>1099</v>
      </c>
    </row>
    <row r="9578">
      <c r="B9578" s="31"/>
      <c r="G9578" s="272" t="s">
        <v>1099</v>
      </c>
    </row>
    <row r="9579">
      <c r="B9579" s="31"/>
      <c r="G9579" s="272" t="s">
        <v>1099</v>
      </c>
    </row>
    <row r="9580">
      <c r="B9580" s="31"/>
      <c r="G9580" s="272" t="s">
        <v>1099</v>
      </c>
    </row>
    <row r="9581">
      <c r="B9581" s="31"/>
      <c r="G9581" s="272" t="s">
        <v>1099</v>
      </c>
    </row>
    <row r="9582">
      <c r="B9582" s="31"/>
      <c r="G9582" s="272" t="s">
        <v>1099</v>
      </c>
    </row>
    <row r="9583">
      <c r="B9583" s="31"/>
      <c r="G9583" s="272" t="s">
        <v>1099</v>
      </c>
    </row>
    <row r="9584">
      <c r="B9584" s="31"/>
      <c r="G9584" s="272" t="s">
        <v>1099</v>
      </c>
    </row>
    <row r="9585">
      <c r="B9585" s="31"/>
      <c r="G9585" s="272" t="s">
        <v>1099</v>
      </c>
    </row>
    <row r="9586">
      <c r="B9586" s="31"/>
      <c r="G9586" s="272" t="s">
        <v>1099</v>
      </c>
    </row>
    <row r="9587">
      <c r="B9587" s="31"/>
      <c r="G9587" s="272" t="s">
        <v>1099</v>
      </c>
    </row>
    <row r="9588">
      <c r="B9588" s="31"/>
      <c r="G9588" s="272" t="s">
        <v>1099</v>
      </c>
    </row>
    <row r="9589">
      <c r="B9589" s="31"/>
      <c r="G9589" s="272" t="s">
        <v>1099</v>
      </c>
    </row>
    <row r="9590">
      <c r="B9590" s="31"/>
      <c r="G9590" s="272" t="s">
        <v>1099</v>
      </c>
    </row>
    <row r="9591">
      <c r="B9591" s="31"/>
      <c r="G9591" s="272" t="s">
        <v>1099</v>
      </c>
    </row>
    <row r="9592">
      <c r="B9592" s="31"/>
      <c r="G9592" s="272" t="s">
        <v>1099</v>
      </c>
    </row>
    <row r="9593">
      <c r="B9593" s="31"/>
      <c r="G9593" s="272" t="s">
        <v>1099</v>
      </c>
    </row>
    <row r="9594">
      <c r="B9594" s="31"/>
      <c r="G9594" s="272" t="s">
        <v>1099</v>
      </c>
    </row>
    <row r="9595">
      <c r="B9595" s="31"/>
      <c r="G9595" s="272" t="s">
        <v>1099</v>
      </c>
    </row>
    <row r="9596">
      <c r="B9596" s="31"/>
      <c r="G9596" s="272" t="s">
        <v>1099</v>
      </c>
    </row>
    <row r="9597">
      <c r="B9597" s="31"/>
      <c r="G9597" s="272" t="s">
        <v>1099</v>
      </c>
    </row>
    <row r="9598">
      <c r="B9598" s="31"/>
      <c r="G9598" s="272" t="s">
        <v>1099</v>
      </c>
    </row>
    <row r="9599">
      <c r="B9599" s="31"/>
      <c r="G9599" s="272" t="s">
        <v>1099</v>
      </c>
    </row>
    <row r="9600">
      <c r="B9600" s="31"/>
      <c r="G9600" s="272" t="s">
        <v>1099</v>
      </c>
    </row>
    <row r="9601">
      <c r="B9601" s="31"/>
      <c r="G9601" s="272" t="s">
        <v>1099</v>
      </c>
    </row>
    <row r="9602">
      <c r="B9602" s="31"/>
      <c r="G9602" s="272" t="s">
        <v>1099</v>
      </c>
    </row>
    <row r="9603">
      <c r="B9603" s="31"/>
      <c r="G9603" s="272" t="s">
        <v>1099</v>
      </c>
    </row>
    <row r="9604">
      <c r="B9604" s="31"/>
      <c r="G9604" s="272" t="s">
        <v>1099</v>
      </c>
    </row>
    <row r="9605">
      <c r="B9605" s="31"/>
      <c r="G9605" s="272" t="s">
        <v>1099</v>
      </c>
    </row>
    <row r="9606">
      <c r="B9606" s="31"/>
      <c r="G9606" s="272" t="s">
        <v>1099</v>
      </c>
    </row>
    <row r="9607">
      <c r="B9607" s="31"/>
      <c r="G9607" s="272" t="s">
        <v>1099</v>
      </c>
    </row>
    <row r="9608">
      <c r="B9608" s="31"/>
      <c r="G9608" s="272" t="s">
        <v>1099</v>
      </c>
    </row>
    <row r="9609">
      <c r="B9609" s="31"/>
      <c r="G9609" s="272" t="s">
        <v>1099</v>
      </c>
    </row>
    <row r="9610">
      <c r="B9610" s="31"/>
      <c r="G9610" s="272" t="s">
        <v>1099</v>
      </c>
    </row>
    <row r="9611">
      <c r="B9611" s="31"/>
      <c r="G9611" s="272" t="s">
        <v>1099</v>
      </c>
    </row>
    <row r="9612">
      <c r="B9612" s="31"/>
      <c r="G9612" s="272" t="s">
        <v>1099</v>
      </c>
    </row>
    <row r="9613">
      <c r="B9613" s="31"/>
      <c r="G9613" s="272" t="s">
        <v>1099</v>
      </c>
    </row>
    <row r="9614">
      <c r="B9614" s="31"/>
      <c r="G9614" s="272" t="s">
        <v>1099</v>
      </c>
    </row>
    <row r="9615">
      <c r="B9615" s="31"/>
      <c r="G9615" s="272" t="s">
        <v>1099</v>
      </c>
    </row>
    <row r="9616">
      <c r="B9616" s="31"/>
      <c r="G9616" s="272" t="s">
        <v>1099</v>
      </c>
    </row>
    <row r="9617">
      <c r="B9617" s="31"/>
      <c r="G9617" s="272" t="s">
        <v>1099</v>
      </c>
    </row>
    <row r="9618">
      <c r="B9618" s="31"/>
      <c r="G9618" s="272" t="s">
        <v>1099</v>
      </c>
    </row>
    <row r="9619">
      <c r="B9619" s="31"/>
      <c r="G9619" s="272" t="s">
        <v>1099</v>
      </c>
    </row>
    <row r="9620">
      <c r="B9620" s="31"/>
      <c r="G9620" s="272" t="s">
        <v>1099</v>
      </c>
    </row>
    <row r="9621">
      <c r="B9621" s="31"/>
      <c r="G9621" s="272" t="s">
        <v>1099</v>
      </c>
    </row>
    <row r="9622">
      <c r="B9622" s="31"/>
      <c r="G9622" s="272" t="s">
        <v>1099</v>
      </c>
    </row>
    <row r="9623">
      <c r="B9623" s="31"/>
      <c r="G9623" s="272" t="s">
        <v>1099</v>
      </c>
    </row>
    <row r="9624">
      <c r="B9624" s="31"/>
      <c r="G9624" s="272" t="s">
        <v>1099</v>
      </c>
    </row>
    <row r="9625">
      <c r="B9625" s="31"/>
      <c r="G9625" s="272" t="s">
        <v>1099</v>
      </c>
    </row>
    <row r="9626">
      <c r="B9626" s="31"/>
      <c r="G9626" s="272" t="s">
        <v>1099</v>
      </c>
    </row>
    <row r="9627">
      <c r="B9627" s="31"/>
      <c r="G9627" s="272" t="s">
        <v>1099</v>
      </c>
    </row>
    <row r="9628">
      <c r="B9628" s="31"/>
      <c r="G9628" s="272" t="s">
        <v>1099</v>
      </c>
    </row>
    <row r="9629">
      <c r="B9629" s="31"/>
      <c r="G9629" s="272" t="s">
        <v>1099</v>
      </c>
    </row>
    <row r="9630">
      <c r="B9630" s="31"/>
      <c r="G9630" s="272" t="s">
        <v>1099</v>
      </c>
    </row>
    <row r="9631">
      <c r="B9631" s="31"/>
      <c r="G9631" s="272" t="s">
        <v>1099</v>
      </c>
    </row>
    <row r="9632">
      <c r="B9632" s="31"/>
      <c r="G9632" s="272" t="s">
        <v>1099</v>
      </c>
    </row>
    <row r="9633">
      <c r="B9633" s="31"/>
      <c r="G9633" s="272" t="s">
        <v>1099</v>
      </c>
    </row>
    <row r="9634">
      <c r="B9634" s="31"/>
      <c r="G9634" s="272" t="s">
        <v>1099</v>
      </c>
    </row>
    <row r="9635">
      <c r="B9635" s="31"/>
      <c r="G9635" s="272" t="s">
        <v>1099</v>
      </c>
    </row>
    <row r="9636">
      <c r="B9636" s="31"/>
      <c r="G9636" s="272" t="s">
        <v>1099</v>
      </c>
    </row>
    <row r="9637">
      <c r="B9637" s="31"/>
      <c r="G9637" s="272" t="s">
        <v>1099</v>
      </c>
    </row>
    <row r="9638">
      <c r="B9638" s="31"/>
      <c r="G9638" s="272" t="s">
        <v>1099</v>
      </c>
    </row>
    <row r="9639">
      <c r="B9639" s="31"/>
      <c r="G9639" s="272" t="s">
        <v>1099</v>
      </c>
    </row>
    <row r="9640">
      <c r="B9640" s="31"/>
      <c r="G9640" s="272" t="s">
        <v>1099</v>
      </c>
    </row>
    <row r="9641">
      <c r="B9641" s="31"/>
      <c r="G9641" s="272" t="s">
        <v>1099</v>
      </c>
    </row>
    <row r="9642">
      <c r="B9642" s="31"/>
      <c r="G9642" s="272" t="s">
        <v>1099</v>
      </c>
    </row>
    <row r="9643">
      <c r="B9643" s="31"/>
      <c r="G9643" s="272" t="s">
        <v>1099</v>
      </c>
    </row>
    <row r="9644">
      <c r="B9644" s="31"/>
      <c r="G9644" s="272" t="s">
        <v>1099</v>
      </c>
    </row>
    <row r="9645">
      <c r="B9645" s="31"/>
      <c r="G9645" s="272" t="s">
        <v>1099</v>
      </c>
    </row>
    <row r="9646">
      <c r="B9646" s="31"/>
      <c r="G9646" s="272" t="s">
        <v>1099</v>
      </c>
    </row>
    <row r="9647">
      <c r="B9647" s="31"/>
      <c r="G9647" s="272" t="s">
        <v>1099</v>
      </c>
    </row>
    <row r="9648">
      <c r="B9648" s="31"/>
      <c r="G9648" s="272" t="s">
        <v>1099</v>
      </c>
    </row>
    <row r="9649">
      <c r="B9649" s="31"/>
      <c r="G9649" s="272" t="s">
        <v>1099</v>
      </c>
    </row>
    <row r="9650">
      <c r="B9650" s="31"/>
      <c r="G9650" s="272" t="s">
        <v>1099</v>
      </c>
    </row>
    <row r="9651">
      <c r="B9651" s="31"/>
      <c r="G9651" s="272" t="s">
        <v>1099</v>
      </c>
    </row>
    <row r="9652">
      <c r="B9652" s="31"/>
      <c r="G9652" s="272" t="s">
        <v>1099</v>
      </c>
    </row>
    <row r="9653">
      <c r="B9653" s="31"/>
      <c r="G9653" s="272" t="s">
        <v>1099</v>
      </c>
    </row>
    <row r="9654">
      <c r="B9654" s="31"/>
      <c r="G9654" s="272" t="s">
        <v>1099</v>
      </c>
    </row>
    <row r="9655">
      <c r="B9655" s="31"/>
      <c r="G9655" s="272" t="s">
        <v>1099</v>
      </c>
    </row>
    <row r="9656">
      <c r="B9656" s="31"/>
      <c r="G9656" s="272" t="s">
        <v>1099</v>
      </c>
    </row>
    <row r="9657">
      <c r="B9657" s="31"/>
      <c r="G9657" s="272" t="s">
        <v>1099</v>
      </c>
    </row>
    <row r="9658">
      <c r="B9658" s="31"/>
      <c r="G9658" s="272" t="s">
        <v>1099</v>
      </c>
    </row>
    <row r="9659">
      <c r="B9659" s="31"/>
      <c r="G9659" s="272" t="s">
        <v>1099</v>
      </c>
    </row>
    <row r="9660">
      <c r="B9660" s="31"/>
      <c r="G9660" s="272" t="s">
        <v>1099</v>
      </c>
    </row>
    <row r="9661">
      <c r="B9661" s="31"/>
      <c r="G9661" s="272" t="s">
        <v>1099</v>
      </c>
    </row>
    <row r="9662">
      <c r="B9662" s="31"/>
      <c r="G9662" s="272" t="s">
        <v>1099</v>
      </c>
    </row>
    <row r="9663">
      <c r="B9663" s="31"/>
      <c r="G9663" s="272" t="s">
        <v>1099</v>
      </c>
    </row>
    <row r="9664">
      <c r="B9664" s="31"/>
      <c r="G9664" s="272" t="s">
        <v>1099</v>
      </c>
    </row>
    <row r="9665">
      <c r="B9665" s="31"/>
      <c r="G9665" s="272" t="s">
        <v>1099</v>
      </c>
    </row>
    <row r="9666">
      <c r="B9666" s="31"/>
      <c r="G9666" s="272" t="s">
        <v>1099</v>
      </c>
    </row>
    <row r="9667">
      <c r="B9667" s="31"/>
      <c r="G9667" s="272" t="s">
        <v>1099</v>
      </c>
    </row>
    <row r="9668">
      <c r="B9668" s="31"/>
      <c r="G9668" s="272" t="s">
        <v>1099</v>
      </c>
    </row>
    <row r="9669">
      <c r="B9669" s="31"/>
      <c r="G9669" s="272" t="s">
        <v>1099</v>
      </c>
    </row>
    <row r="9670">
      <c r="B9670" s="31"/>
      <c r="G9670" s="272" t="s">
        <v>1099</v>
      </c>
    </row>
    <row r="9671">
      <c r="B9671" s="31"/>
      <c r="G9671" s="272" t="s">
        <v>1099</v>
      </c>
    </row>
    <row r="9672">
      <c r="B9672" s="31"/>
      <c r="G9672" s="272" t="s">
        <v>1099</v>
      </c>
    </row>
    <row r="9673">
      <c r="B9673" s="31"/>
      <c r="G9673" s="272" t="s">
        <v>1099</v>
      </c>
    </row>
    <row r="9674">
      <c r="B9674" s="31"/>
      <c r="G9674" s="272" t="s">
        <v>1099</v>
      </c>
    </row>
    <row r="9675">
      <c r="B9675" s="31"/>
      <c r="G9675" s="272" t="s">
        <v>1099</v>
      </c>
    </row>
    <row r="9676">
      <c r="B9676" s="31"/>
      <c r="G9676" s="272" t="s">
        <v>1099</v>
      </c>
    </row>
    <row r="9677">
      <c r="B9677" s="31"/>
      <c r="G9677" s="272" t="s">
        <v>1099</v>
      </c>
    </row>
    <row r="9678">
      <c r="B9678" s="31"/>
      <c r="G9678" s="272" t="s">
        <v>1099</v>
      </c>
    </row>
    <row r="9679">
      <c r="B9679" s="31"/>
      <c r="G9679" s="272" t="s">
        <v>1099</v>
      </c>
    </row>
    <row r="9680">
      <c r="B9680" s="31"/>
      <c r="G9680" s="272" t="s">
        <v>1099</v>
      </c>
    </row>
    <row r="9681">
      <c r="B9681" s="31"/>
      <c r="G9681" s="272" t="s">
        <v>1099</v>
      </c>
    </row>
    <row r="9682">
      <c r="B9682" s="31"/>
      <c r="G9682" s="272" t="s">
        <v>1099</v>
      </c>
    </row>
    <row r="9683">
      <c r="B9683" s="31"/>
      <c r="G9683" s="272" t="s">
        <v>1099</v>
      </c>
    </row>
    <row r="9684">
      <c r="B9684" s="31"/>
      <c r="G9684" s="272" t="s">
        <v>1099</v>
      </c>
    </row>
    <row r="9685">
      <c r="B9685" s="31"/>
      <c r="G9685" s="272" t="s">
        <v>1099</v>
      </c>
    </row>
    <row r="9686">
      <c r="B9686" s="31"/>
      <c r="G9686" s="272" t="s">
        <v>1099</v>
      </c>
    </row>
    <row r="9687">
      <c r="B9687" s="31"/>
      <c r="G9687" s="272" t="s">
        <v>1099</v>
      </c>
    </row>
    <row r="9688">
      <c r="B9688" s="31"/>
      <c r="G9688" s="272" t="s">
        <v>1099</v>
      </c>
    </row>
    <row r="9689">
      <c r="B9689" s="31"/>
      <c r="G9689" s="272" t="s">
        <v>1099</v>
      </c>
    </row>
    <row r="9690">
      <c r="B9690" s="31"/>
      <c r="G9690" s="272" t="s">
        <v>1099</v>
      </c>
    </row>
    <row r="9691">
      <c r="B9691" s="31"/>
      <c r="G9691" s="272" t="s">
        <v>1099</v>
      </c>
    </row>
    <row r="9692">
      <c r="B9692" s="31"/>
      <c r="G9692" s="272" t="s">
        <v>1099</v>
      </c>
    </row>
    <row r="9693">
      <c r="B9693" s="31"/>
      <c r="G9693" s="272" t="s">
        <v>1099</v>
      </c>
    </row>
    <row r="9694">
      <c r="B9694" s="31"/>
      <c r="G9694" s="272" t="s">
        <v>1099</v>
      </c>
    </row>
    <row r="9695">
      <c r="B9695" s="31"/>
      <c r="G9695" s="272" t="s">
        <v>1099</v>
      </c>
    </row>
    <row r="9696">
      <c r="B9696" s="31"/>
      <c r="G9696" s="272" t="s">
        <v>1099</v>
      </c>
    </row>
    <row r="9697">
      <c r="B9697" s="31"/>
      <c r="G9697" s="272" t="s">
        <v>1099</v>
      </c>
    </row>
    <row r="9698">
      <c r="B9698" s="31"/>
      <c r="G9698" s="272" t="s">
        <v>1099</v>
      </c>
    </row>
    <row r="9699">
      <c r="B9699" s="31"/>
      <c r="G9699" s="272" t="s">
        <v>1099</v>
      </c>
    </row>
    <row r="9700">
      <c r="B9700" s="31"/>
      <c r="G9700" s="272" t="s">
        <v>1099</v>
      </c>
    </row>
    <row r="9701">
      <c r="B9701" s="31"/>
      <c r="G9701" s="272" t="s">
        <v>1099</v>
      </c>
    </row>
    <row r="9702">
      <c r="B9702" s="31"/>
      <c r="G9702" s="272" t="s">
        <v>1099</v>
      </c>
    </row>
    <row r="9703">
      <c r="B9703" s="31"/>
      <c r="G9703" s="272" t="s">
        <v>1099</v>
      </c>
    </row>
    <row r="9704">
      <c r="B9704" s="31"/>
      <c r="G9704" s="272" t="s">
        <v>1099</v>
      </c>
    </row>
    <row r="9705">
      <c r="B9705" s="31"/>
      <c r="G9705" s="272" t="s">
        <v>1099</v>
      </c>
    </row>
    <row r="9706">
      <c r="B9706" s="31"/>
      <c r="G9706" s="272" t="s">
        <v>1099</v>
      </c>
    </row>
    <row r="9707">
      <c r="B9707" s="31"/>
      <c r="G9707" s="272" t="s">
        <v>1099</v>
      </c>
    </row>
    <row r="9708">
      <c r="B9708" s="31"/>
      <c r="G9708" s="272" t="s">
        <v>1099</v>
      </c>
    </row>
    <row r="9709">
      <c r="B9709" s="31"/>
      <c r="G9709" s="272" t="s">
        <v>1099</v>
      </c>
    </row>
    <row r="9710">
      <c r="B9710" s="31"/>
      <c r="G9710" s="272" t="s">
        <v>1099</v>
      </c>
    </row>
    <row r="9711">
      <c r="B9711" s="31"/>
      <c r="G9711" s="272" t="s">
        <v>1099</v>
      </c>
    </row>
    <row r="9712">
      <c r="B9712" s="31"/>
      <c r="G9712" s="272" t="s">
        <v>1099</v>
      </c>
    </row>
    <row r="9713">
      <c r="B9713" s="31"/>
      <c r="G9713" s="272" t="s">
        <v>1099</v>
      </c>
    </row>
    <row r="9714">
      <c r="B9714" s="31"/>
      <c r="G9714" s="272" t="s">
        <v>1099</v>
      </c>
    </row>
    <row r="9715">
      <c r="B9715" s="31"/>
      <c r="G9715" s="272" t="s">
        <v>1099</v>
      </c>
    </row>
    <row r="9716">
      <c r="B9716" s="31"/>
      <c r="G9716" s="272" t="s">
        <v>1099</v>
      </c>
    </row>
    <row r="9717">
      <c r="B9717" s="31"/>
      <c r="G9717" s="272" t="s">
        <v>1099</v>
      </c>
    </row>
    <row r="9718">
      <c r="B9718" s="31"/>
      <c r="G9718" s="272" t="s">
        <v>1099</v>
      </c>
    </row>
    <row r="9719">
      <c r="B9719" s="31"/>
      <c r="G9719" s="272" t="s">
        <v>1099</v>
      </c>
    </row>
    <row r="9720">
      <c r="B9720" s="31"/>
      <c r="G9720" s="272" t="s">
        <v>1099</v>
      </c>
    </row>
    <row r="9721">
      <c r="B9721" s="31"/>
      <c r="G9721" s="272" t="s">
        <v>1099</v>
      </c>
    </row>
    <row r="9722">
      <c r="B9722" s="31"/>
      <c r="G9722" s="272" t="s">
        <v>1099</v>
      </c>
    </row>
    <row r="9723">
      <c r="B9723" s="31"/>
      <c r="G9723" s="272" t="s">
        <v>1099</v>
      </c>
    </row>
    <row r="9724">
      <c r="B9724" s="31"/>
      <c r="G9724" s="272" t="s">
        <v>1099</v>
      </c>
    </row>
    <row r="9725">
      <c r="B9725" s="31"/>
      <c r="G9725" s="272" t="s">
        <v>1099</v>
      </c>
    </row>
    <row r="9726">
      <c r="B9726" s="31"/>
      <c r="G9726" s="272" t="s">
        <v>1099</v>
      </c>
    </row>
    <row r="9727">
      <c r="B9727" s="31"/>
      <c r="G9727" s="272" t="s">
        <v>1099</v>
      </c>
    </row>
    <row r="9728">
      <c r="B9728" s="31"/>
      <c r="G9728" s="272" t="s">
        <v>1099</v>
      </c>
    </row>
    <row r="9729">
      <c r="B9729" s="31"/>
      <c r="G9729" s="272" t="s">
        <v>1099</v>
      </c>
    </row>
    <row r="9730">
      <c r="B9730" s="31"/>
      <c r="G9730" s="272" t="s">
        <v>1099</v>
      </c>
    </row>
    <row r="9731">
      <c r="B9731" s="31"/>
      <c r="G9731" s="272" t="s">
        <v>1099</v>
      </c>
    </row>
    <row r="9732">
      <c r="B9732" s="31"/>
      <c r="G9732" s="272" t="s">
        <v>1099</v>
      </c>
    </row>
    <row r="9733">
      <c r="B9733" s="31"/>
      <c r="G9733" s="272" t="s">
        <v>1099</v>
      </c>
    </row>
    <row r="9734">
      <c r="B9734" s="31"/>
      <c r="G9734" s="272" t="s">
        <v>1099</v>
      </c>
    </row>
    <row r="9735">
      <c r="B9735" s="31"/>
      <c r="G9735" s="272" t="s">
        <v>1099</v>
      </c>
    </row>
    <row r="9736">
      <c r="B9736" s="31"/>
      <c r="G9736" s="272" t="s">
        <v>1099</v>
      </c>
    </row>
    <row r="9737">
      <c r="B9737" s="31"/>
      <c r="G9737" s="272" t="s">
        <v>1099</v>
      </c>
    </row>
    <row r="9738">
      <c r="B9738" s="31"/>
      <c r="G9738" s="272" t="s">
        <v>1099</v>
      </c>
    </row>
    <row r="9739">
      <c r="B9739" s="31"/>
      <c r="G9739" s="272" t="s">
        <v>1099</v>
      </c>
    </row>
    <row r="9740">
      <c r="B9740" s="31"/>
      <c r="G9740" s="272" t="s">
        <v>1099</v>
      </c>
    </row>
    <row r="9741">
      <c r="B9741" s="31"/>
      <c r="G9741" s="272" t="s">
        <v>1099</v>
      </c>
    </row>
    <row r="9742">
      <c r="B9742" s="31"/>
      <c r="G9742" s="272" t="s">
        <v>1099</v>
      </c>
    </row>
    <row r="9743">
      <c r="B9743" s="31"/>
      <c r="G9743" s="272" t="s">
        <v>1099</v>
      </c>
    </row>
    <row r="9744">
      <c r="B9744" s="31"/>
      <c r="G9744" s="272" t="s">
        <v>1099</v>
      </c>
    </row>
    <row r="9745">
      <c r="B9745" s="31"/>
      <c r="G9745" s="272" t="s">
        <v>1099</v>
      </c>
    </row>
    <row r="9746">
      <c r="B9746" s="31"/>
      <c r="G9746" s="272" t="s">
        <v>1099</v>
      </c>
    </row>
    <row r="9747">
      <c r="B9747" s="31"/>
      <c r="G9747" s="272" t="s">
        <v>1099</v>
      </c>
    </row>
    <row r="9748">
      <c r="B9748" s="31"/>
      <c r="G9748" s="272" t="s">
        <v>1099</v>
      </c>
    </row>
    <row r="9749">
      <c r="B9749" s="31"/>
      <c r="G9749" s="272" t="s">
        <v>1099</v>
      </c>
    </row>
    <row r="9750">
      <c r="B9750" s="31"/>
      <c r="G9750" s="272" t="s">
        <v>1099</v>
      </c>
    </row>
    <row r="9751">
      <c r="B9751" s="31"/>
      <c r="G9751" s="272" t="s">
        <v>1099</v>
      </c>
    </row>
    <row r="9752">
      <c r="B9752" s="31"/>
      <c r="G9752" s="272" t="s">
        <v>1099</v>
      </c>
    </row>
    <row r="9753">
      <c r="B9753" s="31"/>
      <c r="G9753" s="272" t="s">
        <v>1099</v>
      </c>
    </row>
    <row r="9754">
      <c r="B9754" s="31"/>
      <c r="G9754" s="272" t="s">
        <v>1099</v>
      </c>
    </row>
    <row r="9755">
      <c r="B9755" s="31"/>
      <c r="G9755" s="272" t="s">
        <v>1099</v>
      </c>
    </row>
    <row r="9756">
      <c r="B9756" s="31"/>
      <c r="G9756" s="272" t="s">
        <v>1099</v>
      </c>
    </row>
    <row r="9757">
      <c r="B9757" s="31"/>
      <c r="G9757" s="272" t="s">
        <v>1099</v>
      </c>
    </row>
    <row r="9758">
      <c r="B9758" s="31"/>
      <c r="G9758" s="272" t="s">
        <v>1099</v>
      </c>
    </row>
    <row r="9759">
      <c r="B9759" s="31"/>
      <c r="G9759" s="272" t="s">
        <v>1099</v>
      </c>
    </row>
    <row r="9760">
      <c r="B9760" s="31"/>
      <c r="G9760" s="272" t="s">
        <v>1099</v>
      </c>
    </row>
    <row r="9761">
      <c r="B9761" s="31"/>
      <c r="G9761" s="272" t="s">
        <v>1099</v>
      </c>
    </row>
    <row r="9762">
      <c r="B9762" s="31"/>
      <c r="G9762" s="272" t="s">
        <v>1099</v>
      </c>
    </row>
    <row r="9763">
      <c r="B9763" s="31"/>
      <c r="G9763" s="272" t="s">
        <v>1099</v>
      </c>
    </row>
    <row r="9764">
      <c r="B9764" s="31"/>
      <c r="G9764" s="272" t="s">
        <v>1099</v>
      </c>
    </row>
    <row r="9765">
      <c r="B9765" s="31"/>
      <c r="G9765" s="272" t="s">
        <v>1099</v>
      </c>
    </row>
    <row r="9766">
      <c r="B9766" s="31"/>
      <c r="G9766" s="272" t="s">
        <v>1099</v>
      </c>
    </row>
    <row r="9767">
      <c r="B9767" s="31"/>
      <c r="G9767" s="272" t="s">
        <v>1099</v>
      </c>
    </row>
    <row r="9768">
      <c r="B9768" s="31"/>
      <c r="G9768" s="272" t="s">
        <v>1099</v>
      </c>
    </row>
    <row r="9769">
      <c r="B9769" s="31"/>
      <c r="G9769" s="272" t="s">
        <v>1099</v>
      </c>
    </row>
    <row r="9770">
      <c r="B9770" s="31"/>
      <c r="G9770" s="272" t="s">
        <v>1099</v>
      </c>
    </row>
    <row r="9771">
      <c r="B9771" s="31"/>
      <c r="G9771" s="272" t="s">
        <v>1099</v>
      </c>
    </row>
    <row r="9772">
      <c r="B9772" s="31"/>
      <c r="G9772" s="272" t="s">
        <v>1099</v>
      </c>
    </row>
    <row r="9773">
      <c r="B9773" s="31"/>
      <c r="G9773" s="272" t="s">
        <v>1099</v>
      </c>
    </row>
    <row r="9774">
      <c r="B9774" s="31"/>
      <c r="G9774" s="272" t="s">
        <v>1099</v>
      </c>
    </row>
    <row r="9775">
      <c r="B9775" s="31"/>
      <c r="G9775" s="272" t="s">
        <v>1099</v>
      </c>
    </row>
    <row r="9776">
      <c r="B9776" s="31"/>
      <c r="G9776" s="272" t="s">
        <v>1099</v>
      </c>
    </row>
    <row r="9777">
      <c r="B9777" s="31"/>
      <c r="G9777" s="272" t="s">
        <v>1099</v>
      </c>
    </row>
    <row r="9778">
      <c r="B9778" s="31"/>
      <c r="G9778" s="272" t="s">
        <v>1099</v>
      </c>
    </row>
    <row r="9779">
      <c r="B9779" s="31"/>
      <c r="G9779" s="272" t="s">
        <v>1099</v>
      </c>
    </row>
    <row r="9780">
      <c r="B9780" s="31"/>
      <c r="G9780" s="272" t="s">
        <v>1099</v>
      </c>
    </row>
    <row r="9781">
      <c r="B9781" s="31"/>
      <c r="G9781" s="272" t="s">
        <v>1099</v>
      </c>
    </row>
    <row r="9782">
      <c r="B9782" s="31"/>
      <c r="G9782" s="272" t="s">
        <v>1099</v>
      </c>
    </row>
    <row r="9783">
      <c r="B9783" s="31"/>
      <c r="G9783" s="272" t="s">
        <v>1099</v>
      </c>
    </row>
    <row r="9784">
      <c r="B9784" s="31"/>
      <c r="G9784" s="272" t="s">
        <v>1099</v>
      </c>
    </row>
    <row r="9785">
      <c r="B9785" s="31"/>
      <c r="G9785" s="272" t="s">
        <v>1099</v>
      </c>
    </row>
    <row r="9786">
      <c r="B9786" s="31"/>
      <c r="G9786" s="272" t="s">
        <v>1099</v>
      </c>
    </row>
    <row r="9787">
      <c r="B9787" s="31"/>
      <c r="G9787" s="272" t="s">
        <v>1099</v>
      </c>
    </row>
    <row r="9788">
      <c r="B9788" s="31"/>
      <c r="G9788" s="272" t="s">
        <v>1099</v>
      </c>
    </row>
    <row r="9789">
      <c r="B9789" s="31"/>
      <c r="G9789" s="272" t="s">
        <v>1099</v>
      </c>
    </row>
    <row r="9790">
      <c r="B9790" s="31"/>
      <c r="G9790" s="272" t="s">
        <v>1099</v>
      </c>
    </row>
    <row r="9791">
      <c r="B9791" s="31"/>
      <c r="G9791" s="272" t="s">
        <v>1099</v>
      </c>
    </row>
    <row r="9792">
      <c r="B9792" s="31"/>
      <c r="G9792" s="272" t="s">
        <v>1099</v>
      </c>
    </row>
    <row r="9793">
      <c r="B9793" s="31"/>
      <c r="G9793" s="272" t="s">
        <v>1099</v>
      </c>
    </row>
    <row r="9794">
      <c r="B9794" s="31"/>
      <c r="G9794" s="272" t="s">
        <v>1099</v>
      </c>
    </row>
    <row r="9795">
      <c r="B9795" s="31"/>
      <c r="G9795" s="272" t="s">
        <v>1099</v>
      </c>
    </row>
    <row r="9796">
      <c r="B9796" s="31"/>
      <c r="G9796" s="272" t="s">
        <v>1099</v>
      </c>
    </row>
    <row r="9797">
      <c r="B9797" s="31"/>
      <c r="G9797" s="272" t="s">
        <v>1099</v>
      </c>
    </row>
    <row r="9798">
      <c r="B9798" s="31"/>
      <c r="G9798" s="272" t="s">
        <v>1099</v>
      </c>
    </row>
    <row r="9799">
      <c r="B9799" s="31"/>
      <c r="G9799" s="272" t="s">
        <v>1099</v>
      </c>
    </row>
    <row r="9800">
      <c r="B9800" s="31"/>
      <c r="G9800" s="272" t="s">
        <v>1099</v>
      </c>
    </row>
    <row r="9801">
      <c r="B9801" s="31"/>
      <c r="G9801" s="272" t="s">
        <v>1099</v>
      </c>
    </row>
    <row r="9802">
      <c r="B9802" s="31"/>
      <c r="G9802" s="272" t="s">
        <v>1099</v>
      </c>
    </row>
    <row r="9803">
      <c r="B9803" s="31"/>
      <c r="G9803" s="272" t="s">
        <v>1099</v>
      </c>
    </row>
    <row r="9804">
      <c r="B9804" s="31"/>
      <c r="G9804" s="272" t="s">
        <v>1099</v>
      </c>
    </row>
    <row r="9805">
      <c r="B9805" s="31"/>
      <c r="G9805" s="272" t="s">
        <v>1099</v>
      </c>
    </row>
    <row r="9806">
      <c r="B9806" s="31"/>
      <c r="G9806" s="272" t="s">
        <v>1099</v>
      </c>
    </row>
    <row r="9807">
      <c r="B9807" s="31"/>
      <c r="G9807" s="272" t="s">
        <v>1099</v>
      </c>
    </row>
    <row r="9808">
      <c r="B9808" s="31"/>
      <c r="G9808" s="272" t="s">
        <v>1099</v>
      </c>
    </row>
    <row r="9809">
      <c r="B9809" s="31"/>
      <c r="G9809" s="272" t="s">
        <v>1099</v>
      </c>
    </row>
    <row r="9810">
      <c r="B9810" s="31"/>
      <c r="G9810" s="272" t="s">
        <v>1099</v>
      </c>
    </row>
    <row r="9811">
      <c r="B9811" s="31"/>
      <c r="G9811" s="272" t="s">
        <v>1099</v>
      </c>
    </row>
    <row r="9812">
      <c r="B9812" s="31"/>
      <c r="G9812" s="272" t="s">
        <v>1099</v>
      </c>
    </row>
    <row r="9813">
      <c r="B9813" s="31"/>
      <c r="G9813" s="272" t="s">
        <v>1099</v>
      </c>
    </row>
    <row r="9814">
      <c r="B9814" s="31"/>
      <c r="G9814" s="272" t="s">
        <v>1099</v>
      </c>
    </row>
    <row r="9815">
      <c r="B9815" s="31"/>
      <c r="G9815" s="272" t="s">
        <v>1099</v>
      </c>
    </row>
    <row r="9816">
      <c r="B9816" s="31"/>
      <c r="G9816" s="272" t="s">
        <v>1099</v>
      </c>
    </row>
    <row r="9817">
      <c r="B9817" s="31"/>
      <c r="G9817" s="272" t="s">
        <v>1099</v>
      </c>
    </row>
    <row r="9818">
      <c r="B9818" s="31"/>
      <c r="G9818" s="272" t="s">
        <v>1099</v>
      </c>
    </row>
    <row r="9819">
      <c r="B9819" s="31"/>
      <c r="G9819" s="272" t="s">
        <v>1099</v>
      </c>
    </row>
    <row r="9820">
      <c r="B9820" s="31"/>
      <c r="G9820" s="272" t="s">
        <v>1099</v>
      </c>
    </row>
    <row r="9821">
      <c r="B9821" s="31"/>
      <c r="G9821" s="272" t="s">
        <v>1099</v>
      </c>
    </row>
    <row r="9822">
      <c r="B9822" s="31"/>
      <c r="G9822" s="272" t="s">
        <v>1099</v>
      </c>
    </row>
    <row r="9823">
      <c r="B9823" s="31"/>
      <c r="G9823" s="272" t="s">
        <v>1099</v>
      </c>
    </row>
    <row r="9824">
      <c r="B9824" s="31"/>
      <c r="G9824" s="272" t="s">
        <v>1099</v>
      </c>
    </row>
    <row r="9825">
      <c r="B9825" s="31"/>
      <c r="G9825" s="272" t="s">
        <v>1099</v>
      </c>
    </row>
    <row r="9826">
      <c r="B9826" s="31"/>
      <c r="G9826" s="272" t="s">
        <v>1099</v>
      </c>
    </row>
    <row r="9827">
      <c r="B9827" s="31"/>
      <c r="G9827" s="272" t="s">
        <v>1099</v>
      </c>
    </row>
    <row r="9828">
      <c r="B9828" s="31"/>
      <c r="G9828" s="272" t="s">
        <v>1099</v>
      </c>
    </row>
    <row r="9829">
      <c r="B9829" s="31"/>
      <c r="G9829" s="272" t="s">
        <v>1099</v>
      </c>
    </row>
    <row r="9830">
      <c r="B9830" s="31"/>
      <c r="G9830" s="272" t="s">
        <v>1099</v>
      </c>
    </row>
    <row r="9831">
      <c r="B9831" s="31"/>
      <c r="G9831" s="272" t="s">
        <v>1099</v>
      </c>
    </row>
    <row r="9832">
      <c r="B9832" s="31"/>
      <c r="G9832" s="272" t="s">
        <v>1099</v>
      </c>
    </row>
    <row r="9833">
      <c r="B9833" s="31"/>
      <c r="G9833" s="272" t="s">
        <v>1099</v>
      </c>
    </row>
    <row r="9834">
      <c r="B9834" s="31"/>
      <c r="G9834" s="272" t="s">
        <v>1099</v>
      </c>
    </row>
    <row r="9835">
      <c r="B9835" s="31"/>
      <c r="G9835" s="272" t="s">
        <v>1099</v>
      </c>
    </row>
    <row r="9836">
      <c r="B9836" s="31"/>
      <c r="G9836" s="272" t="s">
        <v>1099</v>
      </c>
    </row>
    <row r="9837">
      <c r="B9837" s="31"/>
      <c r="G9837" s="272" t="s">
        <v>1099</v>
      </c>
    </row>
    <row r="9838">
      <c r="B9838" s="31"/>
      <c r="G9838" s="272" t="s">
        <v>1099</v>
      </c>
    </row>
    <row r="9839">
      <c r="B9839" s="31"/>
      <c r="G9839" s="272" t="s">
        <v>1099</v>
      </c>
    </row>
    <row r="9840">
      <c r="B9840" s="31"/>
      <c r="G9840" s="272" t="s">
        <v>1099</v>
      </c>
    </row>
    <row r="9841">
      <c r="B9841" s="31"/>
      <c r="G9841" s="272" t="s">
        <v>1099</v>
      </c>
    </row>
    <row r="9842">
      <c r="B9842" s="31"/>
      <c r="G9842" s="272" t="s">
        <v>1099</v>
      </c>
    </row>
    <row r="9843">
      <c r="B9843" s="31"/>
      <c r="G9843" s="272" t="s">
        <v>1099</v>
      </c>
    </row>
    <row r="9844">
      <c r="B9844" s="31"/>
      <c r="G9844" s="272" t="s">
        <v>1099</v>
      </c>
    </row>
    <row r="9845">
      <c r="B9845" s="31"/>
      <c r="G9845" s="272" t="s">
        <v>1099</v>
      </c>
    </row>
    <row r="9846">
      <c r="B9846" s="31"/>
      <c r="G9846" s="272" t="s">
        <v>1099</v>
      </c>
    </row>
    <row r="9847">
      <c r="B9847" s="31"/>
      <c r="G9847" s="272" t="s">
        <v>1099</v>
      </c>
    </row>
    <row r="9848">
      <c r="B9848" s="31"/>
      <c r="G9848" s="272" t="s">
        <v>1099</v>
      </c>
    </row>
    <row r="9849">
      <c r="B9849" s="31"/>
      <c r="G9849" s="272" t="s">
        <v>1099</v>
      </c>
    </row>
    <row r="9850">
      <c r="B9850" s="31"/>
      <c r="G9850" s="272" t="s">
        <v>1099</v>
      </c>
    </row>
    <row r="9851">
      <c r="B9851" s="31"/>
      <c r="G9851" s="272" t="s">
        <v>1099</v>
      </c>
    </row>
    <row r="9852">
      <c r="B9852" s="31"/>
      <c r="G9852" s="272" t="s">
        <v>1099</v>
      </c>
    </row>
    <row r="9853">
      <c r="B9853" s="31"/>
      <c r="G9853" s="272" t="s">
        <v>1099</v>
      </c>
    </row>
    <row r="9854">
      <c r="B9854" s="31"/>
      <c r="G9854" s="272" t="s">
        <v>1099</v>
      </c>
    </row>
    <row r="9855">
      <c r="B9855" s="31"/>
      <c r="G9855" s="272" t="s">
        <v>1099</v>
      </c>
    </row>
    <row r="9856">
      <c r="B9856" s="31"/>
      <c r="G9856" s="272" t="s">
        <v>1099</v>
      </c>
    </row>
    <row r="9857">
      <c r="B9857" s="31"/>
      <c r="G9857" s="272" t="s">
        <v>1099</v>
      </c>
    </row>
    <row r="9858">
      <c r="B9858" s="31"/>
      <c r="G9858" s="272" t="s">
        <v>1099</v>
      </c>
    </row>
    <row r="9859">
      <c r="B9859" s="31"/>
      <c r="G9859" s="272" t="s">
        <v>1099</v>
      </c>
    </row>
    <row r="9860">
      <c r="B9860" s="31"/>
      <c r="G9860" s="272" t="s">
        <v>1099</v>
      </c>
    </row>
    <row r="9861">
      <c r="B9861" s="31"/>
      <c r="G9861" s="272" t="s">
        <v>1099</v>
      </c>
    </row>
    <row r="9862">
      <c r="B9862" s="31"/>
      <c r="G9862" s="272" t="s">
        <v>1099</v>
      </c>
    </row>
    <row r="9863">
      <c r="B9863" s="31"/>
      <c r="G9863" s="272" t="s">
        <v>1099</v>
      </c>
    </row>
    <row r="9864">
      <c r="B9864" s="31"/>
      <c r="G9864" s="272" t="s">
        <v>1099</v>
      </c>
    </row>
    <row r="9865">
      <c r="B9865" s="31"/>
      <c r="G9865" s="272" t="s">
        <v>1099</v>
      </c>
    </row>
    <row r="9866">
      <c r="B9866" s="31"/>
      <c r="G9866" s="272" t="s">
        <v>1099</v>
      </c>
    </row>
    <row r="9867">
      <c r="B9867" s="31"/>
      <c r="G9867" s="272" t="s">
        <v>1099</v>
      </c>
    </row>
    <row r="9868">
      <c r="B9868" s="31"/>
      <c r="G9868" s="272" t="s">
        <v>1099</v>
      </c>
    </row>
    <row r="9869">
      <c r="B9869" s="31"/>
      <c r="G9869" s="272" t="s">
        <v>1099</v>
      </c>
    </row>
    <row r="9870">
      <c r="B9870" s="31"/>
      <c r="G9870" s="272" t="s">
        <v>1099</v>
      </c>
    </row>
    <row r="9871">
      <c r="B9871" s="31"/>
      <c r="G9871" s="272" t="s">
        <v>1099</v>
      </c>
    </row>
    <row r="9872">
      <c r="B9872" s="31"/>
      <c r="G9872" s="272" t="s">
        <v>1099</v>
      </c>
    </row>
    <row r="9873">
      <c r="B9873" s="31"/>
      <c r="G9873" s="272" t="s">
        <v>1099</v>
      </c>
    </row>
    <row r="9874">
      <c r="B9874" s="31"/>
      <c r="G9874" s="272" t="s">
        <v>1099</v>
      </c>
    </row>
    <row r="9875">
      <c r="B9875" s="31"/>
      <c r="G9875" s="272" t="s">
        <v>1099</v>
      </c>
    </row>
    <row r="9876">
      <c r="B9876" s="31"/>
      <c r="G9876" s="272" t="s">
        <v>1099</v>
      </c>
    </row>
    <row r="9877">
      <c r="B9877" s="31"/>
      <c r="G9877" s="272" t="s">
        <v>1099</v>
      </c>
    </row>
    <row r="9878">
      <c r="B9878" s="31"/>
      <c r="G9878" s="272" t="s">
        <v>1099</v>
      </c>
    </row>
    <row r="9879">
      <c r="B9879" s="31"/>
      <c r="G9879" s="272" t="s">
        <v>1099</v>
      </c>
    </row>
    <row r="9880">
      <c r="B9880" s="31"/>
      <c r="G9880" s="272" t="s">
        <v>1099</v>
      </c>
    </row>
    <row r="9881">
      <c r="B9881" s="31"/>
      <c r="G9881" s="272" t="s">
        <v>1099</v>
      </c>
    </row>
    <row r="9882">
      <c r="B9882" s="31"/>
      <c r="G9882" s="272" t="s">
        <v>1099</v>
      </c>
    </row>
    <row r="9883">
      <c r="B9883" s="31"/>
      <c r="G9883" s="272" t="s">
        <v>1099</v>
      </c>
    </row>
    <row r="9884">
      <c r="B9884" s="31"/>
      <c r="G9884" s="272" t="s">
        <v>1099</v>
      </c>
    </row>
    <row r="9885">
      <c r="B9885" s="31"/>
      <c r="G9885" s="272" t="s">
        <v>1099</v>
      </c>
    </row>
    <row r="9886">
      <c r="B9886" s="31"/>
      <c r="G9886" s="272" t="s">
        <v>1099</v>
      </c>
    </row>
    <row r="9887">
      <c r="B9887" s="31"/>
      <c r="G9887" s="272" t="s">
        <v>1099</v>
      </c>
    </row>
    <row r="9888">
      <c r="B9888" s="31"/>
      <c r="G9888" s="272" t="s">
        <v>1099</v>
      </c>
    </row>
    <row r="9889">
      <c r="B9889" s="31"/>
      <c r="G9889" s="272" t="s">
        <v>1099</v>
      </c>
    </row>
    <row r="9890">
      <c r="B9890" s="31"/>
      <c r="G9890" s="272" t="s">
        <v>1099</v>
      </c>
    </row>
    <row r="9891">
      <c r="B9891" s="31"/>
      <c r="G9891" s="272" t="s">
        <v>1099</v>
      </c>
    </row>
    <row r="9892">
      <c r="B9892" s="31"/>
      <c r="G9892" s="272" t="s">
        <v>1099</v>
      </c>
    </row>
    <row r="9893">
      <c r="B9893" s="31"/>
      <c r="G9893" s="272" t="s">
        <v>1099</v>
      </c>
    </row>
    <row r="9894">
      <c r="B9894" s="31"/>
      <c r="G9894" s="272" t="s">
        <v>1099</v>
      </c>
    </row>
    <row r="9895">
      <c r="B9895" s="31"/>
      <c r="G9895" s="272" t="s">
        <v>1099</v>
      </c>
    </row>
    <row r="9896">
      <c r="B9896" s="31"/>
      <c r="G9896" s="272" t="s">
        <v>1099</v>
      </c>
    </row>
    <row r="9897">
      <c r="B9897" s="31"/>
      <c r="G9897" s="272" t="s">
        <v>1099</v>
      </c>
    </row>
    <row r="9898">
      <c r="B9898" s="31"/>
      <c r="G9898" s="272" t="s">
        <v>1099</v>
      </c>
    </row>
    <row r="9899">
      <c r="B9899" s="31"/>
      <c r="G9899" s="272" t="s">
        <v>1099</v>
      </c>
    </row>
    <row r="9900">
      <c r="B9900" s="31"/>
      <c r="G9900" s="272" t="s">
        <v>1099</v>
      </c>
    </row>
    <row r="9901">
      <c r="B9901" s="31"/>
      <c r="G9901" s="272" t="s">
        <v>1099</v>
      </c>
    </row>
    <row r="9902">
      <c r="B9902" s="31"/>
      <c r="G9902" s="272" t="s">
        <v>1099</v>
      </c>
    </row>
    <row r="9903">
      <c r="B9903" s="31"/>
      <c r="G9903" s="272" t="s">
        <v>1099</v>
      </c>
    </row>
    <row r="9904">
      <c r="B9904" s="31"/>
      <c r="G9904" s="272" t="s">
        <v>1099</v>
      </c>
    </row>
    <row r="9905">
      <c r="B9905" s="31"/>
      <c r="G9905" s="272" t="s">
        <v>1099</v>
      </c>
    </row>
    <row r="9906">
      <c r="B9906" s="31"/>
      <c r="G9906" s="272" t="s">
        <v>1099</v>
      </c>
    </row>
    <row r="9907">
      <c r="B9907" s="31"/>
      <c r="G9907" s="272" t="s">
        <v>1099</v>
      </c>
    </row>
    <row r="9908">
      <c r="B9908" s="31"/>
      <c r="G9908" s="272" t="s">
        <v>1099</v>
      </c>
    </row>
    <row r="9909">
      <c r="B9909" s="31"/>
      <c r="G9909" s="272" t="s">
        <v>1099</v>
      </c>
    </row>
    <row r="9910">
      <c r="B9910" s="31"/>
      <c r="G9910" s="272" t="s">
        <v>1099</v>
      </c>
    </row>
    <row r="9911">
      <c r="B9911" s="31"/>
      <c r="G9911" s="272" t="s">
        <v>1099</v>
      </c>
    </row>
    <row r="9912">
      <c r="B9912" s="31"/>
      <c r="G9912" s="272" t="s">
        <v>1099</v>
      </c>
    </row>
    <row r="9913">
      <c r="B9913" s="31"/>
      <c r="G9913" s="272" t="s">
        <v>1099</v>
      </c>
    </row>
    <row r="9914">
      <c r="B9914" s="31"/>
      <c r="G9914" s="272" t="s">
        <v>1099</v>
      </c>
    </row>
    <row r="9915">
      <c r="B9915" s="31"/>
      <c r="G9915" s="272" t="s">
        <v>1099</v>
      </c>
    </row>
    <row r="9916">
      <c r="B9916" s="31"/>
      <c r="G9916" s="272" t="s">
        <v>1099</v>
      </c>
    </row>
    <row r="9917">
      <c r="B9917" s="31"/>
      <c r="G9917" s="272" t="s">
        <v>1099</v>
      </c>
    </row>
    <row r="9918">
      <c r="B9918" s="31"/>
      <c r="G9918" s="272" t="s">
        <v>1099</v>
      </c>
    </row>
    <row r="9919">
      <c r="B9919" s="31"/>
      <c r="G9919" s="272" t="s">
        <v>1099</v>
      </c>
    </row>
    <row r="9920">
      <c r="B9920" s="31"/>
      <c r="G9920" s="272" t="s">
        <v>1099</v>
      </c>
    </row>
    <row r="9921">
      <c r="B9921" s="31"/>
      <c r="G9921" s="272" t="s">
        <v>1099</v>
      </c>
    </row>
    <row r="9922">
      <c r="B9922" s="31"/>
      <c r="G9922" s="272" t="s">
        <v>1099</v>
      </c>
    </row>
    <row r="9923">
      <c r="B9923" s="31"/>
      <c r="G9923" s="272" t="s">
        <v>1099</v>
      </c>
    </row>
    <row r="9924">
      <c r="B9924" s="31"/>
      <c r="G9924" s="272" t="s">
        <v>1099</v>
      </c>
    </row>
    <row r="9925">
      <c r="B9925" s="31"/>
      <c r="G9925" s="272" t="s">
        <v>1099</v>
      </c>
    </row>
    <row r="9926">
      <c r="B9926" s="31"/>
      <c r="G9926" s="272" t="s">
        <v>1099</v>
      </c>
    </row>
    <row r="9927">
      <c r="B9927" s="31"/>
      <c r="G9927" s="272" t="s">
        <v>1099</v>
      </c>
    </row>
    <row r="9928">
      <c r="B9928" s="31"/>
      <c r="G9928" s="272" t="s">
        <v>1099</v>
      </c>
    </row>
    <row r="9929">
      <c r="B9929" s="31"/>
      <c r="G9929" s="272" t="s">
        <v>1099</v>
      </c>
    </row>
    <row r="9930">
      <c r="B9930" s="31"/>
      <c r="G9930" s="272" t="s">
        <v>1099</v>
      </c>
    </row>
    <row r="9931">
      <c r="B9931" s="31"/>
      <c r="G9931" s="272" t="s">
        <v>1099</v>
      </c>
    </row>
    <row r="9932">
      <c r="B9932" s="31"/>
      <c r="G9932" s="272" t="s">
        <v>1099</v>
      </c>
    </row>
    <row r="9933">
      <c r="B9933" s="31"/>
      <c r="G9933" s="272" t="s">
        <v>1099</v>
      </c>
    </row>
    <row r="9934">
      <c r="B9934" s="31"/>
      <c r="G9934" s="272" t="s">
        <v>1099</v>
      </c>
    </row>
    <row r="9935">
      <c r="B9935" s="31"/>
      <c r="G9935" s="272" t="s">
        <v>1099</v>
      </c>
    </row>
    <row r="9936">
      <c r="B9936" s="31"/>
      <c r="G9936" s="272" t="s">
        <v>1099</v>
      </c>
    </row>
    <row r="9937">
      <c r="B9937" s="31"/>
      <c r="G9937" s="272" t="s">
        <v>1099</v>
      </c>
    </row>
    <row r="9938">
      <c r="B9938" s="31"/>
      <c r="G9938" s="272" t="s">
        <v>1099</v>
      </c>
    </row>
    <row r="9939">
      <c r="B9939" s="31"/>
      <c r="G9939" s="272" t="s">
        <v>1099</v>
      </c>
    </row>
    <row r="9940">
      <c r="B9940" s="31"/>
      <c r="G9940" s="272" t="s">
        <v>1099</v>
      </c>
    </row>
    <row r="9941">
      <c r="B9941" s="31"/>
      <c r="G9941" s="272" t="s">
        <v>1099</v>
      </c>
    </row>
    <row r="9942">
      <c r="B9942" s="31"/>
      <c r="G9942" s="272" t="s">
        <v>1099</v>
      </c>
    </row>
    <row r="9943">
      <c r="B9943" s="31"/>
      <c r="G9943" s="272" t="s">
        <v>1099</v>
      </c>
    </row>
    <row r="9944">
      <c r="B9944" s="31"/>
      <c r="G9944" s="272" t="s">
        <v>1099</v>
      </c>
    </row>
    <row r="9945">
      <c r="B9945" s="31"/>
      <c r="G9945" s="272" t="s">
        <v>1099</v>
      </c>
    </row>
    <row r="9946">
      <c r="B9946" s="31"/>
      <c r="G9946" s="272" t="s">
        <v>1099</v>
      </c>
    </row>
    <row r="9947">
      <c r="B9947" s="31"/>
      <c r="G9947" s="272" t="s">
        <v>1099</v>
      </c>
    </row>
    <row r="9948">
      <c r="B9948" s="31"/>
      <c r="G9948" s="272" t="s">
        <v>1099</v>
      </c>
    </row>
    <row r="9949">
      <c r="B9949" s="31"/>
      <c r="G9949" s="272" t="s">
        <v>1099</v>
      </c>
    </row>
    <row r="9950">
      <c r="B9950" s="31"/>
      <c r="G9950" s="272" t="s">
        <v>1099</v>
      </c>
    </row>
    <row r="9951">
      <c r="B9951" s="31"/>
      <c r="G9951" s="272" t="s">
        <v>1099</v>
      </c>
    </row>
    <row r="9952">
      <c r="B9952" s="31"/>
      <c r="G9952" s="272" t="s">
        <v>1099</v>
      </c>
    </row>
    <row r="9953">
      <c r="B9953" s="31"/>
      <c r="G9953" s="272" t="s">
        <v>1099</v>
      </c>
    </row>
    <row r="9954">
      <c r="B9954" s="31"/>
      <c r="G9954" s="272" t="s">
        <v>1099</v>
      </c>
    </row>
    <row r="9955">
      <c r="B9955" s="31"/>
      <c r="G9955" s="272" t="s">
        <v>1099</v>
      </c>
    </row>
    <row r="9956">
      <c r="B9956" s="31"/>
      <c r="G9956" s="272" t="s">
        <v>1099</v>
      </c>
    </row>
    <row r="9957">
      <c r="B9957" s="31"/>
      <c r="G9957" s="272" t="s">
        <v>1099</v>
      </c>
    </row>
    <row r="9958">
      <c r="B9958" s="31"/>
      <c r="G9958" s="272" t="s">
        <v>1099</v>
      </c>
    </row>
    <row r="9959">
      <c r="B9959" s="31"/>
      <c r="G9959" s="272" t="s">
        <v>1099</v>
      </c>
    </row>
    <row r="9960">
      <c r="B9960" s="31"/>
      <c r="G9960" s="272" t="s">
        <v>1099</v>
      </c>
    </row>
    <row r="9961">
      <c r="B9961" s="31"/>
      <c r="G9961" s="272" t="s">
        <v>1099</v>
      </c>
    </row>
    <row r="9962">
      <c r="B9962" s="31"/>
      <c r="G9962" s="272" t="s">
        <v>1099</v>
      </c>
    </row>
    <row r="9963">
      <c r="B9963" s="31"/>
      <c r="G9963" s="272" t="s">
        <v>1099</v>
      </c>
    </row>
    <row r="9964">
      <c r="B9964" s="31"/>
      <c r="G9964" s="272" t="s">
        <v>1099</v>
      </c>
    </row>
    <row r="9965">
      <c r="B9965" s="31"/>
      <c r="G9965" s="272" t="s">
        <v>1099</v>
      </c>
    </row>
    <row r="9966">
      <c r="B9966" s="31"/>
      <c r="G9966" s="272" t="s">
        <v>1099</v>
      </c>
    </row>
    <row r="9967">
      <c r="B9967" s="31"/>
      <c r="G9967" s="272" t="s">
        <v>1099</v>
      </c>
    </row>
    <row r="9968">
      <c r="B9968" s="31"/>
      <c r="G9968" s="272" t="s">
        <v>1099</v>
      </c>
    </row>
    <row r="9969">
      <c r="B9969" s="31"/>
      <c r="G9969" s="272" t="s">
        <v>1099</v>
      </c>
    </row>
    <row r="9970">
      <c r="B9970" s="31"/>
      <c r="G9970" s="272" t="s">
        <v>1099</v>
      </c>
    </row>
    <row r="9971">
      <c r="B9971" s="31"/>
      <c r="G9971" s="272" t="s">
        <v>1099</v>
      </c>
    </row>
    <row r="9972">
      <c r="B9972" s="31"/>
      <c r="G9972" s="272" t="s">
        <v>1099</v>
      </c>
    </row>
    <row r="9973">
      <c r="B9973" s="31"/>
      <c r="G9973" s="272" t="s">
        <v>1099</v>
      </c>
    </row>
    <row r="9974">
      <c r="B9974" s="31"/>
      <c r="G9974" s="272" t="s">
        <v>1099</v>
      </c>
    </row>
    <row r="9975">
      <c r="B9975" s="31"/>
      <c r="G9975" s="272" t="s">
        <v>1099</v>
      </c>
    </row>
    <row r="9976">
      <c r="B9976" s="31"/>
      <c r="G9976" s="272" t="s">
        <v>1099</v>
      </c>
    </row>
    <row r="9977">
      <c r="B9977" s="31"/>
      <c r="G9977" s="272" t="s">
        <v>1099</v>
      </c>
    </row>
    <row r="9978">
      <c r="B9978" s="31"/>
      <c r="G9978" s="272" t="s">
        <v>1099</v>
      </c>
    </row>
    <row r="9979">
      <c r="B9979" s="31"/>
      <c r="G9979" s="272" t="s">
        <v>1099</v>
      </c>
    </row>
    <row r="9980">
      <c r="B9980" s="31"/>
      <c r="G9980" s="272" t="s">
        <v>1099</v>
      </c>
    </row>
    <row r="9981">
      <c r="B9981" s="31"/>
      <c r="G9981" s="272" t="s">
        <v>1099</v>
      </c>
    </row>
    <row r="9982">
      <c r="B9982" s="31"/>
      <c r="G9982" s="272" t="s">
        <v>1099</v>
      </c>
    </row>
    <row r="9983">
      <c r="B9983" s="31"/>
      <c r="G9983" s="272" t="s">
        <v>1099</v>
      </c>
    </row>
    <row r="9984">
      <c r="B9984" s="31"/>
      <c r="G9984" s="272" t="s">
        <v>1099</v>
      </c>
    </row>
    <row r="9985">
      <c r="B9985" s="31"/>
      <c r="G9985" s="272" t="s">
        <v>1099</v>
      </c>
    </row>
    <row r="9986">
      <c r="B9986" s="31"/>
      <c r="G9986" s="272" t="s">
        <v>1099</v>
      </c>
    </row>
    <row r="9987">
      <c r="B9987" s="31"/>
      <c r="G9987" s="272" t="s">
        <v>1099</v>
      </c>
    </row>
    <row r="9988">
      <c r="B9988" s="31"/>
      <c r="G9988" s="272" t="s">
        <v>1099</v>
      </c>
    </row>
    <row r="9989">
      <c r="B9989" s="31"/>
      <c r="G9989" s="272" t="s">
        <v>1099</v>
      </c>
    </row>
    <row r="9990">
      <c r="B9990" s="31"/>
      <c r="G9990" s="272" t="s">
        <v>1099</v>
      </c>
    </row>
    <row r="9991">
      <c r="B9991" s="31"/>
      <c r="G9991" s="272" t="s">
        <v>1099</v>
      </c>
    </row>
    <row r="9992">
      <c r="B9992" s="31"/>
      <c r="G9992" s="272" t="s">
        <v>1099</v>
      </c>
    </row>
    <row r="9993">
      <c r="B9993" s="31"/>
      <c r="G9993" s="272" t="s">
        <v>1099</v>
      </c>
    </row>
    <row r="9994">
      <c r="B9994" s="31"/>
      <c r="G9994" s="272" t="s">
        <v>1099</v>
      </c>
    </row>
    <row r="9995">
      <c r="B9995" s="31"/>
      <c r="G9995" s="272" t="s">
        <v>1099</v>
      </c>
    </row>
    <row r="9996">
      <c r="B9996" s="31"/>
      <c r="G9996" s="272" t="s">
        <v>1099</v>
      </c>
    </row>
    <row r="9997">
      <c r="B9997" s="31"/>
      <c r="G9997" s="272" t="s">
        <v>1099</v>
      </c>
    </row>
    <row r="9998">
      <c r="B9998" s="31"/>
      <c r="G9998" s="272" t="s">
        <v>1099</v>
      </c>
    </row>
    <row r="9999">
      <c r="B9999" s="31"/>
      <c r="G9999" s="272" t="s">
        <v>1099</v>
      </c>
    </row>
    <row r="10000">
      <c r="B10000" s="31"/>
      <c r="G10000" s="272" t="s">
        <v>1099</v>
      </c>
    </row>
    <row r="10001">
      <c r="B10001" s="31"/>
      <c r="G10001" s="272" t="s">
        <v>1099</v>
      </c>
    </row>
    <row r="10002">
      <c r="B10002" s="31"/>
      <c r="G10002" s="272" t="s">
        <v>1099</v>
      </c>
    </row>
    <row r="10003">
      <c r="B10003" s="31"/>
      <c r="G10003" s="272" t="s">
        <v>1099</v>
      </c>
    </row>
    <row r="10004">
      <c r="B10004" s="31"/>
      <c r="G10004" s="272" t="s">
        <v>1099</v>
      </c>
    </row>
    <row r="10005">
      <c r="B10005" s="31"/>
      <c r="G10005" s="272" t="s">
        <v>1099</v>
      </c>
    </row>
    <row r="10006">
      <c r="B10006" s="31"/>
      <c r="G10006" s="272" t="s">
        <v>1099</v>
      </c>
    </row>
    <row r="10007">
      <c r="B10007" s="31"/>
      <c r="G10007" s="272" t="s">
        <v>1099</v>
      </c>
    </row>
    <row r="10008">
      <c r="B10008" s="31"/>
      <c r="G10008" s="272" t="s">
        <v>1099</v>
      </c>
    </row>
    <row r="10009">
      <c r="B10009" s="31"/>
      <c r="G10009" s="272" t="s">
        <v>1099</v>
      </c>
    </row>
    <row r="10010">
      <c r="B10010" s="31"/>
      <c r="G10010" s="272" t="s">
        <v>1099</v>
      </c>
    </row>
    <row r="10011">
      <c r="B10011" s="31"/>
      <c r="G10011" s="272" t="s">
        <v>1099</v>
      </c>
    </row>
    <row r="10012">
      <c r="B10012" s="31"/>
      <c r="G10012" s="272" t="s">
        <v>1099</v>
      </c>
    </row>
    <row r="10013">
      <c r="B10013" s="31"/>
      <c r="G10013" s="272" t="s">
        <v>1099</v>
      </c>
    </row>
    <row r="10014">
      <c r="B10014" s="31"/>
      <c r="G10014" s="272" t="s">
        <v>1099</v>
      </c>
    </row>
    <row r="10015">
      <c r="B10015" s="31"/>
      <c r="G10015" s="272" t="s">
        <v>1099</v>
      </c>
    </row>
    <row r="10016">
      <c r="B10016" s="31"/>
      <c r="G10016" s="272" t="s">
        <v>1099</v>
      </c>
    </row>
    <row r="10017">
      <c r="B10017" s="31"/>
      <c r="G10017" s="272" t="s">
        <v>1099</v>
      </c>
    </row>
    <row r="10018">
      <c r="B10018" s="31"/>
      <c r="G10018" s="272" t="s">
        <v>1099</v>
      </c>
    </row>
    <row r="10019">
      <c r="B10019" s="31"/>
      <c r="G10019" s="272" t="s">
        <v>1099</v>
      </c>
    </row>
    <row r="10020">
      <c r="B10020" s="31"/>
      <c r="G10020" s="272" t="s">
        <v>1099</v>
      </c>
    </row>
    <row r="10021">
      <c r="B10021" s="31"/>
      <c r="G10021" s="272" t="s">
        <v>1099</v>
      </c>
    </row>
    <row r="10022">
      <c r="B10022" s="31"/>
      <c r="G10022" s="272" t="s">
        <v>1099</v>
      </c>
    </row>
    <row r="10023">
      <c r="B10023" s="31"/>
      <c r="G10023" s="272" t="s">
        <v>1099</v>
      </c>
    </row>
    <row r="10024">
      <c r="B10024" s="31"/>
      <c r="G10024" s="272" t="s">
        <v>1099</v>
      </c>
    </row>
    <row r="10025">
      <c r="B10025" s="31"/>
      <c r="G10025" s="272" t="s">
        <v>1099</v>
      </c>
    </row>
    <row r="10026">
      <c r="B10026" s="31"/>
      <c r="G10026" s="272" t="s">
        <v>1099</v>
      </c>
    </row>
    <row r="10027">
      <c r="B10027" s="31"/>
      <c r="G10027" s="272" t="s">
        <v>1099</v>
      </c>
    </row>
    <row r="10028">
      <c r="B10028" s="31"/>
      <c r="G10028" s="272" t="s">
        <v>1099</v>
      </c>
    </row>
    <row r="10029">
      <c r="B10029" s="31"/>
      <c r="G10029" s="272" t="s">
        <v>1099</v>
      </c>
    </row>
    <row r="10030">
      <c r="B10030" s="31"/>
      <c r="G10030" s="272" t="s">
        <v>1099</v>
      </c>
    </row>
    <row r="10031">
      <c r="B10031" s="31"/>
      <c r="G10031" s="272" t="s">
        <v>1099</v>
      </c>
    </row>
    <row r="10032">
      <c r="B10032" s="31"/>
      <c r="G10032" s="272" t="s">
        <v>1099</v>
      </c>
    </row>
    <row r="10033">
      <c r="B10033" s="31"/>
      <c r="G10033" s="272" t="s">
        <v>1099</v>
      </c>
    </row>
    <row r="10034">
      <c r="B10034" s="31"/>
      <c r="G10034" s="272" t="s">
        <v>1099</v>
      </c>
    </row>
    <row r="10035">
      <c r="B10035" s="31"/>
      <c r="G10035" s="272" t="s">
        <v>1099</v>
      </c>
    </row>
    <row r="10036">
      <c r="B10036" s="31"/>
      <c r="G10036" s="272" t="s">
        <v>1099</v>
      </c>
    </row>
    <row r="10037">
      <c r="B10037" s="31"/>
      <c r="G10037" s="272" t="s">
        <v>1099</v>
      </c>
    </row>
    <row r="10038">
      <c r="B10038" s="31"/>
      <c r="G10038" s="272" t="s">
        <v>1099</v>
      </c>
    </row>
    <row r="10039">
      <c r="B10039" s="31"/>
      <c r="G10039" s="272" t="s">
        <v>1099</v>
      </c>
    </row>
    <row r="10040">
      <c r="B10040" s="31"/>
      <c r="G10040" s="272" t="s">
        <v>1099</v>
      </c>
    </row>
    <row r="10041">
      <c r="B10041" s="31"/>
      <c r="G10041" s="272" t="s">
        <v>1099</v>
      </c>
    </row>
    <row r="10042">
      <c r="B10042" s="31"/>
      <c r="G10042" s="272" t="s">
        <v>1099</v>
      </c>
    </row>
    <row r="10043">
      <c r="B10043" s="31"/>
      <c r="G10043" s="272" t="s">
        <v>1099</v>
      </c>
    </row>
    <row r="10044">
      <c r="B10044" s="31"/>
      <c r="G10044" s="272" t="s">
        <v>1099</v>
      </c>
    </row>
    <row r="10045">
      <c r="B10045" s="31"/>
      <c r="G10045" s="272" t="s">
        <v>1099</v>
      </c>
    </row>
    <row r="10046">
      <c r="B10046" s="31"/>
      <c r="G10046" s="272" t="s">
        <v>1099</v>
      </c>
    </row>
    <row r="10047">
      <c r="B10047" s="31"/>
      <c r="G10047" s="272" t="s">
        <v>1099</v>
      </c>
    </row>
    <row r="10048">
      <c r="B10048" s="31"/>
      <c r="G10048" s="272" t="s">
        <v>1099</v>
      </c>
    </row>
    <row r="10049">
      <c r="B10049" s="31"/>
      <c r="G10049" s="272" t="s">
        <v>1099</v>
      </c>
    </row>
    <row r="10050">
      <c r="B10050" s="31"/>
      <c r="G10050" s="272" t="s">
        <v>1099</v>
      </c>
    </row>
    <row r="10051">
      <c r="B10051" s="31"/>
      <c r="G10051" s="272" t="s">
        <v>1099</v>
      </c>
    </row>
    <row r="10052">
      <c r="B10052" s="31"/>
      <c r="G10052" s="272" t="s">
        <v>1099</v>
      </c>
    </row>
    <row r="10053">
      <c r="B10053" s="31"/>
      <c r="G10053" s="272" t="s">
        <v>1099</v>
      </c>
    </row>
    <row r="10054">
      <c r="B10054" s="31"/>
      <c r="G10054" s="272" t="s">
        <v>1099</v>
      </c>
    </row>
    <row r="10055">
      <c r="B10055" s="31"/>
      <c r="G10055" s="272" t="s">
        <v>1099</v>
      </c>
    </row>
    <row r="10056">
      <c r="B10056" s="31"/>
      <c r="G10056" s="272" t="s">
        <v>1099</v>
      </c>
    </row>
    <row r="10057">
      <c r="B10057" s="31"/>
      <c r="G10057" s="272" t="s">
        <v>1099</v>
      </c>
    </row>
    <row r="10058">
      <c r="B10058" s="31"/>
      <c r="G10058" s="272" t="s">
        <v>1099</v>
      </c>
    </row>
    <row r="10059">
      <c r="B10059" s="31"/>
      <c r="G10059" s="272" t="s">
        <v>1099</v>
      </c>
    </row>
    <row r="10060">
      <c r="B10060" s="31"/>
      <c r="G10060" s="272" t="s">
        <v>1099</v>
      </c>
    </row>
    <row r="10061">
      <c r="B10061" s="31"/>
      <c r="G10061" s="272" t="s">
        <v>1099</v>
      </c>
    </row>
    <row r="10062">
      <c r="B10062" s="31"/>
      <c r="G10062" s="272" t="s">
        <v>1099</v>
      </c>
    </row>
    <row r="10063">
      <c r="B10063" s="31"/>
      <c r="G10063" s="272" t="s">
        <v>1099</v>
      </c>
    </row>
    <row r="10064">
      <c r="B10064" s="31"/>
      <c r="G10064" s="272" t="s">
        <v>1099</v>
      </c>
    </row>
    <row r="10065">
      <c r="B10065" s="31"/>
      <c r="G10065" s="272" t="s">
        <v>1099</v>
      </c>
    </row>
    <row r="10066">
      <c r="B10066" s="31"/>
      <c r="G10066" s="272" t="s">
        <v>1099</v>
      </c>
    </row>
    <row r="10067">
      <c r="B10067" s="31"/>
      <c r="G10067" s="272" t="s">
        <v>1099</v>
      </c>
    </row>
    <row r="10068">
      <c r="B10068" s="31"/>
      <c r="G10068" s="272" t="s">
        <v>1099</v>
      </c>
    </row>
    <row r="10069">
      <c r="B10069" s="31"/>
      <c r="G10069" s="272" t="s">
        <v>1099</v>
      </c>
    </row>
    <row r="10070">
      <c r="B10070" s="31"/>
      <c r="G10070" s="272" t="s">
        <v>1099</v>
      </c>
    </row>
    <row r="10071">
      <c r="B10071" s="31"/>
      <c r="G10071" s="272" t="s">
        <v>1099</v>
      </c>
    </row>
    <row r="10072">
      <c r="B10072" s="31"/>
      <c r="G10072" s="272" t="s">
        <v>1099</v>
      </c>
    </row>
    <row r="10073">
      <c r="B10073" s="31"/>
      <c r="G10073" s="272" t="s">
        <v>1099</v>
      </c>
    </row>
    <row r="10074">
      <c r="B10074" s="31"/>
      <c r="G10074" s="272" t="s">
        <v>1099</v>
      </c>
    </row>
    <row r="10075">
      <c r="B10075" s="31"/>
      <c r="G10075" s="272" t="s">
        <v>1099</v>
      </c>
    </row>
    <row r="10076">
      <c r="B10076" s="31"/>
      <c r="G10076" s="272" t="s">
        <v>1099</v>
      </c>
    </row>
    <row r="10077">
      <c r="B10077" s="31"/>
      <c r="G10077" s="272" t="s">
        <v>1099</v>
      </c>
    </row>
    <row r="10078">
      <c r="B10078" s="31"/>
      <c r="G10078" s="272" t="s">
        <v>1099</v>
      </c>
    </row>
    <row r="10079">
      <c r="B10079" s="31"/>
      <c r="G10079" s="272" t="s">
        <v>1099</v>
      </c>
    </row>
    <row r="10080">
      <c r="B10080" s="31"/>
      <c r="G10080" s="272" t="s">
        <v>1099</v>
      </c>
    </row>
    <row r="10081">
      <c r="B10081" s="31"/>
      <c r="G10081" s="272" t="s">
        <v>1099</v>
      </c>
    </row>
    <row r="10082">
      <c r="B10082" s="31"/>
      <c r="G10082" s="272" t="s">
        <v>1099</v>
      </c>
    </row>
    <row r="10083">
      <c r="B10083" s="31"/>
      <c r="G10083" s="272" t="s">
        <v>1099</v>
      </c>
    </row>
    <row r="10084">
      <c r="B10084" s="31"/>
      <c r="G10084" s="272" t="s">
        <v>1099</v>
      </c>
    </row>
    <row r="10085">
      <c r="B10085" s="31"/>
      <c r="G10085" s="272" t="s">
        <v>1099</v>
      </c>
    </row>
    <row r="10086">
      <c r="B10086" s="31"/>
      <c r="G10086" s="272" t="s">
        <v>1099</v>
      </c>
    </row>
    <row r="10087">
      <c r="B10087" s="31"/>
      <c r="G10087" s="272" t="s">
        <v>1099</v>
      </c>
    </row>
    <row r="10088">
      <c r="B10088" s="31"/>
      <c r="G10088" s="272" t="s">
        <v>1099</v>
      </c>
    </row>
    <row r="10089">
      <c r="B10089" s="31"/>
      <c r="G10089" s="272" t="s">
        <v>1099</v>
      </c>
    </row>
    <row r="10090">
      <c r="B10090" s="31"/>
      <c r="G10090" s="272" t="s">
        <v>1099</v>
      </c>
    </row>
    <row r="10091">
      <c r="B10091" s="31"/>
      <c r="G10091" s="272" t="s">
        <v>1099</v>
      </c>
    </row>
    <row r="10092">
      <c r="B10092" s="31"/>
      <c r="G10092" s="272" t="s">
        <v>1099</v>
      </c>
    </row>
    <row r="10093">
      <c r="B10093" s="31"/>
      <c r="G10093" s="272" t="s">
        <v>1099</v>
      </c>
    </row>
    <row r="10094">
      <c r="B10094" s="31"/>
      <c r="G10094" s="272" t="s">
        <v>1099</v>
      </c>
    </row>
    <row r="10095">
      <c r="B10095" s="31"/>
      <c r="G10095" s="272" t="s">
        <v>1099</v>
      </c>
    </row>
    <row r="10096">
      <c r="B10096" s="31"/>
      <c r="G10096" s="272" t="s">
        <v>1099</v>
      </c>
    </row>
    <row r="10097">
      <c r="B10097" s="31"/>
      <c r="G10097" s="272" t="s">
        <v>1099</v>
      </c>
    </row>
    <row r="10098">
      <c r="B10098" s="31"/>
      <c r="G10098" s="272" t="s">
        <v>1099</v>
      </c>
    </row>
    <row r="10099">
      <c r="B10099" s="31"/>
      <c r="G10099" s="272" t="s">
        <v>1099</v>
      </c>
    </row>
    <row r="10100">
      <c r="B10100" s="31"/>
      <c r="G10100" s="272" t="s">
        <v>1099</v>
      </c>
    </row>
    <row r="10101">
      <c r="B10101" s="31"/>
      <c r="G10101" s="272" t="s">
        <v>1099</v>
      </c>
    </row>
    <row r="10102">
      <c r="B10102" s="31"/>
      <c r="G10102" s="272" t="s">
        <v>1099</v>
      </c>
    </row>
    <row r="10103">
      <c r="B10103" s="31"/>
      <c r="G10103" s="272" t="s">
        <v>1099</v>
      </c>
    </row>
    <row r="10104">
      <c r="B10104" s="31"/>
      <c r="G10104" s="272" t="s">
        <v>1099</v>
      </c>
    </row>
    <row r="10105">
      <c r="B10105" s="31"/>
      <c r="G10105" s="272" t="s">
        <v>1099</v>
      </c>
    </row>
    <row r="10106">
      <c r="B10106" s="31"/>
      <c r="G10106" s="272" t="s">
        <v>1099</v>
      </c>
    </row>
    <row r="10107">
      <c r="B10107" s="31"/>
      <c r="G10107" s="272" t="s">
        <v>1099</v>
      </c>
    </row>
    <row r="10108">
      <c r="B10108" s="31"/>
      <c r="G10108" s="272" t="s">
        <v>1099</v>
      </c>
    </row>
    <row r="10109">
      <c r="B10109" s="31"/>
      <c r="G10109" s="272" t="s">
        <v>1099</v>
      </c>
    </row>
    <row r="10110">
      <c r="B10110" s="31"/>
      <c r="G10110" s="272" t="s">
        <v>1099</v>
      </c>
    </row>
    <row r="10111">
      <c r="B10111" s="31"/>
      <c r="G10111" s="272" t="s">
        <v>1099</v>
      </c>
    </row>
    <row r="10112">
      <c r="B10112" s="31"/>
      <c r="G10112" s="272" t="s">
        <v>1099</v>
      </c>
    </row>
    <row r="10113">
      <c r="B10113" s="31"/>
      <c r="G10113" s="272" t="s">
        <v>1099</v>
      </c>
    </row>
    <row r="10114">
      <c r="B10114" s="31"/>
      <c r="G10114" s="272" t="s">
        <v>1099</v>
      </c>
    </row>
    <row r="10115">
      <c r="B10115" s="31"/>
      <c r="G10115" s="272" t="s">
        <v>1099</v>
      </c>
    </row>
    <row r="10116">
      <c r="B10116" s="31"/>
      <c r="G10116" s="272" t="s">
        <v>1099</v>
      </c>
    </row>
    <row r="10117">
      <c r="B10117" s="31"/>
      <c r="G10117" s="272" t="s">
        <v>1099</v>
      </c>
    </row>
    <row r="10118">
      <c r="B10118" s="31"/>
      <c r="G10118" s="272" t="s">
        <v>1099</v>
      </c>
    </row>
    <row r="10119">
      <c r="B10119" s="31"/>
      <c r="G10119" s="272" t="s">
        <v>1099</v>
      </c>
    </row>
    <row r="10120">
      <c r="B10120" s="31"/>
      <c r="G10120" s="272" t="s">
        <v>1099</v>
      </c>
    </row>
    <row r="10121">
      <c r="B10121" s="31"/>
      <c r="G10121" s="272" t="s">
        <v>1099</v>
      </c>
    </row>
    <row r="10122">
      <c r="B10122" s="31"/>
      <c r="G10122" s="272" t="s">
        <v>1099</v>
      </c>
    </row>
    <row r="10123">
      <c r="B10123" s="31"/>
      <c r="G10123" s="272" t="s">
        <v>1099</v>
      </c>
    </row>
    <row r="10124">
      <c r="B10124" s="31"/>
      <c r="G10124" s="272" t="s">
        <v>1099</v>
      </c>
    </row>
    <row r="10125">
      <c r="B10125" s="31"/>
      <c r="G10125" s="272" t="s">
        <v>1099</v>
      </c>
    </row>
    <row r="10126">
      <c r="B10126" s="31"/>
      <c r="G10126" s="272" t="s">
        <v>1099</v>
      </c>
    </row>
    <row r="10127">
      <c r="B10127" s="31"/>
      <c r="G10127" s="272" t="s">
        <v>1099</v>
      </c>
    </row>
    <row r="10128">
      <c r="B10128" s="31"/>
      <c r="G10128" s="272" t="s">
        <v>1099</v>
      </c>
    </row>
    <row r="10129">
      <c r="B10129" s="31"/>
      <c r="G10129" s="272" t="s">
        <v>1099</v>
      </c>
    </row>
    <row r="10130">
      <c r="B10130" s="31"/>
      <c r="G10130" s="272" t="s">
        <v>1099</v>
      </c>
    </row>
    <row r="10131">
      <c r="B10131" s="31"/>
      <c r="G10131" s="272" t="s">
        <v>1099</v>
      </c>
    </row>
    <row r="10132">
      <c r="B10132" s="31"/>
      <c r="G10132" s="272" t="s">
        <v>1099</v>
      </c>
    </row>
    <row r="10133">
      <c r="B10133" s="31"/>
      <c r="G10133" s="272" t="s">
        <v>1099</v>
      </c>
    </row>
    <row r="10134">
      <c r="B10134" s="31"/>
      <c r="G10134" s="272" t="s">
        <v>1099</v>
      </c>
    </row>
    <row r="10135">
      <c r="B10135" s="31"/>
      <c r="G10135" s="272" t="s">
        <v>1099</v>
      </c>
    </row>
    <row r="10136">
      <c r="B10136" s="31"/>
      <c r="G10136" s="272" t="s">
        <v>1099</v>
      </c>
    </row>
    <row r="10137">
      <c r="B10137" s="31"/>
      <c r="G10137" s="272" t="s">
        <v>1099</v>
      </c>
    </row>
    <row r="10138">
      <c r="B10138" s="31"/>
      <c r="G10138" s="272" t="s">
        <v>1099</v>
      </c>
    </row>
    <row r="10139">
      <c r="B10139" s="31"/>
      <c r="G10139" s="272" t="s">
        <v>1099</v>
      </c>
    </row>
    <row r="10140">
      <c r="B10140" s="31"/>
      <c r="G10140" s="272" t="s">
        <v>1099</v>
      </c>
    </row>
    <row r="10141">
      <c r="B10141" s="31"/>
      <c r="G10141" s="272" t="s">
        <v>1099</v>
      </c>
    </row>
    <row r="10142">
      <c r="B10142" s="31"/>
      <c r="G10142" s="272" t="s">
        <v>1099</v>
      </c>
    </row>
    <row r="10143">
      <c r="B10143" s="31"/>
      <c r="G10143" s="272" t="s">
        <v>1099</v>
      </c>
    </row>
    <row r="10144">
      <c r="B10144" s="31"/>
      <c r="G10144" s="272" t="s">
        <v>1099</v>
      </c>
    </row>
    <row r="10145">
      <c r="B10145" s="31"/>
      <c r="G10145" s="272" t="s">
        <v>1099</v>
      </c>
    </row>
    <row r="10146">
      <c r="B10146" s="31"/>
      <c r="G10146" s="272" t="s">
        <v>1099</v>
      </c>
    </row>
    <row r="10147">
      <c r="B10147" s="31"/>
      <c r="G10147" s="272" t="s">
        <v>1099</v>
      </c>
    </row>
    <row r="10148">
      <c r="B10148" s="31"/>
      <c r="G10148" s="272" t="s">
        <v>1099</v>
      </c>
    </row>
    <row r="10149">
      <c r="B10149" s="31"/>
      <c r="G10149" s="272" t="s">
        <v>1099</v>
      </c>
    </row>
    <row r="10150">
      <c r="B10150" s="31"/>
      <c r="G10150" s="272" t="s">
        <v>1099</v>
      </c>
    </row>
    <row r="10151">
      <c r="B10151" s="31"/>
      <c r="G10151" s="272" t="s">
        <v>1099</v>
      </c>
    </row>
    <row r="10152">
      <c r="B10152" s="31"/>
      <c r="G10152" s="272" t="s">
        <v>1099</v>
      </c>
    </row>
    <row r="10153">
      <c r="B10153" s="31"/>
      <c r="G10153" s="272" t="s">
        <v>1099</v>
      </c>
    </row>
    <row r="10154">
      <c r="B10154" s="31"/>
      <c r="G10154" s="272" t="s">
        <v>1099</v>
      </c>
    </row>
    <row r="10155">
      <c r="B10155" s="31"/>
      <c r="G10155" s="272" t="s">
        <v>1099</v>
      </c>
    </row>
    <row r="10156">
      <c r="B10156" s="31"/>
      <c r="G10156" s="272" t="s">
        <v>1099</v>
      </c>
    </row>
    <row r="10157">
      <c r="B10157" s="31"/>
      <c r="G10157" s="272" t="s">
        <v>1099</v>
      </c>
    </row>
    <row r="10158">
      <c r="B10158" s="31"/>
      <c r="G10158" s="272" t="s">
        <v>1099</v>
      </c>
    </row>
    <row r="10159">
      <c r="B10159" s="31"/>
      <c r="G10159" s="272" t="s">
        <v>1099</v>
      </c>
    </row>
    <row r="10160">
      <c r="B10160" s="31"/>
      <c r="G10160" s="272" t="s">
        <v>1099</v>
      </c>
    </row>
    <row r="10161">
      <c r="B10161" s="31"/>
      <c r="G10161" s="272" t="s">
        <v>1099</v>
      </c>
    </row>
    <row r="10162">
      <c r="B10162" s="31"/>
      <c r="G10162" s="272" t="s">
        <v>1099</v>
      </c>
    </row>
    <row r="10163">
      <c r="B10163" s="31"/>
      <c r="G10163" s="272" t="s">
        <v>1099</v>
      </c>
    </row>
    <row r="10164">
      <c r="B10164" s="31"/>
      <c r="G10164" s="272" t="s">
        <v>1099</v>
      </c>
    </row>
    <row r="10165">
      <c r="B10165" s="31"/>
      <c r="G10165" s="272" t="s">
        <v>1099</v>
      </c>
    </row>
    <row r="10166">
      <c r="B10166" s="31"/>
      <c r="G10166" s="272" t="s">
        <v>1099</v>
      </c>
    </row>
    <row r="10167">
      <c r="B10167" s="31"/>
      <c r="G10167" s="272" t="s">
        <v>1099</v>
      </c>
    </row>
    <row r="10168">
      <c r="B10168" s="31"/>
      <c r="G10168" s="272" t="s">
        <v>1099</v>
      </c>
    </row>
    <row r="10169">
      <c r="B10169" s="31"/>
      <c r="G10169" s="272" t="s">
        <v>1099</v>
      </c>
    </row>
    <row r="10170">
      <c r="B10170" s="31"/>
      <c r="G10170" s="272" t="s">
        <v>1099</v>
      </c>
    </row>
    <row r="10171">
      <c r="B10171" s="31"/>
      <c r="G10171" s="272" t="s">
        <v>1099</v>
      </c>
    </row>
    <row r="10172">
      <c r="B10172" s="31"/>
      <c r="G10172" s="272" t="s">
        <v>1099</v>
      </c>
    </row>
    <row r="10173">
      <c r="B10173" s="31"/>
      <c r="G10173" s="272" t="s">
        <v>1099</v>
      </c>
    </row>
    <row r="10174">
      <c r="B10174" s="31"/>
      <c r="G10174" s="272" t="s">
        <v>1099</v>
      </c>
    </row>
    <row r="10175">
      <c r="B10175" s="31"/>
      <c r="G10175" s="272" t="s">
        <v>1099</v>
      </c>
    </row>
    <row r="10176">
      <c r="B10176" s="31"/>
      <c r="G10176" s="272" t="s">
        <v>1099</v>
      </c>
    </row>
    <row r="10177">
      <c r="B10177" s="31"/>
      <c r="G10177" s="272" t="s">
        <v>1099</v>
      </c>
    </row>
    <row r="10178">
      <c r="B10178" s="31"/>
      <c r="G10178" s="272" t="s">
        <v>1099</v>
      </c>
    </row>
    <row r="10179">
      <c r="B10179" s="31"/>
      <c r="G10179" s="272" t="s">
        <v>1099</v>
      </c>
    </row>
    <row r="10180">
      <c r="B10180" s="31"/>
      <c r="G10180" s="272" t="s">
        <v>1099</v>
      </c>
    </row>
    <row r="10181">
      <c r="B10181" s="31"/>
      <c r="G10181" s="272" t="s">
        <v>1099</v>
      </c>
    </row>
    <row r="10182">
      <c r="B10182" s="31"/>
      <c r="G10182" s="272" t="s">
        <v>1099</v>
      </c>
    </row>
    <row r="10183">
      <c r="B10183" s="31"/>
      <c r="G10183" s="272" t="s">
        <v>1099</v>
      </c>
    </row>
    <row r="10184">
      <c r="B10184" s="31"/>
      <c r="G10184" s="272" t="s">
        <v>1099</v>
      </c>
    </row>
    <row r="10185">
      <c r="B10185" s="31"/>
      <c r="G10185" s="272" t="s">
        <v>1099</v>
      </c>
    </row>
    <row r="10186">
      <c r="B10186" s="31"/>
      <c r="G10186" s="272" t="s">
        <v>1099</v>
      </c>
    </row>
    <row r="10187">
      <c r="B10187" s="31"/>
      <c r="G10187" s="272" t="s">
        <v>1099</v>
      </c>
    </row>
    <row r="10188">
      <c r="B10188" s="31"/>
      <c r="G10188" s="272" t="s">
        <v>1099</v>
      </c>
    </row>
    <row r="10189">
      <c r="B10189" s="31"/>
      <c r="G10189" s="272" t="s">
        <v>1099</v>
      </c>
    </row>
    <row r="10190">
      <c r="B10190" s="31"/>
      <c r="G10190" s="272" t="s">
        <v>1099</v>
      </c>
    </row>
    <row r="10191">
      <c r="B10191" s="31"/>
      <c r="G10191" s="272" t="s">
        <v>1099</v>
      </c>
    </row>
    <row r="10192">
      <c r="B10192" s="31"/>
      <c r="G10192" s="272" t="s">
        <v>1099</v>
      </c>
    </row>
    <row r="10193">
      <c r="B10193" s="31"/>
      <c r="G10193" s="272" t="s">
        <v>1099</v>
      </c>
    </row>
    <row r="10194">
      <c r="B10194" s="31"/>
      <c r="G10194" s="272" t="s">
        <v>1099</v>
      </c>
    </row>
    <row r="10195">
      <c r="B10195" s="31"/>
      <c r="G10195" s="272" t="s">
        <v>1099</v>
      </c>
    </row>
    <row r="10196">
      <c r="B10196" s="31"/>
      <c r="G10196" s="272" t="s">
        <v>1099</v>
      </c>
    </row>
    <row r="10197">
      <c r="B10197" s="31"/>
      <c r="G10197" s="272" t="s">
        <v>1099</v>
      </c>
    </row>
    <row r="10198">
      <c r="B10198" s="31"/>
      <c r="G10198" s="272" t="s">
        <v>1099</v>
      </c>
    </row>
    <row r="10199">
      <c r="B10199" s="31"/>
      <c r="G10199" s="272" t="s">
        <v>1099</v>
      </c>
    </row>
    <row r="10200">
      <c r="B10200" s="31"/>
      <c r="G10200" s="272" t="s">
        <v>1099</v>
      </c>
    </row>
    <row r="10201">
      <c r="B10201" s="31"/>
      <c r="G10201" s="272" t="s">
        <v>1099</v>
      </c>
    </row>
    <row r="10202">
      <c r="B10202" s="31"/>
      <c r="G10202" s="272" t="s">
        <v>1099</v>
      </c>
    </row>
    <row r="10203">
      <c r="B10203" s="31"/>
      <c r="G10203" s="272" t="s">
        <v>1099</v>
      </c>
    </row>
    <row r="10204">
      <c r="B10204" s="31"/>
      <c r="G10204" s="272" t="s">
        <v>1099</v>
      </c>
    </row>
    <row r="10205">
      <c r="B10205" s="31"/>
      <c r="G10205" s="272" t="s">
        <v>1099</v>
      </c>
    </row>
    <row r="10206">
      <c r="B10206" s="31"/>
      <c r="G10206" s="272" t="s">
        <v>1099</v>
      </c>
    </row>
    <row r="10207">
      <c r="B10207" s="31"/>
      <c r="G10207" s="272" t="s">
        <v>1099</v>
      </c>
    </row>
    <row r="10208">
      <c r="B10208" s="31"/>
      <c r="G10208" s="272" t="s">
        <v>1099</v>
      </c>
    </row>
    <row r="10209">
      <c r="B10209" s="31"/>
      <c r="G10209" s="272" t="s">
        <v>1099</v>
      </c>
    </row>
    <row r="10210">
      <c r="B10210" s="31"/>
      <c r="G10210" s="272" t="s">
        <v>1099</v>
      </c>
    </row>
    <row r="10211">
      <c r="B10211" s="31"/>
      <c r="G10211" s="272" t="s">
        <v>1099</v>
      </c>
    </row>
    <row r="10212">
      <c r="B10212" s="31"/>
      <c r="G10212" s="272" t="s">
        <v>1099</v>
      </c>
    </row>
    <row r="10213">
      <c r="B10213" s="31"/>
      <c r="G10213" s="272" t="s">
        <v>1099</v>
      </c>
    </row>
    <row r="10214">
      <c r="B10214" s="31"/>
      <c r="G10214" s="272" t="s">
        <v>1099</v>
      </c>
    </row>
    <row r="10215">
      <c r="B10215" s="31"/>
      <c r="G10215" s="272" t="s">
        <v>1099</v>
      </c>
    </row>
    <row r="10216">
      <c r="B10216" s="31"/>
      <c r="G10216" s="272" t="s">
        <v>1099</v>
      </c>
    </row>
    <row r="10217">
      <c r="B10217" s="31"/>
      <c r="G10217" s="272" t="s">
        <v>1099</v>
      </c>
    </row>
    <row r="10218">
      <c r="B10218" s="31"/>
      <c r="G10218" s="272" t="s">
        <v>1099</v>
      </c>
    </row>
    <row r="10219">
      <c r="B10219" s="31"/>
      <c r="G10219" s="272" t="s">
        <v>1099</v>
      </c>
    </row>
    <row r="10220">
      <c r="B10220" s="31"/>
      <c r="G10220" s="272" t="s">
        <v>1099</v>
      </c>
    </row>
    <row r="10221">
      <c r="B10221" s="31"/>
      <c r="G10221" s="272" t="s">
        <v>1099</v>
      </c>
    </row>
    <row r="10222">
      <c r="B10222" s="31"/>
      <c r="G10222" s="272" t="s">
        <v>1099</v>
      </c>
    </row>
    <row r="10223">
      <c r="B10223" s="31"/>
      <c r="G10223" s="272" t="s">
        <v>1099</v>
      </c>
    </row>
    <row r="10224">
      <c r="B10224" s="31"/>
      <c r="G10224" s="272" t="s">
        <v>1099</v>
      </c>
    </row>
    <row r="10225">
      <c r="B10225" s="31"/>
      <c r="G10225" s="272" t="s">
        <v>1099</v>
      </c>
    </row>
    <row r="10226">
      <c r="B10226" s="31"/>
      <c r="G10226" s="272" t="s">
        <v>1099</v>
      </c>
    </row>
    <row r="10227">
      <c r="B10227" s="31"/>
      <c r="G10227" s="272" t="s">
        <v>1099</v>
      </c>
    </row>
    <row r="10228">
      <c r="B10228" s="31"/>
      <c r="G10228" s="272" t="s">
        <v>1099</v>
      </c>
    </row>
    <row r="10229">
      <c r="B10229" s="31"/>
      <c r="G10229" s="272" t="s">
        <v>1099</v>
      </c>
    </row>
    <row r="10230">
      <c r="B10230" s="31"/>
      <c r="G10230" s="272" t="s">
        <v>1099</v>
      </c>
    </row>
    <row r="10231">
      <c r="B10231" s="31"/>
      <c r="G10231" s="272" t="s">
        <v>1099</v>
      </c>
    </row>
    <row r="10232">
      <c r="B10232" s="31"/>
      <c r="G10232" s="272" t="s">
        <v>1099</v>
      </c>
    </row>
    <row r="10233">
      <c r="B10233" s="31"/>
      <c r="G10233" s="272" t="s">
        <v>1099</v>
      </c>
    </row>
    <row r="10234">
      <c r="B10234" s="31"/>
      <c r="G10234" s="272" t="s">
        <v>1099</v>
      </c>
    </row>
    <row r="10235">
      <c r="B10235" s="31"/>
      <c r="G10235" s="272" t="s">
        <v>1099</v>
      </c>
    </row>
    <row r="10236">
      <c r="B10236" s="31"/>
      <c r="G10236" s="272" t="s">
        <v>1099</v>
      </c>
    </row>
    <row r="10237">
      <c r="B10237" s="31"/>
      <c r="G10237" s="272" t="s">
        <v>1099</v>
      </c>
    </row>
    <row r="10238">
      <c r="B10238" s="31"/>
      <c r="G10238" s="272" t="s">
        <v>1099</v>
      </c>
    </row>
    <row r="10239">
      <c r="B10239" s="31"/>
      <c r="G10239" s="272" t="s">
        <v>1099</v>
      </c>
    </row>
    <row r="10240">
      <c r="B10240" s="31"/>
      <c r="G10240" s="272" t="s">
        <v>1099</v>
      </c>
    </row>
    <row r="10241">
      <c r="B10241" s="31"/>
      <c r="G10241" s="272" t="s">
        <v>1099</v>
      </c>
    </row>
    <row r="10242">
      <c r="B10242" s="31"/>
      <c r="G10242" s="272" t="s">
        <v>1099</v>
      </c>
    </row>
    <row r="10243">
      <c r="B10243" s="31"/>
      <c r="G10243" s="272" t="s">
        <v>1099</v>
      </c>
    </row>
    <row r="10244">
      <c r="B10244" s="31"/>
      <c r="G10244" s="272" t="s">
        <v>1099</v>
      </c>
    </row>
    <row r="10245">
      <c r="B10245" s="31"/>
      <c r="G10245" s="272" t="s">
        <v>1099</v>
      </c>
    </row>
    <row r="10246">
      <c r="B10246" s="31"/>
      <c r="G10246" s="272" t="s">
        <v>1099</v>
      </c>
    </row>
    <row r="10247">
      <c r="B10247" s="31"/>
      <c r="G10247" s="272" t="s">
        <v>1099</v>
      </c>
    </row>
    <row r="10248">
      <c r="B10248" s="31"/>
      <c r="G10248" s="272" t="s">
        <v>1099</v>
      </c>
    </row>
    <row r="10249">
      <c r="B10249" s="31"/>
      <c r="G10249" s="272" t="s">
        <v>1099</v>
      </c>
    </row>
    <row r="10250">
      <c r="B10250" s="31"/>
      <c r="G10250" s="272" t="s">
        <v>1099</v>
      </c>
    </row>
    <row r="10251">
      <c r="B10251" s="31"/>
      <c r="G10251" s="272" t="s">
        <v>1099</v>
      </c>
    </row>
    <row r="10252">
      <c r="B10252" s="31"/>
      <c r="G10252" s="272" t="s">
        <v>1099</v>
      </c>
    </row>
    <row r="10253">
      <c r="B10253" s="31"/>
      <c r="G10253" s="272" t="s">
        <v>1099</v>
      </c>
    </row>
    <row r="10254">
      <c r="B10254" s="31"/>
      <c r="G10254" s="272" t="s">
        <v>1099</v>
      </c>
    </row>
    <row r="10255">
      <c r="B10255" s="31"/>
      <c r="G10255" s="272" t="s">
        <v>1099</v>
      </c>
    </row>
    <row r="10256">
      <c r="B10256" s="31"/>
      <c r="G10256" s="272" t="s">
        <v>1099</v>
      </c>
    </row>
    <row r="10257">
      <c r="B10257" s="31"/>
      <c r="G10257" s="272" t="s">
        <v>1099</v>
      </c>
    </row>
    <row r="10258">
      <c r="B10258" s="31"/>
      <c r="G10258" s="272" t="s">
        <v>1099</v>
      </c>
    </row>
    <row r="10259">
      <c r="B10259" s="31"/>
      <c r="G10259" s="272" t="s">
        <v>1099</v>
      </c>
    </row>
    <row r="10260">
      <c r="B10260" s="31"/>
      <c r="G10260" s="272" t="s">
        <v>1099</v>
      </c>
    </row>
    <row r="10261">
      <c r="B10261" s="31"/>
      <c r="G10261" s="272" t="s">
        <v>1099</v>
      </c>
    </row>
    <row r="10262">
      <c r="B10262" s="31"/>
      <c r="G10262" s="272" t="s">
        <v>1099</v>
      </c>
    </row>
    <row r="10263">
      <c r="B10263" s="31"/>
      <c r="G10263" s="272" t="s">
        <v>1099</v>
      </c>
    </row>
    <row r="10264">
      <c r="B10264" s="31"/>
      <c r="G10264" s="272" t="s">
        <v>1099</v>
      </c>
    </row>
    <row r="10265">
      <c r="B10265" s="31"/>
      <c r="G10265" s="272" t="s">
        <v>1099</v>
      </c>
    </row>
    <row r="10266">
      <c r="B10266" s="31"/>
      <c r="G10266" s="272" t="s">
        <v>1099</v>
      </c>
    </row>
    <row r="10267">
      <c r="B10267" s="31"/>
      <c r="G10267" s="272" t="s">
        <v>1099</v>
      </c>
    </row>
    <row r="10268">
      <c r="B10268" s="31"/>
      <c r="G10268" s="272" t="s">
        <v>1099</v>
      </c>
    </row>
    <row r="10269">
      <c r="B10269" s="31"/>
      <c r="G10269" s="272" t="s">
        <v>1099</v>
      </c>
    </row>
    <row r="10270">
      <c r="B10270" s="31"/>
      <c r="G10270" s="272" t="s">
        <v>1099</v>
      </c>
    </row>
    <row r="10271">
      <c r="B10271" s="31"/>
      <c r="G10271" s="272" t="s">
        <v>1099</v>
      </c>
    </row>
    <row r="10272">
      <c r="B10272" s="31"/>
      <c r="G10272" s="272" t="s">
        <v>1099</v>
      </c>
    </row>
    <row r="10273">
      <c r="B10273" s="31"/>
      <c r="G10273" s="272" t="s">
        <v>1099</v>
      </c>
    </row>
    <row r="10274">
      <c r="B10274" s="31"/>
      <c r="G10274" s="272" t="s">
        <v>1099</v>
      </c>
    </row>
    <row r="10275">
      <c r="B10275" s="31"/>
      <c r="G10275" s="272" t="s">
        <v>1099</v>
      </c>
    </row>
    <row r="10276">
      <c r="B10276" s="31"/>
      <c r="G10276" s="272" t="s">
        <v>1099</v>
      </c>
    </row>
    <row r="10277">
      <c r="B10277" s="31"/>
      <c r="G10277" s="272" t="s">
        <v>1099</v>
      </c>
    </row>
    <row r="10278">
      <c r="B10278" s="31"/>
      <c r="G10278" s="272" t="s">
        <v>1099</v>
      </c>
    </row>
    <row r="10279">
      <c r="B10279" s="31"/>
      <c r="G10279" s="272" t="s">
        <v>1099</v>
      </c>
    </row>
    <row r="10280">
      <c r="B10280" s="31"/>
      <c r="G10280" s="272" t="s">
        <v>1099</v>
      </c>
    </row>
    <row r="10281">
      <c r="B10281" s="31"/>
      <c r="G10281" s="272" t="s">
        <v>1099</v>
      </c>
    </row>
    <row r="10282">
      <c r="B10282" s="31"/>
      <c r="G10282" s="272" t="s">
        <v>1099</v>
      </c>
    </row>
    <row r="10283">
      <c r="B10283" s="31"/>
      <c r="G10283" s="272" t="s">
        <v>1099</v>
      </c>
    </row>
    <row r="10284">
      <c r="B10284" s="31"/>
      <c r="G10284" s="272" t="s">
        <v>1099</v>
      </c>
    </row>
    <row r="10285">
      <c r="B10285" s="31"/>
      <c r="G10285" s="272" t="s">
        <v>1099</v>
      </c>
    </row>
    <row r="10286">
      <c r="B10286" s="31"/>
      <c r="G10286" s="272" t="s">
        <v>1099</v>
      </c>
    </row>
    <row r="10287">
      <c r="B10287" s="31"/>
      <c r="G10287" s="272" t="s">
        <v>1099</v>
      </c>
    </row>
    <row r="10288">
      <c r="B10288" s="31"/>
      <c r="G10288" s="272" t="s">
        <v>1099</v>
      </c>
    </row>
    <row r="10289">
      <c r="B10289" s="31"/>
      <c r="G10289" s="272" t="s">
        <v>1099</v>
      </c>
    </row>
    <row r="10290">
      <c r="B10290" s="31"/>
      <c r="G10290" s="272" t="s">
        <v>1099</v>
      </c>
    </row>
    <row r="10291">
      <c r="B10291" s="31"/>
      <c r="G10291" s="272" t="s">
        <v>1099</v>
      </c>
    </row>
    <row r="10292">
      <c r="B10292" s="31"/>
      <c r="G10292" s="272" t="s">
        <v>1099</v>
      </c>
    </row>
    <row r="10293">
      <c r="B10293" s="31"/>
      <c r="G10293" s="272" t="s">
        <v>1099</v>
      </c>
    </row>
    <row r="10294">
      <c r="B10294" s="31"/>
      <c r="G10294" s="272" t="s">
        <v>1099</v>
      </c>
    </row>
    <row r="10295">
      <c r="B10295" s="31"/>
      <c r="G10295" s="272" t="s">
        <v>1099</v>
      </c>
    </row>
    <row r="10296">
      <c r="B10296" s="31"/>
      <c r="G10296" s="272" t="s">
        <v>1099</v>
      </c>
    </row>
    <row r="10297">
      <c r="B10297" s="31"/>
      <c r="G10297" s="272" t="s">
        <v>1099</v>
      </c>
    </row>
    <row r="10298">
      <c r="B10298" s="31"/>
      <c r="G10298" s="272" t="s">
        <v>1099</v>
      </c>
    </row>
    <row r="10299">
      <c r="B10299" s="31"/>
      <c r="G10299" s="272" t="s">
        <v>1099</v>
      </c>
    </row>
    <row r="10300">
      <c r="B10300" s="31"/>
      <c r="G10300" s="272" t="s">
        <v>1099</v>
      </c>
    </row>
    <row r="10301">
      <c r="B10301" s="31"/>
      <c r="G10301" s="272" t="s">
        <v>1099</v>
      </c>
    </row>
    <row r="10302">
      <c r="B10302" s="31"/>
      <c r="G10302" s="272" t="s">
        <v>1099</v>
      </c>
    </row>
    <row r="10303">
      <c r="B10303" s="31"/>
      <c r="G10303" s="272" t="s">
        <v>1099</v>
      </c>
    </row>
    <row r="10304">
      <c r="B10304" s="31"/>
      <c r="G10304" s="272" t="s">
        <v>1099</v>
      </c>
    </row>
    <row r="10305">
      <c r="B10305" s="31"/>
      <c r="G10305" s="272" t="s">
        <v>1099</v>
      </c>
    </row>
    <row r="10306">
      <c r="B10306" s="31"/>
      <c r="G10306" s="272" t="s">
        <v>1099</v>
      </c>
    </row>
    <row r="10307">
      <c r="B10307" s="31"/>
      <c r="G10307" s="272" t="s">
        <v>1099</v>
      </c>
    </row>
    <row r="10308">
      <c r="B10308" s="31"/>
      <c r="G10308" s="272" t="s">
        <v>1099</v>
      </c>
    </row>
    <row r="10309">
      <c r="B10309" s="31"/>
      <c r="G10309" s="272" t="s">
        <v>1099</v>
      </c>
    </row>
    <row r="10310">
      <c r="B10310" s="31"/>
      <c r="G10310" s="272" t="s">
        <v>1099</v>
      </c>
    </row>
    <row r="10311">
      <c r="B10311" s="31"/>
      <c r="G10311" s="272" t="s">
        <v>1099</v>
      </c>
    </row>
    <row r="10312">
      <c r="B10312" s="31"/>
      <c r="G10312" s="272" t="s">
        <v>1099</v>
      </c>
    </row>
    <row r="10313">
      <c r="B10313" s="31"/>
      <c r="G10313" s="272" t="s">
        <v>1099</v>
      </c>
    </row>
    <row r="10314">
      <c r="B10314" s="31"/>
      <c r="G10314" s="272" t="s">
        <v>1099</v>
      </c>
    </row>
    <row r="10315">
      <c r="B10315" s="31"/>
      <c r="G10315" s="272" t="s">
        <v>1099</v>
      </c>
    </row>
    <row r="10316">
      <c r="B10316" s="31"/>
      <c r="G10316" s="272" t="s">
        <v>1099</v>
      </c>
    </row>
    <row r="10317">
      <c r="B10317" s="31"/>
      <c r="G10317" s="272" t="s">
        <v>1099</v>
      </c>
    </row>
    <row r="10318">
      <c r="B10318" s="31"/>
      <c r="G10318" s="272" t="s">
        <v>1099</v>
      </c>
    </row>
    <row r="10319">
      <c r="B10319" s="31"/>
      <c r="G10319" s="272" t="s">
        <v>1099</v>
      </c>
    </row>
    <row r="10320">
      <c r="B10320" s="31"/>
      <c r="G10320" s="272" t="s">
        <v>1099</v>
      </c>
    </row>
    <row r="10321">
      <c r="B10321" s="31"/>
      <c r="G10321" s="272" t="s">
        <v>1099</v>
      </c>
    </row>
    <row r="10322">
      <c r="B10322" s="31"/>
      <c r="G10322" s="272" t="s">
        <v>1099</v>
      </c>
    </row>
    <row r="10323">
      <c r="B10323" s="31"/>
      <c r="G10323" s="272" t="s">
        <v>1099</v>
      </c>
    </row>
    <row r="10324">
      <c r="B10324" s="31"/>
      <c r="G10324" s="272" t="s">
        <v>1099</v>
      </c>
    </row>
    <row r="10325">
      <c r="B10325" s="31"/>
      <c r="G10325" s="272" t="s">
        <v>1099</v>
      </c>
    </row>
    <row r="10326">
      <c r="B10326" s="31"/>
      <c r="G10326" s="272" t="s">
        <v>1099</v>
      </c>
    </row>
    <row r="10327">
      <c r="B10327" s="31"/>
      <c r="G10327" s="272" t="s">
        <v>1099</v>
      </c>
    </row>
    <row r="10328">
      <c r="B10328" s="31"/>
      <c r="G10328" s="272" t="s">
        <v>1099</v>
      </c>
    </row>
    <row r="10329">
      <c r="B10329" s="31"/>
      <c r="G10329" s="272" t="s">
        <v>1099</v>
      </c>
    </row>
    <row r="10330">
      <c r="B10330" s="31"/>
      <c r="G10330" s="272" t="s">
        <v>1099</v>
      </c>
    </row>
    <row r="10331">
      <c r="B10331" s="31"/>
      <c r="G10331" s="272" t="s">
        <v>1099</v>
      </c>
    </row>
    <row r="10332">
      <c r="B10332" s="31"/>
      <c r="G10332" s="272" t="s">
        <v>1099</v>
      </c>
    </row>
    <row r="10333">
      <c r="B10333" s="31"/>
      <c r="G10333" s="272" t="s">
        <v>1099</v>
      </c>
    </row>
    <row r="10334">
      <c r="B10334" s="31"/>
      <c r="G10334" s="272" t="s">
        <v>1099</v>
      </c>
    </row>
    <row r="10335">
      <c r="B10335" s="31"/>
      <c r="G10335" s="272" t="s">
        <v>1099</v>
      </c>
    </row>
    <row r="10336">
      <c r="B10336" s="31"/>
      <c r="G10336" s="272" t="s">
        <v>1099</v>
      </c>
    </row>
    <row r="10337">
      <c r="B10337" s="31"/>
      <c r="G10337" s="272" t="s">
        <v>1099</v>
      </c>
    </row>
    <row r="10338">
      <c r="B10338" s="31"/>
      <c r="G10338" s="272" t="s">
        <v>1099</v>
      </c>
    </row>
    <row r="10339">
      <c r="B10339" s="31"/>
      <c r="G10339" s="272" t="s">
        <v>1099</v>
      </c>
    </row>
    <row r="10340">
      <c r="B10340" s="31"/>
      <c r="G10340" s="272" t="s">
        <v>1099</v>
      </c>
    </row>
    <row r="10341">
      <c r="B10341" s="31"/>
      <c r="G10341" s="272" t="s">
        <v>1099</v>
      </c>
    </row>
    <row r="10342">
      <c r="B10342" s="31"/>
      <c r="G10342" s="272" t="s">
        <v>1099</v>
      </c>
    </row>
    <row r="10343">
      <c r="B10343" s="31"/>
      <c r="G10343" s="272" t="s">
        <v>1099</v>
      </c>
    </row>
    <row r="10344">
      <c r="B10344" s="31"/>
      <c r="G10344" s="272" t="s">
        <v>1099</v>
      </c>
    </row>
    <row r="10345">
      <c r="B10345" s="31"/>
      <c r="G10345" s="272" t="s">
        <v>1099</v>
      </c>
    </row>
    <row r="10346">
      <c r="B10346" s="31"/>
      <c r="G10346" s="272" t="s">
        <v>1099</v>
      </c>
    </row>
    <row r="10347">
      <c r="B10347" s="31"/>
      <c r="G10347" s="272" t="s">
        <v>1099</v>
      </c>
    </row>
    <row r="10348">
      <c r="B10348" s="31"/>
      <c r="G10348" s="272" t="s">
        <v>1099</v>
      </c>
    </row>
    <row r="10349">
      <c r="B10349" s="31"/>
      <c r="G10349" s="272" t="s">
        <v>1099</v>
      </c>
    </row>
    <row r="10350">
      <c r="B10350" s="31"/>
      <c r="G10350" s="272" t="s">
        <v>1099</v>
      </c>
    </row>
    <row r="10351">
      <c r="B10351" s="31"/>
      <c r="G10351" s="272" t="s">
        <v>1099</v>
      </c>
    </row>
    <row r="10352">
      <c r="B10352" s="31"/>
      <c r="G10352" s="272" t="s">
        <v>1099</v>
      </c>
    </row>
    <row r="10353">
      <c r="B10353" s="31"/>
      <c r="G10353" s="272" t="s">
        <v>1099</v>
      </c>
    </row>
    <row r="10354">
      <c r="B10354" s="31"/>
      <c r="G10354" s="272" t="s">
        <v>1099</v>
      </c>
    </row>
    <row r="10355">
      <c r="B10355" s="31"/>
      <c r="G10355" s="272" t="s">
        <v>1099</v>
      </c>
    </row>
    <row r="10356">
      <c r="B10356" s="31"/>
      <c r="G10356" s="272" t="s">
        <v>1099</v>
      </c>
    </row>
    <row r="10357">
      <c r="B10357" s="31"/>
      <c r="G10357" s="272" t="s">
        <v>1099</v>
      </c>
    </row>
    <row r="10358">
      <c r="B10358" s="31"/>
      <c r="G10358" s="272" t="s">
        <v>1099</v>
      </c>
    </row>
    <row r="10359">
      <c r="B10359" s="31"/>
      <c r="G10359" s="272" t="s">
        <v>1099</v>
      </c>
    </row>
    <row r="10360">
      <c r="B10360" s="31"/>
      <c r="G10360" s="272" t="s">
        <v>1099</v>
      </c>
    </row>
    <row r="10361">
      <c r="B10361" s="31"/>
      <c r="G10361" s="272" t="s">
        <v>1099</v>
      </c>
    </row>
    <row r="10362">
      <c r="B10362" s="31"/>
      <c r="G10362" s="272" t="s">
        <v>1099</v>
      </c>
    </row>
    <row r="10363">
      <c r="B10363" s="31"/>
      <c r="G10363" s="272" t="s">
        <v>1099</v>
      </c>
    </row>
    <row r="10364">
      <c r="B10364" s="31"/>
      <c r="G10364" s="272" t="s">
        <v>1099</v>
      </c>
    </row>
    <row r="10365">
      <c r="B10365" s="31"/>
      <c r="G10365" s="272" t="s">
        <v>1099</v>
      </c>
    </row>
    <row r="10366">
      <c r="B10366" s="31"/>
      <c r="G10366" s="272" t="s">
        <v>1099</v>
      </c>
    </row>
    <row r="10367">
      <c r="B10367" s="31"/>
      <c r="G10367" s="272" t="s">
        <v>1099</v>
      </c>
    </row>
    <row r="10368">
      <c r="B10368" s="31"/>
      <c r="G10368" s="272" t="s">
        <v>1099</v>
      </c>
    </row>
    <row r="10369">
      <c r="B10369" s="31"/>
      <c r="G10369" s="272" t="s">
        <v>1099</v>
      </c>
    </row>
    <row r="10370">
      <c r="B10370" s="31"/>
      <c r="G10370" s="272" t="s">
        <v>1099</v>
      </c>
    </row>
    <row r="10371">
      <c r="B10371" s="31"/>
      <c r="G10371" s="272" t="s">
        <v>1099</v>
      </c>
    </row>
    <row r="10372">
      <c r="B10372" s="31"/>
      <c r="G10372" s="272" t="s">
        <v>1099</v>
      </c>
    </row>
    <row r="10373">
      <c r="B10373" s="31"/>
      <c r="G10373" s="272" t="s">
        <v>1099</v>
      </c>
    </row>
    <row r="10374">
      <c r="B10374" s="31"/>
      <c r="G10374" s="272" t="s">
        <v>1099</v>
      </c>
    </row>
    <row r="10375">
      <c r="B10375" s="31"/>
      <c r="G10375" s="272" t="s">
        <v>1099</v>
      </c>
    </row>
    <row r="10376">
      <c r="B10376" s="31"/>
      <c r="G10376" s="272" t="s">
        <v>1099</v>
      </c>
    </row>
    <row r="10377">
      <c r="B10377" s="31"/>
      <c r="G10377" s="272" t="s">
        <v>1099</v>
      </c>
    </row>
    <row r="10378">
      <c r="B10378" s="31"/>
      <c r="G10378" s="272" t="s">
        <v>1099</v>
      </c>
    </row>
    <row r="10379">
      <c r="B10379" s="31"/>
      <c r="G10379" s="272" t="s">
        <v>1099</v>
      </c>
    </row>
    <row r="10380">
      <c r="B10380" s="31"/>
      <c r="G10380" s="272" t="s">
        <v>1099</v>
      </c>
    </row>
    <row r="10381">
      <c r="B10381" s="31"/>
      <c r="G10381" s="272" t="s">
        <v>1099</v>
      </c>
    </row>
    <row r="10382">
      <c r="B10382" s="31"/>
      <c r="G10382" s="272" t="s">
        <v>1099</v>
      </c>
    </row>
    <row r="10383">
      <c r="B10383" s="31"/>
      <c r="G10383" s="272" t="s">
        <v>1099</v>
      </c>
    </row>
    <row r="10384">
      <c r="B10384" s="31"/>
      <c r="G10384" s="272" t="s">
        <v>1099</v>
      </c>
    </row>
    <row r="10385">
      <c r="B10385" s="31"/>
      <c r="G10385" s="272" t="s">
        <v>1099</v>
      </c>
    </row>
    <row r="10386">
      <c r="B10386" s="31"/>
      <c r="G10386" s="272" t="s">
        <v>1099</v>
      </c>
    </row>
    <row r="10387">
      <c r="B10387" s="31"/>
      <c r="G10387" s="272" t="s">
        <v>1099</v>
      </c>
    </row>
    <row r="10388">
      <c r="B10388" s="31"/>
      <c r="G10388" s="272" t="s">
        <v>1099</v>
      </c>
    </row>
    <row r="10389">
      <c r="B10389" s="31"/>
      <c r="G10389" s="272" t="s">
        <v>1099</v>
      </c>
    </row>
    <row r="10390">
      <c r="B10390" s="31"/>
      <c r="G10390" s="272" t="s">
        <v>1099</v>
      </c>
    </row>
    <row r="10391">
      <c r="B10391" s="31"/>
      <c r="G10391" s="272" t="s">
        <v>1099</v>
      </c>
    </row>
    <row r="10392">
      <c r="B10392" s="31"/>
      <c r="G10392" s="272" t="s">
        <v>1099</v>
      </c>
    </row>
    <row r="10393">
      <c r="B10393" s="31"/>
      <c r="G10393" s="272" t="s">
        <v>1099</v>
      </c>
    </row>
    <row r="10394">
      <c r="B10394" s="31"/>
      <c r="G10394" s="272" t="s">
        <v>1099</v>
      </c>
    </row>
    <row r="10395">
      <c r="B10395" s="31"/>
      <c r="G10395" s="272" t="s">
        <v>1099</v>
      </c>
    </row>
    <row r="10396">
      <c r="B10396" s="31"/>
      <c r="G10396" s="272" t="s">
        <v>1099</v>
      </c>
    </row>
    <row r="10397">
      <c r="B10397" s="31"/>
      <c r="G10397" s="272" t="s">
        <v>1099</v>
      </c>
    </row>
    <row r="10398">
      <c r="B10398" s="31"/>
      <c r="G10398" s="272" t="s">
        <v>1099</v>
      </c>
    </row>
    <row r="10399">
      <c r="B10399" s="31"/>
      <c r="G10399" s="272" t="s">
        <v>1099</v>
      </c>
    </row>
    <row r="10400">
      <c r="B10400" s="31"/>
      <c r="G10400" s="272" t="s">
        <v>1099</v>
      </c>
    </row>
    <row r="10401">
      <c r="B10401" s="31"/>
      <c r="G10401" s="272" t="s">
        <v>1099</v>
      </c>
    </row>
    <row r="10402">
      <c r="B10402" s="31"/>
      <c r="G10402" s="272" t="s">
        <v>1099</v>
      </c>
    </row>
    <row r="10403">
      <c r="B10403" s="31"/>
      <c r="G10403" s="272" t="s">
        <v>1099</v>
      </c>
    </row>
    <row r="10404">
      <c r="B10404" s="31"/>
      <c r="G10404" s="272" t="s">
        <v>1099</v>
      </c>
    </row>
    <row r="10405">
      <c r="B10405" s="31"/>
      <c r="G10405" s="272" t="s">
        <v>1099</v>
      </c>
    </row>
    <row r="10406">
      <c r="B10406" s="31"/>
      <c r="G10406" s="272" t="s">
        <v>1099</v>
      </c>
    </row>
    <row r="10407">
      <c r="B10407" s="31"/>
      <c r="G10407" s="272" t="s">
        <v>1099</v>
      </c>
    </row>
    <row r="10408">
      <c r="B10408" s="31"/>
      <c r="G10408" s="272" t="s">
        <v>1099</v>
      </c>
    </row>
    <row r="10409">
      <c r="B10409" s="31"/>
      <c r="G10409" s="272" t="s">
        <v>1099</v>
      </c>
    </row>
    <row r="10410">
      <c r="B10410" s="31"/>
      <c r="G10410" s="272" t="s">
        <v>1099</v>
      </c>
    </row>
    <row r="10411">
      <c r="B10411" s="31"/>
      <c r="G10411" s="272" t="s">
        <v>1099</v>
      </c>
    </row>
    <row r="10412">
      <c r="B10412" s="31"/>
      <c r="G10412" s="272" t="s">
        <v>1099</v>
      </c>
    </row>
    <row r="10413">
      <c r="B10413" s="31"/>
      <c r="G10413" s="272" t="s">
        <v>1099</v>
      </c>
    </row>
    <row r="10414">
      <c r="B10414" s="31"/>
      <c r="G10414" s="272" t="s">
        <v>1099</v>
      </c>
    </row>
    <row r="10415">
      <c r="B10415" s="31"/>
      <c r="G10415" s="272" t="s">
        <v>1099</v>
      </c>
    </row>
    <row r="10416">
      <c r="B10416" s="31"/>
      <c r="G10416" s="272" t="s">
        <v>1099</v>
      </c>
    </row>
    <row r="10417">
      <c r="B10417" s="31"/>
      <c r="G10417" s="272" t="s">
        <v>1099</v>
      </c>
    </row>
    <row r="10418">
      <c r="B10418" s="31"/>
      <c r="G10418" s="272" t="s">
        <v>1099</v>
      </c>
    </row>
    <row r="10419">
      <c r="B10419" s="31"/>
      <c r="G10419" s="272" t="s">
        <v>1099</v>
      </c>
    </row>
    <row r="10420">
      <c r="B10420" s="31"/>
      <c r="G10420" s="272" t="s">
        <v>1099</v>
      </c>
    </row>
    <row r="10421">
      <c r="B10421" s="31"/>
      <c r="G10421" s="272" t="s">
        <v>1099</v>
      </c>
    </row>
    <row r="10422">
      <c r="B10422" s="31"/>
      <c r="G10422" s="272" t="s">
        <v>1099</v>
      </c>
    </row>
    <row r="10423">
      <c r="B10423" s="31"/>
      <c r="G10423" s="272" t="s">
        <v>1099</v>
      </c>
    </row>
    <row r="10424">
      <c r="B10424" s="31"/>
      <c r="G10424" s="272" t="s">
        <v>1099</v>
      </c>
    </row>
    <row r="10425">
      <c r="B10425" s="31"/>
      <c r="G10425" s="272" t="s">
        <v>1099</v>
      </c>
    </row>
    <row r="10426">
      <c r="B10426" s="31"/>
      <c r="G10426" s="272" t="s">
        <v>1099</v>
      </c>
    </row>
    <row r="10427">
      <c r="B10427" s="31"/>
      <c r="G10427" s="272" t="s">
        <v>1099</v>
      </c>
    </row>
    <row r="10428">
      <c r="B10428" s="31"/>
      <c r="G10428" s="272" t="s">
        <v>1099</v>
      </c>
    </row>
    <row r="10429">
      <c r="B10429" s="31"/>
      <c r="G10429" s="272" t="s">
        <v>1099</v>
      </c>
    </row>
    <row r="10430">
      <c r="B10430" s="31"/>
      <c r="G10430" s="272" t="s">
        <v>1099</v>
      </c>
    </row>
    <row r="10431">
      <c r="B10431" s="31"/>
      <c r="G10431" s="272" t="s">
        <v>1099</v>
      </c>
    </row>
    <row r="10432">
      <c r="B10432" s="31"/>
      <c r="G10432" s="272" t="s">
        <v>1099</v>
      </c>
    </row>
    <row r="10433">
      <c r="B10433" s="31"/>
      <c r="G10433" s="272" t="s">
        <v>1099</v>
      </c>
    </row>
    <row r="10434">
      <c r="B10434" s="31"/>
      <c r="G10434" s="272" t="s">
        <v>1099</v>
      </c>
    </row>
    <row r="10435">
      <c r="B10435" s="31"/>
      <c r="G10435" s="272" t="s">
        <v>1099</v>
      </c>
    </row>
    <row r="10436">
      <c r="B10436" s="31"/>
      <c r="G10436" s="272" t="s">
        <v>1099</v>
      </c>
    </row>
    <row r="10437">
      <c r="B10437" s="31"/>
      <c r="G10437" s="272" t="s">
        <v>1099</v>
      </c>
    </row>
    <row r="10438">
      <c r="B10438" s="31"/>
      <c r="G10438" s="272" t="s">
        <v>1099</v>
      </c>
    </row>
    <row r="10439">
      <c r="B10439" s="31"/>
      <c r="G10439" s="272" t="s">
        <v>1099</v>
      </c>
    </row>
    <row r="10440">
      <c r="B10440" s="31"/>
      <c r="G10440" s="272" t="s">
        <v>1099</v>
      </c>
    </row>
    <row r="10441">
      <c r="B10441" s="31"/>
      <c r="G10441" s="272" t="s">
        <v>1099</v>
      </c>
    </row>
    <row r="10442">
      <c r="B10442" s="31"/>
      <c r="G10442" s="272" t="s">
        <v>1099</v>
      </c>
    </row>
    <row r="10443">
      <c r="B10443" s="31"/>
      <c r="G10443" s="272" t="s">
        <v>1099</v>
      </c>
    </row>
    <row r="10444">
      <c r="B10444" s="31"/>
      <c r="G10444" s="272" t="s">
        <v>1099</v>
      </c>
    </row>
    <row r="10445">
      <c r="B10445" s="31"/>
      <c r="G10445" s="272" t="s">
        <v>1099</v>
      </c>
    </row>
    <row r="10446">
      <c r="B10446" s="31"/>
      <c r="G10446" s="272" t="s">
        <v>1099</v>
      </c>
    </row>
    <row r="10447">
      <c r="B10447" s="31"/>
      <c r="G10447" s="272" t="s">
        <v>1099</v>
      </c>
    </row>
    <row r="10448">
      <c r="B10448" s="31"/>
      <c r="G10448" s="272" t="s">
        <v>1099</v>
      </c>
    </row>
    <row r="10449">
      <c r="B10449" s="31"/>
      <c r="G10449" s="272" t="s">
        <v>1099</v>
      </c>
    </row>
    <row r="10450">
      <c r="B10450" s="31"/>
      <c r="G10450" s="272" t="s">
        <v>1099</v>
      </c>
    </row>
    <row r="10451">
      <c r="B10451" s="31"/>
      <c r="G10451" s="272" t="s">
        <v>1099</v>
      </c>
    </row>
    <row r="10452">
      <c r="B10452" s="31"/>
      <c r="G10452" s="272" t="s">
        <v>1099</v>
      </c>
    </row>
    <row r="10453">
      <c r="B10453" s="31"/>
      <c r="G10453" s="272" t="s">
        <v>1099</v>
      </c>
    </row>
    <row r="10454">
      <c r="B10454" s="31"/>
      <c r="G10454" s="272" t="s">
        <v>1099</v>
      </c>
    </row>
    <row r="10455">
      <c r="B10455" s="31"/>
      <c r="G10455" s="272" t="s">
        <v>1099</v>
      </c>
    </row>
    <row r="10456">
      <c r="B10456" s="31"/>
      <c r="G10456" s="272" t="s">
        <v>1099</v>
      </c>
    </row>
    <row r="10457">
      <c r="B10457" s="31"/>
      <c r="G10457" s="272" t="s">
        <v>1099</v>
      </c>
    </row>
    <row r="10458">
      <c r="B10458" s="31"/>
      <c r="G10458" s="272" t="s">
        <v>1099</v>
      </c>
    </row>
    <row r="10459">
      <c r="B10459" s="31"/>
      <c r="G10459" s="272" t="s">
        <v>1099</v>
      </c>
    </row>
    <row r="10460">
      <c r="B10460" s="31"/>
      <c r="G10460" s="272" t="s">
        <v>1099</v>
      </c>
    </row>
    <row r="10461">
      <c r="B10461" s="31"/>
      <c r="G10461" s="272" t="s">
        <v>1099</v>
      </c>
    </row>
    <row r="10462">
      <c r="B10462" s="31"/>
      <c r="G10462" s="272" t="s">
        <v>1099</v>
      </c>
    </row>
    <row r="10463">
      <c r="B10463" s="31"/>
      <c r="G10463" s="272" t="s">
        <v>1099</v>
      </c>
    </row>
    <row r="10464">
      <c r="B10464" s="31"/>
      <c r="G10464" s="272" t="s">
        <v>1099</v>
      </c>
    </row>
    <row r="10465">
      <c r="B10465" s="31"/>
      <c r="G10465" s="272" t="s">
        <v>1099</v>
      </c>
    </row>
    <row r="10466">
      <c r="B10466" s="31"/>
      <c r="G10466" s="272" t="s">
        <v>1099</v>
      </c>
    </row>
    <row r="10467">
      <c r="B10467" s="31"/>
      <c r="G10467" s="272" t="s">
        <v>1099</v>
      </c>
    </row>
    <row r="10468">
      <c r="B10468" s="31"/>
      <c r="G10468" s="272" t="s">
        <v>1099</v>
      </c>
    </row>
    <row r="10469">
      <c r="B10469" s="31"/>
      <c r="G10469" s="272" t="s">
        <v>1099</v>
      </c>
    </row>
    <row r="10470">
      <c r="B10470" s="31"/>
      <c r="G10470" s="272" t="s">
        <v>1099</v>
      </c>
    </row>
    <row r="10471">
      <c r="B10471" s="31"/>
      <c r="G10471" s="272" t="s">
        <v>1099</v>
      </c>
    </row>
    <row r="10472">
      <c r="B10472" s="31"/>
      <c r="G10472" s="272" t="s">
        <v>1099</v>
      </c>
    </row>
    <row r="10473">
      <c r="B10473" s="31"/>
      <c r="G10473" s="272" t="s">
        <v>1099</v>
      </c>
    </row>
    <row r="10474">
      <c r="B10474" s="31"/>
      <c r="G10474" s="272" t="s">
        <v>1099</v>
      </c>
    </row>
    <row r="10475">
      <c r="B10475" s="31"/>
      <c r="G10475" s="272" t="s">
        <v>1099</v>
      </c>
    </row>
    <row r="10476">
      <c r="B10476" s="31"/>
      <c r="G10476" s="272" t="s">
        <v>1099</v>
      </c>
    </row>
    <row r="10477">
      <c r="B10477" s="31"/>
      <c r="G10477" s="272" t="s">
        <v>1099</v>
      </c>
    </row>
    <row r="10478">
      <c r="B10478" s="31"/>
      <c r="G10478" s="272" t="s">
        <v>1099</v>
      </c>
    </row>
    <row r="10479">
      <c r="B10479" s="31"/>
      <c r="G10479" s="272" t="s">
        <v>1099</v>
      </c>
    </row>
    <row r="10480">
      <c r="B10480" s="31"/>
      <c r="G10480" s="272" t="s">
        <v>1099</v>
      </c>
    </row>
    <row r="10481">
      <c r="B10481" s="31"/>
      <c r="G10481" s="272" t="s">
        <v>1099</v>
      </c>
    </row>
    <row r="10482">
      <c r="B10482" s="31"/>
      <c r="G10482" s="272" t="s">
        <v>1099</v>
      </c>
    </row>
    <row r="10483">
      <c r="B10483" s="31"/>
      <c r="G10483" s="272" t="s">
        <v>1099</v>
      </c>
    </row>
    <row r="10484">
      <c r="B10484" s="31"/>
      <c r="G10484" s="272" t="s">
        <v>1099</v>
      </c>
    </row>
    <row r="10485">
      <c r="B10485" s="31"/>
      <c r="G10485" s="272" t="s">
        <v>1099</v>
      </c>
    </row>
    <row r="10486">
      <c r="B10486" s="31"/>
      <c r="G10486" s="272" t="s">
        <v>1099</v>
      </c>
    </row>
    <row r="10487">
      <c r="B10487" s="31"/>
      <c r="G10487" s="272" t="s">
        <v>1099</v>
      </c>
    </row>
    <row r="10488">
      <c r="B10488" s="31"/>
      <c r="G10488" s="272" t="s">
        <v>1099</v>
      </c>
    </row>
    <row r="10489">
      <c r="B10489" s="31"/>
      <c r="G10489" s="272" t="s">
        <v>1099</v>
      </c>
    </row>
    <row r="10490">
      <c r="B10490" s="31"/>
      <c r="G10490" s="272" t="s">
        <v>1099</v>
      </c>
    </row>
    <row r="10491">
      <c r="B10491" s="31"/>
      <c r="G10491" s="272" t="s">
        <v>1099</v>
      </c>
    </row>
    <row r="10492">
      <c r="B10492" s="31"/>
      <c r="G10492" s="272" t="s">
        <v>1099</v>
      </c>
    </row>
    <row r="10493">
      <c r="B10493" s="31"/>
      <c r="G10493" s="272" t="s">
        <v>1099</v>
      </c>
    </row>
    <row r="10494">
      <c r="B10494" s="31"/>
      <c r="G10494" s="272" t="s">
        <v>1099</v>
      </c>
    </row>
    <row r="10495">
      <c r="B10495" s="31"/>
      <c r="G10495" s="272" t="s">
        <v>1099</v>
      </c>
    </row>
    <row r="10496">
      <c r="B10496" s="31"/>
      <c r="G10496" s="272" t="s">
        <v>1099</v>
      </c>
    </row>
    <row r="10497">
      <c r="B10497" s="31"/>
      <c r="G10497" s="272" t="s">
        <v>1099</v>
      </c>
    </row>
    <row r="10498">
      <c r="B10498" s="31"/>
      <c r="G10498" s="272" t="s">
        <v>1099</v>
      </c>
    </row>
    <row r="10499">
      <c r="B10499" s="31"/>
      <c r="G10499" s="272" t="s">
        <v>1099</v>
      </c>
    </row>
    <row r="10500">
      <c r="B10500" s="31"/>
      <c r="G10500" s="272" t="s">
        <v>1099</v>
      </c>
    </row>
    <row r="10501">
      <c r="B10501" s="31"/>
      <c r="G10501" s="272" t="s">
        <v>1099</v>
      </c>
    </row>
    <row r="10502">
      <c r="B10502" s="31"/>
      <c r="G10502" s="272" t="s">
        <v>1099</v>
      </c>
    </row>
    <row r="10503">
      <c r="B10503" s="31"/>
      <c r="G10503" s="272" t="s">
        <v>1099</v>
      </c>
    </row>
    <row r="10504">
      <c r="B10504" s="31"/>
      <c r="G10504" s="272" t="s">
        <v>1099</v>
      </c>
    </row>
    <row r="10505">
      <c r="B10505" s="31"/>
      <c r="G10505" s="272" t="s">
        <v>1099</v>
      </c>
    </row>
    <row r="10506">
      <c r="B10506" s="31"/>
      <c r="G10506" s="272" t="s">
        <v>1099</v>
      </c>
    </row>
    <row r="10507">
      <c r="B10507" s="31"/>
      <c r="G10507" s="272" t="s">
        <v>1099</v>
      </c>
    </row>
    <row r="10508">
      <c r="B10508" s="31"/>
      <c r="G10508" s="272" t="s">
        <v>1099</v>
      </c>
    </row>
    <row r="10509">
      <c r="B10509" s="31"/>
      <c r="G10509" s="272" t="s">
        <v>1099</v>
      </c>
    </row>
    <row r="10510">
      <c r="B10510" s="31"/>
      <c r="G10510" s="272" t="s">
        <v>1099</v>
      </c>
    </row>
    <row r="10511">
      <c r="B10511" s="31"/>
      <c r="G10511" s="272" t="s">
        <v>1099</v>
      </c>
    </row>
    <row r="10512">
      <c r="B10512" s="31"/>
      <c r="G10512" s="272" t="s">
        <v>1099</v>
      </c>
    </row>
    <row r="10513">
      <c r="B10513" s="31"/>
      <c r="G10513" s="272" t="s">
        <v>1099</v>
      </c>
    </row>
    <row r="10514">
      <c r="B10514" s="31"/>
      <c r="G10514" s="272" t="s">
        <v>1099</v>
      </c>
    </row>
    <row r="10515">
      <c r="B10515" s="31"/>
      <c r="G10515" s="272" t="s">
        <v>1099</v>
      </c>
    </row>
    <row r="10516">
      <c r="B10516" s="31"/>
      <c r="G10516" s="272" t="s">
        <v>1099</v>
      </c>
    </row>
    <row r="10517">
      <c r="B10517" s="31"/>
      <c r="G10517" s="272" t="s">
        <v>1099</v>
      </c>
    </row>
    <row r="10518">
      <c r="B10518" s="31"/>
      <c r="G10518" s="272" t="s">
        <v>1099</v>
      </c>
    </row>
    <row r="10519">
      <c r="B10519" s="31"/>
      <c r="G10519" s="272" t="s">
        <v>1099</v>
      </c>
    </row>
    <row r="10520">
      <c r="B10520" s="31"/>
      <c r="G10520" s="272" t="s">
        <v>1099</v>
      </c>
    </row>
    <row r="10521">
      <c r="B10521" s="31"/>
      <c r="G10521" s="272" t="s">
        <v>1099</v>
      </c>
    </row>
    <row r="10522">
      <c r="B10522" s="31"/>
      <c r="G10522" s="272" t="s">
        <v>1099</v>
      </c>
    </row>
    <row r="10523">
      <c r="B10523" s="31"/>
      <c r="G10523" s="272" t="s">
        <v>1099</v>
      </c>
    </row>
    <row r="10524">
      <c r="B10524" s="31"/>
      <c r="G10524" s="272" t="s">
        <v>1099</v>
      </c>
    </row>
    <row r="10525">
      <c r="B10525" s="31"/>
      <c r="G10525" s="272" t="s">
        <v>1099</v>
      </c>
    </row>
    <row r="10526">
      <c r="B10526" s="31"/>
      <c r="G10526" s="272" t="s">
        <v>1099</v>
      </c>
    </row>
    <row r="10527">
      <c r="B10527" s="31"/>
      <c r="G10527" s="272" t="s">
        <v>1099</v>
      </c>
    </row>
    <row r="10528">
      <c r="B10528" s="31"/>
      <c r="G10528" s="272" t="s">
        <v>1099</v>
      </c>
    </row>
    <row r="10529">
      <c r="B10529" s="31"/>
      <c r="G10529" s="272" t="s">
        <v>1099</v>
      </c>
    </row>
    <row r="10530">
      <c r="B10530" s="31"/>
      <c r="G10530" s="272" t="s">
        <v>1099</v>
      </c>
    </row>
    <row r="10531">
      <c r="B10531" s="31"/>
      <c r="G10531" s="272" t="s">
        <v>1099</v>
      </c>
    </row>
    <row r="10532">
      <c r="B10532" s="31"/>
      <c r="G10532" s="272" t="s">
        <v>1099</v>
      </c>
    </row>
    <row r="10533">
      <c r="B10533" s="31"/>
      <c r="G10533" s="272" t="s">
        <v>1099</v>
      </c>
    </row>
    <row r="10534">
      <c r="B10534" s="31"/>
      <c r="G10534" s="272" t="s">
        <v>1099</v>
      </c>
    </row>
    <row r="10535">
      <c r="B10535" s="31"/>
      <c r="G10535" s="272" t="s">
        <v>1099</v>
      </c>
    </row>
    <row r="10536">
      <c r="B10536" s="31"/>
      <c r="G10536" s="272" t="s">
        <v>1099</v>
      </c>
    </row>
    <row r="10537">
      <c r="B10537" s="31"/>
      <c r="G10537" s="272" t="s">
        <v>1099</v>
      </c>
    </row>
    <row r="10538">
      <c r="B10538" s="31"/>
      <c r="G10538" s="272" t="s">
        <v>1099</v>
      </c>
    </row>
    <row r="10539">
      <c r="B10539" s="31"/>
      <c r="G10539" s="272" t="s">
        <v>1099</v>
      </c>
    </row>
    <row r="10540">
      <c r="B10540" s="31"/>
      <c r="G10540" s="272" t="s">
        <v>1099</v>
      </c>
    </row>
    <row r="10541">
      <c r="B10541" s="31"/>
      <c r="G10541" s="272" t="s">
        <v>1099</v>
      </c>
    </row>
    <row r="10542">
      <c r="B10542" s="31"/>
      <c r="G10542" s="272" t="s">
        <v>1099</v>
      </c>
    </row>
    <row r="10543">
      <c r="B10543" s="31"/>
      <c r="G10543" s="272" t="s">
        <v>1099</v>
      </c>
    </row>
    <row r="10544">
      <c r="B10544" s="31"/>
      <c r="G10544" s="272" t="s">
        <v>1099</v>
      </c>
    </row>
    <row r="10545">
      <c r="B10545" s="31"/>
      <c r="G10545" s="272" t="s">
        <v>1099</v>
      </c>
    </row>
    <row r="10546">
      <c r="B10546" s="31"/>
      <c r="G10546" s="272" t="s">
        <v>1099</v>
      </c>
    </row>
    <row r="10547">
      <c r="B10547" s="31"/>
      <c r="G10547" s="272" t="s">
        <v>1099</v>
      </c>
    </row>
    <row r="10548">
      <c r="B10548" s="31"/>
      <c r="G10548" s="272" t="s">
        <v>1099</v>
      </c>
    </row>
    <row r="10549">
      <c r="B10549" s="31"/>
      <c r="G10549" s="272" t="s">
        <v>1099</v>
      </c>
    </row>
    <row r="10550">
      <c r="B10550" s="31"/>
      <c r="G10550" s="272" t="s">
        <v>1099</v>
      </c>
    </row>
    <row r="10551">
      <c r="B10551" s="31"/>
      <c r="G10551" s="272" t="s">
        <v>1099</v>
      </c>
    </row>
    <row r="10552">
      <c r="B10552" s="31"/>
      <c r="G10552" s="272" t="s">
        <v>1099</v>
      </c>
    </row>
    <row r="10553">
      <c r="B10553" s="31"/>
      <c r="G10553" s="272" t="s">
        <v>1099</v>
      </c>
    </row>
    <row r="10554">
      <c r="B10554" s="31"/>
      <c r="G10554" s="272" t="s">
        <v>1099</v>
      </c>
    </row>
    <row r="10555">
      <c r="B10555" s="31"/>
      <c r="G10555" s="272" t="s">
        <v>1099</v>
      </c>
    </row>
    <row r="10556">
      <c r="B10556" s="31"/>
      <c r="G10556" s="272" t="s">
        <v>1099</v>
      </c>
    </row>
    <row r="10557">
      <c r="B10557" s="31"/>
      <c r="G10557" s="272" t="s">
        <v>1099</v>
      </c>
    </row>
    <row r="10558">
      <c r="B10558" s="31"/>
      <c r="G10558" s="272" t="s">
        <v>1099</v>
      </c>
    </row>
    <row r="10559">
      <c r="B10559" s="31"/>
      <c r="G10559" s="272" t="s">
        <v>1099</v>
      </c>
    </row>
    <row r="10560">
      <c r="B10560" s="31"/>
      <c r="G10560" s="272" t="s">
        <v>1099</v>
      </c>
    </row>
    <row r="10561">
      <c r="B10561" s="31"/>
      <c r="G10561" s="272" t="s">
        <v>1099</v>
      </c>
    </row>
    <row r="10562">
      <c r="B10562" s="31"/>
      <c r="G10562" s="272" t="s">
        <v>1099</v>
      </c>
    </row>
    <row r="10563">
      <c r="B10563" s="31"/>
      <c r="G10563" s="272" t="s">
        <v>1099</v>
      </c>
    </row>
    <row r="10564">
      <c r="B10564" s="31"/>
      <c r="G10564" s="272" t="s">
        <v>1099</v>
      </c>
    </row>
    <row r="10565">
      <c r="B10565" s="31"/>
      <c r="G10565" s="272" t="s">
        <v>1099</v>
      </c>
    </row>
    <row r="10566">
      <c r="B10566" s="31"/>
      <c r="G10566" s="272" t="s">
        <v>1099</v>
      </c>
    </row>
    <row r="10567">
      <c r="B10567" s="31"/>
      <c r="G10567" s="272" t="s">
        <v>1099</v>
      </c>
    </row>
    <row r="10568">
      <c r="B10568" s="31"/>
      <c r="G10568" s="272" t="s">
        <v>1099</v>
      </c>
    </row>
    <row r="10569">
      <c r="B10569" s="31"/>
      <c r="G10569" s="272" t="s">
        <v>1099</v>
      </c>
    </row>
    <row r="10570">
      <c r="B10570" s="31"/>
      <c r="G10570" s="272" t="s">
        <v>1099</v>
      </c>
    </row>
    <row r="10571">
      <c r="B10571" s="31"/>
      <c r="G10571" s="272" t="s">
        <v>1099</v>
      </c>
    </row>
    <row r="10572">
      <c r="B10572" s="31"/>
      <c r="G10572" s="272" t="s">
        <v>1099</v>
      </c>
    </row>
    <row r="10573">
      <c r="B10573" s="31"/>
      <c r="G10573" s="272" t="s">
        <v>1099</v>
      </c>
    </row>
    <row r="10574">
      <c r="B10574" s="31"/>
      <c r="G10574" s="272" t="s">
        <v>1099</v>
      </c>
    </row>
    <row r="10575">
      <c r="B10575" s="31"/>
      <c r="G10575" s="272" t="s">
        <v>1099</v>
      </c>
    </row>
    <row r="10576">
      <c r="B10576" s="31"/>
      <c r="G10576" s="272" t="s">
        <v>1099</v>
      </c>
    </row>
    <row r="10577">
      <c r="B10577" s="31"/>
      <c r="G10577" s="272" t="s">
        <v>1099</v>
      </c>
    </row>
    <row r="10578">
      <c r="B10578" s="31"/>
      <c r="G10578" s="272" t="s">
        <v>1099</v>
      </c>
    </row>
    <row r="10579">
      <c r="B10579" s="31"/>
      <c r="G10579" s="272" t="s">
        <v>1099</v>
      </c>
    </row>
    <row r="10580">
      <c r="B10580" s="31"/>
      <c r="G10580" s="272" t="s">
        <v>1099</v>
      </c>
    </row>
    <row r="10581">
      <c r="B10581" s="31"/>
      <c r="G10581" s="272" t="s">
        <v>1099</v>
      </c>
    </row>
    <row r="10582">
      <c r="B10582" s="31"/>
      <c r="G10582" s="272" t="s">
        <v>1099</v>
      </c>
    </row>
    <row r="10583">
      <c r="B10583" s="31"/>
      <c r="G10583" s="272" t="s">
        <v>1099</v>
      </c>
    </row>
    <row r="10584">
      <c r="B10584" s="31"/>
      <c r="G10584" s="272" t="s">
        <v>1099</v>
      </c>
    </row>
    <row r="10585">
      <c r="B10585" s="31"/>
      <c r="G10585" s="272" t="s">
        <v>1099</v>
      </c>
    </row>
    <row r="10586">
      <c r="B10586" s="31"/>
      <c r="G10586" s="272" t="s">
        <v>1099</v>
      </c>
    </row>
    <row r="10587">
      <c r="B10587" s="31"/>
      <c r="G10587" s="272" t="s">
        <v>1099</v>
      </c>
    </row>
    <row r="10588">
      <c r="B10588" s="31"/>
      <c r="G10588" s="272" t="s">
        <v>1099</v>
      </c>
    </row>
    <row r="10589">
      <c r="B10589" s="31"/>
      <c r="G10589" s="272" t="s">
        <v>1099</v>
      </c>
    </row>
    <row r="10590">
      <c r="B10590" s="31"/>
      <c r="G10590" s="272" t="s">
        <v>1099</v>
      </c>
    </row>
    <row r="10591">
      <c r="B10591" s="31"/>
      <c r="G10591" s="272" t="s">
        <v>1099</v>
      </c>
    </row>
    <row r="10592">
      <c r="B10592" s="31"/>
      <c r="G10592" s="272" t="s">
        <v>1099</v>
      </c>
    </row>
    <row r="10593">
      <c r="B10593" s="31"/>
      <c r="G10593" s="272" t="s">
        <v>1099</v>
      </c>
    </row>
    <row r="10594">
      <c r="B10594" s="31"/>
      <c r="G10594" s="272" t="s">
        <v>1099</v>
      </c>
    </row>
    <row r="10595">
      <c r="B10595" s="31"/>
      <c r="G10595" s="272" t="s">
        <v>1099</v>
      </c>
    </row>
    <row r="10596">
      <c r="B10596" s="31"/>
      <c r="G10596" s="272" t="s">
        <v>1099</v>
      </c>
    </row>
    <row r="10597">
      <c r="B10597" s="31"/>
      <c r="G10597" s="272" t="s">
        <v>1099</v>
      </c>
    </row>
    <row r="10598">
      <c r="B10598" s="31"/>
      <c r="G10598" s="272" t="s">
        <v>1099</v>
      </c>
    </row>
    <row r="10599">
      <c r="B10599" s="31"/>
      <c r="G10599" s="272" t="s">
        <v>1099</v>
      </c>
    </row>
    <row r="10600">
      <c r="B10600" s="31"/>
      <c r="G10600" s="272" t="s">
        <v>1099</v>
      </c>
    </row>
    <row r="10601">
      <c r="B10601" s="31"/>
      <c r="G10601" s="272" t="s">
        <v>1099</v>
      </c>
    </row>
    <row r="10602">
      <c r="B10602" s="31"/>
      <c r="G10602" s="272" t="s">
        <v>1099</v>
      </c>
    </row>
    <row r="10603">
      <c r="B10603" s="31"/>
      <c r="G10603" s="272" t="s">
        <v>1099</v>
      </c>
    </row>
    <row r="10604">
      <c r="B10604" s="31"/>
      <c r="G10604" s="272" t="s">
        <v>1099</v>
      </c>
    </row>
    <row r="10605">
      <c r="B10605" s="31"/>
      <c r="G10605" s="272" t="s">
        <v>1099</v>
      </c>
    </row>
    <row r="10606">
      <c r="B10606" s="31"/>
      <c r="G10606" s="272" t="s">
        <v>1099</v>
      </c>
    </row>
    <row r="10607">
      <c r="B10607" s="31"/>
      <c r="G10607" s="272" t="s">
        <v>1099</v>
      </c>
    </row>
    <row r="10608">
      <c r="B10608" s="31"/>
      <c r="G10608" s="272" t="s">
        <v>1099</v>
      </c>
    </row>
    <row r="10609">
      <c r="B10609" s="31"/>
      <c r="G10609" s="272" t="s">
        <v>1099</v>
      </c>
    </row>
    <row r="10610">
      <c r="B10610" s="31"/>
      <c r="G10610" s="272" t="s">
        <v>1099</v>
      </c>
    </row>
    <row r="10611">
      <c r="B10611" s="31"/>
      <c r="G10611" s="272" t="s">
        <v>1099</v>
      </c>
    </row>
    <row r="10612">
      <c r="B10612" s="31"/>
      <c r="G10612" s="272" t="s">
        <v>1099</v>
      </c>
    </row>
    <row r="10613">
      <c r="B10613" s="31"/>
      <c r="G10613" s="272" t="s">
        <v>1099</v>
      </c>
    </row>
    <row r="10614">
      <c r="B10614" s="31"/>
      <c r="G10614" s="272" t="s">
        <v>1099</v>
      </c>
    </row>
    <row r="10615">
      <c r="B10615" s="31"/>
      <c r="G10615" s="272" t="s">
        <v>1099</v>
      </c>
    </row>
    <row r="10616">
      <c r="B10616" s="31"/>
      <c r="G10616" s="272" t="s">
        <v>1099</v>
      </c>
    </row>
    <row r="10617">
      <c r="B10617" s="31"/>
      <c r="G10617" s="272" t="s">
        <v>1099</v>
      </c>
    </row>
    <row r="10618">
      <c r="B10618" s="31"/>
      <c r="G10618" s="272" t="s">
        <v>1099</v>
      </c>
    </row>
    <row r="10619">
      <c r="B10619" s="31"/>
      <c r="G10619" s="272" t="s">
        <v>1099</v>
      </c>
    </row>
    <row r="10620">
      <c r="B10620" s="31"/>
      <c r="G10620" s="272" t="s">
        <v>1099</v>
      </c>
    </row>
    <row r="10621">
      <c r="B10621" s="31"/>
      <c r="G10621" s="272" t="s">
        <v>1099</v>
      </c>
    </row>
    <row r="10622">
      <c r="B10622" s="31"/>
      <c r="G10622" s="272" t="s">
        <v>1099</v>
      </c>
    </row>
    <row r="10623">
      <c r="B10623" s="31"/>
      <c r="G10623" s="272" t="s">
        <v>1099</v>
      </c>
    </row>
    <row r="10624">
      <c r="B10624" s="31"/>
      <c r="G10624" s="272" t="s">
        <v>1099</v>
      </c>
    </row>
    <row r="10625">
      <c r="B10625" s="31"/>
      <c r="G10625" s="272" t="s">
        <v>1099</v>
      </c>
    </row>
    <row r="10626">
      <c r="B10626" s="31"/>
      <c r="G10626" s="272" t="s">
        <v>1099</v>
      </c>
    </row>
    <row r="10627">
      <c r="B10627" s="31"/>
      <c r="G10627" s="272" t="s">
        <v>1099</v>
      </c>
    </row>
    <row r="10628">
      <c r="B10628" s="31"/>
      <c r="G10628" s="272" t="s">
        <v>1099</v>
      </c>
    </row>
    <row r="10629">
      <c r="B10629" s="31"/>
      <c r="G10629" s="272" t="s">
        <v>1099</v>
      </c>
    </row>
    <row r="10630">
      <c r="B10630" s="31"/>
      <c r="G10630" s="272" t="s">
        <v>1099</v>
      </c>
    </row>
    <row r="10631">
      <c r="B10631" s="31"/>
      <c r="G10631" s="272" t="s">
        <v>1099</v>
      </c>
    </row>
    <row r="10632">
      <c r="B10632" s="31"/>
      <c r="G10632" s="272" t="s">
        <v>1099</v>
      </c>
    </row>
    <row r="10633">
      <c r="B10633" s="31"/>
      <c r="G10633" s="272" t="s">
        <v>1099</v>
      </c>
    </row>
    <row r="10634">
      <c r="B10634" s="31"/>
      <c r="G10634" s="272" t="s">
        <v>1099</v>
      </c>
    </row>
    <row r="10635">
      <c r="B10635" s="31"/>
      <c r="G10635" s="272" t="s">
        <v>1099</v>
      </c>
    </row>
    <row r="10636">
      <c r="B10636" s="31"/>
      <c r="G10636" s="272" t="s">
        <v>1099</v>
      </c>
    </row>
    <row r="10637">
      <c r="B10637" s="31"/>
      <c r="G10637" s="272" t="s">
        <v>1099</v>
      </c>
    </row>
    <row r="10638">
      <c r="B10638" s="31"/>
      <c r="G10638" s="272" t="s">
        <v>1099</v>
      </c>
    </row>
    <row r="10639">
      <c r="B10639" s="31"/>
      <c r="G10639" s="272" t="s">
        <v>1099</v>
      </c>
    </row>
    <row r="10640">
      <c r="B10640" s="31"/>
      <c r="G10640" s="272" t="s">
        <v>1099</v>
      </c>
    </row>
    <row r="10641">
      <c r="B10641" s="31"/>
      <c r="G10641" s="272" t="s">
        <v>1099</v>
      </c>
    </row>
    <row r="10642">
      <c r="B10642" s="31"/>
      <c r="G10642" s="272" t="s">
        <v>1099</v>
      </c>
    </row>
    <row r="10643">
      <c r="B10643" s="31"/>
      <c r="G10643" s="272" t="s">
        <v>1099</v>
      </c>
    </row>
    <row r="10644">
      <c r="B10644" s="31"/>
      <c r="G10644" s="272" t="s">
        <v>1099</v>
      </c>
    </row>
    <row r="10645">
      <c r="B10645" s="31"/>
      <c r="G10645" s="272" t="s">
        <v>1099</v>
      </c>
    </row>
    <row r="10646">
      <c r="B10646" s="31"/>
      <c r="G10646" s="272" t="s">
        <v>1099</v>
      </c>
    </row>
    <row r="10647">
      <c r="B10647" s="31"/>
      <c r="G10647" s="272" t="s">
        <v>1099</v>
      </c>
    </row>
    <row r="10648">
      <c r="B10648" s="31"/>
      <c r="G10648" s="272" t="s">
        <v>1099</v>
      </c>
    </row>
    <row r="10649">
      <c r="B10649" s="31"/>
      <c r="G10649" s="272" t="s">
        <v>1099</v>
      </c>
    </row>
    <row r="10650">
      <c r="B10650" s="31"/>
      <c r="G10650" s="272" t="s">
        <v>1099</v>
      </c>
    </row>
    <row r="10651">
      <c r="B10651" s="31"/>
      <c r="G10651" s="272" t="s">
        <v>1099</v>
      </c>
    </row>
    <row r="10652">
      <c r="B10652" s="31"/>
      <c r="G10652" s="272" t="s">
        <v>1099</v>
      </c>
    </row>
    <row r="10653">
      <c r="B10653" s="31"/>
      <c r="G10653" s="272" t="s">
        <v>1099</v>
      </c>
    </row>
    <row r="10654">
      <c r="B10654" s="31"/>
      <c r="G10654" s="272" t="s">
        <v>1099</v>
      </c>
    </row>
    <row r="10655">
      <c r="B10655" s="31"/>
      <c r="G10655" s="272" t="s">
        <v>1099</v>
      </c>
    </row>
    <row r="10656">
      <c r="B10656" s="31"/>
      <c r="G10656" s="272" t="s">
        <v>1099</v>
      </c>
    </row>
    <row r="10657">
      <c r="B10657" s="31"/>
      <c r="G10657" s="272" t="s">
        <v>1099</v>
      </c>
    </row>
    <row r="10658">
      <c r="B10658" s="31"/>
      <c r="G10658" s="272" t="s">
        <v>1099</v>
      </c>
    </row>
    <row r="10659">
      <c r="B10659" s="31"/>
      <c r="G10659" s="272" t="s">
        <v>1099</v>
      </c>
    </row>
    <row r="10660">
      <c r="B10660" s="31"/>
      <c r="G10660" s="272" t="s">
        <v>1099</v>
      </c>
    </row>
    <row r="10661">
      <c r="B10661" s="31"/>
      <c r="G10661" s="272" t="s">
        <v>1099</v>
      </c>
    </row>
    <row r="10662">
      <c r="B10662" s="31"/>
      <c r="G10662" s="272" t="s">
        <v>1099</v>
      </c>
    </row>
    <row r="10663">
      <c r="B10663" s="31"/>
      <c r="G10663" s="272" t="s">
        <v>1099</v>
      </c>
    </row>
    <row r="10664">
      <c r="B10664" s="31"/>
      <c r="G10664" s="272" t="s">
        <v>1099</v>
      </c>
    </row>
    <row r="10665">
      <c r="B10665" s="31"/>
      <c r="G10665" s="272" t="s">
        <v>1099</v>
      </c>
    </row>
    <row r="10666">
      <c r="B10666" s="31"/>
      <c r="G10666" s="272" t="s">
        <v>1099</v>
      </c>
    </row>
    <row r="10667">
      <c r="B10667" s="31"/>
      <c r="G10667" s="272" t="s">
        <v>1099</v>
      </c>
    </row>
    <row r="10668">
      <c r="B10668" s="31"/>
      <c r="G10668" s="272" t="s">
        <v>1099</v>
      </c>
    </row>
    <row r="10669">
      <c r="B10669" s="31"/>
      <c r="G10669" s="272" t="s">
        <v>1099</v>
      </c>
    </row>
    <row r="10670">
      <c r="B10670" s="31"/>
      <c r="G10670" s="272" t="s">
        <v>1099</v>
      </c>
    </row>
    <row r="10671">
      <c r="B10671" s="31"/>
      <c r="G10671" s="272" t="s">
        <v>1099</v>
      </c>
    </row>
    <row r="10672">
      <c r="B10672" s="31"/>
      <c r="G10672" s="272" t="s">
        <v>1099</v>
      </c>
    </row>
    <row r="10673">
      <c r="B10673" s="31"/>
      <c r="G10673" s="272" t="s">
        <v>1099</v>
      </c>
    </row>
    <row r="10674">
      <c r="B10674" s="31"/>
      <c r="G10674" s="272" t="s">
        <v>1099</v>
      </c>
    </row>
    <row r="10675">
      <c r="B10675" s="31"/>
      <c r="G10675" s="272" t="s">
        <v>1099</v>
      </c>
    </row>
    <row r="10676">
      <c r="B10676" s="31"/>
      <c r="G10676" s="272" t="s">
        <v>1099</v>
      </c>
    </row>
    <row r="10677">
      <c r="B10677" s="31"/>
      <c r="G10677" s="272" t="s">
        <v>1099</v>
      </c>
    </row>
    <row r="10678">
      <c r="B10678" s="31"/>
      <c r="G10678" s="272" t="s">
        <v>1099</v>
      </c>
    </row>
    <row r="10679">
      <c r="B10679" s="31"/>
      <c r="G10679" s="272" t="s">
        <v>1099</v>
      </c>
    </row>
    <row r="10680">
      <c r="B10680" s="31"/>
      <c r="G10680" s="272" t="s">
        <v>1099</v>
      </c>
    </row>
    <row r="10681">
      <c r="B10681" s="31"/>
      <c r="G10681" s="272" t="s">
        <v>1099</v>
      </c>
    </row>
    <row r="10682">
      <c r="B10682" s="31"/>
      <c r="G10682" s="272" t="s">
        <v>1099</v>
      </c>
    </row>
    <row r="10683">
      <c r="B10683" s="31"/>
      <c r="G10683" s="272" t="s">
        <v>1099</v>
      </c>
    </row>
    <row r="10684">
      <c r="B10684" s="31"/>
      <c r="G10684" s="272" t="s">
        <v>1099</v>
      </c>
    </row>
    <row r="10685">
      <c r="B10685" s="31"/>
      <c r="G10685" s="272" t="s">
        <v>1099</v>
      </c>
    </row>
    <row r="10686">
      <c r="B10686" s="31"/>
      <c r="G10686" s="272" t="s">
        <v>1099</v>
      </c>
    </row>
    <row r="10687">
      <c r="B10687" s="31"/>
      <c r="G10687" s="272" t="s">
        <v>1099</v>
      </c>
    </row>
    <row r="10688">
      <c r="B10688" s="31"/>
      <c r="G10688" s="272" t="s">
        <v>1099</v>
      </c>
    </row>
    <row r="10689">
      <c r="B10689" s="31"/>
      <c r="G10689" s="272" t="s">
        <v>1099</v>
      </c>
    </row>
    <row r="10690">
      <c r="B10690" s="31"/>
      <c r="G10690" s="272" t="s">
        <v>1099</v>
      </c>
    </row>
    <row r="10691">
      <c r="B10691" s="31"/>
      <c r="G10691" s="272" t="s">
        <v>1099</v>
      </c>
    </row>
    <row r="10692">
      <c r="B10692" s="31"/>
      <c r="G10692" s="272" t="s">
        <v>1099</v>
      </c>
    </row>
    <row r="10693">
      <c r="B10693" s="31"/>
      <c r="G10693" s="272" t="s">
        <v>1099</v>
      </c>
    </row>
    <row r="10694">
      <c r="B10694" s="31"/>
      <c r="G10694" s="272" t="s">
        <v>1099</v>
      </c>
    </row>
    <row r="10695">
      <c r="B10695" s="31"/>
      <c r="G10695" s="272" t="s">
        <v>1099</v>
      </c>
    </row>
    <row r="10696">
      <c r="B10696" s="31"/>
      <c r="G10696" s="272" t="s">
        <v>1099</v>
      </c>
    </row>
    <row r="10697">
      <c r="B10697" s="31"/>
      <c r="G10697" s="272" t="s">
        <v>1099</v>
      </c>
    </row>
    <row r="10698">
      <c r="B10698" s="31"/>
      <c r="G10698" s="272" t="s">
        <v>1099</v>
      </c>
    </row>
    <row r="10699">
      <c r="B10699" s="31"/>
      <c r="G10699" s="272" t="s">
        <v>1099</v>
      </c>
    </row>
    <row r="10700">
      <c r="B10700" s="31"/>
      <c r="G10700" s="272" t="s">
        <v>1099</v>
      </c>
    </row>
    <row r="10701">
      <c r="B10701" s="31"/>
      <c r="G10701" s="272" t="s">
        <v>1099</v>
      </c>
    </row>
    <row r="10702">
      <c r="B10702" s="31"/>
      <c r="G10702" s="272" t="s">
        <v>1099</v>
      </c>
    </row>
    <row r="10703">
      <c r="B10703" s="31"/>
      <c r="G10703" s="272" t="s">
        <v>1099</v>
      </c>
    </row>
    <row r="10704">
      <c r="B10704" s="31"/>
      <c r="G10704" s="272" t="s">
        <v>1099</v>
      </c>
    </row>
    <row r="10705">
      <c r="B10705" s="31"/>
      <c r="G10705" s="272" t="s">
        <v>1099</v>
      </c>
    </row>
    <row r="10706">
      <c r="B10706" s="31"/>
      <c r="G10706" s="272" t="s">
        <v>1099</v>
      </c>
    </row>
    <row r="10707">
      <c r="B10707" s="31"/>
      <c r="G10707" s="272" t="s">
        <v>1099</v>
      </c>
    </row>
    <row r="10708">
      <c r="B10708" s="31"/>
      <c r="G10708" s="272" t="s">
        <v>1099</v>
      </c>
    </row>
    <row r="10709">
      <c r="B10709" s="31"/>
      <c r="G10709" s="272" t="s">
        <v>1099</v>
      </c>
    </row>
    <row r="10710">
      <c r="B10710" s="31"/>
      <c r="G10710" s="272" t="s">
        <v>1099</v>
      </c>
    </row>
    <row r="10711">
      <c r="B10711" s="31"/>
      <c r="G10711" s="272" t="s">
        <v>1099</v>
      </c>
    </row>
    <row r="10712">
      <c r="B10712" s="31"/>
      <c r="G10712" s="272" t="s">
        <v>1099</v>
      </c>
    </row>
    <row r="10713">
      <c r="B10713" s="31"/>
      <c r="G10713" s="272" t="s">
        <v>1099</v>
      </c>
    </row>
    <row r="10714">
      <c r="B10714" s="31"/>
      <c r="G10714" s="272" t="s">
        <v>1099</v>
      </c>
    </row>
    <row r="10715">
      <c r="B10715" s="31"/>
      <c r="G10715" s="272" t="s">
        <v>1099</v>
      </c>
    </row>
    <row r="10716">
      <c r="B10716" s="31"/>
      <c r="G10716" s="272" t="s">
        <v>1099</v>
      </c>
    </row>
    <row r="10717">
      <c r="B10717" s="31"/>
      <c r="G10717" s="272" t="s">
        <v>1099</v>
      </c>
    </row>
    <row r="10718">
      <c r="B10718" s="31"/>
      <c r="G10718" s="272" t="s">
        <v>1099</v>
      </c>
    </row>
    <row r="10719">
      <c r="B10719" s="31"/>
      <c r="G10719" s="272" t="s">
        <v>1099</v>
      </c>
    </row>
    <row r="10720">
      <c r="B10720" s="31"/>
      <c r="G10720" s="272" t="s">
        <v>1099</v>
      </c>
    </row>
    <row r="10721">
      <c r="B10721" s="31"/>
      <c r="G10721" s="272" t="s">
        <v>1099</v>
      </c>
    </row>
    <row r="10722">
      <c r="B10722" s="31"/>
      <c r="G10722" s="272" t="s">
        <v>1099</v>
      </c>
    </row>
    <row r="10723">
      <c r="B10723" s="31"/>
      <c r="G10723" s="272" t="s">
        <v>1099</v>
      </c>
    </row>
    <row r="10724">
      <c r="B10724" s="31"/>
      <c r="G10724" s="272" t="s">
        <v>1099</v>
      </c>
    </row>
    <row r="10725">
      <c r="B10725" s="31"/>
      <c r="G10725" s="272" t="s">
        <v>1099</v>
      </c>
    </row>
    <row r="10726">
      <c r="B10726" s="31"/>
      <c r="G10726" s="272" t="s">
        <v>1099</v>
      </c>
    </row>
    <row r="10727">
      <c r="B10727" s="31"/>
      <c r="G10727" s="272" t="s">
        <v>1099</v>
      </c>
    </row>
    <row r="10728">
      <c r="B10728" s="31"/>
      <c r="G10728" s="272" t="s">
        <v>1099</v>
      </c>
    </row>
    <row r="10729">
      <c r="B10729" s="31"/>
      <c r="G10729" s="272" t="s">
        <v>1099</v>
      </c>
    </row>
    <row r="10730">
      <c r="B10730" s="31"/>
      <c r="G10730" s="272" t="s">
        <v>1099</v>
      </c>
    </row>
    <row r="10731">
      <c r="B10731" s="31"/>
      <c r="G10731" s="272" t="s">
        <v>1099</v>
      </c>
    </row>
    <row r="10732">
      <c r="B10732" s="31"/>
      <c r="G10732" s="272" t="s">
        <v>1099</v>
      </c>
    </row>
    <row r="10733">
      <c r="B10733" s="31"/>
      <c r="G10733" s="272" t="s">
        <v>1099</v>
      </c>
    </row>
    <row r="10734">
      <c r="B10734" s="31"/>
      <c r="G10734" s="272" t="s">
        <v>1099</v>
      </c>
    </row>
    <row r="10735">
      <c r="B10735" s="31"/>
      <c r="G10735" s="272" t="s">
        <v>1099</v>
      </c>
    </row>
    <row r="10736">
      <c r="B10736" s="31"/>
      <c r="G10736" s="272" t="s">
        <v>1099</v>
      </c>
    </row>
    <row r="10737">
      <c r="B10737" s="31"/>
      <c r="G10737" s="272" t="s">
        <v>1099</v>
      </c>
    </row>
    <row r="10738">
      <c r="B10738" s="31"/>
      <c r="G10738" s="272" t="s">
        <v>1099</v>
      </c>
    </row>
    <row r="10739">
      <c r="B10739" s="31"/>
      <c r="G10739" s="272" t="s">
        <v>1099</v>
      </c>
    </row>
    <row r="10740">
      <c r="B10740" s="31"/>
      <c r="G10740" s="272" t="s">
        <v>1099</v>
      </c>
    </row>
    <row r="10741">
      <c r="B10741" s="31"/>
      <c r="G10741" s="272" t="s">
        <v>1099</v>
      </c>
    </row>
    <row r="10742">
      <c r="B10742" s="31"/>
      <c r="G10742" s="272" t="s">
        <v>1099</v>
      </c>
    </row>
    <row r="10743">
      <c r="B10743" s="31"/>
      <c r="G10743" s="272" t="s">
        <v>1099</v>
      </c>
    </row>
    <row r="10744">
      <c r="B10744" s="31"/>
      <c r="G10744" s="272" t="s">
        <v>1099</v>
      </c>
    </row>
    <row r="10745">
      <c r="B10745" s="31"/>
      <c r="G10745" s="272" t="s">
        <v>1099</v>
      </c>
    </row>
    <row r="10746">
      <c r="B10746" s="31"/>
      <c r="G10746" s="272" t="s">
        <v>1099</v>
      </c>
    </row>
    <row r="10747">
      <c r="B10747" s="31"/>
      <c r="G10747" s="272" t="s">
        <v>1099</v>
      </c>
    </row>
    <row r="10748">
      <c r="B10748" s="31"/>
      <c r="G10748" s="272" t="s">
        <v>1099</v>
      </c>
    </row>
    <row r="10749">
      <c r="B10749" s="31"/>
      <c r="G10749" s="272" t="s">
        <v>1099</v>
      </c>
    </row>
    <row r="10750">
      <c r="B10750" s="31"/>
      <c r="G10750" s="272" t="s">
        <v>1099</v>
      </c>
    </row>
    <row r="10751">
      <c r="B10751" s="31"/>
      <c r="G10751" s="272" t="s">
        <v>1099</v>
      </c>
    </row>
    <row r="10752">
      <c r="B10752" s="31"/>
      <c r="G10752" s="272" t="s">
        <v>1099</v>
      </c>
    </row>
    <row r="10753">
      <c r="B10753" s="31"/>
      <c r="G10753" s="272" t="s">
        <v>1099</v>
      </c>
    </row>
    <row r="10754">
      <c r="B10754" s="31"/>
      <c r="G10754" s="272" t="s">
        <v>1099</v>
      </c>
    </row>
    <row r="10755">
      <c r="B10755" s="31"/>
      <c r="G10755" s="272" t="s">
        <v>1099</v>
      </c>
    </row>
    <row r="10756">
      <c r="B10756" s="31"/>
      <c r="G10756" s="272" t="s">
        <v>1099</v>
      </c>
    </row>
    <row r="10757">
      <c r="B10757" s="31"/>
      <c r="G10757" s="272" t="s">
        <v>1099</v>
      </c>
    </row>
    <row r="10758">
      <c r="B10758" s="31"/>
      <c r="G10758" s="272" t="s">
        <v>1099</v>
      </c>
    </row>
    <row r="10759">
      <c r="B10759" s="31"/>
      <c r="G10759" s="272" t="s">
        <v>1099</v>
      </c>
    </row>
    <row r="10760">
      <c r="B10760" s="31"/>
      <c r="G10760" s="272" t="s">
        <v>1099</v>
      </c>
    </row>
    <row r="10761">
      <c r="B10761" s="31"/>
      <c r="G10761" s="272" t="s">
        <v>1099</v>
      </c>
    </row>
    <row r="10762">
      <c r="B10762" s="31"/>
      <c r="G10762" s="272" t="s">
        <v>1099</v>
      </c>
    </row>
    <row r="10763">
      <c r="B10763" s="31"/>
      <c r="G10763" s="272" t="s">
        <v>1099</v>
      </c>
    </row>
    <row r="10764">
      <c r="B10764" s="31"/>
      <c r="G10764" s="272" t="s">
        <v>1099</v>
      </c>
    </row>
    <row r="10765">
      <c r="B10765" s="31"/>
      <c r="G10765" s="272" t="s">
        <v>1099</v>
      </c>
    </row>
    <row r="10766">
      <c r="B10766" s="31"/>
      <c r="G10766" s="272" t="s">
        <v>1099</v>
      </c>
    </row>
    <row r="10767">
      <c r="B10767" s="31"/>
      <c r="G10767" s="272" t="s">
        <v>1099</v>
      </c>
    </row>
    <row r="10768">
      <c r="B10768" s="31"/>
      <c r="G10768" s="272" t="s">
        <v>1099</v>
      </c>
    </row>
    <row r="10769">
      <c r="B10769" s="31"/>
      <c r="G10769" s="272" t="s">
        <v>1099</v>
      </c>
    </row>
    <row r="10770">
      <c r="B10770" s="31"/>
      <c r="G10770" s="272" t="s">
        <v>1099</v>
      </c>
    </row>
    <row r="10771">
      <c r="B10771" s="31"/>
      <c r="G10771" s="272" t="s">
        <v>1099</v>
      </c>
    </row>
    <row r="10772">
      <c r="B10772" s="31"/>
      <c r="G10772" s="272" t="s">
        <v>1099</v>
      </c>
    </row>
    <row r="10773">
      <c r="B10773" s="31"/>
      <c r="G10773" s="272" t="s">
        <v>1099</v>
      </c>
    </row>
    <row r="10774">
      <c r="B10774" s="31"/>
      <c r="G10774" s="272" t="s">
        <v>1099</v>
      </c>
    </row>
    <row r="10775">
      <c r="B10775" s="31"/>
      <c r="G10775" s="272" t="s">
        <v>1099</v>
      </c>
    </row>
    <row r="10776">
      <c r="B10776" s="31"/>
      <c r="G10776" s="272" t="s">
        <v>1099</v>
      </c>
    </row>
    <row r="10777">
      <c r="B10777" s="31"/>
      <c r="G10777" s="272" t="s">
        <v>1099</v>
      </c>
    </row>
    <row r="10778">
      <c r="B10778" s="31"/>
      <c r="G10778" s="272" t="s">
        <v>1099</v>
      </c>
    </row>
    <row r="10779">
      <c r="B10779" s="31"/>
      <c r="G10779" s="272" t="s">
        <v>1099</v>
      </c>
    </row>
    <row r="10780">
      <c r="B10780" s="31"/>
      <c r="G10780" s="272" t="s">
        <v>1099</v>
      </c>
    </row>
    <row r="10781">
      <c r="B10781" s="31"/>
      <c r="G10781" s="272" t="s">
        <v>1099</v>
      </c>
    </row>
    <row r="10782">
      <c r="B10782" s="31"/>
      <c r="G10782" s="272" t="s">
        <v>1099</v>
      </c>
    </row>
    <row r="10783">
      <c r="B10783" s="31"/>
      <c r="G10783" s="272" t="s">
        <v>1099</v>
      </c>
    </row>
    <row r="10784">
      <c r="B10784" s="31"/>
      <c r="G10784" s="272" t="s">
        <v>1099</v>
      </c>
    </row>
    <row r="10785">
      <c r="B10785" s="31"/>
      <c r="G10785" s="272" t="s">
        <v>1099</v>
      </c>
    </row>
    <row r="10786">
      <c r="B10786" s="31"/>
      <c r="G10786" s="272" t="s">
        <v>1099</v>
      </c>
    </row>
    <row r="10787">
      <c r="B10787" s="31"/>
      <c r="G10787" s="272" t="s">
        <v>1099</v>
      </c>
    </row>
    <row r="10788">
      <c r="B10788" s="31"/>
      <c r="G10788" s="272" t="s">
        <v>1099</v>
      </c>
    </row>
    <row r="10789">
      <c r="B10789" s="31"/>
      <c r="G10789" s="272" t="s">
        <v>1099</v>
      </c>
    </row>
    <row r="10790">
      <c r="B10790" s="31"/>
      <c r="G10790" s="272" t="s">
        <v>1099</v>
      </c>
    </row>
    <row r="10791">
      <c r="B10791" s="31"/>
      <c r="G10791" s="272" t="s">
        <v>1099</v>
      </c>
    </row>
    <row r="10792">
      <c r="B10792" s="31"/>
      <c r="G10792" s="272" t="s">
        <v>1099</v>
      </c>
    </row>
    <row r="10793">
      <c r="B10793" s="31"/>
      <c r="G10793" s="272" t="s">
        <v>1099</v>
      </c>
    </row>
    <row r="10794">
      <c r="B10794" s="31"/>
      <c r="G10794" s="272" t="s">
        <v>1099</v>
      </c>
    </row>
    <row r="10795">
      <c r="B10795" s="31"/>
      <c r="G10795" s="272" t="s">
        <v>1099</v>
      </c>
    </row>
    <row r="10796">
      <c r="B10796" s="31"/>
      <c r="G10796" s="272" t="s">
        <v>1099</v>
      </c>
    </row>
    <row r="10797">
      <c r="B10797" s="31"/>
      <c r="G10797" s="272" t="s">
        <v>1099</v>
      </c>
    </row>
    <row r="10798">
      <c r="B10798" s="31"/>
      <c r="G10798" s="272" t="s">
        <v>1099</v>
      </c>
    </row>
    <row r="10799">
      <c r="B10799" s="31"/>
      <c r="G10799" s="272" t="s">
        <v>1099</v>
      </c>
    </row>
    <row r="10800">
      <c r="B10800" s="31"/>
      <c r="G10800" s="272" t="s">
        <v>1099</v>
      </c>
    </row>
    <row r="10801">
      <c r="B10801" s="31"/>
      <c r="G10801" s="272" t="s">
        <v>1099</v>
      </c>
    </row>
    <row r="10802">
      <c r="B10802" s="31"/>
      <c r="G10802" s="272" t="s">
        <v>1099</v>
      </c>
    </row>
    <row r="10803">
      <c r="B10803" s="31"/>
      <c r="G10803" s="272" t="s">
        <v>1099</v>
      </c>
    </row>
    <row r="10804">
      <c r="B10804" s="31"/>
      <c r="G10804" s="272" t="s">
        <v>1099</v>
      </c>
    </row>
    <row r="10805">
      <c r="B10805" s="31"/>
      <c r="G10805" s="272" t="s">
        <v>1099</v>
      </c>
    </row>
    <row r="10806">
      <c r="B10806" s="31"/>
      <c r="G10806" s="272" t="s">
        <v>1099</v>
      </c>
    </row>
    <row r="10807">
      <c r="B10807" s="31"/>
      <c r="G10807" s="272" t="s">
        <v>1099</v>
      </c>
    </row>
    <row r="10808">
      <c r="B10808" s="31"/>
      <c r="G10808" s="272" t="s">
        <v>1099</v>
      </c>
    </row>
    <row r="10809">
      <c r="B10809" s="31"/>
      <c r="G10809" s="272" t="s">
        <v>1099</v>
      </c>
    </row>
    <row r="10810">
      <c r="B10810" s="31"/>
      <c r="G10810" s="272" t="s">
        <v>1099</v>
      </c>
    </row>
    <row r="10811">
      <c r="B10811" s="31"/>
      <c r="G10811" s="272" t="s">
        <v>1099</v>
      </c>
    </row>
    <row r="10812">
      <c r="B10812" s="31"/>
      <c r="G10812" s="272" t="s">
        <v>1099</v>
      </c>
    </row>
    <row r="10813">
      <c r="B10813" s="31"/>
      <c r="G10813" s="272" t="s">
        <v>1099</v>
      </c>
    </row>
    <row r="10814">
      <c r="B10814" s="31"/>
      <c r="G10814" s="272" t="s">
        <v>1099</v>
      </c>
    </row>
    <row r="10815">
      <c r="B10815" s="31"/>
      <c r="G10815" s="272" t="s">
        <v>1099</v>
      </c>
    </row>
    <row r="10816">
      <c r="B10816" s="31"/>
      <c r="G10816" s="272" t="s">
        <v>1099</v>
      </c>
    </row>
    <row r="10817">
      <c r="B10817" s="31"/>
      <c r="G10817" s="272" t="s">
        <v>1099</v>
      </c>
    </row>
    <row r="10818">
      <c r="B10818" s="31"/>
      <c r="G10818" s="272" t="s">
        <v>1099</v>
      </c>
    </row>
    <row r="10819">
      <c r="B10819" s="31"/>
      <c r="G10819" s="272" t="s">
        <v>1099</v>
      </c>
    </row>
    <row r="10820">
      <c r="B10820" s="31"/>
      <c r="G10820" s="272" t="s">
        <v>1099</v>
      </c>
    </row>
    <row r="10821">
      <c r="B10821" s="31"/>
      <c r="G10821" s="272" t="s">
        <v>1099</v>
      </c>
    </row>
    <row r="10822">
      <c r="B10822" s="31"/>
      <c r="G10822" s="272" t="s">
        <v>1099</v>
      </c>
    </row>
    <row r="10823">
      <c r="B10823" s="31"/>
      <c r="G10823" s="272" t="s">
        <v>1099</v>
      </c>
    </row>
    <row r="10824">
      <c r="B10824" s="31"/>
      <c r="G10824" s="272" t="s">
        <v>1099</v>
      </c>
    </row>
    <row r="10825">
      <c r="B10825" s="31"/>
      <c r="G10825" s="272" t="s">
        <v>1099</v>
      </c>
    </row>
    <row r="10826">
      <c r="B10826" s="31"/>
      <c r="G10826" s="272" t="s">
        <v>1099</v>
      </c>
    </row>
    <row r="10827">
      <c r="B10827" s="31"/>
      <c r="G10827" s="272" t="s">
        <v>1099</v>
      </c>
    </row>
    <row r="10828">
      <c r="B10828" s="31"/>
      <c r="G10828" s="272" t="s">
        <v>1099</v>
      </c>
    </row>
    <row r="10829">
      <c r="B10829" s="31"/>
      <c r="G10829" s="272" t="s">
        <v>1099</v>
      </c>
    </row>
    <row r="10830">
      <c r="B10830" s="31"/>
      <c r="G10830" s="272" t="s">
        <v>1099</v>
      </c>
    </row>
    <row r="10831">
      <c r="B10831" s="31"/>
      <c r="G10831" s="272" t="s">
        <v>1099</v>
      </c>
    </row>
    <row r="10832">
      <c r="B10832" s="31"/>
      <c r="G10832" s="272" t="s">
        <v>1099</v>
      </c>
    </row>
    <row r="10833">
      <c r="B10833" s="31"/>
      <c r="G10833" s="272" t="s">
        <v>1099</v>
      </c>
    </row>
    <row r="10834">
      <c r="B10834" s="31"/>
      <c r="G10834" s="272" t="s">
        <v>1099</v>
      </c>
    </row>
    <row r="10835">
      <c r="B10835" s="31"/>
      <c r="G10835" s="272" t="s">
        <v>1099</v>
      </c>
    </row>
    <row r="10836">
      <c r="B10836" s="31"/>
      <c r="G10836" s="272" t="s">
        <v>1099</v>
      </c>
    </row>
    <row r="10837">
      <c r="B10837" s="31"/>
      <c r="G10837" s="272" t="s">
        <v>1099</v>
      </c>
    </row>
    <row r="10838">
      <c r="B10838" s="31"/>
      <c r="G10838" s="272" t="s">
        <v>1099</v>
      </c>
    </row>
    <row r="10839">
      <c r="B10839" s="31"/>
      <c r="G10839" s="272" t="s">
        <v>1099</v>
      </c>
    </row>
    <row r="10840">
      <c r="B10840" s="31"/>
      <c r="G10840" s="272" t="s">
        <v>1099</v>
      </c>
    </row>
    <row r="10841">
      <c r="B10841" s="31"/>
      <c r="G10841" s="272" t="s">
        <v>1099</v>
      </c>
    </row>
    <row r="10842">
      <c r="B10842" s="31"/>
      <c r="G10842" s="272" t="s">
        <v>1099</v>
      </c>
    </row>
    <row r="10843">
      <c r="B10843" s="31"/>
      <c r="G10843" s="272" t="s">
        <v>1099</v>
      </c>
    </row>
    <row r="10844">
      <c r="B10844" s="31"/>
      <c r="G10844" s="272" t="s">
        <v>1099</v>
      </c>
    </row>
    <row r="10845">
      <c r="B10845" s="31"/>
      <c r="G10845" s="272" t="s">
        <v>1099</v>
      </c>
    </row>
    <row r="10846">
      <c r="B10846" s="31"/>
      <c r="G10846" s="272" t="s">
        <v>1099</v>
      </c>
    </row>
    <row r="10847">
      <c r="B10847" s="31"/>
      <c r="G10847" s="272" t="s">
        <v>1099</v>
      </c>
    </row>
    <row r="10848">
      <c r="B10848" s="31"/>
      <c r="G10848" s="272" t="s">
        <v>1099</v>
      </c>
    </row>
    <row r="10849">
      <c r="B10849" s="31"/>
      <c r="G10849" s="272" t="s">
        <v>1099</v>
      </c>
    </row>
    <row r="10850">
      <c r="B10850" s="31"/>
      <c r="G10850" s="272" t="s">
        <v>1099</v>
      </c>
    </row>
    <row r="10851">
      <c r="B10851" s="31"/>
      <c r="G10851" s="272" t="s">
        <v>1099</v>
      </c>
    </row>
    <row r="10852">
      <c r="B10852" s="31"/>
      <c r="G10852" s="272" t="s">
        <v>1099</v>
      </c>
    </row>
    <row r="10853">
      <c r="B10853" s="31"/>
      <c r="G10853" s="272" t="s">
        <v>1099</v>
      </c>
    </row>
    <row r="10854">
      <c r="B10854" s="31"/>
      <c r="G10854" s="272" t="s">
        <v>1099</v>
      </c>
    </row>
    <row r="10855">
      <c r="B10855" s="31"/>
      <c r="G10855" s="272" t="s">
        <v>1099</v>
      </c>
    </row>
    <row r="10856">
      <c r="B10856" s="31"/>
      <c r="G10856" s="272" t="s">
        <v>1099</v>
      </c>
    </row>
    <row r="10857">
      <c r="B10857" s="31"/>
      <c r="G10857" s="272" t="s">
        <v>1099</v>
      </c>
    </row>
    <row r="10858">
      <c r="B10858" s="31"/>
      <c r="G10858" s="272" t="s">
        <v>1099</v>
      </c>
    </row>
    <row r="10859">
      <c r="B10859" s="31"/>
      <c r="G10859" s="272" t="s">
        <v>1099</v>
      </c>
    </row>
    <row r="10860">
      <c r="B10860" s="31"/>
      <c r="G10860" s="272" t="s">
        <v>1099</v>
      </c>
    </row>
    <row r="10861">
      <c r="B10861" s="31"/>
      <c r="G10861" s="272" t="s">
        <v>1099</v>
      </c>
    </row>
    <row r="10862">
      <c r="B10862" s="31"/>
      <c r="G10862" s="272" t="s">
        <v>1099</v>
      </c>
    </row>
    <row r="10863">
      <c r="B10863" s="31"/>
      <c r="G10863" s="272" t="s">
        <v>1099</v>
      </c>
    </row>
    <row r="10864">
      <c r="B10864" s="31"/>
      <c r="G10864" s="272" t="s">
        <v>1099</v>
      </c>
    </row>
    <row r="10865">
      <c r="B10865" s="31"/>
      <c r="G10865" s="272" t="s">
        <v>1099</v>
      </c>
    </row>
    <row r="10866">
      <c r="B10866" s="31"/>
      <c r="G10866" s="272" t="s">
        <v>1099</v>
      </c>
    </row>
    <row r="10867">
      <c r="B10867" s="31"/>
      <c r="G10867" s="272" t="s">
        <v>1099</v>
      </c>
    </row>
    <row r="10868">
      <c r="B10868" s="31"/>
      <c r="G10868" s="272" t="s">
        <v>1099</v>
      </c>
    </row>
    <row r="10869">
      <c r="B10869" s="31"/>
      <c r="G10869" s="272" t="s">
        <v>1099</v>
      </c>
    </row>
    <row r="10870">
      <c r="B10870" s="31"/>
      <c r="G10870" s="272" t="s">
        <v>1099</v>
      </c>
    </row>
    <row r="10871">
      <c r="B10871" s="31"/>
      <c r="G10871" s="272" t="s">
        <v>1099</v>
      </c>
    </row>
    <row r="10872">
      <c r="B10872" s="31"/>
      <c r="G10872" s="272" t="s">
        <v>1099</v>
      </c>
    </row>
    <row r="10873">
      <c r="B10873" s="31"/>
      <c r="G10873" s="272" t="s">
        <v>1099</v>
      </c>
    </row>
    <row r="10874">
      <c r="B10874" s="31"/>
      <c r="G10874" s="272" t="s">
        <v>1099</v>
      </c>
    </row>
    <row r="10875">
      <c r="B10875" s="31"/>
      <c r="G10875" s="272" t="s">
        <v>1099</v>
      </c>
    </row>
    <row r="10876">
      <c r="B10876" s="31"/>
      <c r="G10876" s="272" t="s">
        <v>1099</v>
      </c>
    </row>
    <row r="10877">
      <c r="B10877" s="31"/>
      <c r="G10877" s="272" t="s">
        <v>1099</v>
      </c>
    </row>
    <row r="10878">
      <c r="B10878" s="31"/>
      <c r="G10878" s="272" t="s">
        <v>1099</v>
      </c>
    </row>
    <row r="10879">
      <c r="B10879" s="31"/>
      <c r="G10879" s="272" t="s">
        <v>1099</v>
      </c>
    </row>
    <row r="10880">
      <c r="B10880" s="31"/>
      <c r="G10880" s="272" t="s">
        <v>1099</v>
      </c>
    </row>
    <row r="10881">
      <c r="B10881" s="31"/>
      <c r="G10881" s="272" t="s">
        <v>1099</v>
      </c>
    </row>
    <row r="10882">
      <c r="B10882" s="31"/>
      <c r="G10882" s="272" t="s">
        <v>1099</v>
      </c>
    </row>
    <row r="10883">
      <c r="B10883" s="31"/>
      <c r="G10883" s="272" t="s">
        <v>1099</v>
      </c>
    </row>
    <row r="10884">
      <c r="B10884" s="31"/>
      <c r="G10884" s="272" t="s">
        <v>1099</v>
      </c>
    </row>
    <row r="10885">
      <c r="B10885" s="31"/>
      <c r="G10885" s="272" t="s">
        <v>1099</v>
      </c>
    </row>
    <row r="10886">
      <c r="B10886" s="31"/>
      <c r="G10886" s="272" t="s">
        <v>1099</v>
      </c>
    </row>
    <row r="10887">
      <c r="B10887" s="31"/>
      <c r="G10887" s="272" t="s">
        <v>1099</v>
      </c>
    </row>
    <row r="10888">
      <c r="B10888" s="31"/>
      <c r="G10888" s="272" t="s">
        <v>1099</v>
      </c>
    </row>
    <row r="10889">
      <c r="B10889" s="31"/>
      <c r="G10889" s="272" t="s">
        <v>1099</v>
      </c>
    </row>
    <row r="10890">
      <c r="B10890" s="31"/>
      <c r="G10890" s="272" t="s">
        <v>1099</v>
      </c>
    </row>
    <row r="10891">
      <c r="B10891" s="31"/>
      <c r="G10891" s="272" t="s">
        <v>1099</v>
      </c>
    </row>
    <row r="10892">
      <c r="B10892" s="31"/>
      <c r="G10892" s="272" t="s">
        <v>1099</v>
      </c>
    </row>
    <row r="10893">
      <c r="B10893" s="31"/>
      <c r="G10893" s="272" t="s">
        <v>1099</v>
      </c>
    </row>
    <row r="10894">
      <c r="B10894" s="31"/>
      <c r="G10894" s="272" t="s">
        <v>1099</v>
      </c>
    </row>
    <row r="10895">
      <c r="B10895" s="31"/>
      <c r="G10895" s="272" t="s">
        <v>1099</v>
      </c>
    </row>
    <row r="10896">
      <c r="B10896" s="31"/>
      <c r="G10896" s="272" t="s">
        <v>1099</v>
      </c>
    </row>
    <row r="10897">
      <c r="B10897" s="31"/>
      <c r="G10897" s="272" t="s">
        <v>1099</v>
      </c>
    </row>
    <row r="10898">
      <c r="B10898" s="31"/>
      <c r="G10898" s="272" t="s">
        <v>1099</v>
      </c>
    </row>
    <row r="10899">
      <c r="B10899" s="31"/>
      <c r="G10899" s="272" t="s">
        <v>1099</v>
      </c>
    </row>
    <row r="10900">
      <c r="B10900" s="31"/>
      <c r="G10900" s="272" t="s">
        <v>1099</v>
      </c>
    </row>
    <row r="10901">
      <c r="B10901" s="31"/>
      <c r="G10901" s="272" t="s">
        <v>1099</v>
      </c>
    </row>
    <row r="10902">
      <c r="B10902" s="31"/>
      <c r="G10902" s="272" t="s">
        <v>1099</v>
      </c>
    </row>
    <row r="10903">
      <c r="B10903" s="31"/>
      <c r="G10903" s="272" t="s">
        <v>1099</v>
      </c>
    </row>
    <row r="10904">
      <c r="B10904" s="31"/>
      <c r="G10904" s="272" t="s">
        <v>1099</v>
      </c>
    </row>
    <row r="10905">
      <c r="B10905" s="31"/>
      <c r="G10905" s="272" t="s">
        <v>1099</v>
      </c>
    </row>
    <row r="10906">
      <c r="B10906" s="31"/>
      <c r="G10906" s="272" t="s">
        <v>1099</v>
      </c>
    </row>
    <row r="10907">
      <c r="B10907" s="31"/>
      <c r="G10907" s="272" t="s">
        <v>1099</v>
      </c>
    </row>
    <row r="10908">
      <c r="B10908" s="31"/>
      <c r="G10908" s="272" t="s">
        <v>1099</v>
      </c>
    </row>
    <row r="10909">
      <c r="B10909" s="31"/>
      <c r="G10909" s="272" t="s">
        <v>1099</v>
      </c>
    </row>
    <row r="10910">
      <c r="B10910" s="31"/>
      <c r="G10910" s="272" t="s">
        <v>1099</v>
      </c>
    </row>
    <row r="10911">
      <c r="B10911" s="31"/>
      <c r="G10911" s="272" t="s">
        <v>1099</v>
      </c>
    </row>
    <row r="10912">
      <c r="B10912" s="31"/>
      <c r="G10912" s="272" t="s">
        <v>1099</v>
      </c>
    </row>
    <row r="10913">
      <c r="B10913" s="31"/>
      <c r="G10913" s="272" t="s">
        <v>1099</v>
      </c>
    </row>
    <row r="10914">
      <c r="B10914" s="31"/>
      <c r="G10914" s="272" t="s">
        <v>1099</v>
      </c>
    </row>
    <row r="10915">
      <c r="B10915" s="31"/>
      <c r="G10915" s="272" t="s">
        <v>1099</v>
      </c>
    </row>
    <row r="10916">
      <c r="B10916" s="31"/>
      <c r="G10916" s="272" t="s">
        <v>1099</v>
      </c>
    </row>
    <row r="10917">
      <c r="B10917" s="31"/>
      <c r="G10917" s="272" t="s">
        <v>1099</v>
      </c>
    </row>
    <row r="10918">
      <c r="B10918" s="31"/>
      <c r="G10918" s="272" t="s">
        <v>1099</v>
      </c>
    </row>
    <row r="10919">
      <c r="B10919" s="31"/>
      <c r="G10919" s="272" t="s">
        <v>1099</v>
      </c>
    </row>
    <row r="10920">
      <c r="B10920" s="31"/>
      <c r="G10920" s="272" t="s">
        <v>1099</v>
      </c>
    </row>
    <row r="10921">
      <c r="B10921" s="31"/>
      <c r="G10921" s="272" t="s">
        <v>1099</v>
      </c>
    </row>
    <row r="10922">
      <c r="B10922" s="31"/>
      <c r="G10922" s="272" t="s">
        <v>1099</v>
      </c>
    </row>
    <row r="10923">
      <c r="B10923" s="31"/>
      <c r="G10923" s="272" t="s">
        <v>1099</v>
      </c>
    </row>
    <row r="10924">
      <c r="B10924" s="31"/>
      <c r="G10924" s="272" t="s">
        <v>1099</v>
      </c>
    </row>
    <row r="10925">
      <c r="B10925" s="31"/>
      <c r="G10925" s="272" t="s">
        <v>1099</v>
      </c>
    </row>
    <row r="10926">
      <c r="B10926" s="31"/>
      <c r="G10926" s="272" t="s">
        <v>1099</v>
      </c>
    </row>
    <row r="10927">
      <c r="B10927" s="31"/>
      <c r="G10927" s="272" t="s">
        <v>1099</v>
      </c>
    </row>
    <row r="10928">
      <c r="B10928" s="31"/>
      <c r="G10928" s="272" t="s">
        <v>1099</v>
      </c>
    </row>
    <row r="10929">
      <c r="B10929" s="31"/>
      <c r="G10929" s="272" t="s">
        <v>1099</v>
      </c>
    </row>
    <row r="10930">
      <c r="B10930" s="31"/>
      <c r="G10930" s="272" t="s">
        <v>1099</v>
      </c>
    </row>
    <row r="10931">
      <c r="B10931" s="31"/>
      <c r="G10931" s="272" t="s">
        <v>1099</v>
      </c>
    </row>
    <row r="10932">
      <c r="B10932" s="31"/>
      <c r="G10932" s="272" t="s">
        <v>1099</v>
      </c>
    </row>
    <row r="10933">
      <c r="B10933" s="31"/>
      <c r="G10933" s="272" t="s">
        <v>1099</v>
      </c>
    </row>
    <row r="10934">
      <c r="B10934" s="31"/>
      <c r="G10934" s="272" t="s">
        <v>1099</v>
      </c>
    </row>
    <row r="10935">
      <c r="B10935" s="31"/>
      <c r="G10935" s="272" t="s">
        <v>1099</v>
      </c>
    </row>
    <row r="10936">
      <c r="B10936" s="31"/>
      <c r="G10936" s="272" t="s">
        <v>1099</v>
      </c>
    </row>
    <row r="10937">
      <c r="B10937" s="31"/>
      <c r="G10937" s="272" t="s">
        <v>1099</v>
      </c>
    </row>
    <row r="10938">
      <c r="B10938" s="31"/>
      <c r="G10938" s="272" t="s">
        <v>1099</v>
      </c>
    </row>
    <row r="10939">
      <c r="B10939" s="31"/>
      <c r="G10939" s="272" t="s">
        <v>1099</v>
      </c>
    </row>
    <row r="10940">
      <c r="B10940" s="31"/>
      <c r="G10940" s="272" t="s">
        <v>1099</v>
      </c>
    </row>
    <row r="10941">
      <c r="B10941" s="31"/>
      <c r="G10941" s="272" t="s">
        <v>1099</v>
      </c>
    </row>
    <row r="10942">
      <c r="B10942" s="31"/>
      <c r="G10942" s="272" t="s">
        <v>1099</v>
      </c>
    </row>
    <row r="10943">
      <c r="B10943" s="31"/>
      <c r="G10943" s="272" t="s">
        <v>1099</v>
      </c>
    </row>
    <row r="10944">
      <c r="B10944" s="31"/>
      <c r="G10944" s="272" t="s">
        <v>1099</v>
      </c>
    </row>
    <row r="10945">
      <c r="B10945" s="31"/>
      <c r="G10945" s="272" t="s">
        <v>1099</v>
      </c>
    </row>
    <row r="10946">
      <c r="B10946" s="31"/>
      <c r="G10946" s="272" t="s">
        <v>1099</v>
      </c>
    </row>
    <row r="10947">
      <c r="B10947" s="31"/>
      <c r="G10947" s="272" t="s">
        <v>1099</v>
      </c>
    </row>
    <row r="10948">
      <c r="B10948" s="31"/>
      <c r="G10948" s="272" t="s">
        <v>1099</v>
      </c>
    </row>
    <row r="10949">
      <c r="B10949" s="31"/>
      <c r="G10949" s="272" t="s">
        <v>1099</v>
      </c>
    </row>
    <row r="10950">
      <c r="B10950" s="31"/>
      <c r="G10950" s="272" t="s">
        <v>1099</v>
      </c>
    </row>
    <row r="10951">
      <c r="B10951" s="31"/>
      <c r="G10951" s="272" t="s">
        <v>1099</v>
      </c>
    </row>
    <row r="10952">
      <c r="B10952" s="31"/>
      <c r="G10952" s="272" t="s">
        <v>1099</v>
      </c>
    </row>
    <row r="10953">
      <c r="B10953" s="31"/>
      <c r="G10953" s="272" t="s">
        <v>1099</v>
      </c>
    </row>
    <row r="10954">
      <c r="B10954" s="31"/>
      <c r="G10954" s="272" t="s">
        <v>1099</v>
      </c>
    </row>
    <row r="10955">
      <c r="B10955" s="31"/>
      <c r="G10955" s="272" t="s">
        <v>1099</v>
      </c>
    </row>
    <row r="10956">
      <c r="B10956" s="31"/>
      <c r="G10956" s="272" t="s">
        <v>1099</v>
      </c>
    </row>
    <row r="10957">
      <c r="B10957" s="31"/>
      <c r="G10957" s="272" t="s">
        <v>1099</v>
      </c>
    </row>
    <row r="10958">
      <c r="B10958" s="31"/>
      <c r="G10958" s="272" t="s">
        <v>1099</v>
      </c>
    </row>
    <row r="10959">
      <c r="B10959" s="31"/>
      <c r="G10959" s="272" t="s">
        <v>1099</v>
      </c>
    </row>
    <row r="10960">
      <c r="B10960" s="31"/>
      <c r="G10960" s="272" t="s">
        <v>1099</v>
      </c>
    </row>
    <row r="10961">
      <c r="B10961" s="31"/>
      <c r="G10961" s="272" t="s">
        <v>1099</v>
      </c>
    </row>
    <row r="10962">
      <c r="B10962" s="31"/>
      <c r="G10962" s="272" t="s">
        <v>1099</v>
      </c>
    </row>
    <row r="10963">
      <c r="B10963" s="31"/>
      <c r="G10963" s="272" t="s">
        <v>1099</v>
      </c>
    </row>
    <row r="10964">
      <c r="B10964" s="31"/>
      <c r="G10964" s="272" t="s">
        <v>1099</v>
      </c>
    </row>
    <row r="10965">
      <c r="B10965" s="31"/>
      <c r="G10965" s="272" t="s">
        <v>1099</v>
      </c>
    </row>
    <row r="10966">
      <c r="B10966" s="31"/>
      <c r="G10966" s="272" t="s">
        <v>1099</v>
      </c>
    </row>
    <row r="10967">
      <c r="B10967" s="31"/>
      <c r="G10967" s="272" t="s">
        <v>1099</v>
      </c>
    </row>
    <row r="10968">
      <c r="B10968" s="31"/>
      <c r="G10968" s="272" t="s">
        <v>1099</v>
      </c>
    </row>
    <row r="10969">
      <c r="B10969" s="31"/>
      <c r="G10969" s="272" t="s">
        <v>1099</v>
      </c>
    </row>
    <row r="10970">
      <c r="B10970" s="31"/>
      <c r="G10970" s="272" t="s">
        <v>1099</v>
      </c>
    </row>
    <row r="10971">
      <c r="B10971" s="31"/>
      <c r="G10971" s="272" t="s">
        <v>1099</v>
      </c>
    </row>
    <row r="10972">
      <c r="B10972" s="31"/>
      <c r="G10972" s="272" t="s">
        <v>1099</v>
      </c>
    </row>
    <row r="10973">
      <c r="B10973" s="31"/>
      <c r="G10973" s="272" t="s">
        <v>1099</v>
      </c>
    </row>
    <row r="10974">
      <c r="B10974" s="31"/>
      <c r="G10974" s="272" t="s">
        <v>1099</v>
      </c>
    </row>
    <row r="10975">
      <c r="B10975" s="31"/>
      <c r="G10975" s="272" t="s">
        <v>1099</v>
      </c>
    </row>
    <row r="10976">
      <c r="B10976" s="31"/>
      <c r="G10976" s="272" t="s">
        <v>1099</v>
      </c>
    </row>
    <row r="10977">
      <c r="B10977" s="31"/>
      <c r="G10977" s="272" t="s">
        <v>1099</v>
      </c>
    </row>
    <row r="10978">
      <c r="B10978" s="31"/>
      <c r="G10978" s="272" t="s">
        <v>1099</v>
      </c>
    </row>
    <row r="10979">
      <c r="B10979" s="31"/>
      <c r="G10979" s="272" t="s">
        <v>1099</v>
      </c>
    </row>
    <row r="10980">
      <c r="B10980" s="31"/>
      <c r="G10980" s="272" t="s">
        <v>1099</v>
      </c>
    </row>
    <row r="10981">
      <c r="B10981" s="31"/>
      <c r="G10981" s="272" t="s">
        <v>1099</v>
      </c>
    </row>
    <row r="10982">
      <c r="B10982" s="31"/>
      <c r="G10982" s="272" t="s">
        <v>1099</v>
      </c>
    </row>
    <row r="10983">
      <c r="B10983" s="31"/>
      <c r="G10983" s="272" t="s">
        <v>1099</v>
      </c>
    </row>
    <row r="10984">
      <c r="B10984" s="31"/>
      <c r="G10984" s="272" t="s">
        <v>1099</v>
      </c>
    </row>
    <row r="10985">
      <c r="B10985" s="31"/>
      <c r="G10985" s="272" t="s">
        <v>1099</v>
      </c>
    </row>
    <row r="10986">
      <c r="B10986" s="31"/>
      <c r="G10986" s="272" t="s">
        <v>1099</v>
      </c>
    </row>
    <row r="10987">
      <c r="B10987" s="31"/>
      <c r="G10987" s="272" t="s">
        <v>1099</v>
      </c>
    </row>
    <row r="10988">
      <c r="B10988" s="31"/>
      <c r="G10988" s="272" t="s">
        <v>1099</v>
      </c>
    </row>
    <row r="10989">
      <c r="B10989" s="31"/>
      <c r="G10989" s="272" t="s">
        <v>1099</v>
      </c>
    </row>
    <row r="10990">
      <c r="B10990" s="31"/>
      <c r="G10990" s="272" t="s">
        <v>1099</v>
      </c>
    </row>
    <row r="10991">
      <c r="B10991" s="31"/>
      <c r="G10991" s="272" t="s">
        <v>1099</v>
      </c>
    </row>
    <row r="10992">
      <c r="B10992" s="31"/>
      <c r="G10992" s="272" t="s">
        <v>1099</v>
      </c>
    </row>
    <row r="10993">
      <c r="B10993" s="31"/>
      <c r="G10993" s="272" t="s">
        <v>1099</v>
      </c>
    </row>
    <row r="10994">
      <c r="B10994" s="31"/>
      <c r="G10994" s="272" t="s">
        <v>1099</v>
      </c>
    </row>
    <row r="10995">
      <c r="B10995" s="31"/>
      <c r="G10995" s="272" t="s">
        <v>1099</v>
      </c>
    </row>
    <row r="10996">
      <c r="B10996" s="31"/>
      <c r="G10996" s="272" t="s">
        <v>1099</v>
      </c>
    </row>
    <row r="10997">
      <c r="B10997" s="31"/>
      <c r="G10997" s="272" t="s">
        <v>1099</v>
      </c>
    </row>
    <row r="10998">
      <c r="B10998" s="31"/>
      <c r="G10998" s="272" t="s">
        <v>1099</v>
      </c>
    </row>
    <row r="10999">
      <c r="B10999" s="31"/>
      <c r="G10999" s="272" t="s">
        <v>1099</v>
      </c>
    </row>
    <row r="11000">
      <c r="B11000" s="31"/>
      <c r="G11000" s="272" t="s">
        <v>1099</v>
      </c>
    </row>
    <row r="11001">
      <c r="B11001" s="31"/>
      <c r="G11001" s="272" t="s">
        <v>1099</v>
      </c>
    </row>
    <row r="11002">
      <c r="B11002" s="31"/>
      <c r="G11002" s="272" t="s">
        <v>1099</v>
      </c>
    </row>
    <row r="11003">
      <c r="B11003" s="31"/>
      <c r="G11003" s="272" t="s">
        <v>1099</v>
      </c>
    </row>
    <row r="11004">
      <c r="B11004" s="31"/>
      <c r="G11004" s="272" t="s">
        <v>1099</v>
      </c>
    </row>
    <row r="11005">
      <c r="B11005" s="31"/>
      <c r="G11005" s="272" t="s">
        <v>1099</v>
      </c>
    </row>
    <row r="11006">
      <c r="B11006" s="31"/>
      <c r="G11006" s="272" t="s">
        <v>1099</v>
      </c>
    </row>
    <row r="11007">
      <c r="B11007" s="31"/>
      <c r="G11007" s="272" t="s">
        <v>1099</v>
      </c>
    </row>
    <row r="11008">
      <c r="B11008" s="31"/>
      <c r="G11008" s="272" t="s">
        <v>1099</v>
      </c>
    </row>
    <row r="11009">
      <c r="B11009" s="31"/>
      <c r="G11009" s="272" t="s">
        <v>1099</v>
      </c>
    </row>
    <row r="11010">
      <c r="B11010" s="31"/>
      <c r="G11010" s="272" t="s">
        <v>1099</v>
      </c>
    </row>
    <row r="11011">
      <c r="B11011" s="31"/>
      <c r="G11011" s="272" t="s">
        <v>1099</v>
      </c>
    </row>
    <row r="11012">
      <c r="B11012" s="31"/>
      <c r="G11012" s="272" t="s">
        <v>1099</v>
      </c>
    </row>
    <row r="11013">
      <c r="B11013" s="31"/>
      <c r="G11013" s="272" t="s">
        <v>1099</v>
      </c>
    </row>
    <row r="11014">
      <c r="B11014" s="31"/>
      <c r="G11014" s="272" t="s">
        <v>1099</v>
      </c>
    </row>
    <row r="11015">
      <c r="B11015" s="31"/>
      <c r="G11015" s="272" t="s">
        <v>1099</v>
      </c>
    </row>
    <row r="11016">
      <c r="B11016" s="31"/>
      <c r="G11016" s="272" t="s">
        <v>1099</v>
      </c>
    </row>
    <row r="11017">
      <c r="B11017" s="31"/>
      <c r="G11017" s="272" t="s">
        <v>1099</v>
      </c>
    </row>
    <row r="11018">
      <c r="B11018" s="31"/>
      <c r="G11018" s="272" t="s">
        <v>1099</v>
      </c>
    </row>
    <row r="11019">
      <c r="B11019" s="31"/>
      <c r="G11019" s="272" t="s">
        <v>1099</v>
      </c>
    </row>
    <row r="11020">
      <c r="B11020" s="31"/>
      <c r="G11020" s="272" t="s">
        <v>1099</v>
      </c>
    </row>
    <row r="11021">
      <c r="B11021" s="31"/>
      <c r="G11021" s="272" t="s">
        <v>1099</v>
      </c>
    </row>
    <row r="11022">
      <c r="B11022" s="31"/>
      <c r="G11022" s="272" t="s">
        <v>1099</v>
      </c>
    </row>
    <row r="11023">
      <c r="B11023" s="31"/>
      <c r="G11023" s="272" t="s">
        <v>1099</v>
      </c>
    </row>
    <row r="11024">
      <c r="B11024" s="31"/>
      <c r="G11024" s="272" t="s">
        <v>1099</v>
      </c>
    </row>
    <row r="11025">
      <c r="B11025" s="31"/>
      <c r="G11025" s="272" t="s">
        <v>1099</v>
      </c>
    </row>
    <row r="11026">
      <c r="B11026" s="31"/>
      <c r="G11026" s="272" t="s">
        <v>1099</v>
      </c>
    </row>
    <row r="11027">
      <c r="B11027" s="31"/>
      <c r="G11027" s="272" t="s">
        <v>1099</v>
      </c>
    </row>
    <row r="11028">
      <c r="B11028" s="31"/>
      <c r="G11028" s="272" t="s">
        <v>1099</v>
      </c>
    </row>
    <row r="11029">
      <c r="B11029" s="31"/>
      <c r="G11029" s="272" t="s">
        <v>1099</v>
      </c>
    </row>
    <row r="11030">
      <c r="B11030" s="31"/>
      <c r="G11030" s="272" t="s">
        <v>1099</v>
      </c>
    </row>
    <row r="11031">
      <c r="B11031" s="31"/>
      <c r="G11031" s="272" t="s">
        <v>1099</v>
      </c>
    </row>
    <row r="11032">
      <c r="B11032" s="31"/>
      <c r="G11032" s="272" t="s">
        <v>1099</v>
      </c>
    </row>
    <row r="11033">
      <c r="B11033" s="31"/>
      <c r="G11033" s="272" t="s">
        <v>1099</v>
      </c>
    </row>
    <row r="11034">
      <c r="B11034" s="31"/>
      <c r="G11034" s="272" t="s">
        <v>1099</v>
      </c>
    </row>
    <row r="11035">
      <c r="B11035" s="31"/>
      <c r="G11035" s="272" t="s">
        <v>1099</v>
      </c>
    </row>
    <row r="11036">
      <c r="B11036" s="31"/>
      <c r="G11036" s="272" t="s">
        <v>1099</v>
      </c>
    </row>
    <row r="11037">
      <c r="B11037" s="31"/>
      <c r="G11037" s="272" t="s">
        <v>1099</v>
      </c>
    </row>
    <row r="11038">
      <c r="B11038" s="31"/>
      <c r="G11038" s="272" t="s">
        <v>1099</v>
      </c>
    </row>
    <row r="11039">
      <c r="B11039" s="31"/>
      <c r="G11039" s="272" t="s">
        <v>1099</v>
      </c>
    </row>
    <row r="11040">
      <c r="B11040" s="31"/>
      <c r="G11040" s="272" t="s">
        <v>1099</v>
      </c>
    </row>
    <row r="11041">
      <c r="B11041" s="31"/>
      <c r="G11041" s="272" t="s">
        <v>1099</v>
      </c>
    </row>
    <row r="11042">
      <c r="B11042" s="31"/>
      <c r="G11042" s="272" t="s">
        <v>1099</v>
      </c>
    </row>
    <row r="11043">
      <c r="B11043" s="31"/>
      <c r="G11043" s="272" t="s">
        <v>1099</v>
      </c>
    </row>
    <row r="11044">
      <c r="B11044" s="31"/>
      <c r="G11044" s="272" t="s">
        <v>1099</v>
      </c>
    </row>
    <row r="11045">
      <c r="B11045" s="31"/>
      <c r="G11045" s="272" t="s">
        <v>1099</v>
      </c>
    </row>
    <row r="11046">
      <c r="B11046" s="31"/>
      <c r="G11046" s="272" t="s">
        <v>1099</v>
      </c>
    </row>
    <row r="11047">
      <c r="B11047" s="31"/>
      <c r="G11047" s="272" t="s">
        <v>1099</v>
      </c>
    </row>
    <row r="11048">
      <c r="B11048" s="31"/>
      <c r="G11048" s="272" t="s">
        <v>1099</v>
      </c>
    </row>
    <row r="11049">
      <c r="B11049" s="31"/>
      <c r="G11049" s="272" t="s">
        <v>1099</v>
      </c>
    </row>
    <row r="11050">
      <c r="B11050" s="31"/>
      <c r="G11050" s="272" t="s">
        <v>1099</v>
      </c>
    </row>
    <row r="11051">
      <c r="B11051" s="31"/>
      <c r="G11051" s="272" t="s">
        <v>1099</v>
      </c>
    </row>
    <row r="11052">
      <c r="B11052" s="31"/>
      <c r="G11052" s="272" t="s">
        <v>1099</v>
      </c>
    </row>
    <row r="11053">
      <c r="B11053" s="31"/>
      <c r="G11053" s="272" t="s">
        <v>1099</v>
      </c>
    </row>
    <row r="11054">
      <c r="B11054" s="31"/>
      <c r="G11054" s="272" t="s">
        <v>1099</v>
      </c>
    </row>
    <row r="11055">
      <c r="B11055" s="31"/>
      <c r="G11055" s="272" t="s">
        <v>1099</v>
      </c>
    </row>
    <row r="11056">
      <c r="B11056" s="31"/>
      <c r="G11056" s="272" t="s">
        <v>1099</v>
      </c>
    </row>
    <row r="11057">
      <c r="B11057" s="31"/>
      <c r="G11057" s="272" t="s">
        <v>1099</v>
      </c>
    </row>
    <row r="11058">
      <c r="B11058" s="31"/>
      <c r="G11058" s="272" t="s">
        <v>1099</v>
      </c>
    </row>
    <row r="11059">
      <c r="B11059" s="31"/>
      <c r="G11059" s="272" t="s">
        <v>1099</v>
      </c>
    </row>
    <row r="11060">
      <c r="B11060" s="31"/>
      <c r="G11060" s="272" t="s">
        <v>1099</v>
      </c>
    </row>
    <row r="11061">
      <c r="B11061" s="31"/>
      <c r="G11061" s="272" t="s">
        <v>1099</v>
      </c>
    </row>
    <row r="11062">
      <c r="B11062" s="31"/>
      <c r="G11062" s="272" t="s">
        <v>1099</v>
      </c>
    </row>
    <row r="11063">
      <c r="B11063" s="31"/>
      <c r="G11063" s="272" t="s">
        <v>1099</v>
      </c>
    </row>
    <row r="11064">
      <c r="B11064" s="31"/>
      <c r="G11064" s="272" t="s">
        <v>1099</v>
      </c>
    </row>
    <row r="11065">
      <c r="B11065" s="31"/>
      <c r="G11065" s="272" t="s">
        <v>1099</v>
      </c>
    </row>
    <row r="11066">
      <c r="B11066" s="31"/>
      <c r="G11066" s="272" t="s">
        <v>1099</v>
      </c>
    </row>
    <row r="11067">
      <c r="B11067" s="31"/>
      <c r="G11067" s="272" t="s">
        <v>1099</v>
      </c>
    </row>
    <row r="11068">
      <c r="B11068" s="31"/>
      <c r="G11068" s="272" t="s">
        <v>1099</v>
      </c>
    </row>
    <row r="11069">
      <c r="B11069" s="31"/>
      <c r="G11069" s="272" t="s">
        <v>1099</v>
      </c>
    </row>
    <row r="11070">
      <c r="B11070" s="31"/>
      <c r="G11070" s="272" t="s">
        <v>1099</v>
      </c>
    </row>
    <row r="11071">
      <c r="B11071" s="31"/>
      <c r="G11071" s="272" t="s">
        <v>1099</v>
      </c>
    </row>
    <row r="11072">
      <c r="B11072" s="31"/>
      <c r="G11072" s="272" t="s">
        <v>1099</v>
      </c>
    </row>
    <row r="11073">
      <c r="B11073" s="31"/>
      <c r="G11073" s="272" t="s">
        <v>1099</v>
      </c>
    </row>
    <row r="11074">
      <c r="B11074" s="31"/>
      <c r="G11074" s="272" t="s">
        <v>1099</v>
      </c>
    </row>
    <row r="11075">
      <c r="B11075" s="31"/>
      <c r="G11075" s="272" t="s">
        <v>1099</v>
      </c>
    </row>
    <row r="11076">
      <c r="B11076" s="31"/>
      <c r="G11076" s="272" t="s">
        <v>1099</v>
      </c>
    </row>
    <row r="11077">
      <c r="B11077" s="31"/>
      <c r="G11077" s="272" t="s">
        <v>1099</v>
      </c>
    </row>
    <row r="11078">
      <c r="B11078" s="31"/>
      <c r="G11078" s="272" t="s">
        <v>1099</v>
      </c>
    </row>
    <row r="11079">
      <c r="B11079" s="31"/>
      <c r="G11079" s="272" t="s">
        <v>1099</v>
      </c>
    </row>
    <row r="11080">
      <c r="B11080" s="31"/>
      <c r="G11080" s="272" t="s">
        <v>1099</v>
      </c>
    </row>
    <row r="11081">
      <c r="B11081" s="31"/>
      <c r="G11081" s="272" t="s">
        <v>1099</v>
      </c>
    </row>
    <row r="11082">
      <c r="B11082" s="31"/>
      <c r="G11082" s="272" t="s">
        <v>1099</v>
      </c>
    </row>
    <row r="11083">
      <c r="B11083" s="31"/>
      <c r="G11083" s="272" t="s">
        <v>1099</v>
      </c>
    </row>
    <row r="11084">
      <c r="B11084" s="31"/>
      <c r="G11084" s="272" t="s">
        <v>1099</v>
      </c>
    </row>
    <row r="11085">
      <c r="B11085" s="31"/>
      <c r="G11085" s="272" t="s">
        <v>1099</v>
      </c>
    </row>
    <row r="11086">
      <c r="B11086" s="31"/>
      <c r="G11086" s="272" t="s">
        <v>1099</v>
      </c>
    </row>
    <row r="11087">
      <c r="B11087" s="31"/>
      <c r="G11087" s="272" t="s">
        <v>1099</v>
      </c>
    </row>
    <row r="11088">
      <c r="B11088" s="31"/>
      <c r="G11088" s="272" t="s">
        <v>1099</v>
      </c>
    </row>
    <row r="11089">
      <c r="B11089" s="31"/>
      <c r="G11089" s="272" t="s">
        <v>1099</v>
      </c>
    </row>
    <row r="11090">
      <c r="B11090" s="31"/>
      <c r="G11090" s="272" t="s">
        <v>1099</v>
      </c>
    </row>
    <row r="11091">
      <c r="B11091" s="31"/>
      <c r="G11091" s="272" t="s">
        <v>1099</v>
      </c>
    </row>
    <row r="11092">
      <c r="B11092" s="31"/>
      <c r="G11092" s="272" t="s">
        <v>1099</v>
      </c>
    </row>
    <row r="11093">
      <c r="B11093" s="31"/>
      <c r="G11093" s="272" t="s">
        <v>1099</v>
      </c>
    </row>
    <row r="11094">
      <c r="B11094" s="31"/>
      <c r="G11094" s="272" t="s">
        <v>1099</v>
      </c>
    </row>
    <row r="11095">
      <c r="B11095" s="31"/>
      <c r="G11095" s="272" t="s">
        <v>1099</v>
      </c>
    </row>
    <row r="11096">
      <c r="B11096" s="31"/>
      <c r="G11096" s="272" t="s">
        <v>1099</v>
      </c>
    </row>
    <row r="11097">
      <c r="B11097" s="31"/>
      <c r="G11097" s="272" t="s">
        <v>1099</v>
      </c>
    </row>
    <row r="11098">
      <c r="B11098" s="31"/>
      <c r="G11098" s="272" t="s">
        <v>1099</v>
      </c>
    </row>
    <row r="11099">
      <c r="B11099" s="31"/>
      <c r="G11099" s="272" t="s">
        <v>1099</v>
      </c>
    </row>
    <row r="11100">
      <c r="B11100" s="31"/>
      <c r="G11100" s="272" t="s">
        <v>1099</v>
      </c>
    </row>
    <row r="11101">
      <c r="B11101" s="31"/>
      <c r="G11101" s="272" t="s">
        <v>1099</v>
      </c>
    </row>
    <row r="11102">
      <c r="B11102" s="31"/>
      <c r="G11102" s="272" t="s">
        <v>1099</v>
      </c>
    </row>
    <row r="11103">
      <c r="B11103" s="31"/>
      <c r="G11103" s="272" t="s">
        <v>1099</v>
      </c>
    </row>
    <row r="11104">
      <c r="B11104" s="31"/>
      <c r="G11104" s="272" t="s">
        <v>1099</v>
      </c>
    </row>
    <row r="11105">
      <c r="B11105" s="31"/>
      <c r="G11105" s="272" t="s">
        <v>1099</v>
      </c>
    </row>
    <row r="11106">
      <c r="B11106" s="31"/>
      <c r="G11106" s="272" t="s">
        <v>1099</v>
      </c>
    </row>
    <row r="11107">
      <c r="B11107" s="31"/>
      <c r="G11107" s="272" t="s">
        <v>1099</v>
      </c>
    </row>
    <row r="11108">
      <c r="B11108" s="31"/>
      <c r="G11108" s="272" t="s">
        <v>1099</v>
      </c>
    </row>
    <row r="11109">
      <c r="B11109" s="31"/>
      <c r="G11109" s="272" t="s">
        <v>1099</v>
      </c>
    </row>
    <row r="11110">
      <c r="B11110" s="31"/>
      <c r="G11110" s="272" t="s">
        <v>1099</v>
      </c>
    </row>
    <row r="11111">
      <c r="B11111" s="31"/>
      <c r="G11111" s="272" t="s">
        <v>1099</v>
      </c>
    </row>
    <row r="11112">
      <c r="B11112" s="31"/>
      <c r="G11112" s="272" t="s">
        <v>1099</v>
      </c>
    </row>
    <row r="11113">
      <c r="B11113" s="31"/>
      <c r="G11113" s="272" t="s">
        <v>1099</v>
      </c>
    </row>
    <row r="11114">
      <c r="B11114" s="31"/>
      <c r="G11114" s="272" t="s">
        <v>1099</v>
      </c>
    </row>
    <row r="11115">
      <c r="B11115" s="31"/>
      <c r="G11115" s="272" t="s">
        <v>1099</v>
      </c>
    </row>
    <row r="11116">
      <c r="B11116" s="31"/>
      <c r="G11116" s="272" t="s">
        <v>1099</v>
      </c>
    </row>
    <row r="11117">
      <c r="B11117" s="31"/>
      <c r="G11117" s="272" t="s">
        <v>1099</v>
      </c>
    </row>
    <row r="11118">
      <c r="B11118" s="31"/>
      <c r="G11118" s="272" t="s">
        <v>1099</v>
      </c>
    </row>
    <row r="11119">
      <c r="B11119" s="31"/>
      <c r="G11119" s="272" t="s">
        <v>1099</v>
      </c>
    </row>
    <row r="11120">
      <c r="B11120" s="31"/>
      <c r="G11120" s="272" t="s">
        <v>1099</v>
      </c>
    </row>
    <row r="11121">
      <c r="B11121" s="31"/>
      <c r="G11121" s="272" t="s">
        <v>1099</v>
      </c>
    </row>
    <row r="11122">
      <c r="B11122" s="31"/>
      <c r="G11122" s="272" t="s">
        <v>1099</v>
      </c>
    </row>
    <row r="11123">
      <c r="B11123" s="31"/>
      <c r="G11123" s="272" t="s">
        <v>1099</v>
      </c>
    </row>
    <row r="11124">
      <c r="B11124" s="31"/>
      <c r="G11124" s="272" t="s">
        <v>1099</v>
      </c>
    </row>
    <row r="11125">
      <c r="B11125" s="31"/>
      <c r="G11125" s="272" t="s">
        <v>1099</v>
      </c>
    </row>
    <row r="11126">
      <c r="B11126" s="31"/>
      <c r="G11126" s="272" t="s">
        <v>1099</v>
      </c>
    </row>
    <row r="11127">
      <c r="B11127" s="31"/>
      <c r="G11127" s="272" t="s">
        <v>1099</v>
      </c>
    </row>
    <row r="11128">
      <c r="B11128" s="31"/>
      <c r="G11128" s="272" t="s">
        <v>1099</v>
      </c>
    </row>
    <row r="11129">
      <c r="B11129" s="31"/>
      <c r="G11129" s="272" t="s">
        <v>1099</v>
      </c>
    </row>
    <row r="11130">
      <c r="B11130" s="31"/>
      <c r="G11130" s="272" t="s">
        <v>1099</v>
      </c>
    </row>
    <row r="11131">
      <c r="B11131" s="31"/>
      <c r="G11131" s="272" t="s">
        <v>1099</v>
      </c>
    </row>
    <row r="11132">
      <c r="B11132" s="31"/>
      <c r="G11132" s="272" t="s">
        <v>1099</v>
      </c>
    </row>
    <row r="11133">
      <c r="B11133" s="31"/>
      <c r="G11133" s="272" t="s">
        <v>1099</v>
      </c>
    </row>
    <row r="11134">
      <c r="B11134" s="31"/>
      <c r="G11134" s="272" t="s">
        <v>1099</v>
      </c>
    </row>
    <row r="11135">
      <c r="B11135" s="31"/>
      <c r="G11135" s="272" t="s">
        <v>1099</v>
      </c>
    </row>
    <row r="11136">
      <c r="B11136" s="31"/>
      <c r="G11136" s="272" t="s">
        <v>1099</v>
      </c>
    </row>
    <row r="11137">
      <c r="B11137" s="31"/>
      <c r="G11137" s="272" t="s">
        <v>1099</v>
      </c>
    </row>
    <row r="11138">
      <c r="B11138" s="31"/>
      <c r="G11138" s="272" t="s">
        <v>1099</v>
      </c>
    </row>
    <row r="11139">
      <c r="B11139" s="31"/>
      <c r="G11139" s="272" t="s">
        <v>1099</v>
      </c>
    </row>
    <row r="11140">
      <c r="B11140" s="31"/>
      <c r="G11140" s="272" t="s">
        <v>1099</v>
      </c>
    </row>
    <row r="11141">
      <c r="B11141" s="31"/>
      <c r="G11141" s="272" t="s">
        <v>1099</v>
      </c>
    </row>
    <row r="11142">
      <c r="B11142" s="31"/>
      <c r="G11142" s="272" t="s">
        <v>1099</v>
      </c>
    </row>
    <row r="11143">
      <c r="B11143" s="31"/>
      <c r="G11143" s="272" t="s">
        <v>1099</v>
      </c>
    </row>
    <row r="11144">
      <c r="B11144" s="31"/>
      <c r="G11144" s="272" t="s">
        <v>1099</v>
      </c>
    </row>
    <row r="11145">
      <c r="B11145" s="31"/>
      <c r="G11145" s="272" t="s">
        <v>1099</v>
      </c>
    </row>
    <row r="11146">
      <c r="B11146" s="31"/>
      <c r="G11146" s="272" t="s">
        <v>1099</v>
      </c>
    </row>
    <row r="11147">
      <c r="B11147" s="31"/>
      <c r="G11147" s="272" t="s">
        <v>1099</v>
      </c>
    </row>
    <row r="11148">
      <c r="B11148" s="31"/>
      <c r="G11148" s="272" t="s">
        <v>1099</v>
      </c>
    </row>
    <row r="11149">
      <c r="B11149" s="31"/>
      <c r="G11149" s="272" t="s">
        <v>1099</v>
      </c>
    </row>
    <row r="11150">
      <c r="B11150" s="31"/>
      <c r="G11150" s="272" t="s">
        <v>1099</v>
      </c>
    </row>
    <row r="11151">
      <c r="B11151" s="31"/>
      <c r="G11151" s="272" t="s">
        <v>1099</v>
      </c>
    </row>
    <row r="11152">
      <c r="B11152" s="31"/>
      <c r="G11152" s="272" t="s">
        <v>1099</v>
      </c>
    </row>
    <row r="11153">
      <c r="B11153" s="31"/>
      <c r="G11153" s="272" t="s">
        <v>1099</v>
      </c>
    </row>
    <row r="11154">
      <c r="B11154" s="31"/>
      <c r="G11154" s="272" t="s">
        <v>1099</v>
      </c>
    </row>
    <row r="11155">
      <c r="B11155" s="31"/>
      <c r="G11155" s="272" t="s">
        <v>1099</v>
      </c>
    </row>
    <row r="11156">
      <c r="B11156" s="31"/>
      <c r="G11156" s="272" t="s">
        <v>1099</v>
      </c>
    </row>
    <row r="11157">
      <c r="B11157" s="31"/>
      <c r="G11157" s="272" t="s">
        <v>1099</v>
      </c>
    </row>
    <row r="11158">
      <c r="B11158" s="31"/>
      <c r="G11158" s="272" t="s">
        <v>1099</v>
      </c>
    </row>
    <row r="11159">
      <c r="B11159" s="31"/>
      <c r="G11159" s="272" t="s">
        <v>1099</v>
      </c>
    </row>
    <row r="11160">
      <c r="B11160" s="31"/>
      <c r="G11160" s="272" t="s">
        <v>1099</v>
      </c>
    </row>
    <row r="11161">
      <c r="B11161" s="31"/>
      <c r="G11161" s="272" t="s">
        <v>1099</v>
      </c>
    </row>
    <row r="11162">
      <c r="B11162" s="31"/>
      <c r="G11162" s="272" t="s">
        <v>1099</v>
      </c>
    </row>
    <row r="11163">
      <c r="B11163" s="31"/>
      <c r="G11163" s="272" t="s">
        <v>1099</v>
      </c>
    </row>
    <row r="11164">
      <c r="B11164" s="31"/>
      <c r="G11164" s="272" t="s">
        <v>1099</v>
      </c>
    </row>
    <row r="11165">
      <c r="B11165" s="31"/>
      <c r="G11165" s="272" t="s">
        <v>1099</v>
      </c>
    </row>
    <row r="11166">
      <c r="B11166" s="31"/>
      <c r="G11166" s="272" t="s">
        <v>1099</v>
      </c>
    </row>
    <row r="11167">
      <c r="B11167" s="31"/>
      <c r="G11167" s="272" t="s">
        <v>1099</v>
      </c>
    </row>
    <row r="11168">
      <c r="B11168" s="31"/>
      <c r="G11168" s="272" t="s">
        <v>1099</v>
      </c>
    </row>
    <row r="11169">
      <c r="B11169" s="31"/>
      <c r="G11169" s="272" t="s">
        <v>1099</v>
      </c>
    </row>
    <row r="11170">
      <c r="B11170" s="31"/>
      <c r="G11170" s="272" t="s">
        <v>1099</v>
      </c>
    </row>
    <row r="11171">
      <c r="B11171" s="31"/>
      <c r="G11171" s="272" t="s">
        <v>1099</v>
      </c>
    </row>
    <row r="11172">
      <c r="B11172" s="31"/>
      <c r="G11172" s="272" t="s">
        <v>1099</v>
      </c>
    </row>
    <row r="11173">
      <c r="B11173" s="31"/>
      <c r="G11173" s="272" t="s">
        <v>1099</v>
      </c>
    </row>
    <row r="11174">
      <c r="B11174" s="31"/>
      <c r="G11174" s="272" t="s">
        <v>1099</v>
      </c>
    </row>
    <row r="11175">
      <c r="B11175" s="31"/>
      <c r="G11175" s="272" t="s">
        <v>1099</v>
      </c>
    </row>
    <row r="11176">
      <c r="B11176" s="31"/>
      <c r="G11176" s="272" t="s">
        <v>1099</v>
      </c>
    </row>
    <row r="11177">
      <c r="B11177" s="31"/>
      <c r="G11177" s="272" t="s">
        <v>1099</v>
      </c>
    </row>
    <row r="11178">
      <c r="B11178" s="31"/>
      <c r="G11178" s="272" t="s">
        <v>1099</v>
      </c>
    </row>
    <row r="11179">
      <c r="B11179" s="31"/>
      <c r="G11179" s="272" t="s">
        <v>1099</v>
      </c>
    </row>
    <row r="11180">
      <c r="B11180" s="31"/>
      <c r="G11180" s="272" t="s">
        <v>1099</v>
      </c>
    </row>
    <row r="11181">
      <c r="B11181" s="31"/>
      <c r="G11181" s="272" t="s">
        <v>1099</v>
      </c>
    </row>
    <row r="11182">
      <c r="B11182" s="31"/>
      <c r="G11182" s="272" t="s">
        <v>1099</v>
      </c>
    </row>
    <row r="11183">
      <c r="B11183" s="31"/>
      <c r="G11183" s="272" t="s">
        <v>1099</v>
      </c>
    </row>
    <row r="11184">
      <c r="B11184" s="31"/>
      <c r="G11184" s="272" t="s">
        <v>1099</v>
      </c>
    </row>
    <row r="11185">
      <c r="B11185" s="31"/>
      <c r="G11185" s="272" t="s">
        <v>1099</v>
      </c>
    </row>
    <row r="11186">
      <c r="B11186" s="31"/>
      <c r="G11186" s="272" t="s">
        <v>1099</v>
      </c>
    </row>
    <row r="11187">
      <c r="B11187" s="31"/>
      <c r="G11187" s="272" t="s">
        <v>1099</v>
      </c>
    </row>
    <row r="11188">
      <c r="B11188" s="31"/>
      <c r="G11188" s="272" t="s">
        <v>1099</v>
      </c>
    </row>
    <row r="11189">
      <c r="B11189" s="31"/>
      <c r="G11189" s="272" t="s">
        <v>1099</v>
      </c>
    </row>
    <row r="11190">
      <c r="B11190" s="31"/>
      <c r="G11190" s="272" t="s">
        <v>1099</v>
      </c>
    </row>
    <row r="11191">
      <c r="B11191" s="31"/>
      <c r="G11191" s="272" t="s">
        <v>1099</v>
      </c>
    </row>
    <row r="11192">
      <c r="B11192" s="31"/>
      <c r="G11192" s="272" t="s">
        <v>1099</v>
      </c>
    </row>
    <row r="11193">
      <c r="B11193" s="31"/>
      <c r="G11193" s="272" t="s">
        <v>1099</v>
      </c>
    </row>
    <row r="11194">
      <c r="B11194" s="31"/>
      <c r="G11194" s="272" t="s">
        <v>1099</v>
      </c>
    </row>
    <row r="11195">
      <c r="B11195" s="31"/>
      <c r="G11195" s="272" t="s">
        <v>1099</v>
      </c>
    </row>
    <row r="11196">
      <c r="B11196" s="31"/>
      <c r="G11196" s="272" t="s">
        <v>1099</v>
      </c>
    </row>
    <row r="11197">
      <c r="B11197" s="31"/>
      <c r="G11197" s="272" t="s">
        <v>1099</v>
      </c>
    </row>
    <row r="11198">
      <c r="B11198" s="31"/>
      <c r="G11198" s="272" t="s">
        <v>1099</v>
      </c>
    </row>
    <row r="11199">
      <c r="B11199" s="31"/>
      <c r="G11199" s="272" t="s">
        <v>1099</v>
      </c>
    </row>
    <row r="11200">
      <c r="B11200" s="31"/>
      <c r="G11200" s="272" t="s">
        <v>1099</v>
      </c>
    </row>
    <row r="11201">
      <c r="B11201" s="31"/>
      <c r="G11201" s="272" t="s">
        <v>1099</v>
      </c>
    </row>
    <row r="11202">
      <c r="B11202" s="31"/>
      <c r="G11202" s="272" t="s">
        <v>1099</v>
      </c>
    </row>
    <row r="11203">
      <c r="B11203" s="31"/>
      <c r="G11203" s="272" t="s">
        <v>1099</v>
      </c>
    </row>
    <row r="11204">
      <c r="B11204" s="31"/>
      <c r="G11204" s="272" t="s">
        <v>1099</v>
      </c>
    </row>
    <row r="11205">
      <c r="B11205" s="31"/>
      <c r="G11205" s="272" t="s">
        <v>1099</v>
      </c>
    </row>
    <row r="11206">
      <c r="B11206" s="31"/>
      <c r="G11206" s="272" t="s">
        <v>1099</v>
      </c>
    </row>
    <row r="11207">
      <c r="B11207" s="31"/>
      <c r="G11207" s="272" t="s">
        <v>1099</v>
      </c>
    </row>
    <row r="11208">
      <c r="B11208" s="31"/>
      <c r="G11208" s="272" t="s">
        <v>1099</v>
      </c>
    </row>
    <row r="11209">
      <c r="B11209" s="31"/>
      <c r="G11209" s="272" t="s">
        <v>1099</v>
      </c>
    </row>
    <row r="11210">
      <c r="B11210" s="31"/>
      <c r="G11210" s="272" t="s">
        <v>1099</v>
      </c>
    </row>
    <row r="11211">
      <c r="B11211" s="31"/>
      <c r="G11211" s="272" t="s">
        <v>1099</v>
      </c>
    </row>
    <row r="11212">
      <c r="B11212" s="31"/>
      <c r="G11212" s="272" t="s">
        <v>1099</v>
      </c>
    </row>
    <row r="11213">
      <c r="B11213" s="31"/>
      <c r="G11213" s="272" t="s">
        <v>1099</v>
      </c>
    </row>
    <row r="11214">
      <c r="B11214" s="31"/>
      <c r="G11214" s="272" t="s">
        <v>1099</v>
      </c>
    </row>
    <row r="11215">
      <c r="B11215" s="31"/>
      <c r="G11215" s="272" t="s">
        <v>1099</v>
      </c>
    </row>
    <row r="11216">
      <c r="B11216" s="31"/>
      <c r="G11216" s="272" t="s">
        <v>1099</v>
      </c>
    </row>
    <row r="11217">
      <c r="B11217" s="31"/>
      <c r="G11217" s="272" t="s">
        <v>1099</v>
      </c>
    </row>
    <row r="11218">
      <c r="B11218" s="31"/>
      <c r="G11218" s="272" t="s">
        <v>1099</v>
      </c>
    </row>
    <row r="11219">
      <c r="B11219" s="31"/>
      <c r="G11219" s="272" t="s">
        <v>1099</v>
      </c>
    </row>
    <row r="11220">
      <c r="B11220" s="31"/>
      <c r="G11220" s="272" t="s">
        <v>1099</v>
      </c>
    </row>
    <row r="11221">
      <c r="B11221" s="31"/>
      <c r="G11221" s="272" t="s">
        <v>1099</v>
      </c>
    </row>
    <row r="11222">
      <c r="B11222" s="31"/>
      <c r="G11222" s="272" t="s">
        <v>1099</v>
      </c>
    </row>
    <row r="11223">
      <c r="B11223" s="31"/>
      <c r="G11223" s="272" t="s">
        <v>1099</v>
      </c>
    </row>
    <row r="11224">
      <c r="B11224" s="31"/>
      <c r="G11224" s="272" t="s">
        <v>1099</v>
      </c>
    </row>
    <row r="11225">
      <c r="B11225" s="31"/>
      <c r="G11225" s="272" t="s">
        <v>1099</v>
      </c>
    </row>
    <row r="11226">
      <c r="B11226" s="31"/>
      <c r="G11226" s="272" t="s">
        <v>1099</v>
      </c>
    </row>
    <row r="11227">
      <c r="B11227" s="31"/>
      <c r="G11227" s="272" t="s">
        <v>1099</v>
      </c>
    </row>
    <row r="11228">
      <c r="B11228" s="31"/>
      <c r="G11228" s="272" t="s">
        <v>1099</v>
      </c>
    </row>
    <row r="11229">
      <c r="B11229" s="31"/>
      <c r="G11229" s="272" t="s">
        <v>1099</v>
      </c>
    </row>
    <row r="11230">
      <c r="B11230" s="31"/>
      <c r="G11230" s="272" t="s">
        <v>1099</v>
      </c>
    </row>
    <row r="11231">
      <c r="B11231" s="31"/>
      <c r="G11231" s="272" t="s">
        <v>1099</v>
      </c>
    </row>
    <row r="11232">
      <c r="B11232" s="31"/>
      <c r="G11232" s="272" t="s">
        <v>1099</v>
      </c>
    </row>
    <row r="11233">
      <c r="B11233" s="31"/>
      <c r="G11233" s="272" t="s">
        <v>1099</v>
      </c>
    </row>
    <row r="11234">
      <c r="B11234" s="31"/>
      <c r="G11234" s="272" t="s">
        <v>1099</v>
      </c>
    </row>
    <row r="11235">
      <c r="B11235" s="31"/>
      <c r="G11235" s="272" t="s">
        <v>1099</v>
      </c>
    </row>
    <row r="11236">
      <c r="B11236" s="31"/>
      <c r="G11236" s="272" t="s">
        <v>1099</v>
      </c>
    </row>
    <row r="11237">
      <c r="B11237" s="31"/>
      <c r="G11237" s="272" t="s">
        <v>1099</v>
      </c>
    </row>
    <row r="11238">
      <c r="B11238" s="31"/>
      <c r="G11238" s="272" t="s">
        <v>1099</v>
      </c>
    </row>
    <row r="11239">
      <c r="B11239" s="31"/>
      <c r="G11239" s="272" t="s">
        <v>1099</v>
      </c>
    </row>
    <row r="11240">
      <c r="B11240" s="31"/>
      <c r="G11240" s="272" t="s">
        <v>1099</v>
      </c>
    </row>
    <row r="11241">
      <c r="B11241" s="31"/>
      <c r="G11241" s="272" t="s">
        <v>1099</v>
      </c>
    </row>
    <row r="11242">
      <c r="B11242" s="31"/>
      <c r="G11242" s="272" t="s">
        <v>1099</v>
      </c>
    </row>
    <row r="11243">
      <c r="B11243" s="31"/>
      <c r="G11243" s="272" t="s">
        <v>1099</v>
      </c>
    </row>
    <row r="11244">
      <c r="B11244" s="31"/>
      <c r="G11244" s="272" t="s">
        <v>1099</v>
      </c>
    </row>
    <row r="11245">
      <c r="B11245" s="31"/>
      <c r="G11245" s="272" t="s">
        <v>1099</v>
      </c>
    </row>
    <row r="11246">
      <c r="B11246" s="31"/>
      <c r="G11246" s="272" t="s">
        <v>1099</v>
      </c>
    </row>
    <row r="11247">
      <c r="B11247" s="31"/>
      <c r="G11247" s="272" t="s">
        <v>1099</v>
      </c>
    </row>
    <row r="11248">
      <c r="B11248" s="31"/>
      <c r="G11248" s="272" t="s">
        <v>1099</v>
      </c>
    </row>
    <row r="11249">
      <c r="B11249" s="31"/>
      <c r="G11249" s="272" t="s">
        <v>1099</v>
      </c>
    </row>
    <row r="11250">
      <c r="B11250" s="31"/>
      <c r="G11250" s="272" t="s">
        <v>1099</v>
      </c>
    </row>
    <row r="11251">
      <c r="B11251" s="31"/>
      <c r="G11251" s="272" t="s">
        <v>1099</v>
      </c>
    </row>
    <row r="11252">
      <c r="B11252" s="31"/>
      <c r="G11252" s="272" t="s">
        <v>1099</v>
      </c>
    </row>
    <row r="11253">
      <c r="B11253" s="31"/>
      <c r="G11253" s="272" t="s">
        <v>1099</v>
      </c>
    </row>
    <row r="11254">
      <c r="B11254" s="31"/>
      <c r="G11254" s="272" t="s">
        <v>1099</v>
      </c>
    </row>
    <row r="11255">
      <c r="B11255" s="31"/>
      <c r="G11255" s="272" t="s">
        <v>1099</v>
      </c>
    </row>
    <row r="11256">
      <c r="B11256" s="31"/>
      <c r="G11256" s="272" t="s">
        <v>1099</v>
      </c>
    </row>
    <row r="11257">
      <c r="B11257" s="31"/>
      <c r="G11257" s="272" t="s">
        <v>1099</v>
      </c>
    </row>
    <row r="11258">
      <c r="B11258" s="31"/>
      <c r="G11258" s="272" t="s">
        <v>1099</v>
      </c>
    </row>
    <row r="11259">
      <c r="B11259" s="31"/>
      <c r="G11259" s="272" t="s">
        <v>1099</v>
      </c>
    </row>
    <row r="11260">
      <c r="B11260" s="31"/>
      <c r="G11260" s="272" t="s">
        <v>1099</v>
      </c>
    </row>
    <row r="11261">
      <c r="B11261" s="31"/>
      <c r="G11261" s="272" t="s">
        <v>1099</v>
      </c>
    </row>
    <row r="11262">
      <c r="B11262" s="31"/>
      <c r="G11262" s="272" t="s">
        <v>1099</v>
      </c>
    </row>
    <row r="11263">
      <c r="B11263" s="31"/>
      <c r="G11263" s="272" t="s">
        <v>1099</v>
      </c>
    </row>
    <row r="11264">
      <c r="B11264" s="31"/>
      <c r="G11264" s="272" t="s">
        <v>1099</v>
      </c>
    </row>
    <row r="11265">
      <c r="B11265" s="31"/>
      <c r="G11265" s="272" t="s">
        <v>1099</v>
      </c>
    </row>
    <row r="11266">
      <c r="B11266" s="31"/>
      <c r="G11266" s="272" t="s">
        <v>1099</v>
      </c>
    </row>
    <row r="11267">
      <c r="B11267" s="31"/>
      <c r="G11267" s="272" t="s">
        <v>1099</v>
      </c>
    </row>
    <row r="11268">
      <c r="B11268" s="31"/>
      <c r="G11268" s="272" t="s">
        <v>1099</v>
      </c>
    </row>
    <row r="11269">
      <c r="B11269" s="31"/>
      <c r="G11269" s="272" t="s">
        <v>1099</v>
      </c>
    </row>
    <row r="11270">
      <c r="B11270" s="31"/>
      <c r="G11270" s="272" t="s">
        <v>1099</v>
      </c>
    </row>
    <row r="11271">
      <c r="B11271" s="31"/>
      <c r="G11271" s="272" t="s">
        <v>1099</v>
      </c>
    </row>
    <row r="11272">
      <c r="B11272" s="31"/>
      <c r="G11272" s="272" t="s">
        <v>1099</v>
      </c>
    </row>
    <row r="11273">
      <c r="B11273" s="31"/>
      <c r="G11273" s="272" t="s">
        <v>1099</v>
      </c>
    </row>
    <row r="11274">
      <c r="B11274" s="31"/>
      <c r="G11274" s="272" t="s">
        <v>1099</v>
      </c>
    </row>
    <row r="11275">
      <c r="B11275" s="31"/>
      <c r="G11275" s="272" t="s">
        <v>1099</v>
      </c>
    </row>
    <row r="11276">
      <c r="B11276" s="31"/>
      <c r="G11276" s="272" t="s">
        <v>1099</v>
      </c>
    </row>
    <row r="11277">
      <c r="B11277" s="31"/>
      <c r="G11277" s="272" t="s">
        <v>1099</v>
      </c>
    </row>
    <row r="11278">
      <c r="B11278" s="31"/>
      <c r="G11278" s="272" t="s">
        <v>1099</v>
      </c>
    </row>
    <row r="11279">
      <c r="B11279" s="31"/>
      <c r="G11279" s="272" t="s">
        <v>1099</v>
      </c>
    </row>
    <row r="11280">
      <c r="B11280" s="31"/>
      <c r="G11280" s="272" t="s">
        <v>1099</v>
      </c>
    </row>
    <row r="11281">
      <c r="B11281" s="31"/>
      <c r="G11281" s="272" t="s">
        <v>1099</v>
      </c>
    </row>
    <row r="11282">
      <c r="B11282" s="31"/>
      <c r="G11282" s="272" t="s">
        <v>1099</v>
      </c>
    </row>
    <row r="11283">
      <c r="B11283" s="31"/>
      <c r="G11283" s="272" t="s">
        <v>1099</v>
      </c>
    </row>
    <row r="11284">
      <c r="B11284" s="31"/>
      <c r="G11284" s="272" t="s">
        <v>1099</v>
      </c>
    </row>
    <row r="11285">
      <c r="B11285" s="31"/>
      <c r="G11285" s="272" t="s">
        <v>1099</v>
      </c>
    </row>
    <row r="11286">
      <c r="B11286" s="31"/>
      <c r="G11286" s="272" t="s">
        <v>1099</v>
      </c>
    </row>
    <row r="11287">
      <c r="B11287" s="31"/>
      <c r="G11287" s="272" t="s">
        <v>1099</v>
      </c>
    </row>
    <row r="11288">
      <c r="B11288" s="31"/>
      <c r="G11288" s="272" t="s">
        <v>1099</v>
      </c>
    </row>
    <row r="11289">
      <c r="B11289" s="31"/>
      <c r="G11289" s="272" t="s">
        <v>1099</v>
      </c>
    </row>
    <row r="11290">
      <c r="B11290" s="31"/>
      <c r="G11290" s="272" t="s">
        <v>1099</v>
      </c>
    </row>
    <row r="11291">
      <c r="B11291" s="31"/>
      <c r="G11291" s="272" t="s">
        <v>1099</v>
      </c>
    </row>
    <row r="11292">
      <c r="B11292" s="31"/>
      <c r="G11292" s="272" t="s">
        <v>1099</v>
      </c>
    </row>
    <row r="11293">
      <c r="B11293" s="31"/>
      <c r="G11293" s="272" t="s">
        <v>1099</v>
      </c>
    </row>
    <row r="11294">
      <c r="B11294" s="31"/>
      <c r="G11294" s="272" t="s">
        <v>1099</v>
      </c>
    </row>
    <row r="11295">
      <c r="B11295" s="31"/>
      <c r="G11295" s="272" t="s">
        <v>1099</v>
      </c>
    </row>
    <row r="11296">
      <c r="B11296" s="31"/>
      <c r="G11296" s="272" t="s">
        <v>1099</v>
      </c>
    </row>
    <row r="11297">
      <c r="B11297" s="31"/>
      <c r="G11297" s="272" t="s">
        <v>1099</v>
      </c>
    </row>
    <row r="11298">
      <c r="B11298" s="31"/>
      <c r="G11298" s="272" t="s">
        <v>1099</v>
      </c>
    </row>
    <row r="11299">
      <c r="B11299" s="31"/>
      <c r="G11299" s="272" t="s">
        <v>1099</v>
      </c>
    </row>
    <row r="11300">
      <c r="B11300" s="31"/>
      <c r="G11300" s="272" t="s">
        <v>1099</v>
      </c>
    </row>
    <row r="11301">
      <c r="B11301" s="31"/>
      <c r="G11301" s="272" t="s">
        <v>1099</v>
      </c>
    </row>
    <row r="11302">
      <c r="B11302" s="31"/>
      <c r="G11302" s="272" t="s">
        <v>1099</v>
      </c>
    </row>
    <row r="11303">
      <c r="B11303" s="31"/>
      <c r="G11303" s="272" t="s">
        <v>1099</v>
      </c>
    </row>
    <row r="11304">
      <c r="B11304" s="31"/>
      <c r="G11304" s="272" t="s">
        <v>1099</v>
      </c>
    </row>
    <row r="11305">
      <c r="B11305" s="31"/>
      <c r="G11305" s="272" t="s">
        <v>1099</v>
      </c>
    </row>
    <row r="11306">
      <c r="B11306" s="31"/>
      <c r="G11306" s="272" t="s">
        <v>1099</v>
      </c>
    </row>
    <row r="11307">
      <c r="B11307" s="31"/>
      <c r="G11307" s="272" t="s">
        <v>1099</v>
      </c>
    </row>
    <row r="11308">
      <c r="B11308" s="31"/>
      <c r="G11308" s="272" t="s">
        <v>1099</v>
      </c>
    </row>
    <row r="11309">
      <c r="B11309" s="31"/>
      <c r="G11309" s="272" t="s">
        <v>1099</v>
      </c>
    </row>
    <row r="11310">
      <c r="B11310" s="31"/>
      <c r="G11310" s="272" t="s">
        <v>1099</v>
      </c>
    </row>
    <row r="11311">
      <c r="B11311" s="31"/>
      <c r="G11311" s="272" t="s">
        <v>1099</v>
      </c>
    </row>
    <row r="11312">
      <c r="B11312" s="31"/>
      <c r="G11312" s="272" t="s">
        <v>1099</v>
      </c>
    </row>
    <row r="11313">
      <c r="B11313" s="31"/>
      <c r="G11313" s="272" t="s">
        <v>1099</v>
      </c>
    </row>
    <row r="11314">
      <c r="B11314" s="31"/>
      <c r="G11314" s="272" t="s">
        <v>1099</v>
      </c>
    </row>
    <row r="11315">
      <c r="B11315" s="31"/>
      <c r="G11315" s="272" t="s">
        <v>1099</v>
      </c>
    </row>
    <row r="11316">
      <c r="B11316" s="31"/>
      <c r="G11316" s="272" t="s">
        <v>1099</v>
      </c>
    </row>
    <row r="11317">
      <c r="B11317" s="31"/>
      <c r="G11317" s="272" t="s">
        <v>1099</v>
      </c>
    </row>
    <row r="11318">
      <c r="B11318" s="31"/>
      <c r="G11318" s="272" t="s">
        <v>1099</v>
      </c>
    </row>
    <row r="11319">
      <c r="B11319" s="31"/>
      <c r="G11319" s="272" t="s">
        <v>1099</v>
      </c>
    </row>
    <row r="11320">
      <c r="B11320" s="31"/>
      <c r="G11320" s="272" t="s">
        <v>1099</v>
      </c>
    </row>
    <row r="11321">
      <c r="B11321" s="31"/>
      <c r="G11321" s="272" t="s">
        <v>1099</v>
      </c>
    </row>
    <row r="11322">
      <c r="B11322" s="31"/>
      <c r="G11322" s="272" t="s">
        <v>1099</v>
      </c>
    </row>
    <row r="11323">
      <c r="B11323" s="31"/>
      <c r="G11323" s="272" t="s">
        <v>1099</v>
      </c>
    </row>
    <row r="11324">
      <c r="B11324" s="31"/>
      <c r="G11324" s="272" t="s">
        <v>1099</v>
      </c>
    </row>
    <row r="11325">
      <c r="B11325" s="31"/>
      <c r="G11325" s="272" t="s">
        <v>1099</v>
      </c>
    </row>
    <row r="11326">
      <c r="B11326" s="31"/>
      <c r="G11326" s="272" t="s">
        <v>1099</v>
      </c>
    </row>
    <row r="11327">
      <c r="B11327" s="31"/>
      <c r="G11327" s="272" t="s">
        <v>1099</v>
      </c>
    </row>
    <row r="11328">
      <c r="B11328" s="31"/>
      <c r="G11328" s="272" t="s">
        <v>1099</v>
      </c>
    </row>
    <row r="11329">
      <c r="B11329" s="31"/>
      <c r="G11329" s="272" t="s">
        <v>1099</v>
      </c>
    </row>
    <row r="11330">
      <c r="B11330" s="31"/>
      <c r="G11330" s="272" t="s">
        <v>1099</v>
      </c>
    </row>
    <row r="11331">
      <c r="B11331" s="31"/>
      <c r="G11331" s="272" t="s">
        <v>1099</v>
      </c>
    </row>
    <row r="11332">
      <c r="B11332" s="31"/>
      <c r="G11332" s="272" t="s">
        <v>1099</v>
      </c>
    </row>
    <row r="11333">
      <c r="B11333" s="31"/>
      <c r="G11333" s="272" t="s">
        <v>1099</v>
      </c>
    </row>
    <row r="11334">
      <c r="B11334" s="31"/>
      <c r="G11334" s="272" t="s">
        <v>1099</v>
      </c>
    </row>
    <row r="11335">
      <c r="B11335" s="31"/>
      <c r="G11335" s="272" t="s">
        <v>1099</v>
      </c>
    </row>
    <row r="11336">
      <c r="B11336" s="31"/>
      <c r="G11336" s="272" t="s">
        <v>1099</v>
      </c>
    </row>
    <row r="11337">
      <c r="B11337" s="31"/>
      <c r="G11337" s="272" t="s">
        <v>1099</v>
      </c>
    </row>
    <row r="11338">
      <c r="B11338" s="31"/>
      <c r="G11338" s="272" t="s">
        <v>1099</v>
      </c>
    </row>
    <row r="11339">
      <c r="B11339" s="31"/>
      <c r="G11339" s="272" t="s">
        <v>1099</v>
      </c>
    </row>
    <row r="11340">
      <c r="B11340" s="31"/>
      <c r="G11340" s="272" t="s">
        <v>1099</v>
      </c>
    </row>
    <row r="11341">
      <c r="B11341" s="31"/>
      <c r="G11341" s="272" t="s">
        <v>1099</v>
      </c>
    </row>
    <row r="11342">
      <c r="B11342" s="31"/>
      <c r="G11342" s="272" t="s">
        <v>1099</v>
      </c>
    </row>
    <row r="11343">
      <c r="B11343" s="31"/>
      <c r="G11343" s="272" t="s">
        <v>1099</v>
      </c>
    </row>
    <row r="11344">
      <c r="B11344" s="31"/>
      <c r="G11344" s="272" t="s">
        <v>1099</v>
      </c>
    </row>
    <row r="11345">
      <c r="B11345" s="31"/>
      <c r="G11345" s="272" t="s">
        <v>1099</v>
      </c>
    </row>
    <row r="11346">
      <c r="B11346" s="31"/>
      <c r="G11346" s="272" t="s">
        <v>1099</v>
      </c>
    </row>
    <row r="11347">
      <c r="B11347" s="31"/>
      <c r="G11347" s="272" t="s">
        <v>1099</v>
      </c>
    </row>
    <row r="11348">
      <c r="B11348" s="31"/>
      <c r="G11348" s="272" t="s">
        <v>1099</v>
      </c>
    </row>
    <row r="11349">
      <c r="B11349" s="31"/>
      <c r="G11349" s="272" t="s">
        <v>1099</v>
      </c>
    </row>
    <row r="11350">
      <c r="B11350" s="31"/>
      <c r="G11350" s="272" t="s">
        <v>1099</v>
      </c>
    </row>
    <row r="11351">
      <c r="B11351" s="31"/>
      <c r="G11351" s="272" t="s">
        <v>1099</v>
      </c>
    </row>
    <row r="11352">
      <c r="B11352" s="31"/>
      <c r="G11352" s="272" t="s">
        <v>1099</v>
      </c>
    </row>
    <row r="11353">
      <c r="B11353" s="31"/>
      <c r="G11353" s="272" t="s">
        <v>1099</v>
      </c>
    </row>
    <row r="11354">
      <c r="B11354" s="31"/>
      <c r="G11354" s="272" t="s">
        <v>1099</v>
      </c>
    </row>
    <row r="11355">
      <c r="B11355" s="31"/>
      <c r="G11355" s="272" t="s">
        <v>1099</v>
      </c>
    </row>
    <row r="11356">
      <c r="B11356" s="31"/>
      <c r="G11356" s="272" t="s">
        <v>1099</v>
      </c>
    </row>
    <row r="11357">
      <c r="B11357" s="31"/>
      <c r="G11357" s="272" t="s">
        <v>1099</v>
      </c>
    </row>
    <row r="11358">
      <c r="B11358" s="31"/>
      <c r="G11358" s="272" t="s">
        <v>1099</v>
      </c>
    </row>
    <row r="11359">
      <c r="B11359" s="31"/>
      <c r="G11359" s="272" t="s">
        <v>1099</v>
      </c>
    </row>
    <row r="11360">
      <c r="B11360" s="31"/>
      <c r="G11360" s="272" t="s">
        <v>1099</v>
      </c>
    </row>
    <row r="11361">
      <c r="B11361" s="31"/>
      <c r="G11361" s="272" t="s">
        <v>1099</v>
      </c>
    </row>
    <row r="11362">
      <c r="B11362" s="31"/>
      <c r="G11362" s="272" t="s">
        <v>1099</v>
      </c>
    </row>
    <row r="11363">
      <c r="B11363" s="31"/>
      <c r="G11363" s="272" t="s">
        <v>1099</v>
      </c>
    </row>
    <row r="11364">
      <c r="B11364" s="31"/>
      <c r="G11364" s="272" t="s">
        <v>1099</v>
      </c>
    </row>
    <row r="11365">
      <c r="B11365" s="31"/>
      <c r="G11365" s="272" t="s">
        <v>1099</v>
      </c>
    </row>
    <row r="11366">
      <c r="B11366" s="31"/>
      <c r="G11366" s="272" t="s">
        <v>1099</v>
      </c>
    </row>
    <row r="11367">
      <c r="B11367" s="31"/>
      <c r="G11367" s="272" t="s">
        <v>1099</v>
      </c>
    </row>
    <row r="11368">
      <c r="B11368" s="31"/>
      <c r="G11368" s="272" t="s">
        <v>1099</v>
      </c>
    </row>
    <row r="11369">
      <c r="B11369" s="31"/>
      <c r="G11369" s="272" t="s">
        <v>1099</v>
      </c>
    </row>
    <row r="11370">
      <c r="B11370" s="31"/>
      <c r="G11370" s="272" t="s">
        <v>1099</v>
      </c>
    </row>
    <row r="11371">
      <c r="B11371" s="31"/>
      <c r="G11371" s="272" t="s">
        <v>1099</v>
      </c>
    </row>
    <row r="11372">
      <c r="B11372" s="31"/>
      <c r="G11372" s="272" t="s">
        <v>1099</v>
      </c>
    </row>
    <row r="11373">
      <c r="B11373" s="31"/>
      <c r="G11373" s="272" t="s">
        <v>1099</v>
      </c>
    </row>
    <row r="11374">
      <c r="B11374" s="31"/>
      <c r="G11374" s="272" t="s">
        <v>1099</v>
      </c>
    </row>
    <row r="11375">
      <c r="B11375" s="31"/>
      <c r="G11375" s="272" t="s">
        <v>1099</v>
      </c>
    </row>
    <row r="11376">
      <c r="B11376" s="31"/>
      <c r="G11376" s="272" t="s">
        <v>1099</v>
      </c>
    </row>
    <row r="11377">
      <c r="B11377" s="31"/>
      <c r="G11377" s="272" t="s">
        <v>1099</v>
      </c>
    </row>
    <row r="11378">
      <c r="B11378" s="31"/>
      <c r="G11378" s="272" t="s">
        <v>1099</v>
      </c>
    </row>
    <row r="11379">
      <c r="B11379" s="31"/>
      <c r="G11379" s="272" t="s">
        <v>1099</v>
      </c>
    </row>
    <row r="11380">
      <c r="B11380" s="31"/>
      <c r="G11380" s="272" t="s">
        <v>1099</v>
      </c>
    </row>
    <row r="11381">
      <c r="B11381" s="31"/>
      <c r="G11381" s="272" t="s">
        <v>1099</v>
      </c>
    </row>
    <row r="11382">
      <c r="B11382" s="31"/>
      <c r="G11382" s="272" t="s">
        <v>1099</v>
      </c>
    </row>
    <row r="11383">
      <c r="B11383" s="31"/>
      <c r="G11383" s="272" t="s">
        <v>1099</v>
      </c>
    </row>
    <row r="11384">
      <c r="B11384" s="31"/>
      <c r="G11384" s="272" t="s">
        <v>1099</v>
      </c>
    </row>
    <row r="11385">
      <c r="B11385" s="31"/>
      <c r="G11385" s="272" t="s">
        <v>1099</v>
      </c>
    </row>
    <row r="11386">
      <c r="B11386" s="31"/>
      <c r="G11386" s="272" t="s">
        <v>1099</v>
      </c>
    </row>
    <row r="11387">
      <c r="B11387" s="31"/>
      <c r="G11387" s="272" t="s">
        <v>1099</v>
      </c>
    </row>
    <row r="11388">
      <c r="B11388" s="31"/>
      <c r="G11388" s="272" t="s">
        <v>1099</v>
      </c>
    </row>
    <row r="11389">
      <c r="B11389" s="31"/>
      <c r="G11389" s="272" t="s">
        <v>1099</v>
      </c>
    </row>
    <row r="11390">
      <c r="B11390" s="31"/>
      <c r="G11390" s="272" t="s">
        <v>1099</v>
      </c>
    </row>
    <row r="11391">
      <c r="B11391" s="31"/>
      <c r="G11391" s="272" t="s">
        <v>1099</v>
      </c>
    </row>
    <row r="11392">
      <c r="B11392" s="31"/>
      <c r="G11392" s="272" t="s">
        <v>1099</v>
      </c>
    </row>
    <row r="11393">
      <c r="B11393" s="31"/>
      <c r="G11393" s="272" t="s">
        <v>1099</v>
      </c>
    </row>
    <row r="11394">
      <c r="B11394" s="31"/>
      <c r="G11394" s="272" t="s">
        <v>1099</v>
      </c>
    </row>
    <row r="11395">
      <c r="B11395" s="31"/>
      <c r="G11395" s="272" t="s">
        <v>1099</v>
      </c>
    </row>
    <row r="11396">
      <c r="B11396" s="31"/>
      <c r="G11396" s="272" t="s">
        <v>1099</v>
      </c>
    </row>
    <row r="11397">
      <c r="B11397" s="31"/>
      <c r="G11397" s="272" t="s">
        <v>1099</v>
      </c>
    </row>
    <row r="11398">
      <c r="B11398" s="31"/>
      <c r="G11398" s="272" t="s">
        <v>1099</v>
      </c>
    </row>
    <row r="11399">
      <c r="B11399" s="31"/>
      <c r="G11399" s="272" t="s">
        <v>1099</v>
      </c>
    </row>
    <row r="11400">
      <c r="B11400" s="31"/>
      <c r="G11400" s="272" t="s">
        <v>1099</v>
      </c>
    </row>
    <row r="11401">
      <c r="B11401" s="31"/>
      <c r="G11401" s="272" t="s">
        <v>1099</v>
      </c>
    </row>
    <row r="11402">
      <c r="B11402" s="31"/>
      <c r="G11402" s="272" t="s">
        <v>1099</v>
      </c>
    </row>
    <row r="11403">
      <c r="B11403" s="31"/>
      <c r="G11403" s="272" t="s">
        <v>1099</v>
      </c>
    </row>
    <row r="11404">
      <c r="B11404" s="31"/>
      <c r="G11404" s="272" t="s">
        <v>1099</v>
      </c>
    </row>
    <row r="11405">
      <c r="B11405" s="31"/>
      <c r="G11405" s="272" t="s">
        <v>1099</v>
      </c>
    </row>
    <row r="11406">
      <c r="B11406" s="31"/>
      <c r="G11406" s="272" t="s">
        <v>1099</v>
      </c>
    </row>
    <row r="11407">
      <c r="B11407" s="31"/>
      <c r="G11407" s="272" t="s">
        <v>1099</v>
      </c>
    </row>
    <row r="11408">
      <c r="B11408" s="31"/>
      <c r="G11408" s="272" t="s">
        <v>1099</v>
      </c>
    </row>
    <row r="11409">
      <c r="B11409" s="31"/>
      <c r="G11409" s="272" t="s">
        <v>1099</v>
      </c>
    </row>
    <row r="11410">
      <c r="B11410" s="31"/>
      <c r="G11410" s="272" t="s">
        <v>1099</v>
      </c>
    </row>
    <row r="11411">
      <c r="B11411" s="31"/>
      <c r="G11411" s="272" t="s">
        <v>1099</v>
      </c>
    </row>
    <row r="11412">
      <c r="B11412" s="31"/>
      <c r="G11412" s="272" t="s">
        <v>1099</v>
      </c>
    </row>
    <row r="11413">
      <c r="B11413" s="31"/>
      <c r="G11413" s="272" t="s">
        <v>1099</v>
      </c>
    </row>
    <row r="11414">
      <c r="B11414" s="31"/>
      <c r="G11414" s="272" t="s">
        <v>1099</v>
      </c>
    </row>
    <row r="11415">
      <c r="B11415" s="31"/>
      <c r="G11415" s="272" t="s">
        <v>1099</v>
      </c>
    </row>
    <row r="11416">
      <c r="B11416" s="31"/>
      <c r="G11416" s="272" t="s">
        <v>1099</v>
      </c>
    </row>
    <row r="11417">
      <c r="B11417" s="31"/>
      <c r="G11417" s="272" t="s">
        <v>1099</v>
      </c>
    </row>
    <row r="11418">
      <c r="B11418" s="31"/>
      <c r="G11418" s="272" t="s">
        <v>1099</v>
      </c>
    </row>
    <row r="11419">
      <c r="B11419" s="31"/>
      <c r="G11419" s="272" t="s">
        <v>1099</v>
      </c>
    </row>
    <row r="11420">
      <c r="B11420" s="31"/>
      <c r="G11420" s="272" t="s">
        <v>1099</v>
      </c>
    </row>
    <row r="11421">
      <c r="B11421" s="31"/>
      <c r="G11421" s="272" t="s">
        <v>1099</v>
      </c>
    </row>
    <row r="11422">
      <c r="B11422" s="31"/>
      <c r="G11422" s="272" t="s">
        <v>1099</v>
      </c>
    </row>
    <row r="11423">
      <c r="B11423" s="31"/>
      <c r="G11423" s="272" t="s">
        <v>1099</v>
      </c>
    </row>
    <row r="11424">
      <c r="B11424" s="31"/>
      <c r="G11424" s="272" t="s">
        <v>1099</v>
      </c>
    </row>
    <row r="11425">
      <c r="B11425" s="31"/>
      <c r="G11425" s="272" t="s">
        <v>1099</v>
      </c>
    </row>
    <row r="11426">
      <c r="B11426" s="31"/>
      <c r="G11426" s="272" t="s">
        <v>1099</v>
      </c>
    </row>
    <row r="11427">
      <c r="B11427" s="31"/>
      <c r="G11427" s="272" t="s">
        <v>1099</v>
      </c>
    </row>
    <row r="11428">
      <c r="B11428" s="31"/>
      <c r="G11428" s="272" t="s">
        <v>1099</v>
      </c>
    </row>
    <row r="11429">
      <c r="B11429" s="31"/>
      <c r="G11429" s="272" t="s">
        <v>1099</v>
      </c>
    </row>
    <row r="11430">
      <c r="B11430" s="31"/>
      <c r="G11430" s="272" t="s">
        <v>1099</v>
      </c>
    </row>
    <row r="11431">
      <c r="B11431" s="31"/>
      <c r="G11431" s="272" t="s">
        <v>1099</v>
      </c>
    </row>
    <row r="11432">
      <c r="B11432" s="31"/>
      <c r="G11432" s="272" t="s">
        <v>1099</v>
      </c>
    </row>
    <row r="11433">
      <c r="B11433" s="31"/>
      <c r="G11433" s="272" t="s">
        <v>1099</v>
      </c>
    </row>
    <row r="11434">
      <c r="B11434" s="31"/>
      <c r="G11434" s="272" t="s">
        <v>1099</v>
      </c>
    </row>
    <row r="11435">
      <c r="B11435" s="31"/>
      <c r="G11435" s="272" t="s">
        <v>1099</v>
      </c>
    </row>
    <row r="11436">
      <c r="B11436" s="31"/>
      <c r="G11436" s="272" t="s">
        <v>1099</v>
      </c>
    </row>
    <row r="11437">
      <c r="B11437" s="31"/>
      <c r="G11437" s="272" t="s">
        <v>1099</v>
      </c>
    </row>
    <row r="11438">
      <c r="B11438" s="31"/>
      <c r="G11438" s="272" t="s">
        <v>1099</v>
      </c>
    </row>
    <row r="11439">
      <c r="B11439" s="31"/>
      <c r="G11439" s="272" t="s">
        <v>1099</v>
      </c>
    </row>
    <row r="11440">
      <c r="B11440" s="31"/>
      <c r="G11440" s="272" t="s">
        <v>1099</v>
      </c>
    </row>
    <row r="11441">
      <c r="B11441" s="31"/>
      <c r="G11441" s="272" t="s">
        <v>1099</v>
      </c>
    </row>
    <row r="11442">
      <c r="B11442" s="31"/>
      <c r="G11442" s="272" t="s">
        <v>1099</v>
      </c>
    </row>
    <row r="11443">
      <c r="B11443" s="31"/>
      <c r="G11443" s="272" t="s">
        <v>1099</v>
      </c>
    </row>
    <row r="11444">
      <c r="B11444" s="31"/>
      <c r="G11444" s="272" t="s">
        <v>1099</v>
      </c>
    </row>
    <row r="11445">
      <c r="B11445" s="31"/>
      <c r="G11445" s="272" t="s">
        <v>1099</v>
      </c>
    </row>
    <row r="11446">
      <c r="B11446" s="31"/>
      <c r="G11446" s="272" t="s">
        <v>1099</v>
      </c>
    </row>
    <row r="11447">
      <c r="B11447" s="31"/>
      <c r="G11447" s="272" t="s">
        <v>1099</v>
      </c>
    </row>
    <row r="11448">
      <c r="B11448" s="31"/>
      <c r="G11448" s="272" t="s">
        <v>1099</v>
      </c>
    </row>
    <row r="11449">
      <c r="B11449" s="31"/>
      <c r="G11449" s="272" t="s">
        <v>1099</v>
      </c>
    </row>
    <row r="11450">
      <c r="B11450" s="31"/>
      <c r="G11450" s="272" t="s">
        <v>1099</v>
      </c>
    </row>
    <row r="11451">
      <c r="B11451" s="31"/>
      <c r="G11451" s="272" t="s">
        <v>1099</v>
      </c>
    </row>
    <row r="11452">
      <c r="B11452" s="31"/>
      <c r="G11452" s="272" t="s">
        <v>1099</v>
      </c>
    </row>
    <row r="11453">
      <c r="B11453" s="31"/>
      <c r="G11453" s="272" t="s">
        <v>1099</v>
      </c>
    </row>
    <row r="11454">
      <c r="B11454" s="31"/>
      <c r="G11454" s="272" t="s">
        <v>1099</v>
      </c>
    </row>
    <row r="11455">
      <c r="B11455" s="31"/>
      <c r="G11455" s="272" t="s">
        <v>1099</v>
      </c>
    </row>
    <row r="11456">
      <c r="B11456" s="31"/>
      <c r="G11456" s="272" t="s">
        <v>1099</v>
      </c>
    </row>
    <row r="11457">
      <c r="B11457" s="31"/>
      <c r="G11457" s="272" t="s">
        <v>1099</v>
      </c>
    </row>
    <row r="11458">
      <c r="B11458" s="31"/>
      <c r="G11458" s="272" t="s">
        <v>1099</v>
      </c>
    </row>
    <row r="11459">
      <c r="B11459" s="31"/>
      <c r="G11459" s="272" t="s">
        <v>1099</v>
      </c>
    </row>
    <row r="11460">
      <c r="B11460" s="31"/>
      <c r="G11460" s="272" t="s">
        <v>1099</v>
      </c>
    </row>
    <row r="11461">
      <c r="B11461" s="31"/>
      <c r="G11461" s="272" t="s">
        <v>1099</v>
      </c>
    </row>
    <row r="11462">
      <c r="B11462" s="31"/>
      <c r="G11462" s="272" t="s">
        <v>1099</v>
      </c>
    </row>
    <row r="11463">
      <c r="B11463" s="31"/>
      <c r="G11463" s="272" t="s">
        <v>1099</v>
      </c>
    </row>
    <row r="11464">
      <c r="B11464" s="31"/>
      <c r="G11464" s="272" t="s">
        <v>1099</v>
      </c>
    </row>
    <row r="11465">
      <c r="B11465" s="31"/>
      <c r="G11465" s="272" t="s">
        <v>1099</v>
      </c>
    </row>
    <row r="11466">
      <c r="B11466" s="31"/>
      <c r="G11466" s="272" t="s">
        <v>1099</v>
      </c>
    </row>
    <row r="11467">
      <c r="B11467" s="31"/>
      <c r="G11467" s="272" t="s">
        <v>1099</v>
      </c>
    </row>
    <row r="11468">
      <c r="B11468" s="31"/>
      <c r="G11468" s="272" t="s">
        <v>1099</v>
      </c>
    </row>
    <row r="11469">
      <c r="B11469" s="31"/>
      <c r="G11469" s="272" t="s">
        <v>1099</v>
      </c>
    </row>
    <row r="11470">
      <c r="B11470" s="31"/>
      <c r="G11470" s="272" t="s">
        <v>1099</v>
      </c>
    </row>
    <row r="11471">
      <c r="B11471" s="31"/>
      <c r="G11471" s="272" t="s">
        <v>1099</v>
      </c>
    </row>
    <row r="11472">
      <c r="B11472" s="31"/>
      <c r="G11472" s="272" t="s">
        <v>1099</v>
      </c>
    </row>
    <row r="11473">
      <c r="B11473" s="31"/>
      <c r="G11473" s="272" t="s">
        <v>1099</v>
      </c>
    </row>
    <row r="11474">
      <c r="B11474" s="31"/>
      <c r="G11474" s="272" t="s">
        <v>1099</v>
      </c>
    </row>
    <row r="11475">
      <c r="B11475" s="31"/>
      <c r="G11475" s="272" t="s">
        <v>1099</v>
      </c>
    </row>
    <row r="11476">
      <c r="B11476" s="31"/>
      <c r="G11476" s="272" t="s">
        <v>1099</v>
      </c>
    </row>
    <row r="11477">
      <c r="B11477" s="31"/>
      <c r="G11477" s="272" t="s">
        <v>1099</v>
      </c>
    </row>
    <row r="11478">
      <c r="B11478" s="31"/>
      <c r="G11478" s="272" t="s">
        <v>1099</v>
      </c>
    </row>
    <row r="11479">
      <c r="B11479" s="31"/>
      <c r="G11479" s="272" t="s">
        <v>1099</v>
      </c>
    </row>
    <row r="11480">
      <c r="B11480" s="31"/>
      <c r="G11480" s="272" t="s">
        <v>1099</v>
      </c>
    </row>
    <row r="11481">
      <c r="B11481" s="31"/>
      <c r="G11481" s="272" t="s">
        <v>1099</v>
      </c>
    </row>
    <row r="11482">
      <c r="B11482" s="31"/>
      <c r="G11482" s="272" t="s">
        <v>1099</v>
      </c>
    </row>
    <row r="11483">
      <c r="B11483" s="31"/>
      <c r="G11483" s="272" t="s">
        <v>1099</v>
      </c>
    </row>
    <row r="11484">
      <c r="B11484" s="31"/>
      <c r="G11484" s="272" t="s">
        <v>1099</v>
      </c>
    </row>
    <row r="11485">
      <c r="B11485" s="31"/>
      <c r="G11485" s="272" t="s">
        <v>1099</v>
      </c>
    </row>
    <row r="11486">
      <c r="B11486" s="31"/>
      <c r="G11486" s="272" t="s">
        <v>1099</v>
      </c>
    </row>
    <row r="11487">
      <c r="B11487" s="31"/>
      <c r="G11487" s="272" t="s">
        <v>1099</v>
      </c>
    </row>
    <row r="11488">
      <c r="B11488" s="31"/>
      <c r="G11488" s="272" t="s">
        <v>1099</v>
      </c>
    </row>
    <row r="11489">
      <c r="B11489" s="31"/>
      <c r="G11489" s="272" t="s">
        <v>1099</v>
      </c>
    </row>
    <row r="11490">
      <c r="B11490" s="31"/>
      <c r="G11490" s="272" t="s">
        <v>1099</v>
      </c>
    </row>
    <row r="11491">
      <c r="B11491" s="31"/>
      <c r="G11491" s="272" t="s">
        <v>1099</v>
      </c>
    </row>
    <row r="11492">
      <c r="B11492" s="31"/>
      <c r="G11492" s="272" t="s">
        <v>1099</v>
      </c>
    </row>
    <row r="11493">
      <c r="B11493" s="31"/>
      <c r="G11493" s="272" t="s">
        <v>1099</v>
      </c>
    </row>
    <row r="11494">
      <c r="B11494" s="31"/>
      <c r="G11494" s="272" t="s">
        <v>1099</v>
      </c>
    </row>
    <row r="11495">
      <c r="B11495" s="31"/>
      <c r="G11495" s="272" t="s">
        <v>1099</v>
      </c>
    </row>
    <row r="11496">
      <c r="B11496" s="31"/>
      <c r="G11496" s="272" t="s">
        <v>1099</v>
      </c>
    </row>
    <row r="11497">
      <c r="B11497" s="31"/>
      <c r="G11497" s="272" t="s">
        <v>1099</v>
      </c>
    </row>
    <row r="11498">
      <c r="B11498" s="31"/>
      <c r="G11498" s="272" t="s">
        <v>1099</v>
      </c>
    </row>
    <row r="11499">
      <c r="B11499" s="31"/>
      <c r="G11499" s="272" t="s">
        <v>1099</v>
      </c>
    </row>
    <row r="11500">
      <c r="B11500" s="31"/>
      <c r="G11500" s="272" t="s">
        <v>1099</v>
      </c>
    </row>
    <row r="11501">
      <c r="B11501" s="31"/>
      <c r="G11501" s="272" t="s">
        <v>1099</v>
      </c>
    </row>
    <row r="11502">
      <c r="B11502" s="31"/>
      <c r="G11502" s="272" t="s">
        <v>1099</v>
      </c>
    </row>
    <row r="11503">
      <c r="B11503" s="31"/>
      <c r="G11503" s="272" t="s">
        <v>1099</v>
      </c>
    </row>
    <row r="11504">
      <c r="B11504" s="31"/>
      <c r="G11504" s="272" t="s">
        <v>1099</v>
      </c>
    </row>
    <row r="11505">
      <c r="B11505" s="31"/>
      <c r="G11505" s="272" t="s">
        <v>1099</v>
      </c>
    </row>
    <row r="11506">
      <c r="B11506" s="31"/>
      <c r="G11506" s="272" t="s">
        <v>1099</v>
      </c>
    </row>
    <row r="11507">
      <c r="B11507" s="31"/>
      <c r="G11507" s="272" t="s">
        <v>1099</v>
      </c>
    </row>
    <row r="11508">
      <c r="B11508" s="31"/>
      <c r="G11508" s="272" t="s">
        <v>1099</v>
      </c>
    </row>
    <row r="11509">
      <c r="B11509" s="31"/>
      <c r="G11509" s="272" t="s">
        <v>1099</v>
      </c>
    </row>
    <row r="11510">
      <c r="B11510" s="31"/>
      <c r="G11510" s="272" t="s">
        <v>1099</v>
      </c>
    </row>
    <row r="11511">
      <c r="B11511" s="31"/>
      <c r="G11511" s="272" t="s">
        <v>1099</v>
      </c>
    </row>
    <row r="11512">
      <c r="B11512" s="31"/>
      <c r="G11512" s="272" t="s">
        <v>1099</v>
      </c>
    </row>
    <row r="11513">
      <c r="B11513" s="31"/>
      <c r="G11513" s="272" t="s">
        <v>1099</v>
      </c>
    </row>
    <row r="11514">
      <c r="B11514" s="31"/>
      <c r="G11514" s="272" t="s">
        <v>1099</v>
      </c>
    </row>
    <row r="11515">
      <c r="B11515" s="31"/>
      <c r="G11515" s="272" t="s">
        <v>1099</v>
      </c>
    </row>
    <row r="11516">
      <c r="B11516" s="31"/>
      <c r="G11516" s="272" t="s">
        <v>1099</v>
      </c>
    </row>
    <row r="11517">
      <c r="B11517" s="31"/>
      <c r="G11517" s="272" t="s">
        <v>1099</v>
      </c>
    </row>
    <row r="11518">
      <c r="B11518" s="31"/>
      <c r="G11518" s="272" t="s">
        <v>1099</v>
      </c>
    </row>
    <row r="11519">
      <c r="B11519" s="31"/>
      <c r="G11519" s="272" t="s">
        <v>1099</v>
      </c>
    </row>
    <row r="11520">
      <c r="B11520" s="31"/>
      <c r="G11520" s="272" t="s">
        <v>1099</v>
      </c>
    </row>
    <row r="11521">
      <c r="B11521" s="31"/>
      <c r="G11521" s="272" t="s">
        <v>1099</v>
      </c>
    </row>
    <row r="11522">
      <c r="B11522" s="31"/>
      <c r="G11522" s="272" t="s">
        <v>1099</v>
      </c>
    </row>
    <row r="11523">
      <c r="B11523" s="31"/>
      <c r="G11523" s="272" t="s">
        <v>1099</v>
      </c>
    </row>
    <row r="11524">
      <c r="B11524" s="31"/>
      <c r="G11524" s="272" t="s">
        <v>1099</v>
      </c>
    </row>
    <row r="11525">
      <c r="B11525" s="31"/>
      <c r="G11525" s="272" t="s">
        <v>1099</v>
      </c>
    </row>
    <row r="11526">
      <c r="B11526" s="31"/>
      <c r="G11526" s="272" t="s">
        <v>1099</v>
      </c>
    </row>
    <row r="11527">
      <c r="B11527" s="31"/>
      <c r="G11527" s="272" t="s">
        <v>1099</v>
      </c>
    </row>
    <row r="11528">
      <c r="B11528" s="31"/>
      <c r="G11528" s="272" t="s">
        <v>1099</v>
      </c>
    </row>
    <row r="11529">
      <c r="B11529" s="31"/>
      <c r="G11529" s="272" t="s">
        <v>1099</v>
      </c>
    </row>
    <row r="11530">
      <c r="B11530" s="31"/>
      <c r="G11530" s="272" t="s">
        <v>1099</v>
      </c>
    </row>
    <row r="11531">
      <c r="B11531" s="31"/>
      <c r="G11531" s="272" t="s">
        <v>1099</v>
      </c>
    </row>
    <row r="11532">
      <c r="B11532" s="31"/>
      <c r="G11532" s="272" t="s">
        <v>1099</v>
      </c>
    </row>
    <row r="11533">
      <c r="B11533" s="31"/>
      <c r="G11533" s="272" t="s">
        <v>1099</v>
      </c>
    </row>
    <row r="11534">
      <c r="B11534" s="31"/>
      <c r="G11534" s="272" t="s">
        <v>1099</v>
      </c>
    </row>
    <row r="11535">
      <c r="B11535" s="31"/>
      <c r="G11535" s="272" t="s">
        <v>1099</v>
      </c>
    </row>
    <row r="11536">
      <c r="B11536" s="31"/>
      <c r="G11536" s="272" t="s">
        <v>1099</v>
      </c>
    </row>
    <row r="11537">
      <c r="B11537" s="31"/>
      <c r="G11537" s="272" t="s">
        <v>1099</v>
      </c>
    </row>
    <row r="11538">
      <c r="B11538" s="31"/>
      <c r="G11538" s="272" t="s">
        <v>1099</v>
      </c>
    </row>
    <row r="11539">
      <c r="B11539" s="31"/>
      <c r="G11539" s="272" t="s">
        <v>1099</v>
      </c>
    </row>
    <row r="11540">
      <c r="B11540" s="31"/>
      <c r="G11540" s="272" t="s">
        <v>1099</v>
      </c>
    </row>
    <row r="11541">
      <c r="B11541" s="31"/>
      <c r="G11541" s="272" t="s">
        <v>1099</v>
      </c>
    </row>
    <row r="11542">
      <c r="B11542" s="31"/>
      <c r="G11542" s="272" t="s">
        <v>1099</v>
      </c>
    </row>
    <row r="11543">
      <c r="B11543" s="31"/>
      <c r="G11543" s="272" t="s">
        <v>1099</v>
      </c>
    </row>
    <row r="11544">
      <c r="B11544" s="31"/>
      <c r="G11544" s="272" t="s">
        <v>1099</v>
      </c>
    </row>
    <row r="11545">
      <c r="B11545" s="31"/>
      <c r="G11545" s="272" t="s">
        <v>1099</v>
      </c>
    </row>
    <row r="11546">
      <c r="B11546" s="31"/>
      <c r="G11546" s="272" t="s">
        <v>1099</v>
      </c>
    </row>
    <row r="11547">
      <c r="B11547" s="31"/>
      <c r="G11547" s="272" t="s">
        <v>1099</v>
      </c>
    </row>
    <row r="11548">
      <c r="B11548" s="31"/>
      <c r="G11548" s="272" t="s">
        <v>1099</v>
      </c>
    </row>
    <row r="11549">
      <c r="B11549" s="31"/>
      <c r="G11549" s="272" t="s">
        <v>1099</v>
      </c>
    </row>
    <row r="11550">
      <c r="B11550" s="31"/>
      <c r="G11550" s="272" t="s">
        <v>1099</v>
      </c>
    </row>
    <row r="11551">
      <c r="B11551" s="31"/>
      <c r="G11551" s="272" t="s">
        <v>1099</v>
      </c>
    </row>
    <row r="11552">
      <c r="B11552" s="31"/>
      <c r="G11552" s="272" t="s">
        <v>1099</v>
      </c>
    </row>
    <row r="11553">
      <c r="B11553" s="31"/>
      <c r="G11553" s="272" t="s">
        <v>1099</v>
      </c>
    </row>
    <row r="11554">
      <c r="B11554" s="31"/>
      <c r="G11554" s="272" t="s">
        <v>1099</v>
      </c>
    </row>
    <row r="11555">
      <c r="B11555" s="31"/>
      <c r="G11555" s="272" t="s">
        <v>1099</v>
      </c>
    </row>
    <row r="11556">
      <c r="B11556" s="31"/>
      <c r="G11556" s="272" t="s">
        <v>1099</v>
      </c>
    </row>
    <row r="11557">
      <c r="B11557" s="31"/>
      <c r="G11557" s="272" t="s">
        <v>1099</v>
      </c>
    </row>
    <row r="11558">
      <c r="B11558" s="31"/>
      <c r="G11558" s="272" t="s">
        <v>1099</v>
      </c>
    </row>
    <row r="11559">
      <c r="B11559" s="31"/>
      <c r="G11559" s="272" t="s">
        <v>1099</v>
      </c>
    </row>
    <row r="11560">
      <c r="B11560" s="31"/>
      <c r="G11560" s="272" t="s">
        <v>1099</v>
      </c>
    </row>
    <row r="11561">
      <c r="B11561" s="31"/>
      <c r="G11561" s="272" t="s">
        <v>1099</v>
      </c>
    </row>
    <row r="11562">
      <c r="B11562" s="31"/>
      <c r="G11562" s="272" t="s">
        <v>1099</v>
      </c>
    </row>
    <row r="11563">
      <c r="B11563" s="31"/>
      <c r="G11563" s="272" t="s">
        <v>1099</v>
      </c>
    </row>
    <row r="11564">
      <c r="B11564" s="31"/>
      <c r="G11564" s="272" t="s">
        <v>1099</v>
      </c>
    </row>
    <row r="11565">
      <c r="B11565" s="31"/>
      <c r="G11565" s="272" t="s">
        <v>1099</v>
      </c>
    </row>
    <row r="11566">
      <c r="B11566" s="31"/>
      <c r="G11566" s="272" t="s">
        <v>1099</v>
      </c>
    </row>
    <row r="11567">
      <c r="B11567" s="31"/>
      <c r="G11567" s="272" t="s">
        <v>1099</v>
      </c>
    </row>
    <row r="11568">
      <c r="B11568" s="31"/>
      <c r="G11568" s="272" t="s">
        <v>1099</v>
      </c>
    </row>
    <row r="11569">
      <c r="B11569" s="31"/>
      <c r="G11569" s="272" t="s">
        <v>1099</v>
      </c>
    </row>
    <row r="11570">
      <c r="B11570" s="31"/>
      <c r="G11570" s="272" t="s">
        <v>1099</v>
      </c>
    </row>
    <row r="11571">
      <c r="B11571" s="31"/>
      <c r="G11571" s="272" t="s">
        <v>1099</v>
      </c>
    </row>
    <row r="11572">
      <c r="B11572" s="31"/>
      <c r="G11572" s="272" t="s">
        <v>1099</v>
      </c>
    </row>
    <row r="11573">
      <c r="B11573" s="31"/>
      <c r="G11573" s="272" t="s">
        <v>1099</v>
      </c>
    </row>
    <row r="11574">
      <c r="B11574" s="31"/>
      <c r="G11574" s="272" t="s">
        <v>1099</v>
      </c>
    </row>
    <row r="11575">
      <c r="B11575" s="31"/>
      <c r="G11575" s="272" t="s">
        <v>1099</v>
      </c>
    </row>
    <row r="11576">
      <c r="B11576" s="31"/>
      <c r="G11576" s="272" t="s">
        <v>1099</v>
      </c>
    </row>
    <row r="11577">
      <c r="B11577" s="31"/>
      <c r="G11577" s="272" t="s">
        <v>1099</v>
      </c>
    </row>
    <row r="11578">
      <c r="B11578" s="31"/>
      <c r="G11578" s="272" t="s">
        <v>1099</v>
      </c>
    </row>
    <row r="11579">
      <c r="B11579" s="31"/>
      <c r="G11579" s="272" t="s">
        <v>1099</v>
      </c>
    </row>
    <row r="11580">
      <c r="B11580" s="31"/>
      <c r="G11580" s="272" t="s">
        <v>1099</v>
      </c>
    </row>
    <row r="11581">
      <c r="B11581" s="31"/>
      <c r="G11581" s="272" t="s">
        <v>1099</v>
      </c>
    </row>
    <row r="11582">
      <c r="B11582" s="31"/>
      <c r="G11582" s="272" t="s">
        <v>1099</v>
      </c>
    </row>
    <row r="11583">
      <c r="B11583" s="31"/>
      <c r="G11583" s="272" t="s">
        <v>1099</v>
      </c>
    </row>
    <row r="11584">
      <c r="B11584" s="31"/>
      <c r="G11584" s="272" t="s">
        <v>1099</v>
      </c>
    </row>
    <row r="11585">
      <c r="B11585" s="31"/>
      <c r="G11585" s="272" t="s">
        <v>1099</v>
      </c>
    </row>
    <row r="11586">
      <c r="B11586" s="31"/>
      <c r="G11586" s="272" t="s">
        <v>1099</v>
      </c>
    </row>
    <row r="11587">
      <c r="B11587" s="31"/>
      <c r="G11587" s="272" t="s">
        <v>1099</v>
      </c>
    </row>
    <row r="11588">
      <c r="B11588" s="31"/>
      <c r="G11588" s="272" t="s">
        <v>1099</v>
      </c>
    </row>
    <row r="11589">
      <c r="B11589" s="31"/>
      <c r="G11589" s="272" t="s">
        <v>1099</v>
      </c>
    </row>
    <row r="11590">
      <c r="B11590" s="31"/>
      <c r="G11590" s="272" t="s">
        <v>1099</v>
      </c>
    </row>
    <row r="11591">
      <c r="B11591" s="31"/>
      <c r="G11591" s="272" t="s">
        <v>1099</v>
      </c>
    </row>
    <row r="11592">
      <c r="B11592" s="31"/>
      <c r="G11592" s="272" t="s">
        <v>1099</v>
      </c>
    </row>
    <row r="11593">
      <c r="B11593" s="31"/>
      <c r="G11593" s="272" t="s">
        <v>1099</v>
      </c>
    </row>
    <row r="11594">
      <c r="B11594" s="31"/>
      <c r="G11594" s="272" t="s">
        <v>1099</v>
      </c>
    </row>
    <row r="11595">
      <c r="B11595" s="31"/>
      <c r="G11595" s="272" t="s">
        <v>1099</v>
      </c>
    </row>
    <row r="11596">
      <c r="B11596" s="31"/>
      <c r="G11596" s="272" t="s">
        <v>1099</v>
      </c>
    </row>
    <row r="11597">
      <c r="B11597" s="31"/>
      <c r="G11597" s="272" t="s">
        <v>1099</v>
      </c>
    </row>
    <row r="11598">
      <c r="B11598" s="31"/>
      <c r="G11598" s="272" t="s">
        <v>1099</v>
      </c>
    </row>
    <row r="11599">
      <c r="B11599" s="31"/>
      <c r="G11599" s="272" t="s">
        <v>1099</v>
      </c>
    </row>
    <row r="11600">
      <c r="B11600" s="31"/>
      <c r="G11600" s="272" t="s">
        <v>1099</v>
      </c>
    </row>
    <row r="11601">
      <c r="B11601" s="31"/>
      <c r="G11601" s="272" t="s">
        <v>1099</v>
      </c>
    </row>
    <row r="11602">
      <c r="B11602" s="31"/>
      <c r="G11602" s="272" t="s">
        <v>1099</v>
      </c>
    </row>
    <row r="11603">
      <c r="B11603" s="31"/>
      <c r="G11603" s="272" t="s">
        <v>1099</v>
      </c>
    </row>
    <row r="11604">
      <c r="B11604" s="31"/>
      <c r="G11604" s="272" t="s">
        <v>1099</v>
      </c>
    </row>
    <row r="11605">
      <c r="B11605" s="31"/>
      <c r="G11605" s="272" t="s">
        <v>1099</v>
      </c>
    </row>
    <row r="11606">
      <c r="B11606" s="31"/>
      <c r="G11606" s="272" t="s">
        <v>1099</v>
      </c>
    </row>
    <row r="11607">
      <c r="B11607" s="31"/>
      <c r="G11607" s="272" t="s">
        <v>1099</v>
      </c>
    </row>
    <row r="11608">
      <c r="B11608" s="31"/>
      <c r="G11608" s="272" t="s">
        <v>1099</v>
      </c>
    </row>
    <row r="11609">
      <c r="B11609" s="31"/>
      <c r="G11609" s="272" t="s">
        <v>1099</v>
      </c>
    </row>
    <row r="11610">
      <c r="B11610" s="31"/>
      <c r="G11610" s="272" t="s">
        <v>1099</v>
      </c>
    </row>
    <row r="11611">
      <c r="B11611" s="31"/>
      <c r="G11611" s="272" t="s">
        <v>1099</v>
      </c>
    </row>
    <row r="11612">
      <c r="B11612" s="31"/>
      <c r="G11612" s="272" t="s">
        <v>1099</v>
      </c>
    </row>
    <row r="11613">
      <c r="B11613" s="31"/>
      <c r="G11613" s="272" t="s">
        <v>1099</v>
      </c>
    </row>
    <row r="11614">
      <c r="B11614" s="31"/>
      <c r="G11614" s="272" t="s">
        <v>1099</v>
      </c>
    </row>
    <row r="11615">
      <c r="B11615" s="31"/>
      <c r="G11615" s="272" t="s">
        <v>1099</v>
      </c>
    </row>
    <row r="11616">
      <c r="B11616" s="31"/>
      <c r="G11616" s="272" t="s">
        <v>1099</v>
      </c>
    </row>
    <row r="11617">
      <c r="B11617" s="31"/>
      <c r="G11617" s="272" t="s">
        <v>1099</v>
      </c>
    </row>
    <row r="11618">
      <c r="B11618" s="31"/>
      <c r="G11618" s="272" t="s">
        <v>1099</v>
      </c>
    </row>
    <row r="11619">
      <c r="B11619" s="31"/>
      <c r="G11619" s="272" t="s">
        <v>1099</v>
      </c>
    </row>
    <row r="11620">
      <c r="B11620" s="31"/>
      <c r="G11620" s="272" t="s">
        <v>1099</v>
      </c>
    </row>
    <row r="11621">
      <c r="B11621" s="31"/>
      <c r="G11621" s="272" t="s">
        <v>1099</v>
      </c>
    </row>
    <row r="11622">
      <c r="B11622" s="31"/>
      <c r="G11622" s="272" t="s">
        <v>1099</v>
      </c>
    </row>
    <row r="11623">
      <c r="B11623" s="31"/>
      <c r="G11623" s="272" t="s">
        <v>1099</v>
      </c>
    </row>
    <row r="11624">
      <c r="B11624" s="31"/>
      <c r="G11624" s="272" t="s">
        <v>1099</v>
      </c>
    </row>
    <row r="11625">
      <c r="B11625" s="31"/>
      <c r="G11625" s="272" t="s">
        <v>1099</v>
      </c>
    </row>
    <row r="11626">
      <c r="B11626" s="31"/>
      <c r="G11626" s="272" t="s">
        <v>1099</v>
      </c>
    </row>
    <row r="11627">
      <c r="B11627" s="31"/>
      <c r="G11627" s="272" t="s">
        <v>1099</v>
      </c>
    </row>
    <row r="11628">
      <c r="B11628" s="31"/>
      <c r="G11628" s="272" t="s">
        <v>1099</v>
      </c>
    </row>
    <row r="11629">
      <c r="B11629" s="31"/>
      <c r="G11629" s="272" t="s">
        <v>1099</v>
      </c>
    </row>
    <row r="11630">
      <c r="B11630" s="31"/>
      <c r="G11630" s="272" t="s">
        <v>1099</v>
      </c>
    </row>
    <row r="11631">
      <c r="B11631" s="31"/>
      <c r="G11631" s="272" t="s">
        <v>1099</v>
      </c>
    </row>
    <row r="11632">
      <c r="B11632" s="31"/>
      <c r="G11632" s="272" t="s">
        <v>1099</v>
      </c>
    </row>
    <row r="11633">
      <c r="B11633" s="31"/>
      <c r="G11633" s="272" t="s">
        <v>1099</v>
      </c>
    </row>
    <row r="11634">
      <c r="B11634" s="31"/>
      <c r="G11634" s="272" t="s">
        <v>1099</v>
      </c>
    </row>
    <row r="11635">
      <c r="B11635" s="31"/>
      <c r="G11635" s="272" t="s">
        <v>1099</v>
      </c>
    </row>
    <row r="11636">
      <c r="B11636" s="31"/>
      <c r="G11636" s="272" t="s">
        <v>1099</v>
      </c>
    </row>
    <row r="11637">
      <c r="B11637" s="31"/>
      <c r="G11637" s="272" t="s">
        <v>1099</v>
      </c>
    </row>
    <row r="11638">
      <c r="B11638" s="31"/>
      <c r="G11638" s="272" t="s">
        <v>1099</v>
      </c>
    </row>
    <row r="11639">
      <c r="B11639" s="31"/>
      <c r="G11639" s="272" t="s">
        <v>1099</v>
      </c>
    </row>
    <row r="11640">
      <c r="B11640" s="31"/>
      <c r="G11640" s="272" t="s">
        <v>1099</v>
      </c>
    </row>
    <row r="11641">
      <c r="B11641" s="31"/>
      <c r="G11641" s="272" t="s">
        <v>1099</v>
      </c>
    </row>
    <row r="11642">
      <c r="B11642" s="31"/>
      <c r="G11642" s="272" t="s">
        <v>1099</v>
      </c>
    </row>
    <row r="11643">
      <c r="B11643" s="31"/>
      <c r="G11643" s="272" t="s">
        <v>1099</v>
      </c>
    </row>
    <row r="11644">
      <c r="B11644" s="31"/>
      <c r="G11644" s="272" t="s">
        <v>1099</v>
      </c>
    </row>
    <row r="11645">
      <c r="B11645" s="31"/>
      <c r="G11645" s="272" t="s">
        <v>1099</v>
      </c>
    </row>
    <row r="11646">
      <c r="B11646" s="31"/>
      <c r="G11646" s="272" t="s">
        <v>1099</v>
      </c>
    </row>
    <row r="11647">
      <c r="B11647" s="31"/>
      <c r="G11647" s="272" t="s">
        <v>1099</v>
      </c>
    </row>
    <row r="11648">
      <c r="B11648" s="31"/>
      <c r="G11648" s="272" t="s">
        <v>1099</v>
      </c>
    </row>
    <row r="11649">
      <c r="B11649" s="31"/>
      <c r="G11649" s="272" t="s">
        <v>1099</v>
      </c>
    </row>
    <row r="11650">
      <c r="B11650" s="31"/>
      <c r="G11650" s="272" t="s">
        <v>1099</v>
      </c>
    </row>
    <row r="11651">
      <c r="B11651" s="31"/>
      <c r="G11651" s="272" t="s">
        <v>1099</v>
      </c>
    </row>
    <row r="11652">
      <c r="B11652" s="31"/>
      <c r="G11652" s="272" t="s">
        <v>1099</v>
      </c>
    </row>
    <row r="11653">
      <c r="B11653" s="31"/>
      <c r="G11653" s="272" t="s">
        <v>1099</v>
      </c>
    </row>
    <row r="11654">
      <c r="B11654" s="31"/>
      <c r="G11654" s="272" t="s">
        <v>1099</v>
      </c>
    </row>
    <row r="11655">
      <c r="B11655" s="31"/>
      <c r="G11655" s="272" t="s">
        <v>1099</v>
      </c>
    </row>
    <row r="11656">
      <c r="B11656" s="31"/>
      <c r="G11656" s="272" t="s">
        <v>1099</v>
      </c>
    </row>
    <row r="11657">
      <c r="B11657" s="31"/>
      <c r="G11657" s="272" t="s">
        <v>1099</v>
      </c>
    </row>
    <row r="11658">
      <c r="B11658" s="31"/>
      <c r="G11658" s="272" t="s">
        <v>1099</v>
      </c>
    </row>
    <row r="11659">
      <c r="B11659" s="31"/>
      <c r="G11659" s="272" t="s">
        <v>1099</v>
      </c>
    </row>
    <row r="11660">
      <c r="B11660" s="31"/>
      <c r="G11660" s="272" t="s">
        <v>1099</v>
      </c>
    </row>
    <row r="11661">
      <c r="B11661" s="31"/>
      <c r="G11661" s="272" t="s">
        <v>1099</v>
      </c>
    </row>
    <row r="11662">
      <c r="B11662" s="31"/>
      <c r="G11662" s="272" t="s">
        <v>1099</v>
      </c>
    </row>
    <row r="11663">
      <c r="B11663" s="31"/>
      <c r="G11663" s="272" t="s">
        <v>1099</v>
      </c>
    </row>
    <row r="11664">
      <c r="B11664" s="31"/>
      <c r="G11664" s="272" t="s">
        <v>1099</v>
      </c>
    </row>
    <row r="11665">
      <c r="B11665" s="31"/>
      <c r="G11665" s="272" t="s">
        <v>1099</v>
      </c>
    </row>
    <row r="11666">
      <c r="B11666" s="31"/>
      <c r="G11666" s="272" t="s">
        <v>1099</v>
      </c>
    </row>
    <row r="11667">
      <c r="B11667" s="31"/>
      <c r="G11667" s="272" t="s">
        <v>1099</v>
      </c>
    </row>
    <row r="11668">
      <c r="B11668" s="31"/>
      <c r="G11668" s="272" t="s">
        <v>1099</v>
      </c>
    </row>
    <row r="11669">
      <c r="B11669" s="31"/>
      <c r="G11669" s="272" t="s">
        <v>1099</v>
      </c>
    </row>
    <row r="11670">
      <c r="B11670" s="31"/>
      <c r="G11670" s="272" t="s">
        <v>1099</v>
      </c>
    </row>
    <row r="11671">
      <c r="B11671" s="31"/>
      <c r="G11671" s="272" t="s">
        <v>1099</v>
      </c>
    </row>
    <row r="11672">
      <c r="B11672" s="31"/>
      <c r="G11672" s="272" t="s">
        <v>1099</v>
      </c>
    </row>
    <row r="11673">
      <c r="B11673" s="31"/>
      <c r="G11673" s="272" t="s">
        <v>1099</v>
      </c>
    </row>
    <row r="11674">
      <c r="B11674" s="31"/>
      <c r="G11674" s="272" t="s">
        <v>1099</v>
      </c>
    </row>
    <row r="11675">
      <c r="B11675" s="31"/>
      <c r="G11675" s="272" t="s">
        <v>1099</v>
      </c>
    </row>
    <row r="11676">
      <c r="B11676" s="31"/>
      <c r="G11676" s="272" t="s">
        <v>1099</v>
      </c>
    </row>
    <row r="11677">
      <c r="B11677" s="31"/>
      <c r="G11677" s="272" t="s">
        <v>1099</v>
      </c>
    </row>
    <row r="11678">
      <c r="B11678" s="31"/>
      <c r="G11678" s="272" t="s">
        <v>1099</v>
      </c>
    </row>
    <row r="11679">
      <c r="B11679" s="31"/>
      <c r="G11679" s="272" t="s">
        <v>1099</v>
      </c>
    </row>
    <row r="11680">
      <c r="B11680" s="31"/>
      <c r="G11680" s="272" t="s">
        <v>1099</v>
      </c>
    </row>
    <row r="11681">
      <c r="B11681" s="31"/>
      <c r="G11681" s="272" t="s">
        <v>1099</v>
      </c>
    </row>
    <row r="11682">
      <c r="B11682" s="31"/>
      <c r="G11682" s="272" t="s">
        <v>1099</v>
      </c>
    </row>
    <row r="11683">
      <c r="B11683" s="31"/>
      <c r="G11683" s="272" t="s">
        <v>1099</v>
      </c>
    </row>
    <row r="11684">
      <c r="B11684" s="31"/>
      <c r="G11684" s="272" t="s">
        <v>1099</v>
      </c>
    </row>
    <row r="11685">
      <c r="B11685" s="31"/>
      <c r="G11685" s="272" t="s">
        <v>1099</v>
      </c>
    </row>
    <row r="11686">
      <c r="B11686" s="31"/>
      <c r="G11686" s="272" t="s">
        <v>1099</v>
      </c>
    </row>
    <row r="11687">
      <c r="B11687" s="31"/>
      <c r="G11687" s="272" t="s">
        <v>1099</v>
      </c>
    </row>
    <row r="11688">
      <c r="B11688" s="31"/>
      <c r="G11688" s="272" t="s">
        <v>1099</v>
      </c>
    </row>
    <row r="11689">
      <c r="B11689" s="31"/>
      <c r="G11689" s="272" t="s">
        <v>1099</v>
      </c>
    </row>
    <row r="11690">
      <c r="B11690" s="31"/>
      <c r="G11690" s="272" t="s">
        <v>1099</v>
      </c>
    </row>
    <row r="11691">
      <c r="B11691" s="31"/>
      <c r="G11691" s="272" t="s">
        <v>1099</v>
      </c>
    </row>
    <row r="11692">
      <c r="B11692" s="31"/>
      <c r="G11692" s="272" t="s">
        <v>1099</v>
      </c>
    </row>
    <row r="11693">
      <c r="B11693" s="31"/>
      <c r="G11693" s="272" t="s">
        <v>1099</v>
      </c>
    </row>
    <row r="11694">
      <c r="B11694" s="31"/>
      <c r="G11694" s="272" t="s">
        <v>1099</v>
      </c>
    </row>
    <row r="11695">
      <c r="B11695" s="31"/>
      <c r="G11695" s="272" t="s">
        <v>1099</v>
      </c>
    </row>
    <row r="11696">
      <c r="B11696" s="31"/>
      <c r="G11696" s="272" t="s">
        <v>1099</v>
      </c>
    </row>
    <row r="11697">
      <c r="B11697" s="31"/>
      <c r="G11697" s="272" t="s">
        <v>1099</v>
      </c>
    </row>
    <row r="11698">
      <c r="B11698" s="31"/>
      <c r="G11698" s="272" t="s">
        <v>1099</v>
      </c>
    </row>
    <row r="11699">
      <c r="B11699" s="31"/>
      <c r="G11699" s="272" t="s">
        <v>1099</v>
      </c>
    </row>
    <row r="11700">
      <c r="B11700" s="31"/>
      <c r="G11700" s="272" t="s">
        <v>1099</v>
      </c>
    </row>
    <row r="11701">
      <c r="B11701" s="31"/>
      <c r="G11701" s="272" t="s">
        <v>1099</v>
      </c>
    </row>
    <row r="11702">
      <c r="B11702" s="31"/>
      <c r="G11702" s="272" t="s">
        <v>1099</v>
      </c>
    </row>
    <row r="11703">
      <c r="B11703" s="31"/>
      <c r="G11703" s="272" t="s">
        <v>1099</v>
      </c>
    </row>
    <row r="11704">
      <c r="B11704" s="31"/>
      <c r="G11704" s="272" t="s">
        <v>1099</v>
      </c>
    </row>
    <row r="11705">
      <c r="B11705" s="31"/>
      <c r="G11705" s="272" t="s">
        <v>1099</v>
      </c>
    </row>
    <row r="11706">
      <c r="B11706" s="31"/>
      <c r="G11706" s="272" t="s">
        <v>1099</v>
      </c>
    </row>
    <row r="11707">
      <c r="B11707" s="31"/>
      <c r="G11707" s="272" t="s">
        <v>1099</v>
      </c>
    </row>
    <row r="11708">
      <c r="B11708" s="31"/>
      <c r="G11708" s="272" t="s">
        <v>1099</v>
      </c>
    </row>
    <row r="11709">
      <c r="B11709" s="31"/>
      <c r="G11709" s="272" t="s">
        <v>1099</v>
      </c>
    </row>
    <row r="11710">
      <c r="B11710" s="31"/>
      <c r="G11710" s="272" t="s">
        <v>1099</v>
      </c>
    </row>
    <row r="11711">
      <c r="B11711" s="31"/>
      <c r="G11711" s="272" t="s">
        <v>1099</v>
      </c>
    </row>
    <row r="11712">
      <c r="B11712" s="31"/>
      <c r="G11712" s="272" t="s">
        <v>1099</v>
      </c>
    </row>
    <row r="11713">
      <c r="B11713" s="31"/>
      <c r="G11713" s="272" t="s">
        <v>1099</v>
      </c>
    </row>
    <row r="11714">
      <c r="B11714" s="31"/>
      <c r="G11714" s="272" t="s">
        <v>1099</v>
      </c>
    </row>
    <row r="11715">
      <c r="B11715" s="31"/>
      <c r="G11715" s="272" t="s">
        <v>1099</v>
      </c>
    </row>
    <row r="11716">
      <c r="B11716" s="31"/>
      <c r="G11716" s="272" t="s">
        <v>1099</v>
      </c>
    </row>
    <row r="11717">
      <c r="B11717" s="31"/>
      <c r="G11717" s="272" t="s">
        <v>1099</v>
      </c>
    </row>
    <row r="11718">
      <c r="B11718" s="31"/>
      <c r="G11718" s="272" t="s">
        <v>1099</v>
      </c>
    </row>
    <row r="11719">
      <c r="B11719" s="31"/>
      <c r="G11719" s="272" t="s">
        <v>1099</v>
      </c>
    </row>
    <row r="11720">
      <c r="B11720" s="31"/>
      <c r="G11720" s="272" t="s">
        <v>1099</v>
      </c>
    </row>
    <row r="11721">
      <c r="B11721" s="31"/>
      <c r="G11721" s="272" t="s">
        <v>1099</v>
      </c>
    </row>
    <row r="11722">
      <c r="B11722" s="31"/>
      <c r="G11722" s="272" t="s">
        <v>1099</v>
      </c>
    </row>
    <row r="11723">
      <c r="B11723" s="31"/>
      <c r="G11723" s="272" t="s">
        <v>1099</v>
      </c>
    </row>
    <row r="11724">
      <c r="B11724" s="31"/>
      <c r="G11724" s="272" t="s">
        <v>1099</v>
      </c>
    </row>
    <row r="11725">
      <c r="B11725" s="31"/>
      <c r="G11725" s="272" t="s">
        <v>1099</v>
      </c>
    </row>
    <row r="11726">
      <c r="B11726" s="31"/>
      <c r="G11726" s="272" t="s">
        <v>1099</v>
      </c>
    </row>
    <row r="11727">
      <c r="B11727" s="31"/>
      <c r="G11727" s="272" t="s">
        <v>1099</v>
      </c>
    </row>
    <row r="11728">
      <c r="B11728" s="31"/>
      <c r="G11728" s="272" t="s">
        <v>1099</v>
      </c>
    </row>
    <row r="11729">
      <c r="B11729" s="31"/>
      <c r="G11729" s="272" t="s">
        <v>1099</v>
      </c>
    </row>
    <row r="11730">
      <c r="B11730" s="31"/>
      <c r="G11730" s="272" t="s">
        <v>1099</v>
      </c>
    </row>
    <row r="11731">
      <c r="B11731" s="31"/>
      <c r="G11731" s="272" t="s">
        <v>1099</v>
      </c>
    </row>
    <row r="11732">
      <c r="B11732" s="31"/>
      <c r="G11732" s="272" t="s">
        <v>1099</v>
      </c>
    </row>
    <row r="11733">
      <c r="B11733" s="31"/>
      <c r="G11733" s="272" t="s">
        <v>1099</v>
      </c>
    </row>
    <row r="11734">
      <c r="B11734" s="31"/>
      <c r="G11734" s="272" t="s">
        <v>1099</v>
      </c>
    </row>
    <row r="11735">
      <c r="B11735" s="31"/>
      <c r="G11735" s="272" t="s">
        <v>1099</v>
      </c>
    </row>
    <row r="11736">
      <c r="B11736" s="31"/>
      <c r="G11736" s="272" t="s">
        <v>1099</v>
      </c>
    </row>
    <row r="11737">
      <c r="B11737" s="31"/>
      <c r="G11737" s="272" t="s">
        <v>1099</v>
      </c>
    </row>
    <row r="11738">
      <c r="B11738" s="31"/>
      <c r="G11738" s="272" t="s">
        <v>1099</v>
      </c>
    </row>
    <row r="11739">
      <c r="B11739" s="31"/>
      <c r="G11739" s="272" t="s">
        <v>1099</v>
      </c>
    </row>
    <row r="11740">
      <c r="B11740" s="31"/>
      <c r="G11740" s="272" t="s">
        <v>1099</v>
      </c>
    </row>
    <row r="11741">
      <c r="B11741" s="31"/>
      <c r="G11741" s="272" t="s">
        <v>1099</v>
      </c>
    </row>
    <row r="11742">
      <c r="B11742" s="31"/>
      <c r="G11742" s="272" t="s">
        <v>1099</v>
      </c>
    </row>
    <row r="11743">
      <c r="B11743" s="31"/>
      <c r="G11743" s="272" t="s">
        <v>1099</v>
      </c>
    </row>
    <row r="11744">
      <c r="B11744" s="31"/>
      <c r="G11744" s="272" t="s">
        <v>1099</v>
      </c>
    </row>
    <row r="11745">
      <c r="B11745" s="31"/>
      <c r="G11745" s="272" t="s">
        <v>1099</v>
      </c>
    </row>
    <row r="11746">
      <c r="B11746" s="31"/>
      <c r="G11746" s="272" t="s">
        <v>1099</v>
      </c>
    </row>
    <row r="11747">
      <c r="B11747" s="31"/>
      <c r="G11747" s="272" t="s">
        <v>1099</v>
      </c>
    </row>
    <row r="11748">
      <c r="B11748" s="31"/>
      <c r="G11748" s="272" t="s">
        <v>1099</v>
      </c>
    </row>
    <row r="11749">
      <c r="B11749" s="31"/>
      <c r="G11749" s="272" t="s">
        <v>1099</v>
      </c>
    </row>
    <row r="11750">
      <c r="B11750" s="31"/>
      <c r="G11750" s="272" t="s">
        <v>1099</v>
      </c>
    </row>
    <row r="11751">
      <c r="B11751" s="31"/>
      <c r="G11751" s="272" t="s">
        <v>1099</v>
      </c>
    </row>
    <row r="11752">
      <c r="B11752" s="31"/>
      <c r="G11752" s="272" t="s">
        <v>1099</v>
      </c>
    </row>
    <row r="11753">
      <c r="B11753" s="31"/>
      <c r="G11753" s="272" t="s">
        <v>1099</v>
      </c>
    </row>
    <row r="11754">
      <c r="B11754" s="31"/>
      <c r="G11754" s="272" t="s">
        <v>1099</v>
      </c>
    </row>
    <row r="11755">
      <c r="B11755" s="31"/>
      <c r="G11755" s="272" t="s">
        <v>1099</v>
      </c>
    </row>
    <row r="11756">
      <c r="B11756" s="31"/>
      <c r="G11756" s="272" t="s">
        <v>1099</v>
      </c>
    </row>
    <row r="11757">
      <c r="B11757" s="31"/>
      <c r="G11757" s="272" t="s">
        <v>1099</v>
      </c>
    </row>
    <row r="11758">
      <c r="B11758" s="31"/>
      <c r="G11758" s="272" t="s">
        <v>1099</v>
      </c>
    </row>
    <row r="11759">
      <c r="B11759" s="31"/>
      <c r="G11759" s="272" t="s">
        <v>1099</v>
      </c>
    </row>
    <row r="11760">
      <c r="B11760" s="31"/>
      <c r="G11760" s="272" t="s">
        <v>1099</v>
      </c>
    </row>
    <row r="11761">
      <c r="B11761" s="31"/>
      <c r="G11761" s="272" t="s">
        <v>1099</v>
      </c>
    </row>
    <row r="11762">
      <c r="B11762" s="31"/>
      <c r="G11762" s="272" t="s">
        <v>1099</v>
      </c>
    </row>
    <row r="11763">
      <c r="B11763" s="31"/>
      <c r="G11763" s="272" t="s">
        <v>1099</v>
      </c>
    </row>
    <row r="11764">
      <c r="B11764" s="31"/>
      <c r="G11764" s="272" t="s">
        <v>1099</v>
      </c>
    </row>
    <row r="11765">
      <c r="B11765" s="31"/>
      <c r="G11765" s="272" t="s">
        <v>1099</v>
      </c>
    </row>
    <row r="11766">
      <c r="B11766" s="31"/>
      <c r="G11766" s="272" t="s">
        <v>1099</v>
      </c>
    </row>
    <row r="11767">
      <c r="B11767" s="31"/>
      <c r="G11767" s="272" t="s">
        <v>1099</v>
      </c>
    </row>
    <row r="11768">
      <c r="B11768" s="31"/>
      <c r="G11768" s="272" t="s">
        <v>1099</v>
      </c>
    </row>
    <row r="11769">
      <c r="B11769" s="31"/>
      <c r="G11769" s="272" t="s">
        <v>1099</v>
      </c>
    </row>
    <row r="11770">
      <c r="B11770" s="31"/>
      <c r="G11770" s="272" t="s">
        <v>1099</v>
      </c>
    </row>
    <row r="11771">
      <c r="B11771" s="31"/>
      <c r="G11771" s="272" t="s">
        <v>1099</v>
      </c>
    </row>
    <row r="11772">
      <c r="B11772" s="31"/>
      <c r="G11772" s="272" t="s">
        <v>1099</v>
      </c>
    </row>
    <row r="11773">
      <c r="B11773" s="31"/>
      <c r="G11773" s="272" t="s">
        <v>1099</v>
      </c>
    </row>
    <row r="11774">
      <c r="B11774" s="31"/>
      <c r="G11774" s="272" t="s">
        <v>1099</v>
      </c>
    </row>
    <row r="11775">
      <c r="B11775" s="31"/>
      <c r="G11775" s="272" t="s">
        <v>1099</v>
      </c>
    </row>
    <row r="11776">
      <c r="B11776" s="31"/>
      <c r="G11776" s="272" t="s">
        <v>1099</v>
      </c>
    </row>
    <row r="11777">
      <c r="B11777" s="31"/>
      <c r="G11777" s="272" t="s">
        <v>1099</v>
      </c>
    </row>
    <row r="11778">
      <c r="B11778" s="31"/>
      <c r="G11778" s="272" t="s">
        <v>1099</v>
      </c>
    </row>
    <row r="11779">
      <c r="B11779" s="31"/>
      <c r="G11779" s="272" t="s">
        <v>1099</v>
      </c>
    </row>
    <row r="11780">
      <c r="B11780" s="31"/>
      <c r="G11780" s="272" t="s">
        <v>1099</v>
      </c>
    </row>
    <row r="11781">
      <c r="B11781" s="31"/>
      <c r="G11781" s="272" t="s">
        <v>1099</v>
      </c>
    </row>
    <row r="11782">
      <c r="B11782" s="31"/>
      <c r="G11782" s="272" t="s">
        <v>1099</v>
      </c>
    </row>
    <row r="11783">
      <c r="B11783" s="31"/>
      <c r="G11783" s="272" t="s">
        <v>1099</v>
      </c>
    </row>
    <row r="11784">
      <c r="B11784" s="31"/>
      <c r="G11784" s="272" t="s">
        <v>1099</v>
      </c>
    </row>
    <row r="11785">
      <c r="B11785" s="31"/>
      <c r="G11785" s="272" t="s">
        <v>1099</v>
      </c>
    </row>
    <row r="11786">
      <c r="B11786" s="31"/>
      <c r="G11786" s="272" t="s">
        <v>1099</v>
      </c>
    </row>
    <row r="11787">
      <c r="B11787" s="31"/>
      <c r="G11787" s="272" t="s">
        <v>1099</v>
      </c>
    </row>
    <row r="11788">
      <c r="B11788" s="31"/>
      <c r="G11788" s="272" t="s">
        <v>1099</v>
      </c>
    </row>
    <row r="11789">
      <c r="B11789" s="31"/>
      <c r="G11789" s="272" t="s">
        <v>1099</v>
      </c>
    </row>
    <row r="11790">
      <c r="B11790" s="31"/>
      <c r="G11790" s="272" t="s">
        <v>1099</v>
      </c>
    </row>
    <row r="11791">
      <c r="B11791" s="31"/>
      <c r="G11791" s="272" t="s">
        <v>1099</v>
      </c>
    </row>
    <row r="11792">
      <c r="B11792" s="31"/>
      <c r="G11792" s="272" t="s">
        <v>1099</v>
      </c>
    </row>
    <row r="11793">
      <c r="B11793" s="31"/>
      <c r="G11793" s="272" t="s">
        <v>1099</v>
      </c>
    </row>
    <row r="11794">
      <c r="B11794" s="31"/>
      <c r="G11794" s="272" t="s">
        <v>1099</v>
      </c>
    </row>
    <row r="11795">
      <c r="B11795" s="31"/>
      <c r="G11795" s="272" t="s">
        <v>1099</v>
      </c>
    </row>
    <row r="11796">
      <c r="B11796" s="31"/>
      <c r="G11796" s="272" t="s">
        <v>1099</v>
      </c>
    </row>
    <row r="11797">
      <c r="B11797" s="31"/>
      <c r="G11797" s="272" t="s">
        <v>1099</v>
      </c>
    </row>
    <row r="11798">
      <c r="B11798" s="31"/>
      <c r="G11798" s="272" t="s">
        <v>1099</v>
      </c>
    </row>
    <row r="11799">
      <c r="B11799" s="31"/>
      <c r="G11799" s="272" t="s">
        <v>1099</v>
      </c>
    </row>
    <row r="11800">
      <c r="B11800" s="31"/>
      <c r="G11800" s="272" t="s">
        <v>1099</v>
      </c>
    </row>
    <row r="11801">
      <c r="B11801" s="31"/>
      <c r="G11801" s="272" t="s">
        <v>1099</v>
      </c>
    </row>
    <row r="11802">
      <c r="B11802" s="31"/>
      <c r="G11802" s="272" t="s">
        <v>1099</v>
      </c>
    </row>
    <row r="11803">
      <c r="B11803" s="31"/>
      <c r="G11803" s="272" t="s">
        <v>1099</v>
      </c>
    </row>
    <row r="11804">
      <c r="B11804" s="31"/>
      <c r="G11804" s="272" t="s">
        <v>1099</v>
      </c>
    </row>
    <row r="11805">
      <c r="B11805" s="31"/>
      <c r="G11805" s="272" t="s">
        <v>1099</v>
      </c>
    </row>
    <row r="11806">
      <c r="B11806" s="31"/>
      <c r="G11806" s="272" t="s">
        <v>1099</v>
      </c>
    </row>
    <row r="11807">
      <c r="B11807" s="31"/>
      <c r="G11807" s="272" t="s">
        <v>1099</v>
      </c>
    </row>
    <row r="11808">
      <c r="B11808" s="31"/>
      <c r="G11808" s="272" t="s">
        <v>1099</v>
      </c>
    </row>
    <row r="11809">
      <c r="B11809" s="31"/>
      <c r="G11809" s="272" t="s">
        <v>1099</v>
      </c>
    </row>
    <row r="11810">
      <c r="B11810" s="31"/>
      <c r="G11810" s="272" t="s">
        <v>1099</v>
      </c>
    </row>
    <row r="11811">
      <c r="B11811" s="31"/>
      <c r="G11811" s="272" t="s">
        <v>1099</v>
      </c>
    </row>
    <row r="11812">
      <c r="B11812" s="31"/>
      <c r="G11812" s="272" t="s">
        <v>1099</v>
      </c>
    </row>
    <row r="11813">
      <c r="B11813" s="31"/>
      <c r="G11813" s="272" t="s">
        <v>1099</v>
      </c>
    </row>
    <row r="11814">
      <c r="B11814" s="31"/>
      <c r="G11814" s="272" t="s">
        <v>1099</v>
      </c>
    </row>
    <row r="11815">
      <c r="B11815" s="31"/>
      <c r="G11815" s="272" t="s">
        <v>1099</v>
      </c>
    </row>
    <row r="11816">
      <c r="B11816" s="31"/>
      <c r="G11816" s="272" t="s">
        <v>1099</v>
      </c>
    </row>
    <row r="11817">
      <c r="B11817" s="31"/>
      <c r="G11817" s="272" t="s">
        <v>1099</v>
      </c>
    </row>
    <row r="11818">
      <c r="B11818" s="31"/>
      <c r="G11818" s="272" t="s">
        <v>1099</v>
      </c>
    </row>
    <row r="11819">
      <c r="B11819" s="31"/>
      <c r="G11819" s="272" t="s">
        <v>1099</v>
      </c>
    </row>
    <row r="11820">
      <c r="B11820" s="31"/>
      <c r="G11820" s="272" t="s">
        <v>1099</v>
      </c>
    </row>
    <row r="11821">
      <c r="B11821" s="31"/>
      <c r="G11821" s="272" t="s">
        <v>1099</v>
      </c>
    </row>
    <row r="11822">
      <c r="B11822" s="31"/>
      <c r="G11822" s="272" t="s">
        <v>1099</v>
      </c>
    </row>
    <row r="11823">
      <c r="B11823" s="31"/>
      <c r="G11823" s="272" t="s">
        <v>1099</v>
      </c>
    </row>
    <row r="11824">
      <c r="B11824" s="31"/>
      <c r="G11824" s="272" t="s">
        <v>1099</v>
      </c>
    </row>
    <row r="11825">
      <c r="B11825" s="31"/>
      <c r="G11825" s="272" t="s">
        <v>1099</v>
      </c>
    </row>
    <row r="11826">
      <c r="B11826" s="31"/>
      <c r="G11826" s="272" t="s">
        <v>1099</v>
      </c>
    </row>
    <row r="11827">
      <c r="B11827" s="31"/>
      <c r="G11827" s="272" t="s">
        <v>1099</v>
      </c>
    </row>
    <row r="11828">
      <c r="B11828" s="31"/>
      <c r="G11828" s="272" t="s">
        <v>1099</v>
      </c>
    </row>
    <row r="11829">
      <c r="B11829" s="31"/>
      <c r="G11829" s="272" t="s">
        <v>1099</v>
      </c>
    </row>
    <row r="11830">
      <c r="B11830" s="31"/>
      <c r="G11830" s="272" t="s">
        <v>1099</v>
      </c>
    </row>
    <row r="11831">
      <c r="B11831" s="31"/>
      <c r="G11831" s="272" t="s">
        <v>1099</v>
      </c>
    </row>
    <row r="11832">
      <c r="B11832" s="31"/>
      <c r="G11832" s="272" t="s">
        <v>1099</v>
      </c>
    </row>
    <row r="11833">
      <c r="B11833" s="31"/>
      <c r="G11833" s="272" t="s">
        <v>1099</v>
      </c>
    </row>
    <row r="11834">
      <c r="B11834" s="31"/>
      <c r="G11834" s="272" t="s">
        <v>1099</v>
      </c>
    </row>
    <row r="11835">
      <c r="B11835" s="31"/>
      <c r="G11835" s="272" t="s">
        <v>1099</v>
      </c>
    </row>
    <row r="11836">
      <c r="B11836" s="31"/>
      <c r="G11836" s="272" t="s">
        <v>1099</v>
      </c>
    </row>
    <row r="11837">
      <c r="B11837" s="31"/>
      <c r="G11837" s="272" t="s">
        <v>1099</v>
      </c>
    </row>
    <row r="11838">
      <c r="B11838" s="31"/>
      <c r="G11838" s="272" t="s">
        <v>1099</v>
      </c>
    </row>
    <row r="11839">
      <c r="B11839" s="31"/>
      <c r="G11839" s="272" t="s">
        <v>1099</v>
      </c>
    </row>
    <row r="11840">
      <c r="B11840" s="31"/>
      <c r="G11840" s="272" t="s">
        <v>1099</v>
      </c>
    </row>
    <row r="11841">
      <c r="B11841" s="31"/>
      <c r="G11841" s="272" t="s">
        <v>1099</v>
      </c>
    </row>
    <row r="11842">
      <c r="B11842" s="31"/>
      <c r="G11842" s="272" t="s">
        <v>1099</v>
      </c>
    </row>
    <row r="11843">
      <c r="B11843" s="31"/>
      <c r="G11843" s="272" t="s">
        <v>1099</v>
      </c>
    </row>
    <row r="11844">
      <c r="B11844" s="31"/>
      <c r="G11844" s="272" t="s">
        <v>1099</v>
      </c>
    </row>
    <row r="11845">
      <c r="B11845" s="31"/>
      <c r="G11845" s="272" t="s">
        <v>1099</v>
      </c>
    </row>
    <row r="11846">
      <c r="B11846" s="31"/>
      <c r="G11846" s="272" t="s">
        <v>1099</v>
      </c>
    </row>
    <row r="11847">
      <c r="B11847" s="31"/>
      <c r="G11847" s="272" t="s">
        <v>1099</v>
      </c>
    </row>
    <row r="11848">
      <c r="B11848" s="31"/>
      <c r="G11848" s="272" t="s">
        <v>1099</v>
      </c>
    </row>
    <row r="11849">
      <c r="B11849" s="31"/>
      <c r="G11849" s="272" t="s">
        <v>1099</v>
      </c>
    </row>
    <row r="11850">
      <c r="B11850" s="31"/>
      <c r="G11850" s="272" t="s">
        <v>1099</v>
      </c>
    </row>
    <row r="11851">
      <c r="B11851" s="31"/>
      <c r="G11851" s="272" t="s">
        <v>1099</v>
      </c>
    </row>
    <row r="11852">
      <c r="B11852" s="31"/>
      <c r="G11852" s="272" t="s">
        <v>1099</v>
      </c>
    </row>
    <row r="11853">
      <c r="B11853" s="31"/>
      <c r="G11853" s="272" t="s">
        <v>1099</v>
      </c>
    </row>
    <row r="11854">
      <c r="B11854" s="31"/>
      <c r="G11854" s="272" t="s">
        <v>1099</v>
      </c>
    </row>
    <row r="11855">
      <c r="B11855" s="31"/>
      <c r="G11855" s="272" t="s">
        <v>1099</v>
      </c>
    </row>
    <row r="11856">
      <c r="B11856" s="31"/>
      <c r="G11856" s="272" t="s">
        <v>1099</v>
      </c>
    </row>
    <row r="11857">
      <c r="B11857" s="31"/>
      <c r="G11857" s="272" t="s">
        <v>1099</v>
      </c>
    </row>
    <row r="11858">
      <c r="B11858" s="31"/>
      <c r="G11858" s="272" t="s">
        <v>1099</v>
      </c>
    </row>
    <row r="11859">
      <c r="B11859" s="31"/>
      <c r="G11859" s="272" t="s">
        <v>1099</v>
      </c>
    </row>
    <row r="11860">
      <c r="B11860" s="31"/>
      <c r="G11860" s="272" t="s">
        <v>1099</v>
      </c>
    </row>
    <row r="11861">
      <c r="B11861" s="31"/>
      <c r="G11861" s="272" t="s">
        <v>1099</v>
      </c>
    </row>
    <row r="11862">
      <c r="B11862" s="31"/>
      <c r="G11862" s="272" t="s">
        <v>1099</v>
      </c>
    </row>
    <row r="11863">
      <c r="B11863" s="31"/>
      <c r="G11863" s="272" t="s">
        <v>1099</v>
      </c>
    </row>
    <row r="11864">
      <c r="B11864" s="31"/>
      <c r="G11864" s="272" t="s">
        <v>1099</v>
      </c>
    </row>
    <row r="11865">
      <c r="B11865" s="31"/>
      <c r="G11865" s="272" t="s">
        <v>1099</v>
      </c>
    </row>
    <row r="11866">
      <c r="B11866" s="31"/>
      <c r="G11866" s="272" t="s">
        <v>1099</v>
      </c>
    </row>
    <row r="11867">
      <c r="B11867" s="31"/>
      <c r="G11867" s="272" t="s">
        <v>1099</v>
      </c>
    </row>
    <row r="11868">
      <c r="B11868" s="31"/>
      <c r="G11868" s="272" t="s">
        <v>1099</v>
      </c>
    </row>
    <row r="11869">
      <c r="B11869" s="31"/>
      <c r="G11869" s="272" t="s">
        <v>1099</v>
      </c>
    </row>
    <row r="11870">
      <c r="B11870" s="31"/>
      <c r="G11870" s="272" t="s">
        <v>1099</v>
      </c>
    </row>
    <row r="11871">
      <c r="B11871" s="31"/>
      <c r="G11871" s="272" t="s">
        <v>1099</v>
      </c>
    </row>
    <row r="11872">
      <c r="B11872" s="31"/>
      <c r="G11872" s="272" t="s">
        <v>1099</v>
      </c>
    </row>
    <row r="11873">
      <c r="B11873" s="31"/>
      <c r="G11873" s="272" t="s">
        <v>1099</v>
      </c>
    </row>
    <row r="11874">
      <c r="B11874" s="31"/>
      <c r="G11874" s="272" t="s">
        <v>1099</v>
      </c>
    </row>
    <row r="11875">
      <c r="B11875" s="31"/>
      <c r="G11875" s="272" t="s">
        <v>1099</v>
      </c>
    </row>
    <row r="11876">
      <c r="B11876" s="31"/>
      <c r="G11876" s="272" t="s">
        <v>1099</v>
      </c>
    </row>
    <row r="11877">
      <c r="B11877" s="31"/>
      <c r="G11877" s="272" t="s">
        <v>1099</v>
      </c>
    </row>
    <row r="11878">
      <c r="B11878" s="31"/>
      <c r="G11878" s="272" t="s">
        <v>1099</v>
      </c>
    </row>
    <row r="11879">
      <c r="B11879" s="31"/>
      <c r="G11879" s="272" t="s">
        <v>1099</v>
      </c>
    </row>
    <row r="11880">
      <c r="B11880" s="31"/>
      <c r="G11880" s="272" t="s">
        <v>1099</v>
      </c>
    </row>
    <row r="11881">
      <c r="B11881" s="31"/>
      <c r="G11881" s="272" t="s">
        <v>1099</v>
      </c>
    </row>
    <row r="11882">
      <c r="B11882" s="31"/>
      <c r="G11882" s="272" t="s">
        <v>1099</v>
      </c>
    </row>
    <row r="11883">
      <c r="B11883" s="31"/>
      <c r="G11883" s="272" t="s">
        <v>1099</v>
      </c>
    </row>
    <row r="11884">
      <c r="B11884" s="31"/>
      <c r="G11884" s="272" t="s">
        <v>1099</v>
      </c>
    </row>
    <row r="11885">
      <c r="B11885" s="31"/>
      <c r="G11885" s="272" t="s">
        <v>1099</v>
      </c>
    </row>
    <row r="11886">
      <c r="B11886" s="31"/>
      <c r="G11886" s="272" t="s">
        <v>1099</v>
      </c>
    </row>
    <row r="11887">
      <c r="B11887" s="31"/>
      <c r="G11887" s="272" t="s">
        <v>1099</v>
      </c>
    </row>
    <row r="11888">
      <c r="B11888" s="31"/>
      <c r="G11888" s="272" t="s">
        <v>1099</v>
      </c>
    </row>
    <row r="11889">
      <c r="B11889" s="31"/>
      <c r="G11889" s="272" t="s">
        <v>1099</v>
      </c>
    </row>
    <row r="11890">
      <c r="B11890" s="31"/>
      <c r="G11890" s="272" t="s">
        <v>1099</v>
      </c>
    </row>
    <row r="11891">
      <c r="B11891" s="31"/>
      <c r="G11891" s="272" t="s">
        <v>1099</v>
      </c>
    </row>
    <row r="11892">
      <c r="B11892" s="31"/>
      <c r="G11892" s="272" t="s">
        <v>1099</v>
      </c>
    </row>
    <row r="11893">
      <c r="B11893" s="31"/>
      <c r="G11893" s="272" t="s">
        <v>1099</v>
      </c>
    </row>
    <row r="11894">
      <c r="B11894" s="31"/>
      <c r="G11894" s="272" t="s">
        <v>1099</v>
      </c>
    </row>
    <row r="11895">
      <c r="B11895" s="31"/>
      <c r="G11895" s="272" t="s">
        <v>1099</v>
      </c>
    </row>
    <row r="11896">
      <c r="B11896" s="31"/>
      <c r="G11896" s="272" t="s">
        <v>1099</v>
      </c>
    </row>
    <row r="11897">
      <c r="B11897" s="31"/>
      <c r="G11897" s="272" t="s">
        <v>1099</v>
      </c>
    </row>
    <row r="11898">
      <c r="B11898" s="31"/>
      <c r="G11898" s="272" t="s">
        <v>1099</v>
      </c>
    </row>
    <row r="11899">
      <c r="B11899" s="31"/>
      <c r="G11899" s="272" t="s">
        <v>1099</v>
      </c>
    </row>
    <row r="11900">
      <c r="B11900" s="31"/>
      <c r="G11900" s="272" t="s">
        <v>1099</v>
      </c>
    </row>
    <row r="11901">
      <c r="B11901" s="31"/>
      <c r="G11901" s="272" t="s">
        <v>1099</v>
      </c>
    </row>
    <row r="11902">
      <c r="B11902" s="31"/>
      <c r="G11902" s="272" t="s">
        <v>1099</v>
      </c>
    </row>
    <row r="11903">
      <c r="B11903" s="31"/>
      <c r="G11903" s="272" t="s">
        <v>1099</v>
      </c>
    </row>
    <row r="11904">
      <c r="B11904" s="31"/>
      <c r="G11904" s="272" t="s">
        <v>1099</v>
      </c>
    </row>
    <row r="11905">
      <c r="B11905" s="31"/>
      <c r="G11905" s="272" t="s">
        <v>1099</v>
      </c>
    </row>
    <row r="11906">
      <c r="B11906" s="31"/>
      <c r="G11906" s="272" t="s">
        <v>1099</v>
      </c>
    </row>
    <row r="11907">
      <c r="B11907" s="31"/>
      <c r="G11907" s="272" t="s">
        <v>1099</v>
      </c>
    </row>
    <row r="11908">
      <c r="B11908" s="31"/>
      <c r="G11908" s="272" t="s">
        <v>1099</v>
      </c>
    </row>
    <row r="11909">
      <c r="B11909" s="31"/>
      <c r="G11909" s="272" t="s">
        <v>1099</v>
      </c>
    </row>
    <row r="11910">
      <c r="B11910" s="31"/>
      <c r="G11910" s="272" t="s">
        <v>1099</v>
      </c>
    </row>
    <row r="11911">
      <c r="B11911" s="31"/>
      <c r="G11911" s="272" t="s">
        <v>1099</v>
      </c>
    </row>
    <row r="11912">
      <c r="B11912" s="31"/>
      <c r="G11912" s="272" t="s">
        <v>1099</v>
      </c>
    </row>
    <row r="11913">
      <c r="B11913" s="31"/>
      <c r="G11913" s="272" t="s">
        <v>1099</v>
      </c>
    </row>
    <row r="11914">
      <c r="B11914" s="31"/>
      <c r="G11914" s="272" t="s">
        <v>1099</v>
      </c>
    </row>
    <row r="11915">
      <c r="B11915" s="31"/>
      <c r="G11915" s="272" t="s">
        <v>1099</v>
      </c>
    </row>
    <row r="11916">
      <c r="B11916" s="31"/>
      <c r="G11916" s="272" t="s">
        <v>1099</v>
      </c>
    </row>
    <row r="11917">
      <c r="B11917" s="31"/>
      <c r="G11917" s="272" t="s">
        <v>1099</v>
      </c>
    </row>
    <row r="11918">
      <c r="B11918" s="31"/>
      <c r="G11918" s="272" t="s">
        <v>1099</v>
      </c>
    </row>
    <row r="11919">
      <c r="B11919" s="31"/>
      <c r="G11919" s="272" t="s">
        <v>1099</v>
      </c>
    </row>
    <row r="11920">
      <c r="B11920" s="31"/>
      <c r="G11920" s="272" t="s">
        <v>1099</v>
      </c>
    </row>
    <row r="11921">
      <c r="B11921" s="31"/>
      <c r="G11921" s="272" t="s">
        <v>1099</v>
      </c>
    </row>
    <row r="11922">
      <c r="B11922" s="31"/>
      <c r="G11922" s="272" t="s">
        <v>1099</v>
      </c>
    </row>
    <row r="11923">
      <c r="B11923" s="31"/>
      <c r="G11923" s="272" t="s">
        <v>1099</v>
      </c>
    </row>
    <row r="11924">
      <c r="B11924" s="31"/>
      <c r="G11924" s="272" t="s">
        <v>1099</v>
      </c>
    </row>
    <row r="11925">
      <c r="B11925" s="31"/>
      <c r="G11925" s="272" t="s">
        <v>1099</v>
      </c>
    </row>
    <row r="11926">
      <c r="B11926" s="31"/>
      <c r="G11926" s="272" t="s">
        <v>1099</v>
      </c>
    </row>
    <row r="11927">
      <c r="B11927" s="31"/>
      <c r="G11927" s="272" t="s">
        <v>1099</v>
      </c>
    </row>
    <row r="11928">
      <c r="B11928" s="31"/>
      <c r="G11928" s="272" t="s">
        <v>1099</v>
      </c>
    </row>
    <row r="11929">
      <c r="B11929" s="31"/>
      <c r="G11929" s="272" t="s">
        <v>1099</v>
      </c>
    </row>
    <row r="11930">
      <c r="B11930" s="31"/>
      <c r="G11930" s="272" t="s">
        <v>1099</v>
      </c>
    </row>
    <row r="11931">
      <c r="B11931" s="31"/>
      <c r="G11931" s="272" t="s">
        <v>1099</v>
      </c>
    </row>
    <row r="11932">
      <c r="B11932" s="31"/>
      <c r="G11932" s="272" t="s">
        <v>1099</v>
      </c>
    </row>
    <row r="11933">
      <c r="B11933" s="31"/>
      <c r="G11933" s="272" t="s">
        <v>1099</v>
      </c>
    </row>
    <row r="11934">
      <c r="B11934" s="31"/>
      <c r="G11934" s="272" t="s">
        <v>1099</v>
      </c>
    </row>
    <row r="11935">
      <c r="B11935" s="31"/>
      <c r="G11935" s="272" t="s">
        <v>1099</v>
      </c>
    </row>
    <row r="11936">
      <c r="B11936" s="31"/>
      <c r="G11936" s="272" t="s">
        <v>1099</v>
      </c>
    </row>
    <row r="11937">
      <c r="B11937" s="31"/>
      <c r="G11937" s="272" t="s">
        <v>1099</v>
      </c>
    </row>
    <row r="11938">
      <c r="B11938" s="31"/>
      <c r="G11938" s="272" t="s">
        <v>1099</v>
      </c>
    </row>
    <row r="11939">
      <c r="B11939" s="31"/>
      <c r="G11939" s="272" t="s">
        <v>1099</v>
      </c>
    </row>
    <row r="11940">
      <c r="B11940" s="31"/>
      <c r="G11940" s="272" t="s">
        <v>1099</v>
      </c>
    </row>
    <row r="11941">
      <c r="B11941" s="31"/>
      <c r="G11941" s="272" t="s">
        <v>1099</v>
      </c>
    </row>
    <row r="11942">
      <c r="B11942" s="31"/>
      <c r="G11942" s="272" t="s">
        <v>1099</v>
      </c>
    </row>
    <row r="11943">
      <c r="B11943" s="31"/>
      <c r="G11943" s="272" t="s">
        <v>1099</v>
      </c>
    </row>
    <row r="11944">
      <c r="B11944" s="31"/>
      <c r="G11944" s="272" t="s">
        <v>1099</v>
      </c>
    </row>
    <row r="11945">
      <c r="B11945" s="31"/>
      <c r="G11945" s="272" t="s">
        <v>1099</v>
      </c>
    </row>
    <row r="11946">
      <c r="B11946" s="31"/>
      <c r="G11946" s="272" t="s">
        <v>1099</v>
      </c>
    </row>
    <row r="11947">
      <c r="B11947" s="31"/>
      <c r="G11947" s="272" t="s">
        <v>1099</v>
      </c>
    </row>
    <row r="11948">
      <c r="B11948" s="31"/>
      <c r="G11948" s="272" t="s">
        <v>1099</v>
      </c>
    </row>
    <row r="11949">
      <c r="B11949" s="31"/>
      <c r="G11949" s="272" t="s">
        <v>1099</v>
      </c>
    </row>
    <row r="11950">
      <c r="B11950" s="31"/>
      <c r="G11950" s="272" t="s">
        <v>1099</v>
      </c>
    </row>
    <row r="11951">
      <c r="B11951" s="31"/>
      <c r="G11951" s="272" t="s">
        <v>1099</v>
      </c>
    </row>
    <row r="11952">
      <c r="B11952" s="31"/>
      <c r="G11952" s="272" t="s">
        <v>1099</v>
      </c>
    </row>
    <row r="11953">
      <c r="B11953" s="31"/>
      <c r="G11953" s="272" t="s">
        <v>1099</v>
      </c>
    </row>
    <row r="11954">
      <c r="B11954" s="31"/>
      <c r="G11954" s="272" t="s">
        <v>1099</v>
      </c>
    </row>
    <row r="11955">
      <c r="B11955" s="31"/>
      <c r="G11955" s="272" t="s">
        <v>1099</v>
      </c>
    </row>
    <row r="11956">
      <c r="B11956" s="31"/>
      <c r="G11956" s="272" t="s">
        <v>1099</v>
      </c>
    </row>
    <row r="11957">
      <c r="B11957" s="31"/>
      <c r="G11957" s="272" t="s">
        <v>1099</v>
      </c>
    </row>
    <row r="11958">
      <c r="B11958" s="31"/>
      <c r="G11958" s="272" t="s">
        <v>1099</v>
      </c>
    </row>
    <row r="11959">
      <c r="B11959" s="31"/>
      <c r="G11959" s="272" t="s">
        <v>1099</v>
      </c>
    </row>
    <row r="11960">
      <c r="B11960" s="31"/>
      <c r="G11960" s="272" t="s">
        <v>1099</v>
      </c>
    </row>
    <row r="11961">
      <c r="B11961" s="31"/>
      <c r="G11961" s="272" t="s">
        <v>1099</v>
      </c>
    </row>
    <row r="11962">
      <c r="B11962" s="31"/>
      <c r="G11962" s="272" t="s">
        <v>1099</v>
      </c>
    </row>
    <row r="11963">
      <c r="B11963" s="31"/>
      <c r="G11963" s="272" t="s">
        <v>1099</v>
      </c>
    </row>
    <row r="11964">
      <c r="B11964" s="31"/>
      <c r="G11964" s="272" t="s">
        <v>1099</v>
      </c>
    </row>
    <row r="11965">
      <c r="B11965" s="31"/>
      <c r="G11965" s="272" t="s">
        <v>1099</v>
      </c>
    </row>
    <row r="11966">
      <c r="B11966" s="31"/>
      <c r="G11966" s="272" t="s">
        <v>1099</v>
      </c>
    </row>
    <row r="11967">
      <c r="B11967" s="31"/>
      <c r="G11967" s="272" t="s">
        <v>1099</v>
      </c>
    </row>
    <row r="11968">
      <c r="B11968" s="31"/>
      <c r="G11968" s="272" t="s">
        <v>1099</v>
      </c>
    </row>
    <row r="11969">
      <c r="B11969" s="31"/>
      <c r="G11969" s="272" t="s">
        <v>1099</v>
      </c>
    </row>
    <row r="11970">
      <c r="B11970" s="31"/>
      <c r="G11970" s="272" t="s">
        <v>1099</v>
      </c>
    </row>
    <row r="11971">
      <c r="B11971" s="31"/>
      <c r="G11971" s="272" t="s">
        <v>1099</v>
      </c>
    </row>
    <row r="11972">
      <c r="B11972" s="31"/>
      <c r="G11972" s="272" t="s">
        <v>1099</v>
      </c>
    </row>
    <row r="11973">
      <c r="B11973" s="31"/>
      <c r="G11973" s="272" t="s">
        <v>1099</v>
      </c>
    </row>
    <row r="11974">
      <c r="B11974" s="31"/>
      <c r="G11974" s="272" t="s">
        <v>1099</v>
      </c>
    </row>
    <row r="11975">
      <c r="B11975" s="31"/>
      <c r="G11975" s="272" t="s">
        <v>1099</v>
      </c>
    </row>
    <row r="11976">
      <c r="B11976" s="31"/>
      <c r="G11976" s="272" t="s">
        <v>1099</v>
      </c>
    </row>
    <row r="11977">
      <c r="B11977" s="31"/>
      <c r="G11977" s="272" t="s">
        <v>1099</v>
      </c>
    </row>
    <row r="11978">
      <c r="B11978" s="31"/>
      <c r="G11978" s="272" t="s">
        <v>1099</v>
      </c>
    </row>
    <row r="11979">
      <c r="B11979" s="31"/>
      <c r="G11979" s="272" t="s">
        <v>1099</v>
      </c>
    </row>
    <row r="11980">
      <c r="B11980" s="31"/>
      <c r="G11980" s="272" t="s">
        <v>1099</v>
      </c>
    </row>
    <row r="11981">
      <c r="B11981" s="31"/>
      <c r="G11981" s="272" t="s">
        <v>1099</v>
      </c>
    </row>
    <row r="11982">
      <c r="B11982" s="31"/>
      <c r="G11982" s="272" t="s">
        <v>1099</v>
      </c>
    </row>
    <row r="11983">
      <c r="B11983" s="31"/>
      <c r="G11983" s="272" t="s">
        <v>1099</v>
      </c>
    </row>
    <row r="11984">
      <c r="B11984" s="31"/>
      <c r="G11984" s="272" t="s">
        <v>1099</v>
      </c>
    </row>
    <row r="11985">
      <c r="B11985" s="31"/>
      <c r="G11985" s="272" t="s">
        <v>1099</v>
      </c>
    </row>
    <row r="11986">
      <c r="B11986" s="31"/>
      <c r="G11986" s="272" t="s">
        <v>1099</v>
      </c>
    </row>
    <row r="11987">
      <c r="B11987" s="31"/>
      <c r="G11987" s="272" t="s">
        <v>1099</v>
      </c>
    </row>
    <row r="11988">
      <c r="B11988" s="31"/>
      <c r="G11988" s="272" t="s">
        <v>1099</v>
      </c>
    </row>
    <row r="11989">
      <c r="B11989" s="31"/>
      <c r="G11989" s="272" t="s">
        <v>1099</v>
      </c>
    </row>
    <row r="11990">
      <c r="B11990" s="31"/>
      <c r="G11990" s="272" t="s">
        <v>1099</v>
      </c>
    </row>
    <row r="11991">
      <c r="B11991" s="31"/>
      <c r="G11991" s="272" t="s">
        <v>1099</v>
      </c>
    </row>
    <row r="11992">
      <c r="B11992" s="31"/>
      <c r="G11992" s="272" t="s">
        <v>1099</v>
      </c>
    </row>
    <row r="11993">
      <c r="B11993" s="31"/>
      <c r="G11993" s="272" t="s">
        <v>1099</v>
      </c>
    </row>
    <row r="11994">
      <c r="B11994" s="31"/>
      <c r="G11994" s="272" t="s">
        <v>1099</v>
      </c>
    </row>
    <row r="11995">
      <c r="B11995" s="31"/>
      <c r="G11995" s="272" t="s">
        <v>1099</v>
      </c>
    </row>
    <row r="11996">
      <c r="B11996" s="31"/>
      <c r="G11996" s="272" t="s">
        <v>1099</v>
      </c>
    </row>
    <row r="11997">
      <c r="B11997" s="31"/>
      <c r="G11997" s="272" t="s">
        <v>1099</v>
      </c>
    </row>
    <row r="11998">
      <c r="B11998" s="31"/>
      <c r="G11998" s="272" t="s">
        <v>1099</v>
      </c>
    </row>
    <row r="11999">
      <c r="B11999" s="31"/>
      <c r="G11999" s="272" t="s">
        <v>1099</v>
      </c>
    </row>
    <row r="12000">
      <c r="B12000" s="31"/>
      <c r="G12000" s="272" t="s">
        <v>1099</v>
      </c>
    </row>
    <row r="12001">
      <c r="B12001" s="31"/>
      <c r="G12001" s="272" t="s">
        <v>1099</v>
      </c>
    </row>
    <row r="12002">
      <c r="B12002" s="31"/>
      <c r="G12002" s="272" t="s">
        <v>1099</v>
      </c>
    </row>
    <row r="12003">
      <c r="B12003" s="31"/>
      <c r="G12003" s="272" t="s">
        <v>1099</v>
      </c>
    </row>
    <row r="12004">
      <c r="B12004" s="31"/>
      <c r="G12004" s="272" t="s">
        <v>1099</v>
      </c>
    </row>
    <row r="12005">
      <c r="B12005" s="31"/>
      <c r="G12005" s="272" t="s">
        <v>1099</v>
      </c>
    </row>
    <row r="12006">
      <c r="B12006" s="31"/>
      <c r="G12006" s="272" t="s">
        <v>1099</v>
      </c>
    </row>
    <row r="12007">
      <c r="B12007" s="31"/>
      <c r="G12007" s="272" t="s">
        <v>1099</v>
      </c>
    </row>
    <row r="12008">
      <c r="B12008" s="31"/>
      <c r="G12008" s="272" t="s">
        <v>1099</v>
      </c>
    </row>
    <row r="12009">
      <c r="B12009" s="31"/>
      <c r="G12009" s="272" t="s">
        <v>1099</v>
      </c>
    </row>
    <row r="12010">
      <c r="B12010" s="31"/>
      <c r="G12010" s="272" t="s">
        <v>1099</v>
      </c>
    </row>
    <row r="12011">
      <c r="B12011" s="31"/>
      <c r="G12011" s="272" t="s">
        <v>1099</v>
      </c>
    </row>
    <row r="12012">
      <c r="B12012" s="31"/>
      <c r="G12012" s="272" t="s">
        <v>1099</v>
      </c>
    </row>
    <row r="12013">
      <c r="B12013" s="31"/>
      <c r="G12013" s="272" t="s">
        <v>1099</v>
      </c>
    </row>
    <row r="12014">
      <c r="B12014" s="31"/>
      <c r="G12014" s="272" t="s">
        <v>1099</v>
      </c>
    </row>
    <row r="12015">
      <c r="B12015" s="31"/>
      <c r="G12015" s="272" t="s">
        <v>1099</v>
      </c>
    </row>
    <row r="12016">
      <c r="B12016" s="31"/>
      <c r="G12016" s="272" t="s">
        <v>1099</v>
      </c>
    </row>
    <row r="12017">
      <c r="B12017" s="31"/>
      <c r="G12017" s="272" t="s">
        <v>1099</v>
      </c>
    </row>
    <row r="12018">
      <c r="B12018" s="31"/>
      <c r="G12018" s="272" t="s">
        <v>1099</v>
      </c>
    </row>
    <row r="12019">
      <c r="B12019" s="31"/>
      <c r="G12019" s="272" t="s">
        <v>1099</v>
      </c>
    </row>
    <row r="12020">
      <c r="B12020" s="31"/>
      <c r="G12020" s="272" t="s">
        <v>1099</v>
      </c>
    </row>
    <row r="12021">
      <c r="B12021" s="31"/>
      <c r="G12021" s="272" t="s">
        <v>1099</v>
      </c>
    </row>
    <row r="12022">
      <c r="B12022" s="31"/>
      <c r="G12022" s="272" t="s">
        <v>1099</v>
      </c>
    </row>
    <row r="12023">
      <c r="B12023" s="31"/>
      <c r="G12023" s="272" t="s">
        <v>1099</v>
      </c>
    </row>
    <row r="12024">
      <c r="B12024" s="31"/>
      <c r="G12024" s="272" t="s">
        <v>1099</v>
      </c>
    </row>
    <row r="12025">
      <c r="B12025" s="31"/>
      <c r="G12025" s="272" t="s">
        <v>1099</v>
      </c>
    </row>
    <row r="12026">
      <c r="B12026" s="31"/>
      <c r="G12026" s="272" t="s">
        <v>1099</v>
      </c>
    </row>
    <row r="12027">
      <c r="B12027" s="31"/>
      <c r="G12027" s="272" t="s">
        <v>1099</v>
      </c>
    </row>
    <row r="12028">
      <c r="B12028" s="31"/>
      <c r="G12028" s="272" t="s">
        <v>1099</v>
      </c>
    </row>
    <row r="12029">
      <c r="B12029" s="31"/>
      <c r="G12029" s="272" t="s">
        <v>1099</v>
      </c>
    </row>
    <row r="12030">
      <c r="B12030" s="31"/>
      <c r="G12030" s="272" t="s">
        <v>1099</v>
      </c>
    </row>
    <row r="12031">
      <c r="B12031" s="31"/>
      <c r="G12031" s="272" t="s">
        <v>1099</v>
      </c>
    </row>
    <row r="12032">
      <c r="B12032" s="31"/>
      <c r="G12032" s="272" t="s">
        <v>1099</v>
      </c>
    </row>
    <row r="12033">
      <c r="B12033" s="31"/>
      <c r="G12033" s="272" t="s">
        <v>1099</v>
      </c>
    </row>
    <row r="12034">
      <c r="B12034" s="31"/>
      <c r="G12034" s="272" t="s">
        <v>1099</v>
      </c>
    </row>
    <row r="12035">
      <c r="B12035" s="31"/>
      <c r="G12035" s="272" t="s">
        <v>1099</v>
      </c>
    </row>
    <row r="12036">
      <c r="B12036" s="31"/>
      <c r="G12036" s="272" t="s">
        <v>1099</v>
      </c>
    </row>
    <row r="12037">
      <c r="B12037" s="31"/>
      <c r="G12037" s="272" t="s">
        <v>1099</v>
      </c>
    </row>
    <row r="12038">
      <c r="B12038" s="31"/>
      <c r="G12038" s="272" t="s">
        <v>1099</v>
      </c>
    </row>
    <row r="12039">
      <c r="B12039" s="31"/>
      <c r="G12039" s="272" t="s">
        <v>1099</v>
      </c>
    </row>
    <row r="12040">
      <c r="B12040" s="31"/>
      <c r="G12040" s="272" t="s">
        <v>1099</v>
      </c>
    </row>
    <row r="12041">
      <c r="B12041" s="31"/>
      <c r="G12041" s="272" t="s">
        <v>1099</v>
      </c>
    </row>
    <row r="12042">
      <c r="B12042" s="31"/>
      <c r="G12042" s="272" t="s">
        <v>1099</v>
      </c>
    </row>
    <row r="12043">
      <c r="B12043" s="31"/>
      <c r="G12043" s="272" t="s">
        <v>1099</v>
      </c>
    </row>
    <row r="12044">
      <c r="B12044" s="31"/>
      <c r="G12044" s="272" t="s">
        <v>1099</v>
      </c>
    </row>
    <row r="12045">
      <c r="B12045" s="31"/>
      <c r="G12045" s="272" t="s">
        <v>1099</v>
      </c>
    </row>
    <row r="12046">
      <c r="B12046" s="31"/>
      <c r="G12046" s="272" t="s">
        <v>1099</v>
      </c>
    </row>
    <row r="12047">
      <c r="B12047" s="31"/>
      <c r="G12047" s="272" t="s">
        <v>1099</v>
      </c>
    </row>
    <row r="12048">
      <c r="B12048" s="31"/>
      <c r="G12048" s="272" t="s">
        <v>1099</v>
      </c>
    </row>
    <row r="12049">
      <c r="B12049" s="31"/>
      <c r="G12049" s="272" t="s">
        <v>1099</v>
      </c>
    </row>
    <row r="12050">
      <c r="B12050" s="31"/>
      <c r="G12050" s="272" t="s">
        <v>1099</v>
      </c>
    </row>
    <row r="12051">
      <c r="B12051" s="31"/>
      <c r="G12051" s="272" t="s">
        <v>1099</v>
      </c>
    </row>
    <row r="12052">
      <c r="B12052" s="31"/>
      <c r="G12052" s="272" t="s">
        <v>1099</v>
      </c>
    </row>
    <row r="12053">
      <c r="B12053" s="31"/>
      <c r="G12053" s="272" t="s">
        <v>1099</v>
      </c>
    </row>
    <row r="12054">
      <c r="B12054" s="31"/>
      <c r="G12054" s="272" t="s">
        <v>1099</v>
      </c>
    </row>
    <row r="12055">
      <c r="B12055" s="31"/>
      <c r="G12055" s="272" t="s">
        <v>1099</v>
      </c>
    </row>
    <row r="12056">
      <c r="B12056" s="31"/>
      <c r="G12056" s="272" t="s">
        <v>1099</v>
      </c>
    </row>
    <row r="12057">
      <c r="B12057" s="31"/>
      <c r="G12057" s="272" t="s">
        <v>1099</v>
      </c>
    </row>
    <row r="12058">
      <c r="B12058" s="31"/>
      <c r="G12058" s="272" t="s">
        <v>1099</v>
      </c>
    </row>
    <row r="12059">
      <c r="B12059" s="31"/>
      <c r="G12059" s="272" t="s">
        <v>1099</v>
      </c>
    </row>
    <row r="12060">
      <c r="B12060" s="31"/>
      <c r="G12060" s="272" t="s">
        <v>1099</v>
      </c>
    </row>
    <row r="12061">
      <c r="B12061" s="31"/>
      <c r="G12061" s="272" t="s">
        <v>1099</v>
      </c>
    </row>
    <row r="12062">
      <c r="B12062" s="31"/>
      <c r="G12062" s="272" t="s">
        <v>1099</v>
      </c>
    </row>
    <row r="12063">
      <c r="B12063" s="31"/>
      <c r="G12063" s="272" t="s">
        <v>1099</v>
      </c>
    </row>
    <row r="12064">
      <c r="B12064" s="31"/>
      <c r="G12064" s="272" t="s">
        <v>1099</v>
      </c>
    </row>
    <row r="12065">
      <c r="B12065" s="31"/>
      <c r="G12065" s="272" t="s">
        <v>1099</v>
      </c>
    </row>
    <row r="12066">
      <c r="B12066" s="31"/>
      <c r="G12066" s="272" t="s">
        <v>1099</v>
      </c>
    </row>
    <row r="12067">
      <c r="B12067" s="31"/>
      <c r="G12067" s="272" t="s">
        <v>1099</v>
      </c>
    </row>
    <row r="12068">
      <c r="B12068" s="31"/>
      <c r="G12068" s="272" t="s">
        <v>1099</v>
      </c>
    </row>
    <row r="12069">
      <c r="B12069" s="31"/>
      <c r="G12069" s="272" t="s">
        <v>1099</v>
      </c>
    </row>
    <row r="12070">
      <c r="B12070" s="31"/>
      <c r="G12070" s="272" t="s">
        <v>1099</v>
      </c>
    </row>
    <row r="12071">
      <c r="B12071" s="31"/>
      <c r="G12071" s="272" t="s">
        <v>1099</v>
      </c>
    </row>
    <row r="12072">
      <c r="B12072" s="31"/>
      <c r="G12072" s="272" t="s">
        <v>1099</v>
      </c>
    </row>
    <row r="12073">
      <c r="B12073" s="31"/>
      <c r="G12073" s="272" t="s">
        <v>1099</v>
      </c>
    </row>
    <row r="12074">
      <c r="B12074" s="31"/>
      <c r="G12074" s="272" t="s">
        <v>1099</v>
      </c>
    </row>
    <row r="12075">
      <c r="B12075" s="31"/>
      <c r="G12075" s="272" t="s">
        <v>1099</v>
      </c>
    </row>
    <row r="12076">
      <c r="B12076" s="31"/>
      <c r="G12076" s="272" t="s">
        <v>1099</v>
      </c>
    </row>
    <row r="12077">
      <c r="B12077" s="31"/>
      <c r="G12077" s="272" t="s">
        <v>1099</v>
      </c>
    </row>
    <row r="12078">
      <c r="B12078" s="31"/>
      <c r="G12078" s="272" t="s">
        <v>1099</v>
      </c>
    </row>
    <row r="12079">
      <c r="B12079" s="31"/>
      <c r="G12079" s="272" t="s">
        <v>1099</v>
      </c>
    </row>
    <row r="12080">
      <c r="B12080" s="31"/>
      <c r="G12080" s="272" t="s">
        <v>1099</v>
      </c>
    </row>
    <row r="12081">
      <c r="B12081" s="31"/>
      <c r="G12081" s="272" t="s">
        <v>1099</v>
      </c>
    </row>
    <row r="12082">
      <c r="B12082" s="31"/>
      <c r="G12082" s="272" t="s">
        <v>1099</v>
      </c>
    </row>
    <row r="12083">
      <c r="B12083" s="31"/>
      <c r="G12083" s="272" t="s">
        <v>1099</v>
      </c>
    </row>
    <row r="12084">
      <c r="B12084" s="31"/>
      <c r="G12084" s="272" t="s">
        <v>1099</v>
      </c>
    </row>
    <row r="12085">
      <c r="B12085" s="31"/>
      <c r="G12085" s="272" t="s">
        <v>1099</v>
      </c>
    </row>
    <row r="12086">
      <c r="B12086" s="31"/>
      <c r="G12086" s="272" t="s">
        <v>1099</v>
      </c>
    </row>
    <row r="12087">
      <c r="B12087" s="31"/>
      <c r="G12087" s="272" t="s">
        <v>1099</v>
      </c>
    </row>
    <row r="12088">
      <c r="B12088" s="31"/>
      <c r="G12088" s="272" t="s">
        <v>1099</v>
      </c>
    </row>
    <row r="12089">
      <c r="B12089" s="31"/>
      <c r="G12089" s="272" t="s">
        <v>1099</v>
      </c>
    </row>
    <row r="12090">
      <c r="B12090" s="31"/>
      <c r="G12090" s="272" t="s">
        <v>1099</v>
      </c>
    </row>
    <row r="12091">
      <c r="B12091" s="31"/>
      <c r="G12091" s="272" t="s">
        <v>1099</v>
      </c>
    </row>
    <row r="12092">
      <c r="B12092" s="31"/>
      <c r="G12092" s="272" t="s">
        <v>1099</v>
      </c>
    </row>
    <row r="12093">
      <c r="B12093" s="31"/>
      <c r="G12093" s="272" t="s">
        <v>1099</v>
      </c>
    </row>
    <row r="12094">
      <c r="B12094" s="31"/>
      <c r="G12094" s="272" t="s">
        <v>1099</v>
      </c>
    </row>
    <row r="12095">
      <c r="B12095" s="31"/>
      <c r="G12095" s="272" t="s">
        <v>1099</v>
      </c>
    </row>
    <row r="12096">
      <c r="B12096" s="31"/>
      <c r="G12096" s="272" t="s">
        <v>1099</v>
      </c>
    </row>
    <row r="12097">
      <c r="B12097" s="31"/>
      <c r="G12097" s="272" t="s">
        <v>1099</v>
      </c>
    </row>
    <row r="12098">
      <c r="B12098" s="31"/>
      <c r="G12098" s="272" t="s">
        <v>1099</v>
      </c>
    </row>
    <row r="12099">
      <c r="B12099" s="31"/>
      <c r="G12099" s="272" t="s">
        <v>1099</v>
      </c>
    </row>
    <row r="12100">
      <c r="B12100" s="31"/>
      <c r="G12100" s="272" t="s">
        <v>1099</v>
      </c>
    </row>
    <row r="12101">
      <c r="B12101" s="31"/>
      <c r="G12101" s="272" t="s">
        <v>1099</v>
      </c>
    </row>
    <row r="12102">
      <c r="B12102" s="31"/>
      <c r="G12102" s="272" t="s">
        <v>1099</v>
      </c>
    </row>
    <row r="12103">
      <c r="B12103" s="31"/>
      <c r="G12103" s="272" t="s">
        <v>1099</v>
      </c>
    </row>
    <row r="12104">
      <c r="B12104" s="31"/>
      <c r="G12104" s="272" t="s">
        <v>1099</v>
      </c>
    </row>
    <row r="12105">
      <c r="B12105" s="31"/>
      <c r="G12105" s="272" t="s">
        <v>1099</v>
      </c>
    </row>
    <row r="12106">
      <c r="B12106" s="31"/>
      <c r="G12106" s="272" t="s">
        <v>1099</v>
      </c>
    </row>
    <row r="12107">
      <c r="B12107" s="31"/>
      <c r="G12107" s="272" t="s">
        <v>1099</v>
      </c>
    </row>
    <row r="12108">
      <c r="B12108" s="31"/>
      <c r="G12108" s="272" t="s">
        <v>1099</v>
      </c>
    </row>
    <row r="12109">
      <c r="B12109" s="31"/>
      <c r="G12109" s="272" t="s">
        <v>1099</v>
      </c>
    </row>
    <row r="12110">
      <c r="B12110" s="31"/>
      <c r="G12110" s="272" t="s">
        <v>1099</v>
      </c>
    </row>
    <row r="12111">
      <c r="B12111" s="31"/>
      <c r="G12111" s="272" t="s">
        <v>1099</v>
      </c>
    </row>
    <row r="12112">
      <c r="B12112" s="31"/>
      <c r="G12112" s="272" t="s">
        <v>1099</v>
      </c>
    </row>
    <row r="12113">
      <c r="B12113" s="31"/>
      <c r="G12113" s="272" t="s">
        <v>1099</v>
      </c>
    </row>
    <row r="12114">
      <c r="B12114" s="31"/>
      <c r="G12114" s="272" t="s">
        <v>1099</v>
      </c>
    </row>
    <row r="12115">
      <c r="B12115" s="31"/>
      <c r="G12115" s="272" t="s">
        <v>1099</v>
      </c>
    </row>
    <row r="12116">
      <c r="B12116" s="31"/>
      <c r="G12116" s="272" t="s">
        <v>1099</v>
      </c>
    </row>
    <row r="12117">
      <c r="B12117" s="31"/>
      <c r="G12117" s="272" t="s">
        <v>1099</v>
      </c>
    </row>
    <row r="12118">
      <c r="B12118" s="31"/>
      <c r="G12118" s="272" t="s">
        <v>1099</v>
      </c>
    </row>
    <row r="12119">
      <c r="B12119" s="31"/>
      <c r="G12119" s="272" t="s">
        <v>1099</v>
      </c>
    </row>
    <row r="12120">
      <c r="B12120" s="31"/>
      <c r="G12120" s="272" t="s">
        <v>1099</v>
      </c>
    </row>
    <row r="12121">
      <c r="B12121" s="31"/>
      <c r="G12121" s="272" t="s">
        <v>1099</v>
      </c>
    </row>
    <row r="12122">
      <c r="B12122" s="31"/>
      <c r="G12122" s="272" t="s">
        <v>1099</v>
      </c>
    </row>
    <row r="12123">
      <c r="B12123" s="31"/>
      <c r="G12123" s="272" t="s">
        <v>1099</v>
      </c>
    </row>
    <row r="12124">
      <c r="B12124" s="31"/>
      <c r="G12124" s="272" t="s">
        <v>1099</v>
      </c>
    </row>
    <row r="12125">
      <c r="B12125" s="31"/>
      <c r="G12125" s="272" t="s">
        <v>1099</v>
      </c>
    </row>
    <row r="12126">
      <c r="B12126" s="31"/>
      <c r="G12126" s="272" t="s">
        <v>1099</v>
      </c>
    </row>
    <row r="12127">
      <c r="B12127" s="31"/>
      <c r="G12127" s="272" t="s">
        <v>1099</v>
      </c>
    </row>
    <row r="12128">
      <c r="B12128" s="31"/>
      <c r="G12128" s="272" t="s">
        <v>1099</v>
      </c>
    </row>
    <row r="12129">
      <c r="B12129" s="31"/>
      <c r="G12129" s="272" t="s">
        <v>1099</v>
      </c>
    </row>
    <row r="12130">
      <c r="B12130" s="31"/>
      <c r="G12130" s="272" t="s">
        <v>1099</v>
      </c>
    </row>
    <row r="12131">
      <c r="B12131" s="31"/>
      <c r="G12131" s="272" t="s">
        <v>1099</v>
      </c>
    </row>
    <row r="12132">
      <c r="B12132" s="31"/>
      <c r="G12132" s="272" t="s">
        <v>1099</v>
      </c>
    </row>
    <row r="12133">
      <c r="B12133" s="31"/>
      <c r="G12133" s="272" t="s">
        <v>1099</v>
      </c>
    </row>
    <row r="12134">
      <c r="B12134" s="31"/>
      <c r="G12134" s="272" t="s">
        <v>1099</v>
      </c>
    </row>
    <row r="12135">
      <c r="B12135" s="31"/>
      <c r="G12135" s="272" t="s">
        <v>1099</v>
      </c>
    </row>
    <row r="12136">
      <c r="B12136" s="31"/>
      <c r="G12136" s="272" t="s">
        <v>1099</v>
      </c>
    </row>
    <row r="12137">
      <c r="B12137" s="31"/>
      <c r="G12137" s="272" t="s">
        <v>1099</v>
      </c>
    </row>
    <row r="12138">
      <c r="B12138" s="31"/>
      <c r="G12138" s="272" t="s">
        <v>1099</v>
      </c>
    </row>
    <row r="12139">
      <c r="B12139" s="31"/>
      <c r="G12139" s="272" t="s">
        <v>1099</v>
      </c>
    </row>
    <row r="12140">
      <c r="B12140" s="31"/>
      <c r="G12140" s="272" t="s">
        <v>1099</v>
      </c>
    </row>
    <row r="12141">
      <c r="B12141" s="31"/>
      <c r="G12141" s="272" t="s">
        <v>1099</v>
      </c>
    </row>
    <row r="12142">
      <c r="B12142" s="31"/>
      <c r="G12142" s="272" t="s">
        <v>1099</v>
      </c>
    </row>
    <row r="12143">
      <c r="B12143" s="31"/>
      <c r="G12143" s="272" t="s">
        <v>1099</v>
      </c>
    </row>
    <row r="12144">
      <c r="B12144" s="31"/>
      <c r="G12144" s="272" t="s">
        <v>1099</v>
      </c>
    </row>
    <row r="12145">
      <c r="B12145" s="31"/>
      <c r="G12145" s="272" t="s">
        <v>1099</v>
      </c>
    </row>
    <row r="12146">
      <c r="B12146" s="31"/>
      <c r="G12146" s="272" t="s">
        <v>1099</v>
      </c>
    </row>
    <row r="12147">
      <c r="B12147" s="31"/>
      <c r="G12147" s="272" t="s">
        <v>1099</v>
      </c>
    </row>
    <row r="12148">
      <c r="B12148" s="31"/>
      <c r="G12148" s="272" t="s">
        <v>1099</v>
      </c>
    </row>
    <row r="12149">
      <c r="B12149" s="31"/>
      <c r="G12149" s="272" t="s">
        <v>1099</v>
      </c>
    </row>
    <row r="12150">
      <c r="B12150" s="31"/>
      <c r="G12150" s="272" t="s">
        <v>1099</v>
      </c>
    </row>
    <row r="12151">
      <c r="B12151" s="31"/>
      <c r="G12151" s="272" t="s">
        <v>1099</v>
      </c>
    </row>
    <row r="12152">
      <c r="B12152" s="31"/>
      <c r="G12152" s="272" t="s">
        <v>1099</v>
      </c>
    </row>
    <row r="12153">
      <c r="B12153" s="31"/>
      <c r="G12153" s="272" t="s">
        <v>1099</v>
      </c>
    </row>
    <row r="12154">
      <c r="B12154" s="31"/>
      <c r="G12154" s="272" t="s">
        <v>1099</v>
      </c>
    </row>
    <row r="12155">
      <c r="B12155" s="31"/>
      <c r="G12155" s="272" t="s">
        <v>1099</v>
      </c>
    </row>
    <row r="12156">
      <c r="B12156" s="31"/>
      <c r="G12156" s="272" t="s">
        <v>1099</v>
      </c>
    </row>
    <row r="12157">
      <c r="B12157" s="31"/>
      <c r="G12157" s="272" t="s">
        <v>1099</v>
      </c>
    </row>
    <row r="12158">
      <c r="B12158" s="31"/>
      <c r="G12158" s="272" t="s">
        <v>1099</v>
      </c>
    </row>
    <row r="12159">
      <c r="B12159" s="31"/>
      <c r="G12159" s="272" t="s">
        <v>1099</v>
      </c>
    </row>
    <row r="12160">
      <c r="B12160" s="31"/>
      <c r="G12160" s="272" t="s">
        <v>1099</v>
      </c>
    </row>
    <row r="12161">
      <c r="B12161" s="31"/>
      <c r="G12161" s="272" t="s">
        <v>1099</v>
      </c>
    </row>
    <row r="12162">
      <c r="B12162" s="31"/>
      <c r="G12162" s="272" t="s">
        <v>1099</v>
      </c>
    </row>
    <row r="12163">
      <c r="B12163" s="31"/>
      <c r="G12163" s="272" t="s">
        <v>1099</v>
      </c>
    </row>
    <row r="12164">
      <c r="B12164" s="31"/>
      <c r="G12164" s="272" t="s">
        <v>1099</v>
      </c>
    </row>
    <row r="12165">
      <c r="B12165" s="31"/>
      <c r="G12165" s="272" t="s">
        <v>1099</v>
      </c>
    </row>
    <row r="12166">
      <c r="B12166" s="31"/>
      <c r="G12166" s="272" t="s">
        <v>1099</v>
      </c>
    </row>
    <row r="12167">
      <c r="B12167" s="31"/>
      <c r="G12167" s="272" t="s">
        <v>1099</v>
      </c>
    </row>
    <row r="12168">
      <c r="B12168" s="31"/>
      <c r="G12168" s="272" t="s">
        <v>1099</v>
      </c>
    </row>
    <row r="12169">
      <c r="B12169" s="31"/>
      <c r="G12169" s="272" t="s">
        <v>1099</v>
      </c>
    </row>
    <row r="12170">
      <c r="B12170" s="31"/>
      <c r="G12170" s="272" t="s">
        <v>1099</v>
      </c>
    </row>
    <row r="12171">
      <c r="B12171" s="31"/>
      <c r="G12171" s="272" t="s">
        <v>1099</v>
      </c>
    </row>
    <row r="12172">
      <c r="B12172" s="31"/>
      <c r="G12172" s="272" t="s">
        <v>1099</v>
      </c>
    </row>
    <row r="12173">
      <c r="B12173" s="31"/>
      <c r="G12173" s="272" t="s">
        <v>1099</v>
      </c>
    </row>
    <row r="12174">
      <c r="B12174" s="31"/>
      <c r="G12174" s="272" t="s">
        <v>1099</v>
      </c>
    </row>
    <row r="12175">
      <c r="B12175" s="31"/>
      <c r="G12175" s="272" t="s">
        <v>1099</v>
      </c>
    </row>
    <row r="12176">
      <c r="B12176" s="31"/>
      <c r="G12176" s="272" t="s">
        <v>1099</v>
      </c>
    </row>
    <row r="12177">
      <c r="B12177" s="31"/>
      <c r="G12177" s="272" t="s">
        <v>1099</v>
      </c>
    </row>
    <row r="12178">
      <c r="B12178" s="31"/>
      <c r="G12178" s="272" t="s">
        <v>1099</v>
      </c>
    </row>
    <row r="12179">
      <c r="B12179" s="31"/>
      <c r="G12179" s="272" t="s">
        <v>1099</v>
      </c>
    </row>
    <row r="12180">
      <c r="B12180" s="31"/>
      <c r="G12180" s="272" t="s">
        <v>1099</v>
      </c>
    </row>
    <row r="12181">
      <c r="B12181" s="31"/>
      <c r="G12181" s="272" t="s">
        <v>1099</v>
      </c>
    </row>
    <row r="12182">
      <c r="B12182" s="31"/>
      <c r="G12182" s="272" t="s">
        <v>1099</v>
      </c>
    </row>
    <row r="12183">
      <c r="B12183" s="31"/>
      <c r="G12183" s="272" t="s">
        <v>1099</v>
      </c>
    </row>
    <row r="12184">
      <c r="B12184" s="31"/>
      <c r="G12184" s="272" t="s">
        <v>1099</v>
      </c>
    </row>
    <row r="12185">
      <c r="B12185" s="31"/>
      <c r="G12185" s="272" t="s">
        <v>1099</v>
      </c>
    </row>
    <row r="12186">
      <c r="B12186" s="31"/>
      <c r="G12186" s="272" t="s">
        <v>1099</v>
      </c>
    </row>
    <row r="12187">
      <c r="B12187" s="31"/>
      <c r="G12187" s="272" t="s">
        <v>1099</v>
      </c>
    </row>
    <row r="12188">
      <c r="B12188" s="31"/>
      <c r="G12188" s="272" t="s">
        <v>1099</v>
      </c>
    </row>
    <row r="12189">
      <c r="B12189" s="31"/>
      <c r="G12189" s="272" t="s">
        <v>1099</v>
      </c>
    </row>
    <row r="12190">
      <c r="B12190" s="31"/>
      <c r="G12190" s="272" t="s">
        <v>1099</v>
      </c>
    </row>
    <row r="12191">
      <c r="B12191" s="31"/>
      <c r="G12191" s="272" t="s">
        <v>1099</v>
      </c>
    </row>
    <row r="12192">
      <c r="B12192" s="31"/>
      <c r="G12192" s="272" t="s">
        <v>1099</v>
      </c>
    </row>
    <row r="12193">
      <c r="B12193" s="31"/>
      <c r="G12193" s="272" t="s">
        <v>1099</v>
      </c>
    </row>
    <row r="12194">
      <c r="B12194" s="31"/>
      <c r="G12194" s="272" t="s">
        <v>1099</v>
      </c>
    </row>
    <row r="12195">
      <c r="B12195" s="31"/>
      <c r="G12195" s="272" t="s">
        <v>1099</v>
      </c>
    </row>
    <row r="12196">
      <c r="B12196" s="31"/>
      <c r="G12196" s="272" t="s">
        <v>1099</v>
      </c>
    </row>
    <row r="12197">
      <c r="B12197" s="31"/>
      <c r="G12197" s="272" t="s">
        <v>1099</v>
      </c>
    </row>
    <row r="12198">
      <c r="B12198" s="31"/>
      <c r="G12198" s="272" t="s">
        <v>1099</v>
      </c>
    </row>
    <row r="12199">
      <c r="B12199" s="31"/>
      <c r="G12199" s="272" t="s">
        <v>1099</v>
      </c>
    </row>
    <row r="12200">
      <c r="B12200" s="31"/>
      <c r="G12200" s="272" t="s">
        <v>1099</v>
      </c>
    </row>
    <row r="12201">
      <c r="B12201" s="31"/>
      <c r="G12201" s="272" t="s">
        <v>1099</v>
      </c>
    </row>
    <row r="12202">
      <c r="B12202" s="31"/>
      <c r="G12202" s="272" t="s">
        <v>1099</v>
      </c>
    </row>
    <row r="12203">
      <c r="B12203" s="31"/>
      <c r="G12203" s="272" t="s">
        <v>1099</v>
      </c>
    </row>
    <row r="12204">
      <c r="B12204" s="31"/>
      <c r="G12204" s="272" t="s">
        <v>1099</v>
      </c>
    </row>
    <row r="12205">
      <c r="B12205" s="31"/>
      <c r="G12205" s="272" t="s">
        <v>1099</v>
      </c>
    </row>
    <row r="12206">
      <c r="B12206" s="31"/>
      <c r="G12206" s="272" t="s">
        <v>1099</v>
      </c>
    </row>
    <row r="12207">
      <c r="B12207" s="31"/>
      <c r="G12207" s="272" t="s">
        <v>1099</v>
      </c>
    </row>
    <row r="12208">
      <c r="B12208" s="31"/>
      <c r="G12208" s="272" t="s">
        <v>1099</v>
      </c>
    </row>
    <row r="12209">
      <c r="B12209" s="31"/>
      <c r="G12209" s="272" t="s">
        <v>1099</v>
      </c>
    </row>
    <row r="12210">
      <c r="B12210" s="31"/>
      <c r="G12210" s="272" t="s">
        <v>1099</v>
      </c>
    </row>
    <row r="12211">
      <c r="B12211" s="31"/>
      <c r="G12211" s="272" t="s">
        <v>1099</v>
      </c>
    </row>
    <row r="12212">
      <c r="B12212" s="31"/>
      <c r="G12212" s="272" t="s">
        <v>1099</v>
      </c>
    </row>
    <row r="12213">
      <c r="B12213" s="31"/>
      <c r="G12213" s="272" t="s">
        <v>1099</v>
      </c>
    </row>
    <row r="12214">
      <c r="B12214" s="31"/>
      <c r="G12214" s="272" t="s">
        <v>1099</v>
      </c>
    </row>
    <row r="12215">
      <c r="B12215" s="31"/>
      <c r="G12215" s="272" t="s">
        <v>1099</v>
      </c>
    </row>
    <row r="12216">
      <c r="B12216" s="31"/>
      <c r="G12216" s="272" t="s">
        <v>1099</v>
      </c>
    </row>
    <row r="12217">
      <c r="B12217" s="31"/>
      <c r="G12217" s="272" t="s">
        <v>1099</v>
      </c>
    </row>
    <row r="12218">
      <c r="B12218" s="31"/>
      <c r="G12218" s="272" t="s">
        <v>1099</v>
      </c>
    </row>
    <row r="12219">
      <c r="B12219" s="31"/>
      <c r="G12219" s="272" t="s">
        <v>1099</v>
      </c>
    </row>
    <row r="12220">
      <c r="B12220" s="31"/>
      <c r="G12220" s="272" t="s">
        <v>1099</v>
      </c>
    </row>
    <row r="12221">
      <c r="B12221" s="31"/>
      <c r="G12221" s="272" t="s">
        <v>1099</v>
      </c>
    </row>
    <row r="12222">
      <c r="B12222" s="31"/>
      <c r="G12222" s="272" t="s">
        <v>1099</v>
      </c>
    </row>
    <row r="12223">
      <c r="B12223" s="31"/>
      <c r="G12223" s="272" t="s">
        <v>1099</v>
      </c>
    </row>
    <row r="12224">
      <c r="B12224" s="31"/>
      <c r="G12224" s="272" t="s">
        <v>1099</v>
      </c>
    </row>
    <row r="12225">
      <c r="B12225" s="31"/>
      <c r="G12225" s="272" t="s">
        <v>1099</v>
      </c>
    </row>
    <row r="12226">
      <c r="B12226" s="31"/>
      <c r="G12226" s="272" t="s">
        <v>1099</v>
      </c>
    </row>
    <row r="12227">
      <c r="B12227" s="31"/>
      <c r="G12227" s="272" t="s">
        <v>1099</v>
      </c>
    </row>
    <row r="12228">
      <c r="B12228" s="31"/>
      <c r="G12228" s="272" t="s">
        <v>1099</v>
      </c>
    </row>
    <row r="12229">
      <c r="B12229" s="31"/>
      <c r="G12229" s="272" t="s">
        <v>1099</v>
      </c>
    </row>
    <row r="12230">
      <c r="B12230" s="31"/>
      <c r="G12230" s="272" t="s">
        <v>1099</v>
      </c>
    </row>
    <row r="12231">
      <c r="B12231" s="31"/>
      <c r="G12231" s="272" t="s">
        <v>1099</v>
      </c>
    </row>
    <row r="12232">
      <c r="B12232" s="31"/>
      <c r="G12232" s="272" t="s">
        <v>1099</v>
      </c>
    </row>
    <row r="12233">
      <c r="B12233" s="31"/>
      <c r="G12233" s="272" t="s">
        <v>1099</v>
      </c>
    </row>
    <row r="12234">
      <c r="B12234" s="31"/>
      <c r="G12234" s="272" t="s">
        <v>1099</v>
      </c>
    </row>
    <row r="12235">
      <c r="B12235" s="31"/>
      <c r="G12235" s="272" t="s">
        <v>1099</v>
      </c>
    </row>
    <row r="12236">
      <c r="B12236" s="31"/>
      <c r="G12236" s="272" t="s">
        <v>1099</v>
      </c>
    </row>
    <row r="12237">
      <c r="B12237" s="31"/>
      <c r="G12237" s="272" t="s">
        <v>1099</v>
      </c>
    </row>
    <row r="12238">
      <c r="B12238" s="31"/>
      <c r="G12238" s="272" t="s">
        <v>1099</v>
      </c>
    </row>
    <row r="12239">
      <c r="B12239" s="31"/>
      <c r="G12239" s="272" t="s">
        <v>1099</v>
      </c>
    </row>
    <row r="12240">
      <c r="B12240" s="31"/>
      <c r="G12240" s="272" t="s">
        <v>1099</v>
      </c>
    </row>
    <row r="12241">
      <c r="B12241" s="31"/>
      <c r="G12241" s="272" t="s">
        <v>1099</v>
      </c>
    </row>
    <row r="12242">
      <c r="B12242" s="31"/>
      <c r="G12242" s="272" t="s">
        <v>1099</v>
      </c>
    </row>
    <row r="12243">
      <c r="B12243" s="31"/>
      <c r="G12243" s="272" t="s">
        <v>1099</v>
      </c>
    </row>
    <row r="12244">
      <c r="B12244" s="31"/>
      <c r="G12244" s="272" t="s">
        <v>1099</v>
      </c>
    </row>
    <row r="12245">
      <c r="B12245" s="31"/>
      <c r="G12245" s="272" t="s">
        <v>1099</v>
      </c>
    </row>
    <row r="12246">
      <c r="B12246" s="31"/>
      <c r="G12246" s="272" t="s">
        <v>1099</v>
      </c>
    </row>
    <row r="12247">
      <c r="B12247" s="31"/>
      <c r="G12247" s="272" t="s">
        <v>1099</v>
      </c>
    </row>
    <row r="12248">
      <c r="B12248" s="31"/>
      <c r="G12248" s="272" t="s">
        <v>1099</v>
      </c>
    </row>
    <row r="12249">
      <c r="B12249" s="31"/>
      <c r="G12249" s="272" t="s">
        <v>1099</v>
      </c>
    </row>
    <row r="12250">
      <c r="B12250" s="31"/>
      <c r="G12250" s="272" t="s">
        <v>1099</v>
      </c>
    </row>
    <row r="12251">
      <c r="B12251" s="31"/>
      <c r="G12251" s="272" t="s">
        <v>1099</v>
      </c>
    </row>
    <row r="12252">
      <c r="B12252" s="31"/>
      <c r="G12252" s="272" t="s">
        <v>1099</v>
      </c>
    </row>
    <row r="12253">
      <c r="B12253" s="31"/>
      <c r="G12253" s="272" t="s">
        <v>1099</v>
      </c>
    </row>
    <row r="12254">
      <c r="B12254" s="31"/>
      <c r="G12254" s="272" t="s">
        <v>1099</v>
      </c>
    </row>
    <row r="12255">
      <c r="B12255" s="31"/>
      <c r="G12255" s="272" t="s">
        <v>1099</v>
      </c>
    </row>
    <row r="12256">
      <c r="B12256" s="31"/>
      <c r="G12256" s="272" t="s">
        <v>1099</v>
      </c>
    </row>
    <row r="12257">
      <c r="B12257" s="31"/>
      <c r="G12257" s="272" t="s">
        <v>1099</v>
      </c>
    </row>
    <row r="12258">
      <c r="B12258" s="31"/>
      <c r="G12258" s="272" t="s">
        <v>1099</v>
      </c>
    </row>
    <row r="12259">
      <c r="B12259" s="31"/>
      <c r="G12259" s="272" t="s">
        <v>1099</v>
      </c>
    </row>
    <row r="12260">
      <c r="B12260" s="31"/>
      <c r="G12260" s="272" t="s">
        <v>1099</v>
      </c>
    </row>
    <row r="12261">
      <c r="B12261" s="31"/>
      <c r="G12261" s="272" t="s">
        <v>1099</v>
      </c>
    </row>
    <row r="12262">
      <c r="B12262" s="31"/>
      <c r="G12262" s="272" t="s">
        <v>1099</v>
      </c>
    </row>
    <row r="12263">
      <c r="B12263" s="31"/>
      <c r="G12263" s="272" t="s">
        <v>1099</v>
      </c>
    </row>
    <row r="12264">
      <c r="B12264" s="31"/>
      <c r="G12264" s="272" t="s">
        <v>1099</v>
      </c>
    </row>
    <row r="12265">
      <c r="B12265" s="31"/>
      <c r="G12265" s="272" t="s">
        <v>1099</v>
      </c>
    </row>
    <row r="12266">
      <c r="B12266" s="31"/>
      <c r="G12266" s="272" t="s">
        <v>1099</v>
      </c>
    </row>
    <row r="12267">
      <c r="B12267" s="31"/>
      <c r="G12267" s="272" t="s">
        <v>1099</v>
      </c>
    </row>
    <row r="12268">
      <c r="B12268" s="31"/>
      <c r="G12268" s="272" t="s">
        <v>1099</v>
      </c>
    </row>
    <row r="12269">
      <c r="B12269" s="31"/>
      <c r="G12269" s="272" t="s">
        <v>1099</v>
      </c>
    </row>
    <row r="12270">
      <c r="B12270" s="31"/>
      <c r="G12270" s="272" t="s">
        <v>1099</v>
      </c>
    </row>
    <row r="12271">
      <c r="B12271" s="31"/>
      <c r="G12271" s="272" t="s">
        <v>1099</v>
      </c>
    </row>
    <row r="12272">
      <c r="B12272" s="31"/>
      <c r="G12272" s="272" t="s">
        <v>1099</v>
      </c>
    </row>
    <row r="12273">
      <c r="B12273" s="31"/>
      <c r="G12273" s="272" t="s">
        <v>1099</v>
      </c>
    </row>
    <row r="12274">
      <c r="B12274" s="31"/>
      <c r="G12274" s="272" t="s">
        <v>1099</v>
      </c>
    </row>
    <row r="12275">
      <c r="B12275" s="31"/>
      <c r="G12275" s="272" t="s">
        <v>1099</v>
      </c>
    </row>
    <row r="12276">
      <c r="B12276" s="31"/>
      <c r="G12276" s="272" t="s">
        <v>1099</v>
      </c>
    </row>
    <row r="12277">
      <c r="B12277" s="31"/>
      <c r="G12277" s="272" t="s">
        <v>1099</v>
      </c>
    </row>
    <row r="12278">
      <c r="B12278" s="31"/>
      <c r="G12278" s="272" t="s">
        <v>1099</v>
      </c>
    </row>
    <row r="12279">
      <c r="B12279" s="31"/>
      <c r="G12279" s="272" t="s">
        <v>1099</v>
      </c>
    </row>
    <row r="12280">
      <c r="B12280" s="31"/>
      <c r="G12280" s="272" t="s">
        <v>1099</v>
      </c>
    </row>
    <row r="12281">
      <c r="B12281" s="31"/>
      <c r="G12281" s="272" t="s">
        <v>1099</v>
      </c>
    </row>
    <row r="12282">
      <c r="B12282" s="31"/>
      <c r="G12282" s="272" t="s">
        <v>1099</v>
      </c>
    </row>
    <row r="12283">
      <c r="B12283" s="31"/>
      <c r="G12283" s="272" t="s">
        <v>1099</v>
      </c>
    </row>
    <row r="12284">
      <c r="B12284" s="31"/>
      <c r="G12284" s="272" t="s">
        <v>1099</v>
      </c>
    </row>
    <row r="12285">
      <c r="B12285" s="31"/>
      <c r="G12285" s="272" t="s">
        <v>1099</v>
      </c>
    </row>
    <row r="12286">
      <c r="B12286" s="31"/>
      <c r="G12286" s="272" t="s">
        <v>1099</v>
      </c>
    </row>
    <row r="12287">
      <c r="B12287" s="31"/>
      <c r="G12287" s="272" t="s">
        <v>1099</v>
      </c>
    </row>
    <row r="12288">
      <c r="B12288" s="31"/>
      <c r="G12288" s="272" t="s">
        <v>1099</v>
      </c>
    </row>
    <row r="12289">
      <c r="B12289" s="31"/>
      <c r="G12289" s="272" t="s">
        <v>1099</v>
      </c>
    </row>
    <row r="12290">
      <c r="B12290" s="31"/>
      <c r="G12290" s="272" t="s">
        <v>1099</v>
      </c>
    </row>
    <row r="12291">
      <c r="B12291" s="31"/>
      <c r="G12291" s="272" t="s">
        <v>1099</v>
      </c>
    </row>
    <row r="12292">
      <c r="B12292" s="31"/>
      <c r="G12292" s="272" t="s">
        <v>1099</v>
      </c>
    </row>
    <row r="12293">
      <c r="B12293" s="31"/>
      <c r="G12293" s="272" t="s">
        <v>1099</v>
      </c>
    </row>
    <row r="12294">
      <c r="B12294" s="31"/>
      <c r="G12294" s="272" t="s">
        <v>1099</v>
      </c>
    </row>
    <row r="12295">
      <c r="B12295" s="31"/>
      <c r="G12295" s="272" t="s">
        <v>1099</v>
      </c>
    </row>
    <row r="12296">
      <c r="B12296" s="31"/>
      <c r="G12296" s="272" t="s">
        <v>1099</v>
      </c>
    </row>
    <row r="12297">
      <c r="B12297" s="31"/>
      <c r="G12297" s="272" t="s">
        <v>1099</v>
      </c>
    </row>
    <row r="12298">
      <c r="B12298" s="31"/>
      <c r="G12298" s="272" t="s">
        <v>1099</v>
      </c>
    </row>
    <row r="12299">
      <c r="B12299" s="31"/>
      <c r="G12299" s="272" t="s">
        <v>1099</v>
      </c>
    </row>
    <row r="12300">
      <c r="B12300" s="31"/>
      <c r="G12300" s="272" t="s">
        <v>1099</v>
      </c>
    </row>
    <row r="12301">
      <c r="B12301" s="31"/>
      <c r="G12301" s="272" t="s">
        <v>1099</v>
      </c>
    </row>
    <row r="12302">
      <c r="B12302" s="31"/>
      <c r="G12302" s="272" t="s">
        <v>1099</v>
      </c>
    </row>
    <row r="12303">
      <c r="B12303" s="31"/>
      <c r="G12303" s="272" t="s">
        <v>1099</v>
      </c>
    </row>
    <row r="12304">
      <c r="B12304" s="31"/>
      <c r="G12304" s="272" t="s">
        <v>1099</v>
      </c>
    </row>
    <row r="12305">
      <c r="B12305" s="31"/>
      <c r="G12305" s="272" t="s">
        <v>1099</v>
      </c>
    </row>
    <row r="12306">
      <c r="B12306" s="31"/>
      <c r="G12306" s="272" t="s">
        <v>1099</v>
      </c>
    </row>
    <row r="12307">
      <c r="B12307" s="31"/>
      <c r="G12307" s="272" t="s">
        <v>1099</v>
      </c>
    </row>
    <row r="12308">
      <c r="B12308" s="31"/>
      <c r="G12308" s="272" t="s">
        <v>1099</v>
      </c>
    </row>
    <row r="12309">
      <c r="B12309" s="31"/>
      <c r="G12309" s="272" t="s">
        <v>1099</v>
      </c>
    </row>
    <row r="12310">
      <c r="B12310" s="31"/>
      <c r="G12310" s="272" t="s">
        <v>1099</v>
      </c>
    </row>
    <row r="12311">
      <c r="B12311" s="31"/>
      <c r="G12311" s="272" t="s">
        <v>1099</v>
      </c>
    </row>
    <row r="12312">
      <c r="B12312" s="31"/>
      <c r="G12312" s="272" t="s">
        <v>1099</v>
      </c>
    </row>
    <row r="12313">
      <c r="B12313" s="31"/>
      <c r="G12313" s="272" t="s">
        <v>1099</v>
      </c>
    </row>
    <row r="12314">
      <c r="B12314" s="31"/>
      <c r="G12314" s="272" t="s">
        <v>1099</v>
      </c>
    </row>
    <row r="12315">
      <c r="B12315" s="31"/>
      <c r="G12315" s="272" t="s">
        <v>1099</v>
      </c>
    </row>
    <row r="12316">
      <c r="B12316" s="31"/>
      <c r="G12316" s="272" t="s">
        <v>1099</v>
      </c>
    </row>
    <row r="12317">
      <c r="B12317" s="31"/>
      <c r="G12317" s="272" t="s">
        <v>1099</v>
      </c>
    </row>
    <row r="12318">
      <c r="B12318" s="31"/>
      <c r="G12318" s="272" t="s">
        <v>1099</v>
      </c>
    </row>
    <row r="12319">
      <c r="B12319" s="31"/>
      <c r="G12319" s="272" t="s">
        <v>1099</v>
      </c>
    </row>
    <row r="12320">
      <c r="B12320" s="31"/>
      <c r="G12320" s="272" t="s">
        <v>1099</v>
      </c>
    </row>
    <row r="12321">
      <c r="B12321" s="31"/>
      <c r="G12321" s="272" t="s">
        <v>1099</v>
      </c>
    </row>
    <row r="12322">
      <c r="B12322" s="31"/>
      <c r="G12322" s="272" t="s">
        <v>1099</v>
      </c>
    </row>
    <row r="12323">
      <c r="B12323" s="31"/>
      <c r="G12323" s="272" t="s">
        <v>1099</v>
      </c>
    </row>
    <row r="12324">
      <c r="B12324" s="31"/>
      <c r="G12324" s="272" t="s">
        <v>1099</v>
      </c>
    </row>
    <row r="12325">
      <c r="B12325" s="31"/>
      <c r="G12325" s="272" t="s">
        <v>1099</v>
      </c>
    </row>
    <row r="12326">
      <c r="B12326" s="31"/>
      <c r="G12326" s="272" t="s">
        <v>1099</v>
      </c>
    </row>
    <row r="12327">
      <c r="B12327" s="31"/>
      <c r="G12327" s="272" t="s">
        <v>1099</v>
      </c>
    </row>
    <row r="12328">
      <c r="B12328" s="31"/>
      <c r="G12328" s="272" t="s">
        <v>1099</v>
      </c>
    </row>
    <row r="12329">
      <c r="B12329" s="31"/>
      <c r="G12329" s="272" t="s">
        <v>1099</v>
      </c>
    </row>
    <row r="12330">
      <c r="B12330" s="31"/>
      <c r="G12330" s="272" t="s">
        <v>1099</v>
      </c>
    </row>
    <row r="12331">
      <c r="B12331" s="31"/>
      <c r="G12331" s="272" t="s">
        <v>1099</v>
      </c>
    </row>
    <row r="12332">
      <c r="B12332" s="31"/>
      <c r="G12332" s="272" t="s">
        <v>1099</v>
      </c>
    </row>
    <row r="12333">
      <c r="B12333" s="31"/>
      <c r="G12333" s="272" t="s">
        <v>1099</v>
      </c>
    </row>
    <row r="12334">
      <c r="B12334" s="31"/>
      <c r="G12334" s="272" t="s">
        <v>1099</v>
      </c>
    </row>
    <row r="12335">
      <c r="B12335" s="31"/>
      <c r="G12335" s="272" t="s">
        <v>1099</v>
      </c>
    </row>
    <row r="12336">
      <c r="B12336" s="31"/>
      <c r="G12336" s="272" t="s">
        <v>1099</v>
      </c>
    </row>
    <row r="12337">
      <c r="B12337" s="31"/>
      <c r="G12337" s="272" t="s">
        <v>1099</v>
      </c>
    </row>
    <row r="12338">
      <c r="B12338" s="31"/>
      <c r="G12338" s="272" t="s">
        <v>1099</v>
      </c>
    </row>
    <row r="12339">
      <c r="B12339" s="31"/>
      <c r="G12339" s="272" t="s">
        <v>1099</v>
      </c>
    </row>
    <row r="12340">
      <c r="B12340" s="31"/>
      <c r="G12340" s="272" t="s">
        <v>1099</v>
      </c>
    </row>
    <row r="12341">
      <c r="B12341" s="31"/>
      <c r="G12341" s="272" t="s">
        <v>1099</v>
      </c>
    </row>
    <row r="12342">
      <c r="B12342" s="31"/>
      <c r="G12342" s="272" t="s">
        <v>1099</v>
      </c>
    </row>
    <row r="12343">
      <c r="B12343" s="31"/>
      <c r="G12343" s="272" t="s">
        <v>1099</v>
      </c>
    </row>
    <row r="12344">
      <c r="B12344" s="31"/>
      <c r="G12344" s="272" t="s">
        <v>1099</v>
      </c>
    </row>
    <row r="12345">
      <c r="B12345" s="31"/>
      <c r="G12345" s="272" t="s">
        <v>1099</v>
      </c>
    </row>
    <row r="12346">
      <c r="B12346" s="31"/>
      <c r="G12346" s="272" t="s">
        <v>1099</v>
      </c>
    </row>
    <row r="12347">
      <c r="B12347" s="31"/>
      <c r="G12347" s="272" t="s">
        <v>1099</v>
      </c>
    </row>
    <row r="12348">
      <c r="B12348" s="31"/>
      <c r="G12348" s="272" t="s">
        <v>1099</v>
      </c>
    </row>
    <row r="12349">
      <c r="B12349" s="31"/>
      <c r="G12349" s="272" t="s">
        <v>1099</v>
      </c>
    </row>
    <row r="12350">
      <c r="B12350" s="31"/>
      <c r="G12350" s="272" t="s">
        <v>1099</v>
      </c>
    </row>
    <row r="12351">
      <c r="B12351" s="31"/>
      <c r="G12351" s="272" t="s">
        <v>1099</v>
      </c>
    </row>
    <row r="12352">
      <c r="B12352" s="31"/>
      <c r="G12352" s="272" t="s">
        <v>1099</v>
      </c>
    </row>
    <row r="12353">
      <c r="B12353" s="31"/>
      <c r="G12353" s="272" t="s">
        <v>1099</v>
      </c>
    </row>
    <row r="12354">
      <c r="B12354" s="31"/>
      <c r="G12354" s="272" t="s">
        <v>1099</v>
      </c>
    </row>
    <row r="12355">
      <c r="B12355" s="31"/>
      <c r="G12355" s="272" t="s">
        <v>1099</v>
      </c>
    </row>
    <row r="12356">
      <c r="B12356" s="31"/>
      <c r="G12356" s="272" t="s">
        <v>1099</v>
      </c>
    </row>
    <row r="12357">
      <c r="B12357" s="31"/>
      <c r="G12357" s="272" t="s">
        <v>1099</v>
      </c>
    </row>
    <row r="12358">
      <c r="B12358" s="31"/>
      <c r="G12358" s="272" t="s">
        <v>1099</v>
      </c>
    </row>
    <row r="12359">
      <c r="B12359" s="31"/>
      <c r="G12359" s="272" t="s">
        <v>1099</v>
      </c>
    </row>
    <row r="12360">
      <c r="B12360" s="31"/>
      <c r="G12360" s="272" t="s">
        <v>1099</v>
      </c>
    </row>
    <row r="12361">
      <c r="B12361" s="31"/>
      <c r="G12361" s="272" t="s">
        <v>1099</v>
      </c>
    </row>
    <row r="12362">
      <c r="B12362" s="31"/>
      <c r="G12362" s="272" t="s">
        <v>1099</v>
      </c>
    </row>
    <row r="12363">
      <c r="B12363" s="31"/>
      <c r="G12363" s="272" t="s">
        <v>1099</v>
      </c>
    </row>
    <row r="12364">
      <c r="B12364" s="31"/>
      <c r="G12364" s="272" t="s">
        <v>1099</v>
      </c>
    </row>
    <row r="12365">
      <c r="B12365" s="31"/>
      <c r="G12365" s="272" t="s">
        <v>1099</v>
      </c>
    </row>
    <row r="12366">
      <c r="B12366" s="31"/>
      <c r="G12366" s="272" t="s">
        <v>1099</v>
      </c>
    </row>
    <row r="12367">
      <c r="B12367" s="31"/>
      <c r="G12367" s="272" t="s">
        <v>1099</v>
      </c>
    </row>
    <row r="12368">
      <c r="B12368" s="31"/>
      <c r="G12368" s="272" t="s">
        <v>1099</v>
      </c>
    </row>
    <row r="12369">
      <c r="B12369" s="31"/>
      <c r="G12369" s="272" t="s">
        <v>1099</v>
      </c>
    </row>
    <row r="12370">
      <c r="B12370" s="31"/>
      <c r="G12370" s="272" t="s">
        <v>1099</v>
      </c>
    </row>
    <row r="12371">
      <c r="B12371" s="31"/>
      <c r="G12371" s="272" t="s">
        <v>1099</v>
      </c>
    </row>
    <row r="12372">
      <c r="B12372" s="31"/>
      <c r="G12372" s="272" t="s">
        <v>1099</v>
      </c>
    </row>
    <row r="12373">
      <c r="B12373" s="31"/>
      <c r="G12373" s="272" t="s">
        <v>1099</v>
      </c>
    </row>
    <row r="12374">
      <c r="B12374" s="31"/>
      <c r="G12374" s="272" t="s">
        <v>1099</v>
      </c>
    </row>
    <row r="12375">
      <c r="B12375" s="31"/>
      <c r="G12375" s="272" t="s">
        <v>1099</v>
      </c>
    </row>
    <row r="12376">
      <c r="B12376" s="31"/>
      <c r="G12376" s="272" t="s">
        <v>1099</v>
      </c>
    </row>
    <row r="12377">
      <c r="B12377" s="31"/>
      <c r="G12377" s="272" t="s">
        <v>1099</v>
      </c>
    </row>
    <row r="12378">
      <c r="B12378" s="31"/>
      <c r="G12378" s="272" t="s">
        <v>1099</v>
      </c>
    </row>
    <row r="12379">
      <c r="B12379" s="31"/>
      <c r="G12379" s="272" t="s">
        <v>1099</v>
      </c>
    </row>
    <row r="12380">
      <c r="B12380" s="31"/>
      <c r="G12380" s="272" t="s">
        <v>1099</v>
      </c>
    </row>
    <row r="12381">
      <c r="B12381" s="31"/>
      <c r="G12381" s="272" t="s">
        <v>1099</v>
      </c>
    </row>
    <row r="12382">
      <c r="B12382" s="31"/>
      <c r="G12382" s="272" t="s">
        <v>1099</v>
      </c>
    </row>
    <row r="12383">
      <c r="B12383" s="31"/>
      <c r="G12383" s="272" t="s">
        <v>1099</v>
      </c>
    </row>
    <row r="12384">
      <c r="B12384" s="31"/>
      <c r="G12384" s="272" t="s">
        <v>1099</v>
      </c>
    </row>
    <row r="12385">
      <c r="B12385" s="31"/>
      <c r="G12385" s="272" t="s">
        <v>1099</v>
      </c>
    </row>
    <row r="12386">
      <c r="B12386" s="31"/>
      <c r="G12386" s="272" t="s">
        <v>1099</v>
      </c>
    </row>
    <row r="12387">
      <c r="B12387" s="31"/>
      <c r="G12387" s="272" t="s">
        <v>1099</v>
      </c>
    </row>
    <row r="12388">
      <c r="B12388" s="31"/>
      <c r="G12388" s="272" t="s">
        <v>1099</v>
      </c>
    </row>
    <row r="12389">
      <c r="B12389" s="31"/>
      <c r="G12389" s="272" t="s">
        <v>1099</v>
      </c>
    </row>
    <row r="12390">
      <c r="B12390" s="31"/>
      <c r="G12390" s="272" t="s">
        <v>1099</v>
      </c>
    </row>
    <row r="12391">
      <c r="B12391" s="31"/>
      <c r="G12391" s="272" t="s">
        <v>1099</v>
      </c>
    </row>
    <row r="12392">
      <c r="B12392" s="31"/>
      <c r="G12392" s="272" t="s">
        <v>1099</v>
      </c>
    </row>
    <row r="12393">
      <c r="B12393" s="31"/>
      <c r="G12393" s="272" t="s">
        <v>1099</v>
      </c>
    </row>
    <row r="12394">
      <c r="B12394" s="31"/>
      <c r="G12394" s="272" t="s">
        <v>1099</v>
      </c>
    </row>
    <row r="12395">
      <c r="B12395" s="31"/>
      <c r="G12395" s="272" t="s">
        <v>1099</v>
      </c>
    </row>
    <row r="12396">
      <c r="B12396" s="31"/>
      <c r="G12396" s="272" t="s">
        <v>1099</v>
      </c>
    </row>
    <row r="12397">
      <c r="B12397" s="31"/>
      <c r="G12397" s="272" t="s">
        <v>1099</v>
      </c>
    </row>
    <row r="12398">
      <c r="B12398" s="31"/>
      <c r="G12398" s="272" t="s">
        <v>1099</v>
      </c>
    </row>
    <row r="12399">
      <c r="B12399" s="31"/>
      <c r="G12399" s="272" t="s">
        <v>1099</v>
      </c>
    </row>
    <row r="12400">
      <c r="B12400" s="31"/>
      <c r="G12400" s="272" t="s">
        <v>1099</v>
      </c>
    </row>
    <row r="12401">
      <c r="B12401" s="31"/>
      <c r="G12401" s="272" t="s">
        <v>1099</v>
      </c>
    </row>
    <row r="12402">
      <c r="B12402" s="31"/>
      <c r="G12402" s="272" t="s">
        <v>1099</v>
      </c>
    </row>
    <row r="12403">
      <c r="B12403" s="31"/>
      <c r="G12403" s="272" t="s">
        <v>1099</v>
      </c>
    </row>
    <row r="12404">
      <c r="B12404" s="31"/>
      <c r="G12404" s="272" t="s">
        <v>1099</v>
      </c>
    </row>
    <row r="12405">
      <c r="B12405" s="31"/>
      <c r="G12405" s="272" t="s">
        <v>1099</v>
      </c>
    </row>
    <row r="12406">
      <c r="B12406" s="31"/>
      <c r="G12406" s="272" t="s">
        <v>1099</v>
      </c>
    </row>
    <row r="12407">
      <c r="B12407" s="31"/>
      <c r="G12407" s="272" t="s">
        <v>1099</v>
      </c>
    </row>
    <row r="12408">
      <c r="B12408" s="31"/>
      <c r="G12408" s="272" t="s">
        <v>1099</v>
      </c>
    </row>
    <row r="12409">
      <c r="B12409" s="31"/>
      <c r="G12409" s="272" t="s">
        <v>1099</v>
      </c>
    </row>
    <row r="12410">
      <c r="B12410" s="31"/>
      <c r="G12410" s="272" t="s">
        <v>1099</v>
      </c>
    </row>
    <row r="12411">
      <c r="B12411" s="31"/>
      <c r="G12411" s="272" t="s">
        <v>1099</v>
      </c>
    </row>
    <row r="12412">
      <c r="B12412" s="31"/>
      <c r="G12412" s="272" t="s">
        <v>1099</v>
      </c>
    </row>
    <row r="12413">
      <c r="B12413" s="31"/>
      <c r="G12413" s="272" t="s">
        <v>1099</v>
      </c>
    </row>
    <row r="12414">
      <c r="B12414" s="31"/>
      <c r="G12414" s="272" t="s">
        <v>1099</v>
      </c>
    </row>
    <row r="12415">
      <c r="B12415" s="31"/>
      <c r="G12415" s="272" t="s">
        <v>1099</v>
      </c>
    </row>
    <row r="12416">
      <c r="B12416" s="31"/>
      <c r="G12416" s="272" t="s">
        <v>1099</v>
      </c>
    </row>
    <row r="12417">
      <c r="B12417" s="31"/>
      <c r="G12417" s="272" t="s">
        <v>1099</v>
      </c>
    </row>
    <row r="12418">
      <c r="B12418" s="31"/>
      <c r="G12418" s="272" t="s">
        <v>1099</v>
      </c>
    </row>
    <row r="12419">
      <c r="B12419" s="31"/>
      <c r="G12419" s="272" t="s">
        <v>1099</v>
      </c>
    </row>
    <row r="12420">
      <c r="B12420" s="31"/>
      <c r="G12420" s="272" t="s">
        <v>1099</v>
      </c>
    </row>
    <row r="12421">
      <c r="B12421" s="31"/>
      <c r="G12421" s="272" t="s">
        <v>1099</v>
      </c>
    </row>
    <row r="12422">
      <c r="B12422" s="31"/>
      <c r="G12422" s="272" t="s">
        <v>1099</v>
      </c>
    </row>
    <row r="12423">
      <c r="B12423" s="31"/>
      <c r="G12423" s="272" t="s">
        <v>1099</v>
      </c>
    </row>
    <row r="12424">
      <c r="B12424" s="31"/>
      <c r="G12424" s="272" t="s">
        <v>1099</v>
      </c>
    </row>
    <row r="12425">
      <c r="B12425" s="31"/>
      <c r="G12425" s="272" t="s">
        <v>1099</v>
      </c>
    </row>
    <row r="12426">
      <c r="B12426" s="31"/>
      <c r="G12426" s="272" t="s">
        <v>1099</v>
      </c>
    </row>
    <row r="12427">
      <c r="B12427" s="31"/>
      <c r="G12427" s="272" t="s">
        <v>1099</v>
      </c>
    </row>
    <row r="12428">
      <c r="B12428" s="31"/>
      <c r="G12428" s="272" t="s">
        <v>1099</v>
      </c>
    </row>
    <row r="12429">
      <c r="B12429" s="31"/>
      <c r="G12429" s="272" t="s">
        <v>1099</v>
      </c>
    </row>
    <row r="12430">
      <c r="B12430" s="31"/>
      <c r="G12430" s="272" t="s">
        <v>1099</v>
      </c>
    </row>
    <row r="12431">
      <c r="B12431" s="31"/>
      <c r="G12431" s="272" t="s">
        <v>1099</v>
      </c>
    </row>
    <row r="12432">
      <c r="B12432" s="31"/>
      <c r="G12432" s="272" t="s">
        <v>1099</v>
      </c>
    </row>
    <row r="12433">
      <c r="B12433" s="31"/>
      <c r="G12433" s="272" t="s">
        <v>1099</v>
      </c>
    </row>
    <row r="12434">
      <c r="B12434" s="31"/>
      <c r="G12434" s="272" t="s">
        <v>1099</v>
      </c>
    </row>
    <row r="12435">
      <c r="B12435" s="31"/>
      <c r="G12435" s="272" t="s">
        <v>1099</v>
      </c>
    </row>
    <row r="12436">
      <c r="B12436" s="31"/>
      <c r="G12436" s="272" t="s">
        <v>1099</v>
      </c>
    </row>
    <row r="12437">
      <c r="B12437" s="31"/>
      <c r="G12437" s="272" t="s">
        <v>1099</v>
      </c>
    </row>
    <row r="12438">
      <c r="B12438" s="31"/>
      <c r="G12438" s="272" t="s">
        <v>1099</v>
      </c>
    </row>
    <row r="12439">
      <c r="B12439" s="31"/>
      <c r="G12439" s="272" t="s">
        <v>1099</v>
      </c>
    </row>
    <row r="12440">
      <c r="B12440" s="31"/>
      <c r="G12440" s="272" t="s">
        <v>1099</v>
      </c>
    </row>
    <row r="12441">
      <c r="B12441" s="31"/>
      <c r="G12441" s="272" t="s">
        <v>1099</v>
      </c>
    </row>
    <row r="12442">
      <c r="B12442" s="31"/>
      <c r="G12442" s="272" t="s">
        <v>1099</v>
      </c>
    </row>
    <row r="12443">
      <c r="B12443" s="31"/>
      <c r="G12443" s="272" t="s">
        <v>1099</v>
      </c>
    </row>
    <row r="12444">
      <c r="B12444" s="31"/>
      <c r="G12444" s="272" t="s">
        <v>1099</v>
      </c>
    </row>
    <row r="12445">
      <c r="B12445" s="31"/>
      <c r="G12445" s="272" t="s">
        <v>1099</v>
      </c>
    </row>
    <row r="12446">
      <c r="B12446" s="31"/>
      <c r="G12446" s="272" t="s">
        <v>1099</v>
      </c>
    </row>
    <row r="12447">
      <c r="B12447" s="31"/>
      <c r="G12447" s="272" t="s">
        <v>1099</v>
      </c>
    </row>
    <row r="12448">
      <c r="B12448" s="31"/>
      <c r="G12448" s="272" t="s">
        <v>1099</v>
      </c>
    </row>
    <row r="12449">
      <c r="B12449" s="31"/>
      <c r="G12449" s="272" t="s">
        <v>1099</v>
      </c>
    </row>
    <row r="12450">
      <c r="B12450" s="31"/>
      <c r="G12450" s="272" t="s">
        <v>1099</v>
      </c>
    </row>
    <row r="12451">
      <c r="B12451" s="31"/>
      <c r="G12451" s="272" t="s">
        <v>1099</v>
      </c>
    </row>
    <row r="12452">
      <c r="B12452" s="31"/>
      <c r="G12452" s="272" t="s">
        <v>1099</v>
      </c>
    </row>
    <row r="12453">
      <c r="B12453" s="31"/>
      <c r="G12453" s="272" t="s">
        <v>1099</v>
      </c>
    </row>
    <row r="12454">
      <c r="B12454" s="31"/>
      <c r="G12454" s="272" t="s">
        <v>1099</v>
      </c>
    </row>
    <row r="12455">
      <c r="B12455" s="31"/>
      <c r="G12455" s="272" t="s">
        <v>1099</v>
      </c>
    </row>
    <row r="12456">
      <c r="B12456" s="31"/>
      <c r="G12456" s="272" t="s">
        <v>1099</v>
      </c>
    </row>
    <row r="12457">
      <c r="B12457" s="31"/>
      <c r="G12457" s="272" t="s">
        <v>1099</v>
      </c>
    </row>
    <row r="12458">
      <c r="B12458" s="31"/>
      <c r="G12458" s="272" t="s">
        <v>1099</v>
      </c>
    </row>
    <row r="12459">
      <c r="B12459" s="31"/>
      <c r="G12459" s="272" t="s">
        <v>1099</v>
      </c>
    </row>
    <row r="12460">
      <c r="B12460" s="31"/>
      <c r="G12460" s="272" t="s">
        <v>1099</v>
      </c>
    </row>
    <row r="12461">
      <c r="B12461" s="31"/>
      <c r="G12461" s="272" t="s">
        <v>1099</v>
      </c>
    </row>
    <row r="12462">
      <c r="B12462" s="31"/>
      <c r="G12462" s="272" t="s">
        <v>1099</v>
      </c>
    </row>
    <row r="12463">
      <c r="B12463" s="31"/>
      <c r="G12463" s="272" t="s">
        <v>1099</v>
      </c>
    </row>
    <row r="12464">
      <c r="B12464" s="31"/>
      <c r="G12464" s="272" t="s">
        <v>1099</v>
      </c>
    </row>
    <row r="12465">
      <c r="B12465" s="31"/>
      <c r="G12465" s="272" t="s">
        <v>1099</v>
      </c>
    </row>
    <row r="12466">
      <c r="B12466" s="31"/>
      <c r="G12466" s="272" t="s">
        <v>1099</v>
      </c>
    </row>
    <row r="12467">
      <c r="B12467" s="31"/>
      <c r="G12467" s="272" t="s">
        <v>1099</v>
      </c>
    </row>
    <row r="12468">
      <c r="B12468" s="31"/>
      <c r="G12468" s="272" t="s">
        <v>1099</v>
      </c>
    </row>
    <row r="12469">
      <c r="B12469" s="31"/>
      <c r="G12469" s="272" t="s">
        <v>1099</v>
      </c>
    </row>
    <row r="12470">
      <c r="B12470" s="31"/>
      <c r="G12470" s="272" t="s">
        <v>1099</v>
      </c>
    </row>
    <row r="12471">
      <c r="B12471" s="31"/>
      <c r="G12471" s="272" t="s">
        <v>1099</v>
      </c>
    </row>
    <row r="12472">
      <c r="B12472" s="31"/>
      <c r="G12472" s="272" t="s">
        <v>1099</v>
      </c>
    </row>
    <row r="12473">
      <c r="B12473" s="31"/>
      <c r="G12473" s="272" t="s">
        <v>1099</v>
      </c>
    </row>
    <row r="12474">
      <c r="B12474" s="31"/>
      <c r="G12474" s="272" t="s">
        <v>1099</v>
      </c>
    </row>
    <row r="12475">
      <c r="B12475" s="31"/>
      <c r="G12475" s="272" t="s">
        <v>1099</v>
      </c>
    </row>
    <row r="12476">
      <c r="B12476" s="31"/>
      <c r="G12476" s="272" t="s">
        <v>1099</v>
      </c>
    </row>
    <row r="12477">
      <c r="B12477" s="31"/>
      <c r="G12477" s="272" t="s">
        <v>1099</v>
      </c>
    </row>
    <row r="12478">
      <c r="B12478" s="31"/>
      <c r="G12478" s="272" t="s">
        <v>1099</v>
      </c>
    </row>
    <row r="12479">
      <c r="B12479" s="31"/>
      <c r="G12479" s="272" t="s">
        <v>1099</v>
      </c>
    </row>
    <row r="12480">
      <c r="B12480" s="31"/>
      <c r="G12480" s="272" t="s">
        <v>1099</v>
      </c>
    </row>
    <row r="12481">
      <c r="B12481" s="31"/>
      <c r="G12481" s="272" t="s">
        <v>1099</v>
      </c>
    </row>
    <row r="12482">
      <c r="B12482" s="31"/>
      <c r="G12482" s="272" t="s">
        <v>1099</v>
      </c>
    </row>
    <row r="12483">
      <c r="B12483" s="31"/>
      <c r="G12483" s="272" t="s">
        <v>1099</v>
      </c>
    </row>
    <row r="12484">
      <c r="B12484" s="31"/>
      <c r="G12484" s="272" t="s">
        <v>1099</v>
      </c>
    </row>
    <row r="12485">
      <c r="B12485" s="31"/>
      <c r="G12485" s="272" t="s">
        <v>1099</v>
      </c>
    </row>
    <row r="12486">
      <c r="B12486" s="31"/>
      <c r="G12486" s="272" t="s">
        <v>1099</v>
      </c>
    </row>
    <row r="12487">
      <c r="B12487" s="31"/>
      <c r="G12487" s="272" t="s">
        <v>1099</v>
      </c>
    </row>
    <row r="12488">
      <c r="B12488" s="31"/>
      <c r="G12488" s="272" t="s">
        <v>1099</v>
      </c>
    </row>
    <row r="12489">
      <c r="B12489" s="31"/>
      <c r="G12489" s="272" t="s">
        <v>1099</v>
      </c>
    </row>
    <row r="12490">
      <c r="B12490" s="31"/>
      <c r="G12490" s="272" t="s">
        <v>1099</v>
      </c>
    </row>
    <row r="12491">
      <c r="B12491" s="31"/>
      <c r="G12491" s="272" t="s">
        <v>1099</v>
      </c>
    </row>
    <row r="12492">
      <c r="B12492" s="31"/>
      <c r="G12492" s="272" t="s">
        <v>1099</v>
      </c>
    </row>
    <row r="12493">
      <c r="B12493" s="31"/>
      <c r="G12493" s="272" t="s">
        <v>1099</v>
      </c>
    </row>
    <row r="12494">
      <c r="B12494" s="31"/>
      <c r="G12494" s="272" t="s">
        <v>1099</v>
      </c>
    </row>
    <row r="12495">
      <c r="B12495" s="31"/>
      <c r="G12495" s="272" t="s">
        <v>1099</v>
      </c>
    </row>
    <row r="12496">
      <c r="B12496" s="31"/>
      <c r="G12496" s="272" t="s">
        <v>1099</v>
      </c>
    </row>
    <row r="12497">
      <c r="B12497" s="31"/>
      <c r="G12497" s="272" t="s">
        <v>1099</v>
      </c>
    </row>
    <row r="12498">
      <c r="B12498" s="31"/>
      <c r="G12498" s="272" t="s">
        <v>1099</v>
      </c>
    </row>
    <row r="12499">
      <c r="B12499" s="31"/>
      <c r="G12499" s="272" t="s">
        <v>1099</v>
      </c>
    </row>
    <row r="12500">
      <c r="B12500" s="31"/>
      <c r="G12500" s="272" t="s">
        <v>1099</v>
      </c>
    </row>
    <row r="12501">
      <c r="B12501" s="31"/>
      <c r="G12501" s="272" t="s">
        <v>1099</v>
      </c>
    </row>
    <row r="12502">
      <c r="B12502" s="31"/>
      <c r="G12502" s="272" t="s">
        <v>1099</v>
      </c>
    </row>
    <row r="12503">
      <c r="B12503" s="31"/>
      <c r="G12503" s="272" t="s">
        <v>1099</v>
      </c>
    </row>
    <row r="12504">
      <c r="B12504" s="31"/>
      <c r="G12504" s="272" t="s">
        <v>1099</v>
      </c>
    </row>
    <row r="12505">
      <c r="B12505" s="31"/>
      <c r="G12505" s="272" t="s">
        <v>1099</v>
      </c>
    </row>
    <row r="12506">
      <c r="B12506" s="31"/>
      <c r="G12506" s="272" t="s">
        <v>1099</v>
      </c>
    </row>
    <row r="12507">
      <c r="B12507" s="31"/>
      <c r="G12507" s="272" t="s">
        <v>1099</v>
      </c>
    </row>
    <row r="12508">
      <c r="B12508" s="31"/>
      <c r="G12508" s="272" t="s">
        <v>1099</v>
      </c>
    </row>
    <row r="12509">
      <c r="B12509" s="31"/>
      <c r="G12509" s="272" t="s">
        <v>1099</v>
      </c>
    </row>
    <row r="12510">
      <c r="B12510" s="31"/>
      <c r="G12510" s="272" t="s">
        <v>1099</v>
      </c>
    </row>
    <row r="12511">
      <c r="B12511" s="31"/>
      <c r="G12511" s="272" t="s">
        <v>1099</v>
      </c>
    </row>
    <row r="12512">
      <c r="B12512" s="31"/>
      <c r="G12512" s="272" t="s">
        <v>1099</v>
      </c>
    </row>
    <row r="12513">
      <c r="B12513" s="31"/>
      <c r="G12513" s="272" t="s">
        <v>1099</v>
      </c>
    </row>
    <row r="12514">
      <c r="B12514" s="31"/>
      <c r="G12514" s="272" t="s">
        <v>1099</v>
      </c>
    </row>
    <row r="12515">
      <c r="B12515" s="31"/>
      <c r="G12515" s="272" t="s">
        <v>1099</v>
      </c>
    </row>
    <row r="12516">
      <c r="B12516" s="31"/>
      <c r="G12516" s="272" t="s">
        <v>1099</v>
      </c>
    </row>
    <row r="12517">
      <c r="B12517" s="31"/>
      <c r="G12517" s="272" t="s">
        <v>1099</v>
      </c>
    </row>
    <row r="12518">
      <c r="B12518" s="31"/>
      <c r="G12518" s="272" t="s">
        <v>1099</v>
      </c>
    </row>
    <row r="12519">
      <c r="B12519" s="31"/>
      <c r="G12519" s="272" t="s">
        <v>1099</v>
      </c>
    </row>
    <row r="12520">
      <c r="B12520" s="31"/>
      <c r="G12520" s="272" t="s">
        <v>1099</v>
      </c>
    </row>
    <row r="12521">
      <c r="B12521" s="31"/>
      <c r="G12521" s="272" t="s">
        <v>1099</v>
      </c>
    </row>
    <row r="12522">
      <c r="B12522" s="31"/>
      <c r="G12522" s="272" t="s">
        <v>1099</v>
      </c>
    </row>
    <row r="12523">
      <c r="B12523" s="31"/>
      <c r="G12523" s="272" t="s">
        <v>1099</v>
      </c>
    </row>
    <row r="12524">
      <c r="B12524" s="31"/>
      <c r="G12524" s="272" t="s">
        <v>1099</v>
      </c>
    </row>
    <row r="12525">
      <c r="B12525" s="31"/>
      <c r="G12525" s="272" t="s">
        <v>1099</v>
      </c>
    </row>
    <row r="12526">
      <c r="B12526" s="31"/>
      <c r="G12526" s="272" t="s">
        <v>1099</v>
      </c>
    </row>
    <row r="12527">
      <c r="B12527" s="31"/>
      <c r="G12527" s="272" t="s">
        <v>1099</v>
      </c>
    </row>
    <row r="12528">
      <c r="B12528" s="31"/>
      <c r="G12528" s="272" t="s">
        <v>1099</v>
      </c>
    </row>
    <row r="12529">
      <c r="B12529" s="31"/>
      <c r="G12529" s="272" t="s">
        <v>1099</v>
      </c>
    </row>
    <row r="12530">
      <c r="B12530" s="31"/>
      <c r="G12530" s="272" t="s">
        <v>1099</v>
      </c>
    </row>
    <row r="12531">
      <c r="B12531" s="31"/>
      <c r="G12531" s="272" t="s">
        <v>1099</v>
      </c>
    </row>
    <row r="12532">
      <c r="B12532" s="31"/>
      <c r="G12532" s="272" t="s">
        <v>1099</v>
      </c>
    </row>
    <row r="12533">
      <c r="B12533" s="31"/>
      <c r="G12533" s="272" t="s">
        <v>1099</v>
      </c>
    </row>
    <row r="12534">
      <c r="B12534" s="31"/>
      <c r="G12534" s="272" t="s">
        <v>1099</v>
      </c>
    </row>
    <row r="12535">
      <c r="B12535" s="31"/>
      <c r="G12535" s="272" t="s">
        <v>1099</v>
      </c>
    </row>
    <row r="12536">
      <c r="B12536" s="31"/>
      <c r="G12536" s="272" t="s">
        <v>1099</v>
      </c>
    </row>
    <row r="12537">
      <c r="B12537" s="31"/>
      <c r="G12537" s="272" t="s">
        <v>1099</v>
      </c>
    </row>
    <row r="12538">
      <c r="B12538" s="31"/>
      <c r="G12538" s="272" t="s">
        <v>1099</v>
      </c>
    </row>
    <row r="12539">
      <c r="B12539" s="31"/>
      <c r="G12539" s="272" t="s">
        <v>1099</v>
      </c>
    </row>
    <row r="12540">
      <c r="B12540" s="31"/>
      <c r="G12540" s="272" t="s">
        <v>1099</v>
      </c>
    </row>
    <row r="12541">
      <c r="B12541" s="31"/>
      <c r="G12541" s="272" t="s">
        <v>1099</v>
      </c>
    </row>
    <row r="12542">
      <c r="B12542" s="31"/>
      <c r="G12542" s="272" t="s">
        <v>1099</v>
      </c>
    </row>
    <row r="12543">
      <c r="B12543" s="31"/>
      <c r="G12543" s="272" t="s">
        <v>1099</v>
      </c>
    </row>
    <row r="12544">
      <c r="B12544" s="31"/>
      <c r="G12544" s="272" t="s">
        <v>1099</v>
      </c>
    </row>
    <row r="12545">
      <c r="B12545" s="31"/>
      <c r="G12545" s="272" t="s">
        <v>1099</v>
      </c>
    </row>
    <row r="12546">
      <c r="B12546" s="31"/>
      <c r="G12546" s="272" t="s">
        <v>1099</v>
      </c>
    </row>
    <row r="12547">
      <c r="B12547" s="31"/>
      <c r="G12547" s="272" t="s">
        <v>1099</v>
      </c>
    </row>
    <row r="12548">
      <c r="B12548" s="31"/>
      <c r="G12548" s="272" t="s">
        <v>1099</v>
      </c>
    </row>
    <row r="12549">
      <c r="B12549" s="31"/>
      <c r="G12549" s="272" t="s">
        <v>1099</v>
      </c>
    </row>
    <row r="12550">
      <c r="B12550" s="31"/>
      <c r="G12550" s="272" t="s">
        <v>1099</v>
      </c>
    </row>
    <row r="12551">
      <c r="B12551" s="31"/>
      <c r="G12551" s="272" t="s">
        <v>1099</v>
      </c>
    </row>
    <row r="12552">
      <c r="B12552" s="31"/>
      <c r="G12552" s="272" t="s">
        <v>1099</v>
      </c>
    </row>
    <row r="12553">
      <c r="B12553" s="31"/>
      <c r="G12553" s="272" t="s">
        <v>1099</v>
      </c>
    </row>
    <row r="12554">
      <c r="B12554" s="31"/>
      <c r="G12554" s="272" t="s">
        <v>1099</v>
      </c>
    </row>
    <row r="12555">
      <c r="B12555" s="31"/>
      <c r="G12555" s="272" t="s">
        <v>1099</v>
      </c>
    </row>
    <row r="12556">
      <c r="B12556" s="31"/>
      <c r="G12556" s="272" t="s">
        <v>1099</v>
      </c>
    </row>
    <row r="12557">
      <c r="B12557" s="31"/>
      <c r="G12557" s="272" t="s">
        <v>1099</v>
      </c>
    </row>
    <row r="12558">
      <c r="B12558" s="31"/>
      <c r="G12558" s="272" t="s">
        <v>1099</v>
      </c>
    </row>
    <row r="12559">
      <c r="B12559" s="31"/>
      <c r="G12559" s="272" t="s">
        <v>1099</v>
      </c>
    </row>
    <row r="12560">
      <c r="B12560" s="31"/>
      <c r="G12560" s="272" t="s">
        <v>1099</v>
      </c>
    </row>
    <row r="12561">
      <c r="B12561" s="31"/>
      <c r="G12561" s="272" t="s">
        <v>1099</v>
      </c>
    </row>
    <row r="12562">
      <c r="B12562" s="31"/>
      <c r="G12562" s="272" t="s">
        <v>1099</v>
      </c>
    </row>
    <row r="12563">
      <c r="B12563" s="31"/>
      <c r="G12563" s="272" t="s">
        <v>1099</v>
      </c>
    </row>
    <row r="12564">
      <c r="B12564" s="31"/>
      <c r="G12564" s="272" t="s">
        <v>1099</v>
      </c>
    </row>
    <row r="12565">
      <c r="B12565" s="31"/>
      <c r="G12565" s="272" t="s">
        <v>1099</v>
      </c>
    </row>
    <row r="12566">
      <c r="B12566" s="31"/>
      <c r="G12566" s="272" t="s">
        <v>1099</v>
      </c>
    </row>
    <row r="12567">
      <c r="B12567" s="31"/>
      <c r="G12567" s="272" t="s">
        <v>1099</v>
      </c>
    </row>
    <row r="12568">
      <c r="B12568" s="31"/>
      <c r="G12568" s="272" t="s">
        <v>1099</v>
      </c>
    </row>
    <row r="12569">
      <c r="B12569" s="31"/>
      <c r="G12569" s="272" t="s">
        <v>1099</v>
      </c>
    </row>
    <row r="12570">
      <c r="B12570" s="31"/>
      <c r="G12570" s="272" t="s">
        <v>1099</v>
      </c>
    </row>
    <row r="12571">
      <c r="B12571" s="31"/>
      <c r="G12571" s="272" t="s">
        <v>1099</v>
      </c>
    </row>
    <row r="12572">
      <c r="B12572" s="31"/>
      <c r="G12572" s="272" t="s">
        <v>1099</v>
      </c>
    </row>
    <row r="12573">
      <c r="B12573" s="31"/>
      <c r="G12573" s="272" t="s">
        <v>1099</v>
      </c>
    </row>
    <row r="12574">
      <c r="B12574" s="31"/>
      <c r="G12574" s="272" t="s">
        <v>1099</v>
      </c>
    </row>
    <row r="12575">
      <c r="B12575" s="31"/>
      <c r="G12575" s="272" t="s">
        <v>1099</v>
      </c>
    </row>
    <row r="12576">
      <c r="B12576" s="31"/>
      <c r="G12576" s="272" t="s">
        <v>1099</v>
      </c>
    </row>
    <row r="12577">
      <c r="B12577" s="31"/>
      <c r="G12577" s="272" t="s">
        <v>1099</v>
      </c>
    </row>
    <row r="12578">
      <c r="B12578" s="31"/>
      <c r="G12578" s="272" t="s">
        <v>1099</v>
      </c>
    </row>
    <row r="12579">
      <c r="B12579" s="31"/>
      <c r="G12579" s="272" t="s">
        <v>1099</v>
      </c>
    </row>
    <row r="12580">
      <c r="B12580" s="31"/>
      <c r="G12580" s="272" t="s">
        <v>1099</v>
      </c>
    </row>
    <row r="12581">
      <c r="B12581" s="31"/>
      <c r="G12581" s="272" t="s">
        <v>1099</v>
      </c>
    </row>
    <row r="12582">
      <c r="B12582" s="31"/>
      <c r="G12582" s="272" t="s">
        <v>1099</v>
      </c>
    </row>
    <row r="12583">
      <c r="B12583" s="31"/>
      <c r="G12583" s="272" t="s">
        <v>1099</v>
      </c>
    </row>
    <row r="12584">
      <c r="B12584" s="31"/>
      <c r="G12584" s="272" t="s">
        <v>1099</v>
      </c>
    </row>
    <row r="12585">
      <c r="B12585" s="31"/>
      <c r="G12585" s="272" t="s">
        <v>1099</v>
      </c>
    </row>
    <row r="12586">
      <c r="B12586" s="31"/>
      <c r="G12586" s="272" t="s">
        <v>1099</v>
      </c>
    </row>
    <row r="12587">
      <c r="B12587" s="31"/>
      <c r="G12587" s="272" t="s">
        <v>1099</v>
      </c>
    </row>
    <row r="12588">
      <c r="B12588" s="31"/>
      <c r="G12588" s="272" t="s">
        <v>1099</v>
      </c>
    </row>
    <row r="12589">
      <c r="B12589" s="31"/>
      <c r="G12589" s="272" t="s">
        <v>1099</v>
      </c>
    </row>
    <row r="12590">
      <c r="B12590" s="31"/>
      <c r="G12590" s="272" t="s">
        <v>1099</v>
      </c>
    </row>
    <row r="12591">
      <c r="B12591" s="31"/>
      <c r="G12591" s="272" t="s">
        <v>1099</v>
      </c>
    </row>
    <row r="12592">
      <c r="B12592" s="31"/>
      <c r="G12592" s="272" t="s">
        <v>1099</v>
      </c>
    </row>
    <row r="12593">
      <c r="B12593" s="31"/>
      <c r="G12593" s="272" t="s">
        <v>1099</v>
      </c>
    </row>
    <row r="12594">
      <c r="B12594" s="31"/>
      <c r="G12594" s="272" t="s">
        <v>1099</v>
      </c>
    </row>
    <row r="12595">
      <c r="B12595" s="31"/>
      <c r="G12595" s="272" t="s">
        <v>1099</v>
      </c>
    </row>
    <row r="12596">
      <c r="B12596" s="31"/>
      <c r="G12596" s="272" t="s">
        <v>1099</v>
      </c>
    </row>
    <row r="12597">
      <c r="B12597" s="31"/>
      <c r="G12597" s="272" t="s">
        <v>1099</v>
      </c>
    </row>
    <row r="12598">
      <c r="B12598" s="31"/>
      <c r="G12598" s="272" t="s">
        <v>1099</v>
      </c>
    </row>
    <row r="12599">
      <c r="B12599" s="31"/>
      <c r="G12599" s="272" t="s">
        <v>1099</v>
      </c>
    </row>
    <row r="12600">
      <c r="B12600" s="31"/>
      <c r="G12600" s="272" t="s">
        <v>1099</v>
      </c>
    </row>
    <row r="12601">
      <c r="B12601" s="31"/>
      <c r="G12601" s="272" t="s">
        <v>1099</v>
      </c>
    </row>
    <row r="12602">
      <c r="B12602" s="31"/>
      <c r="G12602" s="272" t="s">
        <v>1099</v>
      </c>
    </row>
    <row r="12603">
      <c r="B12603" s="31"/>
      <c r="G12603" s="272" t="s">
        <v>1099</v>
      </c>
    </row>
    <row r="12604">
      <c r="B12604" s="31"/>
      <c r="G12604" s="272" t="s">
        <v>1099</v>
      </c>
    </row>
    <row r="12605">
      <c r="B12605" s="31"/>
      <c r="G12605" s="272" t="s">
        <v>1099</v>
      </c>
    </row>
    <row r="12606">
      <c r="B12606" s="31"/>
      <c r="G12606" s="272" t="s">
        <v>1099</v>
      </c>
    </row>
    <row r="12607">
      <c r="B12607" s="31"/>
      <c r="G12607" s="272" t="s">
        <v>1099</v>
      </c>
    </row>
    <row r="12608">
      <c r="B12608" s="31"/>
      <c r="G12608" s="272" t="s">
        <v>1099</v>
      </c>
    </row>
    <row r="12609">
      <c r="B12609" s="31"/>
      <c r="G12609" s="272" t="s">
        <v>1099</v>
      </c>
    </row>
    <row r="12610">
      <c r="B12610" s="31"/>
      <c r="G12610" s="272" t="s">
        <v>1099</v>
      </c>
    </row>
    <row r="12611">
      <c r="B12611" s="31"/>
      <c r="G12611" s="272" t="s">
        <v>1099</v>
      </c>
    </row>
    <row r="12612">
      <c r="B12612" s="31"/>
      <c r="G12612" s="272" t="s">
        <v>1099</v>
      </c>
    </row>
    <row r="12613">
      <c r="B12613" s="31"/>
      <c r="G12613" s="272" t="s">
        <v>1099</v>
      </c>
    </row>
    <row r="12614">
      <c r="B12614" s="31"/>
      <c r="G12614" s="272" t="s">
        <v>1099</v>
      </c>
    </row>
    <row r="12615">
      <c r="B12615" s="31"/>
      <c r="G12615" s="272" t="s">
        <v>1099</v>
      </c>
    </row>
    <row r="12616">
      <c r="B12616" s="31"/>
      <c r="G12616" s="272" t="s">
        <v>1099</v>
      </c>
    </row>
    <row r="12617">
      <c r="B12617" s="31"/>
      <c r="G12617" s="272" t="s">
        <v>1099</v>
      </c>
    </row>
    <row r="12618">
      <c r="B12618" s="31"/>
      <c r="G12618" s="272" t="s">
        <v>1099</v>
      </c>
    </row>
    <row r="12619">
      <c r="B12619" s="31"/>
      <c r="G12619" s="272" t="s">
        <v>1099</v>
      </c>
    </row>
    <row r="12620">
      <c r="B12620" s="31"/>
      <c r="G12620" s="272" t="s">
        <v>1099</v>
      </c>
    </row>
    <row r="12621">
      <c r="B12621" s="31"/>
      <c r="G12621" s="272" t="s">
        <v>1099</v>
      </c>
    </row>
    <row r="12622">
      <c r="B12622" s="31"/>
      <c r="G12622" s="272" t="s">
        <v>1099</v>
      </c>
    </row>
    <row r="12623">
      <c r="B12623" s="31"/>
      <c r="G12623" s="272" t="s">
        <v>1099</v>
      </c>
    </row>
    <row r="12624">
      <c r="B12624" s="31"/>
      <c r="G12624" s="272" t="s">
        <v>1099</v>
      </c>
    </row>
    <row r="12625">
      <c r="B12625" s="31"/>
      <c r="G12625" s="272" t="s">
        <v>1099</v>
      </c>
    </row>
    <row r="12626">
      <c r="B12626" s="31"/>
      <c r="G12626" s="272" t="s">
        <v>1099</v>
      </c>
    </row>
    <row r="12627">
      <c r="B12627" s="31"/>
      <c r="G12627" s="272" t="s">
        <v>1099</v>
      </c>
    </row>
    <row r="12628">
      <c r="B12628" s="31"/>
      <c r="G12628" s="272" t="s">
        <v>1099</v>
      </c>
    </row>
    <row r="12629">
      <c r="B12629" s="31"/>
      <c r="G12629" s="272" t="s">
        <v>1099</v>
      </c>
    </row>
    <row r="12630">
      <c r="B12630" s="31"/>
      <c r="G12630" s="272" t="s">
        <v>1099</v>
      </c>
    </row>
    <row r="12631">
      <c r="B12631" s="31"/>
      <c r="G12631" s="272" t="s">
        <v>1099</v>
      </c>
    </row>
    <row r="12632">
      <c r="B12632" s="31"/>
      <c r="G12632" s="272" t="s">
        <v>1099</v>
      </c>
    </row>
    <row r="12633">
      <c r="B12633" s="31"/>
      <c r="G12633" s="272" t="s">
        <v>1099</v>
      </c>
    </row>
    <row r="12634">
      <c r="B12634" s="31"/>
      <c r="G12634" s="272" t="s">
        <v>1099</v>
      </c>
    </row>
    <row r="12635">
      <c r="B12635" s="31"/>
      <c r="G12635" s="272" t="s">
        <v>1099</v>
      </c>
    </row>
    <row r="12636">
      <c r="B12636" s="31"/>
      <c r="G12636" s="272" t="s">
        <v>1099</v>
      </c>
    </row>
    <row r="12637">
      <c r="B12637" s="31"/>
      <c r="G12637" s="272" t="s">
        <v>1099</v>
      </c>
    </row>
    <row r="12638">
      <c r="B12638" s="31"/>
      <c r="G12638" s="272" t="s">
        <v>1099</v>
      </c>
    </row>
    <row r="12639">
      <c r="B12639" s="31"/>
      <c r="G12639" s="272" t="s">
        <v>1099</v>
      </c>
    </row>
    <row r="12640">
      <c r="B12640" s="31"/>
      <c r="G12640" s="272" t="s">
        <v>1099</v>
      </c>
    </row>
    <row r="12641">
      <c r="B12641" s="31"/>
      <c r="G12641" s="272" t="s">
        <v>1099</v>
      </c>
    </row>
    <row r="12642">
      <c r="B12642" s="31"/>
      <c r="G12642" s="272" t="s">
        <v>1099</v>
      </c>
    </row>
    <row r="12643">
      <c r="B12643" s="31"/>
      <c r="G12643" s="272" t="s">
        <v>1099</v>
      </c>
    </row>
    <row r="12644">
      <c r="B12644" s="31"/>
      <c r="G12644" s="272" t="s">
        <v>1099</v>
      </c>
    </row>
    <row r="12645">
      <c r="B12645" s="31"/>
      <c r="G12645" s="272" t="s">
        <v>1099</v>
      </c>
    </row>
    <row r="12646">
      <c r="B12646" s="31"/>
      <c r="G12646" s="272" t="s">
        <v>1099</v>
      </c>
    </row>
    <row r="12647">
      <c r="B12647" s="31"/>
      <c r="G12647" s="272" t="s">
        <v>1099</v>
      </c>
    </row>
    <row r="12648">
      <c r="B12648" s="31"/>
      <c r="G12648" s="272" t="s">
        <v>1099</v>
      </c>
    </row>
    <row r="12649">
      <c r="B12649" s="31"/>
      <c r="G12649" s="272" t="s">
        <v>1099</v>
      </c>
    </row>
    <row r="12650">
      <c r="B12650" s="31"/>
      <c r="G12650" s="272" t="s">
        <v>1099</v>
      </c>
    </row>
    <row r="12651">
      <c r="B12651" s="31"/>
      <c r="G12651" s="272" t="s">
        <v>1099</v>
      </c>
    </row>
    <row r="12652">
      <c r="B12652" s="31"/>
      <c r="G12652" s="272" t="s">
        <v>1099</v>
      </c>
    </row>
    <row r="12653">
      <c r="B12653" s="31"/>
      <c r="G12653" s="272" t="s">
        <v>1099</v>
      </c>
    </row>
    <row r="12654">
      <c r="B12654" s="31"/>
      <c r="G12654" s="272" t="s">
        <v>1099</v>
      </c>
    </row>
    <row r="12655">
      <c r="B12655" s="31"/>
      <c r="G12655" s="272" t="s">
        <v>1099</v>
      </c>
    </row>
    <row r="12656">
      <c r="B12656" s="31"/>
      <c r="G12656" s="272" t="s">
        <v>1099</v>
      </c>
    </row>
    <row r="12657">
      <c r="B12657" s="31"/>
      <c r="G12657" s="272" t="s">
        <v>1099</v>
      </c>
    </row>
    <row r="12658">
      <c r="B12658" s="31"/>
      <c r="G12658" s="272" t="s">
        <v>1099</v>
      </c>
    </row>
    <row r="12659">
      <c r="B12659" s="31"/>
      <c r="G12659" s="272" t="s">
        <v>1099</v>
      </c>
    </row>
    <row r="12660">
      <c r="B12660" s="31"/>
      <c r="G12660" s="272" t="s">
        <v>1099</v>
      </c>
    </row>
    <row r="12661">
      <c r="B12661" s="31"/>
      <c r="G12661" s="272" t="s">
        <v>1099</v>
      </c>
    </row>
    <row r="12662">
      <c r="B12662" s="31"/>
      <c r="G12662" s="272" t="s">
        <v>1099</v>
      </c>
    </row>
    <row r="12663">
      <c r="B12663" s="31"/>
      <c r="G12663" s="272" t="s">
        <v>1099</v>
      </c>
    </row>
    <row r="12664">
      <c r="B12664" s="31"/>
      <c r="G12664" s="272" t="s">
        <v>1099</v>
      </c>
    </row>
    <row r="12665">
      <c r="B12665" s="31"/>
      <c r="G12665" s="272" t="s">
        <v>1099</v>
      </c>
    </row>
    <row r="12666">
      <c r="B12666" s="31"/>
      <c r="G12666" s="272" t="s">
        <v>1099</v>
      </c>
    </row>
    <row r="12667">
      <c r="B12667" s="31"/>
      <c r="G12667" s="272" t="s">
        <v>1099</v>
      </c>
    </row>
    <row r="12668">
      <c r="B12668" s="31"/>
      <c r="G12668" s="272" t="s">
        <v>1099</v>
      </c>
    </row>
    <row r="12669">
      <c r="B12669" s="31"/>
      <c r="G12669" s="272" t="s">
        <v>1099</v>
      </c>
    </row>
    <row r="12670">
      <c r="B12670" s="31"/>
      <c r="G12670" s="272" t="s">
        <v>1099</v>
      </c>
    </row>
    <row r="12671">
      <c r="B12671" s="31"/>
      <c r="G12671" s="272" t="s">
        <v>1099</v>
      </c>
    </row>
    <row r="12672">
      <c r="B12672" s="31"/>
      <c r="G12672" s="272" t="s">
        <v>1099</v>
      </c>
    </row>
    <row r="12673">
      <c r="B12673" s="31"/>
      <c r="G12673" s="272" t="s">
        <v>1099</v>
      </c>
    </row>
    <row r="12674">
      <c r="B12674" s="31"/>
      <c r="G12674" s="272" t="s">
        <v>1099</v>
      </c>
    </row>
    <row r="12675">
      <c r="B12675" s="31"/>
      <c r="G12675" s="272" t="s">
        <v>1099</v>
      </c>
    </row>
    <row r="12676">
      <c r="B12676" s="31"/>
      <c r="G12676" s="272" t="s">
        <v>1099</v>
      </c>
    </row>
    <row r="12677">
      <c r="B12677" s="31"/>
      <c r="G12677" s="272" t="s">
        <v>1099</v>
      </c>
    </row>
    <row r="12678">
      <c r="B12678" s="31"/>
      <c r="G12678" s="272" t="s">
        <v>1099</v>
      </c>
    </row>
    <row r="12679">
      <c r="B12679" s="31"/>
      <c r="G12679" s="272" t="s">
        <v>1099</v>
      </c>
    </row>
    <row r="12680">
      <c r="B12680" s="31"/>
      <c r="G12680" s="272" t="s">
        <v>1099</v>
      </c>
    </row>
    <row r="12681">
      <c r="B12681" s="31"/>
      <c r="G12681" s="272" t="s">
        <v>1099</v>
      </c>
    </row>
    <row r="12682">
      <c r="B12682" s="31"/>
      <c r="G12682" s="272" t="s">
        <v>1099</v>
      </c>
    </row>
    <row r="12683">
      <c r="B12683" s="31"/>
      <c r="G12683" s="272" t="s">
        <v>1099</v>
      </c>
    </row>
    <row r="12684">
      <c r="B12684" s="31"/>
      <c r="G12684" s="272" t="s">
        <v>1099</v>
      </c>
    </row>
    <row r="12685">
      <c r="B12685" s="31"/>
      <c r="G12685" s="272" t="s">
        <v>1099</v>
      </c>
    </row>
    <row r="12686">
      <c r="B12686" s="31"/>
      <c r="G12686" s="272" t="s">
        <v>1099</v>
      </c>
    </row>
    <row r="12687">
      <c r="B12687" s="31"/>
      <c r="G12687" s="272" t="s">
        <v>1099</v>
      </c>
    </row>
    <row r="12688">
      <c r="B12688" s="31"/>
      <c r="G12688" s="272" t="s">
        <v>1099</v>
      </c>
    </row>
    <row r="12689">
      <c r="B12689" s="31"/>
      <c r="G12689" s="272" t="s">
        <v>1099</v>
      </c>
    </row>
    <row r="12690">
      <c r="B12690" s="31"/>
      <c r="G12690" s="272" t="s">
        <v>1099</v>
      </c>
    </row>
    <row r="12691">
      <c r="B12691" s="31"/>
      <c r="G12691" s="272" t="s">
        <v>1099</v>
      </c>
    </row>
    <row r="12692">
      <c r="B12692" s="31"/>
      <c r="G12692" s="272" t="s">
        <v>1099</v>
      </c>
    </row>
    <row r="12693">
      <c r="B12693" s="31"/>
      <c r="G12693" s="272" t="s">
        <v>1099</v>
      </c>
    </row>
    <row r="12694">
      <c r="B12694" s="31"/>
      <c r="G12694" s="272" t="s">
        <v>1099</v>
      </c>
    </row>
    <row r="12695">
      <c r="B12695" s="31"/>
      <c r="G12695" s="272" t="s">
        <v>1099</v>
      </c>
    </row>
    <row r="12696">
      <c r="B12696" s="31"/>
      <c r="G12696" s="272" t="s">
        <v>1099</v>
      </c>
    </row>
    <row r="12697">
      <c r="B12697" s="31"/>
      <c r="G12697" s="272" t="s">
        <v>1099</v>
      </c>
    </row>
    <row r="12698">
      <c r="B12698" s="31"/>
      <c r="G12698" s="272" t="s">
        <v>1099</v>
      </c>
    </row>
    <row r="12699">
      <c r="B12699" s="31"/>
      <c r="G12699" s="272" t="s">
        <v>1099</v>
      </c>
    </row>
    <row r="12700">
      <c r="B12700" s="31"/>
      <c r="G12700" s="272" t="s">
        <v>1099</v>
      </c>
    </row>
    <row r="12701">
      <c r="B12701" s="31"/>
      <c r="G12701" s="272" t="s">
        <v>1099</v>
      </c>
    </row>
    <row r="12702">
      <c r="B12702" s="31"/>
      <c r="G12702" s="272" t="s">
        <v>1099</v>
      </c>
    </row>
    <row r="12703">
      <c r="B12703" s="31"/>
      <c r="G12703" s="272" t="s">
        <v>1099</v>
      </c>
    </row>
    <row r="12704">
      <c r="B12704" s="31"/>
      <c r="G12704" s="272" t="s">
        <v>1099</v>
      </c>
    </row>
    <row r="12705">
      <c r="B12705" s="31"/>
      <c r="G12705" s="272" t="s">
        <v>1099</v>
      </c>
    </row>
    <row r="12706">
      <c r="B12706" s="31"/>
      <c r="G12706" s="272" t="s">
        <v>1099</v>
      </c>
    </row>
    <row r="12707">
      <c r="B12707" s="31"/>
      <c r="G12707" s="272" t="s">
        <v>1099</v>
      </c>
    </row>
    <row r="12708">
      <c r="B12708" s="31"/>
      <c r="G12708" s="272" t="s">
        <v>1099</v>
      </c>
    </row>
    <row r="12709">
      <c r="B12709" s="31"/>
      <c r="G12709" s="272" t="s">
        <v>1099</v>
      </c>
    </row>
    <row r="12710">
      <c r="B12710" s="31"/>
      <c r="G12710" s="272" t="s">
        <v>1099</v>
      </c>
    </row>
    <row r="12711">
      <c r="B12711" s="31"/>
      <c r="G12711" s="272" t="s">
        <v>1099</v>
      </c>
    </row>
    <row r="12712">
      <c r="B12712" s="31"/>
      <c r="G12712" s="272" t="s">
        <v>1099</v>
      </c>
    </row>
    <row r="12713">
      <c r="B12713" s="31"/>
      <c r="G12713" s="272" t="s">
        <v>1099</v>
      </c>
    </row>
    <row r="12714">
      <c r="B12714" s="31"/>
      <c r="G12714" s="272" t="s">
        <v>1099</v>
      </c>
    </row>
    <row r="12715">
      <c r="B12715" s="31"/>
      <c r="G12715" s="272" t="s">
        <v>1099</v>
      </c>
    </row>
    <row r="12716">
      <c r="B12716" s="31"/>
      <c r="G12716" s="272" t="s">
        <v>1099</v>
      </c>
    </row>
    <row r="12717">
      <c r="B12717" s="31"/>
      <c r="G12717" s="272" t="s">
        <v>1099</v>
      </c>
    </row>
    <row r="12718">
      <c r="B12718" s="31"/>
      <c r="G12718" s="272" t="s">
        <v>1099</v>
      </c>
    </row>
    <row r="12719">
      <c r="B12719" s="31"/>
      <c r="G12719" s="272" t="s">
        <v>1099</v>
      </c>
    </row>
    <row r="12720">
      <c r="B12720" s="31"/>
      <c r="G12720" s="272" t="s">
        <v>1099</v>
      </c>
    </row>
    <row r="12721">
      <c r="B12721" s="31"/>
      <c r="G12721" s="272" t="s">
        <v>1099</v>
      </c>
    </row>
    <row r="12722">
      <c r="B12722" s="31"/>
      <c r="G12722" s="272" t="s">
        <v>1099</v>
      </c>
    </row>
    <row r="12723">
      <c r="B12723" s="31"/>
      <c r="G12723" s="272" t="s">
        <v>1099</v>
      </c>
    </row>
    <row r="12724">
      <c r="B12724" s="31"/>
      <c r="G12724" s="272" t="s">
        <v>1099</v>
      </c>
    </row>
    <row r="12725">
      <c r="B12725" s="31"/>
      <c r="G12725" s="272" t="s">
        <v>1099</v>
      </c>
    </row>
    <row r="12726">
      <c r="B12726" s="31"/>
      <c r="G12726" s="272" t="s">
        <v>1099</v>
      </c>
    </row>
    <row r="12727">
      <c r="B12727" s="31"/>
      <c r="G12727" s="272" t="s">
        <v>1099</v>
      </c>
    </row>
    <row r="12728">
      <c r="B12728" s="31"/>
      <c r="G12728" s="272" t="s">
        <v>1099</v>
      </c>
    </row>
    <row r="12729">
      <c r="B12729" s="31"/>
      <c r="G12729" s="272" t="s">
        <v>1099</v>
      </c>
    </row>
    <row r="12730">
      <c r="B12730" s="31"/>
      <c r="G12730" s="272" t="s">
        <v>1099</v>
      </c>
    </row>
    <row r="12731">
      <c r="B12731" s="31"/>
      <c r="G12731" s="272" t="s">
        <v>1099</v>
      </c>
    </row>
    <row r="12732">
      <c r="B12732" s="31"/>
      <c r="G12732" s="272" t="s">
        <v>1099</v>
      </c>
    </row>
    <row r="12733">
      <c r="B12733" s="31"/>
      <c r="G12733" s="272" t="s">
        <v>1099</v>
      </c>
    </row>
    <row r="12734">
      <c r="B12734" s="31"/>
      <c r="G12734" s="272" t="s">
        <v>1099</v>
      </c>
    </row>
    <row r="12735">
      <c r="B12735" s="31"/>
      <c r="G12735" s="272" t="s">
        <v>1099</v>
      </c>
    </row>
    <row r="12736">
      <c r="B12736" s="31"/>
      <c r="G12736" s="272" t="s">
        <v>1099</v>
      </c>
    </row>
    <row r="12737">
      <c r="B12737" s="31"/>
      <c r="G12737" s="272" t="s">
        <v>1099</v>
      </c>
    </row>
    <row r="12738">
      <c r="B12738" s="31"/>
      <c r="G12738" s="272" t="s">
        <v>1099</v>
      </c>
    </row>
    <row r="12739">
      <c r="B12739" s="31"/>
      <c r="G12739" s="272" t="s">
        <v>1099</v>
      </c>
    </row>
    <row r="12740">
      <c r="B12740" s="31"/>
      <c r="G12740" s="272" t="s">
        <v>1099</v>
      </c>
    </row>
    <row r="12741">
      <c r="B12741" s="31"/>
      <c r="G12741" s="272" t="s">
        <v>1099</v>
      </c>
    </row>
    <row r="12742">
      <c r="B12742" s="31"/>
      <c r="G12742" s="272" t="s">
        <v>1099</v>
      </c>
    </row>
    <row r="12743">
      <c r="B12743" s="31"/>
      <c r="G12743" s="272" t="s">
        <v>1099</v>
      </c>
    </row>
    <row r="12744">
      <c r="B12744" s="31"/>
      <c r="G12744" s="272" t="s">
        <v>1099</v>
      </c>
    </row>
    <row r="12745">
      <c r="B12745" s="31"/>
      <c r="G12745" s="272" t="s">
        <v>1099</v>
      </c>
    </row>
    <row r="12746">
      <c r="B12746" s="31"/>
      <c r="G12746" s="272" t="s">
        <v>1099</v>
      </c>
    </row>
    <row r="12747">
      <c r="B12747" s="31"/>
      <c r="G12747" s="272" t="s">
        <v>1099</v>
      </c>
    </row>
    <row r="12748">
      <c r="B12748" s="31"/>
      <c r="G12748" s="272" t="s">
        <v>1099</v>
      </c>
    </row>
    <row r="12749">
      <c r="B12749" s="31"/>
      <c r="G12749" s="272" t="s">
        <v>1099</v>
      </c>
    </row>
    <row r="12750">
      <c r="B12750" s="31"/>
      <c r="G12750" s="272" t="s">
        <v>1099</v>
      </c>
    </row>
    <row r="12751">
      <c r="B12751" s="31"/>
      <c r="G12751" s="272" t="s">
        <v>1099</v>
      </c>
    </row>
    <row r="12752">
      <c r="B12752" s="31"/>
      <c r="G12752" s="272" t="s">
        <v>1099</v>
      </c>
    </row>
    <row r="12753">
      <c r="B12753" s="31"/>
      <c r="G12753" s="272" t="s">
        <v>1099</v>
      </c>
    </row>
    <row r="12754">
      <c r="B12754" s="31"/>
      <c r="G12754" s="272" t="s">
        <v>1099</v>
      </c>
    </row>
    <row r="12755">
      <c r="B12755" s="31"/>
      <c r="G12755" s="272" t="s">
        <v>1099</v>
      </c>
    </row>
    <row r="12756">
      <c r="B12756" s="31"/>
      <c r="G12756" s="272" t="s">
        <v>1099</v>
      </c>
    </row>
    <row r="12757">
      <c r="B12757" s="31"/>
      <c r="G12757" s="272" t="s">
        <v>1099</v>
      </c>
    </row>
    <row r="12758">
      <c r="B12758" s="31"/>
      <c r="G12758" s="272" t="s">
        <v>1099</v>
      </c>
    </row>
    <row r="12759">
      <c r="B12759" s="31"/>
      <c r="G12759" s="272" t="s">
        <v>1099</v>
      </c>
    </row>
    <row r="12760">
      <c r="B12760" s="31"/>
      <c r="G12760" s="272" t="s">
        <v>1099</v>
      </c>
    </row>
    <row r="12761">
      <c r="B12761" s="31"/>
      <c r="G12761" s="272" t="s">
        <v>1099</v>
      </c>
    </row>
    <row r="12762">
      <c r="B12762" s="31"/>
      <c r="G12762" s="272" t="s">
        <v>1099</v>
      </c>
    </row>
    <row r="12763">
      <c r="B12763" s="31"/>
      <c r="G12763" s="272" t="s">
        <v>1099</v>
      </c>
    </row>
    <row r="12764">
      <c r="B12764" s="31"/>
      <c r="G12764" s="272" t="s">
        <v>1099</v>
      </c>
    </row>
    <row r="12765">
      <c r="B12765" s="31"/>
      <c r="G12765" s="272" t="s">
        <v>1099</v>
      </c>
    </row>
    <row r="12766">
      <c r="B12766" s="31"/>
      <c r="G12766" s="272" t="s">
        <v>1099</v>
      </c>
    </row>
    <row r="12767">
      <c r="B12767" s="31"/>
      <c r="G12767" s="272" t="s">
        <v>1099</v>
      </c>
    </row>
    <row r="12768">
      <c r="B12768" s="31"/>
      <c r="G12768" s="272" t="s">
        <v>1099</v>
      </c>
    </row>
    <row r="12769">
      <c r="B12769" s="31"/>
      <c r="G12769" s="272" t="s">
        <v>1099</v>
      </c>
    </row>
    <row r="12770">
      <c r="B12770" s="31"/>
      <c r="G12770" s="272" t="s">
        <v>1099</v>
      </c>
    </row>
    <row r="12771">
      <c r="B12771" s="31"/>
      <c r="G12771" s="272" t="s">
        <v>1099</v>
      </c>
    </row>
    <row r="12772">
      <c r="B12772" s="31"/>
      <c r="G12772" s="272" t="s">
        <v>1099</v>
      </c>
    </row>
    <row r="12773">
      <c r="B12773" s="31"/>
      <c r="G12773" s="272" t="s">
        <v>1099</v>
      </c>
    </row>
    <row r="12774">
      <c r="B12774" s="31"/>
      <c r="G12774" s="272" t="s">
        <v>1099</v>
      </c>
    </row>
    <row r="12775">
      <c r="B12775" s="31"/>
      <c r="G12775" s="272" t="s">
        <v>1099</v>
      </c>
    </row>
    <row r="12776">
      <c r="B12776" s="31"/>
      <c r="G12776" s="272" t="s">
        <v>1099</v>
      </c>
    </row>
    <row r="12777">
      <c r="B12777" s="31"/>
      <c r="G12777" s="272" t="s">
        <v>1099</v>
      </c>
    </row>
    <row r="12778">
      <c r="B12778" s="31"/>
      <c r="G12778" s="272" t="s">
        <v>1099</v>
      </c>
    </row>
    <row r="12779">
      <c r="B12779" s="31"/>
      <c r="G12779" s="272" t="s">
        <v>1099</v>
      </c>
    </row>
    <row r="12780">
      <c r="B12780" s="31"/>
      <c r="G12780" s="272" t="s">
        <v>1099</v>
      </c>
    </row>
    <row r="12781">
      <c r="B12781" s="31"/>
      <c r="G12781" s="272" t="s">
        <v>1099</v>
      </c>
    </row>
    <row r="12782">
      <c r="B12782" s="31"/>
      <c r="G12782" s="272" t="s">
        <v>1099</v>
      </c>
    </row>
    <row r="12783">
      <c r="B12783" s="31"/>
      <c r="G12783" s="272" t="s">
        <v>1099</v>
      </c>
    </row>
    <row r="12784">
      <c r="B12784" s="31"/>
      <c r="G12784" s="272" t="s">
        <v>1099</v>
      </c>
    </row>
    <row r="12785">
      <c r="B12785" s="31"/>
      <c r="G12785" s="272" t="s">
        <v>1099</v>
      </c>
    </row>
    <row r="12786">
      <c r="B12786" s="31"/>
      <c r="G12786" s="272" t="s">
        <v>1099</v>
      </c>
    </row>
    <row r="12787">
      <c r="B12787" s="31"/>
      <c r="G12787" s="272" t="s">
        <v>1099</v>
      </c>
    </row>
    <row r="12788">
      <c r="B12788" s="31"/>
      <c r="G12788" s="272" t="s">
        <v>1099</v>
      </c>
    </row>
    <row r="12789">
      <c r="B12789" s="31"/>
      <c r="G12789" s="272" t="s">
        <v>1099</v>
      </c>
    </row>
    <row r="12790">
      <c r="B12790" s="31"/>
      <c r="G12790" s="272" t="s">
        <v>1099</v>
      </c>
    </row>
    <row r="12791">
      <c r="B12791" s="31"/>
      <c r="G12791" s="272" t="s">
        <v>1099</v>
      </c>
    </row>
    <row r="12792">
      <c r="B12792" s="31"/>
      <c r="G12792" s="272" t="s">
        <v>1099</v>
      </c>
    </row>
    <row r="12793">
      <c r="B12793" s="31"/>
      <c r="G12793" s="272" t="s">
        <v>1099</v>
      </c>
    </row>
    <row r="12794">
      <c r="B12794" s="31"/>
      <c r="G12794" s="272" t="s">
        <v>1099</v>
      </c>
    </row>
    <row r="12795">
      <c r="B12795" s="31"/>
      <c r="G12795" s="272" t="s">
        <v>1099</v>
      </c>
    </row>
    <row r="12796">
      <c r="B12796" s="31"/>
      <c r="G12796" s="272" t="s">
        <v>1099</v>
      </c>
    </row>
    <row r="12797">
      <c r="B12797" s="31"/>
      <c r="G12797" s="272" t="s">
        <v>1099</v>
      </c>
    </row>
    <row r="12798">
      <c r="B12798" s="31"/>
      <c r="G12798" s="272" t="s">
        <v>1099</v>
      </c>
    </row>
    <row r="12799">
      <c r="B12799" s="31"/>
      <c r="G12799" s="272" t="s">
        <v>1099</v>
      </c>
    </row>
    <row r="12800">
      <c r="B12800" s="31"/>
      <c r="G12800" s="272" t="s">
        <v>1099</v>
      </c>
    </row>
    <row r="12801">
      <c r="B12801" s="31"/>
      <c r="G12801" s="272" t="s">
        <v>1099</v>
      </c>
    </row>
    <row r="12802">
      <c r="B12802" s="31"/>
      <c r="G12802" s="272" t="s">
        <v>1099</v>
      </c>
    </row>
    <row r="12803">
      <c r="B12803" s="31"/>
      <c r="G12803" s="272" t="s">
        <v>1099</v>
      </c>
    </row>
    <row r="12804">
      <c r="B12804" s="31"/>
      <c r="G12804" s="272" t="s">
        <v>1099</v>
      </c>
    </row>
    <row r="12805">
      <c r="B12805" s="31"/>
      <c r="G12805" s="272" t="s">
        <v>1099</v>
      </c>
    </row>
    <row r="12806">
      <c r="B12806" s="31"/>
      <c r="G12806" s="272" t="s">
        <v>1099</v>
      </c>
    </row>
    <row r="12807">
      <c r="B12807" s="31"/>
      <c r="G12807" s="272" t="s">
        <v>1099</v>
      </c>
    </row>
    <row r="12808">
      <c r="B12808" s="31"/>
      <c r="G12808" s="272" t="s">
        <v>1099</v>
      </c>
    </row>
    <row r="12809">
      <c r="B12809" s="31"/>
      <c r="G12809" s="272" t="s">
        <v>1099</v>
      </c>
    </row>
    <row r="12810">
      <c r="B12810" s="31"/>
      <c r="G12810" s="272" t="s">
        <v>1099</v>
      </c>
    </row>
    <row r="12811">
      <c r="B12811" s="31"/>
      <c r="G12811" s="272" t="s">
        <v>1099</v>
      </c>
    </row>
    <row r="12812">
      <c r="B12812" s="31"/>
      <c r="G12812" s="272" t="s">
        <v>1099</v>
      </c>
    </row>
    <row r="12813">
      <c r="B12813" s="31"/>
      <c r="G12813" s="272" t="s">
        <v>1099</v>
      </c>
    </row>
    <row r="12814">
      <c r="B12814" s="31"/>
      <c r="G12814" s="272" t="s">
        <v>1099</v>
      </c>
    </row>
    <row r="12815">
      <c r="B12815" s="31"/>
      <c r="G12815" s="272" t="s">
        <v>1099</v>
      </c>
    </row>
    <row r="12816">
      <c r="B12816" s="31"/>
      <c r="G12816" s="272" t="s">
        <v>1099</v>
      </c>
    </row>
    <row r="12817">
      <c r="B12817" s="31"/>
      <c r="G12817" s="272" t="s">
        <v>1099</v>
      </c>
    </row>
    <row r="12818">
      <c r="B12818" s="31"/>
      <c r="G12818" s="272" t="s">
        <v>1099</v>
      </c>
    </row>
    <row r="12819">
      <c r="B12819" s="31"/>
      <c r="G12819" s="272" t="s">
        <v>1099</v>
      </c>
    </row>
    <row r="12820">
      <c r="B12820" s="31"/>
      <c r="G12820" s="272" t="s">
        <v>1099</v>
      </c>
    </row>
    <row r="12821">
      <c r="B12821" s="31"/>
      <c r="G12821" s="272" t="s">
        <v>1099</v>
      </c>
    </row>
    <row r="12822">
      <c r="B12822" s="31"/>
      <c r="G12822" s="272" t="s">
        <v>1099</v>
      </c>
    </row>
    <row r="12823">
      <c r="B12823" s="31"/>
      <c r="G12823" s="272" t="s">
        <v>1099</v>
      </c>
    </row>
    <row r="12824">
      <c r="B12824" s="31"/>
      <c r="G12824" s="272" t="s">
        <v>1099</v>
      </c>
    </row>
    <row r="12825">
      <c r="B12825" s="31"/>
      <c r="G12825" s="272" t="s">
        <v>1099</v>
      </c>
    </row>
    <row r="12826">
      <c r="B12826" s="31"/>
      <c r="G12826" s="272" t="s">
        <v>1099</v>
      </c>
    </row>
    <row r="12827">
      <c r="B12827" s="31"/>
      <c r="G12827" s="272" t="s">
        <v>1099</v>
      </c>
    </row>
    <row r="12828">
      <c r="B12828" s="31"/>
      <c r="G12828" s="272" t="s">
        <v>1099</v>
      </c>
    </row>
    <row r="12829">
      <c r="B12829" s="31"/>
      <c r="G12829" s="272" t="s">
        <v>1099</v>
      </c>
    </row>
    <row r="12830">
      <c r="B12830" s="31"/>
      <c r="G12830" s="272" t="s">
        <v>1099</v>
      </c>
    </row>
    <row r="12831">
      <c r="B12831" s="31"/>
      <c r="G12831" s="272" t="s">
        <v>1099</v>
      </c>
    </row>
    <row r="12832">
      <c r="B12832" s="31"/>
      <c r="G12832" s="272" t="s">
        <v>1099</v>
      </c>
    </row>
    <row r="12833">
      <c r="B12833" s="31"/>
      <c r="G12833" s="272" t="s">
        <v>1099</v>
      </c>
    </row>
    <row r="12834">
      <c r="B12834" s="31"/>
      <c r="G12834" s="272" t="s">
        <v>1099</v>
      </c>
    </row>
    <row r="12835">
      <c r="B12835" s="31"/>
      <c r="G12835" s="272" t="s">
        <v>1099</v>
      </c>
    </row>
    <row r="12836">
      <c r="B12836" s="31"/>
      <c r="G12836" s="272" t="s">
        <v>1099</v>
      </c>
    </row>
    <row r="12837">
      <c r="B12837" s="31"/>
      <c r="G12837" s="272" t="s">
        <v>1099</v>
      </c>
    </row>
    <row r="12838">
      <c r="B12838" s="31"/>
      <c r="G12838" s="272" t="s">
        <v>1099</v>
      </c>
    </row>
    <row r="12839">
      <c r="B12839" s="31"/>
      <c r="G12839" s="272" t="s">
        <v>1099</v>
      </c>
    </row>
    <row r="12840">
      <c r="B12840" s="31"/>
      <c r="G12840" s="272" t="s">
        <v>1099</v>
      </c>
    </row>
    <row r="12841">
      <c r="B12841" s="31"/>
      <c r="G12841" s="272" t="s">
        <v>1099</v>
      </c>
    </row>
    <row r="12842">
      <c r="B12842" s="31"/>
      <c r="G12842" s="272" t="s">
        <v>1099</v>
      </c>
    </row>
    <row r="12843">
      <c r="B12843" s="31"/>
      <c r="G12843" s="272" t="s">
        <v>1099</v>
      </c>
    </row>
    <row r="12844">
      <c r="B12844" s="31"/>
      <c r="G12844" s="272" t="s">
        <v>1099</v>
      </c>
    </row>
    <row r="12845">
      <c r="B12845" s="31"/>
      <c r="G12845" s="272" t="s">
        <v>1099</v>
      </c>
    </row>
    <row r="12846">
      <c r="B12846" s="31"/>
      <c r="G12846" s="272" t="s">
        <v>1099</v>
      </c>
    </row>
    <row r="12847">
      <c r="B12847" s="31"/>
      <c r="G12847" s="272" t="s">
        <v>1099</v>
      </c>
    </row>
    <row r="12848">
      <c r="B12848" s="31"/>
      <c r="G12848" s="272" t="s">
        <v>1099</v>
      </c>
    </row>
    <row r="12849">
      <c r="B12849" s="31"/>
      <c r="G12849" s="272" t="s">
        <v>1099</v>
      </c>
    </row>
    <row r="12850">
      <c r="B12850" s="31"/>
      <c r="G12850" s="272" t="s">
        <v>1099</v>
      </c>
    </row>
    <row r="12851">
      <c r="B12851" s="31"/>
      <c r="G12851" s="272" t="s">
        <v>1099</v>
      </c>
    </row>
    <row r="12852">
      <c r="B12852" s="31"/>
      <c r="G12852" s="272" t="s">
        <v>1099</v>
      </c>
    </row>
    <row r="12853">
      <c r="B12853" s="31"/>
      <c r="G12853" s="272" t="s">
        <v>1099</v>
      </c>
    </row>
    <row r="12854">
      <c r="B12854" s="31"/>
      <c r="G12854" s="272" t="s">
        <v>1099</v>
      </c>
    </row>
    <row r="12855">
      <c r="B12855" s="31"/>
      <c r="G12855" s="272" t="s">
        <v>1099</v>
      </c>
    </row>
    <row r="12856">
      <c r="B12856" s="31"/>
      <c r="G12856" s="272" t="s">
        <v>1099</v>
      </c>
    </row>
    <row r="12857">
      <c r="B12857" s="31"/>
      <c r="G12857" s="272" t="s">
        <v>1099</v>
      </c>
    </row>
    <row r="12858">
      <c r="B12858" s="31"/>
      <c r="G12858" s="272" t="s">
        <v>1099</v>
      </c>
    </row>
    <row r="12859">
      <c r="B12859" s="31"/>
      <c r="G12859" s="272" t="s">
        <v>1099</v>
      </c>
    </row>
    <row r="12860">
      <c r="B12860" s="31"/>
      <c r="G12860" s="272" t="s">
        <v>1099</v>
      </c>
    </row>
    <row r="12861">
      <c r="B12861" s="31"/>
      <c r="G12861" s="272" t="s">
        <v>1099</v>
      </c>
    </row>
    <row r="12862">
      <c r="B12862" s="31"/>
      <c r="G12862" s="272" t="s">
        <v>1099</v>
      </c>
    </row>
    <row r="12863">
      <c r="B12863" s="31"/>
      <c r="G12863" s="272" t="s">
        <v>1099</v>
      </c>
    </row>
    <row r="12864">
      <c r="B12864" s="31"/>
      <c r="G12864" s="272" t="s">
        <v>1099</v>
      </c>
    </row>
    <row r="12865">
      <c r="B12865" s="31"/>
      <c r="G12865" s="272" t="s">
        <v>1099</v>
      </c>
    </row>
    <row r="12866">
      <c r="B12866" s="31"/>
      <c r="G12866" s="272" t="s">
        <v>1099</v>
      </c>
    </row>
    <row r="12867">
      <c r="B12867" s="31"/>
      <c r="G12867" s="272" t="s">
        <v>1099</v>
      </c>
    </row>
    <row r="12868">
      <c r="B12868" s="31"/>
      <c r="G12868" s="272" t="s">
        <v>1099</v>
      </c>
    </row>
    <row r="12869">
      <c r="B12869" s="31"/>
      <c r="G12869" s="272" t="s">
        <v>1099</v>
      </c>
    </row>
    <row r="12870">
      <c r="B12870" s="31"/>
      <c r="G12870" s="272" t="s">
        <v>1099</v>
      </c>
    </row>
    <row r="12871">
      <c r="B12871" s="31"/>
      <c r="G12871" s="272" t="s">
        <v>1099</v>
      </c>
    </row>
    <row r="12872">
      <c r="B12872" s="31"/>
      <c r="G12872" s="272" t="s">
        <v>1099</v>
      </c>
    </row>
    <row r="12873">
      <c r="B12873" s="31"/>
      <c r="G12873" s="272" t="s">
        <v>1099</v>
      </c>
    </row>
    <row r="12874">
      <c r="B12874" s="31"/>
      <c r="G12874" s="272" t="s">
        <v>1099</v>
      </c>
    </row>
    <row r="12875">
      <c r="B12875" s="31"/>
      <c r="G12875" s="272" t="s">
        <v>1099</v>
      </c>
    </row>
    <row r="12876">
      <c r="B12876" s="31"/>
      <c r="G12876" s="272" t="s">
        <v>1099</v>
      </c>
    </row>
    <row r="12877">
      <c r="B12877" s="31"/>
      <c r="G12877" s="272" t="s">
        <v>1099</v>
      </c>
    </row>
    <row r="12878">
      <c r="B12878" s="31"/>
      <c r="G12878" s="272" t="s">
        <v>1099</v>
      </c>
    </row>
    <row r="12879">
      <c r="B12879" s="31"/>
      <c r="G12879" s="272" t="s">
        <v>1099</v>
      </c>
    </row>
    <row r="12880">
      <c r="B12880" s="31"/>
      <c r="G12880" s="272" t="s">
        <v>1099</v>
      </c>
    </row>
    <row r="12881">
      <c r="B12881" s="31"/>
      <c r="G12881" s="272" t="s">
        <v>1099</v>
      </c>
    </row>
    <row r="12882">
      <c r="B12882" s="31"/>
      <c r="G12882" s="272" t="s">
        <v>1099</v>
      </c>
    </row>
    <row r="12883">
      <c r="B12883" s="31"/>
      <c r="G12883" s="272" t="s">
        <v>1099</v>
      </c>
    </row>
    <row r="12884">
      <c r="B12884" s="31"/>
      <c r="G12884" s="272" t="s">
        <v>1099</v>
      </c>
    </row>
    <row r="12885">
      <c r="B12885" s="31"/>
      <c r="G12885" s="272" t="s">
        <v>1099</v>
      </c>
    </row>
    <row r="12886">
      <c r="B12886" s="31"/>
      <c r="G12886" s="272" t="s">
        <v>1099</v>
      </c>
    </row>
    <row r="12887">
      <c r="B12887" s="31"/>
      <c r="G12887" s="272" t="s">
        <v>1099</v>
      </c>
    </row>
    <row r="12888">
      <c r="B12888" s="31"/>
      <c r="G12888" s="272" t="s">
        <v>1099</v>
      </c>
    </row>
    <row r="12889">
      <c r="B12889" s="31"/>
      <c r="G12889" s="272" t="s">
        <v>1099</v>
      </c>
    </row>
    <row r="12890">
      <c r="B12890" s="31"/>
      <c r="G12890" s="272" t="s">
        <v>1099</v>
      </c>
    </row>
    <row r="12891">
      <c r="B12891" s="31"/>
      <c r="G12891" s="272" t="s">
        <v>1099</v>
      </c>
    </row>
    <row r="12892">
      <c r="B12892" s="31"/>
      <c r="G12892" s="272" t="s">
        <v>1099</v>
      </c>
    </row>
    <row r="12893">
      <c r="B12893" s="31"/>
      <c r="G12893" s="272" t="s">
        <v>1099</v>
      </c>
    </row>
    <row r="12894">
      <c r="B12894" s="31"/>
      <c r="G12894" s="272" t="s">
        <v>1099</v>
      </c>
    </row>
    <row r="12895">
      <c r="B12895" s="31"/>
      <c r="G12895" s="272" t="s">
        <v>1099</v>
      </c>
    </row>
    <row r="12896">
      <c r="B12896" s="31"/>
      <c r="G12896" s="272" t="s">
        <v>1099</v>
      </c>
    </row>
    <row r="12897">
      <c r="B12897" s="31"/>
      <c r="G12897" s="272" t="s">
        <v>1099</v>
      </c>
    </row>
    <row r="12898">
      <c r="B12898" s="31"/>
      <c r="G12898" s="272" t="s">
        <v>1099</v>
      </c>
    </row>
    <row r="12899">
      <c r="B12899" s="31"/>
      <c r="G12899" s="272" t="s">
        <v>1099</v>
      </c>
    </row>
    <row r="12900">
      <c r="B12900" s="31"/>
      <c r="G12900" s="272" t="s">
        <v>1099</v>
      </c>
    </row>
    <row r="12901">
      <c r="B12901" s="31"/>
      <c r="G12901" s="272" t="s">
        <v>1099</v>
      </c>
    </row>
    <row r="12902">
      <c r="B12902" s="31"/>
      <c r="G12902" s="272" t="s">
        <v>1099</v>
      </c>
    </row>
    <row r="12903">
      <c r="B12903" s="31"/>
      <c r="G12903" s="272" t="s">
        <v>1099</v>
      </c>
    </row>
    <row r="12904">
      <c r="B12904" s="31"/>
      <c r="G12904" s="272" t="s">
        <v>1099</v>
      </c>
    </row>
    <row r="12905">
      <c r="B12905" s="31"/>
      <c r="G12905" s="272" t="s">
        <v>1099</v>
      </c>
    </row>
    <row r="12906">
      <c r="B12906" s="31"/>
      <c r="G12906" s="272" t="s">
        <v>1099</v>
      </c>
    </row>
    <row r="12907">
      <c r="B12907" s="31"/>
      <c r="G12907" s="272" t="s">
        <v>1099</v>
      </c>
    </row>
    <row r="12908">
      <c r="B12908" s="31"/>
      <c r="G12908" s="272" t="s">
        <v>1099</v>
      </c>
    </row>
    <row r="12909">
      <c r="B12909" s="31"/>
      <c r="G12909" s="272" t="s">
        <v>1099</v>
      </c>
    </row>
    <row r="12910">
      <c r="B12910" s="31"/>
      <c r="G12910" s="272" t="s">
        <v>1099</v>
      </c>
    </row>
    <row r="12911">
      <c r="B12911" s="31"/>
      <c r="G12911" s="272" t="s">
        <v>1099</v>
      </c>
    </row>
    <row r="12912">
      <c r="B12912" s="31"/>
      <c r="G12912" s="272" t="s">
        <v>1099</v>
      </c>
    </row>
    <row r="12913">
      <c r="B12913" s="31"/>
      <c r="G12913" s="272" t="s">
        <v>1099</v>
      </c>
    </row>
    <row r="12914">
      <c r="B12914" s="31"/>
      <c r="G12914" s="272" t="s">
        <v>1099</v>
      </c>
    </row>
    <row r="12915">
      <c r="B12915" s="31"/>
      <c r="G12915" s="272" t="s">
        <v>1099</v>
      </c>
    </row>
    <row r="12916">
      <c r="B12916" s="31"/>
      <c r="G12916" s="272" t="s">
        <v>1099</v>
      </c>
    </row>
    <row r="12917">
      <c r="B12917" s="31"/>
      <c r="G12917" s="272" t="s">
        <v>1099</v>
      </c>
    </row>
    <row r="12918">
      <c r="B12918" s="31"/>
      <c r="G12918" s="272" t="s">
        <v>1099</v>
      </c>
    </row>
    <row r="12919">
      <c r="B12919" s="31"/>
      <c r="G12919" s="272" t="s">
        <v>1099</v>
      </c>
    </row>
    <row r="12920">
      <c r="B12920" s="31"/>
      <c r="G12920" s="272" t="s">
        <v>1099</v>
      </c>
    </row>
    <row r="12921">
      <c r="B12921" s="31"/>
      <c r="G12921" s="272" t="s">
        <v>1099</v>
      </c>
    </row>
    <row r="12922">
      <c r="B12922" s="31"/>
      <c r="G12922" s="272" t="s">
        <v>1099</v>
      </c>
    </row>
    <row r="12923">
      <c r="B12923" s="31"/>
      <c r="G12923" s="272" t="s">
        <v>1099</v>
      </c>
    </row>
    <row r="12924">
      <c r="B12924" s="31"/>
      <c r="G12924" s="272" t="s">
        <v>1099</v>
      </c>
    </row>
    <row r="12925">
      <c r="B12925" s="31"/>
      <c r="G12925" s="272" t="s">
        <v>1099</v>
      </c>
    </row>
    <row r="12926">
      <c r="B12926" s="31"/>
      <c r="G12926" s="272" t="s">
        <v>1099</v>
      </c>
    </row>
    <row r="12927">
      <c r="B12927" s="31"/>
      <c r="G12927" s="272" t="s">
        <v>1099</v>
      </c>
    </row>
    <row r="12928">
      <c r="B12928" s="31"/>
      <c r="G12928" s="272" t="s">
        <v>1099</v>
      </c>
    </row>
    <row r="12929">
      <c r="B12929" s="31"/>
      <c r="G12929" s="272" t="s">
        <v>1099</v>
      </c>
    </row>
    <row r="12930">
      <c r="B12930" s="31"/>
      <c r="G12930" s="272" t="s">
        <v>1099</v>
      </c>
    </row>
    <row r="12931">
      <c r="B12931" s="31"/>
      <c r="G12931" s="272" t="s">
        <v>1099</v>
      </c>
    </row>
    <row r="12932">
      <c r="B12932" s="31"/>
      <c r="G12932" s="272" t="s">
        <v>1099</v>
      </c>
    </row>
    <row r="12933">
      <c r="B12933" s="31"/>
      <c r="G12933" s="272" t="s">
        <v>1099</v>
      </c>
    </row>
    <row r="12934">
      <c r="B12934" s="31"/>
      <c r="G12934" s="272" t="s">
        <v>1099</v>
      </c>
    </row>
    <row r="12935">
      <c r="B12935" s="31"/>
      <c r="G12935" s="272" t="s">
        <v>1099</v>
      </c>
    </row>
    <row r="12936">
      <c r="B12936" s="31"/>
      <c r="G12936" s="272" t="s">
        <v>1099</v>
      </c>
    </row>
    <row r="12937">
      <c r="B12937" s="31"/>
      <c r="G12937" s="272" t="s">
        <v>1099</v>
      </c>
    </row>
    <row r="12938">
      <c r="B12938" s="31"/>
      <c r="G12938" s="272" t="s">
        <v>1099</v>
      </c>
    </row>
    <row r="12939">
      <c r="B12939" s="31"/>
      <c r="G12939" s="272" t="s">
        <v>1099</v>
      </c>
    </row>
    <row r="12940">
      <c r="B12940" s="31"/>
      <c r="G12940" s="272" t="s">
        <v>1099</v>
      </c>
    </row>
    <row r="12941">
      <c r="B12941" s="31"/>
      <c r="G12941" s="272" t="s">
        <v>1099</v>
      </c>
    </row>
    <row r="12942">
      <c r="B12942" s="31"/>
      <c r="G12942" s="272" t="s">
        <v>1099</v>
      </c>
    </row>
    <row r="12943">
      <c r="B12943" s="31"/>
      <c r="G12943" s="272" t="s">
        <v>1099</v>
      </c>
    </row>
    <row r="12944">
      <c r="B12944" s="31"/>
      <c r="G12944" s="272" t="s">
        <v>1099</v>
      </c>
    </row>
    <row r="12945">
      <c r="B12945" s="31"/>
      <c r="G12945" s="272" t="s">
        <v>1099</v>
      </c>
    </row>
    <row r="12946">
      <c r="B12946" s="31"/>
      <c r="G12946" s="272" t="s">
        <v>1099</v>
      </c>
    </row>
    <row r="12947">
      <c r="B12947" s="31"/>
      <c r="G12947" s="272" t="s">
        <v>1099</v>
      </c>
    </row>
    <row r="12948">
      <c r="B12948" s="31"/>
      <c r="G12948" s="272" t="s">
        <v>1099</v>
      </c>
    </row>
    <row r="12949">
      <c r="B12949" s="31"/>
      <c r="G12949" s="272" t="s">
        <v>1099</v>
      </c>
    </row>
    <row r="12950">
      <c r="B12950" s="31"/>
      <c r="G12950" s="272" t="s">
        <v>1099</v>
      </c>
    </row>
    <row r="12951">
      <c r="B12951" s="31"/>
      <c r="G12951" s="272" t="s">
        <v>1099</v>
      </c>
    </row>
    <row r="12952">
      <c r="B12952" s="31"/>
      <c r="G12952" s="272" t="s">
        <v>1099</v>
      </c>
    </row>
    <row r="12953">
      <c r="B12953" s="31"/>
      <c r="G12953" s="272" t="s">
        <v>1099</v>
      </c>
    </row>
    <row r="12954">
      <c r="B12954" s="31"/>
      <c r="G12954" s="272" t="s">
        <v>1099</v>
      </c>
    </row>
    <row r="12955">
      <c r="B12955" s="31"/>
      <c r="G12955" s="272" t="s">
        <v>1099</v>
      </c>
    </row>
    <row r="12956">
      <c r="B12956" s="31"/>
      <c r="G12956" s="272" t="s">
        <v>1099</v>
      </c>
    </row>
    <row r="12957">
      <c r="B12957" s="31"/>
      <c r="G12957" s="272" t="s">
        <v>1099</v>
      </c>
    </row>
    <row r="12958">
      <c r="B12958" s="31"/>
      <c r="G12958" s="272" t="s">
        <v>1099</v>
      </c>
    </row>
    <row r="12959">
      <c r="B12959" s="31"/>
      <c r="G12959" s="272" t="s">
        <v>1099</v>
      </c>
    </row>
    <row r="12960">
      <c r="B12960" s="31"/>
      <c r="G12960" s="272" t="s">
        <v>1099</v>
      </c>
    </row>
    <row r="12961">
      <c r="B12961" s="31"/>
      <c r="G12961" s="272" t="s">
        <v>1099</v>
      </c>
    </row>
    <row r="12962">
      <c r="B12962" s="31"/>
      <c r="G12962" s="272" t="s">
        <v>1099</v>
      </c>
    </row>
    <row r="12963">
      <c r="B12963" s="31"/>
      <c r="G12963" s="272" t="s">
        <v>1099</v>
      </c>
    </row>
    <row r="12964">
      <c r="B12964" s="31"/>
      <c r="G12964" s="272" t="s">
        <v>1099</v>
      </c>
    </row>
    <row r="12965">
      <c r="B12965" s="31"/>
      <c r="G12965" s="272" t="s">
        <v>1099</v>
      </c>
    </row>
    <row r="12966">
      <c r="B12966" s="31"/>
      <c r="G12966" s="272" t="s">
        <v>1099</v>
      </c>
    </row>
    <row r="12967">
      <c r="B12967" s="31"/>
      <c r="G12967" s="272" t="s">
        <v>1099</v>
      </c>
    </row>
    <row r="12968">
      <c r="B12968" s="31"/>
      <c r="G12968" s="272" t="s">
        <v>1099</v>
      </c>
    </row>
    <row r="12969">
      <c r="B12969" s="31"/>
      <c r="G12969" s="272" t="s">
        <v>1099</v>
      </c>
    </row>
    <row r="12970">
      <c r="B12970" s="31"/>
      <c r="G12970" s="272" t="s">
        <v>1099</v>
      </c>
    </row>
    <row r="12971">
      <c r="B12971" s="31"/>
      <c r="G12971" s="272" t="s">
        <v>1099</v>
      </c>
    </row>
    <row r="12972">
      <c r="B12972" s="31"/>
      <c r="G12972" s="272" t="s">
        <v>1099</v>
      </c>
    </row>
    <row r="12973">
      <c r="B12973" s="31"/>
      <c r="G12973" s="272" t="s">
        <v>1099</v>
      </c>
    </row>
    <row r="12974">
      <c r="B12974" s="31"/>
      <c r="G12974" s="272" t="s">
        <v>1099</v>
      </c>
    </row>
    <row r="12975">
      <c r="B12975" s="31"/>
      <c r="G12975" s="272" t="s">
        <v>1099</v>
      </c>
    </row>
    <row r="12976">
      <c r="B12976" s="31"/>
      <c r="G12976" s="272" t="s">
        <v>1099</v>
      </c>
    </row>
    <row r="12977">
      <c r="B12977" s="31"/>
      <c r="G12977" s="272" t="s">
        <v>1099</v>
      </c>
    </row>
    <row r="12978">
      <c r="B12978" s="31"/>
      <c r="G12978" s="272" t="s">
        <v>1099</v>
      </c>
    </row>
    <row r="12979">
      <c r="B12979" s="31"/>
      <c r="G12979" s="272" t="s">
        <v>1099</v>
      </c>
    </row>
    <row r="12980">
      <c r="B12980" s="31"/>
      <c r="G12980" s="272" t="s">
        <v>1099</v>
      </c>
    </row>
    <row r="12981">
      <c r="B12981" s="31"/>
      <c r="G12981" s="272" t="s">
        <v>1099</v>
      </c>
    </row>
    <row r="12982">
      <c r="B12982" s="31"/>
      <c r="G12982" s="272" t="s">
        <v>1099</v>
      </c>
    </row>
    <row r="12983">
      <c r="B12983" s="31"/>
      <c r="G12983" s="272" t="s">
        <v>1099</v>
      </c>
    </row>
    <row r="12984">
      <c r="B12984" s="31"/>
      <c r="G12984" s="272" t="s">
        <v>1099</v>
      </c>
    </row>
    <row r="12985">
      <c r="B12985" s="31"/>
      <c r="G12985" s="272" t="s">
        <v>1099</v>
      </c>
    </row>
    <row r="12986">
      <c r="B12986" s="31"/>
      <c r="G12986" s="272" t="s">
        <v>1099</v>
      </c>
    </row>
    <row r="12987">
      <c r="B12987" s="31"/>
      <c r="G12987" s="272" t="s">
        <v>1099</v>
      </c>
    </row>
    <row r="12988">
      <c r="B12988" s="31"/>
      <c r="G12988" s="272" t="s">
        <v>1099</v>
      </c>
    </row>
    <row r="12989">
      <c r="B12989" s="31"/>
      <c r="G12989" s="272" t="s">
        <v>1099</v>
      </c>
    </row>
    <row r="12990">
      <c r="B12990" s="31"/>
      <c r="G12990" s="272" t="s">
        <v>1099</v>
      </c>
    </row>
    <row r="12991">
      <c r="B12991" s="31"/>
      <c r="G12991" s="272" t="s">
        <v>1099</v>
      </c>
    </row>
    <row r="12992">
      <c r="B12992" s="31"/>
      <c r="G12992" s="272" t="s">
        <v>1099</v>
      </c>
    </row>
    <row r="12993">
      <c r="B12993" s="31"/>
      <c r="G12993" s="272" t="s">
        <v>1099</v>
      </c>
    </row>
    <row r="12994">
      <c r="B12994" s="31"/>
      <c r="G12994" s="272" t="s">
        <v>1099</v>
      </c>
    </row>
    <row r="12995">
      <c r="B12995" s="31"/>
      <c r="G12995" s="272" t="s">
        <v>1099</v>
      </c>
    </row>
    <row r="12996">
      <c r="B12996" s="31"/>
      <c r="G12996" s="272" t="s">
        <v>1099</v>
      </c>
    </row>
    <row r="12997">
      <c r="B12997" s="31"/>
      <c r="G12997" s="272" t="s">
        <v>1099</v>
      </c>
    </row>
    <row r="12998">
      <c r="B12998" s="31"/>
      <c r="G12998" s="272" t="s">
        <v>1099</v>
      </c>
    </row>
    <row r="12999">
      <c r="B12999" s="31"/>
      <c r="G12999" s="272" t="s">
        <v>1099</v>
      </c>
    </row>
    <row r="13000">
      <c r="B13000" s="31"/>
      <c r="G13000" s="272" t="s">
        <v>1099</v>
      </c>
    </row>
    <row r="13001">
      <c r="B13001" s="31"/>
      <c r="G13001" s="272" t="s">
        <v>1099</v>
      </c>
    </row>
    <row r="13002">
      <c r="B13002" s="31"/>
      <c r="G13002" s="272" t="s">
        <v>1099</v>
      </c>
    </row>
    <row r="13003">
      <c r="B13003" s="31"/>
      <c r="G13003" s="272" t="s">
        <v>1099</v>
      </c>
    </row>
    <row r="13004">
      <c r="B13004" s="31"/>
      <c r="G13004" s="272" t="s">
        <v>1099</v>
      </c>
    </row>
    <row r="13005">
      <c r="B13005" s="31"/>
      <c r="G13005" s="272" t="s">
        <v>1099</v>
      </c>
    </row>
    <row r="13006">
      <c r="B13006" s="31"/>
      <c r="G13006" s="272" t="s">
        <v>1099</v>
      </c>
    </row>
    <row r="13007">
      <c r="B13007" s="31"/>
      <c r="G13007" s="272" t="s">
        <v>1099</v>
      </c>
    </row>
    <row r="13008">
      <c r="B13008" s="31"/>
      <c r="G13008" s="272" t="s">
        <v>1099</v>
      </c>
    </row>
    <row r="13009">
      <c r="B13009" s="31"/>
      <c r="G13009" s="272" t="s">
        <v>1099</v>
      </c>
    </row>
    <row r="13010">
      <c r="B13010" s="31"/>
      <c r="G13010" s="272" t="s">
        <v>1099</v>
      </c>
    </row>
    <row r="13011">
      <c r="B13011" s="31"/>
      <c r="G13011" s="272" t="s">
        <v>1099</v>
      </c>
    </row>
    <row r="13012">
      <c r="B13012" s="31"/>
      <c r="G13012" s="272" t="s">
        <v>1099</v>
      </c>
    </row>
    <row r="13013">
      <c r="B13013" s="31"/>
      <c r="G13013" s="272" t="s">
        <v>1099</v>
      </c>
    </row>
    <row r="13014">
      <c r="B13014" s="31"/>
      <c r="G13014" s="272" t="s">
        <v>1099</v>
      </c>
    </row>
    <row r="13015">
      <c r="B13015" s="31"/>
      <c r="G13015" s="272" t="s">
        <v>1099</v>
      </c>
    </row>
    <row r="13016">
      <c r="B13016" s="31"/>
      <c r="G13016" s="272" t="s">
        <v>1099</v>
      </c>
    </row>
    <row r="13017">
      <c r="B13017" s="31"/>
      <c r="G13017" s="272" t="s">
        <v>1099</v>
      </c>
    </row>
    <row r="13018">
      <c r="B13018" s="31"/>
      <c r="G13018" s="272" t="s">
        <v>1099</v>
      </c>
    </row>
    <row r="13019">
      <c r="B13019" s="31"/>
      <c r="G13019" s="272" t="s">
        <v>1099</v>
      </c>
    </row>
    <row r="13020">
      <c r="B13020" s="31"/>
      <c r="G13020" s="272" t="s">
        <v>1099</v>
      </c>
    </row>
    <row r="13021">
      <c r="B13021" s="31"/>
      <c r="G13021" s="272" t="s">
        <v>1099</v>
      </c>
    </row>
    <row r="13022">
      <c r="B13022" s="31"/>
      <c r="G13022" s="272" t="s">
        <v>1099</v>
      </c>
    </row>
    <row r="13023">
      <c r="B13023" s="31"/>
      <c r="G13023" s="272" t="s">
        <v>1099</v>
      </c>
    </row>
    <row r="13024">
      <c r="B13024" s="31"/>
      <c r="G13024" s="272" t="s">
        <v>1099</v>
      </c>
    </row>
    <row r="13025">
      <c r="B13025" s="31"/>
      <c r="G13025" s="272" t="s">
        <v>1099</v>
      </c>
    </row>
    <row r="13026">
      <c r="B13026" s="31"/>
      <c r="G13026" s="272" t="s">
        <v>1099</v>
      </c>
    </row>
    <row r="13027">
      <c r="B13027" s="31"/>
      <c r="G13027" s="272" t="s">
        <v>1099</v>
      </c>
    </row>
    <row r="13028">
      <c r="B13028" s="31"/>
      <c r="G13028" s="272" t="s">
        <v>1099</v>
      </c>
    </row>
    <row r="13029">
      <c r="B13029" s="31"/>
      <c r="G13029" s="272" t="s">
        <v>1099</v>
      </c>
    </row>
    <row r="13030">
      <c r="B13030" s="31"/>
      <c r="G13030" s="272" t="s">
        <v>1099</v>
      </c>
    </row>
    <row r="13031">
      <c r="B13031" s="31"/>
      <c r="G13031" s="272" t="s">
        <v>1099</v>
      </c>
    </row>
    <row r="13032">
      <c r="B13032" s="31"/>
      <c r="G13032" s="272" t="s">
        <v>1099</v>
      </c>
    </row>
    <row r="13033">
      <c r="B13033" s="31"/>
      <c r="G13033" s="272" t="s">
        <v>1099</v>
      </c>
    </row>
    <row r="13034">
      <c r="B13034" s="31"/>
      <c r="G13034" s="272" t="s">
        <v>1099</v>
      </c>
    </row>
    <row r="13035">
      <c r="B13035" s="31"/>
      <c r="G13035" s="272" t="s">
        <v>1099</v>
      </c>
    </row>
    <row r="13036">
      <c r="B13036" s="31"/>
      <c r="G13036" s="272" t="s">
        <v>1099</v>
      </c>
    </row>
    <row r="13037">
      <c r="B13037" s="31"/>
      <c r="G13037" s="272" t="s">
        <v>1099</v>
      </c>
    </row>
    <row r="13038">
      <c r="B13038" s="31"/>
      <c r="G13038" s="272" t="s">
        <v>1099</v>
      </c>
    </row>
    <row r="13039">
      <c r="B13039" s="31"/>
      <c r="G13039" s="272" t="s">
        <v>1099</v>
      </c>
    </row>
    <row r="13040">
      <c r="B13040" s="31"/>
      <c r="G13040" s="272" t="s">
        <v>1099</v>
      </c>
    </row>
    <row r="13041">
      <c r="B13041" s="31"/>
      <c r="G13041" s="272" t="s">
        <v>1099</v>
      </c>
    </row>
    <row r="13042">
      <c r="B13042" s="31"/>
      <c r="G13042" s="272" t="s">
        <v>1099</v>
      </c>
    </row>
    <row r="13043">
      <c r="B13043" s="31"/>
      <c r="G13043" s="272" t="s">
        <v>1099</v>
      </c>
    </row>
    <row r="13044">
      <c r="B13044" s="31"/>
      <c r="G13044" s="272" t="s">
        <v>1099</v>
      </c>
    </row>
    <row r="13045">
      <c r="B13045" s="31"/>
      <c r="G13045" s="272" t="s">
        <v>1099</v>
      </c>
    </row>
    <row r="13046">
      <c r="B13046" s="31"/>
      <c r="G13046" s="272" t="s">
        <v>1099</v>
      </c>
    </row>
    <row r="13047">
      <c r="B13047" s="31"/>
      <c r="G13047" s="272" t="s">
        <v>1099</v>
      </c>
    </row>
    <row r="13048">
      <c r="B13048" s="31"/>
      <c r="G13048" s="272" t="s">
        <v>1099</v>
      </c>
    </row>
    <row r="13049">
      <c r="B13049" s="31"/>
      <c r="G13049" s="272" t="s">
        <v>1099</v>
      </c>
    </row>
    <row r="13050">
      <c r="B13050" s="31"/>
      <c r="G13050" s="272" t="s">
        <v>1099</v>
      </c>
    </row>
    <row r="13051">
      <c r="B13051" s="31"/>
      <c r="G13051" s="272" t="s">
        <v>1099</v>
      </c>
    </row>
    <row r="13052">
      <c r="B13052" s="31"/>
      <c r="G13052" s="272" t="s">
        <v>1099</v>
      </c>
    </row>
    <row r="13053">
      <c r="B13053" s="31"/>
      <c r="G13053" s="272" t="s">
        <v>1099</v>
      </c>
    </row>
    <row r="13054">
      <c r="B13054" s="31"/>
      <c r="G13054" s="272" t="s">
        <v>1099</v>
      </c>
    </row>
    <row r="13055">
      <c r="B13055" s="31"/>
      <c r="G13055" s="272" t="s">
        <v>1099</v>
      </c>
    </row>
    <row r="13056">
      <c r="B13056" s="31"/>
      <c r="G13056" s="272" t="s">
        <v>1099</v>
      </c>
    </row>
    <row r="13057">
      <c r="B13057" s="31"/>
      <c r="G13057" s="272" t="s">
        <v>1099</v>
      </c>
    </row>
    <row r="13058">
      <c r="B13058" s="31"/>
      <c r="G13058" s="272" t="s">
        <v>1099</v>
      </c>
    </row>
    <row r="13059">
      <c r="B13059" s="31"/>
      <c r="G13059" s="272" t="s">
        <v>1099</v>
      </c>
    </row>
    <row r="13060">
      <c r="B13060" s="31"/>
      <c r="G13060" s="272" t="s">
        <v>1099</v>
      </c>
    </row>
    <row r="13061">
      <c r="B13061" s="31"/>
      <c r="G13061" s="272" t="s">
        <v>1099</v>
      </c>
    </row>
    <row r="13062">
      <c r="B13062" s="31"/>
      <c r="G13062" s="272" t="s">
        <v>1099</v>
      </c>
    </row>
    <row r="13063">
      <c r="B13063" s="31"/>
      <c r="G13063" s="272" t="s">
        <v>1099</v>
      </c>
    </row>
    <row r="13064">
      <c r="B13064" s="31"/>
      <c r="G13064" s="272" t="s">
        <v>1099</v>
      </c>
    </row>
    <row r="13065">
      <c r="B13065" s="31"/>
      <c r="G13065" s="272" t="s">
        <v>1099</v>
      </c>
    </row>
    <row r="13066">
      <c r="B13066" s="31"/>
      <c r="G13066" s="272" t="s">
        <v>1099</v>
      </c>
    </row>
    <row r="13067">
      <c r="B13067" s="31"/>
      <c r="G13067" s="272" t="s">
        <v>1099</v>
      </c>
    </row>
    <row r="13068">
      <c r="B13068" s="31"/>
      <c r="G13068" s="272" t="s">
        <v>1099</v>
      </c>
    </row>
    <row r="13069">
      <c r="B13069" s="31"/>
      <c r="G13069" s="272" t="s">
        <v>1099</v>
      </c>
    </row>
    <row r="13070">
      <c r="B13070" s="31"/>
      <c r="G13070" s="272" t="s">
        <v>1099</v>
      </c>
    </row>
    <row r="13071">
      <c r="B13071" s="31"/>
      <c r="G13071" s="272" t="s">
        <v>1099</v>
      </c>
    </row>
    <row r="13072">
      <c r="B13072" s="31"/>
      <c r="G13072" s="272" t="s">
        <v>1099</v>
      </c>
    </row>
    <row r="13073">
      <c r="B13073" s="31"/>
      <c r="G13073" s="272" t="s">
        <v>1099</v>
      </c>
    </row>
    <row r="13074">
      <c r="B13074" s="31"/>
      <c r="G13074" s="272" t="s">
        <v>1099</v>
      </c>
    </row>
    <row r="13075">
      <c r="B13075" s="31"/>
      <c r="G13075" s="272" t="s">
        <v>1099</v>
      </c>
    </row>
    <row r="13076">
      <c r="B13076" s="31"/>
      <c r="G13076" s="272" t="s">
        <v>1099</v>
      </c>
    </row>
    <row r="13077">
      <c r="B13077" s="31"/>
      <c r="G13077" s="272" t="s">
        <v>1099</v>
      </c>
    </row>
    <row r="13078">
      <c r="B13078" s="31"/>
      <c r="G13078" s="272" t="s">
        <v>1099</v>
      </c>
    </row>
    <row r="13079">
      <c r="B13079" s="31"/>
      <c r="G13079" s="272" t="s">
        <v>1099</v>
      </c>
    </row>
    <row r="13080">
      <c r="B13080" s="31"/>
      <c r="G13080" s="272" t="s">
        <v>1099</v>
      </c>
    </row>
    <row r="13081">
      <c r="B13081" s="31"/>
      <c r="G13081" s="272" t="s">
        <v>1099</v>
      </c>
    </row>
    <row r="13082">
      <c r="B13082" s="31"/>
      <c r="G13082" s="272" t="s">
        <v>1099</v>
      </c>
    </row>
    <row r="13083">
      <c r="B13083" s="31"/>
      <c r="G13083" s="272" t="s">
        <v>1099</v>
      </c>
    </row>
    <row r="13084">
      <c r="B13084" s="31"/>
      <c r="G13084" s="272" t="s">
        <v>1099</v>
      </c>
    </row>
    <row r="13085">
      <c r="B13085" s="31"/>
      <c r="G13085" s="272" t="s">
        <v>1099</v>
      </c>
    </row>
    <row r="13086">
      <c r="B13086" s="31"/>
      <c r="G13086" s="272" t="s">
        <v>1099</v>
      </c>
    </row>
    <row r="13087">
      <c r="B13087" s="31"/>
      <c r="G13087" s="272" t="s">
        <v>1099</v>
      </c>
    </row>
    <row r="13088">
      <c r="B13088" s="31"/>
      <c r="G13088" s="272" t="s">
        <v>1099</v>
      </c>
    </row>
    <row r="13089">
      <c r="B13089" s="31"/>
      <c r="G13089" s="272" t="s">
        <v>1099</v>
      </c>
    </row>
    <row r="13090">
      <c r="B13090" s="31"/>
      <c r="G13090" s="272" t="s">
        <v>1099</v>
      </c>
    </row>
    <row r="13091">
      <c r="B13091" s="31"/>
      <c r="G13091" s="272" t="s">
        <v>1099</v>
      </c>
    </row>
    <row r="13092">
      <c r="B13092" s="31"/>
      <c r="G13092" s="272" t="s">
        <v>1099</v>
      </c>
    </row>
    <row r="13093">
      <c r="B13093" s="31"/>
      <c r="G13093" s="272" t="s">
        <v>1099</v>
      </c>
    </row>
    <row r="13094">
      <c r="B13094" s="31"/>
      <c r="G13094" s="272" t="s">
        <v>1099</v>
      </c>
    </row>
    <row r="13095">
      <c r="B13095" s="31"/>
      <c r="G13095" s="272" t="s">
        <v>1099</v>
      </c>
    </row>
    <row r="13096">
      <c r="B13096" s="31"/>
      <c r="G13096" s="272" t="s">
        <v>1099</v>
      </c>
    </row>
    <row r="13097">
      <c r="B13097" s="31"/>
      <c r="G13097" s="272" t="s">
        <v>1099</v>
      </c>
    </row>
    <row r="13098">
      <c r="B13098" s="31"/>
      <c r="G13098" s="272" t="s">
        <v>1099</v>
      </c>
    </row>
    <row r="13099">
      <c r="B13099" s="31"/>
      <c r="G13099" s="272" t="s">
        <v>1099</v>
      </c>
    </row>
    <row r="13100">
      <c r="B13100" s="31"/>
      <c r="G13100" s="272" t="s">
        <v>1099</v>
      </c>
    </row>
    <row r="13101">
      <c r="B13101" s="31"/>
      <c r="G13101" s="272" t="s">
        <v>1099</v>
      </c>
    </row>
    <row r="13102">
      <c r="B13102" s="31"/>
      <c r="G13102" s="272" t="s">
        <v>1099</v>
      </c>
    </row>
    <row r="13103">
      <c r="B13103" s="31"/>
      <c r="G13103" s="272" t="s">
        <v>1099</v>
      </c>
    </row>
    <row r="13104">
      <c r="B13104" s="31"/>
      <c r="G13104" s="272" t="s">
        <v>1099</v>
      </c>
    </row>
    <row r="13105">
      <c r="B13105" s="31"/>
      <c r="G13105" s="272" t="s">
        <v>1099</v>
      </c>
    </row>
    <row r="13106">
      <c r="B13106" s="31"/>
      <c r="G13106" s="272" t="s">
        <v>1099</v>
      </c>
    </row>
    <row r="13107">
      <c r="B13107" s="31"/>
      <c r="G13107" s="272" t="s">
        <v>1099</v>
      </c>
    </row>
    <row r="13108">
      <c r="B13108" s="31"/>
      <c r="G13108" s="272" t="s">
        <v>1099</v>
      </c>
    </row>
    <row r="13109">
      <c r="B13109" s="31"/>
      <c r="G13109" s="272" t="s">
        <v>1099</v>
      </c>
    </row>
    <row r="13110">
      <c r="B13110" s="31"/>
      <c r="G13110" s="272" t="s">
        <v>1099</v>
      </c>
    </row>
    <row r="13111">
      <c r="B13111" s="31"/>
      <c r="G13111" s="272" t="s">
        <v>1099</v>
      </c>
    </row>
    <row r="13112">
      <c r="B13112" s="31"/>
      <c r="G13112" s="272" t="s">
        <v>1099</v>
      </c>
    </row>
    <row r="13113">
      <c r="B13113" s="31"/>
      <c r="G13113" s="272" t="s">
        <v>1099</v>
      </c>
    </row>
    <row r="13114">
      <c r="B13114" s="31"/>
      <c r="G13114" s="272" t="s">
        <v>1099</v>
      </c>
    </row>
    <row r="13115">
      <c r="B13115" s="31"/>
      <c r="G13115" s="272" t="s">
        <v>1099</v>
      </c>
    </row>
    <row r="13116">
      <c r="B13116" s="31"/>
      <c r="G13116" s="272" t="s">
        <v>1099</v>
      </c>
    </row>
    <row r="13117">
      <c r="B13117" s="31"/>
      <c r="G13117" s="272" t="s">
        <v>1099</v>
      </c>
    </row>
    <row r="13118">
      <c r="B13118" s="31"/>
      <c r="G13118" s="272" t="s">
        <v>1099</v>
      </c>
    </row>
    <row r="13119">
      <c r="B13119" s="31"/>
      <c r="G13119" s="272" t="s">
        <v>1099</v>
      </c>
    </row>
    <row r="13120">
      <c r="B13120" s="31"/>
      <c r="G13120" s="272" t="s">
        <v>1099</v>
      </c>
    </row>
    <row r="13121">
      <c r="B13121" s="31"/>
      <c r="G13121" s="272" t="s">
        <v>1099</v>
      </c>
    </row>
    <row r="13122">
      <c r="B13122" s="31"/>
      <c r="G13122" s="272" t="s">
        <v>1099</v>
      </c>
    </row>
    <row r="13123">
      <c r="B13123" s="31"/>
      <c r="G13123" s="272" t="s">
        <v>1099</v>
      </c>
    </row>
    <row r="13124">
      <c r="B13124" s="31"/>
      <c r="G13124" s="272" t="s">
        <v>1099</v>
      </c>
    </row>
    <row r="13125">
      <c r="B13125" s="31"/>
      <c r="G13125" s="272" t="s">
        <v>1099</v>
      </c>
    </row>
    <row r="13126">
      <c r="B13126" s="31"/>
      <c r="G13126" s="272" t="s">
        <v>1099</v>
      </c>
    </row>
    <row r="13127">
      <c r="B13127" s="31"/>
      <c r="G13127" s="272" t="s">
        <v>1099</v>
      </c>
    </row>
    <row r="13128">
      <c r="B13128" s="31"/>
      <c r="G13128" s="272" t="s">
        <v>1099</v>
      </c>
    </row>
    <row r="13129">
      <c r="B13129" s="31"/>
      <c r="G13129" s="272" t="s">
        <v>1099</v>
      </c>
    </row>
    <row r="13130">
      <c r="B13130" s="31"/>
      <c r="G13130" s="272" t="s">
        <v>1099</v>
      </c>
    </row>
    <row r="13131">
      <c r="B13131" s="31"/>
      <c r="G13131" s="272" t="s">
        <v>1099</v>
      </c>
    </row>
    <row r="13132">
      <c r="B13132" s="31"/>
      <c r="G13132" s="272" t="s">
        <v>1099</v>
      </c>
    </row>
    <row r="13133">
      <c r="B13133" s="31"/>
      <c r="G13133" s="272" t="s">
        <v>1099</v>
      </c>
    </row>
    <row r="13134">
      <c r="B13134" s="31"/>
      <c r="G13134" s="272" t="s">
        <v>1099</v>
      </c>
    </row>
    <row r="13135">
      <c r="B13135" s="31"/>
      <c r="G13135" s="272" t="s">
        <v>1099</v>
      </c>
    </row>
    <row r="13136">
      <c r="B13136" s="31"/>
      <c r="G13136" s="272" t="s">
        <v>1099</v>
      </c>
    </row>
    <row r="13137">
      <c r="B13137" s="31"/>
      <c r="G13137" s="272" t="s">
        <v>1099</v>
      </c>
    </row>
    <row r="13138">
      <c r="B13138" s="31"/>
      <c r="G13138" s="272" t="s">
        <v>1099</v>
      </c>
    </row>
    <row r="13139">
      <c r="B13139" s="31"/>
      <c r="G13139" s="272" t="s">
        <v>1099</v>
      </c>
    </row>
    <row r="13140">
      <c r="B13140" s="31"/>
      <c r="G13140" s="272" t="s">
        <v>1099</v>
      </c>
    </row>
    <row r="13141">
      <c r="B13141" s="31"/>
      <c r="G13141" s="272" t="s">
        <v>1099</v>
      </c>
    </row>
    <row r="13142">
      <c r="B13142" s="31"/>
      <c r="G13142" s="272" t="s">
        <v>1099</v>
      </c>
    </row>
    <row r="13143">
      <c r="B13143" s="31"/>
      <c r="G13143" s="272" t="s">
        <v>1099</v>
      </c>
    </row>
    <row r="13144">
      <c r="B13144" s="31"/>
      <c r="G13144" s="272" t="s">
        <v>1099</v>
      </c>
    </row>
    <row r="13145">
      <c r="B13145" s="31"/>
      <c r="G13145" s="272" t="s">
        <v>1099</v>
      </c>
    </row>
    <row r="13146">
      <c r="B13146" s="31"/>
      <c r="G13146" s="272" t="s">
        <v>1099</v>
      </c>
    </row>
    <row r="13147">
      <c r="B13147" s="31"/>
      <c r="G13147" s="272" t="s">
        <v>1099</v>
      </c>
    </row>
    <row r="13148">
      <c r="B13148" s="31"/>
      <c r="G13148" s="272" t="s">
        <v>1099</v>
      </c>
    </row>
    <row r="13149">
      <c r="B13149" s="31"/>
      <c r="G13149" s="272" t="s">
        <v>1099</v>
      </c>
    </row>
    <row r="13150">
      <c r="B13150" s="31"/>
      <c r="G13150" s="272" t="s">
        <v>1099</v>
      </c>
    </row>
    <row r="13151">
      <c r="B13151" s="31"/>
      <c r="G13151" s="272" t="s">
        <v>1099</v>
      </c>
    </row>
    <row r="13152">
      <c r="B13152" s="31"/>
      <c r="G13152" s="272" t="s">
        <v>1099</v>
      </c>
    </row>
    <row r="13153">
      <c r="B13153" s="31"/>
      <c r="G13153" s="272" t="s">
        <v>1099</v>
      </c>
    </row>
    <row r="13154">
      <c r="B13154" s="31"/>
      <c r="G13154" s="272" t="s">
        <v>1099</v>
      </c>
    </row>
    <row r="13155">
      <c r="B13155" s="31"/>
      <c r="G13155" s="272" t="s">
        <v>1099</v>
      </c>
    </row>
    <row r="13156">
      <c r="B13156" s="31"/>
      <c r="G13156" s="272" t="s">
        <v>1099</v>
      </c>
    </row>
    <row r="13157">
      <c r="B13157" s="31"/>
      <c r="G13157" s="272" t="s">
        <v>1099</v>
      </c>
    </row>
    <row r="13158">
      <c r="B13158" s="31"/>
      <c r="G13158" s="272" t="s">
        <v>1099</v>
      </c>
    </row>
    <row r="13159">
      <c r="B13159" s="31"/>
      <c r="G13159" s="272" t="s">
        <v>1099</v>
      </c>
    </row>
    <row r="13160">
      <c r="B13160" s="31"/>
      <c r="G13160" s="272" t="s">
        <v>1099</v>
      </c>
    </row>
    <row r="13161">
      <c r="B13161" s="31"/>
      <c r="G13161" s="272" t="s">
        <v>1099</v>
      </c>
    </row>
    <row r="13162">
      <c r="B13162" s="31"/>
      <c r="G13162" s="272" t="s">
        <v>1099</v>
      </c>
    </row>
    <row r="13163">
      <c r="B13163" s="31"/>
      <c r="G13163" s="272" t="s">
        <v>1099</v>
      </c>
    </row>
    <row r="13164">
      <c r="B13164" s="31"/>
      <c r="G13164" s="272" t="s">
        <v>1099</v>
      </c>
    </row>
    <row r="13165">
      <c r="B13165" s="31"/>
      <c r="G13165" s="272" t="s">
        <v>1099</v>
      </c>
    </row>
    <row r="13166">
      <c r="B13166" s="31"/>
      <c r="G13166" s="272" t="s">
        <v>1099</v>
      </c>
    </row>
    <row r="13167">
      <c r="B13167" s="31"/>
      <c r="G13167" s="272" t="s">
        <v>1099</v>
      </c>
    </row>
    <row r="13168">
      <c r="B13168" s="31"/>
      <c r="G13168" s="272" t="s">
        <v>1099</v>
      </c>
    </row>
    <row r="13169">
      <c r="B13169" s="31"/>
      <c r="G13169" s="272" t="s">
        <v>1099</v>
      </c>
    </row>
    <row r="13170">
      <c r="B13170" s="31"/>
      <c r="G13170" s="272" t="s">
        <v>1099</v>
      </c>
    </row>
    <row r="13171">
      <c r="B13171" s="31"/>
      <c r="G13171" s="272" t="s">
        <v>1099</v>
      </c>
    </row>
    <row r="13172">
      <c r="B13172" s="31"/>
      <c r="G13172" s="272" t="s">
        <v>1099</v>
      </c>
    </row>
    <row r="13173">
      <c r="B13173" s="31"/>
      <c r="G13173" s="272" t="s">
        <v>1099</v>
      </c>
    </row>
    <row r="13174">
      <c r="B13174" s="31"/>
      <c r="G13174" s="272" t="s">
        <v>1099</v>
      </c>
    </row>
    <row r="13175">
      <c r="B13175" s="31"/>
      <c r="G13175" s="272" t="s">
        <v>1099</v>
      </c>
    </row>
    <row r="13176">
      <c r="B13176" s="31"/>
      <c r="G13176" s="272" t="s">
        <v>1099</v>
      </c>
    </row>
    <row r="13177">
      <c r="B13177" s="31"/>
      <c r="G13177" s="272" t="s">
        <v>1099</v>
      </c>
    </row>
    <row r="13178">
      <c r="B13178" s="31"/>
      <c r="G13178" s="272" t="s">
        <v>1099</v>
      </c>
    </row>
    <row r="13179">
      <c r="B13179" s="31"/>
      <c r="G13179" s="272" t="s">
        <v>1099</v>
      </c>
    </row>
    <row r="13180">
      <c r="B13180" s="31"/>
      <c r="G13180" s="272" t="s">
        <v>1099</v>
      </c>
    </row>
    <row r="13181">
      <c r="B13181" s="31"/>
      <c r="G13181" s="272" t="s">
        <v>1099</v>
      </c>
    </row>
    <row r="13182">
      <c r="B13182" s="31"/>
      <c r="G13182" s="272" t="s">
        <v>1099</v>
      </c>
    </row>
    <row r="13183">
      <c r="B13183" s="31"/>
      <c r="G13183" s="272" t="s">
        <v>1099</v>
      </c>
    </row>
    <row r="13184">
      <c r="B13184" s="31"/>
      <c r="G13184" s="272" t="s">
        <v>1099</v>
      </c>
    </row>
    <row r="13185">
      <c r="B13185" s="31"/>
      <c r="G13185" s="272" t="s">
        <v>1099</v>
      </c>
    </row>
    <row r="13186">
      <c r="B13186" s="31"/>
      <c r="G13186" s="272" t="s">
        <v>1099</v>
      </c>
    </row>
    <row r="13187">
      <c r="B13187" s="31"/>
      <c r="G13187" s="272" t="s">
        <v>1099</v>
      </c>
    </row>
    <row r="13188">
      <c r="B13188" s="31"/>
      <c r="G13188" s="272" t="s">
        <v>1099</v>
      </c>
    </row>
    <row r="13189">
      <c r="B13189" s="31"/>
      <c r="G13189" s="272" t="s">
        <v>1099</v>
      </c>
    </row>
    <row r="13190">
      <c r="B13190" s="31"/>
      <c r="G13190" s="272" t="s">
        <v>1099</v>
      </c>
    </row>
    <row r="13191">
      <c r="B13191" s="31"/>
      <c r="G13191" s="272" t="s">
        <v>1099</v>
      </c>
    </row>
    <row r="13192">
      <c r="B13192" s="31"/>
      <c r="G13192" s="272" t="s">
        <v>1099</v>
      </c>
    </row>
    <row r="13193">
      <c r="B13193" s="31"/>
      <c r="G13193" s="272" t="s">
        <v>1099</v>
      </c>
    </row>
    <row r="13194">
      <c r="B13194" s="31"/>
      <c r="G13194" s="272" t="s">
        <v>1099</v>
      </c>
    </row>
    <row r="13195">
      <c r="B13195" s="31"/>
      <c r="G13195" s="272" t="s">
        <v>1099</v>
      </c>
    </row>
    <row r="13196">
      <c r="B13196" s="31"/>
      <c r="G13196" s="272" t="s">
        <v>1099</v>
      </c>
    </row>
    <row r="13197">
      <c r="B13197" s="31"/>
      <c r="G13197" s="272" t="s">
        <v>1099</v>
      </c>
    </row>
    <row r="13198">
      <c r="B13198" s="31"/>
      <c r="G13198" s="272" t="s">
        <v>1099</v>
      </c>
    </row>
    <row r="13199">
      <c r="B13199" s="31"/>
      <c r="G13199" s="272" t="s">
        <v>1099</v>
      </c>
    </row>
    <row r="13200">
      <c r="B13200" s="31"/>
      <c r="G13200" s="272" t="s">
        <v>1099</v>
      </c>
    </row>
    <row r="13201">
      <c r="B13201" s="31"/>
      <c r="G13201" s="272" t="s">
        <v>1099</v>
      </c>
    </row>
    <row r="13202">
      <c r="B13202" s="31"/>
      <c r="G13202" s="272" t="s">
        <v>1099</v>
      </c>
    </row>
    <row r="13203">
      <c r="B13203" s="31"/>
      <c r="G13203" s="272" t="s">
        <v>1099</v>
      </c>
    </row>
    <row r="13204">
      <c r="B13204" s="31"/>
      <c r="G13204" s="272" t="s">
        <v>1099</v>
      </c>
    </row>
    <row r="13205">
      <c r="B13205" s="31"/>
      <c r="G13205" s="272" t="s">
        <v>1099</v>
      </c>
    </row>
    <row r="13206">
      <c r="B13206" s="31"/>
      <c r="G13206" s="272" t="s">
        <v>1099</v>
      </c>
    </row>
    <row r="13207">
      <c r="B13207" s="31"/>
      <c r="G13207" s="272" t="s">
        <v>1099</v>
      </c>
    </row>
    <row r="13208">
      <c r="B13208" s="31"/>
      <c r="G13208" s="272" t="s">
        <v>1099</v>
      </c>
    </row>
    <row r="13209">
      <c r="B13209" s="31"/>
      <c r="G13209" s="272" t="s">
        <v>1099</v>
      </c>
    </row>
    <row r="13210">
      <c r="B13210" s="31"/>
      <c r="G13210" s="272" t="s">
        <v>1099</v>
      </c>
    </row>
    <row r="13211">
      <c r="B13211" s="31"/>
      <c r="G13211" s="272" t="s">
        <v>1099</v>
      </c>
    </row>
    <row r="13212">
      <c r="B13212" s="31"/>
      <c r="G13212" s="272" t="s">
        <v>1099</v>
      </c>
    </row>
    <row r="13213">
      <c r="B13213" s="31"/>
      <c r="G13213" s="272" t="s">
        <v>1099</v>
      </c>
    </row>
    <row r="13214">
      <c r="B13214" s="31"/>
      <c r="G13214" s="272" t="s">
        <v>1099</v>
      </c>
    </row>
    <row r="13215">
      <c r="B13215" s="31"/>
      <c r="G13215" s="272" t="s">
        <v>1099</v>
      </c>
    </row>
    <row r="13216">
      <c r="B13216" s="31"/>
      <c r="G13216" s="272" t="s">
        <v>1099</v>
      </c>
    </row>
    <row r="13217">
      <c r="B13217" s="31"/>
      <c r="G13217" s="272" t="s">
        <v>1099</v>
      </c>
    </row>
    <row r="13218">
      <c r="B13218" s="31"/>
      <c r="G13218" s="272" t="s">
        <v>1099</v>
      </c>
    </row>
    <row r="13219">
      <c r="B13219" s="31"/>
      <c r="G13219" s="272" t="s">
        <v>1099</v>
      </c>
    </row>
    <row r="13220">
      <c r="B13220" s="31"/>
      <c r="G13220" s="272" t="s">
        <v>1099</v>
      </c>
    </row>
    <row r="13221">
      <c r="B13221" s="31"/>
      <c r="G13221" s="272" t="s">
        <v>1099</v>
      </c>
    </row>
    <row r="13222">
      <c r="B13222" s="31"/>
      <c r="G13222" s="272" t="s">
        <v>1099</v>
      </c>
    </row>
    <row r="13223">
      <c r="B13223" s="31"/>
      <c r="G13223" s="272" t="s">
        <v>1099</v>
      </c>
    </row>
    <row r="13224">
      <c r="B13224" s="31"/>
      <c r="G13224" s="272" t="s">
        <v>1099</v>
      </c>
    </row>
    <row r="13225">
      <c r="B13225" s="31"/>
      <c r="G13225" s="272" t="s">
        <v>1099</v>
      </c>
    </row>
    <row r="13226">
      <c r="B13226" s="31"/>
      <c r="G13226" s="272" t="s">
        <v>1099</v>
      </c>
    </row>
    <row r="13227">
      <c r="B13227" s="31"/>
      <c r="G13227" s="272" t="s">
        <v>1099</v>
      </c>
    </row>
    <row r="13228">
      <c r="B13228" s="31"/>
      <c r="G13228" s="272" t="s">
        <v>1099</v>
      </c>
    </row>
    <row r="13229">
      <c r="B13229" s="31"/>
      <c r="G13229" s="272" t="s">
        <v>1099</v>
      </c>
    </row>
    <row r="13230">
      <c r="B13230" s="31"/>
      <c r="G13230" s="272" t="s">
        <v>1099</v>
      </c>
    </row>
    <row r="13231">
      <c r="B13231" s="31"/>
      <c r="G13231" s="272" t="s">
        <v>1099</v>
      </c>
    </row>
    <row r="13232">
      <c r="B13232" s="31"/>
      <c r="G13232" s="272" t="s">
        <v>1099</v>
      </c>
    </row>
    <row r="13233">
      <c r="B13233" s="31"/>
      <c r="G13233" s="272" t="s">
        <v>1099</v>
      </c>
    </row>
    <row r="13234">
      <c r="B13234" s="31"/>
      <c r="G13234" s="272" t="s">
        <v>1099</v>
      </c>
    </row>
    <row r="13235">
      <c r="B13235" s="31"/>
      <c r="G13235" s="272" t="s">
        <v>1099</v>
      </c>
    </row>
    <row r="13236">
      <c r="B13236" s="31"/>
      <c r="G13236" s="272" t="s">
        <v>1099</v>
      </c>
    </row>
    <row r="13237">
      <c r="B13237" s="31"/>
      <c r="G13237" s="272" t="s">
        <v>1099</v>
      </c>
    </row>
    <row r="13238">
      <c r="B13238" s="31"/>
      <c r="G13238" s="272" t="s">
        <v>1099</v>
      </c>
    </row>
    <row r="13239">
      <c r="B13239" s="31"/>
      <c r="G13239" s="272" t="s">
        <v>1099</v>
      </c>
    </row>
    <row r="13240">
      <c r="B13240" s="31"/>
      <c r="G13240" s="272" t="s">
        <v>1099</v>
      </c>
    </row>
    <row r="13241">
      <c r="B13241" s="31"/>
      <c r="G13241" s="272" t="s">
        <v>1099</v>
      </c>
    </row>
    <row r="13242">
      <c r="B13242" s="31"/>
      <c r="G13242" s="272" t="s">
        <v>1099</v>
      </c>
    </row>
    <row r="13243">
      <c r="B13243" s="31"/>
      <c r="G13243" s="272" t="s">
        <v>1099</v>
      </c>
    </row>
    <row r="13244">
      <c r="B13244" s="31"/>
      <c r="G13244" s="272" t="s">
        <v>1099</v>
      </c>
    </row>
    <row r="13245">
      <c r="B13245" s="31"/>
      <c r="G13245" s="272" t="s">
        <v>1099</v>
      </c>
    </row>
    <row r="13246">
      <c r="B13246" s="31"/>
      <c r="G13246" s="272" t="s">
        <v>1099</v>
      </c>
    </row>
    <row r="13247">
      <c r="B13247" s="31"/>
      <c r="G13247" s="272" t="s">
        <v>1099</v>
      </c>
    </row>
    <row r="13248">
      <c r="B13248" s="31"/>
      <c r="G13248" s="272" t="s">
        <v>1099</v>
      </c>
    </row>
    <row r="13249">
      <c r="B13249" s="31"/>
      <c r="G13249" s="272" t="s">
        <v>1099</v>
      </c>
    </row>
    <row r="13250">
      <c r="B13250" s="31"/>
      <c r="G13250" s="272" t="s">
        <v>1099</v>
      </c>
    </row>
    <row r="13251">
      <c r="B13251" s="31"/>
      <c r="G13251" s="272" t="s">
        <v>1099</v>
      </c>
    </row>
    <row r="13252">
      <c r="B13252" s="31"/>
      <c r="G13252" s="272" t="s">
        <v>1099</v>
      </c>
    </row>
    <row r="13253">
      <c r="B13253" s="31"/>
      <c r="G13253" s="272" t="s">
        <v>1099</v>
      </c>
    </row>
    <row r="13254">
      <c r="B13254" s="31"/>
      <c r="G13254" s="272" t="s">
        <v>1099</v>
      </c>
    </row>
    <row r="13255">
      <c r="B13255" s="31"/>
      <c r="G13255" s="272" t="s">
        <v>1099</v>
      </c>
    </row>
    <row r="13256">
      <c r="B13256" s="31"/>
      <c r="G13256" s="272" t="s">
        <v>1099</v>
      </c>
    </row>
    <row r="13257">
      <c r="B13257" s="31"/>
      <c r="G13257" s="272" t="s">
        <v>1099</v>
      </c>
    </row>
    <row r="13258">
      <c r="B13258" s="31"/>
      <c r="G13258" s="272" t="s">
        <v>1099</v>
      </c>
    </row>
    <row r="13259">
      <c r="B13259" s="31"/>
      <c r="G13259" s="272" t="s">
        <v>1099</v>
      </c>
    </row>
    <row r="13260">
      <c r="B13260" s="31"/>
      <c r="G13260" s="272" t="s">
        <v>1099</v>
      </c>
    </row>
    <row r="13261">
      <c r="B13261" s="31"/>
      <c r="G13261" s="272" t="s">
        <v>1099</v>
      </c>
    </row>
    <row r="13262">
      <c r="B13262" s="31"/>
      <c r="G13262" s="272" t="s">
        <v>1099</v>
      </c>
    </row>
    <row r="13263">
      <c r="B13263" s="31"/>
      <c r="G13263" s="272" t="s">
        <v>1099</v>
      </c>
    </row>
    <row r="13264">
      <c r="B13264" s="31"/>
      <c r="G13264" s="272" t="s">
        <v>1099</v>
      </c>
    </row>
    <row r="13265">
      <c r="B13265" s="31"/>
      <c r="G13265" s="272" t="s">
        <v>1099</v>
      </c>
    </row>
    <row r="13266">
      <c r="B13266" s="31"/>
      <c r="G13266" s="272" t="s">
        <v>1099</v>
      </c>
    </row>
    <row r="13267">
      <c r="B13267" s="31"/>
      <c r="G13267" s="272" t="s">
        <v>1099</v>
      </c>
    </row>
    <row r="13268">
      <c r="B13268" s="31"/>
      <c r="G13268" s="272" t="s">
        <v>1099</v>
      </c>
    </row>
    <row r="13269">
      <c r="B13269" s="31"/>
      <c r="G13269" s="272" t="s">
        <v>1099</v>
      </c>
    </row>
    <row r="13270">
      <c r="B13270" s="31"/>
      <c r="G13270" s="272" t="s">
        <v>1099</v>
      </c>
    </row>
    <row r="13271">
      <c r="B13271" s="31"/>
      <c r="G13271" s="272" t="s">
        <v>1099</v>
      </c>
    </row>
    <row r="13272">
      <c r="B13272" s="31"/>
      <c r="G13272" s="272" t="s">
        <v>1099</v>
      </c>
    </row>
    <row r="13273">
      <c r="B13273" s="31"/>
      <c r="G13273" s="272" t="s">
        <v>1099</v>
      </c>
    </row>
    <row r="13274">
      <c r="B13274" s="31"/>
      <c r="G13274" s="272" t="s">
        <v>1099</v>
      </c>
    </row>
    <row r="13275">
      <c r="B13275" s="31"/>
      <c r="G13275" s="272" t="s">
        <v>1099</v>
      </c>
    </row>
    <row r="13276">
      <c r="B13276" s="31"/>
      <c r="G13276" s="272" t="s">
        <v>1099</v>
      </c>
    </row>
    <row r="13277">
      <c r="B13277" s="31"/>
      <c r="G13277" s="272" t="s">
        <v>1099</v>
      </c>
    </row>
    <row r="13278">
      <c r="B13278" s="31"/>
      <c r="G13278" s="272" t="s">
        <v>1099</v>
      </c>
    </row>
    <row r="13279">
      <c r="B13279" s="31"/>
      <c r="G13279" s="272" t="s">
        <v>1099</v>
      </c>
    </row>
    <row r="13280">
      <c r="B13280" s="31"/>
      <c r="G13280" s="272" t="s">
        <v>1099</v>
      </c>
    </row>
    <row r="13281">
      <c r="B13281" s="31"/>
      <c r="G13281" s="272" t="s">
        <v>1099</v>
      </c>
    </row>
    <row r="13282">
      <c r="B13282" s="31"/>
      <c r="G13282" s="272" t="s">
        <v>1099</v>
      </c>
    </row>
    <row r="13283">
      <c r="B13283" s="31"/>
      <c r="G13283" s="272" t="s">
        <v>1099</v>
      </c>
    </row>
    <row r="13284">
      <c r="B13284" s="31"/>
      <c r="G13284" s="272" t="s">
        <v>1099</v>
      </c>
    </row>
    <row r="13285">
      <c r="B13285" s="31"/>
      <c r="G13285" s="272" t="s">
        <v>1099</v>
      </c>
    </row>
    <row r="13286">
      <c r="B13286" s="31"/>
      <c r="G13286" s="272" t="s">
        <v>1099</v>
      </c>
    </row>
    <row r="13287">
      <c r="B13287" s="31"/>
      <c r="G13287" s="272" t="s">
        <v>1099</v>
      </c>
    </row>
    <row r="13288">
      <c r="B13288" s="31"/>
      <c r="G13288" s="272" t="s">
        <v>1099</v>
      </c>
    </row>
    <row r="13289">
      <c r="B13289" s="31"/>
      <c r="G13289" s="272" t="s">
        <v>1099</v>
      </c>
    </row>
    <row r="13290">
      <c r="B13290" s="31"/>
      <c r="G13290" s="272" t="s">
        <v>1099</v>
      </c>
    </row>
    <row r="13291">
      <c r="B13291" s="31"/>
      <c r="G13291" s="272" t="s">
        <v>1099</v>
      </c>
    </row>
    <row r="13292">
      <c r="B13292" s="31"/>
      <c r="G13292" s="272" t="s">
        <v>1099</v>
      </c>
    </row>
    <row r="13293">
      <c r="B13293" s="31"/>
      <c r="G13293" s="272" t="s">
        <v>1099</v>
      </c>
    </row>
    <row r="13294">
      <c r="B13294" s="31"/>
      <c r="G13294" s="272" t="s">
        <v>1099</v>
      </c>
    </row>
    <row r="13295">
      <c r="B13295" s="31"/>
      <c r="G13295" s="272" t="s">
        <v>1099</v>
      </c>
    </row>
    <row r="13296">
      <c r="B13296" s="31"/>
      <c r="G13296" s="272" t="s">
        <v>1099</v>
      </c>
    </row>
    <row r="13297">
      <c r="B13297" s="31"/>
      <c r="G13297" s="272" t="s">
        <v>1099</v>
      </c>
    </row>
    <row r="13298">
      <c r="B13298" s="31"/>
      <c r="G13298" s="272" t="s">
        <v>1099</v>
      </c>
    </row>
    <row r="13299">
      <c r="B13299" s="31"/>
      <c r="G13299" s="272" t="s">
        <v>1099</v>
      </c>
    </row>
    <row r="13300">
      <c r="B13300" s="31"/>
      <c r="G13300" s="272" t="s">
        <v>1099</v>
      </c>
    </row>
    <row r="13301">
      <c r="B13301" s="31"/>
      <c r="G13301" s="272" t="s">
        <v>1099</v>
      </c>
    </row>
    <row r="13302">
      <c r="B13302" s="31"/>
      <c r="G13302" s="272" t="s">
        <v>1099</v>
      </c>
    </row>
    <row r="13303">
      <c r="B13303" s="31"/>
      <c r="G13303" s="272" t="s">
        <v>1099</v>
      </c>
    </row>
    <row r="13304">
      <c r="B13304" s="31"/>
      <c r="G13304" s="272" t="s">
        <v>1099</v>
      </c>
    </row>
    <row r="13305">
      <c r="B13305" s="31"/>
      <c r="G13305" s="272" t="s">
        <v>1099</v>
      </c>
    </row>
    <row r="13306">
      <c r="B13306" s="31"/>
      <c r="G13306" s="272" t="s">
        <v>1099</v>
      </c>
    </row>
    <row r="13307">
      <c r="B13307" s="31"/>
      <c r="G13307" s="272" t="s">
        <v>1099</v>
      </c>
    </row>
    <row r="13308">
      <c r="B13308" s="31"/>
      <c r="G13308" s="272" t="s">
        <v>1099</v>
      </c>
    </row>
    <row r="13309">
      <c r="B13309" s="31"/>
      <c r="G13309" s="272" t="s">
        <v>1099</v>
      </c>
    </row>
    <row r="13310">
      <c r="B13310" s="31"/>
      <c r="G13310" s="272" t="s">
        <v>1099</v>
      </c>
    </row>
    <row r="13311">
      <c r="B13311" s="31"/>
      <c r="G13311" s="272" t="s">
        <v>1099</v>
      </c>
    </row>
    <row r="13312">
      <c r="B13312" s="31"/>
      <c r="G13312" s="272" t="s">
        <v>1099</v>
      </c>
    </row>
    <row r="13313">
      <c r="B13313" s="31"/>
      <c r="G13313" s="272" t="s">
        <v>1099</v>
      </c>
    </row>
    <row r="13314">
      <c r="B13314" s="31"/>
      <c r="G13314" s="272" t="s">
        <v>1099</v>
      </c>
    </row>
    <row r="13315">
      <c r="B13315" s="31"/>
      <c r="G13315" s="272" t="s">
        <v>1099</v>
      </c>
    </row>
    <row r="13316">
      <c r="B13316" s="31"/>
      <c r="G13316" s="272" t="s">
        <v>1099</v>
      </c>
    </row>
    <row r="13317">
      <c r="B13317" s="31"/>
      <c r="G13317" s="272" t="s">
        <v>1099</v>
      </c>
    </row>
    <row r="13318">
      <c r="B13318" s="31"/>
      <c r="G13318" s="272" t="s">
        <v>1099</v>
      </c>
    </row>
    <row r="13319">
      <c r="B13319" s="31"/>
      <c r="G13319" s="272" t="s">
        <v>1099</v>
      </c>
    </row>
    <row r="13320">
      <c r="B13320" s="31"/>
      <c r="G13320" s="272" t="s">
        <v>1099</v>
      </c>
    </row>
    <row r="13321">
      <c r="B13321" s="31"/>
      <c r="G13321" s="272" t="s">
        <v>1099</v>
      </c>
    </row>
    <row r="13322">
      <c r="B13322" s="31"/>
      <c r="G13322" s="272" t="s">
        <v>1099</v>
      </c>
    </row>
    <row r="13323">
      <c r="B13323" s="31"/>
      <c r="G13323" s="272" t="s">
        <v>1099</v>
      </c>
    </row>
    <row r="13324">
      <c r="B13324" s="31"/>
      <c r="G13324" s="272" t="s">
        <v>1099</v>
      </c>
    </row>
    <row r="13325">
      <c r="B13325" s="31"/>
      <c r="G13325" s="272" t="s">
        <v>1099</v>
      </c>
    </row>
    <row r="13326">
      <c r="B13326" s="31"/>
      <c r="G13326" s="272" t="s">
        <v>1099</v>
      </c>
    </row>
    <row r="13327">
      <c r="B13327" s="31"/>
      <c r="G13327" s="272" t="s">
        <v>1099</v>
      </c>
    </row>
    <row r="13328">
      <c r="B13328" s="31"/>
      <c r="G13328" s="272" t="s">
        <v>1099</v>
      </c>
    </row>
    <row r="13329">
      <c r="B13329" s="31"/>
      <c r="G13329" s="272" t="s">
        <v>1099</v>
      </c>
    </row>
    <row r="13330">
      <c r="B13330" s="31"/>
      <c r="G13330" s="272" t="s">
        <v>1099</v>
      </c>
    </row>
    <row r="13331">
      <c r="B13331" s="31"/>
      <c r="G13331" s="272" t="s">
        <v>1099</v>
      </c>
    </row>
    <row r="13332">
      <c r="B13332" s="31"/>
      <c r="G13332" s="272" t="s">
        <v>1099</v>
      </c>
    </row>
    <row r="13333">
      <c r="B13333" s="31"/>
      <c r="G13333" s="272" t="s">
        <v>1099</v>
      </c>
    </row>
    <row r="13334">
      <c r="B13334" s="31"/>
      <c r="G13334" s="272" t="s">
        <v>1099</v>
      </c>
    </row>
    <row r="13335">
      <c r="B13335" s="31"/>
      <c r="G13335" s="272" t="s">
        <v>1099</v>
      </c>
    </row>
    <row r="13336">
      <c r="B13336" s="31"/>
      <c r="G13336" s="272" t="s">
        <v>1099</v>
      </c>
    </row>
    <row r="13337">
      <c r="B13337" s="31"/>
      <c r="G13337" s="272" t="s">
        <v>1099</v>
      </c>
    </row>
    <row r="13338">
      <c r="B13338" s="31"/>
      <c r="G13338" s="272" t="s">
        <v>1099</v>
      </c>
    </row>
    <row r="13339">
      <c r="B13339" s="31"/>
      <c r="G13339" s="272" t="s">
        <v>1099</v>
      </c>
    </row>
    <row r="13340">
      <c r="B13340" s="31"/>
      <c r="G13340" s="272" t="s">
        <v>1099</v>
      </c>
    </row>
    <row r="13341">
      <c r="B13341" s="31"/>
      <c r="G13341" s="272" t="s">
        <v>1099</v>
      </c>
    </row>
    <row r="13342">
      <c r="B13342" s="31"/>
      <c r="G13342" s="272" t="s">
        <v>1099</v>
      </c>
    </row>
    <row r="13343">
      <c r="B13343" s="31"/>
      <c r="G13343" s="272" t="s">
        <v>1099</v>
      </c>
    </row>
    <row r="13344">
      <c r="B13344" s="31"/>
      <c r="G13344" s="272" t="s">
        <v>1099</v>
      </c>
    </row>
    <row r="13345">
      <c r="B13345" s="31"/>
      <c r="G13345" s="272" t="s">
        <v>1099</v>
      </c>
    </row>
    <row r="13346">
      <c r="B13346" s="31"/>
      <c r="G13346" s="272" t="s">
        <v>1099</v>
      </c>
    </row>
    <row r="13347">
      <c r="B13347" s="31"/>
      <c r="G13347" s="272" t="s">
        <v>1099</v>
      </c>
    </row>
    <row r="13348">
      <c r="B13348" s="31"/>
      <c r="G13348" s="272" t="s">
        <v>1099</v>
      </c>
    </row>
    <row r="13349">
      <c r="B13349" s="31"/>
      <c r="G13349" s="272" t="s">
        <v>1099</v>
      </c>
    </row>
    <row r="13350">
      <c r="B13350" s="31"/>
      <c r="G13350" s="272" t="s">
        <v>1099</v>
      </c>
    </row>
    <row r="13351">
      <c r="B13351" s="31"/>
      <c r="G13351" s="272" t="s">
        <v>1099</v>
      </c>
    </row>
    <row r="13352">
      <c r="B13352" s="31"/>
      <c r="G13352" s="272" t="s">
        <v>1099</v>
      </c>
    </row>
    <row r="13353">
      <c r="B13353" s="31"/>
      <c r="G13353" s="272" t="s">
        <v>1099</v>
      </c>
    </row>
    <row r="13354">
      <c r="B13354" s="31"/>
      <c r="G13354" s="272" t="s">
        <v>1099</v>
      </c>
    </row>
    <row r="13355">
      <c r="B13355" s="31"/>
      <c r="G13355" s="272" t="s">
        <v>1099</v>
      </c>
    </row>
    <row r="13356">
      <c r="B13356" s="31"/>
      <c r="G13356" s="272" t="s">
        <v>1099</v>
      </c>
    </row>
    <row r="13357">
      <c r="B13357" s="31"/>
      <c r="G13357" s="272" t="s">
        <v>1099</v>
      </c>
    </row>
    <row r="13358">
      <c r="B13358" s="31"/>
      <c r="G13358" s="272" t="s">
        <v>1099</v>
      </c>
    </row>
    <row r="13359">
      <c r="B13359" s="31"/>
      <c r="G13359" s="272" t="s">
        <v>1099</v>
      </c>
    </row>
    <row r="13360">
      <c r="B13360" s="31"/>
      <c r="G13360" s="272" t="s">
        <v>1099</v>
      </c>
    </row>
    <row r="13361">
      <c r="B13361" s="31"/>
      <c r="G13361" s="272" t="s">
        <v>1099</v>
      </c>
    </row>
    <row r="13362">
      <c r="B13362" s="31"/>
      <c r="G13362" s="272" t="s">
        <v>1099</v>
      </c>
    </row>
    <row r="13363">
      <c r="B13363" s="31"/>
      <c r="G13363" s="272" t="s">
        <v>1099</v>
      </c>
    </row>
    <row r="13364">
      <c r="B13364" s="31"/>
      <c r="G13364" s="272" t="s">
        <v>1099</v>
      </c>
    </row>
    <row r="13365">
      <c r="B13365" s="31"/>
      <c r="G13365" s="272" t="s">
        <v>1099</v>
      </c>
    </row>
    <row r="13366">
      <c r="B13366" s="31"/>
      <c r="G13366" s="272" t="s">
        <v>1099</v>
      </c>
    </row>
    <row r="13367">
      <c r="B13367" s="31"/>
      <c r="G13367" s="272" t="s">
        <v>1099</v>
      </c>
    </row>
    <row r="13368">
      <c r="B13368" s="31"/>
      <c r="G13368" s="272" t="s">
        <v>1099</v>
      </c>
    </row>
    <row r="13369">
      <c r="B13369" s="31"/>
      <c r="G13369" s="272" t="s">
        <v>1099</v>
      </c>
    </row>
    <row r="13370">
      <c r="B13370" s="31"/>
      <c r="G13370" s="272" t="s">
        <v>1099</v>
      </c>
    </row>
    <row r="13371">
      <c r="B13371" s="31"/>
      <c r="G13371" s="272" t="s">
        <v>1099</v>
      </c>
    </row>
    <row r="13372">
      <c r="B13372" s="31"/>
      <c r="G13372" s="272" t="s">
        <v>1099</v>
      </c>
    </row>
    <row r="13373">
      <c r="B13373" s="31"/>
      <c r="G13373" s="272" t="s">
        <v>1099</v>
      </c>
    </row>
    <row r="13374">
      <c r="B13374" s="31"/>
      <c r="G13374" s="272" t="s">
        <v>1099</v>
      </c>
    </row>
    <row r="13375">
      <c r="B13375" s="31"/>
      <c r="G13375" s="272" t="s">
        <v>1099</v>
      </c>
    </row>
    <row r="13376">
      <c r="B13376" s="31"/>
      <c r="G13376" s="272" t="s">
        <v>1099</v>
      </c>
    </row>
    <row r="13377">
      <c r="B13377" s="31"/>
      <c r="G13377" s="272" t="s">
        <v>1099</v>
      </c>
    </row>
    <row r="13378">
      <c r="B13378" s="31"/>
      <c r="G13378" s="272" t="s">
        <v>1099</v>
      </c>
    </row>
    <row r="13379">
      <c r="B13379" s="31"/>
      <c r="G13379" s="272" t="s">
        <v>1099</v>
      </c>
    </row>
    <row r="13380">
      <c r="B13380" s="31"/>
      <c r="G13380" s="272" t="s">
        <v>1099</v>
      </c>
    </row>
    <row r="13381">
      <c r="B13381" s="31"/>
      <c r="G13381" s="272" t="s">
        <v>1099</v>
      </c>
    </row>
    <row r="13382">
      <c r="B13382" s="31"/>
      <c r="G13382" s="272" t="s">
        <v>1099</v>
      </c>
    </row>
    <row r="13383">
      <c r="B13383" s="31"/>
      <c r="G13383" s="272" t="s">
        <v>1099</v>
      </c>
    </row>
    <row r="13384">
      <c r="B13384" s="31"/>
      <c r="G13384" s="272" t="s">
        <v>1099</v>
      </c>
    </row>
    <row r="13385">
      <c r="B13385" s="31"/>
      <c r="G13385" s="272" t="s">
        <v>1099</v>
      </c>
    </row>
    <row r="13386">
      <c r="B13386" s="31"/>
      <c r="G13386" s="272" t="s">
        <v>1099</v>
      </c>
    </row>
    <row r="13387">
      <c r="B13387" s="31"/>
      <c r="G13387" s="272" t="s">
        <v>1099</v>
      </c>
    </row>
    <row r="13388">
      <c r="B13388" s="31"/>
      <c r="G13388" s="272" t="s">
        <v>1099</v>
      </c>
    </row>
    <row r="13389">
      <c r="B13389" s="31"/>
      <c r="G13389" s="272" t="s">
        <v>1099</v>
      </c>
    </row>
    <row r="13390">
      <c r="B13390" s="31"/>
      <c r="G13390" s="272" t="s">
        <v>1099</v>
      </c>
    </row>
    <row r="13391">
      <c r="B13391" s="31"/>
      <c r="G13391" s="272" t="s">
        <v>1099</v>
      </c>
    </row>
    <row r="13392">
      <c r="B13392" s="31"/>
      <c r="G13392" s="272" t="s">
        <v>1099</v>
      </c>
    </row>
    <row r="13393">
      <c r="B13393" s="31"/>
      <c r="G13393" s="272" t="s">
        <v>1099</v>
      </c>
    </row>
    <row r="13394">
      <c r="B13394" s="31"/>
      <c r="G13394" s="272" t="s">
        <v>1099</v>
      </c>
    </row>
    <row r="13395">
      <c r="B13395" s="31"/>
      <c r="G13395" s="272" t="s">
        <v>1099</v>
      </c>
    </row>
    <row r="13396">
      <c r="B13396" s="31"/>
      <c r="G13396" s="272" t="s">
        <v>1099</v>
      </c>
    </row>
    <row r="13397">
      <c r="B13397" s="31"/>
      <c r="G13397" s="272" t="s">
        <v>1099</v>
      </c>
    </row>
    <row r="13398">
      <c r="B13398" s="31"/>
      <c r="G13398" s="272" t="s">
        <v>1099</v>
      </c>
    </row>
    <row r="13399">
      <c r="B13399" s="31"/>
      <c r="G13399" s="272" t="s">
        <v>1099</v>
      </c>
    </row>
    <row r="13400">
      <c r="B13400" s="31"/>
      <c r="G13400" s="272" t="s">
        <v>1099</v>
      </c>
    </row>
    <row r="13401">
      <c r="B13401" s="31"/>
      <c r="G13401" s="272" t="s">
        <v>1099</v>
      </c>
    </row>
    <row r="13402">
      <c r="B13402" s="31"/>
      <c r="G13402" s="272" t="s">
        <v>1099</v>
      </c>
    </row>
    <row r="13403">
      <c r="B13403" s="31"/>
      <c r="G13403" s="272" t="s">
        <v>1099</v>
      </c>
    </row>
    <row r="13404">
      <c r="B13404" s="31"/>
      <c r="G13404" s="272" t="s">
        <v>1099</v>
      </c>
    </row>
    <row r="13405">
      <c r="B13405" s="31"/>
      <c r="G13405" s="272" t="s">
        <v>1099</v>
      </c>
    </row>
    <row r="13406">
      <c r="B13406" s="31"/>
      <c r="G13406" s="272" t="s">
        <v>1099</v>
      </c>
    </row>
    <row r="13407">
      <c r="B13407" s="31"/>
      <c r="G13407" s="272" t="s">
        <v>1099</v>
      </c>
    </row>
    <row r="13408">
      <c r="B13408" s="31"/>
      <c r="G13408" s="272" t="s">
        <v>1099</v>
      </c>
    </row>
    <row r="13409">
      <c r="B13409" s="31"/>
      <c r="G13409" s="272" t="s">
        <v>1099</v>
      </c>
    </row>
    <row r="13410">
      <c r="B13410" s="31"/>
      <c r="G13410" s="272" t="s">
        <v>1099</v>
      </c>
    </row>
    <row r="13411">
      <c r="B13411" s="31"/>
      <c r="G13411" s="272" t="s">
        <v>1099</v>
      </c>
    </row>
    <row r="13412">
      <c r="B13412" s="31"/>
      <c r="G13412" s="272" t="s">
        <v>1099</v>
      </c>
    </row>
    <row r="13413">
      <c r="B13413" s="31"/>
      <c r="G13413" s="272" t="s">
        <v>1099</v>
      </c>
    </row>
    <row r="13414">
      <c r="B13414" s="31"/>
      <c r="G13414" s="272" t="s">
        <v>1099</v>
      </c>
    </row>
    <row r="13415">
      <c r="B13415" s="31"/>
      <c r="G13415" s="272" t="s">
        <v>1099</v>
      </c>
    </row>
    <row r="13416">
      <c r="B13416" s="31"/>
      <c r="G13416" s="272" t="s">
        <v>1099</v>
      </c>
    </row>
    <row r="13417">
      <c r="B13417" s="31"/>
      <c r="G13417" s="272" t="s">
        <v>1099</v>
      </c>
    </row>
    <row r="13418">
      <c r="B13418" s="31"/>
      <c r="G13418" s="272" t="s">
        <v>1099</v>
      </c>
    </row>
    <row r="13419">
      <c r="B13419" s="31"/>
      <c r="G13419" s="272" t="s">
        <v>1099</v>
      </c>
    </row>
    <row r="13420">
      <c r="B13420" s="31"/>
      <c r="G13420" s="272" t="s">
        <v>1099</v>
      </c>
    </row>
    <row r="13421">
      <c r="B13421" s="31"/>
      <c r="G13421" s="272" t="s">
        <v>1099</v>
      </c>
    </row>
    <row r="13422">
      <c r="B13422" s="31"/>
      <c r="G13422" s="272" t="s">
        <v>1099</v>
      </c>
    </row>
    <row r="13423">
      <c r="B13423" s="31"/>
      <c r="G13423" s="272" t="s">
        <v>1099</v>
      </c>
    </row>
    <row r="13424">
      <c r="B13424" s="31"/>
      <c r="G13424" s="272" t="s">
        <v>1099</v>
      </c>
    </row>
    <row r="13425">
      <c r="B13425" s="31"/>
      <c r="G13425" s="272" t="s">
        <v>1099</v>
      </c>
    </row>
    <row r="13426">
      <c r="B13426" s="31"/>
      <c r="G13426" s="272" t="s">
        <v>1099</v>
      </c>
    </row>
    <row r="13427">
      <c r="B13427" s="31"/>
      <c r="G13427" s="272" t="s">
        <v>1099</v>
      </c>
    </row>
    <row r="13428">
      <c r="B13428" s="31"/>
      <c r="G13428" s="272" t="s">
        <v>1099</v>
      </c>
    </row>
    <row r="13429">
      <c r="B13429" s="31"/>
      <c r="G13429" s="272" t="s">
        <v>1099</v>
      </c>
    </row>
    <row r="13430">
      <c r="B13430" s="31"/>
      <c r="G13430" s="272" t="s">
        <v>1099</v>
      </c>
    </row>
    <row r="13431">
      <c r="B13431" s="31"/>
      <c r="G13431" s="272" t="s">
        <v>1099</v>
      </c>
    </row>
    <row r="13432">
      <c r="B13432" s="31"/>
      <c r="G13432" s="272" t="s">
        <v>1099</v>
      </c>
    </row>
    <row r="13433">
      <c r="B13433" s="31"/>
      <c r="G13433" s="272" t="s">
        <v>1099</v>
      </c>
    </row>
    <row r="13434">
      <c r="B13434" s="31"/>
      <c r="G13434" s="272" t="s">
        <v>1099</v>
      </c>
    </row>
    <row r="13435">
      <c r="B13435" s="31"/>
      <c r="G13435" s="272" t="s">
        <v>1099</v>
      </c>
    </row>
    <row r="13436">
      <c r="B13436" s="31"/>
      <c r="G13436" s="272" t="s">
        <v>1099</v>
      </c>
    </row>
    <row r="13437">
      <c r="B13437" s="31"/>
      <c r="G13437" s="272" t="s">
        <v>1099</v>
      </c>
    </row>
    <row r="13438">
      <c r="B13438" s="31"/>
      <c r="G13438" s="272" t="s">
        <v>1099</v>
      </c>
    </row>
    <row r="13439">
      <c r="B13439" s="31"/>
      <c r="G13439" s="272" t="s">
        <v>1099</v>
      </c>
    </row>
    <row r="13440">
      <c r="B13440" s="31"/>
      <c r="G13440" s="272" t="s">
        <v>1099</v>
      </c>
    </row>
    <row r="13441">
      <c r="B13441" s="31"/>
      <c r="G13441" s="272" t="s">
        <v>1099</v>
      </c>
    </row>
    <row r="13442">
      <c r="B13442" s="31"/>
      <c r="G13442" s="272" t="s">
        <v>1099</v>
      </c>
    </row>
    <row r="13443">
      <c r="B13443" s="31"/>
      <c r="G13443" s="272" t="s">
        <v>1099</v>
      </c>
    </row>
    <row r="13444">
      <c r="B13444" s="31"/>
      <c r="G13444" s="272" t="s">
        <v>1099</v>
      </c>
    </row>
    <row r="13445">
      <c r="B13445" s="31"/>
      <c r="G13445" s="272" t="s">
        <v>1099</v>
      </c>
    </row>
    <row r="13446">
      <c r="B13446" s="31"/>
      <c r="G13446" s="272" t="s">
        <v>1099</v>
      </c>
    </row>
    <row r="13447">
      <c r="B13447" s="31"/>
      <c r="G13447" s="272" t="s">
        <v>1099</v>
      </c>
    </row>
    <row r="13448">
      <c r="B13448" s="31"/>
      <c r="G13448" s="272" t="s">
        <v>1099</v>
      </c>
    </row>
    <row r="13449">
      <c r="B13449" s="31"/>
      <c r="G13449" s="272" t="s">
        <v>1099</v>
      </c>
    </row>
    <row r="13450">
      <c r="B13450" s="31"/>
      <c r="G13450" s="272" t="s">
        <v>1099</v>
      </c>
    </row>
    <row r="13451">
      <c r="B13451" s="31"/>
      <c r="G13451" s="272" t="s">
        <v>1099</v>
      </c>
    </row>
    <row r="13452">
      <c r="B13452" s="31"/>
      <c r="G13452" s="272" t="s">
        <v>1099</v>
      </c>
    </row>
    <row r="13453">
      <c r="B13453" s="31"/>
      <c r="G13453" s="272" t="s">
        <v>1099</v>
      </c>
    </row>
    <row r="13454">
      <c r="B13454" s="31"/>
      <c r="G13454" s="272" t="s">
        <v>1099</v>
      </c>
    </row>
    <row r="13455">
      <c r="B13455" s="31"/>
      <c r="G13455" s="272" t="s">
        <v>1099</v>
      </c>
    </row>
    <row r="13456">
      <c r="B13456" s="31"/>
      <c r="G13456" s="272" t="s">
        <v>1099</v>
      </c>
    </row>
    <row r="13457">
      <c r="B13457" s="31"/>
      <c r="G13457" s="272" t="s">
        <v>1099</v>
      </c>
    </row>
    <row r="13458">
      <c r="B13458" s="31"/>
      <c r="G13458" s="272" t="s">
        <v>1099</v>
      </c>
    </row>
    <row r="13459">
      <c r="B13459" s="31"/>
      <c r="G13459" s="272" t="s">
        <v>1099</v>
      </c>
    </row>
    <row r="13460">
      <c r="B13460" s="31"/>
      <c r="G13460" s="272" t="s">
        <v>1099</v>
      </c>
    </row>
    <row r="13461">
      <c r="B13461" s="31"/>
      <c r="G13461" s="272" t="s">
        <v>1099</v>
      </c>
    </row>
    <row r="13462">
      <c r="B13462" s="31"/>
      <c r="G13462" s="272" t="s">
        <v>1099</v>
      </c>
    </row>
    <row r="13463">
      <c r="B13463" s="31"/>
      <c r="G13463" s="272" t="s">
        <v>1099</v>
      </c>
    </row>
    <row r="13464">
      <c r="B13464" s="31"/>
      <c r="G13464" s="272" t="s">
        <v>1099</v>
      </c>
    </row>
    <row r="13465">
      <c r="B13465" s="31"/>
      <c r="G13465" s="272" t="s">
        <v>1099</v>
      </c>
    </row>
    <row r="13466">
      <c r="B13466" s="31"/>
      <c r="G13466" s="272" t="s">
        <v>1099</v>
      </c>
    </row>
    <row r="13467">
      <c r="B13467" s="31"/>
      <c r="G13467" s="272" t="s">
        <v>1099</v>
      </c>
    </row>
    <row r="13468">
      <c r="B13468" s="31"/>
      <c r="G13468" s="272" t="s">
        <v>1099</v>
      </c>
    </row>
    <row r="13469">
      <c r="B13469" s="31"/>
      <c r="G13469" s="272" t="s">
        <v>1099</v>
      </c>
    </row>
    <row r="13470">
      <c r="B13470" s="31"/>
      <c r="G13470" s="272" t="s">
        <v>1099</v>
      </c>
    </row>
    <row r="13471">
      <c r="B13471" s="31"/>
      <c r="G13471" s="272" t="s">
        <v>1099</v>
      </c>
    </row>
    <row r="13472">
      <c r="B13472" s="31"/>
      <c r="G13472" s="272" t="s">
        <v>1099</v>
      </c>
    </row>
    <row r="13473">
      <c r="B13473" s="31"/>
      <c r="G13473" s="272" t="s">
        <v>1099</v>
      </c>
    </row>
    <row r="13474">
      <c r="B13474" s="31"/>
      <c r="G13474" s="272" t="s">
        <v>1099</v>
      </c>
    </row>
    <row r="13475">
      <c r="B13475" s="31"/>
      <c r="G13475" s="272" t="s">
        <v>1099</v>
      </c>
    </row>
    <row r="13476">
      <c r="B13476" s="31"/>
      <c r="G13476" s="272" t="s">
        <v>1099</v>
      </c>
    </row>
    <row r="13477">
      <c r="B13477" s="31"/>
      <c r="G13477" s="272" t="s">
        <v>1099</v>
      </c>
    </row>
    <row r="13478">
      <c r="B13478" s="31"/>
      <c r="G13478" s="272" t="s">
        <v>1099</v>
      </c>
    </row>
    <row r="13479">
      <c r="B13479" s="31"/>
      <c r="G13479" s="272" t="s">
        <v>1099</v>
      </c>
    </row>
    <row r="13480">
      <c r="B13480" s="31"/>
      <c r="G13480" s="272" t="s">
        <v>1099</v>
      </c>
    </row>
    <row r="13481">
      <c r="B13481" s="31"/>
      <c r="G13481" s="272" t="s">
        <v>1099</v>
      </c>
    </row>
    <row r="13482">
      <c r="B13482" s="31"/>
      <c r="G13482" s="272" t="s">
        <v>1099</v>
      </c>
    </row>
    <row r="13483">
      <c r="B13483" s="31"/>
      <c r="G13483" s="272" t="s">
        <v>1099</v>
      </c>
    </row>
    <row r="13484">
      <c r="B13484" s="31"/>
      <c r="G13484" s="272" t="s">
        <v>1099</v>
      </c>
    </row>
    <row r="13485">
      <c r="B13485" s="31"/>
      <c r="G13485" s="272" t="s">
        <v>1099</v>
      </c>
    </row>
    <row r="13486">
      <c r="B13486" s="31"/>
      <c r="G13486" s="272" t="s">
        <v>1099</v>
      </c>
    </row>
    <row r="13487">
      <c r="B13487" s="31"/>
      <c r="G13487" s="272" t="s">
        <v>1099</v>
      </c>
    </row>
    <row r="13488">
      <c r="B13488" s="31"/>
      <c r="G13488" s="272" t="s">
        <v>1099</v>
      </c>
    </row>
    <row r="13489">
      <c r="B13489" s="31"/>
      <c r="G13489" s="272" t="s">
        <v>1099</v>
      </c>
    </row>
    <row r="13490">
      <c r="B13490" s="31"/>
      <c r="G13490" s="272" t="s">
        <v>1099</v>
      </c>
    </row>
    <row r="13491">
      <c r="B13491" s="31"/>
      <c r="G13491" s="272" t="s">
        <v>1099</v>
      </c>
    </row>
    <row r="13492">
      <c r="B13492" s="31"/>
      <c r="G13492" s="272" t="s">
        <v>1099</v>
      </c>
    </row>
    <row r="13493">
      <c r="B13493" s="31"/>
      <c r="G13493" s="272" t="s">
        <v>1099</v>
      </c>
    </row>
    <row r="13494">
      <c r="B13494" s="31"/>
      <c r="G13494" s="272" t="s">
        <v>1099</v>
      </c>
    </row>
    <row r="13495">
      <c r="B13495" s="31"/>
      <c r="G13495" s="272" t="s">
        <v>1099</v>
      </c>
    </row>
    <row r="13496">
      <c r="B13496" s="31"/>
      <c r="G13496" s="272" t="s">
        <v>1099</v>
      </c>
    </row>
    <row r="13497">
      <c r="B13497" s="31"/>
      <c r="G13497" s="272" t="s">
        <v>1099</v>
      </c>
    </row>
    <row r="13498">
      <c r="B13498" s="31"/>
      <c r="G13498" s="272" t="s">
        <v>1099</v>
      </c>
    </row>
    <row r="13499">
      <c r="B13499" s="31"/>
      <c r="G13499" s="272" t="s">
        <v>1099</v>
      </c>
    </row>
    <row r="13500">
      <c r="B13500" s="31"/>
      <c r="G13500" s="272" t="s">
        <v>1099</v>
      </c>
    </row>
    <row r="13501">
      <c r="B13501" s="31"/>
      <c r="G13501" s="272" t="s">
        <v>1099</v>
      </c>
    </row>
    <row r="13502">
      <c r="B13502" s="31"/>
      <c r="G13502" s="272" t="s">
        <v>1099</v>
      </c>
    </row>
    <row r="13503">
      <c r="B13503" s="31"/>
      <c r="G13503" s="272" t="s">
        <v>1099</v>
      </c>
    </row>
    <row r="13504">
      <c r="B13504" s="31"/>
      <c r="G13504" s="272" t="s">
        <v>1099</v>
      </c>
    </row>
    <row r="13505">
      <c r="B13505" s="31"/>
      <c r="G13505" s="272" t="s">
        <v>1099</v>
      </c>
    </row>
    <row r="13506">
      <c r="B13506" s="31"/>
      <c r="G13506" s="272" t="s">
        <v>1099</v>
      </c>
    </row>
    <row r="13507">
      <c r="B13507" s="31"/>
      <c r="G13507" s="272" t="s">
        <v>1099</v>
      </c>
    </row>
    <row r="13508">
      <c r="B13508" s="31"/>
      <c r="G13508" s="272" t="s">
        <v>1099</v>
      </c>
    </row>
    <row r="13509">
      <c r="B13509" s="31"/>
      <c r="G13509" s="272" t="s">
        <v>1099</v>
      </c>
    </row>
    <row r="13510">
      <c r="B13510" s="31"/>
      <c r="G13510" s="272" t="s">
        <v>1099</v>
      </c>
    </row>
    <row r="13511">
      <c r="B13511" s="31"/>
      <c r="G13511" s="272" t="s">
        <v>1099</v>
      </c>
    </row>
    <row r="13512">
      <c r="B13512" s="31"/>
      <c r="G13512" s="272" t="s">
        <v>1099</v>
      </c>
    </row>
    <row r="13513">
      <c r="B13513" s="31"/>
      <c r="G13513" s="272" t="s">
        <v>1099</v>
      </c>
    </row>
    <row r="13514">
      <c r="B13514" s="31"/>
      <c r="G13514" s="272" t="s">
        <v>1099</v>
      </c>
    </row>
    <row r="13515">
      <c r="B13515" s="31"/>
      <c r="G13515" s="272" t="s">
        <v>1099</v>
      </c>
    </row>
    <row r="13516">
      <c r="B13516" s="31"/>
      <c r="G13516" s="272" t="s">
        <v>1099</v>
      </c>
    </row>
    <row r="13517">
      <c r="B13517" s="31"/>
      <c r="G13517" s="272" t="s">
        <v>1099</v>
      </c>
    </row>
    <row r="13518">
      <c r="B13518" s="31"/>
      <c r="G13518" s="272" t="s">
        <v>1099</v>
      </c>
    </row>
    <row r="13519">
      <c r="B13519" s="31"/>
      <c r="G13519" s="272" t="s">
        <v>1099</v>
      </c>
    </row>
    <row r="13520">
      <c r="B13520" s="31"/>
      <c r="G13520" s="272" t="s">
        <v>1099</v>
      </c>
    </row>
    <row r="13521">
      <c r="B13521" s="31"/>
      <c r="G13521" s="272" t="s">
        <v>1099</v>
      </c>
    </row>
    <row r="13522">
      <c r="B13522" s="31"/>
      <c r="G13522" s="272" t="s">
        <v>1099</v>
      </c>
    </row>
    <row r="13523">
      <c r="B13523" s="31"/>
      <c r="G13523" s="272" t="s">
        <v>1099</v>
      </c>
    </row>
    <row r="13524">
      <c r="B13524" s="31"/>
      <c r="G13524" s="272" t="s">
        <v>1099</v>
      </c>
    </row>
    <row r="13525">
      <c r="B13525" s="31"/>
      <c r="G13525" s="272" t="s">
        <v>1099</v>
      </c>
    </row>
    <row r="13526">
      <c r="B13526" s="31"/>
      <c r="G13526" s="272" t="s">
        <v>1099</v>
      </c>
    </row>
    <row r="13527">
      <c r="B13527" s="31"/>
      <c r="G13527" s="272" t="s">
        <v>1099</v>
      </c>
    </row>
    <row r="13528">
      <c r="B13528" s="31"/>
      <c r="G13528" s="272" t="s">
        <v>1099</v>
      </c>
    </row>
    <row r="13529">
      <c r="B13529" s="31"/>
      <c r="G13529" s="272" t="s">
        <v>1099</v>
      </c>
    </row>
    <row r="13530">
      <c r="B13530" s="31"/>
      <c r="G13530" s="272" t="s">
        <v>1099</v>
      </c>
    </row>
    <row r="13531">
      <c r="B13531" s="31"/>
      <c r="G13531" s="272" t="s">
        <v>1099</v>
      </c>
    </row>
    <row r="13532">
      <c r="B13532" s="31"/>
      <c r="G13532" s="272" t="s">
        <v>1099</v>
      </c>
    </row>
    <row r="13533">
      <c r="B13533" s="31"/>
      <c r="G13533" s="272" t="s">
        <v>1099</v>
      </c>
    </row>
    <row r="13534">
      <c r="B13534" s="31"/>
      <c r="G13534" s="272" t="s">
        <v>1099</v>
      </c>
    </row>
    <row r="13535">
      <c r="B13535" s="31"/>
      <c r="G13535" s="272" t="s">
        <v>1099</v>
      </c>
    </row>
    <row r="13536">
      <c r="B13536" s="31"/>
      <c r="G13536" s="272" t="s">
        <v>1099</v>
      </c>
    </row>
    <row r="13537">
      <c r="B13537" s="31"/>
      <c r="G13537" s="272" t="s">
        <v>1099</v>
      </c>
    </row>
    <row r="13538">
      <c r="B13538" s="31"/>
      <c r="G13538" s="272" t="s">
        <v>1099</v>
      </c>
    </row>
    <row r="13539">
      <c r="B13539" s="31"/>
      <c r="G13539" s="272" t="s">
        <v>1099</v>
      </c>
    </row>
    <row r="13540">
      <c r="B13540" s="31"/>
      <c r="G13540" s="272" t="s">
        <v>1099</v>
      </c>
    </row>
    <row r="13541">
      <c r="B13541" s="31"/>
      <c r="G13541" s="272" t="s">
        <v>1099</v>
      </c>
    </row>
    <row r="13542">
      <c r="B13542" s="31"/>
      <c r="G13542" s="272" t="s">
        <v>1099</v>
      </c>
    </row>
    <row r="13543">
      <c r="B13543" s="31"/>
      <c r="G13543" s="272" t="s">
        <v>1099</v>
      </c>
    </row>
    <row r="13544">
      <c r="B13544" s="31"/>
      <c r="G13544" s="272" t="s">
        <v>1099</v>
      </c>
    </row>
    <row r="13545">
      <c r="B13545" s="31"/>
      <c r="G13545" s="272" t="s">
        <v>1099</v>
      </c>
    </row>
    <row r="13546">
      <c r="B13546" s="31"/>
      <c r="G13546" s="272" t="s">
        <v>1099</v>
      </c>
    </row>
    <row r="13547">
      <c r="B13547" s="31"/>
      <c r="G13547" s="272" t="s">
        <v>1099</v>
      </c>
    </row>
    <row r="13548">
      <c r="B13548" s="31"/>
      <c r="G13548" s="272" t="s">
        <v>1099</v>
      </c>
    </row>
    <row r="13549">
      <c r="B13549" s="31"/>
      <c r="G13549" s="272" t="s">
        <v>1099</v>
      </c>
    </row>
    <row r="13550">
      <c r="B13550" s="31"/>
      <c r="G13550" s="272" t="s">
        <v>1099</v>
      </c>
    </row>
    <row r="13551">
      <c r="B13551" s="31"/>
      <c r="G13551" s="272" t="s">
        <v>1099</v>
      </c>
    </row>
    <row r="13552">
      <c r="B13552" s="31"/>
      <c r="G13552" s="272" t="s">
        <v>1099</v>
      </c>
    </row>
    <row r="13553">
      <c r="B13553" s="31"/>
      <c r="G13553" s="272" t="s">
        <v>1099</v>
      </c>
    </row>
    <row r="13554">
      <c r="B13554" s="31"/>
      <c r="G13554" s="272" t="s">
        <v>1099</v>
      </c>
    </row>
    <row r="13555">
      <c r="B13555" s="31"/>
      <c r="G13555" s="272" t="s">
        <v>1099</v>
      </c>
    </row>
    <row r="13556">
      <c r="B13556" s="31"/>
      <c r="G13556" s="272" t="s">
        <v>1099</v>
      </c>
    </row>
    <row r="13557">
      <c r="B13557" s="31"/>
      <c r="G13557" s="272" t="s">
        <v>1099</v>
      </c>
    </row>
    <row r="13558">
      <c r="B13558" s="31"/>
      <c r="G13558" s="272" t="s">
        <v>1099</v>
      </c>
    </row>
    <row r="13559">
      <c r="B13559" s="31"/>
      <c r="G13559" s="272" t="s">
        <v>1099</v>
      </c>
    </row>
    <row r="13560">
      <c r="B13560" s="31"/>
      <c r="G13560" s="272" t="s">
        <v>1099</v>
      </c>
    </row>
    <row r="13561">
      <c r="B13561" s="31"/>
      <c r="G13561" s="272" t="s">
        <v>1099</v>
      </c>
    </row>
    <row r="13562">
      <c r="B13562" s="31"/>
      <c r="G13562" s="272" t="s">
        <v>1099</v>
      </c>
    </row>
    <row r="13563">
      <c r="B13563" s="31"/>
      <c r="G13563" s="272" t="s">
        <v>1099</v>
      </c>
    </row>
    <row r="13564">
      <c r="B13564" s="31"/>
      <c r="G13564" s="272" t="s">
        <v>1099</v>
      </c>
    </row>
    <row r="13565">
      <c r="B13565" s="31"/>
      <c r="G13565" s="272" t="s">
        <v>1099</v>
      </c>
    </row>
    <row r="13566">
      <c r="B13566" s="31"/>
      <c r="G13566" s="272" t="s">
        <v>1099</v>
      </c>
    </row>
    <row r="13567">
      <c r="B13567" s="31"/>
      <c r="G13567" s="272" t="s">
        <v>1099</v>
      </c>
    </row>
    <row r="13568">
      <c r="B13568" s="31"/>
      <c r="G13568" s="272" t="s">
        <v>1099</v>
      </c>
    </row>
    <row r="13569">
      <c r="B13569" s="31"/>
      <c r="G13569" s="272" t="s">
        <v>1099</v>
      </c>
    </row>
    <row r="13570">
      <c r="B13570" s="31"/>
      <c r="G13570" s="272" t="s">
        <v>1099</v>
      </c>
    </row>
    <row r="13571">
      <c r="B13571" s="31"/>
      <c r="G13571" s="272" t="s">
        <v>1099</v>
      </c>
    </row>
    <row r="13572">
      <c r="B13572" s="31"/>
      <c r="G13572" s="272" t="s">
        <v>1099</v>
      </c>
    </row>
    <row r="13573">
      <c r="B13573" s="31"/>
      <c r="G13573" s="272" t="s">
        <v>1099</v>
      </c>
    </row>
    <row r="13574">
      <c r="B13574" s="31"/>
      <c r="G13574" s="272" t="s">
        <v>1099</v>
      </c>
    </row>
    <row r="13575">
      <c r="B13575" s="31"/>
      <c r="G13575" s="272" t="s">
        <v>1099</v>
      </c>
    </row>
    <row r="13576">
      <c r="B13576" s="31"/>
      <c r="G13576" s="272" t="s">
        <v>1099</v>
      </c>
    </row>
    <row r="13577">
      <c r="B13577" s="31"/>
      <c r="G13577" s="272" t="s">
        <v>1099</v>
      </c>
    </row>
    <row r="13578">
      <c r="B13578" s="31"/>
      <c r="G13578" s="272" t="s">
        <v>1099</v>
      </c>
    </row>
    <row r="13579">
      <c r="B13579" s="31"/>
      <c r="G13579" s="272" t="s">
        <v>1099</v>
      </c>
    </row>
    <row r="13580">
      <c r="B13580" s="31"/>
      <c r="G13580" s="272" t="s">
        <v>1099</v>
      </c>
    </row>
    <row r="13581">
      <c r="B13581" s="31"/>
      <c r="G13581" s="272" t="s">
        <v>1099</v>
      </c>
    </row>
    <row r="13582">
      <c r="B13582" s="31"/>
      <c r="G13582" s="272" t="s">
        <v>1099</v>
      </c>
    </row>
    <row r="13583">
      <c r="B13583" s="31"/>
      <c r="G13583" s="272" t="s">
        <v>1099</v>
      </c>
    </row>
    <row r="13584">
      <c r="B13584" s="31"/>
      <c r="G13584" s="272" t="s">
        <v>1099</v>
      </c>
    </row>
    <row r="13585">
      <c r="B13585" s="31"/>
      <c r="G13585" s="272" t="s">
        <v>1099</v>
      </c>
    </row>
    <row r="13586">
      <c r="B13586" s="31"/>
      <c r="G13586" s="272" t="s">
        <v>1099</v>
      </c>
    </row>
    <row r="13587">
      <c r="B13587" s="31"/>
      <c r="G13587" s="272" t="s">
        <v>1099</v>
      </c>
    </row>
    <row r="13588">
      <c r="B13588" s="31"/>
      <c r="G13588" s="272" t="s">
        <v>1099</v>
      </c>
    </row>
    <row r="13589">
      <c r="B13589" s="31"/>
      <c r="G13589" s="272" t="s">
        <v>1099</v>
      </c>
    </row>
    <row r="13590">
      <c r="B13590" s="31"/>
      <c r="G13590" s="272" t="s">
        <v>1099</v>
      </c>
    </row>
    <row r="13591">
      <c r="B13591" s="31"/>
      <c r="G13591" s="272" t="s">
        <v>1099</v>
      </c>
    </row>
    <row r="13592">
      <c r="B13592" s="31"/>
      <c r="G13592" s="272" t="s">
        <v>1099</v>
      </c>
    </row>
    <row r="13593">
      <c r="B13593" s="31"/>
      <c r="G13593" s="272" t="s">
        <v>1099</v>
      </c>
    </row>
    <row r="13594">
      <c r="B13594" s="31"/>
      <c r="G13594" s="272" t="s">
        <v>1099</v>
      </c>
    </row>
    <row r="13595">
      <c r="B13595" s="31"/>
      <c r="G13595" s="272" t="s">
        <v>1099</v>
      </c>
    </row>
    <row r="13596">
      <c r="B13596" s="31"/>
      <c r="G13596" s="272" t="s">
        <v>1099</v>
      </c>
    </row>
    <row r="13597">
      <c r="B13597" s="31"/>
      <c r="G13597" s="272" t="s">
        <v>1099</v>
      </c>
    </row>
    <row r="13598">
      <c r="B13598" s="31"/>
      <c r="G13598" s="272" t="s">
        <v>1099</v>
      </c>
    </row>
    <row r="13599">
      <c r="B13599" s="31"/>
      <c r="G13599" s="272" t="s">
        <v>1099</v>
      </c>
    </row>
    <row r="13600">
      <c r="B13600" s="31"/>
      <c r="G13600" s="272" t="s">
        <v>1099</v>
      </c>
    </row>
    <row r="13601">
      <c r="B13601" s="31"/>
      <c r="G13601" s="272" t="s">
        <v>1099</v>
      </c>
    </row>
    <row r="13602">
      <c r="B13602" s="31"/>
      <c r="G13602" s="272" t="s">
        <v>1099</v>
      </c>
    </row>
    <row r="13603">
      <c r="B13603" s="31"/>
      <c r="G13603" s="272" t="s">
        <v>1099</v>
      </c>
    </row>
    <row r="13604">
      <c r="B13604" s="31"/>
      <c r="G13604" s="272" t="s">
        <v>1099</v>
      </c>
    </row>
    <row r="13605">
      <c r="B13605" s="31"/>
      <c r="G13605" s="272" t="s">
        <v>1099</v>
      </c>
    </row>
    <row r="13606">
      <c r="B13606" s="31"/>
      <c r="G13606" s="272" t="s">
        <v>1099</v>
      </c>
    </row>
    <row r="13607">
      <c r="B13607" s="31"/>
      <c r="G13607" s="272" t="s">
        <v>1099</v>
      </c>
    </row>
    <row r="13608">
      <c r="B13608" s="31"/>
      <c r="G13608" s="272" t="s">
        <v>1099</v>
      </c>
    </row>
    <row r="13609">
      <c r="B13609" s="31"/>
      <c r="G13609" s="272" t="s">
        <v>1099</v>
      </c>
    </row>
    <row r="13610">
      <c r="B13610" s="31"/>
      <c r="G13610" s="272" t="s">
        <v>1099</v>
      </c>
    </row>
    <row r="13611">
      <c r="B13611" s="31"/>
      <c r="G13611" s="272" t="s">
        <v>1099</v>
      </c>
    </row>
    <row r="13612">
      <c r="B13612" s="31"/>
      <c r="G13612" s="272" t="s">
        <v>1099</v>
      </c>
    </row>
    <row r="13613">
      <c r="B13613" s="31"/>
      <c r="G13613" s="272" t="s">
        <v>1099</v>
      </c>
    </row>
    <row r="13614">
      <c r="B13614" s="31"/>
      <c r="G13614" s="272" t="s">
        <v>1099</v>
      </c>
    </row>
    <row r="13615">
      <c r="B13615" s="31"/>
      <c r="G13615" s="272" t="s">
        <v>1099</v>
      </c>
    </row>
    <row r="13616">
      <c r="B13616" s="31"/>
      <c r="G13616" s="272" t="s">
        <v>1099</v>
      </c>
    </row>
    <row r="13617">
      <c r="B13617" s="31"/>
      <c r="G13617" s="272" t="s">
        <v>1099</v>
      </c>
    </row>
    <row r="13618">
      <c r="B13618" s="31"/>
      <c r="G13618" s="272" t="s">
        <v>1099</v>
      </c>
    </row>
    <row r="13619">
      <c r="B13619" s="31"/>
      <c r="G13619" s="272" t="s">
        <v>1099</v>
      </c>
    </row>
    <row r="13620">
      <c r="B13620" s="31"/>
      <c r="G13620" s="272" t="s">
        <v>1099</v>
      </c>
    </row>
    <row r="13621">
      <c r="B13621" s="31"/>
      <c r="G13621" s="272" t="s">
        <v>1099</v>
      </c>
    </row>
    <row r="13622">
      <c r="B13622" s="31"/>
      <c r="G13622" s="272" t="s">
        <v>1099</v>
      </c>
    </row>
    <row r="13623">
      <c r="B13623" s="31"/>
      <c r="G13623" s="272" t="s">
        <v>1099</v>
      </c>
    </row>
    <row r="13624">
      <c r="B13624" s="31"/>
      <c r="G13624" s="272" t="s">
        <v>1099</v>
      </c>
    </row>
    <row r="13625">
      <c r="B13625" s="31"/>
      <c r="G13625" s="272" t="s">
        <v>1099</v>
      </c>
    </row>
    <row r="13626">
      <c r="B13626" s="31"/>
      <c r="G13626" s="272" t="s">
        <v>1099</v>
      </c>
    </row>
    <row r="13627">
      <c r="B13627" s="31"/>
      <c r="G13627" s="272" t="s">
        <v>1099</v>
      </c>
    </row>
    <row r="13628">
      <c r="B13628" s="31"/>
      <c r="G13628" s="272" t="s">
        <v>1099</v>
      </c>
    </row>
    <row r="13629">
      <c r="B13629" s="31"/>
      <c r="G13629" s="272" t="s">
        <v>1099</v>
      </c>
    </row>
    <row r="13630">
      <c r="B13630" s="31"/>
      <c r="G13630" s="272" t="s">
        <v>1099</v>
      </c>
    </row>
    <row r="13631">
      <c r="B13631" s="31"/>
      <c r="G13631" s="272" t="s">
        <v>1099</v>
      </c>
    </row>
    <row r="13632">
      <c r="B13632" s="31"/>
      <c r="G13632" s="272" t="s">
        <v>1099</v>
      </c>
    </row>
    <row r="13633">
      <c r="B13633" s="31"/>
      <c r="G13633" s="272" t="s">
        <v>1099</v>
      </c>
    </row>
    <row r="13634">
      <c r="B13634" s="31"/>
      <c r="G13634" s="272" t="s">
        <v>1099</v>
      </c>
    </row>
    <row r="13635">
      <c r="B13635" s="31"/>
      <c r="G13635" s="272" t="s">
        <v>1099</v>
      </c>
    </row>
    <row r="13636">
      <c r="B13636" s="31"/>
      <c r="G13636" s="272" t="s">
        <v>1099</v>
      </c>
    </row>
    <row r="13637">
      <c r="B13637" s="31"/>
      <c r="G13637" s="272" t="s">
        <v>1099</v>
      </c>
    </row>
    <row r="13638">
      <c r="B13638" s="31"/>
      <c r="G13638" s="272" t="s">
        <v>1099</v>
      </c>
    </row>
    <row r="13639">
      <c r="B13639" s="31"/>
      <c r="G13639" s="272" t="s">
        <v>1099</v>
      </c>
    </row>
    <row r="13640">
      <c r="B13640" s="31"/>
      <c r="G13640" s="272" t="s">
        <v>1099</v>
      </c>
    </row>
    <row r="13641">
      <c r="B13641" s="31"/>
      <c r="G13641" s="272" t="s">
        <v>1099</v>
      </c>
    </row>
    <row r="13642">
      <c r="B13642" s="31"/>
      <c r="G13642" s="272" t="s">
        <v>1099</v>
      </c>
    </row>
    <row r="13643">
      <c r="B13643" s="31"/>
      <c r="G13643" s="272" t="s">
        <v>1099</v>
      </c>
    </row>
    <row r="13644">
      <c r="B13644" s="31"/>
      <c r="G13644" s="272" t="s">
        <v>1099</v>
      </c>
    </row>
    <row r="13645">
      <c r="B13645" s="31"/>
      <c r="G13645" s="272" t="s">
        <v>1099</v>
      </c>
    </row>
    <row r="13646">
      <c r="B13646" s="31"/>
      <c r="G13646" s="272" t="s">
        <v>1099</v>
      </c>
    </row>
    <row r="13647">
      <c r="B13647" s="31"/>
      <c r="G13647" s="272" t="s">
        <v>1099</v>
      </c>
    </row>
    <row r="13648">
      <c r="B13648" s="31"/>
      <c r="G13648" s="272" t="s">
        <v>1099</v>
      </c>
    </row>
    <row r="13649">
      <c r="B13649" s="31"/>
      <c r="G13649" s="272" t="s">
        <v>1099</v>
      </c>
    </row>
    <row r="13650">
      <c r="B13650" s="31"/>
      <c r="G13650" s="272" t="s">
        <v>1099</v>
      </c>
    </row>
    <row r="13651">
      <c r="B13651" s="31"/>
      <c r="G13651" s="272" t="s">
        <v>1099</v>
      </c>
    </row>
    <row r="13652">
      <c r="B13652" s="31"/>
      <c r="G13652" s="272" t="s">
        <v>1099</v>
      </c>
    </row>
    <row r="13653">
      <c r="B13653" s="31"/>
      <c r="G13653" s="272" t="s">
        <v>1099</v>
      </c>
    </row>
    <row r="13654">
      <c r="B13654" s="31"/>
      <c r="G13654" s="272" t="s">
        <v>1099</v>
      </c>
    </row>
    <row r="13655">
      <c r="B13655" s="31"/>
      <c r="G13655" s="272" t="s">
        <v>1099</v>
      </c>
    </row>
    <row r="13656">
      <c r="B13656" s="31"/>
      <c r="G13656" s="272" t="s">
        <v>1099</v>
      </c>
    </row>
    <row r="13657">
      <c r="B13657" s="31"/>
      <c r="G13657" s="272" t="s">
        <v>1099</v>
      </c>
    </row>
    <row r="13658">
      <c r="B13658" s="31"/>
      <c r="G13658" s="272" t="s">
        <v>1099</v>
      </c>
    </row>
    <row r="13659">
      <c r="B13659" s="31"/>
      <c r="G13659" s="272" t="s">
        <v>1099</v>
      </c>
    </row>
    <row r="13660">
      <c r="B13660" s="31"/>
      <c r="G13660" s="272" t="s">
        <v>1099</v>
      </c>
    </row>
    <row r="13661">
      <c r="B13661" s="31"/>
      <c r="G13661" s="272" t="s">
        <v>1099</v>
      </c>
    </row>
    <row r="13662">
      <c r="B13662" s="31"/>
      <c r="G13662" s="272" t="s">
        <v>1099</v>
      </c>
    </row>
    <row r="13663">
      <c r="B13663" s="31"/>
      <c r="G13663" s="272" t="s">
        <v>1099</v>
      </c>
    </row>
    <row r="13664">
      <c r="B13664" s="31"/>
      <c r="G13664" s="272" t="s">
        <v>1099</v>
      </c>
    </row>
    <row r="13665">
      <c r="B13665" s="31"/>
      <c r="G13665" s="272" t="s">
        <v>1099</v>
      </c>
    </row>
    <row r="13666">
      <c r="B13666" s="31"/>
      <c r="G13666" s="272" t="s">
        <v>1099</v>
      </c>
    </row>
    <row r="13667">
      <c r="B13667" s="31"/>
      <c r="G13667" s="272" t="s">
        <v>1099</v>
      </c>
    </row>
    <row r="13668">
      <c r="B13668" s="31"/>
      <c r="G13668" s="272" t="s">
        <v>1099</v>
      </c>
    </row>
    <row r="13669">
      <c r="B13669" s="31"/>
      <c r="G13669" s="272" t="s">
        <v>1099</v>
      </c>
    </row>
    <row r="13670">
      <c r="B13670" s="31"/>
      <c r="G13670" s="272" t="s">
        <v>1099</v>
      </c>
    </row>
    <row r="13671">
      <c r="B13671" s="31"/>
      <c r="G13671" s="272" t="s">
        <v>1099</v>
      </c>
    </row>
    <row r="13672">
      <c r="B13672" s="31"/>
      <c r="G13672" s="272" t="s">
        <v>1099</v>
      </c>
    </row>
    <row r="13673">
      <c r="B13673" s="31"/>
      <c r="G13673" s="272" t="s">
        <v>1099</v>
      </c>
    </row>
    <row r="13674">
      <c r="B13674" s="31"/>
      <c r="G13674" s="272" t="s">
        <v>1099</v>
      </c>
    </row>
    <row r="13675">
      <c r="B13675" s="31"/>
      <c r="G13675" s="272" t="s">
        <v>1099</v>
      </c>
    </row>
    <row r="13676">
      <c r="B13676" s="31"/>
      <c r="G13676" s="272" t="s">
        <v>1099</v>
      </c>
    </row>
    <row r="13677">
      <c r="B13677" s="31"/>
      <c r="G13677" s="272" t="s">
        <v>1099</v>
      </c>
    </row>
    <row r="13678">
      <c r="B13678" s="31"/>
      <c r="G13678" s="272" t="s">
        <v>1099</v>
      </c>
    </row>
    <row r="13679">
      <c r="B13679" s="31"/>
      <c r="G13679" s="272" t="s">
        <v>1099</v>
      </c>
    </row>
    <row r="13680">
      <c r="B13680" s="31"/>
      <c r="G13680" s="272" t="s">
        <v>1099</v>
      </c>
    </row>
    <row r="13681">
      <c r="B13681" s="31"/>
      <c r="G13681" s="272" t="s">
        <v>1099</v>
      </c>
    </row>
    <row r="13682">
      <c r="B13682" s="31"/>
      <c r="G13682" s="272" t="s">
        <v>1099</v>
      </c>
    </row>
    <row r="13683">
      <c r="B13683" s="31"/>
      <c r="G13683" s="272" t="s">
        <v>1099</v>
      </c>
    </row>
    <row r="13684">
      <c r="B13684" s="31"/>
      <c r="G13684" s="272" t="s">
        <v>1099</v>
      </c>
    </row>
    <row r="13685">
      <c r="B13685" s="31"/>
      <c r="G13685" s="272" t="s">
        <v>1099</v>
      </c>
    </row>
    <row r="13686">
      <c r="B13686" s="31"/>
      <c r="G13686" s="272" t="s">
        <v>1099</v>
      </c>
    </row>
    <row r="13687">
      <c r="B13687" s="31"/>
      <c r="G13687" s="272" t="s">
        <v>1099</v>
      </c>
    </row>
    <row r="13688">
      <c r="B13688" s="31"/>
      <c r="G13688" s="272" t="s">
        <v>1099</v>
      </c>
    </row>
    <row r="13689">
      <c r="B13689" s="31"/>
      <c r="G13689" s="272" t="s">
        <v>1099</v>
      </c>
    </row>
    <row r="13690">
      <c r="B13690" s="31"/>
      <c r="G13690" s="272" t="s">
        <v>1099</v>
      </c>
    </row>
    <row r="13691">
      <c r="B13691" s="31"/>
      <c r="G13691" s="272" t="s">
        <v>1099</v>
      </c>
    </row>
    <row r="13692">
      <c r="B13692" s="31"/>
      <c r="G13692" s="272" t="s">
        <v>1099</v>
      </c>
    </row>
    <row r="13693">
      <c r="B13693" s="31"/>
      <c r="G13693" s="272" t="s">
        <v>1099</v>
      </c>
    </row>
    <row r="13694">
      <c r="B13694" s="31"/>
      <c r="G13694" s="272" t="s">
        <v>1099</v>
      </c>
    </row>
    <row r="13695">
      <c r="B13695" s="31"/>
      <c r="G13695" s="272" t="s">
        <v>1099</v>
      </c>
    </row>
    <row r="13696">
      <c r="B13696" s="31"/>
      <c r="G13696" s="272" t="s">
        <v>1099</v>
      </c>
    </row>
    <row r="13697">
      <c r="B13697" s="31"/>
      <c r="G13697" s="272" t="s">
        <v>1099</v>
      </c>
    </row>
    <row r="13698">
      <c r="B13698" s="31"/>
      <c r="G13698" s="272" t="s">
        <v>1099</v>
      </c>
    </row>
    <row r="13699">
      <c r="B13699" s="31"/>
      <c r="G13699" s="272" t="s">
        <v>1099</v>
      </c>
    </row>
    <row r="13700">
      <c r="B13700" s="31"/>
      <c r="G13700" s="272" t="s">
        <v>1099</v>
      </c>
    </row>
    <row r="13701">
      <c r="B13701" s="31"/>
      <c r="G13701" s="272" t="s">
        <v>1099</v>
      </c>
    </row>
    <row r="13702">
      <c r="B13702" s="31"/>
      <c r="G13702" s="272" t="s">
        <v>1099</v>
      </c>
    </row>
    <row r="13703">
      <c r="B13703" s="31"/>
      <c r="G13703" s="272" t="s">
        <v>1099</v>
      </c>
    </row>
    <row r="13704">
      <c r="B13704" s="31"/>
      <c r="G13704" s="272" t="s">
        <v>1099</v>
      </c>
    </row>
    <row r="13705">
      <c r="B13705" s="31"/>
      <c r="G13705" s="272" t="s">
        <v>1099</v>
      </c>
    </row>
    <row r="13706">
      <c r="B13706" s="31"/>
      <c r="G13706" s="272" t="s">
        <v>1099</v>
      </c>
    </row>
    <row r="13707">
      <c r="B13707" s="31"/>
      <c r="G13707" s="272" t="s">
        <v>1099</v>
      </c>
    </row>
    <row r="13708">
      <c r="B13708" s="31"/>
      <c r="G13708" s="272" t="s">
        <v>1099</v>
      </c>
    </row>
    <row r="13709">
      <c r="B13709" s="31"/>
      <c r="G13709" s="272" t="s">
        <v>1099</v>
      </c>
    </row>
    <row r="13710">
      <c r="B13710" s="31"/>
      <c r="G13710" s="272" t="s">
        <v>1099</v>
      </c>
    </row>
    <row r="13711">
      <c r="B13711" s="31"/>
      <c r="G13711" s="272" t="s">
        <v>1099</v>
      </c>
    </row>
    <row r="13712">
      <c r="B13712" s="31"/>
      <c r="G13712" s="272" t="s">
        <v>1099</v>
      </c>
    </row>
    <row r="13713">
      <c r="B13713" s="31"/>
      <c r="G13713" s="272" t="s">
        <v>1099</v>
      </c>
    </row>
    <row r="13714">
      <c r="B13714" s="31"/>
      <c r="G13714" s="272" t="s">
        <v>1099</v>
      </c>
    </row>
    <row r="13715">
      <c r="B13715" s="31"/>
      <c r="G13715" s="272" t="s">
        <v>1099</v>
      </c>
    </row>
    <row r="13716">
      <c r="B13716" s="31"/>
      <c r="G13716" s="272" t="s">
        <v>1099</v>
      </c>
    </row>
    <row r="13717">
      <c r="B13717" s="31"/>
      <c r="G13717" s="272" t="s">
        <v>1099</v>
      </c>
    </row>
    <row r="13718">
      <c r="B13718" s="31"/>
      <c r="G13718" s="272" t="s">
        <v>1099</v>
      </c>
    </row>
    <row r="13719">
      <c r="B13719" s="31"/>
      <c r="G13719" s="272" t="s">
        <v>1099</v>
      </c>
    </row>
    <row r="13720">
      <c r="B13720" s="31"/>
      <c r="G13720" s="272" t="s">
        <v>1099</v>
      </c>
    </row>
    <row r="13721">
      <c r="B13721" s="31"/>
      <c r="G13721" s="272" t="s">
        <v>1099</v>
      </c>
    </row>
    <row r="13722">
      <c r="B13722" s="31"/>
      <c r="G13722" s="272" t="s">
        <v>1099</v>
      </c>
    </row>
    <row r="13723">
      <c r="B13723" s="31"/>
      <c r="G13723" s="272" t="s">
        <v>1099</v>
      </c>
    </row>
    <row r="13724">
      <c r="B13724" s="31"/>
      <c r="G13724" s="272" t="s">
        <v>1099</v>
      </c>
    </row>
    <row r="13725">
      <c r="B13725" s="31"/>
      <c r="G13725" s="272" t="s">
        <v>1099</v>
      </c>
    </row>
    <row r="13726">
      <c r="B13726" s="31"/>
      <c r="G13726" s="272" t="s">
        <v>1099</v>
      </c>
    </row>
    <row r="13727">
      <c r="B13727" s="31"/>
      <c r="G13727" s="272" t="s">
        <v>1099</v>
      </c>
    </row>
    <row r="13728">
      <c r="B13728" s="31"/>
      <c r="G13728" s="272" t="s">
        <v>1099</v>
      </c>
    </row>
    <row r="13729">
      <c r="B13729" s="31"/>
      <c r="G13729" s="272" t="s">
        <v>1099</v>
      </c>
    </row>
    <row r="13730">
      <c r="B13730" s="31"/>
      <c r="G13730" s="272" t="s">
        <v>1099</v>
      </c>
    </row>
    <row r="13731">
      <c r="B13731" s="31"/>
      <c r="G13731" s="272" t="s">
        <v>1099</v>
      </c>
    </row>
    <row r="13732">
      <c r="B13732" s="31"/>
      <c r="G13732" s="272" t="s">
        <v>1099</v>
      </c>
    </row>
    <row r="13733">
      <c r="B13733" s="31"/>
      <c r="G13733" s="272" t="s">
        <v>1099</v>
      </c>
    </row>
    <row r="13734">
      <c r="B13734" s="31"/>
      <c r="G13734" s="272" t="s">
        <v>1099</v>
      </c>
    </row>
    <row r="13735">
      <c r="B13735" s="31"/>
      <c r="G13735" s="272" t="s">
        <v>1099</v>
      </c>
    </row>
    <row r="13736">
      <c r="B13736" s="31"/>
      <c r="G13736" s="272" t="s">
        <v>1099</v>
      </c>
    </row>
    <row r="13737">
      <c r="B13737" s="31"/>
      <c r="G13737" s="272" t="s">
        <v>1099</v>
      </c>
    </row>
    <row r="13738">
      <c r="B13738" s="31"/>
      <c r="G13738" s="272" t="s">
        <v>1099</v>
      </c>
    </row>
    <row r="13739">
      <c r="B13739" s="31"/>
      <c r="G13739" s="272" t="s">
        <v>1099</v>
      </c>
    </row>
    <row r="13740">
      <c r="B13740" s="31"/>
      <c r="G13740" s="272" t="s">
        <v>1099</v>
      </c>
    </row>
    <row r="13741">
      <c r="B13741" s="31"/>
      <c r="G13741" s="272" t="s">
        <v>1099</v>
      </c>
    </row>
    <row r="13742">
      <c r="B13742" s="31"/>
      <c r="G13742" s="272" t="s">
        <v>1099</v>
      </c>
    </row>
    <row r="13743">
      <c r="B13743" s="31"/>
      <c r="G13743" s="272" t="s">
        <v>1099</v>
      </c>
    </row>
    <row r="13744">
      <c r="B13744" s="31"/>
      <c r="G13744" s="272" t="s">
        <v>1099</v>
      </c>
    </row>
    <row r="13745">
      <c r="B13745" s="31"/>
      <c r="G13745" s="272" t="s">
        <v>1099</v>
      </c>
    </row>
    <row r="13746">
      <c r="B13746" s="31"/>
      <c r="G13746" s="272" t="s">
        <v>1099</v>
      </c>
    </row>
    <row r="13747">
      <c r="B13747" s="31"/>
      <c r="G13747" s="272" t="s">
        <v>1099</v>
      </c>
    </row>
    <row r="13748">
      <c r="B13748" s="31"/>
      <c r="G13748" s="272" t="s">
        <v>1099</v>
      </c>
    </row>
    <row r="13749">
      <c r="B13749" s="31"/>
      <c r="G13749" s="272" t="s">
        <v>1099</v>
      </c>
    </row>
    <row r="13750">
      <c r="B13750" s="31"/>
      <c r="G13750" s="272" t="s">
        <v>1099</v>
      </c>
    </row>
    <row r="13751">
      <c r="B13751" s="31"/>
      <c r="G13751" s="272" t="s">
        <v>1099</v>
      </c>
    </row>
    <row r="13752">
      <c r="B13752" s="31"/>
      <c r="G13752" s="272" t="s">
        <v>1099</v>
      </c>
    </row>
    <row r="13753">
      <c r="B13753" s="31"/>
      <c r="G13753" s="272" t="s">
        <v>1099</v>
      </c>
    </row>
    <row r="13754">
      <c r="B13754" s="31"/>
      <c r="G13754" s="272" t="s">
        <v>1099</v>
      </c>
    </row>
    <row r="13755">
      <c r="B13755" s="31"/>
      <c r="G13755" s="272" t="s">
        <v>1099</v>
      </c>
    </row>
    <row r="13756">
      <c r="B13756" s="31"/>
      <c r="G13756" s="272" t="s">
        <v>1099</v>
      </c>
    </row>
    <row r="13757">
      <c r="B13757" s="31"/>
      <c r="G13757" s="272" t="s">
        <v>1099</v>
      </c>
    </row>
    <row r="13758">
      <c r="B13758" s="31"/>
      <c r="G13758" s="272" t="s">
        <v>1099</v>
      </c>
    </row>
    <row r="13759">
      <c r="B13759" s="31"/>
      <c r="G13759" s="272" t="s">
        <v>1099</v>
      </c>
    </row>
    <row r="13760">
      <c r="B13760" s="31"/>
      <c r="G13760" s="272" t="s">
        <v>1099</v>
      </c>
    </row>
    <row r="13761">
      <c r="B13761" s="31"/>
      <c r="G13761" s="272" t="s">
        <v>1099</v>
      </c>
    </row>
    <row r="13762">
      <c r="B13762" s="31"/>
      <c r="G13762" s="272" t="s">
        <v>1099</v>
      </c>
    </row>
    <row r="13763">
      <c r="B13763" s="31"/>
      <c r="G13763" s="272" t="s">
        <v>1099</v>
      </c>
    </row>
    <row r="13764">
      <c r="B13764" s="31"/>
      <c r="G13764" s="272" t="s">
        <v>1099</v>
      </c>
    </row>
    <row r="13765">
      <c r="B13765" s="31"/>
      <c r="G13765" s="272" t="s">
        <v>1099</v>
      </c>
    </row>
    <row r="13766">
      <c r="B13766" s="31"/>
      <c r="G13766" s="272" t="s">
        <v>1099</v>
      </c>
    </row>
    <row r="13767">
      <c r="B13767" s="31"/>
      <c r="G13767" s="272" t="s">
        <v>1099</v>
      </c>
    </row>
    <row r="13768">
      <c r="B13768" s="31"/>
      <c r="G13768" s="272" t="s">
        <v>1099</v>
      </c>
    </row>
    <row r="13769">
      <c r="B13769" s="31"/>
      <c r="G13769" s="272" t="s">
        <v>1099</v>
      </c>
    </row>
    <row r="13770">
      <c r="B13770" s="31"/>
      <c r="G13770" s="272" t="s">
        <v>1099</v>
      </c>
    </row>
    <row r="13771">
      <c r="B13771" s="31"/>
      <c r="G13771" s="272" t="s">
        <v>1099</v>
      </c>
    </row>
    <row r="13772">
      <c r="B13772" s="31"/>
      <c r="G13772" s="272" t="s">
        <v>1099</v>
      </c>
    </row>
    <row r="13773">
      <c r="B13773" s="31"/>
      <c r="G13773" s="272" t="s">
        <v>1099</v>
      </c>
    </row>
    <row r="13774">
      <c r="B13774" s="31"/>
      <c r="G13774" s="272" t="s">
        <v>1099</v>
      </c>
    </row>
    <row r="13775">
      <c r="B13775" s="31"/>
      <c r="G13775" s="272" t="s">
        <v>1099</v>
      </c>
    </row>
    <row r="13776">
      <c r="B13776" s="31"/>
      <c r="G13776" s="272" t="s">
        <v>1099</v>
      </c>
    </row>
    <row r="13777">
      <c r="B13777" s="31"/>
      <c r="G13777" s="272" t="s">
        <v>1099</v>
      </c>
    </row>
    <row r="13778">
      <c r="B13778" s="31"/>
      <c r="G13778" s="272" t="s">
        <v>1099</v>
      </c>
    </row>
    <row r="13779">
      <c r="B13779" s="31"/>
      <c r="G13779" s="272" t="s">
        <v>1099</v>
      </c>
    </row>
    <row r="13780">
      <c r="B13780" s="31"/>
      <c r="G13780" s="272" t="s">
        <v>1099</v>
      </c>
    </row>
    <row r="13781">
      <c r="B13781" s="31"/>
      <c r="G13781" s="272" t="s">
        <v>1099</v>
      </c>
    </row>
    <row r="13782">
      <c r="B13782" s="31"/>
      <c r="G13782" s="272" t="s">
        <v>1099</v>
      </c>
    </row>
    <row r="13783">
      <c r="B13783" s="31"/>
      <c r="G13783" s="272" t="s">
        <v>1099</v>
      </c>
    </row>
    <row r="13784">
      <c r="B13784" s="31"/>
      <c r="G13784" s="272" t="s">
        <v>1099</v>
      </c>
    </row>
    <row r="13785">
      <c r="B13785" s="31"/>
      <c r="G13785" s="272" t="s">
        <v>1099</v>
      </c>
    </row>
    <row r="13786">
      <c r="B13786" s="31"/>
      <c r="G13786" s="272" t="s">
        <v>1099</v>
      </c>
    </row>
    <row r="13787">
      <c r="B13787" s="31"/>
      <c r="G13787" s="272" t="s">
        <v>1099</v>
      </c>
    </row>
    <row r="13788">
      <c r="B13788" s="31"/>
      <c r="G13788" s="272" t="s">
        <v>1099</v>
      </c>
    </row>
    <row r="13789">
      <c r="B13789" s="31"/>
      <c r="G13789" s="272" t="s">
        <v>1099</v>
      </c>
    </row>
    <row r="13790">
      <c r="B13790" s="31"/>
      <c r="G13790" s="272" t="s">
        <v>1099</v>
      </c>
    </row>
    <row r="13791">
      <c r="B13791" s="31"/>
      <c r="G13791" s="272" t="s">
        <v>1099</v>
      </c>
    </row>
    <row r="13792">
      <c r="B13792" s="31"/>
      <c r="G13792" s="272" t="s">
        <v>1099</v>
      </c>
    </row>
    <row r="13793">
      <c r="B13793" s="31"/>
      <c r="G13793" s="272" t="s">
        <v>1099</v>
      </c>
    </row>
    <row r="13794">
      <c r="B13794" s="31"/>
      <c r="G13794" s="272" t="s">
        <v>1099</v>
      </c>
    </row>
    <row r="13795">
      <c r="B13795" s="31"/>
      <c r="G13795" s="272" t="s">
        <v>1099</v>
      </c>
    </row>
    <row r="13796">
      <c r="B13796" s="31"/>
      <c r="G13796" s="272" t="s">
        <v>1099</v>
      </c>
    </row>
    <row r="13797">
      <c r="B13797" s="31"/>
      <c r="G13797" s="272" t="s">
        <v>1099</v>
      </c>
    </row>
    <row r="13798">
      <c r="B13798" s="31"/>
      <c r="G13798" s="272" t="s">
        <v>1099</v>
      </c>
    </row>
    <row r="13799">
      <c r="B13799" s="31"/>
      <c r="G13799" s="272" t="s">
        <v>1099</v>
      </c>
    </row>
    <row r="13800">
      <c r="B13800" s="31"/>
      <c r="G13800" s="272" t="s">
        <v>1099</v>
      </c>
    </row>
    <row r="13801">
      <c r="B13801" s="31"/>
      <c r="G13801" s="272" t="s">
        <v>1099</v>
      </c>
    </row>
    <row r="13802">
      <c r="B13802" s="31"/>
      <c r="G13802" s="272" t="s">
        <v>1099</v>
      </c>
    </row>
    <row r="13803">
      <c r="B13803" s="31"/>
      <c r="G13803" s="272" t="s">
        <v>1099</v>
      </c>
    </row>
    <row r="13804">
      <c r="B13804" s="31"/>
      <c r="G13804" s="272" t="s">
        <v>1099</v>
      </c>
    </row>
    <row r="13805">
      <c r="B13805" s="31"/>
      <c r="G13805" s="272" t="s">
        <v>1099</v>
      </c>
    </row>
    <row r="13806">
      <c r="B13806" s="31"/>
      <c r="G13806" s="272" t="s">
        <v>1099</v>
      </c>
    </row>
    <row r="13807">
      <c r="B13807" s="31"/>
      <c r="G13807" s="272" t="s">
        <v>1099</v>
      </c>
    </row>
    <row r="13808">
      <c r="B13808" s="31"/>
      <c r="G13808" s="272" t="s">
        <v>1099</v>
      </c>
    </row>
    <row r="13809">
      <c r="B13809" s="31"/>
      <c r="G13809" s="272" t="s">
        <v>1099</v>
      </c>
    </row>
    <row r="13810">
      <c r="B13810" s="31"/>
      <c r="G13810" s="272" t="s">
        <v>1099</v>
      </c>
    </row>
    <row r="13811">
      <c r="B13811" s="31"/>
      <c r="G13811" s="272" t="s">
        <v>1099</v>
      </c>
    </row>
    <row r="13812">
      <c r="B13812" s="31"/>
      <c r="G13812" s="272" t="s">
        <v>1099</v>
      </c>
    </row>
    <row r="13813">
      <c r="B13813" s="31"/>
      <c r="G13813" s="272" t="s">
        <v>1099</v>
      </c>
    </row>
    <row r="13814">
      <c r="B13814" s="31"/>
      <c r="G13814" s="272" t="s">
        <v>1099</v>
      </c>
    </row>
    <row r="13815">
      <c r="B13815" s="31"/>
      <c r="G13815" s="272" t="s">
        <v>1099</v>
      </c>
    </row>
    <row r="13816">
      <c r="B13816" s="31"/>
      <c r="G13816" s="272" t="s">
        <v>1099</v>
      </c>
    </row>
    <row r="13817">
      <c r="B13817" s="31"/>
      <c r="G13817" s="272" t="s">
        <v>1099</v>
      </c>
    </row>
    <row r="13818">
      <c r="B13818" s="31"/>
      <c r="G13818" s="272" t="s">
        <v>1099</v>
      </c>
    </row>
    <row r="13819">
      <c r="B13819" s="31"/>
      <c r="G13819" s="272" t="s">
        <v>1099</v>
      </c>
    </row>
    <row r="13820">
      <c r="B13820" s="31"/>
      <c r="G13820" s="272" t="s">
        <v>1099</v>
      </c>
    </row>
    <row r="13821">
      <c r="B13821" s="31"/>
      <c r="G13821" s="272" t="s">
        <v>1099</v>
      </c>
    </row>
    <row r="13822">
      <c r="B13822" s="31"/>
      <c r="G13822" s="272" t="s">
        <v>1099</v>
      </c>
    </row>
    <row r="13823">
      <c r="B13823" s="31"/>
      <c r="G13823" s="272" t="s">
        <v>1099</v>
      </c>
    </row>
    <row r="13824">
      <c r="B13824" s="31"/>
      <c r="G13824" s="272" t="s">
        <v>1099</v>
      </c>
    </row>
    <row r="13825">
      <c r="B13825" s="31"/>
      <c r="G13825" s="272" t="s">
        <v>1099</v>
      </c>
    </row>
    <row r="13826">
      <c r="B13826" s="31"/>
      <c r="G13826" s="272" t="s">
        <v>1099</v>
      </c>
    </row>
    <row r="13827">
      <c r="B13827" s="31"/>
      <c r="G13827" s="272" t="s">
        <v>1099</v>
      </c>
    </row>
    <row r="13828">
      <c r="B13828" s="31"/>
      <c r="G13828" s="272" t="s">
        <v>1099</v>
      </c>
    </row>
    <row r="13829">
      <c r="B13829" s="31"/>
      <c r="G13829" s="272" t="s">
        <v>1099</v>
      </c>
    </row>
    <row r="13830">
      <c r="B13830" s="31"/>
      <c r="G13830" s="272" t="s">
        <v>1099</v>
      </c>
    </row>
    <row r="13831">
      <c r="B13831" s="31"/>
      <c r="G13831" s="272" t="s">
        <v>1099</v>
      </c>
    </row>
    <row r="13832">
      <c r="B13832" s="31"/>
      <c r="G13832" s="272" t="s">
        <v>1099</v>
      </c>
    </row>
    <row r="13833">
      <c r="B13833" s="31"/>
      <c r="G13833" s="272" t="s">
        <v>1099</v>
      </c>
    </row>
    <row r="13834">
      <c r="B13834" s="31"/>
      <c r="G13834" s="272" t="s">
        <v>1099</v>
      </c>
    </row>
    <row r="13835">
      <c r="B13835" s="31"/>
      <c r="G13835" s="272" t="s">
        <v>1099</v>
      </c>
    </row>
    <row r="13836">
      <c r="B13836" s="31"/>
      <c r="G13836" s="272" t="s">
        <v>1099</v>
      </c>
    </row>
    <row r="13837">
      <c r="B13837" s="31"/>
      <c r="G13837" s="272" t="s">
        <v>1099</v>
      </c>
    </row>
    <row r="13838">
      <c r="B13838" s="31"/>
      <c r="G13838" s="272" t="s">
        <v>1099</v>
      </c>
    </row>
    <row r="13839">
      <c r="B13839" s="31"/>
      <c r="G13839" s="272" t="s">
        <v>1099</v>
      </c>
    </row>
    <row r="13840">
      <c r="B13840" s="31"/>
      <c r="G13840" s="272" t="s">
        <v>1099</v>
      </c>
    </row>
    <row r="13841">
      <c r="B13841" s="31"/>
      <c r="G13841" s="272" t="s">
        <v>1099</v>
      </c>
    </row>
    <row r="13842">
      <c r="B13842" s="31"/>
      <c r="G13842" s="272" t="s">
        <v>1099</v>
      </c>
    </row>
    <row r="13843">
      <c r="B13843" s="31"/>
      <c r="G13843" s="272" t="s">
        <v>1099</v>
      </c>
    </row>
    <row r="13844">
      <c r="B13844" s="31"/>
      <c r="G13844" s="272" t="s">
        <v>1099</v>
      </c>
    </row>
    <row r="13845">
      <c r="B13845" s="31"/>
      <c r="G13845" s="272" t="s">
        <v>1099</v>
      </c>
    </row>
    <row r="13846">
      <c r="B13846" s="31"/>
      <c r="G13846" s="272" t="s">
        <v>1099</v>
      </c>
    </row>
    <row r="13847">
      <c r="B13847" s="31"/>
      <c r="G13847" s="272" t="s">
        <v>1099</v>
      </c>
    </row>
    <row r="13848">
      <c r="B13848" s="31"/>
      <c r="G13848" s="272" t="s">
        <v>1099</v>
      </c>
    </row>
    <row r="13849">
      <c r="B13849" s="31"/>
      <c r="G13849" s="272" t="s">
        <v>1099</v>
      </c>
    </row>
    <row r="13850">
      <c r="B13850" s="31"/>
      <c r="G13850" s="272" t="s">
        <v>1099</v>
      </c>
    </row>
    <row r="13851">
      <c r="B13851" s="31"/>
      <c r="G13851" s="272" t="s">
        <v>1099</v>
      </c>
    </row>
    <row r="13852">
      <c r="B13852" s="31"/>
      <c r="G13852" s="272" t="s">
        <v>1099</v>
      </c>
    </row>
    <row r="13853">
      <c r="B13853" s="31"/>
      <c r="G13853" s="272" t="s">
        <v>1099</v>
      </c>
    </row>
    <row r="13854">
      <c r="B13854" s="31"/>
      <c r="G13854" s="272" t="s">
        <v>1099</v>
      </c>
    </row>
    <row r="13855">
      <c r="B13855" s="31"/>
      <c r="G13855" s="272" t="s">
        <v>1099</v>
      </c>
    </row>
    <row r="13856">
      <c r="B13856" s="31"/>
      <c r="G13856" s="272" t="s">
        <v>1099</v>
      </c>
    </row>
    <row r="13857">
      <c r="B13857" s="31"/>
      <c r="G13857" s="272" t="s">
        <v>1099</v>
      </c>
    </row>
    <row r="13858">
      <c r="B13858" s="31"/>
      <c r="G13858" s="272" t="s">
        <v>1099</v>
      </c>
    </row>
    <row r="13859">
      <c r="B13859" s="31"/>
      <c r="G13859" s="272" t="s">
        <v>1099</v>
      </c>
    </row>
    <row r="13860">
      <c r="B13860" s="31"/>
      <c r="G13860" s="272" t="s">
        <v>1099</v>
      </c>
    </row>
    <row r="13861">
      <c r="B13861" s="31"/>
      <c r="G13861" s="272" t="s">
        <v>1099</v>
      </c>
    </row>
    <row r="13862">
      <c r="B13862" s="31"/>
      <c r="G13862" s="272" t="s">
        <v>1099</v>
      </c>
    </row>
    <row r="13863">
      <c r="B13863" s="31"/>
      <c r="G13863" s="272" t="s">
        <v>1099</v>
      </c>
    </row>
    <row r="13864">
      <c r="B13864" s="31"/>
      <c r="G13864" s="272" t="s">
        <v>1099</v>
      </c>
    </row>
    <row r="13865">
      <c r="B13865" s="31"/>
      <c r="G13865" s="272" t="s">
        <v>1099</v>
      </c>
    </row>
    <row r="13866">
      <c r="B13866" s="31"/>
      <c r="G13866" s="272" t="s">
        <v>1099</v>
      </c>
    </row>
    <row r="13867">
      <c r="B13867" s="31"/>
      <c r="G13867" s="272" t="s">
        <v>1099</v>
      </c>
    </row>
    <row r="13868">
      <c r="B13868" s="31"/>
      <c r="G13868" s="272" t="s">
        <v>1099</v>
      </c>
    </row>
    <row r="13869">
      <c r="B13869" s="31"/>
      <c r="G13869" s="272" t="s">
        <v>1099</v>
      </c>
    </row>
    <row r="13870">
      <c r="B13870" s="31"/>
      <c r="G13870" s="272" t="s">
        <v>1099</v>
      </c>
    </row>
    <row r="13871">
      <c r="B13871" s="31"/>
      <c r="G13871" s="272" t="s">
        <v>1099</v>
      </c>
    </row>
    <row r="13872">
      <c r="B13872" s="31"/>
      <c r="G13872" s="272" t="s">
        <v>1099</v>
      </c>
    </row>
    <row r="13873">
      <c r="B13873" s="31"/>
      <c r="G13873" s="272" t="s">
        <v>1099</v>
      </c>
    </row>
    <row r="13874">
      <c r="B13874" s="31"/>
      <c r="G13874" s="272" t="s">
        <v>1099</v>
      </c>
    </row>
    <row r="13875">
      <c r="B13875" s="31"/>
      <c r="G13875" s="272" t="s">
        <v>1099</v>
      </c>
    </row>
    <row r="13876">
      <c r="B13876" s="31"/>
      <c r="G13876" s="272" t="s">
        <v>1099</v>
      </c>
    </row>
    <row r="13877">
      <c r="B13877" s="31"/>
      <c r="G13877" s="272" t="s">
        <v>1099</v>
      </c>
    </row>
    <row r="13878">
      <c r="B13878" s="31"/>
      <c r="G13878" s="272" t="s">
        <v>1099</v>
      </c>
    </row>
    <row r="13879">
      <c r="B13879" s="31"/>
      <c r="G13879" s="272" t="s">
        <v>1099</v>
      </c>
    </row>
    <row r="13880">
      <c r="B13880" s="31"/>
      <c r="G13880" s="272" t="s">
        <v>1099</v>
      </c>
    </row>
    <row r="13881">
      <c r="B13881" s="31"/>
      <c r="G13881" s="272" t="s">
        <v>1099</v>
      </c>
    </row>
    <row r="13882">
      <c r="B13882" s="31"/>
      <c r="G13882" s="272" t="s">
        <v>1099</v>
      </c>
    </row>
    <row r="13883">
      <c r="B13883" s="31"/>
      <c r="G13883" s="272" t="s">
        <v>1099</v>
      </c>
    </row>
    <row r="13884">
      <c r="B13884" s="31"/>
      <c r="G13884" s="272" t="s">
        <v>1099</v>
      </c>
    </row>
    <row r="13885">
      <c r="B13885" s="31"/>
      <c r="G13885" s="272" t="s">
        <v>1099</v>
      </c>
    </row>
    <row r="13886">
      <c r="B13886" s="31"/>
      <c r="G13886" s="272" t="s">
        <v>1099</v>
      </c>
    </row>
    <row r="13887">
      <c r="B13887" s="31"/>
      <c r="G13887" s="272" t="s">
        <v>1099</v>
      </c>
    </row>
    <row r="13888">
      <c r="B13888" s="31"/>
      <c r="G13888" s="272" t="s">
        <v>1099</v>
      </c>
    </row>
    <row r="13889">
      <c r="B13889" s="31"/>
      <c r="G13889" s="272" t="s">
        <v>1099</v>
      </c>
    </row>
    <row r="13890">
      <c r="B13890" s="31"/>
      <c r="G13890" s="272" t="s">
        <v>1099</v>
      </c>
    </row>
    <row r="13891">
      <c r="B13891" s="31"/>
      <c r="G13891" s="272" t="s">
        <v>1099</v>
      </c>
    </row>
    <row r="13892">
      <c r="B13892" s="31"/>
      <c r="G13892" s="272" t="s">
        <v>1099</v>
      </c>
    </row>
    <row r="13893">
      <c r="B13893" s="31"/>
      <c r="G13893" s="272" t="s">
        <v>1099</v>
      </c>
    </row>
    <row r="13894">
      <c r="B13894" s="31"/>
      <c r="G13894" s="272" t="s">
        <v>1099</v>
      </c>
    </row>
    <row r="13895">
      <c r="B13895" s="31"/>
      <c r="G13895" s="272" t="s">
        <v>1099</v>
      </c>
    </row>
    <row r="13896">
      <c r="B13896" s="31"/>
      <c r="G13896" s="272" t="s">
        <v>1099</v>
      </c>
    </row>
    <row r="13897">
      <c r="B13897" s="31"/>
      <c r="G13897" s="272" t="s">
        <v>1099</v>
      </c>
    </row>
    <row r="13898">
      <c r="B13898" s="31"/>
      <c r="G13898" s="272" t="s">
        <v>1099</v>
      </c>
    </row>
    <row r="13899">
      <c r="B13899" s="31"/>
      <c r="G13899" s="272" t="s">
        <v>1099</v>
      </c>
    </row>
    <row r="13900">
      <c r="B13900" s="31"/>
      <c r="G13900" s="272" t="s">
        <v>1099</v>
      </c>
    </row>
    <row r="13901">
      <c r="B13901" s="31"/>
      <c r="G13901" s="272" t="s">
        <v>1099</v>
      </c>
    </row>
    <row r="13902">
      <c r="B13902" s="31"/>
      <c r="G13902" s="272" t="s">
        <v>1099</v>
      </c>
    </row>
    <row r="13903">
      <c r="B13903" s="31"/>
      <c r="G13903" s="272" t="s">
        <v>1099</v>
      </c>
    </row>
    <row r="13904">
      <c r="B13904" s="31"/>
      <c r="G13904" s="272" t="s">
        <v>1099</v>
      </c>
    </row>
    <row r="13905">
      <c r="B13905" s="31"/>
      <c r="G13905" s="272" t="s">
        <v>1099</v>
      </c>
    </row>
    <row r="13906">
      <c r="B13906" s="31"/>
      <c r="G13906" s="272" t="s">
        <v>1099</v>
      </c>
    </row>
    <row r="13907">
      <c r="B13907" s="31"/>
      <c r="G13907" s="272" t="s">
        <v>1099</v>
      </c>
    </row>
    <row r="13908">
      <c r="B13908" s="31"/>
      <c r="G13908" s="272" t="s">
        <v>1099</v>
      </c>
    </row>
    <row r="13909">
      <c r="B13909" s="31"/>
      <c r="G13909" s="272" t="s">
        <v>1099</v>
      </c>
    </row>
    <row r="13910">
      <c r="B13910" s="31"/>
      <c r="G13910" s="272" t="s">
        <v>1099</v>
      </c>
    </row>
    <row r="13911">
      <c r="B13911" s="31"/>
      <c r="G13911" s="272" t="s">
        <v>1099</v>
      </c>
    </row>
    <row r="13912">
      <c r="B13912" s="31"/>
      <c r="G13912" s="272" t="s">
        <v>1099</v>
      </c>
    </row>
    <row r="13913">
      <c r="B13913" s="31"/>
      <c r="G13913" s="272" t="s">
        <v>1099</v>
      </c>
    </row>
    <row r="13914">
      <c r="B13914" s="31"/>
      <c r="G13914" s="272" t="s">
        <v>1099</v>
      </c>
    </row>
    <row r="13915">
      <c r="B13915" s="31"/>
      <c r="G13915" s="272" t="s">
        <v>1099</v>
      </c>
    </row>
    <row r="13916">
      <c r="B13916" s="31"/>
      <c r="G13916" s="272" t="s">
        <v>1099</v>
      </c>
    </row>
    <row r="13917">
      <c r="B13917" s="31"/>
      <c r="G13917" s="272" t="s">
        <v>1099</v>
      </c>
    </row>
    <row r="13918">
      <c r="B13918" s="31"/>
      <c r="G13918" s="272" t="s">
        <v>1099</v>
      </c>
    </row>
    <row r="13919">
      <c r="B13919" s="31"/>
      <c r="G13919" s="272" t="s">
        <v>1099</v>
      </c>
    </row>
    <row r="13920">
      <c r="B13920" s="31"/>
      <c r="G13920" s="272" t="s">
        <v>1099</v>
      </c>
    </row>
    <row r="13921">
      <c r="B13921" s="31"/>
      <c r="G13921" s="272" t="s">
        <v>1099</v>
      </c>
    </row>
    <row r="13922">
      <c r="B13922" s="31"/>
      <c r="G13922" s="272" t="s">
        <v>1099</v>
      </c>
    </row>
    <row r="13923">
      <c r="B13923" s="31"/>
      <c r="G13923" s="272" t="s">
        <v>1099</v>
      </c>
    </row>
    <row r="13924">
      <c r="B13924" s="31"/>
      <c r="G13924" s="272" t="s">
        <v>1099</v>
      </c>
    </row>
    <row r="13925">
      <c r="B13925" s="31"/>
      <c r="G13925" s="272" t="s">
        <v>1099</v>
      </c>
    </row>
    <row r="13926">
      <c r="B13926" s="31"/>
      <c r="G13926" s="272" t="s">
        <v>1099</v>
      </c>
    </row>
    <row r="13927">
      <c r="B13927" s="31"/>
      <c r="G13927" s="272" t="s">
        <v>1099</v>
      </c>
    </row>
    <row r="13928">
      <c r="B13928" s="31"/>
      <c r="G13928" s="272" t="s">
        <v>1099</v>
      </c>
    </row>
    <row r="13929">
      <c r="B13929" s="31"/>
      <c r="G13929" s="272" t="s">
        <v>1099</v>
      </c>
    </row>
    <row r="13930">
      <c r="B13930" s="31"/>
      <c r="G13930" s="272" t="s">
        <v>1099</v>
      </c>
    </row>
    <row r="13931">
      <c r="B13931" s="31"/>
      <c r="G13931" s="272" t="s">
        <v>1099</v>
      </c>
    </row>
    <row r="13932">
      <c r="B13932" s="31"/>
      <c r="G13932" s="272" t="s">
        <v>1099</v>
      </c>
    </row>
    <row r="13933">
      <c r="B13933" s="31"/>
      <c r="G13933" s="272" t="s">
        <v>1099</v>
      </c>
    </row>
    <row r="13934">
      <c r="B13934" s="31"/>
      <c r="G13934" s="272" t="s">
        <v>1099</v>
      </c>
    </row>
    <row r="13935">
      <c r="B13935" s="31"/>
      <c r="G13935" s="272" t="s">
        <v>1099</v>
      </c>
    </row>
    <row r="13936">
      <c r="B13936" s="31"/>
      <c r="G13936" s="272" t="s">
        <v>1099</v>
      </c>
    </row>
    <row r="13937">
      <c r="B13937" s="31"/>
      <c r="G13937" s="272" t="s">
        <v>1099</v>
      </c>
    </row>
    <row r="13938">
      <c r="B13938" s="31"/>
      <c r="G13938" s="272" t="s">
        <v>1099</v>
      </c>
    </row>
    <row r="13939">
      <c r="B13939" s="31"/>
      <c r="G13939" s="272" t="s">
        <v>1099</v>
      </c>
    </row>
    <row r="13940">
      <c r="B13940" s="31"/>
      <c r="G13940" s="272" t="s">
        <v>1099</v>
      </c>
    </row>
    <row r="13941">
      <c r="B13941" s="31"/>
      <c r="G13941" s="272" t="s">
        <v>1099</v>
      </c>
    </row>
    <row r="13942">
      <c r="B13942" s="31"/>
      <c r="G13942" s="272" t="s">
        <v>1099</v>
      </c>
    </row>
    <row r="13943">
      <c r="B13943" s="31"/>
      <c r="G13943" s="272" t="s">
        <v>1099</v>
      </c>
    </row>
    <row r="13944">
      <c r="B13944" s="31"/>
      <c r="G13944" s="272" t="s">
        <v>1099</v>
      </c>
    </row>
    <row r="13945">
      <c r="B13945" s="31"/>
      <c r="G13945" s="272" t="s">
        <v>1099</v>
      </c>
    </row>
    <row r="13946">
      <c r="B13946" s="31"/>
      <c r="G13946" s="272" t="s">
        <v>1099</v>
      </c>
    </row>
    <row r="13947">
      <c r="B13947" s="31"/>
      <c r="G13947" s="272" t="s">
        <v>1099</v>
      </c>
    </row>
    <row r="13948">
      <c r="B13948" s="31"/>
      <c r="G13948" s="272" t="s">
        <v>1099</v>
      </c>
    </row>
    <row r="13949">
      <c r="B13949" s="31"/>
      <c r="G13949" s="272" t="s">
        <v>1099</v>
      </c>
    </row>
    <row r="13950">
      <c r="B13950" s="31"/>
      <c r="G13950" s="272" t="s">
        <v>1099</v>
      </c>
    </row>
    <row r="13951">
      <c r="B13951" s="31"/>
      <c r="G13951" s="272" t="s">
        <v>1099</v>
      </c>
    </row>
    <row r="13952">
      <c r="B13952" s="31"/>
      <c r="G13952" s="272" t="s">
        <v>1099</v>
      </c>
    </row>
    <row r="13953">
      <c r="B13953" s="31"/>
      <c r="G13953" s="272" t="s">
        <v>1099</v>
      </c>
    </row>
    <row r="13954">
      <c r="B13954" s="31"/>
      <c r="G13954" s="272" t="s">
        <v>1099</v>
      </c>
    </row>
    <row r="13955">
      <c r="B13955" s="31"/>
      <c r="G13955" s="272" t="s">
        <v>1099</v>
      </c>
    </row>
    <row r="13956">
      <c r="B13956" s="31"/>
      <c r="G13956" s="272" t="s">
        <v>1099</v>
      </c>
    </row>
    <row r="13957">
      <c r="B13957" s="31"/>
      <c r="G13957" s="272" t="s">
        <v>1099</v>
      </c>
    </row>
    <row r="13958">
      <c r="B13958" s="31"/>
      <c r="G13958" s="272" t="s">
        <v>1099</v>
      </c>
    </row>
    <row r="13959">
      <c r="B13959" s="31"/>
      <c r="G13959" s="272" t="s">
        <v>1099</v>
      </c>
    </row>
    <row r="13960">
      <c r="B13960" s="31"/>
      <c r="G13960" s="272" t="s">
        <v>1099</v>
      </c>
    </row>
    <row r="13961">
      <c r="B13961" s="31"/>
      <c r="G13961" s="272" t="s">
        <v>1099</v>
      </c>
    </row>
    <row r="13962">
      <c r="B13962" s="31"/>
      <c r="G13962" s="272" t="s">
        <v>1099</v>
      </c>
    </row>
    <row r="13963">
      <c r="B13963" s="31"/>
      <c r="G13963" s="272" t="s">
        <v>1099</v>
      </c>
    </row>
    <row r="13964">
      <c r="B13964" s="31"/>
      <c r="G13964" s="272" t="s">
        <v>1099</v>
      </c>
    </row>
    <row r="13965">
      <c r="B13965" s="31"/>
      <c r="G13965" s="272" t="s">
        <v>1099</v>
      </c>
    </row>
    <row r="13966">
      <c r="B13966" s="31"/>
      <c r="G13966" s="272" t="s">
        <v>1099</v>
      </c>
    </row>
    <row r="13967">
      <c r="B13967" s="31"/>
      <c r="G13967" s="272" t="s">
        <v>1099</v>
      </c>
    </row>
    <row r="13968">
      <c r="B13968" s="31"/>
      <c r="G13968" s="272" t="s">
        <v>1099</v>
      </c>
    </row>
    <row r="13969">
      <c r="B13969" s="31"/>
      <c r="G13969" s="272" t="s">
        <v>1099</v>
      </c>
    </row>
    <row r="13970">
      <c r="B13970" s="31"/>
      <c r="G13970" s="272" t="s">
        <v>1099</v>
      </c>
    </row>
    <row r="13971">
      <c r="B13971" s="31"/>
      <c r="G13971" s="272" t="s">
        <v>1099</v>
      </c>
    </row>
    <row r="13972">
      <c r="B13972" s="31"/>
      <c r="G13972" s="272" t="s">
        <v>1099</v>
      </c>
    </row>
    <row r="13973">
      <c r="B13973" s="31"/>
      <c r="G13973" s="272" t="s">
        <v>1099</v>
      </c>
    </row>
    <row r="13974">
      <c r="B13974" s="31"/>
      <c r="G13974" s="272" t="s">
        <v>1099</v>
      </c>
    </row>
    <row r="13975">
      <c r="B13975" s="31"/>
      <c r="G13975" s="272" t="s">
        <v>1099</v>
      </c>
    </row>
    <row r="13976">
      <c r="B13976" s="31"/>
      <c r="G13976" s="272" t="s">
        <v>1099</v>
      </c>
    </row>
    <row r="13977">
      <c r="B13977" s="31"/>
      <c r="G13977" s="272" t="s">
        <v>1099</v>
      </c>
    </row>
    <row r="13978">
      <c r="B13978" s="31"/>
      <c r="G13978" s="272" t="s">
        <v>1099</v>
      </c>
    </row>
    <row r="13979">
      <c r="B13979" s="31"/>
      <c r="G13979" s="272" t="s">
        <v>1099</v>
      </c>
    </row>
    <row r="13980">
      <c r="B13980" s="31"/>
      <c r="G13980" s="272" t="s">
        <v>1099</v>
      </c>
    </row>
    <row r="13981">
      <c r="B13981" s="31"/>
      <c r="G13981" s="272" t="s">
        <v>1099</v>
      </c>
    </row>
    <row r="13982">
      <c r="B13982" s="31"/>
      <c r="G13982" s="272" t="s">
        <v>1099</v>
      </c>
    </row>
    <row r="13983">
      <c r="B13983" s="31"/>
      <c r="G13983" s="272" t="s">
        <v>1099</v>
      </c>
    </row>
    <row r="13984">
      <c r="B13984" s="31"/>
      <c r="G13984" s="272" t="s">
        <v>1099</v>
      </c>
    </row>
    <row r="13985">
      <c r="B13985" s="31"/>
      <c r="G13985" s="272" t="s">
        <v>1099</v>
      </c>
    </row>
    <row r="13986">
      <c r="B13986" s="31"/>
      <c r="G13986" s="272" t="s">
        <v>1099</v>
      </c>
    </row>
    <row r="13987">
      <c r="B13987" s="31"/>
      <c r="G13987" s="272" t="s">
        <v>1099</v>
      </c>
    </row>
    <row r="13988">
      <c r="B13988" s="31"/>
      <c r="G13988" s="272" t="s">
        <v>1099</v>
      </c>
    </row>
    <row r="13989">
      <c r="B13989" s="31"/>
      <c r="G13989" s="272" t="s">
        <v>1099</v>
      </c>
    </row>
    <row r="13990">
      <c r="B13990" s="31"/>
      <c r="G13990" s="272" t="s">
        <v>1099</v>
      </c>
    </row>
    <row r="13991">
      <c r="B13991" s="31"/>
      <c r="G13991" s="272" t="s">
        <v>1099</v>
      </c>
    </row>
    <row r="13992">
      <c r="B13992" s="31"/>
      <c r="G13992" s="272" t="s">
        <v>1099</v>
      </c>
    </row>
    <row r="13993">
      <c r="B13993" s="31"/>
      <c r="G13993" s="272" t="s">
        <v>1099</v>
      </c>
    </row>
    <row r="13994">
      <c r="B13994" s="31"/>
      <c r="G13994" s="272" t="s">
        <v>1099</v>
      </c>
    </row>
    <row r="13995">
      <c r="B13995" s="31"/>
      <c r="G13995" s="272" t="s">
        <v>1099</v>
      </c>
    </row>
    <row r="13996">
      <c r="B13996" s="31"/>
      <c r="G13996" s="272" t="s">
        <v>1099</v>
      </c>
    </row>
    <row r="13997">
      <c r="B13997" s="31"/>
      <c r="G13997" s="272" t="s">
        <v>1099</v>
      </c>
    </row>
    <row r="13998">
      <c r="B13998" s="31"/>
      <c r="G13998" s="272" t="s">
        <v>1099</v>
      </c>
    </row>
    <row r="13999">
      <c r="B13999" s="31"/>
      <c r="G13999" s="272" t="s">
        <v>1099</v>
      </c>
    </row>
    <row r="14000">
      <c r="B14000" s="31"/>
      <c r="G14000" s="272" t="s">
        <v>1099</v>
      </c>
    </row>
    <row r="14001">
      <c r="B14001" s="31"/>
      <c r="G14001" s="272" t="s">
        <v>1099</v>
      </c>
    </row>
    <row r="14002">
      <c r="B14002" s="31"/>
      <c r="G14002" s="272" t="s">
        <v>1099</v>
      </c>
    </row>
    <row r="14003">
      <c r="B14003" s="31"/>
      <c r="G14003" s="272" t="s">
        <v>1099</v>
      </c>
    </row>
    <row r="14004">
      <c r="B14004" s="31"/>
      <c r="G14004" s="272" t="s">
        <v>1099</v>
      </c>
    </row>
    <row r="14005">
      <c r="B14005" s="31"/>
      <c r="G14005" s="272" t="s">
        <v>1099</v>
      </c>
    </row>
    <row r="14006">
      <c r="B14006" s="31"/>
      <c r="G14006" s="272" t="s">
        <v>1099</v>
      </c>
    </row>
    <row r="14007">
      <c r="B14007" s="31"/>
      <c r="G14007" s="272" t="s">
        <v>1099</v>
      </c>
    </row>
    <row r="14008">
      <c r="B14008" s="31"/>
      <c r="G14008" s="272" t="s">
        <v>1099</v>
      </c>
    </row>
    <row r="14009">
      <c r="B14009" s="31"/>
      <c r="G14009" s="272" t="s">
        <v>1099</v>
      </c>
    </row>
    <row r="14010">
      <c r="B14010" s="31"/>
      <c r="G14010" s="272" t="s">
        <v>1099</v>
      </c>
    </row>
    <row r="14011">
      <c r="B14011" s="31"/>
      <c r="G14011" s="272" t="s">
        <v>1099</v>
      </c>
    </row>
    <row r="14012">
      <c r="B14012" s="31"/>
      <c r="G14012" s="272" t="s">
        <v>1099</v>
      </c>
    </row>
    <row r="14013">
      <c r="B14013" s="31"/>
      <c r="G14013" s="272" t="s">
        <v>1099</v>
      </c>
    </row>
    <row r="14014">
      <c r="B14014" s="31"/>
      <c r="G14014" s="272" t="s">
        <v>1099</v>
      </c>
    </row>
    <row r="14015">
      <c r="B14015" s="31"/>
      <c r="G14015" s="272" t="s">
        <v>1099</v>
      </c>
    </row>
    <row r="14016">
      <c r="B14016" s="31"/>
      <c r="G14016" s="272" t="s">
        <v>1099</v>
      </c>
    </row>
    <row r="14017">
      <c r="B14017" s="31"/>
      <c r="G14017" s="272" t="s">
        <v>1099</v>
      </c>
    </row>
    <row r="14018">
      <c r="B14018" s="31"/>
      <c r="G14018" s="272" t="s">
        <v>1099</v>
      </c>
    </row>
    <row r="14019">
      <c r="B14019" s="31"/>
      <c r="G14019" s="272" t="s">
        <v>1099</v>
      </c>
    </row>
    <row r="14020">
      <c r="B14020" s="31"/>
      <c r="G14020" s="272" t="s">
        <v>1099</v>
      </c>
    </row>
    <row r="14021">
      <c r="B14021" s="31"/>
      <c r="G14021" s="272" t="s">
        <v>1099</v>
      </c>
    </row>
    <row r="14022">
      <c r="B14022" s="31"/>
      <c r="G14022" s="272" t="s">
        <v>1099</v>
      </c>
    </row>
    <row r="14023">
      <c r="B14023" s="31"/>
      <c r="G14023" s="272" t="s">
        <v>1099</v>
      </c>
    </row>
    <row r="14024">
      <c r="B14024" s="31"/>
      <c r="G14024" s="272" t="s">
        <v>1099</v>
      </c>
    </row>
    <row r="14025">
      <c r="B14025" s="31"/>
      <c r="G14025" s="272" t="s">
        <v>1099</v>
      </c>
    </row>
    <row r="14026">
      <c r="B14026" s="31"/>
      <c r="G14026" s="272" t="s">
        <v>1099</v>
      </c>
    </row>
    <row r="14027">
      <c r="B14027" s="31"/>
      <c r="G14027" s="272" t="s">
        <v>1099</v>
      </c>
    </row>
    <row r="14028">
      <c r="B14028" s="31"/>
      <c r="G14028" s="272" t="s">
        <v>1099</v>
      </c>
    </row>
    <row r="14029">
      <c r="B14029" s="31"/>
      <c r="G14029" s="272" t="s">
        <v>1099</v>
      </c>
    </row>
    <row r="14030">
      <c r="B14030" s="31"/>
      <c r="G14030" s="272" t="s">
        <v>1099</v>
      </c>
    </row>
    <row r="14031">
      <c r="B14031" s="31"/>
      <c r="G14031" s="272" t="s">
        <v>1099</v>
      </c>
    </row>
    <row r="14032">
      <c r="B14032" s="31"/>
      <c r="G14032" s="272" t="s">
        <v>1099</v>
      </c>
    </row>
    <row r="14033">
      <c r="B14033" s="31"/>
      <c r="G14033" s="272" t="s">
        <v>1099</v>
      </c>
    </row>
    <row r="14034">
      <c r="B14034" s="31"/>
      <c r="G14034" s="272" t="s">
        <v>1099</v>
      </c>
    </row>
    <row r="14035">
      <c r="B14035" s="31"/>
      <c r="G14035" s="272" t="s">
        <v>1099</v>
      </c>
    </row>
    <row r="14036">
      <c r="B14036" s="31"/>
      <c r="G14036" s="272" t="s">
        <v>1099</v>
      </c>
    </row>
    <row r="14037">
      <c r="B14037" s="31"/>
      <c r="G14037" s="272" t="s">
        <v>1099</v>
      </c>
    </row>
    <row r="14038">
      <c r="B14038" s="31"/>
      <c r="G14038" s="272" t="s">
        <v>1099</v>
      </c>
    </row>
    <row r="14039">
      <c r="B14039" s="31"/>
      <c r="G14039" s="272" t="s">
        <v>1099</v>
      </c>
    </row>
    <row r="14040">
      <c r="B14040" s="31"/>
      <c r="G14040" s="272" t="s">
        <v>1099</v>
      </c>
    </row>
    <row r="14041">
      <c r="B14041" s="31"/>
      <c r="G14041" s="272" t="s">
        <v>1099</v>
      </c>
    </row>
    <row r="14042">
      <c r="B14042" s="31"/>
      <c r="G14042" s="272" t="s">
        <v>1099</v>
      </c>
    </row>
    <row r="14043">
      <c r="B14043" s="31"/>
      <c r="G14043" s="272" t="s">
        <v>1099</v>
      </c>
    </row>
    <row r="14044">
      <c r="B14044" s="31"/>
      <c r="G14044" s="272" t="s">
        <v>1099</v>
      </c>
    </row>
    <row r="14045">
      <c r="B14045" s="31"/>
      <c r="G14045" s="272" t="s">
        <v>1099</v>
      </c>
    </row>
    <row r="14046">
      <c r="B14046" s="31"/>
      <c r="G14046" s="272" t="s">
        <v>1099</v>
      </c>
    </row>
    <row r="14047">
      <c r="B14047" s="31"/>
      <c r="G14047" s="272" t="s">
        <v>1099</v>
      </c>
    </row>
    <row r="14048">
      <c r="B14048" s="31"/>
      <c r="G14048" s="272" t="s">
        <v>1099</v>
      </c>
    </row>
    <row r="14049">
      <c r="B14049" s="31"/>
      <c r="G14049" s="272" t="s">
        <v>1099</v>
      </c>
    </row>
    <row r="14050">
      <c r="B14050" s="31"/>
      <c r="G14050" s="272" t="s">
        <v>1099</v>
      </c>
    </row>
    <row r="14051">
      <c r="B14051" s="31"/>
      <c r="G14051" s="272" t="s">
        <v>1099</v>
      </c>
    </row>
    <row r="14052">
      <c r="B14052" s="31"/>
      <c r="G14052" s="272" t="s">
        <v>1099</v>
      </c>
    </row>
    <row r="14053">
      <c r="B14053" s="31"/>
      <c r="G14053" s="272" t="s">
        <v>1099</v>
      </c>
    </row>
    <row r="14054">
      <c r="B14054" s="31"/>
      <c r="G14054" s="272" t="s">
        <v>1099</v>
      </c>
    </row>
    <row r="14055">
      <c r="B14055" s="31"/>
      <c r="G14055" s="272" t="s">
        <v>1099</v>
      </c>
    </row>
    <row r="14056">
      <c r="B14056" s="31"/>
      <c r="G14056" s="272" t="s">
        <v>1099</v>
      </c>
    </row>
    <row r="14057">
      <c r="B14057" s="31"/>
      <c r="G14057" s="272" t="s">
        <v>1099</v>
      </c>
    </row>
    <row r="14058">
      <c r="B14058" s="31"/>
      <c r="G14058" s="272" t="s">
        <v>1099</v>
      </c>
    </row>
    <row r="14059">
      <c r="B14059" s="31"/>
      <c r="G14059" s="272" t="s">
        <v>1099</v>
      </c>
    </row>
    <row r="14060">
      <c r="B14060" s="31"/>
      <c r="G14060" s="272" t="s">
        <v>1099</v>
      </c>
    </row>
    <row r="14061">
      <c r="B14061" s="31"/>
      <c r="G14061" s="272" t="s">
        <v>1099</v>
      </c>
    </row>
    <row r="14062">
      <c r="B14062" s="31"/>
      <c r="G14062" s="272" t="s">
        <v>1099</v>
      </c>
    </row>
    <row r="14063">
      <c r="B14063" s="31"/>
      <c r="G14063" s="272" t="s">
        <v>1099</v>
      </c>
    </row>
    <row r="14064">
      <c r="B14064" s="31"/>
      <c r="G14064" s="272" t="s">
        <v>1099</v>
      </c>
    </row>
    <row r="14065">
      <c r="B14065" s="31"/>
      <c r="G14065" s="272" t="s">
        <v>1099</v>
      </c>
    </row>
    <row r="14066">
      <c r="B14066" s="31"/>
      <c r="G14066" s="272" t="s">
        <v>1099</v>
      </c>
    </row>
    <row r="14067">
      <c r="B14067" s="31"/>
      <c r="G14067" s="272" t="s">
        <v>1099</v>
      </c>
    </row>
    <row r="14068">
      <c r="B14068" s="31"/>
      <c r="G14068" s="272" t="s">
        <v>1099</v>
      </c>
    </row>
    <row r="14069">
      <c r="B14069" s="31"/>
      <c r="G14069" s="272" t="s">
        <v>1099</v>
      </c>
    </row>
    <row r="14070">
      <c r="B14070" s="31"/>
      <c r="G14070" s="272" t="s">
        <v>1099</v>
      </c>
    </row>
    <row r="14071">
      <c r="B14071" s="31"/>
      <c r="G14071" s="272" t="s">
        <v>1099</v>
      </c>
    </row>
    <row r="14072">
      <c r="B14072" s="31"/>
      <c r="G14072" s="272" t="s">
        <v>1099</v>
      </c>
    </row>
    <row r="14073">
      <c r="B14073" s="31"/>
      <c r="G14073" s="272" t="s">
        <v>1099</v>
      </c>
    </row>
    <row r="14074">
      <c r="B14074" s="31"/>
      <c r="G14074" s="272" t="s">
        <v>1099</v>
      </c>
    </row>
    <row r="14075">
      <c r="B14075" s="31"/>
      <c r="G14075" s="272" t="s">
        <v>1099</v>
      </c>
    </row>
    <row r="14076">
      <c r="B14076" s="31"/>
      <c r="G14076" s="272" t="s">
        <v>1099</v>
      </c>
    </row>
    <row r="14077">
      <c r="B14077" s="31"/>
      <c r="G14077" s="272" t="s">
        <v>1099</v>
      </c>
    </row>
    <row r="14078">
      <c r="B14078" s="31"/>
      <c r="G14078" s="272" t="s">
        <v>1099</v>
      </c>
    </row>
    <row r="14079">
      <c r="B14079" s="31"/>
      <c r="G14079" s="272" t="s">
        <v>1099</v>
      </c>
    </row>
    <row r="14080">
      <c r="B14080" s="31"/>
      <c r="G14080" s="272" t="s">
        <v>1099</v>
      </c>
    </row>
    <row r="14081">
      <c r="B14081" s="31"/>
      <c r="G14081" s="272" t="s">
        <v>1099</v>
      </c>
    </row>
    <row r="14082">
      <c r="B14082" s="31"/>
      <c r="G14082" s="272" t="s">
        <v>1099</v>
      </c>
    </row>
    <row r="14083">
      <c r="B14083" s="31"/>
      <c r="G14083" s="272" t="s">
        <v>1099</v>
      </c>
    </row>
    <row r="14084">
      <c r="B14084" s="31"/>
      <c r="G14084" s="272" t="s">
        <v>1099</v>
      </c>
    </row>
    <row r="14085">
      <c r="B14085" s="31"/>
      <c r="G14085" s="272" t="s">
        <v>1099</v>
      </c>
    </row>
    <row r="14086">
      <c r="B14086" s="31"/>
      <c r="G14086" s="272" t="s">
        <v>1099</v>
      </c>
    </row>
    <row r="14087">
      <c r="B14087" s="31"/>
      <c r="G14087" s="272" t="s">
        <v>1099</v>
      </c>
    </row>
    <row r="14088">
      <c r="B14088" s="31"/>
      <c r="G14088" s="272" t="s">
        <v>1099</v>
      </c>
    </row>
    <row r="14089">
      <c r="B14089" s="31"/>
      <c r="G14089" s="272" t="s">
        <v>1099</v>
      </c>
    </row>
    <row r="14090">
      <c r="B14090" s="31"/>
      <c r="G14090" s="272" t="s">
        <v>1099</v>
      </c>
    </row>
    <row r="14091">
      <c r="B14091" s="31"/>
      <c r="G14091" s="272" t="s">
        <v>1099</v>
      </c>
    </row>
    <row r="14092">
      <c r="B14092" s="31"/>
      <c r="G14092" s="272" t="s">
        <v>1099</v>
      </c>
    </row>
    <row r="14093">
      <c r="B14093" s="31"/>
      <c r="G14093" s="272" t="s">
        <v>1099</v>
      </c>
    </row>
    <row r="14094">
      <c r="B14094" s="31"/>
      <c r="G14094" s="272" t="s">
        <v>1099</v>
      </c>
    </row>
    <row r="14095">
      <c r="B14095" s="31"/>
      <c r="G14095" s="272" t="s">
        <v>1099</v>
      </c>
    </row>
    <row r="14096">
      <c r="B14096" s="31"/>
      <c r="G14096" s="272" t="s">
        <v>1099</v>
      </c>
    </row>
    <row r="14097">
      <c r="B14097" s="31"/>
      <c r="G14097" s="272" t="s">
        <v>1099</v>
      </c>
    </row>
    <row r="14098">
      <c r="B14098" s="31"/>
      <c r="G14098" s="272" t="s">
        <v>1099</v>
      </c>
    </row>
    <row r="14099">
      <c r="B14099" s="31"/>
      <c r="G14099" s="272" t="s">
        <v>1099</v>
      </c>
    </row>
    <row r="14100">
      <c r="B14100" s="31"/>
      <c r="G14100" s="272" t="s">
        <v>1099</v>
      </c>
    </row>
    <row r="14101">
      <c r="B14101" s="31"/>
      <c r="G14101" s="272" t="s">
        <v>1099</v>
      </c>
    </row>
    <row r="14102">
      <c r="B14102" s="31"/>
      <c r="G14102" s="272" t="s">
        <v>1099</v>
      </c>
    </row>
    <row r="14103">
      <c r="B14103" s="31"/>
      <c r="G14103" s="272" t="s">
        <v>1099</v>
      </c>
    </row>
    <row r="14104">
      <c r="B14104" s="31"/>
      <c r="G14104" s="272" t="s">
        <v>1099</v>
      </c>
    </row>
    <row r="14105">
      <c r="B14105" s="31"/>
      <c r="G14105" s="272" t="s">
        <v>1099</v>
      </c>
    </row>
    <row r="14106">
      <c r="B14106" s="31"/>
      <c r="G14106" s="272" t="s">
        <v>1099</v>
      </c>
    </row>
    <row r="14107">
      <c r="B14107" s="31"/>
      <c r="G14107" s="272" t="s">
        <v>1099</v>
      </c>
    </row>
    <row r="14108">
      <c r="B14108" s="31"/>
      <c r="G14108" s="272" t="s">
        <v>1099</v>
      </c>
    </row>
    <row r="14109">
      <c r="B14109" s="31"/>
      <c r="G14109" s="272" t="s">
        <v>1099</v>
      </c>
    </row>
    <row r="14110">
      <c r="B14110" s="31"/>
      <c r="G14110" s="272" t="s">
        <v>1099</v>
      </c>
    </row>
    <row r="14111">
      <c r="B14111" s="31"/>
      <c r="G14111" s="272" t="s">
        <v>1099</v>
      </c>
    </row>
    <row r="14112">
      <c r="B14112" s="31"/>
      <c r="G14112" s="272" t="s">
        <v>1099</v>
      </c>
    </row>
    <row r="14113">
      <c r="B14113" s="31"/>
      <c r="G14113" s="272" t="s">
        <v>1099</v>
      </c>
    </row>
    <row r="14114">
      <c r="B14114" s="31"/>
      <c r="G14114" s="272" t="s">
        <v>1099</v>
      </c>
    </row>
    <row r="14115">
      <c r="B14115" s="31"/>
      <c r="G14115" s="272" t="s">
        <v>1099</v>
      </c>
    </row>
    <row r="14116">
      <c r="B14116" s="31"/>
      <c r="G14116" s="272" t="s">
        <v>1099</v>
      </c>
    </row>
    <row r="14117">
      <c r="B14117" s="31"/>
      <c r="G14117" s="272" t="s">
        <v>1099</v>
      </c>
    </row>
    <row r="14118">
      <c r="B14118" s="31"/>
      <c r="G14118" s="272" t="s">
        <v>1099</v>
      </c>
    </row>
    <row r="14119">
      <c r="B14119" s="31"/>
      <c r="G14119" s="272" t="s">
        <v>1099</v>
      </c>
    </row>
    <row r="14120">
      <c r="B14120" s="31"/>
      <c r="G14120" s="272" t="s">
        <v>1099</v>
      </c>
    </row>
    <row r="14121">
      <c r="B14121" s="31"/>
      <c r="G14121" s="272" t="s">
        <v>1099</v>
      </c>
    </row>
    <row r="14122">
      <c r="B14122" s="31"/>
      <c r="G14122" s="272" t="s">
        <v>1099</v>
      </c>
    </row>
    <row r="14123">
      <c r="B14123" s="31"/>
      <c r="G14123" s="272" t="s">
        <v>1099</v>
      </c>
    </row>
    <row r="14124">
      <c r="B14124" s="31"/>
      <c r="G14124" s="272" t="s">
        <v>1099</v>
      </c>
    </row>
    <row r="14125">
      <c r="B14125" s="31"/>
      <c r="G14125" s="272" t="s">
        <v>1099</v>
      </c>
    </row>
    <row r="14126">
      <c r="B14126" s="31"/>
      <c r="G14126" s="272" t="s">
        <v>1099</v>
      </c>
    </row>
    <row r="14127">
      <c r="B14127" s="31"/>
      <c r="G14127" s="272" t="s">
        <v>1099</v>
      </c>
    </row>
    <row r="14128">
      <c r="B14128" s="31"/>
      <c r="G14128" s="272" t="s">
        <v>1099</v>
      </c>
    </row>
    <row r="14129">
      <c r="B14129" s="31"/>
      <c r="G14129" s="272" t="s">
        <v>1099</v>
      </c>
    </row>
    <row r="14130">
      <c r="B14130" s="31"/>
      <c r="G14130" s="272" t="s">
        <v>1099</v>
      </c>
    </row>
    <row r="14131">
      <c r="B14131" s="31"/>
      <c r="G14131" s="272" t="s">
        <v>1099</v>
      </c>
    </row>
    <row r="14132">
      <c r="B14132" s="31"/>
      <c r="G14132" s="272" t="s">
        <v>1099</v>
      </c>
    </row>
    <row r="14133">
      <c r="B14133" s="31"/>
      <c r="G14133" s="272" t="s">
        <v>1099</v>
      </c>
    </row>
    <row r="14134">
      <c r="B14134" s="31"/>
      <c r="G14134" s="272" t="s">
        <v>1099</v>
      </c>
    </row>
    <row r="14135">
      <c r="B14135" s="31"/>
      <c r="G14135" s="272" t="s">
        <v>1099</v>
      </c>
    </row>
    <row r="14136">
      <c r="B14136" s="31"/>
      <c r="G14136" s="272" t="s">
        <v>1099</v>
      </c>
    </row>
    <row r="14137">
      <c r="B14137" s="31"/>
      <c r="G14137" s="272" t="s">
        <v>1099</v>
      </c>
    </row>
    <row r="14138">
      <c r="B14138" s="31"/>
      <c r="G14138" s="272" t="s">
        <v>1099</v>
      </c>
    </row>
    <row r="14139">
      <c r="B14139" s="31"/>
      <c r="G14139" s="272" t="s">
        <v>1099</v>
      </c>
    </row>
    <row r="14140">
      <c r="B14140" s="31"/>
      <c r="G14140" s="272" t="s">
        <v>1099</v>
      </c>
    </row>
    <row r="14141">
      <c r="B14141" s="31"/>
      <c r="G14141" s="272" t="s">
        <v>1099</v>
      </c>
    </row>
    <row r="14142">
      <c r="B14142" s="31"/>
      <c r="G14142" s="272" t="s">
        <v>1099</v>
      </c>
    </row>
    <row r="14143">
      <c r="B14143" s="31"/>
      <c r="G14143" s="272" t="s">
        <v>1099</v>
      </c>
    </row>
    <row r="14144">
      <c r="B14144" s="31"/>
      <c r="G14144" s="272" t="s">
        <v>1099</v>
      </c>
    </row>
    <row r="14145">
      <c r="B14145" s="31"/>
      <c r="G14145" s="272" t="s">
        <v>1099</v>
      </c>
    </row>
    <row r="14146">
      <c r="B14146" s="31"/>
      <c r="G14146" s="272" t="s">
        <v>1099</v>
      </c>
    </row>
    <row r="14147">
      <c r="B14147" s="31"/>
      <c r="G14147" s="272" t="s">
        <v>1099</v>
      </c>
    </row>
    <row r="14148">
      <c r="B14148" s="31"/>
      <c r="G14148" s="272" t="s">
        <v>1099</v>
      </c>
    </row>
    <row r="14149">
      <c r="B14149" s="31"/>
      <c r="G14149" s="272" t="s">
        <v>1099</v>
      </c>
    </row>
    <row r="14150">
      <c r="B14150" s="31"/>
      <c r="G14150" s="272" t="s">
        <v>1099</v>
      </c>
    </row>
    <row r="14151">
      <c r="B14151" s="31"/>
      <c r="G14151" s="272" t="s">
        <v>1099</v>
      </c>
    </row>
    <row r="14152">
      <c r="B14152" s="31"/>
      <c r="G14152" s="272" t="s">
        <v>1099</v>
      </c>
    </row>
    <row r="14153">
      <c r="B14153" s="31"/>
      <c r="G14153" s="272" t="s">
        <v>1099</v>
      </c>
    </row>
    <row r="14154">
      <c r="B14154" s="31"/>
      <c r="G14154" s="272" t="s">
        <v>1099</v>
      </c>
    </row>
    <row r="14155">
      <c r="B14155" s="31"/>
      <c r="G14155" s="272" t="s">
        <v>1099</v>
      </c>
    </row>
    <row r="14156">
      <c r="B14156" s="31"/>
      <c r="G14156" s="272" t="s">
        <v>1099</v>
      </c>
    </row>
    <row r="14157">
      <c r="B14157" s="31"/>
      <c r="G14157" s="272" t="s">
        <v>1099</v>
      </c>
    </row>
    <row r="14158">
      <c r="B14158" s="31"/>
      <c r="G14158" s="272" t="s">
        <v>1099</v>
      </c>
    </row>
    <row r="14159">
      <c r="B14159" s="31"/>
      <c r="G14159" s="272" t="s">
        <v>1099</v>
      </c>
    </row>
    <row r="14160">
      <c r="B14160" s="31"/>
      <c r="G14160" s="272" t="s">
        <v>1099</v>
      </c>
    </row>
    <row r="14161">
      <c r="B14161" s="31"/>
      <c r="G14161" s="272" t="s">
        <v>1099</v>
      </c>
    </row>
    <row r="14162">
      <c r="B14162" s="31"/>
      <c r="G14162" s="272" t="s">
        <v>1099</v>
      </c>
    </row>
    <row r="14163">
      <c r="B14163" s="31"/>
      <c r="G14163" s="272" t="s">
        <v>1099</v>
      </c>
    </row>
    <row r="14164">
      <c r="B14164" s="31"/>
      <c r="G14164" s="272" t="s">
        <v>1099</v>
      </c>
    </row>
    <row r="14165">
      <c r="B14165" s="31"/>
      <c r="G14165" s="272" t="s">
        <v>1099</v>
      </c>
    </row>
    <row r="14166">
      <c r="B14166" s="31"/>
      <c r="G14166" s="272" t="s">
        <v>1099</v>
      </c>
    </row>
    <row r="14167">
      <c r="B14167" s="31"/>
      <c r="G14167" s="272" t="s">
        <v>1099</v>
      </c>
    </row>
    <row r="14168">
      <c r="B14168" s="31"/>
      <c r="G14168" s="272" t="s">
        <v>1099</v>
      </c>
    </row>
    <row r="14169">
      <c r="B14169" s="31"/>
      <c r="G14169" s="272" t="s">
        <v>1099</v>
      </c>
    </row>
    <row r="14170">
      <c r="B14170" s="31"/>
      <c r="G14170" s="272" t="s">
        <v>1099</v>
      </c>
    </row>
    <row r="14171">
      <c r="B14171" s="31"/>
      <c r="G14171" s="272" t="s">
        <v>1099</v>
      </c>
    </row>
    <row r="14172">
      <c r="B14172" s="31"/>
      <c r="G14172" s="272" t="s">
        <v>1099</v>
      </c>
    </row>
    <row r="14173">
      <c r="B14173" s="31"/>
      <c r="G14173" s="272" t="s">
        <v>1099</v>
      </c>
    </row>
    <row r="14174">
      <c r="B14174" s="31"/>
      <c r="G14174" s="272" t="s">
        <v>1099</v>
      </c>
    </row>
    <row r="14175">
      <c r="B14175" s="31"/>
      <c r="G14175" s="272" t="s">
        <v>1099</v>
      </c>
    </row>
    <row r="14176">
      <c r="B14176" s="31"/>
      <c r="G14176" s="272" t="s">
        <v>1099</v>
      </c>
    </row>
    <row r="14177">
      <c r="B14177" s="31"/>
      <c r="G14177" s="272" t="s">
        <v>1099</v>
      </c>
    </row>
    <row r="14178">
      <c r="B14178" s="31"/>
      <c r="G14178" s="272" t="s">
        <v>1099</v>
      </c>
    </row>
    <row r="14179">
      <c r="B14179" s="31"/>
      <c r="G14179" s="272" t="s">
        <v>1099</v>
      </c>
    </row>
    <row r="14180">
      <c r="B14180" s="31"/>
      <c r="G14180" s="272" t="s">
        <v>1099</v>
      </c>
    </row>
    <row r="14181">
      <c r="B14181" s="31"/>
      <c r="G14181" s="272" t="s">
        <v>1099</v>
      </c>
    </row>
    <row r="14182">
      <c r="B14182" s="31"/>
      <c r="G14182" s="272" t="s">
        <v>1099</v>
      </c>
    </row>
    <row r="14183">
      <c r="B14183" s="31"/>
      <c r="G14183" s="272" t="s">
        <v>1099</v>
      </c>
    </row>
    <row r="14184">
      <c r="B14184" s="31"/>
      <c r="G14184" s="272" t="s">
        <v>1099</v>
      </c>
    </row>
    <row r="14185">
      <c r="B14185" s="31"/>
      <c r="G14185" s="272" t="s">
        <v>1099</v>
      </c>
    </row>
    <row r="14186">
      <c r="B14186" s="31"/>
      <c r="G14186" s="272" t="s">
        <v>1099</v>
      </c>
    </row>
    <row r="14187">
      <c r="B14187" s="31"/>
      <c r="G14187" s="272" t="s">
        <v>1099</v>
      </c>
    </row>
    <row r="14188">
      <c r="B14188" s="31"/>
      <c r="G14188" s="272" t="s">
        <v>1099</v>
      </c>
    </row>
    <row r="14189">
      <c r="B14189" s="31"/>
      <c r="G14189" s="272" t="s">
        <v>1099</v>
      </c>
    </row>
    <row r="14190">
      <c r="B14190" s="31"/>
      <c r="G14190" s="272" t="s">
        <v>1099</v>
      </c>
    </row>
    <row r="14191">
      <c r="B14191" s="31"/>
      <c r="G14191" s="272" t="s">
        <v>1099</v>
      </c>
    </row>
    <row r="14192">
      <c r="B14192" s="31"/>
      <c r="G14192" s="272" t="s">
        <v>1099</v>
      </c>
    </row>
    <row r="14193">
      <c r="B14193" s="31"/>
      <c r="G14193" s="272" t="s">
        <v>1099</v>
      </c>
    </row>
    <row r="14194">
      <c r="B14194" s="31"/>
      <c r="G14194" s="272" t="s">
        <v>1099</v>
      </c>
    </row>
    <row r="14195">
      <c r="B14195" s="31"/>
      <c r="G14195" s="272" t="s">
        <v>1099</v>
      </c>
    </row>
    <row r="14196">
      <c r="B14196" s="31"/>
      <c r="G14196" s="272" t="s">
        <v>1099</v>
      </c>
    </row>
    <row r="14197">
      <c r="B14197" s="31"/>
      <c r="G14197" s="272" t="s">
        <v>1099</v>
      </c>
    </row>
    <row r="14198">
      <c r="B14198" s="31"/>
      <c r="G14198" s="272" t="s">
        <v>1099</v>
      </c>
    </row>
    <row r="14199">
      <c r="B14199" s="31"/>
      <c r="G14199" s="272" t="s">
        <v>1099</v>
      </c>
    </row>
    <row r="14200">
      <c r="B14200" s="31"/>
      <c r="G14200" s="272" t="s">
        <v>1099</v>
      </c>
    </row>
    <row r="14201">
      <c r="B14201" s="31"/>
      <c r="G14201" s="272" t="s">
        <v>1099</v>
      </c>
    </row>
    <row r="14202">
      <c r="B14202" s="31"/>
      <c r="G14202" s="272" t="s">
        <v>1099</v>
      </c>
    </row>
    <row r="14203">
      <c r="B14203" s="31"/>
      <c r="G14203" s="272" t="s">
        <v>1099</v>
      </c>
    </row>
    <row r="14204">
      <c r="B14204" s="31"/>
      <c r="G14204" s="272" t="s">
        <v>1099</v>
      </c>
    </row>
    <row r="14205">
      <c r="B14205" s="31"/>
      <c r="G14205" s="272" t="s">
        <v>1099</v>
      </c>
    </row>
    <row r="14206">
      <c r="B14206" s="31"/>
      <c r="G14206" s="272" t="s">
        <v>1099</v>
      </c>
    </row>
    <row r="14207">
      <c r="B14207" s="31"/>
      <c r="G14207" s="272" t="s">
        <v>1099</v>
      </c>
    </row>
    <row r="14208">
      <c r="B14208" s="31"/>
      <c r="G14208" s="272" t="s">
        <v>1099</v>
      </c>
    </row>
    <row r="14209">
      <c r="B14209" s="31"/>
      <c r="G14209" s="272" t="s">
        <v>1099</v>
      </c>
    </row>
    <row r="14210">
      <c r="B14210" s="31"/>
      <c r="G14210" s="272" t="s">
        <v>1099</v>
      </c>
    </row>
    <row r="14211">
      <c r="B14211" s="31"/>
      <c r="G14211" s="272" t="s">
        <v>1099</v>
      </c>
    </row>
    <row r="14212">
      <c r="B14212" s="31"/>
      <c r="G14212" s="272" t="s">
        <v>1099</v>
      </c>
    </row>
    <row r="14213">
      <c r="B14213" s="31"/>
      <c r="G14213" s="272" t="s">
        <v>1099</v>
      </c>
    </row>
    <row r="14214">
      <c r="B14214" s="31"/>
      <c r="G14214" s="272" t="s">
        <v>1099</v>
      </c>
    </row>
    <row r="14215">
      <c r="B14215" s="31"/>
      <c r="G14215" s="272" t="s">
        <v>1099</v>
      </c>
    </row>
    <row r="14216">
      <c r="B14216" s="31"/>
      <c r="G14216" s="272" t="s">
        <v>1099</v>
      </c>
    </row>
    <row r="14217">
      <c r="B14217" s="31"/>
      <c r="G14217" s="272" t="s">
        <v>1099</v>
      </c>
    </row>
    <row r="14218">
      <c r="B14218" s="31"/>
      <c r="G14218" s="272" t="s">
        <v>1099</v>
      </c>
    </row>
    <row r="14219">
      <c r="B14219" s="31"/>
      <c r="G14219" s="272" t="s">
        <v>1099</v>
      </c>
    </row>
    <row r="14220">
      <c r="B14220" s="31"/>
      <c r="G14220" s="272" t="s">
        <v>1099</v>
      </c>
    </row>
    <row r="14221">
      <c r="B14221" s="31"/>
      <c r="G14221" s="272" t="s">
        <v>1099</v>
      </c>
    </row>
    <row r="14222">
      <c r="B14222" s="31"/>
      <c r="G14222" s="272" t="s">
        <v>1099</v>
      </c>
    </row>
    <row r="14223">
      <c r="B14223" s="31"/>
      <c r="G14223" s="272" t="s">
        <v>1099</v>
      </c>
    </row>
    <row r="14224">
      <c r="B14224" s="31"/>
      <c r="G14224" s="272" t="s">
        <v>1099</v>
      </c>
    </row>
    <row r="14225">
      <c r="B14225" s="31"/>
      <c r="G14225" s="272" t="s">
        <v>1099</v>
      </c>
    </row>
    <row r="14226">
      <c r="B14226" s="31"/>
      <c r="G14226" s="272" t="s">
        <v>1099</v>
      </c>
    </row>
    <row r="14227">
      <c r="B14227" s="31"/>
      <c r="G14227" s="272" t="s">
        <v>1099</v>
      </c>
    </row>
    <row r="14228">
      <c r="B14228" s="31"/>
      <c r="G14228" s="272" t="s">
        <v>1099</v>
      </c>
    </row>
    <row r="14229">
      <c r="B14229" s="31"/>
      <c r="G14229" s="272" t="s">
        <v>1099</v>
      </c>
    </row>
    <row r="14230">
      <c r="B14230" s="31"/>
      <c r="G14230" s="272" t="s">
        <v>1099</v>
      </c>
    </row>
    <row r="14231">
      <c r="B14231" s="31"/>
      <c r="G14231" s="272" t="s">
        <v>1099</v>
      </c>
    </row>
    <row r="14232">
      <c r="B14232" s="31"/>
      <c r="G14232" s="272" t="s">
        <v>1099</v>
      </c>
    </row>
    <row r="14233">
      <c r="B14233" s="31"/>
      <c r="G14233" s="272" t="s">
        <v>1099</v>
      </c>
    </row>
    <row r="14234">
      <c r="B14234" s="31"/>
      <c r="G14234" s="272" t="s">
        <v>1099</v>
      </c>
    </row>
    <row r="14235">
      <c r="B14235" s="31"/>
      <c r="G14235" s="272" t="s">
        <v>1099</v>
      </c>
    </row>
    <row r="14236">
      <c r="B14236" s="31"/>
      <c r="G14236" s="272" t="s">
        <v>1099</v>
      </c>
    </row>
    <row r="14237">
      <c r="B14237" s="31"/>
      <c r="G14237" s="272" t="s">
        <v>1099</v>
      </c>
    </row>
    <row r="14238">
      <c r="B14238" s="31"/>
      <c r="G14238" s="272" t="s">
        <v>1099</v>
      </c>
    </row>
    <row r="14239">
      <c r="B14239" s="31"/>
      <c r="G14239" s="272" t="s">
        <v>1099</v>
      </c>
    </row>
    <row r="14240">
      <c r="B14240" s="31"/>
      <c r="G14240" s="272" t="s">
        <v>1099</v>
      </c>
    </row>
    <row r="14241">
      <c r="B14241" s="31"/>
      <c r="G14241" s="272" t="s">
        <v>1099</v>
      </c>
    </row>
    <row r="14242">
      <c r="B14242" s="31"/>
      <c r="G14242" s="272" t="s">
        <v>1099</v>
      </c>
    </row>
    <row r="14243">
      <c r="B14243" s="31"/>
      <c r="G14243" s="272" t="s">
        <v>1099</v>
      </c>
    </row>
    <row r="14244">
      <c r="B14244" s="31"/>
      <c r="G14244" s="272" t="s">
        <v>1099</v>
      </c>
    </row>
    <row r="14245">
      <c r="B14245" s="31"/>
      <c r="G14245" s="272" t="s">
        <v>1099</v>
      </c>
    </row>
    <row r="14246">
      <c r="B14246" s="31"/>
      <c r="G14246" s="272" t="s">
        <v>1099</v>
      </c>
    </row>
    <row r="14247">
      <c r="B14247" s="31"/>
      <c r="G14247" s="272" t="s">
        <v>1099</v>
      </c>
    </row>
    <row r="14248">
      <c r="B14248" s="31"/>
      <c r="G14248" s="272" t="s">
        <v>1099</v>
      </c>
    </row>
    <row r="14249">
      <c r="B14249" s="31"/>
      <c r="G14249" s="272" t="s">
        <v>1099</v>
      </c>
    </row>
    <row r="14250">
      <c r="B14250" s="31"/>
      <c r="G14250" s="272" t="s">
        <v>1099</v>
      </c>
    </row>
    <row r="14251">
      <c r="B14251" s="31"/>
      <c r="G14251" s="272" t="s">
        <v>1099</v>
      </c>
    </row>
    <row r="14252">
      <c r="B14252" s="31"/>
      <c r="G14252" s="272" t="s">
        <v>1099</v>
      </c>
    </row>
    <row r="14253">
      <c r="B14253" s="31"/>
      <c r="G14253" s="272" t="s">
        <v>1099</v>
      </c>
    </row>
    <row r="14254">
      <c r="B14254" s="31"/>
      <c r="G14254" s="272" t="s">
        <v>1099</v>
      </c>
    </row>
    <row r="14255">
      <c r="B14255" s="31"/>
      <c r="G14255" s="272" t="s">
        <v>1099</v>
      </c>
    </row>
    <row r="14256">
      <c r="B14256" s="31"/>
      <c r="G14256" s="272" t="s">
        <v>1099</v>
      </c>
    </row>
    <row r="14257">
      <c r="B14257" s="31"/>
      <c r="G14257" s="272" t="s">
        <v>1099</v>
      </c>
    </row>
    <row r="14258">
      <c r="B14258" s="31"/>
      <c r="G14258" s="272" t="s">
        <v>1099</v>
      </c>
    </row>
    <row r="14259">
      <c r="B14259" s="31"/>
      <c r="G14259" s="272" t="s">
        <v>1099</v>
      </c>
    </row>
    <row r="14260">
      <c r="B14260" s="31"/>
      <c r="G14260" s="272" t="s">
        <v>1099</v>
      </c>
    </row>
    <row r="14261">
      <c r="B14261" s="31"/>
      <c r="G14261" s="272" t="s">
        <v>1099</v>
      </c>
    </row>
    <row r="14262">
      <c r="B14262" s="31"/>
      <c r="G14262" s="272" t="s">
        <v>1099</v>
      </c>
    </row>
    <row r="14263">
      <c r="B14263" s="31"/>
      <c r="G14263" s="272" t="s">
        <v>1099</v>
      </c>
    </row>
    <row r="14264">
      <c r="B14264" s="31"/>
      <c r="G14264" s="272" t="s">
        <v>1099</v>
      </c>
    </row>
    <row r="14265">
      <c r="B14265" s="31"/>
      <c r="G14265" s="272" t="s">
        <v>1099</v>
      </c>
    </row>
    <row r="14266">
      <c r="B14266" s="31"/>
      <c r="G14266" s="272" t="s">
        <v>1099</v>
      </c>
    </row>
    <row r="14267">
      <c r="B14267" s="31"/>
      <c r="G14267" s="272" t="s">
        <v>1099</v>
      </c>
    </row>
    <row r="14268">
      <c r="B14268" s="31"/>
      <c r="G14268" s="272" t="s">
        <v>1099</v>
      </c>
    </row>
    <row r="14269">
      <c r="B14269" s="31"/>
      <c r="G14269" s="272" t="s">
        <v>1099</v>
      </c>
    </row>
    <row r="14270">
      <c r="B14270" s="31"/>
      <c r="G14270" s="272" t="s">
        <v>1099</v>
      </c>
    </row>
    <row r="14271">
      <c r="B14271" s="31"/>
      <c r="G14271" s="272" t="s">
        <v>1099</v>
      </c>
    </row>
    <row r="14272">
      <c r="B14272" s="31"/>
      <c r="G14272" s="272" t="s">
        <v>1099</v>
      </c>
    </row>
    <row r="14273">
      <c r="B14273" s="31"/>
      <c r="G14273" s="272" t="s">
        <v>1099</v>
      </c>
    </row>
    <row r="14274">
      <c r="B14274" s="31"/>
      <c r="G14274" s="272" t="s">
        <v>1099</v>
      </c>
    </row>
    <row r="14275">
      <c r="B14275" s="31"/>
      <c r="G14275" s="272" t="s">
        <v>1099</v>
      </c>
    </row>
    <row r="14276">
      <c r="B14276" s="31"/>
      <c r="G14276" s="272" t="s">
        <v>1099</v>
      </c>
    </row>
    <row r="14277">
      <c r="B14277" s="31"/>
      <c r="G14277" s="272" t="s">
        <v>1099</v>
      </c>
    </row>
    <row r="14278">
      <c r="B14278" s="31"/>
      <c r="G14278" s="272" t="s">
        <v>1099</v>
      </c>
    </row>
    <row r="14279">
      <c r="B14279" s="31"/>
      <c r="G14279" s="272" t="s">
        <v>1099</v>
      </c>
    </row>
    <row r="14280">
      <c r="B14280" s="31"/>
      <c r="G14280" s="272" t="s">
        <v>1099</v>
      </c>
    </row>
    <row r="14281">
      <c r="B14281" s="31"/>
      <c r="G14281" s="272" t="s">
        <v>1099</v>
      </c>
    </row>
    <row r="14282">
      <c r="B14282" s="31"/>
      <c r="G14282" s="272" t="s">
        <v>1099</v>
      </c>
    </row>
    <row r="14283">
      <c r="B14283" s="31"/>
      <c r="G14283" s="272" t="s">
        <v>1099</v>
      </c>
    </row>
    <row r="14284">
      <c r="B14284" s="31"/>
      <c r="G14284" s="272" t="s">
        <v>1099</v>
      </c>
    </row>
    <row r="14285">
      <c r="B14285" s="31"/>
      <c r="G14285" s="272" t="s">
        <v>1099</v>
      </c>
    </row>
    <row r="14286">
      <c r="B14286" s="31"/>
      <c r="G14286" s="272" t="s">
        <v>1099</v>
      </c>
    </row>
    <row r="14287">
      <c r="B14287" s="31"/>
      <c r="G14287" s="272" t="s">
        <v>1099</v>
      </c>
    </row>
    <row r="14288">
      <c r="B14288" s="31"/>
      <c r="G14288" s="272" t="s">
        <v>1099</v>
      </c>
    </row>
    <row r="14289">
      <c r="B14289" s="31"/>
      <c r="G14289" s="272" t="s">
        <v>1099</v>
      </c>
    </row>
    <row r="14290">
      <c r="B14290" s="31"/>
      <c r="G14290" s="272" t="s">
        <v>1099</v>
      </c>
    </row>
    <row r="14291">
      <c r="B14291" s="31"/>
      <c r="G14291" s="272" t="s">
        <v>1099</v>
      </c>
    </row>
    <row r="14292">
      <c r="B14292" s="31"/>
      <c r="G14292" s="272" t="s">
        <v>1099</v>
      </c>
    </row>
    <row r="14293">
      <c r="B14293" s="31"/>
      <c r="G14293" s="272" t="s">
        <v>1099</v>
      </c>
    </row>
    <row r="14294">
      <c r="B14294" s="31"/>
      <c r="G14294" s="272" t="s">
        <v>1099</v>
      </c>
    </row>
    <row r="14295">
      <c r="B14295" s="31"/>
      <c r="G14295" s="272" t="s">
        <v>1099</v>
      </c>
    </row>
    <row r="14296">
      <c r="B14296" s="31"/>
      <c r="G14296" s="272" t="s">
        <v>1099</v>
      </c>
    </row>
    <row r="14297">
      <c r="B14297" s="31"/>
      <c r="G14297" s="272" t="s">
        <v>1099</v>
      </c>
    </row>
    <row r="14298">
      <c r="B14298" s="31"/>
      <c r="G14298" s="272" t="s">
        <v>1099</v>
      </c>
    </row>
    <row r="14299">
      <c r="B14299" s="31"/>
      <c r="G14299" s="272" t="s">
        <v>1099</v>
      </c>
    </row>
    <row r="14300">
      <c r="B14300" s="31"/>
      <c r="G14300" s="272" t="s">
        <v>1099</v>
      </c>
    </row>
    <row r="14301">
      <c r="B14301" s="31"/>
      <c r="G14301" s="272" t="s">
        <v>1099</v>
      </c>
    </row>
    <row r="14302">
      <c r="B14302" s="31"/>
      <c r="G14302" s="272" t="s">
        <v>1099</v>
      </c>
    </row>
    <row r="14303">
      <c r="B14303" s="31"/>
      <c r="G14303" s="272" t="s">
        <v>1099</v>
      </c>
    </row>
    <row r="14304">
      <c r="B14304" s="31"/>
      <c r="G14304" s="272" t="s">
        <v>1099</v>
      </c>
    </row>
    <row r="14305">
      <c r="B14305" s="31"/>
      <c r="G14305" s="272" t="s">
        <v>1099</v>
      </c>
    </row>
    <row r="14306">
      <c r="B14306" s="31"/>
      <c r="G14306" s="272" t="s">
        <v>1099</v>
      </c>
    </row>
    <row r="14307">
      <c r="B14307" s="31"/>
      <c r="G14307" s="272" t="s">
        <v>1099</v>
      </c>
    </row>
    <row r="14308">
      <c r="B14308" s="31"/>
      <c r="G14308" s="272" t="s">
        <v>1099</v>
      </c>
    </row>
    <row r="14309">
      <c r="B14309" s="31"/>
      <c r="G14309" s="272" t="s">
        <v>1099</v>
      </c>
    </row>
    <row r="14310">
      <c r="B14310" s="31"/>
      <c r="G14310" s="272" t="s">
        <v>1099</v>
      </c>
    </row>
    <row r="14311">
      <c r="B14311" s="31"/>
      <c r="G14311" s="272" t="s">
        <v>1099</v>
      </c>
    </row>
    <row r="14312">
      <c r="B14312" s="31"/>
      <c r="G14312" s="272" t="s">
        <v>1099</v>
      </c>
    </row>
    <row r="14313">
      <c r="B14313" s="31"/>
      <c r="G14313" s="272" t="s">
        <v>1099</v>
      </c>
    </row>
    <row r="14314">
      <c r="B14314" s="31"/>
      <c r="G14314" s="272" t="s">
        <v>1099</v>
      </c>
    </row>
    <row r="14315">
      <c r="B14315" s="31"/>
      <c r="G14315" s="272" t="s">
        <v>1099</v>
      </c>
    </row>
    <row r="14316">
      <c r="B14316" s="31"/>
      <c r="G14316" s="272" t="s">
        <v>1099</v>
      </c>
    </row>
    <row r="14317">
      <c r="B14317" s="31"/>
      <c r="G14317" s="272" t="s">
        <v>1099</v>
      </c>
    </row>
    <row r="14318">
      <c r="B14318" s="31"/>
      <c r="G14318" s="272" t="s">
        <v>1099</v>
      </c>
    </row>
    <row r="14319">
      <c r="B14319" s="31"/>
      <c r="G14319" s="272" t="s">
        <v>1099</v>
      </c>
    </row>
    <row r="14320">
      <c r="B14320" s="31"/>
      <c r="G14320" s="272" t="s">
        <v>1099</v>
      </c>
    </row>
    <row r="14321">
      <c r="B14321" s="31"/>
      <c r="G14321" s="272" t="s">
        <v>1099</v>
      </c>
    </row>
    <row r="14322">
      <c r="B14322" s="31"/>
      <c r="G14322" s="272" t="s">
        <v>1099</v>
      </c>
    </row>
    <row r="14323">
      <c r="B14323" s="31"/>
      <c r="G14323" s="272" t="s">
        <v>1099</v>
      </c>
    </row>
    <row r="14324">
      <c r="B14324" s="31"/>
      <c r="G14324" s="272" t="s">
        <v>1099</v>
      </c>
    </row>
    <row r="14325">
      <c r="B14325" s="31"/>
      <c r="G14325" s="272" t="s">
        <v>1099</v>
      </c>
    </row>
    <row r="14326">
      <c r="B14326" s="31"/>
      <c r="G14326" s="272" t="s">
        <v>1099</v>
      </c>
    </row>
    <row r="14327">
      <c r="B14327" s="31"/>
      <c r="G14327" s="272" t="s">
        <v>1099</v>
      </c>
    </row>
    <row r="14328">
      <c r="B14328" s="31"/>
      <c r="G14328" s="272" t="s">
        <v>1099</v>
      </c>
    </row>
    <row r="14329">
      <c r="B14329" s="31"/>
      <c r="G14329" s="272" t="s">
        <v>1099</v>
      </c>
    </row>
    <row r="14330">
      <c r="B14330" s="31"/>
      <c r="G14330" s="272" t="s">
        <v>1099</v>
      </c>
    </row>
    <row r="14331">
      <c r="B14331" s="31"/>
      <c r="G14331" s="272" t="s">
        <v>1099</v>
      </c>
    </row>
    <row r="14332">
      <c r="B14332" s="31"/>
      <c r="G14332" s="272" t="s">
        <v>1099</v>
      </c>
    </row>
    <row r="14333">
      <c r="B14333" s="31"/>
      <c r="G14333" s="272" t="s">
        <v>1099</v>
      </c>
    </row>
    <row r="14334">
      <c r="B14334" s="31"/>
      <c r="G14334" s="272" t="s">
        <v>1099</v>
      </c>
    </row>
    <row r="14335">
      <c r="B14335" s="31"/>
      <c r="G14335" s="272" t="s">
        <v>1099</v>
      </c>
    </row>
    <row r="14336">
      <c r="B14336" s="31"/>
      <c r="G14336" s="272" t="s">
        <v>1099</v>
      </c>
    </row>
    <row r="14337">
      <c r="B14337" s="31"/>
      <c r="G14337" s="272" t="s">
        <v>1099</v>
      </c>
    </row>
    <row r="14338">
      <c r="B14338" s="31"/>
      <c r="G14338" s="272" t="s">
        <v>1099</v>
      </c>
    </row>
    <row r="14339">
      <c r="B14339" s="31"/>
      <c r="G14339" s="272" t="s">
        <v>1099</v>
      </c>
    </row>
    <row r="14340">
      <c r="B14340" s="31"/>
      <c r="G14340" s="272" t="s">
        <v>1099</v>
      </c>
    </row>
    <row r="14341">
      <c r="B14341" s="31"/>
      <c r="G14341" s="272" t="s">
        <v>1099</v>
      </c>
    </row>
    <row r="14342">
      <c r="B14342" s="31"/>
      <c r="G14342" s="272" t="s">
        <v>1099</v>
      </c>
    </row>
    <row r="14343">
      <c r="B14343" s="31"/>
      <c r="G14343" s="272" t="s">
        <v>1099</v>
      </c>
    </row>
    <row r="14344">
      <c r="B14344" s="31"/>
      <c r="G14344" s="272" t="s">
        <v>1099</v>
      </c>
    </row>
    <row r="14345">
      <c r="B14345" s="31"/>
      <c r="G14345" s="272" t="s">
        <v>1099</v>
      </c>
    </row>
    <row r="14346">
      <c r="B14346" s="31"/>
      <c r="G14346" s="272" t="s">
        <v>1099</v>
      </c>
    </row>
    <row r="14347">
      <c r="B14347" s="31"/>
      <c r="G14347" s="272" t="s">
        <v>1099</v>
      </c>
    </row>
    <row r="14348">
      <c r="B14348" s="31"/>
      <c r="G14348" s="272" t="s">
        <v>1099</v>
      </c>
    </row>
    <row r="14349">
      <c r="B14349" s="31"/>
      <c r="G14349" s="272" t="s">
        <v>1099</v>
      </c>
    </row>
    <row r="14350">
      <c r="B14350" s="31"/>
      <c r="G14350" s="272" t="s">
        <v>1099</v>
      </c>
    </row>
    <row r="14351">
      <c r="B14351" s="31"/>
      <c r="G14351" s="272" t="s">
        <v>1099</v>
      </c>
    </row>
    <row r="14352">
      <c r="B14352" s="31"/>
      <c r="G14352" s="272" t="s">
        <v>1099</v>
      </c>
    </row>
    <row r="14353">
      <c r="B14353" s="31"/>
      <c r="G14353" s="272" t="s">
        <v>1099</v>
      </c>
    </row>
    <row r="14354">
      <c r="B14354" s="31"/>
      <c r="G14354" s="272" t="s">
        <v>1099</v>
      </c>
    </row>
    <row r="14355">
      <c r="B14355" s="31"/>
      <c r="G14355" s="272" t="s">
        <v>1099</v>
      </c>
    </row>
    <row r="14356">
      <c r="B14356" s="31"/>
      <c r="G14356" s="272" t="s">
        <v>1099</v>
      </c>
    </row>
    <row r="14357">
      <c r="B14357" s="31"/>
      <c r="G14357" s="272" t="s">
        <v>1099</v>
      </c>
    </row>
    <row r="14358">
      <c r="B14358" s="31"/>
      <c r="G14358" s="272" t="s">
        <v>1099</v>
      </c>
    </row>
    <row r="14359">
      <c r="B14359" s="31"/>
      <c r="G14359" s="272" t="s">
        <v>1099</v>
      </c>
    </row>
    <row r="14360">
      <c r="B14360" s="31"/>
      <c r="G14360" s="272" t="s">
        <v>1099</v>
      </c>
    </row>
    <row r="14361">
      <c r="B14361" s="31"/>
      <c r="G14361" s="272" t="s">
        <v>1099</v>
      </c>
    </row>
    <row r="14362">
      <c r="B14362" s="31"/>
      <c r="G14362" s="272" t="s">
        <v>1099</v>
      </c>
    </row>
    <row r="14363">
      <c r="B14363" s="31"/>
      <c r="G14363" s="272" t="s">
        <v>1099</v>
      </c>
    </row>
    <row r="14364">
      <c r="B14364" s="31"/>
      <c r="G14364" s="272" t="s">
        <v>1099</v>
      </c>
    </row>
    <row r="14365">
      <c r="B14365" s="31"/>
      <c r="G14365" s="272" t="s">
        <v>1099</v>
      </c>
    </row>
    <row r="14366">
      <c r="B14366" s="31"/>
      <c r="G14366" s="272" t="s">
        <v>1099</v>
      </c>
    </row>
    <row r="14367">
      <c r="B14367" s="31"/>
      <c r="G14367" s="272" t="s">
        <v>1099</v>
      </c>
    </row>
    <row r="14368">
      <c r="B14368" s="31"/>
      <c r="G14368" s="272" t="s">
        <v>1099</v>
      </c>
    </row>
    <row r="14369">
      <c r="B14369" s="31"/>
      <c r="G14369" s="272" t="s">
        <v>1099</v>
      </c>
    </row>
    <row r="14370">
      <c r="B14370" s="31"/>
      <c r="G14370" s="272" t="s">
        <v>1099</v>
      </c>
    </row>
    <row r="14371">
      <c r="B14371" s="31"/>
      <c r="G14371" s="272" t="s">
        <v>1099</v>
      </c>
    </row>
    <row r="14372">
      <c r="B14372" s="31"/>
      <c r="G14372" s="272" t="s">
        <v>1099</v>
      </c>
    </row>
    <row r="14373">
      <c r="B14373" s="31"/>
      <c r="G14373" s="272" t="s">
        <v>1099</v>
      </c>
    </row>
    <row r="14374">
      <c r="B14374" s="31"/>
      <c r="G14374" s="272" t="s">
        <v>1099</v>
      </c>
    </row>
    <row r="14375">
      <c r="B14375" s="31"/>
      <c r="G14375" s="272" t="s">
        <v>1099</v>
      </c>
    </row>
    <row r="14376">
      <c r="B14376" s="31"/>
      <c r="G14376" s="272" t="s">
        <v>1099</v>
      </c>
    </row>
    <row r="14377">
      <c r="B14377" s="31"/>
      <c r="G14377" s="272" t="s">
        <v>1099</v>
      </c>
    </row>
    <row r="14378">
      <c r="B14378" s="31"/>
      <c r="G14378" s="272" t="s">
        <v>1099</v>
      </c>
    </row>
    <row r="14379">
      <c r="B14379" s="31"/>
      <c r="G14379" s="272" t="s">
        <v>1099</v>
      </c>
    </row>
    <row r="14380">
      <c r="B14380" s="31"/>
      <c r="G14380" s="272" t="s">
        <v>1099</v>
      </c>
    </row>
    <row r="14381">
      <c r="B14381" s="31"/>
      <c r="G14381" s="272" t="s">
        <v>1099</v>
      </c>
    </row>
    <row r="14382">
      <c r="B14382" s="31"/>
      <c r="G14382" s="272" t="s">
        <v>1099</v>
      </c>
    </row>
    <row r="14383">
      <c r="B14383" s="31"/>
      <c r="G14383" s="272" t="s">
        <v>1099</v>
      </c>
    </row>
    <row r="14384">
      <c r="B14384" s="31"/>
      <c r="G14384" s="272" t="s">
        <v>1099</v>
      </c>
    </row>
    <row r="14385">
      <c r="B14385" s="31"/>
      <c r="G14385" s="272" t="s">
        <v>1099</v>
      </c>
    </row>
    <row r="14386">
      <c r="B14386" s="31"/>
      <c r="G14386" s="272" t="s">
        <v>1099</v>
      </c>
    </row>
    <row r="14387">
      <c r="B14387" s="31"/>
      <c r="G14387" s="272" t="s">
        <v>1099</v>
      </c>
    </row>
    <row r="14388">
      <c r="B14388" s="31"/>
      <c r="G14388" s="272" t="s">
        <v>1099</v>
      </c>
    </row>
    <row r="14389">
      <c r="B14389" s="31"/>
      <c r="G14389" s="272" t="s">
        <v>1099</v>
      </c>
    </row>
    <row r="14390">
      <c r="B14390" s="31"/>
      <c r="G14390" s="272" t="s">
        <v>1099</v>
      </c>
    </row>
    <row r="14391">
      <c r="B14391" s="31"/>
      <c r="G14391" s="272" t="s">
        <v>1099</v>
      </c>
    </row>
    <row r="14392">
      <c r="B14392" s="31"/>
      <c r="G14392" s="272" t="s">
        <v>1099</v>
      </c>
    </row>
    <row r="14393">
      <c r="B14393" s="31"/>
      <c r="G14393" s="272" t="s">
        <v>1099</v>
      </c>
    </row>
    <row r="14394">
      <c r="B14394" s="31"/>
      <c r="G14394" s="272" t="s">
        <v>1099</v>
      </c>
    </row>
    <row r="14395">
      <c r="B14395" s="31"/>
      <c r="G14395" s="272" t="s">
        <v>1099</v>
      </c>
    </row>
    <row r="14396">
      <c r="B14396" s="31"/>
      <c r="G14396" s="272" t="s">
        <v>1099</v>
      </c>
    </row>
    <row r="14397">
      <c r="B14397" s="31"/>
      <c r="G14397" s="272" t="s">
        <v>1099</v>
      </c>
    </row>
    <row r="14398">
      <c r="B14398" s="31"/>
      <c r="G14398" s="272" t="s">
        <v>1099</v>
      </c>
    </row>
    <row r="14399">
      <c r="B14399" s="31"/>
      <c r="G14399" s="272" t="s">
        <v>1099</v>
      </c>
    </row>
    <row r="14400">
      <c r="B14400" s="31"/>
      <c r="G14400" s="272" t="s">
        <v>1099</v>
      </c>
    </row>
    <row r="14401">
      <c r="B14401" s="31"/>
      <c r="G14401" s="272" t="s">
        <v>1099</v>
      </c>
    </row>
    <row r="14402">
      <c r="B14402" s="31"/>
      <c r="G14402" s="272" t="s">
        <v>1099</v>
      </c>
    </row>
    <row r="14403">
      <c r="B14403" s="31"/>
      <c r="G14403" s="272" t="s">
        <v>1099</v>
      </c>
    </row>
    <row r="14404">
      <c r="B14404" s="31"/>
      <c r="G14404" s="272" t="s">
        <v>1099</v>
      </c>
    </row>
    <row r="14405">
      <c r="B14405" s="31"/>
      <c r="G14405" s="272" t="s">
        <v>1099</v>
      </c>
    </row>
    <row r="14406">
      <c r="B14406" s="31"/>
      <c r="G14406" s="272" t="s">
        <v>1099</v>
      </c>
    </row>
    <row r="14407">
      <c r="B14407" s="31"/>
      <c r="G14407" s="272" t="s">
        <v>1099</v>
      </c>
    </row>
    <row r="14408">
      <c r="B14408" s="31"/>
      <c r="G14408" s="272" t="s">
        <v>1099</v>
      </c>
    </row>
    <row r="14409">
      <c r="B14409" s="31"/>
      <c r="G14409" s="272" t="s">
        <v>1099</v>
      </c>
    </row>
    <row r="14410">
      <c r="B14410" s="31"/>
      <c r="G14410" s="272" t="s">
        <v>1099</v>
      </c>
    </row>
    <row r="14411">
      <c r="B14411" s="31"/>
      <c r="G14411" s="272" t="s">
        <v>1099</v>
      </c>
    </row>
    <row r="14412">
      <c r="B14412" s="31"/>
      <c r="G14412" s="272" t="s">
        <v>1099</v>
      </c>
    </row>
    <row r="14413">
      <c r="B14413" s="31"/>
      <c r="G14413" s="272" t="s">
        <v>1099</v>
      </c>
    </row>
    <row r="14414">
      <c r="B14414" s="31"/>
      <c r="G14414" s="272" t="s">
        <v>1099</v>
      </c>
    </row>
    <row r="14415">
      <c r="B14415" s="31"/>
      <c r="G14415" s="272" t="s">
        <v>1099</v>
      </c>
    </row>
    <row r="14416">
      <c r="B14416" s="31"/>
      <c r="G14416" s="272" t="s">
        <v>1099</v>
      </c>
    </row>
    <row r="14417">
      <c r="B14417" s="31"/>
      <c r="G14417" s="272" t="s">
        <v>1099</v>
      </c>
    </row>
    <row r="14418">
      <c r="B14418" s="31"/>
      <c r="G14418" s="272" t="s">
        <v>1099</v>
      </c>
    </row>
    <row r="14419">
      <c r="B14419" s="31"/>
      <c r="G14419" s="272" t="s">
        <v>1099</v>
      </c>
    </row>
    <row r="14420">
      <c r="B14420" s="31"/>
      <c r="G14420" s="272" t="s">
        <v>1099</v>
      </c>
    </row>
    <row r="14421">
      <c r="B14421" s="31"/>
      <c r="G14421" s="272" t="s">
        <v>1099</v>
      </c>
    </row>
    <row r="14422">
      <c r="B14422" s="31"/>
      <c r="G14422" s="272" t="s">
        <v>1099</v>
      </c>
    </row>
    <row r="14423">
      <c r="B14423" s="31"/>
      <c r="G14423" s="272" t="s">
        <v>1099</v>
      </c>
    </row>
    <row r="14424">
      <c r="B14424" s="31"/>
      <c r="G14424" s="272" t="s">
        <v>1099</v>
      </c>
    </row>
    <row r="14425">
      <c r="B14425" s="31"/>
      <c r="G14425" s="272" t="s">
        <v>1099</v>
      </c>
    </row>
    <row r="14426">
      <c r="B14426" s="31"/>
      <c r="G14426" s="272" t="s">
        <v>1099</v>
      </c>
    </row>
    <row r="14427">
      <c r="B14427" s="31"/>
      <c r="G14427" s="272" t="s">
        <v>1099</v>
      </c>
    </row>
    <row r="14428">
      <c r="B14428" s="31"/>
      <c r="G14428" s="272" t="s">
        <v>1099</v>
      </c>
    </row>
    <row r="14429">
      <c r="B14429" s="31"/>
      <c r="G14429" s="272" t="s">
        <v>1099</v>
      </c>
    </row>
    <row r="14430">
      <c r="B14430" s="31"/>
      <c r="G14430" s="272" t="s">
        <v>1099</v>
      </c>
    </row>
    <row r="14431">
      <c r="B14431" s="31"/>
      <c r="G14431" s="272" t="s">
        <v>1099</v>
      </c>
    </row>
    <row r="14432">
      <c r="B14432" s="31"/>
      <c r="G14432" s="272" t="s">
        <v>1099</v>
      </c>
    </row>
    <row r="14433">
      <c r="B14433" s="31"/>
      <c r="G14433" s="272" t="s">
        <v>1099</v>
      </c>
    </row>
    <row r="14434">
      <c r="B14434" s="31"/>
      <c r="G14434" s="272" t="s">
        <v>1099</v>
      </c>
    </row>
    <row r="14435">
      <c r="B14435" s="31"/>
      <c r="G14435" s="272" t="s">
        <v>1099</v>
      </c>
    </row>
    <row r="14436">
      <c r="B14436" s="31"/>
      <c r="G14436" s="272" t="s">
        <v>1099</v>
      </c>
    </row>
    <row r="14437">
      <c r="B14437" s="31"/>
      <c r="G14437" s="272" t="s">
        <v>1099</v>
      </c>
    </row>
    <row r="14438">
      <c r="B14438" s="31"/>
      <c r="G14438" s="272" t="s">
        <v>1099</v>
      </c>
    </row>
    <row r="14439">
      <c r="B14439" s="31"/>
      <c r="G14439" s="272" t="s">
        <v>1099</v>
      </c>
    </row>
    <row r="14440">
      <c r="B14440" s="31"/>
      <c r="G14440" s="272" t="s">
        <v>1099</v>
      </c>
    </row>
    <row r="14441">
      <c r="B14441" s="31"/>
      <c r="G14441" s="272" t="s">
        <v>1099</v>
      </c>
    </row>
    <row r="14442">
      <c r="B14442" s="31"/>
      <c r="G14442" s="272" t="s">
        <v>1099</v>
      </c>
    </row>
    <row r="14443">
      <c r="B14443" s="31"/>
      <c r="G14443" s="272" t="s">
        <v>1099</v>
      </c>
    </row>
    <row r="14444">
      <c r="B14444" s="31"/>
      <c r="G14444" s="272" t="s">
        <v>1099</v>
      </c>
    </row>
    <row r="14445">
      <c r="B14445" s="31"/>
      <c r="G14445" s="272" t="s">
        <v>1099</v>
      </c>
    </row>
    <row r="14446">
      <c r="B14446" s="31"/>
      <c r="G14446" s="272" t="s">
        <v>1099</v>
      </c>
    </row>
    <row r="14447">
      <c r="B14447" s="31"/>
      <c r="G14447" s="272" t="s">
        <v>1099</v>
      </c>
    </row>
    <row r="14448">
      <c r="B14448" s="31"/>
      <c r="G14448" s="272" t="s">
        <v>1099</v>
      </c>
    </row>
    <row r="14449">
      <c r="B14449" s="31"/>
      <c r="G14449" s="272" t="s">
        <v>1099</v>
      </c>
    </row>
    <row r="14450">
      <c r="B14450" s="31"/>
      <c r="G14450" s="272" t="s">
        <v>1099</v>
      </c>
    </row>
    <row r="14451">
      <c r="B14451" s="31"/>
      <c r="G14451" s="272" t="s">
        <v>1099</v>
      </c>
    </row>
    <row r="14452">
      <c r="B14452" s="31"/>
      <c r="G14452" s="272" t="s">
        <v>1099</v>
      </c>
    </row>
    <row r="14453">
      <c r="B14453" s="31"/>
      <c r="G14453" s="272" t="s">
        <v>1099</v>
      </c>
    </row>
    <row r="14454">
      <c r="B14454" s="31"/>
      <c r="G14454" s="272" t="s">
        <v>1099</v>
      </c>
    </row>
    <row r="14455">
      <c r="B14455" s="31"/>
      <c r="G14455" s="272" t="s">
        <v>1099</v>
      </c>
    </row>
    <row r="14456">
      <c r="B14456" s="31"/>
      <c r="G14456" s="272" t="s">
        <v>1099</v>
      </c>
    </row>
    <row r="14457">
      <c r="B14457" s="31"/>
      <c r="G14457" s="272" t="s">
        <v>1099</v>
      </c>
    </row>
    <row r="14458">
      <c r="B14458" s="31"/>
      <c r="G14458" s="272" t="s">
        <v>1099</v>
      </c>
    </row>
    <row r="14459">
      <c r="B14459" s="31"/>
      <c r="G14459" s="272" t="s">
        <v>1099</v>
      </c>
    </row>
    <row r="14460">
      <c r="B14460" s="31"/>
      <c r="G14460" s="272" t="s">
        <v>1099</v>
      </c>
    </row>
    <row r="14461">
      <c r="B14461" s="31"/>
      <c r="G14461" s="272" t="s">
        <v>1099</v>
      </c>
    </row>
    <row r="14462">
      <c r="B14462" s="31"/>
      <c r="G14462" s="272" t="s">
        <v>1099</v>
      </c>
    </row>
    <row r="14463">
      <c r="B14463" s="31"/>
      <c r="G14463" s="272" t="s">
        <v>1099</v>
      </c>
    </row>
    <row r="14464">
      <c r="B14464" s="31"/>
      <c r="G14464" s="272" t="s">
        <v>1099</v>
      </c>
    </row>
    <row r="14465">
      <c r="B14465" s="31"/>
      <c r="G14465" s="272" t="s">
        <v>1099</v>
      </c>
    </row>
    <row r="14466">
      <c r="B14466" s="31"/>
      <c r="G14466" s="272" t="s">
        <v>1099</v>
      </c>
    </row>
    <row r="14467">
      <c r="B14467" s="31"/>
      <c r="G14467" s="272" t="s">
        <v>1099</v>
      </c>
    </row>
    <row r="14468">
      <c r="B14468" s="31"/>
      <c r="G14468" s="272" t="s">
        <v>1099</v>
      </c>
    </row>
    <row r="14469">
      <c r="B14469" s="31"/>
      <c r="G14469" s="272" t="s">
        <v>1099</v>
      </c>
    </row>
    <row r="14470">
      <c r="B14470" s="31"/>
      <c r="G14470" s="272" t="s">
        <v>1099</v>
      </c>
    </row>
    <row r="14471">
      <c r="B14471" s="31"/>
      <c r="G14471" s="272" t="s">
        <v>1099</v>
      </c>
    </row>
    <row r="14472">
      <c r="B14472" s="31"/>
      <c r="G14472" s="272" t="s">
        <v>1099</v>
      </c>
    </row>
    <row r="14473">
      <c r="B14473" s="31"/>
      <c r="G14473" s="272" t="s">
        <v>1099</v>
      </c>
    </row>
    <row r="14474">
      <c r="B14474" s="31"/>
      <c r="G14474" s="272" t="s">
        <v>1099</v>
      </c>
    </row>
    <row r="14475">
      <c r="B14475" s="31"/>
      <c r="G14475" s="272" t="s">
        <v>1099</v>
      </c>
    </row>
    <row r="14476">
      <c r="B14476" s="31"/>
      <c r="G14476" s="272" t="s">
        <v>1099</v>
      </c>
    </row>
    <row r="14477">
      <c r="B14477" s="31"/>
      <c r="G14477" s="272" t="s">
        <v>1099</v>
      </c>
    </row>
    <row r="14478">
      <c r="B14478" s="31"/>
      <c r="G14478" s="272" t="s">
        <v>1099</v>
      </c>
    </row>
    <row r="14479">
      <c r="B14479" s="31"/>
      <c r="G14479" s="272" t="s">
        <v>1099</v>
      </c>
    </row>
    <row r="14480">
      <c r="B14480" s="31"/>
      <c r="G14480" s="272" t="s">
        <v>1099</v>
      </c>
    </row>
    <row r="14481">
      <c r="B14481" s="31"/>
      <c r="G14481" s="272" t="s">
        <v>1099</v>
      </c>
    </row>
    <row r="14482">
      <c r="B14482" s="31"/>
      <c r="G14482" s="272" t="s">
        <v>1099</v>
      </c>
    </row>
    <row r="14483">
      <c r="B14483" s="31"/>
      <c r="G14483" s="272" t="s">
        <v>1099</v>
      </c>
    </row>
    <row r="14484">
      <c r="B14484" s="31"/>
      <c r="G14484" s="272" t="s">
        <v>1099</v>
      </c>
    </row>
    <row r="14485">
      <c r="B14485" s="31"/>
      <c r="G14485" s="272" t="s">
        <v>1099</v>
      </c>
    </row>
    <row r="14486">
      <c r="B14486" s="31"/>
      <c r="G14486" s="272" t="s">
        <v>1099</v>
      </c>
    </row>
    <row r="14487">
      <c r="B14487" s="31"/>
      <c r="G14487" s="272" t="s">
        <v>1099</v>
      </c>
    </row>
    <row r="14488">
      <c r="B14488" s="31"/>
      <c r="G14488" s="272" t="s">
        <v>1099</v>
      </c>
    </row>
    <row r="14489">
      <c r="B14489" s="31"/>
      <c r="G14489" s="272" t="s">
        <v>1099</v>
      </c>
    </row>
    <row r="14490">
      <c r="B14490" s="31"/>
      <c r="G14490" s="272" t="s">
        <v>1099</v>
      </c>
    </row>
    <row r="14491">
      <c r="B14491" s="31"/>
      <c r="G14491" s="272" t="s">
        <v>1099</v>
      </c>
    </row>
    <row r="14492">
      <c r="B14492" s="31"/>
      <c r="G14492" s="272" t="s">
        <v>1099</v>
      </c>
    </row>
    <row r="14493">
      <c r="B14493" s="31"/>
      <c r="G14493" s="272" t="s">
        <v>1099</v>
      </c>
    </row>
    <row r="14494">
      <c r="B14494" s="31"/>
      <c r="G14494" s="272" t="s">
        <v>1099</v>
      </c>
    </row>
    <row r="14495">
      <c r="B14495" s="31"/>
      <c r="G14495" s="272" t="s">
        <v>1099</v>
      </c>
    </row>
    <row r="14496">
      <c r="B14496" s="31"/>
      <c r="G14496" s="272" t="s">
        <v>1099</v>
      </c>
    </row>
    <row r="14497">
      <c r="B14497" s="31"/>
      <c r="G14497" s="272" t="s">
        <v>1099</v>
      </c>
    </row>
    <row r="14498">
      <c r="B14498" s="31"/>
      <c r="G14498" s="272" t="s">
        <v>1099</v>
      </c>
    </row>
    <row r="14499">
      <c r="B14499" s="31"/>
      <c r="G14499" s="272" t="s">
        <v>1099</v>
      </c>
    </row>
    <row r="14500">
      <c r="B14500" s="31"/>
      <c r="G14500" s="272" t="s">
        <v>1099</v>
      </c>
    </row>
    <row r="14501">
      <c r="B14501" s="31"/>
      <c r="G14501" s="272" t="s">
        <v>1099</v>
      </c>
    </row>
    <row r="14502">
      <c r="B14502" s="31"/>
      <c r="G14502" s="272" t="s">
        <v>1099</v>
      </c>
    </row>
    <row r="14503">
      <c r="B14503" s="31"/>
      <c r="G14503" s="272" t="s">
        <v>1099</v>
      </c>
    </row>
    <row r="14504">
      <c r="B14504" s="31"/>
      <c r="G14504" s="272" t="s">
        <v>1099</v>
      </c>
    </row>
    <row r="14505">
      <c r="B14505" s="31"/>
      <c r="G14505" s="272" t="s">
        <v>1099</v>
      </c>
    </row>
    <row r="14506">
      <c r="B14506" s="31"/>
      <c r="G14506" s="272" t="s">
        <v>1099</v>
      </c>
    </row>
    <row r="14507">
      <c r="B14507" s="31"/>
      <c r="G14507" s="272" t="s">
        <v>1099</v>
      </c>
    </row>
    <row r="14508">
      <c r="B14508" s="31"/>
      <c r="G14508" s="272" t="s">
        <v>1099</v>
      </c>
    </row>
    <row r="14509">
      <c r="B14509" s="31"/>
      <c r="G14509" s="272" t="s">
        <v>1099</v>
      </c>
    </row>
    <row r="14510">
      <c r="B14510" s="31"/>
      <c r="G14510" s="272" t="s">
        <v>1099</v>
      </c>
    </row>
    <row r="14511">
      <c r="B14511" s="31"/>
      <c r="G14511" s="272" t="s">
        <v>1099</v>
      </c>
    </row>
    <row r="14512">
      <c r="B14512" s="31"/>
      <c r="G14512" s="272" t="s">
        <v>1099</v>
      </c>
    </row>
    <row r="14513">
      <c r="B14513" s="31"/>
      <c r="G14513" s="272" t="s">
        <v>1099</v>
      </c>
    </row>
    <row r="14514">
      <c r="B14514" s="31"/>
      <c r="G14514" s="272" t="s">
        <v>1099</v>
      </c>
    </row>
    <row r="14515">
      <c r="B14515" s="31"/>
      <c r="G14515" s="272" t="s">
        <v>1099</v>
      </c>
    </row>
    <row r="14516">
      <c r="B14516" s="31"/>
      <c r="G14516" s="272" t="s">
        <v>1099</v>
      </c>
    </row>
    <row r="14517">
      <c r="B14517" s="31"/>
      <c r="G14517" s="272" t="s">
        <v>1099</v>
      </c>
    </row>
    <row r="14518">
      <c r="B14518" s="31"/>
      <c r="G14518" s="272" t="s">
        <v>1099</v>
      </c>
    </row>
    <row r="14519">
      <c r="B14519" s="31"/>
      <c r="G14519" s="272" t="s">
        <v>1099</v>
      </c>
    </row>
    <row r="14520">
      <c r="B14520" s="31"/>
      <c r="G14520" s="272" t="s">
        <v>1099</v>
      </c>
    </row>
    <row r="14521">
      <c r="B14521" s="31"/>
      <c r="G14521" s="272" t="s">
        <v>1099</v>
      </c>
    </row>
    <row r="14522">
      <c r="B14522" s="31"/>
      <c r="G14522" s="272" t="s">
        <v>1099</v>
      </c>
    </row>
    <row r="14523">
      <c r="B14523" s="31"/>
      <c r="G14523" s="272" t="s">
        <v>1099</v>
      </c>
    </row>
    <row r="14524">
      <c r="B14524" s="31"/>
      <c r="G14524" s="272" t="s">
        <v>1099</v>
      </c>
    </row>
    <row r="14525">
      <c r="B14525" s="31"/>
      <c r="G14525" s="272" t="s">
        <v>1099</v>
      </c>
    </row>
    <row r="14526">
      <c r="B14526" s="31"/>
      <c r="G14526" s="272" t="s">
        <v>1099</v>
      </c>
    </row>
    <row r="14527">
      <c r="B14527" s="31"/>
      <c r="G14527" s="272" t="s">
        <v>1099</v>
      </c>
    </row>
    <row r="14528">
      <c r="B14528" s="31"/>
      <c r="G14528" s="272" t="s">
        <v>1099</v>
      </c>
    </row>
    <row r="14529">
      <c r="B14529" s="31"/>
      <c r="G14529" s="272" t="s">
        <v>1099</v>
      </c>
    </row>
    <row r="14530">
      <c r="B14530" s="31"/>
      <c r="G14530" s="272" t="s">
        <v>1099</v>
      </c>
    </row>
    <row r="14531">
      <c r="B14531" s="31"/>
      <c r="G14531" s="272" t="s">
        <v>1099</v>
      </c>
    </row>
    <row r="14532">
      <c r="B14532" s="31"/>
      <c r="G14532" s="272" t="s">
        <v>1099</v>
      </c>
    </row>
    <row r="14533">
      <c r="B14533" s="31"/>
      <c r="G14533" s="272" t="s">
        <v>1099</v>
      </c>
    </row>
    <row r="14534">
      <c r="B14534" s="31"/>
      <c r="G14534" s="272" t="s">
        <v>1099</v>
      </c>
    </row>
    <row r="14535">
      <c r="B14535" s="31"/>
      <c r="G14535" s="272" t="s">
        <v>1099</v>
      </c>
    </row>
    <row r="14536">
      <c r="B14536" s="31"/>
      <c r="G14536" s="272" t="s">
        <v>1099</v>
      </c>
    </row>
    <row r="14537">
      <c r="B14537" s="31"/>
      <c r="G14537" s="272" t="s">
        <v>1099</v>
      </c>
    </row>
    <row r="14538">
      <c r="B14538" s="31"/>
      <c r="G14538" s="272" t="s">
        <v>1099</v>
      </c>
    </row>
    <row r="14539">
      <c r="B14539" s="31"/>
      <c r="G14539" s="272" t="s">
        <v>1099</v>
      </c>
    </row>
    <row r="14540">
      <c r="B14540" s="31"/>
      <c r="G14540" s="272" t="s">
        <v>1099</v>
      </c>
    </row>
    <row r="14541">
      <c r="B14541" s="31"/>
      <c r="G14541" s="272" t="s">
        <v>1099</v>
      </c>
    </row>
    <row r="14542">
      <c r="B14542" s="31"/>
      <c r="G14542" s="272" t="s">
        <v>1099</v>
      </c>
    </row>
    <row r="14543">
      <c r="B14543" s="31"/>
      <c r="G14543" s="272" t="s">
        <v>1099</v>
      </c>
    </row>
    <row r="14544">
      <c r="B14544" s="31"/>
      <c r="G14544" s="272" t="s">
        <v>1099</v>
      </c>
    </row>
    <row r="14545">
      <c r="B14545" s="31"/>
      <c r="G14545" s="272" t="s">
        <v>1099</v>
      </c>
    </row>
    <row r="14546">
      <c r="B14546" s="31"/>
      <c r="G14546" s="272" t="s">
        <v>1099</v>
      </c>
    </row>
    <row r="14547">
      <c r="B14547" s="31"/>
      <c r="G14547" s="272" t="s">
        <v>1099</v>
      </c>
    </row>
    <row r="14548">
      <c r="B14548" s="31"/>
      <c r="G14548" s="272" t="s">
        <v>1099</v>
      </c>
    </row>
    <row r="14549">
      <c r="B14549" s="31"/>
      <c r="G14549" s="272" t="s">
        <v>1099</v>
      </c>
    </row>
    <row r="14550">
      <c r="B14550" s="31"/>
      <c r="G14550" s="272" t="s">
        <v>1099</v>
      </c>
    </row>
    <row r="14551">
      <c r="B14551" s="31"/>
      <c r="G14551" s="272" t="s">
        <v>1099</v>
      </c>
    </row>
    <row r="14552">
      <c r="B14552" s="31"/>
      <c r="G14552" s="272" t="s">
        <v>1099</v>
      </c>
    </row>
    <row r="14553">
      <c r="B14553" s="31"/>
      <c r="G14553" s="272" t="s">
        <v>1099</v>
      </c>
    </row>
    <row r="14554">
      <c r="B14554" s="31"/>
      <c r="G14554" s="272" t="s">
        <v>1099</v>
      </c>
    </row>
    <row r="14555">
      <c r="B14555" s="31"/>
      <c r="G14555" s="272" t="s">
        <v>1099</v>
      </c>
    </row>
    <row r="14556">
      <c r="B14556" s="31"/>
      <c r="G14556" s="272" t="s">
        <v>1099</v>
      </c>
    </row>
    <row r="14557">
      <c r="B14557" s="31"/>
      <c r="G14557" s="272" t="s">
        <v>1099</v>
      </c>
    </row>
    <row r="14558">
      <c r="B14558" s="31"/>
      <c r="G14558" s="272" t="s">
        <v>1099</v>
      </c>
    </row>
    <row r="14559">
      <c r="B14559" s="31"/>
      <c r="G14559" s="272" t="s">
        <v>1099</v>
      </c>
    </row>
    <row r="14560">
      <c r="B14560" s="31"/>
      <c r="G14560" s="272" t="s">
        <v>1099</v>
      </c>
    </row>
    <row r="14561">
      <c r="B14561" s="31"/>
      <c r="G14561" s="272" t="s">
        <v>1099</v>
      </c>
    </row>
    <row r="14562">
      <c r="B14562" s="31"/>
      <c r="G14562" s="272" t="s">
        <v>1099</v>
      </c>
    </row>
    <row r="14563">
      <c r="B14563" s="31"/>
      <c r="G14563" s="272" t="s">
        <v>1099</v>
      </c>
    </row>
    <row r="14564">
      <c r="B14564" s="31"/>
      <c r="G14564" s="272" t="s">
        <v>1099</v>
      </c>
    </row>
    <row r="14565">
      <c r="B14565" s="31"/>
      <c r="G14565" s="272" t="s">
        <v>1099</v>
      </c>
    </row>
    <row r="14566">
      <c r="B14566" s="31"/>
      <c r="G14566" s="272" t="s">
        <v>1099</v>
      </c>
    </row>
    <row r="14567">
      <c r="B14567" s="31"/>
      <c r="G14567" s="272" t="s">
        <v>1099</v>
      </c>
    </row>
    <row r="14568">
      <c r="B14568" s="31"/>
      <c r="G14568" s="272" t="s">
        <v>1099</v>
      </c>
    </row>
    <row r="14569">
      <c r="B14569" s="31"/>
      <c r="G14569" s="272" t="s">
        <v>1099</v>
      </c>
    </row>
    <row r="14570">
      <c r="B14570" s="31"/>
      <c r="G14570" s="272" t="s">
        <v>1099</v>
      </c>
    </row>
    <row r="14571">
      <c r="B14571" s="31"/>
      <c r="G14571" s="272" t="s">
        <v>1099</v>
      </c>
    </row>
    <row r="14572">
      <c r="B14572" s="31"/>
      <c r="G14572" s="272" t="s">
        <v>1099</v>
      </c>
    </row>
    <row r="14573">
      <c r="B14573" s="31"/>
      <c r="G14573" s="272" t="s">
        <v>1099</v>
      </c>
    </row>
    <row r="14574">
      <c r="B14574" s="31"/>
      <c r="G14574" s="272" t="s">
        <v>1099</v>
      </c>
    </row>
    <row r="14575">
      <c r="B14575" s="31"/>
      <c r="G14575" s="272" t="s">
        <v>1099</v>
      </c>
    </row>
    <row r="14576">
      <c r="B14576" s="31"/>
      <c r="G14576" s="272" t="s">
        <v>1099</v>
      </c>
    </row>
    <row r="14577">
      <c r="B14577" s="31"/>
      <c r="G14577" s="272" t="s">
        <v>1099</v>
      </c>
    </row>
    <row r="14578">
      <c r="B14578" s="31"/>
      <c r="G14578" s="272" t="s">
        <v>1099</v>
      </c>
    </row>
    <row r="14579">
      <c r="B14579" s="31"/>
      <c r="G14579" s="272" t="s">
        <v>1099</v>
      </c>
    </row>
    <row r="14580">
      <c r="B14580" s="31"/>
      <c r="G14580" s="272" t="s">
        <v>1099</v>
      </c>
    </row>
    <row r="14581">
      <c r="B14581" s="31"/>
      <c r="G14581" s="272" t="s">
        <v>1099</v>
      </c>
    </row>
    <row r="14582">
      <c r="B14582" s="31"/>
      <c r="G14582" s="272" t="s">
        <v>1099</v>
      </c>
    </row>
    <row r="14583">
      <c r="B14583" s="31"/>
      <c r="G14583" s="272" t="s">
        <v>1099</v>
      </c>
    </row>
    <row r="14584">
      <c r="B14584" s="31"/>
      <c r="G14584" s="272" t="s">
        <v>1099</v>
      </c>
    </row>
    <row r="14585">
      <c r="B14585" s="31"/>
      <c r="G14585" s="272" t="s">
        <v>1099</v>
      </c>
    </row>
    <row r="14586">
      <c r="B14586" s="31"/>
      <c r="G14586" s="272" t="s">
        <v>1099</v>
      </c>
    </row>
    <row r="14587">
      <c r="B14587" s="31"/>
      <c r="G14587" s="272" t="s">
        <v>1099</v>
      </c>
    </row>
    <row r="14588">
      <c r="B14588" s="31"/>
      <c r="G14588" s="272" t="s">
        <v>1099</v>
      </c>
    </row>
    <row r="14589">
      <c r="B14589" s="31"/>
      <c r="G14589" s="272" t="s">
        <v>1099</v>
      </c>
    </row>
    <row r="14590">
      <c r="B14590" s="31"/>
      <c r="G14590" s="272" t="s">
        <v>1099</v>
      </c>
    </row>
    <row r="14591">
      <c r="B14591" s="31"/>
      <c r="G14591" s="272" t="s">
        <v>1099</v>
      </c>
    </row>
    <row r="14592">
      <c r="B14592" s="31"/>
      <c r="G14592" s="272" t="s">
        <v>1099</v>
      </c>
    </row>
    <row r="14593">
      <c r="B14593" s="31"/>
      <c r="G14593" s="272" t="s">
        <v>1099</v>
      </c>
    </row>
    <row r="14594">
      <c r="B14594" s="31"/>
      <c r="G14594" s="272" t="s">
        <v>1099</v>
      </c>
    </row>
    <row r="14595">
      <c r="B14595" s="31"/>
      <c r="G14595" s="272" t="s">
        <v>1099</v>
      </c>
    </row>
    <row r="14596">
      <c r="B14596" s="31"/>
      <c r="G14596" s="272" t="s">
        <v>1099</v>
      </c>
    </row>
    <row r="14597">
      <c r="B14597" s="31"/>
      <c r="G14597" s="272" t="s">
        <v>1099</v>
      </c>
    </row>
    <row r="14598">
      <c r="B14598" s="31"/>
      <c r="G14598" s="272" t="s">
        <v>1099</v>
      </c>
    </row>
    <row r="14599">
      <c r="B14599" s="31"/>
      <c r="G14599" s="272" t="s">
        <v>1099</v>
      </c>
    </row>
    <row r="14600">
      <c r="B14600" s="31"/>
      <c r="G14600" s="272" t="s">
        <v>1099</v>
      </c>
    </row>
    <row r="14601">
      <c r="B14601" s="31"/>
      <c r="G14601" s="272" t="s">
        <v>1099</v>
      </c>
    </row>
    <row r="14602">
      <c r="B14602" s="31"/>
      <c r="G14602" s="272" t="s">
        <v>1099</v>
      </c>
    </row>
    <row r="14603">
      <c r="B14603" s="31"/>
      <c r="G14603" s="272" t="s">
        <v>1099</v>
      </c>
    </row>
    <row r="14604">
      <c r="B14604" s="31"/>
      <c r="G14604" s="272" t="s">
        <v>1099</v>
      </c>
    </row>
    <row r="14605">
      <c r="B14605" s="31"/>
      <c r="G14605" s="272" t="s">
        <v>1099</v>
      </c>
    </row>
    <row r="14606">
      <c r="B14606" s="31"/>
      <c r="G14606" s="272" t="s">
        <v>1099</v>
      </c>
    </row>
    <row r="14607">
      <c r="B14607" s="31"/>
      <c r="G14607" s="272" t="s">
        <v>1099</v>
      </c>
    </row>
    <row r="14608">
      <c r="B14608" s="31"/>
      <c r="G14608" s="272" t="s">
        <v>1099</v>
      </c>
    </row>
    <row r="14609">
      <c r="B14609" s="31"/>
      <c r="G14609" s="272" t="s">
        <v>1099</v>
      </c>
    </row>
    <row r="14610">
      <c r="B14610" s="31"/>
      <c r="G14610" s="272" t="s">
        <v>1099</v>
      </c>
    </row>
    <row r="14611">
      <c r="B14611" s="31"/>
      <c r="G14611" s="272" t="s">
        <v>1099</v>
      </c>
    </row>
    <row r="14612">
      <c r="B14612" s="31"/>
      <c r="G14612" s="272" t="s">
        <v>1099</v>
      </c>
    </row>
    <row r="14613">
      <c r="B14613" s="31"/>
      <c r="G14613" s="272" t="s">
        <v>1099</v>
      </c>
    </row>
    <row r="14614">
      <c r="B14614" s="31"/>
      <c r="G14614" s="272" t="s">
        <v>1099</v>
      </c>
    </row>
    <row r="14615">
      <c r="B14615" s="31"/>
      <c r="G14615" s="272" t="s">
        <v>1099</v>
      </c>
    </row>
    <row r="14616">
      <c r="B14616" s="31"/>
      <c r="G14616" s="272" t="s">
        <v>1099</v>
      </c>
    </row>
    <row r="14617">
      <c r="B14617" s="31"/>
      <c r="G14617" s="272" t="s">
        <v>1099</v>
      </c>
    </row>
    <row r="14618">
      <c r="B14618" s="31"/>
      <c r="G14618" s="272" t="s">
        <v>1099</v>
      </c>
    </row>
    <row r="14619">
      <c r="B14619" s="31"/>
      <c r="G14619" s="272" t="s">
        <v>1099</v>
      </c>
    </row>
    <row r="14620">
      <c r="B14620" s="31"/>
      <c r="G14620" s="272" t="s">
        <v>1099</v>
      </c>
    </row>
    <row r="14621">
      <c r="B14621" s="31"/>
      <c r="G14621" s="272" t="s">
        <v>1099</v>
      </c>
    </row>
    <row r="14622">
      <c r="B14622" s="31"/>
      <c r="G14622" s="272" t="s">
        <v>1099</v>
      </c>
    </row>
    <row r="14623">
      <c r="B14623" s="31"/>
      <c r="G14623" s="272" t="s">
        <v>1099</v>
      </c>
    </row>
    <row r="14624">
      <c r="B14624" s="31"/>
      <c r="G14624" s="272" t="s">
        <v>1099</v>
      </c>
    </row>
    <row r="14625">
      <c r="B14625" s="31"/>
      <c r="G14625" s="272" t="s">
        <v>1099</v>
      </c>
    </row>
    <row r="14626">
      <c r="B14626" s="31"/>
      <c r="G14626" s="272" t="s">
        <v>1099</v>
      </c>
    </row>
    <row r="14627">
      <c r="B14627" s="31"/>
      <c r="G14627" s="272" t="s">
        <v>1099</v>
      </c>
    </row>
    <row r="14628">
      <c r="B14628" s="31"/>
      <c r="G14628" s="272" t="s">
        <v>1099</v>
      </c>
    </row>
    <row r="14629">
      <c r="B14629" s="31"/>
      <c r="G14629" s="272" t="s">
        <v>1099</v>
      </c>
    </row>
    <row r="14630">
      <c r="B14630" s="31"/>
      <c r="G14630" s="272" t="s">
        <v>1099</v>
      </c>
    </row>
    <row r="14631">
      <c r="B14631" s="31"/>
      <c r="G14631" s="272" t="s">
        <v>1099</v>
      </c>
    </row>
    <row r="14632">
      <c r="B14632" s="31"/>
      <c r="G14632" s="272" t="s">
        <v>1099</v>
      </c>
    </row>
    <row r="14633">
      <c r="B14633" s="31"/>
      <c r="G14633" s="272" t="s">
        <v>1099</v>
      </c>
    </row>
    <row r="14634">
      <c r="B14634" s="31"/>
      <c r="G14634" s="272" t="s">
        <v>1099</v>
      </c>
    </row>
    <row r="14635">
      <c r="B14635" s="31"/>
      <c r="G14635" s="272" t="s">
        <v>1099</v>
      </c>
    </row>
    <row r="14636">
      <c r="B14636" s="31"/>
      <c r="G14636" s="272" t="s">
        <v>1099</v>
      </c>
    </row>
    <row r="14637">
      <c r="B14637" s="31"/>
      <c r="G14637" s="272" t="s">
        <v>1099</v>
      </c>
    </row>
    <row r="14638">
      <c r="B14638" s="31"/>
      <c r="G14638" s="272" t="s">
        <v>1099</v>
      </c>
    </row>
    <row r="14639">
      <c r="B14639" s="31"/>
      <c r="G14639" s="272" t="s">
        <v>1099</v>
      </c>
    </row>
    <row r="14640">
      <c r="B14640" s="31"/>
      <c r="G14640" s="272" t="s">
        <v>1099</v>
      </c>
    </row>
    <row r="14641">
      <c r="B14641" s="31"/>
      <c r="G14641" s="272" t="s">
        <v>1099</v>
      </c>
    </row>
    <row r="14642">
      <c r="B14642" s="31"/>
      <c r="G14642" s="272" t="s">
        <v>1099</v>
      </c>
    </row>
    <row r="14643">
      <c r="B14643" s="31"/>
      <c r="G14643" s="272" t="s">
        <v>1099</v>
      </c>
    </row>
    <row r="14644">
      <c r="B14644" s="31"/>
      <c r="G14644" s="272" t="s">
        <v>1099</v>
      </c>
    </row>
    <row r="14645">
      <c r="B14645" s="31"/>
      <c r="G14645" s="272" t="s">
        <v>1099</v>
      </c>
    </row>
    <row r="14646">
      <c r="B14646" s="31"/>
      <c r="G14646" s="272" t="s">
        <v>1099</v>
      </c>
    </row>
    <row r="14647">
      <c r="B14647" s="31"/>
      <c r="G14647" s="272" t="s">
        <v>1099</v>
      </c>
    </row>
    <row r="14648">
      <c r="B14648" s="31"/>
      <c r="G14648" s="272" t="s">
        <v>1099</v>
      </c>
    </row>
    <row r="14649">
      <c r="B14649" s="31"/>
      <c r="G14649" s="272" t="s">
        <v>1099</v>
      </c>
    </row>
    <row r="14650">
      <c r="B14650" s="31"/>
      <c r="G14650" s="272" t="s">
        <v>1099</v>
      </c>
    </row>
    <row r="14651">
      <c r="B14651" s="31"/>
      <c r="G14651" s="272" t="s">
        <v>1099</v>
      </c>
    </row>
    <row r="14652">
      <c r="B14652" s="31"/>
      <c r="G14652" s="272" t="s">
        <v>1099</v>
      </c>
    </row>
    <row r="14653">
      <c r="B14653" s="31"/>
      <c r="G14653" s="272" t="s">
        <v>1099</v>
      </c>
    </row>
    <row r="14654">
      <c r="B14654" s="31"/>
      <c r="G14654" s="272" t="s">
        <v>1099</v>
      </c>
    </row>
    <row r="14655">
      <c r="B14655" s="31"/>
      <c r="G14655" s="272" t="s">
        <v>1099</v>
      </c>
    </row>
    <row r="14656">
      <c r="B14656" s="31"/>
      <c r="G14656" s="272" t="s">
        <v>1099</v>
      </c>
    </row>
    <row r="14657">
      <c r="B14657" s="31"/>
      <c r="G14657" s="272" t="s">
        <v>1099</v>
      </c>
    </row>
    <row r="14658">
      <c r="B14658" s="31"/>
      <c r="G14658" s="272" t="s">
        <v>1099</v>
      </c>
    </row>
    <row r="14659">
      <c r="B14659" s="31"/>
      <c r="G14659" s="272" t="s">
        <v>1099</v>
      </c>
    </row>
    <row r="14660">
      <c r="B14660" s="31"/>
      <c r="G14660" s="272" t="s">
        <v>1099</v>
      </c>
    </row>
    <row r="14661">
      <c r="B14661" s="31"/>
      <c r="G14661" s="272" t="s">
        <v>1099</v>
      </c>
    </row>
    <row r="14662">
      <c r="B14662" s="31"/>
      <c r="G14662" s="272" t="s">
        <v>1099</v>
      </c>
    </row>
    <row r="14663">
      <c r="B14663" s="31"/>
      <c r="G14663" s="272" t="s">
        <v>1099</v>
      </c>
    </row>
    <row r="14664">
      <c r="B14664" s="31"/>
      <c r="G14664" s="272" t="s">
        <v>1099</v>
      </c>
    </row>
    <row r="14665">
      <c r="B14665" s="31"/>
      <c r="G14665" s="272" t="s">
        <v>1099</v>
      </c>
    </row>
    <row r="14666">
      <c r="B14666" s="31"/>
      <c r="G14666" s="272" t="s">
        <v>1099</v>
      </c>
    </row>
    <row r="14667">
      <c r="B14667" s="31"/>
      <c r="G14667" s="272" t="s">
        <v>1099</v>
      </c>
    </row>
    <row r="14668">
      <c r="B14668" s="31"/>
      <c r="G14668" s="272" t="s">
        <v>1099</v>
      </c>
    </row>
    <row r="14669">
      <c r="B14669" s="31"/>
      <c r="G14669" s="272" t="s">
        <v>1099</v>
      </c>
    </row>
    <row r="14670">
      <c r="B14670" s="31"/>
      <c r="G14670" s="272" t="s">
        <v>1099</v>
      </c>
    </row>
    <row r="14671">
      <c r="B14671" s="31"/>
      <c r="G14671" s="272" t="s">
        <v>1099</v>
      </c>
    </row>
    <row r="14672">
      <c r="B14672" s="31"/>
      <c r="G14672" s="272" t="s">
        <v>1099</v>
      </c>
    </row>
    <row r="14673">
      <c r="B14673" s="31"/>
      <c r="G14673" s="272" t="s">
        <v>1099</v>
      </c>
    </row>
    <row r="14674">
      <c r="B14674" s="31"/>
      <c r="G14674" s="272" t="s">
        <v>1099</v>
      </c>
    </row>
    <row r="14675">
      <c r="B14675" s="31"/>
      <c r="G14675" s="272" t="s">
        <v>1099</v>
      </c>
    </row>
    <row r="14676">
      <c r="B14676" s="31"/>
      <c r="G14676" s="272" t="s">
        <v>1099</v>
      </c>
    </row>
    <row r="14677">
      <c r="B14677" s="31"/>
      <c r="G14677" s="272" t="s">
        <v>1099</v>
      </c>
    </row>
    <row r="14678">
      <c r="B14678" s="31"/>
      <c r="G14678" s="272" t="s">
        <v>1099</v>
      </c>
    </row>
    <row r="14679">
      <c r="B14679" s="31"/>
      <c r="G14679" s="272" t="s">
        <v>1099</v>
      </c>
    </row>
    <row r="14680">
      <c r="B14680" s="31"/>
      <c r="G14680" s="272" t="s">
        <v>1099</v>
      </c>
    </row>
    <row r="14681">
      <c r="B14681" s="31"/>
      <c r="G14681" s="272" t="s">
        <v>1099</v>
      </c>
    </row>
    <row r="14682">
      <c r="B14682" s="31"/>
      <c r="G14682" s="272" t="s">
        <v>1099</v>
      </c>
    </row>
    <row r="14683">
      <c r="B14683" s="31"/>
      <c r="G14683" s="272" t="s">
        <v>1099</v>
      </c>
    </row>
    <row r="14684">
      <c r="B14684" s="31"/>
      <c r="G14684" s="272" t="s">
        <v>1099</v>
      </c>
    </row>
    <row r="14685">
      <c r="B14685" s="31"/>
      <c r="G14685" s="272" t="s">
        <v>1099</v>
      </c>
    </row>
    <row r="14686">
      <c r="B14686" s="31"/>
      <c r="G14686" s="272" t="s">
        <v>1099</v>
      </c>
    </row>
    <row r="14687">
      <c r="B14687" s="31"/>
      <c r="G14687" s="272" t="s">
        <v>1099</v>
      </c>
    </row>
    <row r="14688">
      <c r="B14688" s="31"/>
      <c r="G14688" s="272" t="s">
        <v>1099</v>
      </c>
    </row>
    <row r="14689">
      <c r="B14689" s="31"/>
      <c r="G14689" s="272" t="s">
        <v>1099</v>
      </c>
    </row>
    <row r="14690">
      <c r="B14690" s="31"/>
      <c r="G14690" s="272" t="s">
        <v>1099</v>
      </c>
    </row>
    <row r="14691">
      <c r="B14691" s="31"/>
      <c r="G14691" s="272" t="s">
        <v>1099</v>
      </c>
    </row>
    <row r="14692">
      <c r="B14692" s="31"/>
      <c r="G14692" s="272" t="s">
        <v>1099</v>
      </c>
    </row>
    <row r="14693">
      <c r="B14693" s="31"/>
      <c r="G14693" s="272" t="s">
        <v>1099</v>
      </c>
    </row>
    <row r="14694">
      <c r="B14694" s="31"/>
      <c r="G14694" s="272" t="s">
        <v>1099</v>
      </c>
    </row>
    <row r="14695">
      <c r="B14695" s="31"/>
      <c r="G14695" s="272" t="s">
        <v>1099</v>
      </c>
    </row>
    <row r="14696">
      <c r="B14696" s="31"/>
      <c r="G14696" s="272" t="s">
        <v>1099</v>
      </c>
    </row>
    <row r="14697">
      <c r="B14697" s="31"/>
      <c r="G14697" s="272" t="s">
        <v>1099</v>
      </c>
    </row>
    <row r="14698">
      <c r="B14698" s="31"/>
      <c r="G14698" s="272" t="s">
        <v>1099</v>
      </c>
    </row>
    <row r="14699">
      <c r="B14699" s="31"/>
      <c r="G14699" s="272" t="s">
        <v>1099</v>
      </c>
    </row>
    <row r="14700">
      <c r="B14700" s="31"/>
      <c r="G14700" s="272" t="s">
        <v>1099</v>
      </c>
    </row>
    <row r="14701">
      <c r="B14701" s="31"/>
      <c r="G14701" s="272" t="s">
        <v>1099</v>
      </c>
    </row>
    <row r="14702">
      <c r="B14702" s="31"/>
      <c r="G14702" s="272" t="s">
        <v>1099</v>
      </c>
    </row>
    <row r="14703">
      <c r="B14703" s="31"/>
      <c r="G14703" s="272" t="s">
        <v>1099</v>
      </c>
    </row>
    <row r="14704">
      <c r="B14704" s="31"/>
      <c r="G14704" s="272" t="s">
        <v>1099</v>
      </c>
    </row>
    <row r="14705">
      <c r="B14705" s="31"/>
      <c r="G14705" s="272" t="s">
        <v>1099</v>
      </c>
    </row>
    <row r="14706">
      <c r="B14706" s="31"/>
      <c r="G14706" s="272" t="s">
        <v>1099</v>
      </c>
    </row>
    <row r="14707">
      <c r="B14707" s="31"/>
      <c r="G14707" s="272" t="s">
        <v>1099</v>
      </c>
    </row>
    <row r="14708">
      <c r="B14708" s="31"/>
      <c r="G14708" s="272" t="s">
        <v>1099</v>
      </c>
    </row>
    <row r="14709">
      <c r="B14709" s="31"/>
      <c r="G14709" s="272" t="s">
        <v>1099</v>
      </c>
    </row>
    <row r="14710">
      <c r="B14710" s="31"/>
      <c r="G14710" s="272" t="s">
        <v>1099</v>
      </c>
    </row>
    <row r="14711">
      <c r="B14711" s="31"/>
      <c r="G14711" s="272" t="s">
        <v>1099</v>
      </c>
    </row>
    <row r="14712">
      <c r="B14712" s="31"/>
      <c r="G14712" s="272" t="s">
        <v>1099</v>
      </c>
    </row>
    <row r="14713">
      <c r="B14713" s="31"/>
      <c r="G14713" s="272" t="s">
        <v>1099</v>
      </c>
    </row>
    <row r="14714">
      <c r="B14714" s="31"/>
      <c r="G14714" s="272" t="s">
        <v>1099</v>
      </c>
    </row>
    <row r="14715">
      <c r="B14715" s="31"/>
      <c r="G14715" s="272" t="s">
        <v>1099</v>
      </c>
    </row>
    <row r="14716">
      <c r="B14716" s="31"/>
      <c r="G14716" s="272" t="s">
        <v>1099</v>
      </c>
    </row>
    <row r="14717">
      <c r="B14717" s="31"/>
      <c r="G14717" s="272" t="s">
        <v>1099</v>
      </c>
    </row>
    <row r="14718">
      <c r="B14718" s="31"/>
      <c r="G14718" s="272" t="s">
        <v>1099</v>
      </c>
    </row>
    <row r="14719">
      <c r="B14719" s="31"/>
      <c r="G14719" s="272" t="s">
        <v>1099</v>
      </c>
    </row>
    <row r="14720">
      <c r="B14720" s="31"/>
      <c r="G14720" s="272" t="s">
        <v>1099</v>
      </c>
    </row>
    <row r="14721">
      <c r="B14721" s="31"/>
      <c r="G14721" s="272" t="s">
        <v>1099</v>
      </c>
    </row>
    <row r="14722">
      <c r="B14722" s="31"/>
      <c r="G14722" s="272" t="s">
        <v>1099</v>
      </c>
    </row>
    <row r="14723">
      <c r="B14723" s="31"/>
      <c r="G14723" s="272" t="s">
        <v>1099</v>
      </c>
    </row>
    <row r="14724">
      <c r="B14724" s="31"/>
      <c r="G14724" s="272" t="s">
        <v>1099</v>
      </c>
    </row>
    <row r="14725">
      <c r="B14725" s="31"/>
      <c r="G14725" s="272" t="s">
        <v>1099</v>
      </c>
    </row>
    <row r="14726">
      <c r="B14726" s="31"/>
      <c r="G14726" s="272" t="s">
        <v>1099</v>
      </c>
    </row>
    <row r="14727">
      <c r="B14727" s="31"/>
      <c r="G14727" s="272" t="s">
        <v>1099</v>
      </c>
    </row>
    <row r="14728">
      <c r="B14728" s="31"/>
      <c r="G14728" s="272" t="s">
        <v>1099</v>
      </c>
    </row>
    <row r="14729">
      <c r="B14729" s="31"/>
      <c r="G14729" s="272" t="s">
        <v>1099</v>
      </c>
    </row>
    <row r="14730">
      <c r="B14730" s="31"/>
      <c r="G14730" s="272" t="s">
        <v>1099</v>
      </c>
    </row>
    <row r="14731">
      <c r="B14731" s="31"/>
      <c r="G14731" s="272" t="s">
        <v>1099</v>
      </c>
    </row>
    <row r="14732">
      <c r="B14732" s="31"/>
      <c r="G14732" s="272" t="s">
        <v>1099</v>
      </c>
    </row>
    <row r="14733">
      <c r="B14733" s="31"/>
      <c r="G14733" s="272" t="s">
        <v>1099</v>
      </c>
    </row>
    <row r="14734">
      <c r="B14734" s="31"/>
      <c r="G14734" s="272" t="s">
        <v>1099</v>
      </c>
    </row>
    <row r="14735">
      <c r="B14735" s="31"/>
      <c r="G14735" s="272" t="s">
        <v>1099</v>
      </c>
    </row>
    <row r="14736">
      <c r="B14736" s="31"/>
      <c r="G14736" s="272" t="s">
        <v>1099</v>
      </c>
    </row>
    <row r="14737">
      <c r="B14737" s="31"/>
      <c r="G14737" s="272" t="s">
        <v>1099</v>
      </c>
    </row>
    <row r="14738">
      <c r="B14738" s="31"/>
      <c r="G14738" s="272" t="s">
        <v>1099</v>
      </c>
    </row>
    <row r="14739">
      <c r="B14739" s="31"/>
      <c r="G14739" s="272" t="s">
        <v>1099</v>
      </c>
    </row>
    <row r="14740">
      <c r="B14740" s="31"/>
      <c r="G14740" s="272" t="s">
        <v>1099</v>
      </c>
    </row>
    <row r="14741">
      <c r="B14741" s="31"/>
      <c r="G14741" s="272" t="s">
        <v>1099</v>
      </c>
    </row>
    <row r="14742">
      <c r="B14742" s="31"/>
      <c r="G14742" s="272" t="s">
        <v>1099</v>
      </c>
    </row>
    <row r="14743">
      <c r="B14743" s="31"/>
      <c r="G14743" s="272" t="s">
        <v>1099</v>
      </c>
    </row>
    <row r="14744">
      <c r="B14744" s="31"/>
      <c r="G14744" s="272" t="s">
        <v>1099</v>
      </c>
    </row>
    <row r="14745">
      <c r="B14745" s="31"/>
      <c r="G14745" s="272" t="s">
        <v>1099</v>
      </c>
    </row>
    <row r="14746">
      <c r="B14746" s="31"/>
      <c r="G14746" s="272" t="s">
        <v>1099</v>
      </c>
    </row>
    <row r="14747">
      <c r="B14747" s="31"/>
      <c r="G14747" s="272" t="s">
        <v>1099</v>
      </c>
    </row>
    <row r="14748">
      <c r="B14748" s="31"/>
      <c r="G14748" s="272" t="s">
        <v>1099</v>
      </c>
    </row>
    <row r="14749">
      <c r="B14749" s="31"/>
      <c r="G14749" s="272" t="s">
        <v>1099</v>
      </c>
    </row>
    <row r="14750">
      <c r="B14750" s="31"/>
      <c r="G14750" s="272" t="s">
        <v>1099</v>
      </c>
    </row>
    <row r="14751">
      <c r="B14751" s="31"/>
      <c r="G14751" s="272" t="s">
        <v>1099</v>
      </c>
    </row>
    <row r="14752">
      <c r="B14752" s="31"/>
      <c r="G14752" s="272" t="s">
        <v>1099</v>
      </c>
    </row>
    <row r="14753">
      <c r="B14753" s="31"/>
      <c r="G14753" s="272" t="s">
        <v>1099</v>
      </c>
    </row>
    <row r="14754">
      <c r="B14754" s="31"/>
      <c r="G14754" s="272" t="s">
        <v>1099</v>
      </c>
    </row>
    <row r="14755">
      <c r="B14755" s="31"/>
      <c r="G14755" s="272" t="s">
        <v>1099</v>
      </c>
    </row>
    <row r="14756">
      <c r="B14756" s="31"/>
      <c r="G14756" s="272" t="s">
        <v>1099</v>
      </c>
    </row>
    <row r="14757">
      <c r="B14757" s="31"/>
      <c r="G14757" s="272" t="s">
        <v>1099</v>
      </c>
    </row>
    <row r="14758">
      <c r="B14758" s="31"/>
      <c r="G14758" s="272" t="s">
        <v>1099</v>
      </c>
    </row>
    <row r="14759">
      <c r="B14759" s="31"/>
      <c r="G14759" s="272" t="s">
        <v>1099</v>
      </c>
    </row>
    <row r="14760">
      <c r="B14760" s="31"/>
      <c r="G14760" s="272" t="s">
        <v>1099</v>
      </c>
    </row>
    <row r="14761">
      <c r="B14761" s="31"/>
      <c r="G14761" s="272" t="s">
        <v>1099</v>
      </c>
    </row>
    <row r="14762">
      <c r="B14762" s="31"/>
      <c r="G14762" s="272" t="s">
        <v>1099</v>
      </c>
    </row>
    <row r="14763">
      <c r="B14763" s="31"/>
      <c r="G14763" s="272" t="s">
        <v>1099</v>
      </c>
    </row>
    <row r="14764">
      <c r="B14764" s="31"/>
      <c r="G14764" s="272" t="s">
        <v>1099</v>
      </c>
    </row>
    <row r="14765">
      <c r="B14765" s="31"/>
      <c r="G14765" s="272" t="s">
        <v>1099</v>
      </c>
    </row>
    <row r="14766">
      <c r="B14766" s="31"/>
      <c r="G14766" s="272" t="s">
        <v>1099</v>
      </c>
    </row>
    <row r="14767">
      <c r="B14767" s="31"/>
      <c r="G14767" s="272" t="s">
        <v>1099</v>
      </c>
    </row>
    <row r="14768">
      <c r="B14768" s="31"/>
      <c r="G14768" s="272" t="s">
        <v>1099</v>
      </c>
    </row>
    <row r="14769">
      <c r="B14769" s="31"/>
      <c r="G14769" s="272" t="s">
        <v>1099</v>
      </c>
    </row>
    <row r="14770">
      <c r="B14770" s="31"/>
      <c r="G14770" s="272" t="s">
        <v>1099</v>
      </c>
    </row>
    <row r="14771">
      <c r="B14771" s="31"/>
      <c r="G14771" s="272" t="s">
        <v>1099</v>
      </c>
    </row>
    <row r="14772">
      <c r="B14772" s="31"/>
      <c r="G14772" s="272" t="s">
        <v>1099</v>
      </c>
    </row>
    <row r="14773">
      <c r="B14773" s="31"/>
      <c r="G14773" s="272" t="s">
        <v>1099</v>
      </c>
    </row>
    <row r="14774">
      <c r="B14774" s="31"/>
      <c r="G14774" s="272" t="s">
        <v>1099</v>
      </c>
    </row>
    <row r="14775">
      <c r="B14775" s="31"/>
      <c r="G14775" s="272" t="s">
        <v>1099</v>
      </c>
    </row>
    <row r="14776">
      <c r="B14776" s="31"/>
      <c r="G14776" s="272" t="s">
        <v>1099</v>
      </c>
    </row>
    <row r="14777">
      <c r="B14777" s="31"/>
      <c r="G14777" s="272" t="s">
        <v>1099</v>
      </c>
    </row>
    <row r="14778">
      <c r="B14778" s="31"/>
      <c r="G14778" s="272" t="s">
        <v>1099</v>
      </c>
    </row>
    <row r="14779">
      <c r="B14779" s="31"/>
      <c r="G14779" s="272" t="s">
        <v>1099</v>
      </c>
    </row>
    <row r="14780">
      <c r="B14780" s="31"/>
      <c r="G14780" s="272" t="s">
        <v>1099</v>
      </c>
    </row>
    <row r="14781">
      <c r="B14781" s="31"/>
      <c r="G14781" s="272" t="s">
        <v>1099</v>
      </c>
    </row>
    <row r="14782">
      <c r="B14782" s="31"/>
      <c r="G14782" s="272" t="s">
        <v>1099</v>
      </c>
    </row>
    <row r="14783">
      <c r="B14783" s="31"/>
      <c r="G14783" s="272" t="s">
        <v>1099</v>
      </c>
    </row>
    <row r="14784">
      <c r="B14784" s="31"/>
      <c r="G14784" s="272" t="s">
        <v>1099</v>
      </c>
    </row>
    <row r="14785">
      <c r="B14785" s="31"/>
      <c r="G14785" s="272" t="s">
        <v>1099</v>
      </c>
    </row>
    <row r="14786">
      <c r="B14786" s="31"/>
      <c r="G14786" s="272" t="s">
        <v>1099</v>
      </c>
    </row>
    <row r="14787">
      <c r="B14787" s="31"/>
      <c r="G14787" s="272" t="s">
        <v>1099</v>
      </c>
    </row>
    <row r="14788">
      <c r="B14788" s="31"/>
      <c r="G14788" s="272" t="s">
        <v>1099</v>
      </c>
    </row>
    <row r="14789">
      <c r="B14789" s="31"/>
      <c r="G14789" s="272" t="s">
        <v>1099</v>
      </c>
    </row>
    <row r="14790">
      <c r="B14790" s="31"/>
      <c r="G14790" s="272" t="s">
        <v>1099</v>
      </c>
    </row>
    <row r="14791">
      <c r="B14791" s="31"/>
      <c r="G14791" s="272" t="s">
        <v>1099</v>
      </c>
    </row>
    <row r="14792">
      <c r="B14792" s="31"/>
      <c r="G14792" s="272" t="s">
        <v>1099</v>
      </c>
    </row>
    <row r="14793">
      <c r="B14793" s="31"/>
      <c r="G14793" s="272" t="s">
        <v>1099</v>
      </c>
    </row>
    <row r="14794">
      <c r="B14794" s="31"/>
      <c r="G14794" s="272" t="s">
        <v>1099</v>
      </c>
    </row>
    <row r="14795">
      <c r="B14795" s="31"/>
      <c r="G14795" s="272" t="s">
        <v>1099</v>
      </c>
    </row>
    <row r="14796">
      <c r="B14796" s="31"/>
      <c r="G14796" s="272" t="s">
        <v>1099</v>
      </c>
    </row>
    <row r="14797">
      <c r="B14797" s="31"/>
      <c r="G14797" s="272" t="s">
        <v>1099</v>
      </c>
    </row>
    <row r="14798">
      <c r="B14798" s="31"/>
      <c r="G14798" s="272" t="s">
        <v>1099</v>
      </c>
    </row>
    <row r="14799">
      <c r="B14799" s="31"/>
      <c r="G14799" s="272" t="s">
        <v>1099</v>
      </c>
    </row>
    <row r="14800">
      <c r="B14800" s="31"/>
      <c r="G14800" s="272" t="s">
        <v>1099</v>
      </c>
    </row>
    <row r="14801">
      <c r="B14801" s="31"/>
      <c r="G14801" s="272" t="s">
        <v>1099</v>
      </c>
    </row>
    <row r="14802">
      <c r="B14802" s="31"/>
      <c r="G14802" s="272" t="s">
        <v>1099</v>
      </c>
    </row>
    <row r="14803">
      <c r="B14803" s="31"/>
      <c r="G14803" s="272" t="s">
        <v>1099</v>
      </c>
    </row>
    <row r="14804">
      <c r="B14804" s="31"/>
      <c r="G14804" s="272" t="s">
        <v>1099</v>
      </c>
    </row>
    <row r="14805">
      <c r="B14805" s="31"/>
      <c r="G14805" s="272" t="s">
        <v>1099</v>
      </c>
    </row>
    <row r="14806">
      <c r="B14806" s="31"/>
      <c r="G14806" s="272" t="s">
        <v>1099</v>
      </c>
    </row>
    <row r="14807">
      <c r="B14807" s="31"/>
      <c r="G14807" s="272" t="s">
        <v>1099</v>
      </c>
    </row>
    <row r="14808">
      <c r="B14808" s="31"/>
      <c r="G14808" s="272" t="s">
        <v>1099</v>
      </c>
    </row>
    <row r="14809">
      <c r="B14809" s="31"/>
      <c r="G14809" s="272" t="s">
        <v>1099</v>
      </c>
    </row>
    <row r="14810">
      <c r="B14810" s="31"/>
      <c r="G14810" s="272" t="s">
        <v>1099</v>
      </c>
    </row>
    <row r="14811">
      <c r="B14811" s="31"/>
      <c r="G14811" s="272" t="s">
        <v>1099</v>
      </c>
    </row>
    <row r="14812">
      <c r="B14812" s="31"/>
      <c r="G14812" s="272" t="s">
        <v>1099</v>
      </c>
    </row>
    <row r="14813">
      <c r="B14813" s="31"/>
      <c r="G14813" s="272" t="s">
        <v>1099</v>
      </c>
    </row>
    <row r="14814">
      <c r="B14814" s="31"/>
      <c r="G14814" s="272" t="s">
        <v>1099</v>
      </c>
    </row>
    <row r="14815">
      <c r="B14815" s="31"/>
      <c r="G14815" s="272" t="s">
        <v>1099</v>
      </c>
    </row>
    <row r="14816">
      <c r="B14816" s="31"/>
      <c r="G14816" s="272" t="s">
        <v>1099</v>
      </c>
    </row>
    <row r="14817">
      <c r="B14817" s="31"/>
      <c r="G14817" s="272" t="s">
        <v>1099</v>
      </c>
    </row>
    <row r="14818">
      <c r="B14818" s="31"/>
      <c r="G14818" s="272" t="s">
        <v>1099</v>
      </c>
    </row>
    <row r="14819">
      <c r="B14819" s="31"/>
      <c r="G14819" s="272" t="s">
        <v>1099</v>
      </c>
    </row>
    <row r="14820">
      <c r="B14820" s="31"/>
      <c r="G14820" s="272" t="s">
        <v>1099</v>
      </c>
    </row>
    <row r="14821">
      <c r="B14821" s="31"/>
      <c r="G14821" s="272" t="s">
        <v>1099</v>
      </c>
    </row>
    <row r="14822">
      <c r="B14822" s="31"/>
      <c r="G14822" s="272" t="s">
        <v>1099</v>
      </c>
    </row>
    <row r="14823">
      <c r="B14823" s="31"/>
      <c r="G14823" s="272" t="s">
        <v>1099</v>
      </c>
    </row>
    <row r="14824">
      <c r="B14824" s="31"/>
      <c r="G14824" s="272" t="s">
        <v>1099</v>
      </c>
    </row>
    <row r="14825">
      <c r="B14825" s="31"/>
      <c r="G14825" s="272" t="s">
        <v>1099</v>
      </c>
    </row>
    <row r="14826">
      <c r="B14826" s="31"/>
      <c r="G14826" s="272" t="s">
        <v>1099</v>
      </c>
    </row>
    <row r="14827">
      <c r="B14827" s="31"/>
      <c r="G14827" s="272" t="s">
        <v>1099</v>
      </c>
    </row>
    <row r="14828">
      <c r="B14828" s="31"/>
      <c r="G14828" s="272" t="s">
        <v>1099</v>
      </c>
    </row>
    <row r="14829">
      <c r="B14829" s="31"/>
      <c r="G14829" s="272" t="s">
        <v>1099</v>
      </c>
    </row>
    <row r="14830">
      <c r="B14830" s="31"/>
      <c r="G14830" s="272" t="s">
        <v>1099</v>
      </c>
    </row>
    <row r="14831">
      <c r="B14831" s="31"/>
      <c r="G14831" s="272" t="s">
        <v>1099</v>
      </c>
    </row>
    <row r="14832">
      <c r="B14832" s="31"/>
      <c r="G14832" s="272" t="s">
        <v>1099</v>
      </c>
    </row>
    <row r="14833">
      <c r="B14833" s="31"/>
      <c r="G14833" s="272" t="s">
        <v>1099</v>
      </c>
    </row>
    <row r="14834">
      <c r="B14834" s="31"/>
      <c r="G14834" s="272" t="s">
        <v>1099</v>
      </c>
    </row>
    <row r="14835">
      <c r="B14835" s="31"/>
      <c r="G14835" s="272" t="s">
        <v>1099</v>
      </c>
    </row>
    <row r="14836">
      <c r="B14836" s="31"/>
      <c r="G14836" s="272" t="s">
        <v>1099</v>
      </c>
    </row>
    <row r="14837">
      <c r="B14837" s="31"/>
      <c r="G14837" s="272" t="s">
        <v>1099</v>
      </c>
    </row>
    <row r="14838">
      <c r="B14838" s="31"/>
      <c r="G14838" s="272" t="s">
        <v>1099</v>
      </c>
    </row>
    <row r="14839">
      <c r="B14839" s="31"/>
      <c r="G14839" s="272" t="s">
        <v>1099</v>
      </c>
    </row>
    <row r="14840">
      <c r="B14840" s="31"/>
      <c r="G14840" s="272" t="s">
        <v>1099</v>
      </c>
    </row>
    <row r="14841">
      <c r="B14841" s="31"/>
      <c r="G14841" s="272" t="s">
        <v>1099</v>
      </c>
    </row>
    <row r="14842">
      <c r="B14842" s="31"/>
      <c r="G14842" s="272" t="s">
        <v>1099</v>
      </c>
    </row>
    <row r="14843">
      <c r="B14843" s="31"/>
      <c r="G14843" s="272" t="s">
        <v>1099</v>
      </c>
    </row>
    <row r="14844">
      <c r="B14844" s="31"/>
      <c r="G14844" s="272" t="s">
        <v>1099</v>
      </c>
    </row>
    <row r="14845">
      <c r="B14845" s="31"/>
      <c r="G14845" s="272" t="s">
        <v>1099</v>
      </c>
    </row>
    <row r="14846">
      <c r="B14846" s="31"/>
      <c r="G14846" s="272" t="s">
        <v>1099</v>
      </c>
    </row>
    <row r="14847">
      <c r="B14847" s="31"/>
      <c r="G14847" s="272" t="s">
        <v>1099</v>
      </c>
    </row>
    <row r="14848">
      <c r="B14848" s="31"/>
      <c r="G14848" s="272" t="s">
        <v>1099</v>
      </c>
    </row>
    <row r="14849">
      <c r="B14849" s="31"/>
      <c r="G14849" s="272" t="s">
        <v>1099</v>
      </c>
    </row>
    <row r="14850">
      <c r="B14850" s="31"/>
      <c r="G14850" s="272" t="s">
        <v>1099</v>
      </c>
    </row>
    <row r="14851">
      <c r="B14851" s="31"/>
      <c r="G14851" s="272" t="s">
        <v>1099</v>
      </c>
    </row>
    <row r="14852">
      <c r="B14852" s="31"/>
      <c r="G14852" s="272" t="s">
        <v>1099</v>
      </c>
    </row>
    <row r="14853">
      <c r="B14853" s="31"/>
      <c r="G14853" s="272" t="s">
        <v>1099</v>
      </c>
    </row>
    <row r="14854">
      <c r="B14854" s="31"/>
      <c r="G14854" s="272" t="s">
        <v>1099</v>
      </c>
    </row>
    <row r="14855">
      <c r="B14855" s="31"/>
      <c r="G14855" s="272" t="s">
        <v>1099</v>
      </c>
    </row>
    <row r="14856">
      <c r="B14856" s="31"/>
      <c r="G14856" s="272" t="s">
        <v>1099</v>
      </c>
    </row>
    <row r="14857">
      <c r="B14857" s="31"/>
      <c r="G14857" s="272" t="s">
        <v>1099</v>
      </c>
    </row>
    <row r="14858">
      <c r="B14858" s="31"/>
      <c r="G14858" s="272" t="s">
        <v>1099</v>
      </c>
    </row>
    <row r="14859">
      <c r="B14859" s="31"/>
      <c r="G14859" s="272" t="s">
        <v>1099</v>
      </c>
    </row>
    <row r="14860">
      <c r="B14860" s="31"/>
      <c r="G14860" s="272" t="s">
        <v>1099</v>
      </c>
    </row>
    <row r="14861">
      <c r="B14861" s="31"/>
      <c r="G14861" s="272" t="s">
        <v>1099</v>
      </c>
    </row>
    <row r="14862">
      <c r="B14862" s="31"/>
      <c r="G14862" s="272" t="s">
        <v>1099</v>
      </c>
    </row>
    <row r="14863">
      <c r="B14863" s="31"/>
      <c r="G14863" s="272" t="s">
        <v>1099</v>
      </c>
    </row>
    <row r="14864">
      <c r="B14864" s="31"/>
      <c r="G14864" s="272" t="s">
        <v>1099</v>
      </c>
    </row>
    <row r="14865">
      <c r="B14865" s="31"/>
      <c r="G14865" s="272" t="s">
        <v>1099</v>
      </c>
    </row>
    <row r="14866">
      <c r="B14866" s="31"/>
      <c r="G14866" s="272" t="s">
        <v>1099</v>
      </c>
    </row>
    <row r="14867">
      <c r="B14867" s="31"/>
      <c r="G14867" s="272" t="s">
        <v>1099</v>
      </c>
    </row>
    <row r="14868">
      <c r="B14868" s="31"/>
      <c r="G14868" s="272" t="s">
        <v>1099</v>
      </c>
    </row>
    <row r="14869">
      <c r="B14869" s="31"/>
      <c r="G14869" s="272" t="s">
        <v>1099</v>
      </c>
    </row>
    <row r="14870">
      <c r="B14870" s="31"/>
      <c r="G14870" s="272" t="s">
        <v>1099</v>
      </c>
    </row>
    <row r="14871">
      <c r="B14871" s="31"/>
      <c r="G14871" s="272" t="s">
        <v>1099</v>
      </c>
    </row>
    <row r="14872">
      <c r="B14872" s="31"/>
      <c r="G14872" s="272" t="s">
        <v>1099</v>
      </c>
    </row>
    <row r="14873">
      <c r="B14873" s="31"/>
      <c r="G14873" s="272" t="s">
        <v>1099</v>
      </c>
    </row>
    <row r="14874">
      <c r="B14874" s="31"/>
      <c r="G14874" s="272" t="s">
        <v>1099</v>
      </c>
    </row>
    <row r="14875">
      <c r="B14875" s="31"/>
      <c r="G14875" s="272" t="s">
        <v>1099</v>
      </c>
    </row>
    <row r="14876">
      <c r="B14876" s="31"/>
      <c r="G14876" s="272" t="s">
        <v>1099</v>
      </c>
    </row>
    <row r="14877">
      <c r="B14877" s="31"/>
      <c r="G14877" s="272" t="s">
        <v>1099</v>
      </c>
    </row>
    <row r="14878">
      <c r="B14878" s="31"/>
      <c r="G14878" s="272" t="s">
        <v>1099</v>
      </c>
    </row>
    <row r="14879">
      <c r="B14879" s="31"/>
      <c r="G14879" s="272" t="s">
        <v>1099</v>
      </c>
    </row>
    <row r="14880">
      <c r="B14880" s="31"/>
      <c r="G14880" s="272" t="s">
        <v>1099</v>
      </c>
    </row>
    <row r="14881">
      <c r="B14881" s="31"/>
      <c r="G14881" s="272" t="s">
        <v>1099</v>
      </c>
    </row>
    <row r="14882">
      <c r="B14882" s="31"/>
      <c r="G14882" s="272" t="s">
        <v>1099</v>
      </c>
    </row>
    <row r="14883">
      <c r="B14883" s="31"/>
      <c r="G14883" s="272" t="s">
        <v>1099</v>
      </c>
    </row>
    <row r="14884">
      <c r="B14884" s="31"/>
      <c r="G14884" s="272" t="s">
        <v>1099</v>
      </c>
    </row>
    <row r="14885">
      <c r="B14885" s="31"/>
      <c r="G14885" s="272" t="s">
        <v>1099</v>
      </c>
    </row>
    <row r="14886">
      <c r="B14886" s="31"/>
      <c r="G14886" s="272" t="s">
        <v>1099</v>
      </c>
    </row>
    <row r="14887">
      <c r="B14887" s="31"/>
      <c r="G14887" s="272" t="s">
        <v>1099</v>
      </c>
    </row>
    <row r="14888">
      <c r="B14888" s="31"/>
      <c r="G14888" s="272" t="s">
        <v>1099</v>
      </c>
    </row>
    <row r="14889">
      <c r="B14889" s="31"/>
      <c r="G14889" s="272" t="s">
        <v>1099</v>
      </c>
    </row>
    <row r="14890">
      <c r="B14890" s="31"/>
      <c r="G14890" s="272" t="s">
        <v>1099</v>
      </c>
    </row>
    <row r="14891">
      <c r="B14891" s="31"/>
      <c r="G14891" s="272" t="s">
        <v>1099</v>
      </c>
    </row>
    <row r="14892">
      <c r="B14892" s="31"/>
      <c r="G14892" s="272" t="s">
        <v>1099</v>
      </c>
    </row>
    <row r="14893">
      <c r="B14893" s="31"/>
      <c r="G14893" s="272" t="s">
        <v>1099</v>
      </c>
    </row>
    <row r="14894">
      <c r="B14894" s="31"/>
      <c r="G14894" s="272" t="s">
        <v>1099</v>
      </c>
    </row>
    <row r="14895">
      <c r="B14895" s="31"/>
      <c r="G14895" s="272" t="s">
        <v>1099</v>
      </c>
    </row>
    <row r="14896">
      <c r="B14896" s="31"/>
      <c r="G14896" s="272" t="s">
        <v>1099</v>
      </c>
    </row>
    <row r="14897">
      <c r="B14897" s="31"/>
      <c r="G14897" s="272" t="s">
        <v>1099</v>
      </c>
    </row>
    <row r="14898">
      <c r="B14898" s="31"/>
      <c r="G14898" s="272" t="s">
        <v>1099</v>
      </c>
    </row>
    <row r="14899">
      <c r="B14899" s="31"/>
      <c r="G14899" s="272" t="s">
        <v>1099</v>
      </c>
    </row>
    <row r="14900">
      <c r="B14900" s="31"/>
      <c r="G14900" s="272" t="s">
        <v>1099</v>
      </c>
    </row>
    <row r="14901">
      <c r="B14901" s="31"/>
      <c r="G14901" s="272" t="s">
        <v>1099</v>
      </c>
    </row>
    <row r="14902">
      <c r="B14902" s="31"/>
      <c r="G14902" s="272" t="s">
        <v>1099</v>
      </c>
    </row>
    <row r="14903">
      <c r="B14903" s="31"/>
      <c r="G14903" s="272" t="s">
        <v>1099</v>
      </c>
    </row>
    <row r="14904">
      <c r="B14904" s="31"/>
      <c r="G14904" s="272" t="s">
        <v>1099</v>
      </c>
    </row>
    <row r="14905">
      <c r="B14905" s="31"/>
      <c r="G14905" s="272" t="s">
        <v>1099</v>
      </c>
    </row>
    <row r="14906">
      <c r="B14906" s="31"/>
      <c r="G14906" s="272" t="s">
        <v>1099</v>
      </c>
    </row>
    <row r="14907">
      <c r="B14907" s="31"/>
      <c r="G14907" s="272" t="s">
        <v>1099</v>
      </c>
    </row>
    <row r="14908">
      <c r="B14908" s="31"/>
      <c r="G14908" s="272" t="s">
        <v>1099</v>
      </c>
    </row>
    <row r="14909">
      <c r="B14909" s="31"/>
      <c r="G14909" s="272" t="s">
        <v>1099</v>
      </c>
    </row>
    <row r="14910">
      <c r="B14910" s="31"/>
      <c r="G14910" s="272" t="s">
        <v>1099</v>
      </c>
    </row>
    <row r="14911">
      <c r="B14911" s="31"/>
      <c r="G14911" s="272" t="s">
        <v>1099</v>
      </c>
    </row>
    <row r="14912">
      <c r="B14912" s="31"/>
      <c r="G14912" s="272" t="s">
        <v>1099</v>
      </c>
    </row>
    <row r="14913">
      <c r="B14913" s="31"/>
      <c r="G14913" s="272" t="s">
        <v>1099</v>
      </c>
    </row>
    <row r="14914">
      <c r="B14914" s="31"/>
      <c r="G14914" s="272" t="s">
        <v>1099</v>
      </c>
    </row>
    <row r="14915">
      <c r="B14915" s="31"/>
      <c r="G14915" s="272" t="s">
        <v>1099</v>
      </c>
    </row>
    <row r="14916">
      <c r="B14916" s="31"/>
      <c r="G14916" s="272" t="s">
        <v>1099</v>
      </c>
    </row>
    <row r="14917">
      <c r="B14917" s="31"/>
      <c r="G14917" s="272" t="s">
        <v>1099</v>
      </c>
    </row>
    <row r="14918">
      <c r="B14918" s="31"/>
      <c r="G14918" s="272" t="s">
        <v>1099</v>
      </c>
    </row>
    <row r="14919">
      <c r="B14919" s="31"/>
      <c r="G14919" s="272" t="s">
        <v>1099</v>
      </c>
    </row>
    <row r="14920">
      <c r="B14920" s="31"/>
      <c r="G14920" s="272" t="s">
        <v>1099</v>
      </c>
    </row>
    <row r="14921">
      <c r="B14921" s="31"/>
      <c r="G14921" s="272" t="s">
        <v>1099</v>
      </c>
    </row>
    <row r="14922">
      <c r="B14922" s="31"/>
      <c r="G14922" s="272" t="s">
        <v>1099</v>
      </c>
    </row>
    <row r="14923">
      <c r="B14923" s="31"/>
      <c r="G14923" s="272" t="s">
        <v>1099</v>
      </c>
    </row>
    <row r="14924">
      <c r="B14924" s="31"/>
      <c r="G14924" s="272" t="s">
        <v>1099</v>
      </c>
    </row>
    <row r="14925">
      <c r="B14925" s="31"/>
      <c r="G14925" s="272" t="s">
        <v>1099</v>
      </c>
    </row>
    <row r="14926">
      <c r="B14926" s="31"/>
      <c r="G14926" s="272" t="s">
        <v>1099</v>
      </c>
    </row>
    <row r="14927">
      <c r="B14927" s="31"/>
      <c r="G14927" s="272" t="s">
        <v>1099</v>
      </c>
    </row>
    <row r="14928">
      <c r="B14928" s="31"/>
      <c r="G14928" s="272" t="s">
        <v>1099</v>
      </c>
    </row>
    <row r="14929">
      <c r="B14929" s="31"/>
      <c r="G14929" s="272" t="s">
        <v>1099</v>
      </c>
    </row>
    <row r="14930">
      <c r="B14930" s="31"/>
      <c r="G14930" s="272" t="s">
        <v>1099</v>
      </c>
    </row>
    <row r="14931">
      <c r="B14931" s="31"/>
      <c r="G14931" s="272" t="s">
        <v>1099</v>
      </c>
    </row>
    <row r="14932">
      <c r="B14932" s="31"/>
      <c r="G14932" s="272" t="s">
        <v>1099</v>
      </c>
    </row>
    <row r="14933">
      <c r="B14933" s="31"/>
      <c r="G14933" s="272" t="s">
        <v>1099</v>
      </c>
    </row>
    <row r="14934">
      <c r="B14934" s="31"/>
      <c r="G14934" s="272" t="s">
        <v>1099</v>
      </c>
    </row>
    <row r="14935">
      <c r="B14935" s="31"/>
      <c r="G14935" s="272" t="s">
        <v>1099</v>
      </c>
    </row>
    <row r="14936">
      <c r="B14936" s="31"/>
      <c r="G14936" s="272" t="s">
        <v>1099</v>
      </c>
    </row>
    <row r="14937">
      <c r="B14937" s="31"/>
      <c r="G14937" s="272" t="s">
        <v>1099</v>
      </c>
    </row>
    <row r="14938">
      <c r="B14938" s="31"/>
      <c r="G14938" s="272" t="s">
        <v>1099</v>
      </c>
    </row>
    <row r="14939">
      <c r="B14939" s="31"/>
      <c r="G14939" s="272" t="s">
        <v>1099</v>
      </c>
    </row>
    <row r="14940">
      <c r="B14940" s="31"/>
      <c r="G14940" s="272" t="s">
        <v>1099</v>
      </c>
    </row>
    <row r="14941">
      <c r="B14941" s="31"/>
      <c r="G14941" s="272" t="s">
        <v>1099</v>
      </c>
    </row>
    <row r="14942">
      <c r="B14942" s="31"/>
      <c r="G14942" s="272" t="s">
        <v>1099</v>
      </c>
    </row>
    <row r="14943">
      <c r="B14943" s="31"/>
      <c r="G14943" s="272" t="s">
        <v>1099</v>
      </c>
    </row>
    <row r="14944">
      <c r="B14944" s="31"/>
      <c r="G14944" s="272" t="s">
        <v>1099</v>
      </c>
    </row>
    <row r="14945">
      <c r="B14945" s="31"/>
      <c r="G14945" s="272" t="s">
        <v>1099</v>
      </c>
    </row>
    <row r="14946">
      <c r="B14946" s="31"/>
      <c r="G14946" s="272" t="s">
        <v>1099</v>
      </c>
    </row>
    <row r="14947">
      <c r="B14947" s="31"/>
      <c r="G14947" s="272" t="s">
        <v>1099</v>
      </c>
    </row>
    <row r="14948">
      <c r="B14948" s="31"/>
      <c r="G14948" s="272" t="s">
        <v>1099</v>
      </c>
    </row>
    <row r="14949">
      <c r="B14949" s="31"/>
      <c r="G14949" s="272" t="s">
        <v>1099</v>
      </c>
    </row>
    <row r="14950">
      <c r="B14950" s="31"/>
      <c r="G14950" s="272" t="s">
        <v>1099</v>
      </c>
    </row>
    <row r="14951">
      <c r="B14951" s="31"/>
      <c r="G14951" s="272" t="s">
        <v>1099</v>
      </c>
    </row>
    <row r="14952">
      <c r="B14952" s="31"/>
      <c r="G14952" s="272" t="s">
        <v>1099</v>
      </c>
    </row>
    <row r="14953">
      <c r="B14953" s="31"/>
      <c r="G14953" s="272" t="s">
        <v>1099</v>
      </c>
    </row>
    <row r="14954">
      <c r="B14954" s="31"/>
      <c r="G14954" s="272" t="s">
        <v>1099</v>
      </c>
    </row>
    <row r="14955">
      <c r="B14955" s="31"/>
      <c r="G14955" s="272" t="s">
        <v>1099</v>
      </c>
    </row>
    <row r="14956">
      <c r="B14956" s="31"/>
      <c r="G14956" s="272" t="s">
        <v>1099</v>
      </c>
    </row>
    <row r="14957">
      <c r="B14957" s="31"/>
      <c r="G14957" s="272" t="s">
        <v>1099</v>
      </c>
    </row>
    <row r="14958">
      <c r="B14958" s="31"/>
      <c r="G14958" s="272" t="s">
        <v>1099</v>
      </c>
    </row>
    <row r="14959">
      <c r="B14959" s="31"/>
      <c r="G14959" s="272" t="s">
        <v>1099</v>
      </c>
    </row>
    <row r="14960">
      <c r="B14960" s="31"/>
      <c r="G14960" s="272" t="s">
        <v>1099</v>
      </c>
    </row>
    <row r="14961">
      <c r="B14961" s="31"/>
      <c r="G14961" s="272" t="s">
        <v>1099</v>
      </c>
    </row>
    <row r="14962">
      <c r="B14962" s="31"/>
      <c r="G14962" s="272" t="s">
        <v>1099</v>
      </c>
    </row>
    <row r="14963">
      <c r="B14963" s="31"/>
      <c r="G14963" s="272" t="s">
        <v>1099</v>
      </c>
    </row>
    <row r="14964">
      <c r="B14964" s="31"/>
      <c r="G14964" s="272" t="s">
        <v>1099</v>
      </c>
    </row>
    <row r="14965">
      <c r="B14965" s="31"/>
      <c r="G14965" s="272" t="s">
        <v>1099</v>
      </c>
    </row>
    <row r="14966">
      <c r="B14966" s="31"/>
      <c r="G14966" s="272" t="s">
        <v>1099</v>
      </c>
    </row>
    <row r="14967">
      <c r="B14967" s="31"/>
      <c r="G14967" s="272" t="s">
        <v>1099</v>
      </c>
    </row>
    <row r="14968">
      <c r="B14968" s="31"/>
      <c r="G14968" s="272" t="s">
        <v>1099</v>
      </c>
    </row>
    <row r="14969">
      <c r="B14969" s="31"/>
      <c r="G14969" s="272" t="s">
        <v>1099</v>
      </c>
    </row>
    <row r="14970">
      <c r="B14970" s="31"/>
      <c r="G14970" s="272" t="s">
        <v>1099</v>
      </c>
    </row>
    <row r="14971">
      <c r="B14971" s="31"/>
      <c r="G14971" s="272" t="s">
        <v>1099</v>
      </c>
    </row>
    <row r="14972">
      <c r="B14972" s="31"/>
      <c r="G14972" s="272" t="s">
        <v>1099</v>
      </c>
    </row>
    <row r="14973">
      <c r="B14973" s="31"/>
      <c r="G14973" s="272" t="s">
        <v>1099</v>
      </c>
    </row>
    <row r="14974">
      <c r="B14974" s="31"/>
      <c r="G14974" s="272" t="s">
        <v>1099</v>
      </c>
    </row>
    <row r="14975">
      <c r="B14975" s="31"/>
      <c r="G14975" s="272" t="s">
        <v>1099</v>
      </c>
    </row>
    <row r="14976">
      <c r="B14976" s="31"/>
      <c r="G14976" s="272" t="s">
        <v>1099</v>
      </c>
    </row>
    <row r="14977">
      <c r="B14977" s="31"/>
      <c r="G14977" s="272" t="s">
        <v>1099</v>
      </c>
    </row>
    <row r="14978">
      <c r="B14978" s="31"/>
      <c r="G14978" s="272" t="s">
        <v>1099</v>
      </c>
    </row>
    <row r="14979">
      <c r="B14979" s="31"/>
      <c r="G14979" s="272" t="s">
        <v>1099</v>
      </c>
    </row>
    <row r="14980">
      <c r="B14980" s="31"/>
      <c r="G14980" s="272" t="s">
        <v>1099</v>
      </c>
    </row>
    <row r="14981">
      <c r="B14981" s="31"/>
      <c r="G14981" s="272" t="s">
        <v>1099</v>
      </c>
    </row>
    <row r="14982">
      <c r="B14982" s="31"/>
      <c r="G14982" s="272" t="s">
        <v>1099</v>
      </c>
    </row>
    <row r="14983">
      <c r="B14983" s="31"/>
      <c r="G14983" s="272" t="s">
        <v>1099</v>
      </c>
    </row>
    <row r="14984">
      <c r="B14984" s="31"/>
      <c r="G14984" s="272" t="s">
        <v>1099</v>
      </c>
    </row>
    <row r="14985">
      <c r="B14985" s="31"/>
      <c r="G14985" s="272" t="s">
        <v>1099</v>
      </c>
    </row>
    <row r="14986">
      <c r="B14986" s="31"/>
      <c r="G14986" s="272" t="s">
        <v>1099</v>
      </c>
    </row>
    <row r="14987">
      <c r="B14987" s="31"/>
      <c r="G14987" s="272" t="s">
        <v>1099</v>
      </c>
    </row>
    <row r="14988">
      <c r="B14988" s="31"/>
      <c r="G14988" s="272" t="s">
        <v>1099</v>
      </c>
    </row>
    <row r="14989">
      <c r="B14989" s="31"/>
      <c r="G14989" s="272" t="s">
        <v>1099</v>
      </c>
    </row>
    <row r="14990">
      <c r="B14990" s="31"/>
      <c r="G14990" s="272" t="s">
        <v>1099</v>
      </c>
    </row>
    <row r="14991">
      <c r="B14991" s="31"/>
      <c r="G14991" s="272" t="s">
        <v>1099</v>
      </c>
    </row>
    <row r="14992">
      <c r="B14992" s="31"/>
      <c r="G14992" s="272" t="s">
        <v>1099</v>
      </c>
    </row>
    <row r="14993">
      <c r="B14993" s="31"/>
      <c r="G14993" s="272" t="s">
        <v>1099</v>
      </c>
    </row>
    <row r="14994">
      <c r="B14994" s="31"/>
      <c r="G14994" s="272" t="s">
        <v>1099</v>
      </c>
    </row>
    <row r="14995">
      <c r="B14995" s="31"/>
      <c r="G14995" s="272" t="s">
        <v>1099</v>
      </c>
    </row>
    <row r="14996">
      <c r="B14996" s="31"/>
      <c r="G14996" s="272" t="s">
        <v>1099</v>
      </c>
    </row>
    <row r="14997">
      <c r="B14997" s="31"/>
      <c r="G14997" s="272" t="s">
        <v>1099</v>
      </c>
    </row>
    <row r="14998">
      <c r="B14998" s="31"/>
      <c r="G14998" s="272" t="s">
        <v>1099</v>
      </c>
    </row>
    <row r="14999">
      <c r="B14999" s="31"/>
      <c r="G14999" s="272" t="s">
        <v>1099</v>
      </c>
    </row>
    <row r="15000">
      <c r="B15000" s="31"/>
      <c r="G15000" s="272" t="s">
        <v>1099</v>
      </c>
    </row>
    <row r="15001">
      <c r="B15001" s="31"/>
      <c r="G15001" s="272" t="s">
        <v>1099</v>
      </c>
    </row>
    <row r="15002">
      <c r="B15002" s="31"/>
      <c r="G15002" s="272" t="s">
        <v>1099</v>
      </c>
    </row>
    <row r="15003">
      <c r="B15003" s="31"/>
      <c r="G15003" s="272" t="s">
        <v>1099</v>
      </c>
    </row>
    <row r="15004">
      <c r="B15004" s="31"/>
      <c r="G15004" s="272" t="s">
        <v>1099</v>
      </c>
    </row>
    <row r="15005">
      <c r="B15005" s="31"/>
      <c r="G15005" s="272" t="s">
        <v>1099</v>
      </c>
    </row>
    <row r="15006">
      <c r="B15006" s="31"/>
      <c r="G15006" s="272" t="s">
        <v>1099</v>
      </c>
    </row>
    <row r="15007">
      <c r="B15007" s="31"/>
      <c r="G15007" s="272" t="s">
        <v>1099</v>
      </c>
    </row>
    <row r="15008">
      <c r="B15008" s="31"/>
      <c r="G15008" s="272" t="s">
        <v>1099</v>
      </c>
    </row>
    <row r="15009">
      <c r="B15009" s="31"/>
      <c r="G15009" s="272" t="s">
        <v>1099</v>
      </c>
    </row>
    <row r="15010">
      <c r="B15010" s="31"/>
      <c r="G15010" s="272" t="s">
        <v>1099</v>
      </c>
    </row>
    <row r="15011">
      <c r="B15011" s="31"/>
      <c r="G15011" s="272" t="s">
        <v>1099</v>
      </c>
    </row>
    <row r="15012">
      <c r="B15012" s="31"/>
      <c r="G15012" s="272" t="s">
        <v>1099</v>
      </c>
    </row>
    <row r="15013">
      <c r="B15013" s="31"/>
      <c r="G15013" s="272" t="s">
        <v>1099</v>
      </c>
    </row>
    <row r="15014">
      <c r="B15014" s="31"/>
      <c r="G15014" s="272" t="s">
        <v>1099</v>
      </c>
    </row>
    <row r="15015">
      <c r="B15015" s="31"/>
      <c r="G15015" s="272" t="s">
        <v>1099</v>
      </c>
    </row>
    <row r="15016">
      <c r="B15016" s="31"/>
      <c r="G15016" s="272" t="s">
        <v>1099</v>
      </c>
    </row>
    <row r="15017">
      <c r="B15017" s="31"/>
      <c r="G15017" s="272" t="s">
        <v>1099</v>
      </c>
    </row>
    <row r="15018">
      <c r="B15018" s="31"/>
      <c r="G15018" s="272" t="s">
        <v>1099</v>
      </c>
    </row>
    <row r="15019">
      <c r="B15019" s="31"/>
      <c r="G15019" s="272" t="s">
        <v>1099</v>
      </c>
    </row>
    <row r="15020">
      <c r="B15020" s="31"/>
      <c r="G15020" s="272" t="s">
        <v>1099</v>
      </c>
    </row>
    <row r="15021">
      <c r="B15021" s="31"/>
      <c r="G15021" s="272" t="s">
        <v>1099</v>
      </c>
    </row>
    <row r="15022">
      <c r="B15022" s="31"/>
      <c r="G15022" s="272" t="s">
        <v>1099</v>
      </c>
    </row>
    <row r="15023">
      <c r="B15023" s="31"/>
      <c r="G15023" s="272" t="s">
        <v>1099</v>
      </c>
    </row>
    <row r="15024">
      <c r="B15024" s="31"/>
      <c r="G15024" s="272" t="s">
        <v>1099</v>
      </c>
    </row>
    <row r="15025">
      <c r="B15025" s="31"/>
      <c r="G15025" s="272" t="s">
        <v>1099</v>
      </c>
    </row>
    <row r="15026">
      <c r="B15026" s="31"/>
      <c r="G15026" s="272" t="s">
        <v>1099</v>
      </c>
    </row>
    <row r="15027">
      <c r="B15027" s="31"/>
      <c r="G15027" s="272" t="s">
        <v>1099</v>
      </c>
    </row>
    <row r="15028">
      <c r="B15028" s="31"/>
      <c r="G15028" s="272" t="s">
        <v>1099</v>
      </c>
    </row>
    <row r="15029">
      <c r="B15029" s="31"/>
      <c r="G15029" s="272" t="s">
        <v>1099</v>
      </c>
    </row>
    <row r="15030">
      <c r="B15030" s="31"/>
      <c r="G15030" s="272" t="s">
        <v>1099</v>
      </c>
    </row>
    <row r="15031">
      <c r="B15031" s="31"/>
      <c r="G15031" s="272" t="s">
        <v>1099</v>
      </c>
    </row>
    <row r="15032">
      <c r="B15032" s="31"/>
      <c r="G15032" s="272" t="s">
        <v>1099</v>
      </c>
    </row>
    <row r="15033">
      <c r="B15033" s="31"/>
      <c r="G15033" s="272" t="s">
        <v>1099</v>
      </c>
    </row>
    <row r="15034">
      <c r="B15034" s="31"/>
      <c r="G15034" s="272" t="s">
        <v>1099</v>
      </c>
    </row>
    <row r="15035">
      <c r="B15035" s="31"/>
      <c r="G15035" s="272" t="s">
        <v>1099</v>
      </c>
    </row>
    <row r="15036">
      <c r="B15036" s="31"/>
      <c r="G15036" s="272" t="s">
        <v>1099</v>
      </c>
    </row>
    <row r="15037">
      <c r="B15037" s="31"/>
      <c r="G15037" s="272" t="s">
        <v>1099</v>
      </c>
    </row>
    <row r="15038">
      <c r="B15038" s="31"/>
      <c r="G15038" s="272" t="s">
        <v>1099</v>
      </c>
    </row>
    <row r="15039">
      <c r="B15039" s="31"/>
      <c r="G15039" s="272" t="s">
        <v>1099</v>
      </c>
    </row>
    <row r="15040">
      <c r="B15040" s="31"/>
      <c r="G15040" s="272" t="s">
        <v>1099</v>
      </c>
    </row>
    <row r="15041">
      <c r="B15041" s="31"/>
      <c r="G15041" s="272" t="s">
        <v>1099</v>
      </c>
    </row>
    <row r="15042">
      <c r="B15042" s="31"/>
      <c r="G15042" s="272" t="s">
        <v>1099</v>
      </c>
    </row>
    <row r="15043">
      <c r="B15043" s="31"/>
      <c r="G15043" s="272" t="s">
        <v>1099</v>
      </c>
    </row>
    <row r="15044">
      <c r="B15044" s="31"/>
      <c r="G15044" s="272" t="s">
        <v>1099</v>
      </c>
    </row>
    <row r="15045">
      <c r="B15045" s="31"/>
      <c r="G15045" s="272" t="s">
        <v>1099</v>
      </c>
    </row>
    <row r="15046">
      <c r="B15046" s="31"/>
      <c r="G15046" s="272" t="s">
        <v>1099</v>
      </c>
    </row>
    <row r="15047">
      <c r="B15047" s="31"/>
      <c r="G15047" s="272" t="s">
        <v>1099</v>
      </c>
    </row>
    <row r="15048">
      <c r="B15048" s="31"/>
      <c r="G15048" s="272" t="s">
        <v>1099</v>
      </c>
    </row>
    <row r="15049">
      <c r="B15049" s="31"/>
      <c r="G15049" s="272" t="s">
        <v>1099</v>
      </c>
    </row>
    <row r="15050">
      <c r="B15050" s="31"/>
      <c r="G15050" s="272" t="s">
        <v>1099</v>
      </c>
    </row>
    <row r="15051">
      <c r="B15051" s="31"/>
      <c r="G15051" s="272" t="s">
        <v>1099</v>
      </c>
    </row>
    <row r="15052">
      <c r="B15052" s="31"/>
      <c r="G15052" s="272" t="s">
        <v>1099</v>
      </c>
    </row>
    <row r="15053">
      <c r="B15053" s="31"/>
      <c r="G15053" s="272" t="s">
        <v>1099</v>
      </c>
    </row>
    <row r="15054">
      <c r="B15054" s="31"/>
      <c r="G15054" s="272" t="s">
        <v>1099</v>
      </c>
    </row>
    <row r="15055">
      <c r="B15055" s="31"/>
      <c r="G15055" s="272" t="s">
        <v>1099</v>
      </c>
    </row>
    <row r="15056">
      <c r="B15056" s="31"/>
      <c r="G15056" s="272" t="s">
        <v>1099</v>
      </c>
    </row>
    <row r="15057">
      <c r="B15057" s="31"/>
      <c r="G15057" s="272" t="s">
        <v>1099</v>
      </c>
    </row>
    <row r="15058">
      <c r="B15058" s="31"/>
      <c r="G15058" s="272" t="s">
        <v>1099</v>
      </c>
    </row>
    <row r="15059">
      <c r="B15059" s="31"/>
      <c r="G15059" s="272" t="s">
        <v>1099</v>
      </c>
    </row>
    <row r="15060">
      <c r="B15060" s="31"/>
      <c r="G15060" s="272" t="s">
        <v>1099</v>
      </c>
    </row>
    <row r="15061">
      <c r="B15061" s="31"/>
      <c r="G15061" s="272" t="s">
        <v>1099</v>
      </c>
    </row>
    <row r="15062">
      <c r="B15062" s="31"/>
      <c r="G15062" s="272" t="s">
        <v>1099</v>
      </c>
    </row>
    <row r="15063">
      <c r="B15063" s="31"/>
      <c r="G15063" s="272" t="s">
        <v>1099</v>
      </c>
    </row>
    <row r="15064">
      <c r="B15064" s="31"/>
      <c r="G15064" s="272" t="s">
        <v>1099</v>
      </c>
    </row>
    <row r="15065">
      <c r="B15065" s="31"/>
      <c r="G15065" s="272" t="s">
        <v>1099</v>
      </c>
    </row>
    <row r="15066">
      <c r="B15066" s="31"/>
      <c r="G15066" s="272" t="s">
        <v>1099</v>
      </c>
    </row>
    <row r="15067">
      <c r="B15067" s="31"/>
      <c r="G15067" s="272" t="s">
        <v>1099</v>
      </c>
    </row>
    <row r="15068">
      <c r="B15068" s="31"/>
      <c r="G15068" s="272" t="s">
        <v>1099</v>
      </c>
    </row>
    <row r="15069">
      <c r="B15069" s="31"/>
      <c r="G15069" s="272" t="s">
        <v>1099</v>
      </c>
    </row>
    <row r="15070">
      <c r="B15070" s="31"/>
      <c r="G15070" s="272" t="s">
        <v>1099</v>
      </c>
    </row>
    <row r="15071">
      <c r="B15071" s="31"/>
      <c r="G15071" s="272" t="s">
        <v>1099</v>
      </c>
    </row>
    <row r="15072">
      <c r="B15072" s="31"/>
      <c r="G15072" s="272" t="s">
        <v>1099</v>
      </c>
    </row>
    <row r="15073">
      <c r="B15073" s="31"/>
      <c r="G15073" s="272" t="s">
        <v>1099</v>
      </c>
    </row>
    <row r="15074">
      <c r="B15074" s="31"/>
      <c r="G15074" s="272" t="s">
        <v>1099</v>
      </c>
    </row>
    <row r="15075">
      <c r="B15075" s="31"/>
      <c r="G15075" s="272" t="s">
        <v>1099</v>
      </c>
    </row>
    <row r="15076">
      <c r="B15076" s="31"/>
      <c r="G15076" s="272" t="s">
        <v>1099</v>
      </c>
    </row>
    <row r="15077">
      <c r="B15077" s="31"/>
      <c r="G15077" s="272" t="s">
        <v>1099</v>
      </c>
    </row>
    <row r="15078">
      <c r="B15078" s="31"/>
      <c r="G15078" s="272" t="s">
        <v>1099</v>
      </c>
    </row>
    <row r="15079">
      <c r="B15079" s="31"/>
      <c r="G15079" s="272" t="s">
        <v>1099</v>
      </c>
    </row>
    <row r="15080">
      <c r="B15080" s="31"/>
      <c r="G15080" s="272" t="s">
        <v>1099</v>
      </c>
    </row>
    <row r="15081">
      <c r="B15081" s="31"/>
      <c r="G15081" s="272" t="s">
        <v>1099</v>
      </c>
    </row>
    <row r="15082">
      <c r="B15082" s="31"/>
      <c r="G15082" s="272" t="s">
        <v>1099</v>
      </c>
    </row>
    <row r="15083">
      <c r="B15083" s="31"/>
      <c r="G15083" s="272" t="s">
        <v>1099</v>
      </c>
    </row>
    <row r="15084">
      <c r="B15084" s="31"/>
      <c r="G15084" s="272" t="s">
        <v>1099</v>
      </c>
    </row>
    <row r="15085">
      <c r="B15085" s="31"/>
      <c r="G15085" s="272" t="s">
        <v>1099</v>
      </c>
    </row>
    <row r="15086">
      <c r="B15086" s="31"/>
      <c r="G15086" s="272" t="s">
        <v>1099</v>
      </c>
    </row>
    <row r="15087">
      <c r="B15087" s="31"/>
      <c r="G15087" s="272" t="s">
        <v>1099</v>
      </c>
    </row>
    <row r="15088">
      <c r="B15088" s="31"/>
      <c r="G15088" s="272" t="s">
        <v>1099</v>
      </c>
    </row>
    <row r="15089">
      <c r="B15089" s="31"/>
      <c r="G15089" s="272" t="s">
        <v>1099</v>
      </c>
    </row>
    <row r="15090">
      <c r="B15090" s="31"/>
      <c r="G15090" s="272" t="s">
        <v>1099</v>
      </c>
    </row>
    <row r="15091">
      <c r="B15091" s="31"/>
      <c r="G15091" s="272" t="s">
        <v>1099</v>
      </c>
    </row>
    <row r="15092">
      <c r="B15092" s="31"/>
      <c r="G15092" s="272" t="s">
        <v>1099</v>
      </c>
    </row>
    <row r="15093">
      <c r="B15093" s="31"/>
      <c r="G15093" s="272" t="s">
        <v>1099</v>
      </c>
    </row>
    <row r="15094">
      <c r="B15094" s="31"/>
      <c r="G15094" s="272" t="s">
        <v>1099</v>
      </c>
    </row>
    <row r="15095">
      <c r="B15095" s="31"/>
      <c r="G15095" s="272" t="s">
        <v>1099</v>
      </c>
    </row>
    <row r="15096">
      <c r="B15096" s="31"/>
      <c r="G15096" s="272" t="s">
        <v>1099</v>
      </c>
    </row>
    <row r="15097">
      <c r="B15097" s="31"/>
      <c r="G15097" s="272" t="s">
        <v>1099</v>
      </c>
    </row>
    <row r="15098">
      <c r="B15098" s="31"/>
      <c r="G15098" s="272" t="s">
        <v>1099</v>
      </c>
    </row>
    <row r="15099">
      <c r="B15099" s="31"/>
      <c r="G15099" s="272" t="s">
        <v>1099</v>
      </c>
    </row>
    <row r="15100">
      <c r="B15100" s="31"/>
      <c r="G15100" s="272" t="s">
        <v>1099</v>
      </c>
    </row>
    <row r="15101">
      <c r="B15101" s="31"/>
      <c r="G15101" s="272" t="s">
        <v>1099</v>
      </c>
    </row>
    <row r="15102">
      <c r="B15102" s="31"/>
      <c r="G15102" s="272" t="s">
        <v>1099</v>
      </c>
    </row>
    <row r="15103">
      <c r="B15103" s="31"/>
      <c r="G15103" s="272" t="s">
        <v>1099</v>
      </c>
    </row>
    <row r="15104">
      <c r="B15104" s="31"/>
      <c r="G15104" s="272" t="s">
        <v>1099</v>
      </c>
    </row>
    <row r="15105">
      <c r="B15105" s="31"/>
      <c r="G15105" s="272" t="s">
        <v>1099</v>
      </c>
    </row>
    <row r="15106">
      <c r="B15106" s="31"/>
      <c r="G15106" s="272" t="s">
        <v>1099</v>
      </c>
    </row>
    <row r="15107">
      <c r="B15107" s="31"/>
      <c r="G15107" s="272" t="s">
        <v>1099</v>
      </c>
    </row>
    <row r="15108">
      <c r="B15108" s="31"/>
      <c r="G15108" s="272" t="s">
        <v>1099</v>
      </c>
    </row>
    <row r="15109">
      <c r="B15109" s="31"/>
      <c r="G15109" s="272" t="s">
        <v>1099</v>
      </c>
    </row>
    <row r="15110">
      <c r="B15110" s="31"/>
      <c r="G15110" s="272" t="s">
        <v>1099</v>
      </c>
    </row>
    <row r="15111">
      <c r="B15111" s="31"/>
      <c r="G15111" s="272" t="s">
        <v>1099</v>
      </c>
    </row>
    <row r="15112">
      <c r="B15112" s="31"/>
      <c r="G15112" s="272" t="s">
        <v>1099</v>
      </c>
    </row>
    <row r="15113">
      <c r="B15113" s="31"/>
      <c r="G15113" s="272" t="s">
        <v>1099</v>
      </c>
    </row>
    <row r="15114">
      <c r="B15114" s="31"/>
      <c r="G15114" s="272" t="s">
        <v>1099</v>
      </c>
    </row>
    <row r="15115">
      <c r="B15115" s="31"/>
      <c r="G15115" s="272" t="s">
        <v>1099</v>
      </c>
    </row>
    <row r="15116">
      <c r="B15116" s="31"/>
      <c r="G15116" s="272" t="s">
        <v>1099</v>
      </c>
    </row>
    <row r="15117">
      <c r="B15117" s="31"/>
      <c r="G15117" s="272" t="s">
        <v>1099</v>
      </c>
    </row>
    <row r="15118">
      <c r="B15118" s="31"/>
      <c r="G15118" s="272" t="s">
        <v>1099</v>
      </c>
    </row>
    <row r="15119">
      <c r="B15119" s="31"/>
      <c r="G15119" s="272" t="s">
        <v>1099</v>
      </c>
    </row>
    <row r="15120">
      <c r="B15120" s="31"/>
      <c r="G15120" s="272" t="s">
        <v>1099</v>
      </c>
    </row>
    <row r="15121">
      <c r="B15121" s="31"/>
      <c r="G15121" s="272" t="s">
        <v>1099</v>
      </c>
    </row>
    <row r="15122">
      <c r="B15122" s="31"/>
      <c r="G15122" s="272" t="s">
        <v>1099</v>
      </c>
    </row>
    <row r="15123">
      <c r="B15123" s="31"/>
      <c r="G15123" s="272" t="s">
        <v>1099</v>
      </c>
    </row>
    <row r="15124">
      <c r="B15124" s="31"/>
      <c r="G15124" s="272" t="s">
        <v>1099</v>
      </c>
    </row>
    <row r="15125">
      <c r="B15125" s="31"/>
      <c r="G15125" s="272" t="s">
        <v>1099</v>
      </c>
    </row>
    <row r="15126">
      <c r="B15126" s="31"/>
      <c r="G15126" s="272" t="s">
        <v>1099</v>
      </c>
    </row>
    <row r="15127">
      <c r="B15127" s="31"/>
      <c r="G15127" s="272" t="s">
        <v>1099</v>
      </c>
    </row>
    <row r="15128">
      <c r="B15128" s="31"/>
      <c r="G15128" s="272" t="s">
        <v>1099</v>
      </c>
    </row>
    <row r="15129">
      <c r="B15129" s="31"/>
      <c r="G15129" s="272" t="s">
        <v>1099</v>
      </c>
    </row>
    <row r="15130">
      <c r="B15130" s="31"/>
      <c r="G15130" s="272" t="s">
        <v>1099</v>
      </c>
    </row>
    <row r="15131">
      <c r="B15131" s="31"/>
      <c r="G15131" s="272" t="s">
        <v>1099</v>
      </c>
    </row>
    <row r="15132">
      <c r="B15132" s="31"/>
      <c r="G15132" s="272" t="s">
        <v>1099</v>
      </c>
    </row>
    <row r="15133">
      <c r="B15133" s="31"/>
      <c r="G15133" s="272" t="s">
        <v>1099</v>
      </c>
    </row>
    <row r="15134">
      <c r="B15134" s="31"/>
      <c r="G15134" s="272" t="s">
        <v>1099</v>
      </c>
    </row>
    <row r="15135">
      <c r="B15135" s="31"/>
      <c r="G15135" s="272" t="s">
        <v>1099</v>
      </c>
    </row>
    <row r="15136">
      <c r="B15136" s="31"/>
      <c r="G15136" s="272" t="s">
        <v>1099</v>
      </c>
    </row>
    <row r="15137">
      <c r="B15137" s="31"/>
      <c r="G15137" s="272" t="s">
        <v>1099</v>
      </c>
    </row>
    <row r="15138">
      <c r="B15138" s="31"/>
      <c r="G15138" s="272" t="s">
        <v>1099</v>
      </c>
    </row>
    <row r="15139">
      <c r="B15139" s="31"/>
      <c r="G15139" s="272" t="s">
        <v>1099</v>
      </c>
    </row>
    <row r="15140">
      <c r="B15140" s="31"/>
      <c r="G15140" s="272" t="s">
        <v>1099</v>
      </c>
    </row>
    <row r="15141">
      <c r="B15141" s="31"/>
      <c r="G15141" s="272" t="s">
        <v>1099</v>
      </c>
    </row>
    <row r="15142">
      <c r="B15142" s="31"/>
      <c r="G15142" s="272" t="s">
        <v>1099</v>
      </c>
    </row>
    <row r="15143">
      <c r="B15143" s="31"/>
      <c r="G15143" s="272" t="s">
        <v>1099</v>
      </c>
    </row>
    <row r="15144">
      <c r="B15144" s="31"/>
      <c r="G15144" s="272" t="s">
        <v>1099</v>
      </c>
    </row>
    <row r="15145">
      <c r="B15145" s="31"/>
      <c r="G15145" s="272" t="s">
        <v>1099</v>
      </c>
    </row>
    <row r="15146">
      <c r="B15146" s="31"/>
      <c r="G15146" s="272" t="s">
        <v>1099</v>
      </c>
    </row>
    <row r="15147">
      <c r="B15147" s="31"/>
      <c r="G15147" s="272" t="s">
        <v>1099</v>
      </c>
    </row>
    <row r="15148">
      <c r="B15148" s="31"/>
      <c r="G15148" s="272" t="s">
        <v>1099</v>
      </c>
    </row>
    <row r="15149">
      <c r="B15149" s="31"/>
      <c r="G15149" s="272" t="s">
        <v>1099</v>
      </c>
    </row>
    <row r="15150">
      <c r="B15150" s="31"/>
      <c r="G15150" s="272" t="s">
        <v>1099</v>
      </c>
    </row>
    <row r="15151">
      <c r="B15151" s="31"/>
      <c r="G15151" s="272" t="s">
        <v>1099</v>
      </c>
    </row>
    <row r="15152">
      <c r="B15152" s="31"/>
      <c r="G15152" s="272" t="s">
        <v>1099</v>
      </c>
    </row>
    <row r="15153">
      <c r="B15153" s="31"/>
      <c r="G15153" s="272" t="s">
        <v>1099</v>
      </c>
    </row>
    <row r="15154">
      <c r="B15154" s="31"/>
      <c r="G15154" s="272" t="s">
        <v>1099</v>
      </c>
    </row>
    <row r="15155">
      <c r="B15155" s="31"/>
      <c r="G15155" s="272" t="s">
        <v>1099</v>
      </c>
    </row>
    <row r="15156">
      <c r="B15156" s="31"/>
      <c r="G15156" s="272" t="s">
        <v>1099</v>
      </c>
    </row>
    <row r="15157">
      <c r="B15157" s="31"/>
      <c r="G15157" s="272" t="s">
        <v>1099</v>
      </c>
    </row>
    <row r="15158">
      <c r="B15158" s="31"/>
      <c r="G15158" s="272" t="s">
        <v>1099</v>
      </c>
    </row>
    <row r="15159">
      <c r="B15159" s="31"/>
      <c r="G15159" s="272" t="s">
        <v>1099</v>
      </c>
    </row>
    <row r="15160">
      <c r="B15160" s="31"/>
      <c r="G15160" s="272" t="s">
        <v>1099</v>
      </c>
    </row>
    <row r="15161">
      <c r="B15161" s="31"/>
      <c r="G15161" s="272" t="s">
        <v>1099</v>
      </c>
    </row>
    <row r="15162">
      <c r="B15162" s="31"/>
      <c r="G15162" s="272" t="s">
        <v>1099</v>
      </c>
    </row>
    <row r="15163">
      <c r="B15163" s="31"/>
      <c r="G15163" s="272" t="s">
        <v>1099</v>
      </c>
    </row>
    <row r="15164">
      <c r="B15164" s="31"/>
      <c r="G15164" s="272" t="s">
        <v>1099</v>
      </c>
    </row>
    <row r="15165">
      <c r="B15165" s="31"/>
      <c r="G15165" s="272" t="s">
        <v>1099</v>
      </c>
    </row>
    <row r="15166">
      <c r="B15166" s="31"/>
      <c r="G15166" s="272" t="s">
        <v>1099</v>
      </c>
    </row>
    <row r="15167">
      <c r="B15167" s="31"/>
      <c r="G15167" s="272" t="s">
        <v>1099</v>
      </c>
    </row>
    <row r="15168">
      <c r="B15168" s="31"/>
      <c r="G15168" s="272" t="s">
        <v>1099</v>
      </c>
    </row>
    <row r="15169">
      <c r="B15169" s="31"/>
      <c r="G15169" s="272" t="s">
        <v>1099</v>
      </c>
    </row>
    <row r="15170">
      <c r="B15170" s="31"/>
      <c r="G15170" s="272" t="s">
        <v>1099</v>
      </c>
    </row>
    <row r="15171">
      <c r="B15171" s="31"/>
      <c r="G15171" s="272" t="s">
        <v>1099</v>
      </c>
    </row>
    <row r="15172">
      <c r="B15172" s="31"/>
      <c r="G15172" s="272" t="s">
        <v>1099</v>
      </c>
    </row>
    <row r="15173">
      <c r="B15173" s="31"/>
      <c r="G15173" s="272" t="s">
        <v>1099</v>
      </c>
    </row>
    <row r="15174">
      <c r="B15174" s="31"/>
      <c r="G15174" s="272" t="s">
        <v>1099</v>
      </c>
    </row>
    <row r="15175">
      <c r="B15175" s="31"/>
      <c r="G15175" s="272" t="s">
        <v>1099</v>
      </c>
    </row>
    <row r="15176">
      <c r="B15176" s="31"/>
      <c r="G15176" s="272" t="s">
        <v>1099</v>
      </c>
    </row>
    <row r="15177">
      <c r="B15177" s="31"/>
      <c r="G15177" s="272" t="s">
        <v>1099</v>
      </c>
    </row>
    <row r="15178">
      <c r="B15178" s="31"/>
      <c r="G15178" s="272" t="s">
        <v>1099</v>
      </c>
    </row>
    <row r="15179">
      <c r="B15179" s="31"/>
      <c r="G15179" s="272" t="s">
        <v>1099</v>
      </c>
    </row>
    <row r="15180">
      <c r="B15180" s="31"/>
      <c r="G15180" s="272" t="s">
        <v>1099</v>
      </c>
    </row>
    <row r="15181">
      <c r="B15181" s="31"/>
      <c r="G15181" s="272" t="s">
        <v>1099</v>
      </c>
    </row>
    <row r="15182">
      <c r="B15182" s="31"/>
      <c r="G15182" s="272" t="s">
        <v>1099</v>
      </c>
    </row>
    <row r="15183">
      <c r="B15183" s="31"/>
      <c r="G15183" s="272" t="s">
        <v>1099</v>
      </c>
    </row>
    <row r="15184">
      <c r="B15184" s="31"/>
      <c r="G15184" s="272" t="s">
        <v>1099</v>
      </c>
    </row>
    <row r="15185">
      <c r="B15185" s="31"/>
      <c r="G15185" s="272" t="s">
        <v>1099</v>
      </c>
    </row>
    <row r="15186">
      <c r="B15186" s="31"/>
      <c r="G15186" s="272" t="s">
        <v>1099</v>
      </c>
    </row>
    <row r="15187">
      <c r="B15187" s="31"/>
      <c r="G15187" s="272" t="s">
        <v>1099</v>
      </c>
    </row>
    <row r="15188">
      <c r="B15188" s="31"/>
      <c r="G15188" s="272" t="s">
        <v>1099</v>
      </c>
    </row>
    <row r="15189">
      <c r="B15189" s="31"/>
      <c r="G15189" s="272" t="s">
        <v>1099</v>
      </c>
    </row>
    <row r="15190">
      <c r="B15190" s="31"/>
      <c r="G15190" s="272" t="s">
        <v>1099</v>
      </c>
    </row>
    <row r="15191">
      <c r="B15191" s="31"/>
      <c r="G15191" s="272" t="s">
        <v>1099</v>
      </c>
    </row>
    <row r="15192">
      <c r="B15192" s="31"/>
      <c r="G15192" s="272" t="s">
        <v>1099</v>
      </c>
    </row>
    <row r="15193">
      <c r="B15193" s="31"/>
      <c r="G15193" s="272" t="s">
        <v>1099</v>
      </c>
    </row>
    <row r="15194">
      <c r="B15194" s="31"/>
      <c r="G15194" s="272" t="s">
        <v>1099</v>
      </c>
    </row>
    <row r="15195">
      <c r="B15195" s="31"/>
      <c r="G15195" s="272" t="s">
        <v>1099</v>
      </c>
    </row>
    <row r="15196">
      <c r="B15196" s="31"/>
      <c r="G15196" s="272" t="s">
        <v>1099</v>
      </c>
    </row>
    <row r="15197">
      <c r="B15197" s="31"/>
      <c r="G15197" s="272" t="s">
        <v>1099</v>
      </c>
    </row>
    <row r="15198">
      <c r="B15198" s="31"/>
      <c r="G15198" s="272" t="s">
        <v>1099</v>
      </c>
    </row>
    <row r="15199">
      <c r="B15199" s="31"/>
      <c r="G15199" s="272" t="s">
        <v>1099</v>
      </c>
    </row>
    <row r="15200">
      <c r="B15200" s="31"/>
      <c r="G15200" s="272" t="s">
        <v>1099</v>
      </c>
    </row>
    <row r="15201">
      <c r="B15201" s="31"/>
      <c r="G15201" s="272" t="s">
        <v>1099</v>
      </c>
    </row>
    <row r="15202">
      <c r="B15202" s="31"/>
      <c r="G15202" s="272" t="s">
        <v>1099</v>
      </c>
    </row>
    <row r="15203">
      <c r="B15203" s="31"/>
      <c r="G15203" s="272" t="s">
        <v>1099</v>
      </c>
    </row>
    <row r="15204">
      <c r="B15204" s="31"/>
      <c r="G15204" s="272" t="s">
        <v>1099</v>
      </c>
    </row>
    <row r="15205">
      <c r="B15205" s="31"/>
      <c r="G15205" s="272" t="s">
        <v>1099</v>
      </c>
    </row>
    <row r="15206">
      <c r="B15206" s="31"/>
      <c r="G15206" s="272" t="s">
        <v>1099</v>
      </c>
    </row>
    <row r="15207">
      <c r="B15207" s="31"/>
      <c r="G15207" s="272" t="s">
        <v>1099</v>
      </c>
    </row>
    <row r="15208">
      <c r="B15208" s="31"/>
      <c r="G15208" s="272" t="s">
        <v>1099</v>
      </c>
    </row>
    <row r="15209">
      <c r="B15209" s="31"/>
      <c r="G15209" s="272" t="s">
        <v>1099</v>
      </c>
    </row>
    <row r="15210">
      <c r="B15210" s="31"/>
      <c r="G15210" s="272" t="s">
        <v>1099</v>
      </c>
    </row>
    <row r="15211">
      <c r="B15211" s="31"/>
      <c r="G15211" s="272" t="s">
        <v>1099</v>
      </c>
    </row>
    <row r="15212">
      <c r="B15212" s="31"/>
      <c r="G15212" s="272" t="s">
        <v>1099</v>
      </c>
    </row>
    <row r="15213">
      <c r="B15213" s="31"/>
      <c r="G15213" s="272" t="s">
        <v>1099</v>
      </c>
    </row>
    <row r="15214">
      <c r="B15214" s="31"/>
      <c r="G15214" s="272" t="s">
        <v>1099</v>
      </c>
    </row>
    <row r="15215">
      <c r="B15215" s="31"/>
      <c r="G15215" s="272" t="s">
        <v>1099</v>
      </c>
    </row>
    <row r="15216">
      <c r="B15216" s="31"/>
      <c r="G15216" s="272" t="s">
        <v>1099</v>
      </c>
    </row>
    <row r="15217">
      <c r="B15217" s="31"/>
      <c r="G15217" s="272" t="s">
        <v>1099</v>
      </c>
    </row>
    <row r="15218">
      <c r="B15218" s="31"/>
      <c r="G15218" s="272" t="s">
        <v>1099</v>
      </c>
    </row>
    <row r="15219">
      <c r="B15219" s="31"/>
      <c r="G15219" s="272" t="s">
        <v>1099</v>
      </c>
    </row>
    <row r="15220">
      <c r="B15220" s="31"/>
      <c r="G15220" s="272" t="s">
        <v>1099</v>
      </c>
    </row>
    <row r="15221">
      <c r="B15221" s="31"/>
      <c r="G15221" s="272" t="s">
        <v>1099</v>
      </c>
    </row>
    <row r="15222">
      <c r="B15222" s="31"/>
      <c r="G15222" s="272" t="s">
        <v>1099</v>
      </c>
    </row>
    <row r="15223">
      <c r="B15223" s="31"/>
      <c r="G15223" s="272" t="s">
        <v>1099</v>
      </c>
    </row>
    <row r="15224">
      <c r="B15224" s="31"/>
      <c r="G15224" s="272" t="s">
        <v>1099</v>
      </c>
    </row>
    <row r="15225">
      <c r="B15225" s="31"/>
      <c r="G15225" s="272" t="s">
        <v>1099</v>
      </c>
    </row>
    <row r="15226">
      <c r="B15226" s="31"/>
      <c r="G15226" s="272" t="s">
        <v>1099</v>
      </c>
    </row>
    <row r="15227">
      <c r="B15227" s="31"/>
      <c r="G15227" s="272" t="s">
        <v>1099</v>
      </c>
    </row>
    <row r="15228">
      <c r="B15228" s="31"/>
      <c r="G15228" s="272" t="s">
        <v>1099</v>
      </c>
    </row>
    <row r="15229">
      <c r="B15229" s="31"/>
      <c r="G15229" s="272" t="s">
        <v>1099</v>
      </c>
    </row>
    <row r="15230">
      <c r="B15230" s="31"/>
      <c r="G15230" s="272" t="s">
        <v>1099</v>
      </c>
    </row>
    <row r="15231">
      <c r="B15231" s="31"/>
      <c r="G15231" s="272" t="s">
        <v>1099</v>
      </c>
    </row>
    <row r="15232">
      <c r="B15232" s="31"/>
      <c r="G15232" s="272" t="s">
        <v>1099</v>
      </c>
    </row>
    <row r="15233">
      <c r="B15233" s="31"/>
      <c r="G15233" s="272" t="s">
        <v>1099</v>
      </c>
    </row>
    <row r="15234">
      <c r="B15234" s="31"/>
      <c r="G15234" s="272" t="s">
        <v>1099</v>
      </c>
    </row>
    <row r="15235">
      <c r="B15235" s="31"/>
      <c r="G15235" s="272" t="s">
        <v>1099</v>
      </c>
    </row>
    <row r="15236">
      <c r="B15236" s="31"/>
      <c r="G15236" s="272" t="s">
        <v>1099</v>
      </c>
    </row>
    <row r="15237">
      <c r="B15237" s="31"/>
      <c r="G15237" s="272" t="s">
        <v>1099</v>
      </c>
    </row>
    <row r="15238">
      <c r="B15238" s="31"/>
      <c r="G15238" s="272" t="s">
        <v>1099</v>
      </c>
    </row>
    <row r="15239">
      <c r="B15239" s="31"/>
      <c r="G15239" s="272" t="s">
        <v>1099</v>
      </c>
    </row>
    <row r="15240">
      <c r="B15240" s="31"/>
      <c r="G15240" s="272" t="s">
        <v>1099</v>
      </c>
    </row>
    <row r="15241">
      <c r="B15241" s="31"/>
      <c r="G15241" s="272" t="s">
        <v>1099</v>
      </c>
    </row>
    <row r="15242">
      <c r="B15242" s="31"/>
      <c r="G15242" s="272" t="s">
        <v>1099</v>
      </c>
    </row>
    <row r="15243">
      <c r="B15243" s="31"/>
      <c r="G15243" s="272" t="s">
        <v>1099</v>
      </c>
    </row>
    <row r="15244">
      <c r="B15244" s="31"/>
      <c r="G15244" s="272" t="s">
        <v>1099</v>
      </c>
    </row>
    <row r="15245">
      <c r="B15245" s="31"/>
      <c r="G15245" s="272" t="s">
        <v>1099</v>
      </c>
    </row>
    <row r="15246">
      <c r="B15246" s="31"/>
      <c r="G15246" s="272" t="s">
        <v>1099</v>
      </c>
    </row>
    <row r="15247">
      <c r="B15247" s="31"/>
      <c r="G15247" s="272" t="s">
        <v>1099</v>
      </c>
    </row>
    <row r="15248">
      <c r="B15248" s="31"/>
      <c r="G15248" s="272" t="s">
        <v>1099</v>
      </c>
    </row>
    <row r="15249">
      <c r="B15249" s="31"/>
      <c r="G15249" s="272" t="s">
        <v>1099</v>
      </c>
    </row>
    <row r="15250">
      <c r="B15250" s="31"/>
      <c r="G15250" s="272" t="s">
        <v>1099</v>
      </c>
    </row>
    <row r="15251">
      <c r="B15251" s="31"/>
      <c r="G15251" s="272" t="s">
        <v>1099</v>
      </c>
    </row>
    <row r="15252">
      <c r="B15252" s="31"/>
      <c r="G15252" s="272" t="s">
        <v>1099</v>
      </c>
    </row>
    <row r="15253">
      <c r="B15253" s="31"/>
      <c r="G15253" s="272" t="s">
        <v>1099</v>
      </c>
    </row>
    <row r="15254">
      <c r="B15254" s="31"/>
      <c r="G15254" s="272" t="s">
        <v>1099</v>
      </c>
    </row>
    <row r="15255">
      <c r="B15255" s="31"/>
      <c r="G15255" s="272" t="s">
        <v>1099</v>
      </c>
    </row>
    <row r="15256">
      <c r="B15256" s="31"/>
      <c r="G15256" s="272" t="s">
        <v>1099</v>
      </c>
    </row>
    <row r="15257">
      <c r="B15257" s="31"/>
      <c r="G15257" s="272" t="s">
        <v>1099</v>
      </c>
    </row>
    <row r="15258">
      <c r="B15258" s="31"/>
      <c r="G15258" s="272" t="s">
        <v>1099</v>
      </c>
    </row>
    <row r="15259">
      <c r="B15259" s="31"/>
      <c r="G15259" s="272" t="s">
        <v>1099</v>
      </c>
    </row>
    <row r="15260">
      <c r="B15260" s="31"/>
      <c r="G15260" s="272" t="s">
        <v>1099</v>
      </c>
    </row>
    <row r="15261">
      <c r="B15261" s="31"/>
      <c r="G15261" s="272" t="s">
        <v>1099</v>
      </c>
    </row>
    <row r="15262">
      <c r="B15262" s="31"/>
      <c r="G15262" s="272" t="s">
        <v>1099</v>
      </c>
    </row>
    <row r="15263">
      <c r="B15263" s="31"/>
      <c r="G15263" s="272" t="s">
        <v>1099</v>
      </c>
    </row>
    <row r="15264">
      <c r="B15264" s="31"/>
      <c r="G15264" s="272" t="s">
        <v>1099</v>
      </c>
    </row>
    <row r="15265">
      <c r="B15265" s="31"/>
      <c r="G15265" s="272" t="s">
        <v>1099</v>
      </c>
    </row>
    <row r="15266">
      <c r="B15266" s="31"/>
      <c r="G15266" s="272" t="s">
        <v>1099</v>
      </c>
    </row>
    <row r="15267">
      <c r="B15267" s="31"/>
      <c r="G15267" s="272" t="s">
        <v>1099</v>
      </c>
    </row>
    <row r="15268">
      <c r="B15268" s="31"/>
      <c r="G15268" s="272" t="s">
        <v>1099</v>
      </c>
    </row>
    <row r="15269">
      <c r="B15269" s="31"/>
      <c r="G15269" s="272" t="s">
        <v>1099</v>
      </c>
    </row>
    <row r="15270">
      <c r="B15270" s="31"/>
      <c r="G15270" s="272" t="s">
        <v>1099</v>
      </c>
    </row>
    <row r="15271">
      <c r="B15271" s="31"/>
      <c r="G15271" s="272" t="s">
        <v>1099</v>
      </c>
    </row>
    <row r="15272">
      <c r="B15272" s="31"/>
      <c r="G15272" s="272" t="s">
        <v>1099</v>
      </c>
    </row>
    <row r="15273">
      <c r="B15273" s="31"/>
      <c r="G15273" s="272" t="s">
        <v>1099</v>
      </c>
    </row>
    <row r="15274">
      <c r="B15274" s="31"/>
      <c r="G15274" s="272" t="s">
        <v>1099</v>
      </c>
    </row>
    <row r="15275">
      <c r="B15275" s="31"/>
      <c r="G15275" s="272" t="s">
        <v>1099</v>
      </c>
    </row>
    <row r="15276">
      <c r="B15276" s="31"/>
      <c r="G15276" s="272" t="s">
        <v>1099</v>
      </c>
    </row>
    <row r="15277">
      <c r="B15277" s="31"/>
      <c r="G15277" s="272" t="s">
        <v>1099</v>
      </c>
    </row>
    <row r="15278">
      <c r="B15278" s="31"/>
      <c r="G15278" s="272" t="s">
        <v>1099</v>
      </c>
    </row>
    <row r="15279">
      <c r="B15279" s="31"/>
      <c r="G15279" s="272" t="s">
        <v>1099</v>
      </c>
    </row>
    <row r="15280">
      <c r="B15280" s="31"/>
      <c r="G15280" s="272" t="s">
        <v>1099</v>
      </c>
    </row>
    <row r="15281">
      <c r="B15281" s="31"/>
      <c r="G15281" s="272" t="s">
        <v>1099</v>
      </c>
    </row>
    <row r="15282">
      <c r="B15282" s="31"/>
      <c r="G15282" s="272" t="s">
        <v>1099</v>
      </c>
    </row>
    <row r="15283">
      <c r="B15283" s="31"/>
      <c r="G15283" s="272" t="s">
        <v>1099</v>
      </c>
    </row>
    <row r="15284">
      <c r="B15284" s="31"/>
      <c r="G15284" s="272" t="s">
        <v>1099</v>
      </c>
    </row>
    <row r="15285">
      <c r="B15285" s="31"/>
      <c r="G15285" s="272" t="s">
        <v>1099</v>
      </c>
    </row>
    <row r="15286">
      <c r="B15286" s="31"/>
      <c r="G15286" s="272" t="s">
        <v>1099</v>
      </c>
    </row>
    <row r="15287">
      <c r="B15287" s="31"/>
      <c r="G15287" s="272" t="s">
        <v>1099</v>
      </c>
    </row>
    <row r="15288">
      <c r="B15288" s="31"/>
      <c r="G15288" s="272" t="s">
        <v>1099</v>
      </c>
    </row>
    <row r="15289">
      <c r="B15289" s="31"/>
      <c r="G15289" s="272" t="s">
        <v>1099</v>
      </c>
    </row>
    <row r="15290">
      <c r="B15290" s="31"/>
      <c r="G15290" s="272" t="s">
        <v>1099</v>
      </c>
    </row>
    <row r="15291">
      <c r="B15291" s="31"/>
      <c r="G15291" s="272" t="s">
        <v>1099</v>
      </c>
    </row>
    <row r="15292">
      <c r="B15292" s="31"/>
      <c r="G15292" s="272" t="s">
        <v>1099</v>
      </c>
    </row>
    <row r="15293">
      <c r="B15293" s="31"/>
      <c r="G15293" s="272" t="s">
        <v>1099</v>
      </c>
    </row>
    <row r="15294">
      <c r="B15294" s="31"/>
      <c r="G15294" s="272" t="s">
        <v>1099</v>
      </c>
    </row>
    <row r="15295">
      <c r="B15295" s="31"/>
      <c r="G15295" s="272" t="s">
        <v>1099</v>
      </c>
    </row>
    <row r="15296">
      <c r="B15296" s="31"/>
      <c r="G15296" s="272" t="s">
        <v>1099</v>
      </c>
    </row>
    <row r="15297">
      <c r="B15297" s="31"/>
      <c r="G15297" s="272" t="s">
        <v>1099</v>
      </c>
    </row>
    <row r="15298">
      <c r="B15298" s="31"/>
      <c r="G15298" s="272" t="s">
        <v>1099</v>
      </c>
    </row>
    <row r="15299">
      <c r="B15299" s="31"/>
      <c r="G15299" s="272" t="s">
        <v>1099</v>
      </c>
    </row>
    <row r="15300">
      <c r="B15300" s="31"/>
      <c r="G15300" s="272" t="s">
        <v>1099</v>
      </c>
    </row>
    <row r="15301">
      <c r="B15301" s="31"/>
      <c r="G15301" s="272" t="s">
        <v>1099</v>
      </c>
    </row>
    <row r="15302">
      <c r="B15302" s="31"/>
      <c r="G15302" s="272" t="s">
        <v>1099</v>
      </c>
    </row>
    <row r="15303">
      <c r="B15303" s="31"/>
      <c r="G15303" s="272" t="s">
        <v>1099</v>
      </c>
    </row>
    <row r="15304">
      <c r="B15304" s="31"/>
      <c r="G15304" s="272" t="s">
        <v>1099</v>
      </c>
    </row>
    <row r="15305">
      <c r="B15305" s="31"/>
      <c r="G15305" s="272" t="s">
        <v>1099</v>
      </c>
    </row>
    <row r="15306">
      <c r="B15306" s="31"/>
      <c r="G15306" s="272" t="s">
        <v>1099</v>
      </c>
    </row>
    <row r="15307">
      <c r="B15307" s="31"/>
      <c r="G15307" s="272" t="s">
        <v>1099</v>
      </c>
    </row>
    <row r="15308">
      <c r="B15308" s="31"/>
      <c r="G15308" s="272" t="s">
        <v>1099</v>
      </c>
    </row>
    <row r="15309">
      <c r="B15309" s="31"/>
      <c r="G15309" s="272" t="s">
        <v>1099</v>
      </c>
    </row>
    <row r="15310">
      <c r="B15310" s="31"/>
      <c r="G15310" s="272" t="s">
        <v>1099</v>
      </c>
    </row>
    <row r="15311">
      <c r="B15311" s="31"/>
      <c r="G15311" s="272" t="s">
        <v>1099</v>
      </c>
    </row>
    <row r="15312">
      <c r="B15312" s="31"/>
      <c r="G15312" s="272" t="s">
        <v>1099</v>
      </c>
    </row>
    <row r="15313">
      <c r="B15313" s="31"/>
      <c r="G15313" s="272" t="s">
        <v>1099</v>
      </c>
    </row>
    <row r="15314">
      <c r="B15314" s="31"/>
      <c r="G15314" s="272" t="s">
        <v>1099</v>
      </c>
    </row>
    <row r="15315">
      <c r="B15315" s="31"/>
      <c r="G15315" s="272" t="s">
        <v>1099</v>
      </c>
    </row>
    <row r="15316">
      <c r="B15316" s="31"/>
      <c r="G15316" s="272" t="s">
        <v>1099</v>
      </c>
    </row>
    <row r="15317">
      <c r="B15317" s="31"/>
      <c r="G15317" s="272" t="s">
        <v>1099</v>
      </c>
    </row>
    <row r="15318">
      <c r="B15318" s="31"/>
      <c r="G15318" s="272" t="s">
        <v>1099</v>
      </c>
    </row>
    <row r="15319">
      <c r="B15319" s="31"/>
      <c r="G15319" s="272" t="s">
        <v>1099</v>
      </c>
    </row>
    <row r="15320">
      <c r="B15320" s="31"/>
      <c r="G15320" s="272" t="s">
        <v>1099</v>
      </c>
    </row>
    <row r="15321">
      <c r="B15321" s="31"/>
      <c r="G15321" s="272" t="s">
        <v>1099</v>
      </c>
    </row>
    <row r="15322">
      <c r="B15322" s="31"/>
      <c r="G15322" s="272" t="s">
        <v>1099</v>
      </c>
    </row>
    <row r="15323">
      <c r="B15323" s="31"/>
      <c r="G15323" s="272" t="s">
        <v>1099</v>
      </c>
    </row>
    <row r="15324">
      <c r="B15324" s="31"/>
      <c r="G15324" s="272" t="s">
        <v>1099</v>
      </c>
    </row>
    <row r="15325">
      <c r="B15325" s="31"/>
      <c r="G15325" s="272" t="s">
        <v>1099</v>
      </c>
    </row>
    <row r="15326">
      <c r="B15326" s="31"/>
      <c r="G15326" s="272" t="s">
        <v>1099</v>
      </c>
    </row>
    <row r="15327">
      <c r="B15327" s="31"/>
      <c r="G15327" s="272" t="s">
        <v>1099</v>
      </c>
    </row>
    <row r="15328">
      <c r="B15328" s="31"/>
      <c r="G15328" s="272" t="s">
        <v>1099</v>
      </c>
    </row>
    <row r="15329">
      <c r="B15329" s="31"/>
      <c r="G15329" s="272" t="s">
        <v>1099</v>
      </c>
    </row>
    <row r="15330">
      <c r="B15330" s="31"/>
      <c r="G15330" s="272" t="s">
        <v>1099</v>
      </c>
    </row>
    <row r="15331">
      <c r="B15331" s="31"/>
      <c r="G15331" s="272" t="s">
        <v>1099</v>
      </c>
    </row>
    <row r="15332">
      <c r="B15332" s="31"/>
      <c r="G15332" s="272" t="s">
        <v>1099</v>
      </c>
    </row>
    <row r="15333">
      <c r="B15333" s="31"/>
      <c r="G15333" s="272" t="s">
        <v>1099</v>
      </c>
    </row>
    <row r="15334">
      <c r="B15334" s="31"/>
      <c r="G15334" s="272" t="s">
        <v>1099</v>
      </c>
    </row>
    <row r="15335">
      <c r="B15335" s="31"/>
      <c r="G15335" s="272" t="s">
        <v>1099</v>
      </c>
    </row>
    <row r="15336">
      <c r="B15336" s="31"/>
      <c r="G15336" s="272" t="s">
        <v>1099</v>
      </c>
    </row>
    <row r="15337">
      <c r="B15337" s="31"/>
      <c r="G15337" s="272" t="s">
        <v>1099</v>
      </c>
    </row>
    <row r="15338">
      <c r="B15338" s="31"/>
      <c r="G15338" s="272" t="s">
        <v>1099</v>
      </c>
    </row>
    <row r="15339">
      <c r="B15339" s="31"/>
      <c r="G15339" s="272" t="s">
        <v>1099</v>
      </c>
    </row>
    <row r="15340">
      <c r="B15340" s="31"/>
      <c r="G15340" s="272" t="s">
        <v>1099</v>
      </c>
    </row>
    <row r="15341">
      <c r="B15341" s="31"/>
      <c r="G15341" s="272" t="s">
        <v>1099</v>
      </c>
    </row>
    <row r="15342">
      <c r="B15342" s="31"/>
      <c r="G15342" s="272" t="s">
        <v>1099</v>
      </c>
    </row>
    <row r="15343">
      <c r="B15343" s="31"/>
      <c r="G15343" s="272" t="s">
        <v>1099</v>
      </c>
    </row>
    <row r="15344">
      <c r="B15344" s="31"/>
      <c r="G15344" s="272" t="s">
        <v>1099</v>
      </c>
    </row>
    <row r="15345">
      <c r="B15345" s="31"/>
      <c r="G15345" s="272" t="s">
        <v>1099</v>
      </c>
    </row>
    <row r="15346">
      <c r="B15346" s="31"/>
      <c r="G15346" s="272" t="s">
        <v>1099</v>
      </c>
    </row>
    <row r="15347">
      <c r="B15347" s="31"/>
      <c r="G15347" s="272" t="s">
        <v>1099</v>
      </c>
    </row>
    <row r="15348">
      <c r="B15348" s="31"/>
      <c r="G15348" s="272" t="s">
        <v>1099</v>
      </c>
    </row>
    <row r="15349">
      <c r="B15349" s="31"/>
      <c r="G15349" s="272" t="s">
        <v>1099</v>
      </c>
    </row>
    <row r="15350">
      <c r="B15350" s="31"/>
      <c r="G15350" s="272" t="s">
        <v>1099</v>
      </c>
    </row>
    <row r="15351">
      <c r="B15351" s="31"/>
      <c r="G15351" s="272" t="s">
        <v>1099</v>
      </c>
    </row>
    <row r="15352">
      <c r="B15352" s="31"/>
      <c r="G15352" s="272" t="s">
        <v>1099</v>
      </c>
    </row>
    <row r="15353">
      <c r="B15353" s="31"/>
      <c r="G15353" s="272" t="s">
        <v>1099</v>
      </c>
    </row>
    <row r="15354">
      <c r="B15354" s="31"/>
      <c r="G15354" s="272" t="s">
        <v>1099</v>
      </c>
    </row>
    <row r="15355">
      <c r="B15355" s="31"/>
      <c r="G15355" s="272" t="s">
        <v>1099</v>
      </c>
    </row>
    <row r="15356">
      <c r="B15356" s="31"/>
      <c r="G15356" s="272" t="s">
        <v>1099</v>
      </c>
    </row>
    <row r="15357">
      <c r="B15357" s="31"/>
      <c r="G15357" s="272" t="s">
        <v>1099</v>
      </c>
    </row>
    <row r="15358">
      <c r="B15358" s="31"/>
      <c r="G15358" s="272" t="s">
        <v>1099</v>
      </c>
    </row>
    <row r="15359">
      <c r="B15359" s="31"/>
      <c r="G15359" s="272" t="s">
        <v>1099</v>
      </c>
    </row>
    <row r="15360">
      <c r="B15360" s="31"/>
      <c r="G15360" s="272" t="s">
        <v>1099</v>
      </c>
    </row>
    <row r="15361">
      <c r="B15361" s="31"/>
      <c r="G15361" s="272" t="s">
        <v>1099</v>
      </c>
    </row>
    <row r="15362">
      <c r="B15362" s="31"/>
      <c r="G15362" s="272" t="s">
        <v>1099</v>
      </c>
    </row>
    <row r="15363">
      <c r="B15363" s="31"/>
      <c r="G15363" s="272" t="s">
        <v>1099</v>
      </c>
    </row>
    <row r="15364">
      <c r="B15364" s="31"/>
      <c r="G15364" s="272" t="s">
        <v>1099</v>
      </c>
    </row>
    <row r="15365">
      <c r="B15365" s="31"/>
      <c r="G15365" s="272" t="s">
        <v>1099</v>
      </c>
    </row>
    <row r="15366">
      <c r="B15366" s="31"/>
      <c r="G15366" s="272" t="s">
        <v>1099</v>
      </c>
    </row>
    <row r="15367">
      <c r="B15367" s="31"/>
      <c r="G15367" s="272" t="s">
        <v>1099</v>
      </c>
    </row>
    <row r="15368">
      <c r="B15368" s="31"/>
      <c r="G15368" s="272" t="s">
        <v>1099</v>
      </c>
    </row>
    <row r="15369">
      <c r="B15369" s="31"/>
      <c r="G15369" s="272" t="s">
        <v>1099</v>
      </c>
    </row>
    <row r="15370">
      <c r="B15370" s="31"/>
      <c r="G15370" s="272" t="s">
        <v>1099</v>
      </c>
    </row>
    <row r="15371">
      <c r="B15371" s="31"/>
      <c r="G15371" s="272" t="s">
        <v>1099</v>
      </c>
    </row>
    <row r="15372">
      <c r="B15372" s="31"/>
      <c r="G15372" s="272" t="s">
        <v>1099</v>
      </c>
    </row>
    <row r="15373">
      <c r="B15373" s="31"/>
      <c r="G15373" s="272" t="s">
        <v>1099</v>
      </c>
    </row>
    <row r="15374">
      <c r="B15374" s="31"/>
      <c r="G15374" s="272" t="s">
        <v>1099</v>
      </c>
    </row>
    <row r="15375">
      <c r="B15375" s="31"/>
      <c r="G15375" s="272" t="s">
        <v>1099</v>
      </c>
    </row>
    <row r="15376">
      <c r="B15376" s="31"/>
      <c r="G15376" s="272" t="s">
        <v>1099</v>
      </c>
    </row>
    <row r="15377">
      <c r="B15377" s="31"/>
      <c r="G15377" s="272" t="s">
        <v>1099</v>
      </c>
    </row>
    <row r="15378">
      <c r="B15378" s="31"/>
      <c r="G15378" s="272" t="s">
        <v>1099</v>
      </c>
    </row>
    <row r="15379">
      <c r="B15379" s="31"/>
      <c r="G15379" s="272" t="s">
        <v>1099</v>
      </c>
    </row>
    <row r="15380">
      <c r="B15380" s="31"/>
      <c r="G15380" s="272" t="s">
        <v>1099</v>
      </c>
    </row>
    <row r="15381">
      <c r="B15381" s="31"/>
      <c r="G15381" s="272" t="s">
        <v>1099</v>
      </c>
    </row>
    <row r="15382">
      <c r="B15382" s="31"/>
      <c r="G15382" s="272" t="s">
        <v>1099</v>
      </c>
    </row>
    <row r="15383">
      <c r="B15383" s="31"/>
      <c r="G15383" s="272" t="s">
        <v>1099</v>
      </c>
    </row>
    <row r="15384">
      <c r="B15384" s="31"/>
      <c r="G15384" s="272" t="s">
        <v>1099</v>
      </c>
    </row>
    <row r="15385">
      <c r="B15385" s="31"/>
      <c r="G15385" s="272" t="s">
        <v>1099</v>
      </c>
    </row>
    <row r="15386">
      <c r="B15386" s="31"/>
      <c r="G15386" s="272" t="s">
        <v>1099</v>
      </c>
    </row>
    <row r="15387">
      <c r="B15387" s="31"/>
      <c r="G15387" s="272" t="s">
        <v>1099</v>
      </c>
    </row>
    <row r="15388">
      <c r="B15388" s="31"/>
      <c r="G15388" s="272" t="s">
        <v>1099</v>
      </c>
    </row>
    <row r="15389">
      <c r="B15389" s="31"/>
      <c r="G15389" s="272" t="s">
        <v>1099</v>
      </c>
    </row>
    <row r="15390">
      <c r="B15390" s="31"/>
      <c r="G15390" s="272" t="s">
        <v>1099</v>
      </c>
    </row>
    <row r="15391">
      <c r="B15391" s="31"/>
      <c r="G15391" s="272" t="s">
        <v>1099</v>
      </c>
    </row>
    <row r="15392">
      <c r="B15392" s="31"/>
      <c r="G15392" s="272" t="s">
        <v>1099</v>
      </c>
    </row>
    <row r="15393">
      <c r="B15393" s="31"/>
      <c r="G15393" s="272" t="s">
        <v>1099</v>
      </c>
    </row>
    <row r="15394">
      <c r="B15394" s="31"/>
      <c r="G15394" s="272" t="s">
        <v>1099</v>
      </c>
    </row>
    <row r="15395">
      <c r="B15395" s="31"/>
      <c r="G15395" s="272" t="s">
        <v>1099</v>
      </c>
    </row>
    <row r="15396">
      <c r="B15396" s="31"/>
      <c r="G15396" s="272" t="s">
        <v>1099</v>
      </c>
    </row>
    <row r="15397">
      <c r="B15397" s="31"/>
      <c r="G15397" s="272" t="s">
        <v>1099</v>
      </c>
    </row>
    <row r="15398">
      <c r="B15398" s="31"/>
      <c r="G15398" s="272" t="s">
        <v>1099</v>
      </c>
    </row>
    <row r="15399">
      <c r="B15399" s="31"/>
      <c r="G15399" s="272" t="s">
        <v>1099</v>
      </c>
    </row>
    <row r="15400">
      <c r="B15400" s="31"/>
      <c r="G15400" s="272" t="s">
        <v>1099</v>
      </c>
    </row>
    <row r="15401">
      <c r="B15401" s="31"/>
      <c r="G15401" s="272" t="s">
        <v>1099</v>
      </c>
    </row>
    <row r="15402">
      <c r="B15402" s="31"/>
      <c r="G15402" s="272" t="s">
        <v>1099</v>
      </c>
    </row>
    <row r="15403">
      <c r="B15403" s="31"/>
      <c r="G15403" s="272" t="s">
        <v>1099</v>
      </c>
    </row>
    <row r="15404">
      <c r="B15404" s="31"/>
      <c r="G15404" s="272" t="s">
        <v>1099</v>
      </c>
    </row>
    <row r="15405">
      <c r="B15405" s="31"/>
      <c r="G15405" s="272" t="s">
        <v>1099</v>
      </c>
    </row>
    <row r="15406">
      <c r="B15406" s="31"/>
      <c r="G15406" s="272" t="s">
        <v>1099</v>
      </c>
    </row>
    <row r="15407">
      <c r="B15407" s="31"/>
      <c r="G15407" s="272" t="s">
        <v>1099</v>
      </c>
    </row>
    <row r="15408">
      <c r="B15408" s="31"/>
      <c r="G15408" s="272" t="s">
        <v>1099</v>
      </c>
    </row>
    <row r="15409">
      <c r="B15409" s="31"/>
      <c r="G15409" s="272" t="s">
        <v>1099</v>
      </c>
    </row>
    <row r="15410">
      <c r="B15410" s="31"/>
      <c r="G15410" s="272" t="s">
        <v>1099</v>
      </c>
    </row>
    <row r="15411">
      <c r="B15411" s="31"/>
      <c r="G15411" s="272" t="s">
        <v>1099</v>
      </c>
    </row>
    <row r="15412">
      <c r="B15412" s="31"/>
      <c r="G15412" s="272" t="s">
        <v>1099</v>
      </c>
    </row>
    <row r="15413">
      <c r="B15413" s="31"/>
      <c r="G15413" s="272" t="s">
        <v>1099</v>
      </c>
    </row>
    <row r="15414">
      <c r="B15414" s="31"/>
      <c r="G15414" s="272" t="s">
        <v>1099</v>
      </c>
    </row>
    <row r="15415">
      <c r="B15415" s="31"/>
      <c r="G15415" s="272" t="s">
        <v>1099</v>
      </c>
    </row>
    <row r="15416">
      <c r="B15416" s="31"/>
      <c r="G15416" s="272" t="s">
        <v>1099</v>
      </c>
    </row>
    <row r="15417">
      <c r="B15417" s="31"/>
      <c r="G15417" s="272" t="s">
        <v>1099</v>
      </c>
    </row>
    <row r="15418">
      <c r="B15418" s="31"/>
      <c r="G15418" s="272" t="s">
        <v>1099</v>
      </c>
    </row>
    <row r="15419">
      <c r="B15419" s="31"/>
      <c r="G15419" s="272" t="s">
        <v>1099</v>
      </c>
    </row>
    <row r="15420">
      <c r="B15420" s="31"/>
      <c r="G15420" s="272" t="s">
        <v>1099</v>
      </c>
    </row>
    <row r="15421">
      <c r="B15421" s="31"/>
      <c r="G15421" s="272" t="s">
        <v>1099</v>
      </c>
    </row>
    <row r="15422">
      <c r="B15422" s="31"/>
      <c r="G15422" s="272" t="s">
        <v>1099</v>
      </c>
    </row>
    <row r="15423">
      <c r="B15423" s="31"/>
      <c r="G15423" s="272" t="s">
        <v>1099</v>
      </c>
    </row>
    <row r="15424">
      <c r="B15424" s="31"/>
      <c r="G15424" s="272" t="s">
        <v>1099</v>
      </c>
    </row>
    <row r="15425">
      <c r="B15425" s="31"/>
      <c r="G15425" s="272" t="s">
        <v>1099</v>
      </c>
    </row>
    <row r="15426">
      <c r="B15426" s="31"/>
      <c r="G15426" s="272" t="s">
        <v>1099</v>
      </c>
    </row>
    <row r="15427">
      <c r="B15427" s="31"/>
      <c r="G15427" s="272" t="s">
        <v>1099</v>
      </c>
    </row>
    <row r="15428">
      <c r="B15428" s="31"/>
      <c r="G15428" s="272" t="s">
        <v>1099</v>
      </c>
    </row>
    <row r="15429">
      <c r="B15429" s="31"/>
      <c r="G15429" s="272" t="s">
        <v>1099</v>
      </c>
    </row>
    <row r="15430">
      <c r="B15430" s="31"/>
      <c r="G15430" s="272" t="s">
        <v>1099</v>
      </c>
    </row>
    <row r="15431">
      <c r="B15431" s="31"/>
      <c r="G15431" s="272" t="s">
        <v>1099</v>
      </c>
    </row>
    <row r="15432">
      <c r="B15432" s="31"/>
      <c r="G15432" s="272" t="s">
        <v>1099</v>
      </c>
    </row>
    <row r="15433">
      <c r="B15433" s="31"/>
      <c r="G15433" s="272" t="s">
        <v>1099</v>
      </c>
    </row>
    <row r="15434">
      <c r="B15434" s="31"/>
      <c r="G15434" s="272" t="s">
        <v>1099</v>
      </c>
    </row>
    <row r="15435">
      <c r="B15435" s="31"/>
      <c r="G15435" s="272" t="s">
        <v>1099</v>
      </c>
    </row>
    <row r="15436">
      <c r="B15436" s="31"/>
      <c r="G15436" s="272" t="s">
        <v>1099</v>
      </c>
    </row>
    <row r="15437">
      <c r="B15437" s="31"/>
      <c r="G15437" s="272" t="s">
        <v>1099</v>
      </c>
    </row>
    <row r="15438">
      <c r="B15438" s="31"/>
      <c r="G15438" s="272" t="s">
        <v>1099</v>
      </c>
    </row>
    <row r="15439">
      <c r="B15439" s="31"/>
      <c r="G15439" s="272" t="s">
        <v>1099</v>
      </c>
    </row>
    <row r="15440">
      <c r="B15440" s="31"/>
      <c r="G15440" s="272" t="s">
        <v>1099</v>
      </c>
    </row>
    <row r="15441">
      <c r="B15441" s="31"/>
      <c r="G15441" s="272" t="s">
        <v>1099</v>
      </c>
    </row>
    <row r="15442">
      <c r="B15442" s="31"/>
      <c r="G15442" s="272" t="s">
        <v>1099</v>
      </c>
    </row>
    <row r="15443">
      <c r="B15443" s="31"/>
      <c r="G15443" s="272" t="s">
        <v>1099</v>
      </c>
    </row>
    <row r="15444">
      <c r="B15444" s="31"/>
      <c r="G15444" s="272" t="s">
        <v>1099</v>
      </c>
    </row>
    <row r="15445">
      <c r="B15445" s="31"/>
      <c r="G15445" s="272" t="s">
        <v>1099</v>
      </c>
    </row>
    <row r="15446">
      <c r="B15446" s="31"/>
      <c r="G15446" s="272" t="s">
        <v>1099</v>
      </c>
    </row>
    <row r="15447">
      <c r="B15447" s="31"/>
      <c r="G15447" s="272" t="s">
        <v>1099</v>
      </c>
    </row>
    <row r="15448">
      <c r="B15448" s="31"/>
      <c r="G15448" s="272" t="s">
        <v>1099</v>
      </c>
    </row>
    <row r="15449">
      <c r="B15449" s="31"/>
      <c r="G15449" s="272" t="s">
        <v>1099</v>
      </c>
    </row>
    <row r="15450">
      <c r="B15450" s="31"/>
      <c r="G15450" s="272" t="s">
        <v>1099</v>
      </c>
    </row>
    <row r="15451">
      <c r="B15451" s="31"/>
      <c r="G15451" s="272" t="s">
        <v>1099</v>
      </c>
    </row>
    <row r="15452">
      <c r="B15452" s="31"/>
      <c r="G15452" s="272" t="s">
        <v>1099</v>
      </c>
    </row>
    <row r="15453">
      <c r="B15453" s="31"/>
      <c r="G15453" s="272" t="s">
        <v>1099</v>
      </c>
    </row>
    <row r="15454">
      <c r="B15454" s="31"/>
      <c r="G15454" s="272" t="s">
        <v>1099</v>
      </c>
    </row>
    <row r="15455">
      <c r="B15455" s="31"/>
      <c r="G15455" s="272" t="s">
        <v>1099</v>
      </c>
    </row>
    <row r="15456">
      <c r="B15456" s="31"/>
      <c r="G15456" s="272" t="s">
        <v>1099</v>
      </c>
    </row>
    <row r="15457">
      <c r="B15457" s="31"/>
      <c r="G15457" s="272" t="s">
        <v>1099</v>
      </c>
    </row>
    <row r="15458">
      <c r="B15458" s="31"/>
      <c r="G15458" s="272" t="s">
        <v>1099</v>
      </c>
    </row>
    <row r="15459">
      <c r="B15459" s="31"/>
      <c r="G15459" s="272" t="s">
        <v>1099</v>
      </c>
    </row>
    <row r="15460">
      <c r="B15460" s="31"/>
      <c r="G15460" s="272" t="s">
        <v>1099</v>
      </c>
    </row>
    <row r="15461">
      <c r="B15461" s="31"/>
      <c r="G15461" s="272" t="s">
        <v>1099</v>
      </c>
    </row>
    <row r="15462">
      <c r="B15462" s="31"/>
      <c r="G15462" s="272" t="s">
        <v>1099</v>
      </c>
    </row>
    <row r="15463">
      <c r="B15463" s="31"/>
      <c r="G15463" s="272" t="s">
        <v>1099</v>
      </c>
    </row>
    <row r="15464">
      <c r="B15464" s="31"/>
      <c r="G15464" s="272" t="s">
        <v>1099</v>
      </c>
    </row>
    <row r="15465">
      <c r="B15465" s="31"/>
      <c r="G15465" s="272" t="s">
        <v>1099</v>
      </c>
    </row>
    <row r="15466">
      <c r="B15466" s="31"/>
      <c r="G15466" s="272" t="s">
        <v>1099</v>
      </c>
    </row>
    <row r="15467">
      <c r="B15467" s="31"/>
      <c r="G15467" s="272" t="s">
        <v>1099</v>
      </c>
    </row>
    <row r="15468">
      <c r="B15468" s="31"/>
      <c r="G15468" s="272" t="s">
        <v>1099</v>
      </c>
    </row>
    <row r="15469">
      <c r="B15469" s="31"/>
      <c r="G15469" s="272" t="s">
        <v>1099</v>
      </c>
    </row>
    <row r="15470">
      <c r="B15470" s="31"/>
      <c r="G15470" s="272" t="s">
        <v>1099</v>
      </c>
    </row>
    <row r="15471">
      <c r="B15471" s="31"/>
      <c r="G15471" s="272" t="s">
        <v>1099</v>
      </c>
    </row>
    <row r="15472">
      <c r="B15472" s="31"/>
      <c r="G15472" s="272" t="s">
        <v>1099</v>
      </c>
    </row>
    <row r="15473">
      <c r="B15473" s="31"/>
      <c r="G15473" s="272" t="s">
        <v>1099</v>
      </c>
    </row>
    <row r="15474">
      <c r="B15474" s="31"/>
      <c r="G15474" s="272" t="s">
        <v>1099</v>
      </c>
    </row>
    <row r="15475">
      <c r="B15475" s="31"/>
      <c r="G15475" s="272" t="s">
        <v>1099</v>
      </c>
    </row>
    <row r="15476">
      <c r="B15476" s="31"/>
      <c r="G15476" s="272" t="s">
        <v>1099</v>
      </c>
    </row>
    <row r="15477">
      <c r="B15477" s="31"/>
      <c r="G15477" s="272" t="s">
        <v>1099</v>
      </c>
    </row>
    <row r="15478">
      <c r="B15478" s="31"/>
      <c r="G15478" s="272" t="s">
        <v>1099</v>
      </c>
    </row>
    <row r="15479">
      <c r="B15479" s="31"/>
      <c r="G15479" s="272" t="s">
        <v>1099</v>
      </c>
    </row>
    <row r="15480">
      <c r="B15480" s="31"/>
      <c r="G15480" s="272" t="s">
        <v>1099</v>
      </c>
    </row>
    <row r="15481">
      <c r="B15481" s="31"/>
      <c r="G15481" s="272" t="s">
        <v>1099</v>
      </c>
    </row>
    <row r="15482">
      <c r="B15482" s="31"/>
      <c r="G15482" s="272" t="s">
        <v>1099</v>
      </c>
    </row>
    <row r="15483">
      <c r="B15483" s="31"/>
      <c r="G15483" s="272" t="s">
        <v>1099</v>
      </c>
    </row>
    <row r="15484">
      <c r="B15484" s="31"/>
      <c r="G15484" s="272" t="s">
        <v>1099</v>
      </c>
    </row>
    <row r="15485">
      <c r="B15485" s="31"/>
      <c r="G15485" s="272" t="s">
        <v>1099</v>
      </c>
    </row>
    <row r="15486">
      <c r="B15486" s="31"/>
      <c r="G15486" s="272" t="s">
        <v>1099</v>
      </c>
    </row>
    <row r="15487">
      <c r="B15487" s="31"/>
      <c r="G15487" s="272" t="s">
        <v>1099</v>
      </c>
    </row>
    <row r="15488">
      <c r="B15488" s="31"/>
      <c r="G15488" s="272" t="s">
        <v>1099</v>
      </c>
    </row>
    <row r="15489">
      <c r="B15489" s="31"/>
      <c r="G15489" s="272" t="s">
        <v>1099</v>
      </c>
    </row>
    <row r="15490">
      <c r="B15490" s="31"/>
      <c r="G15490" s="272" t="s">
        <v>1099</v>
      </c>
    </row>
    <row r="15491">
      <c r="B15491" s="31"/>
      <c r="G15491" s="272" t="s">
        <v>1099</v>
      </c>
    </row>
    <row r="15492">
      <c r="B15492" s="31"/>
      <c r="G15492" s="272" t="s">
        <v>1099</v>
      </c>
    </row>
    <row r="15493">
      <c r="B15493" s="31"/>
      <c r="G15493" s="272" t="s">
        <v>1099</v>
      </c>
    </row>
    <row r="15494">
      <c r="B15494" s="31"/>
      <c r="G15494" s="272" t="s">
        <v>1099</v>
      </c>
    </row>
    <row r="15495">
      <c r="B15495" s="31"/>
      <c r="G15495" s="272" t="s">
        <v>1099</v>
      </c>
    </row>
    <row r="15496">
      <c r="B15496" s="31"/>
      <c r="G15496" s="272" t="s">
        <v>1099</v>
      </c>
    </row>
    <row r="15497">
      <c r="B15497" s="31"/>
      <c r="G15497" s="272" t="s">
        <v>1099</v>
      </c>
    </row>
    <row r="15498">
      <c r="B15498" s="31"/>
      <c r="G15498" s="272" t="s">
        <v>1099</v>
      </c>
    </row>
    <row r="15499">
      <c r="B15499" s="31"/>
      <c r="G15499" s="272" t="s">
        <v>1099</v>
      </c>
    </row>
    <row r="15500">
      <c r="B15500" s="31"/>
      <c r="G15500" s="272" t="s">
        <v>1099</v>
      </c>
    </row>
    <row r="15501">
      <c r="B15501" s="31"/>
      <c r="G15501" s="272" t="s">
        <v>1099</v>
      </c>
    </row>
    <row r="15502">
      <c r="B15502" s="31"/>
      <c r="G15502" s="272" t="s">
        <v>1099</v>
      </c>
    </row>
    <row r="15503">
      <c r="B15503" s="31"/>
      <c r="G15503" s="272" t="s">
        <v>1099</v>
      </c>
    </row>
    <row r="15504">
      <c r="B15504" s="31"/>
      <c r="G15504" s="272" t="s">
        <v>1099</v>
      </c>
    </row>
    <row r="15505">
      <c r="B15505" s="31"/>
      <c r="G15505" s="272" t="s">
        <v>1099</v>
      </c>
    </row>
    <row r="15506">
      <c r="B15506" s="31"/>
      <c r="G15506" s="272" t="s">
        <v>1099</v>
      </c>
    </row>
    <row r="15507">
      <c r="B15507" s="31"/>
      <c r="G15507" s="272" t="s">
        <v>1099</v>
      </c>
    </row>
    <row r="15508">
      <c r="B15508" s="31"/>
      <c r="G15508" s="272" t="s">
        <v>1099</v>
      </c>
    </row>
    <row r="15509">
      <c r="B15509" s="31"/>
      <c r="G15509" s="272" t="s">
        <v>1099</v>
      </c>
    </row>
    <row r="15510">
      <c r="B15510" s="31"/>
      <c r="G15510" s="272" t="s">
        <v>1099</v>
      </c>
    </row>
    <row r="15511">
      <c r="B15511" s="31"/>
      <c r="G15511" s="272" t="s">
        <v>1099</v>
      </c>
    </row>
    <row r="15512">
      <c r="B15512" s="31"/>
      <c r="G15512" s="272" t="s">
        <v>1099</v>
      </c>
    </row>
    <row r="15513">
      <c r="B15513" s="31"/>
      <c r="G15513" s="272" t="s">
        <v>1099</v>
      </c>
    </row>
    <row r="15514">
      <c r="B15514" s="31"/>
      <c r="G15514" s="272" t="s">
        <v>1099</v>
      </c>
    </row>
    <row r="15515">
      <c r="B15515" s="31"/>
      <c r="G15515" s="272" t="s">
        <v>1099</v>
      </c>
    </row>
    <row r="15516">
      <c r="B15516" s="31"/>
      <c r="G15516" s="272" t="s">
        <v>1099</v>
      </c>
    </row>
    <row r="15517">
      <c r="B15517" s="31"/>
      <c r="G15517" s="272" t="s">
        <v>1099</v>
      </c>
    </row>
    <row r="15518">
      <c r="B15518" s="31"/>
      <c r="G15518" s="272" t="s">
        <v>1099</v>
      </c>
    </row>
    <row r="15519">
      <c r="B15519" s="31"/>
      <c r="G15519" s="272" t="s">
        <v>1099</v>
      </c>
    </row>
    <row r="15520">
      <c r="B15520" s="31"/>
      <c r="G15520" s="272" t="s">
        <v>1099</v>
      </c>
    </row>
    <row r="15521">
      <c r="B15521" s="31"/>
      <c r="G15521" s="272" t="s">
        <v>1099</v>
      </c>
    </row>
    <row r="15522">
      <c r="B15522" s="31"/>
      <c r="G15522" s="272" t="s">
        <v>1099</v>
      </c>
    </row>
    <row r="15523">
      <c r="B15523" s="31"/>
      <c r="G15523" s="272" t="s">
        <v>1099</v>
      </c>
    </row>
    <row r="15524">
      <c r="B15524" s="31"/>
      <c r="G15524" s="272" t="s">
        <v>1099</v>
      </c>
    </row>
    <row r="15525">
      <c r="B15525" s="31"/>
      <c r="G15525" s="272" t="s">
        <v>1099</v>
      </c>
    </row>
    <row r="15526">
      <c r="B15526" s="31"/>
      <c r="G15526" s="272" t="s">
        <v>1099</v>
      </c>
    </row>
    <row r="15527">
      <c r="B15527" s="31"/>
      <c r="G15527" s="272" t="s">
        <v>1099</v>
      </c>
    </row>
    <row r="15528">
      <c r="B15528" s="31"/>
      <c r="G15528" s="272" t="s">
        <v>1099</v>
      </c>
    </row>
    <row r="15529">
      <c r="B15529" s="31"/>
      <c r="G15529" s="272" t="s">
        <v>1099</v>
      </c>
    </row>
    <row r="15530">
      <c r="B15530" s="31"/>
      <c r="G15530" s="272" t="s">
        <v>1099</v>
      </c>
    </row>
    <row r="15531">
      <c r="B15531" s="31"/>
      <c r="G15531" s="272" t="s">
        <v>1099</v>
      </c>
    </row>
    <row r="15532">
      <c r="B15532" s="31"/>
      <c r="G15532" s="272" t="s">
        <v>1099</v>
      </c>
    </row>
    <row r="15533">
      <c r="B15533" s="31"/>
      <c r="G15533" s="272" t="s">
        <v>1099</v>
      </c>
    </row>
    <row r="15534">
      <c r="B15534" s="31"/>
      <c r="G15534" s="272" t="s">
        <v>1099</v>
      </c>
    </row>
    <row r="15535">
      <c r="B15535" s="31"/>
      <c r="G15535" s="272" t="s">
        <v>1099</v>
      </c>
    </row>
    <row r="15536">
      <c r="B15536" s="31"/>
      <c r="G15536" s="272" t="s">
        <v>1099</v>
      </c>
    </row>
    <row r="15537">
      <c r="B15537" s="31"/>
      <c r="G15537" s="272" t="s">
        <v>1099</v>
      </c>
    </row>
    <row r="15538">
      <c r="B15538" s="31"/>
      <c r="G15538" s="272" t="s">
        <v>1099</v>
      </c>
    </row>
    <row r="15539">
      <c r="B15539" s="31"/>
      <c r="G15539" s="272" t="s">
        <v>1099</v>
      </c>
    </row>
    <row r="15540">
      <c r="B15540" s="31"/>
      <c r="G15540" s="272" t="s">
        <v>1099</v>
      </c>
    </row>
    <row r="15541">
      <c r="B15541" s="31"/>
      <c r="G15541" s="272" t="s">
        <v>1099</v>
      </c>
    </row>
    <row r="15542">
      <c r="B15542" s="31"/>
      <c r="G15542" s="272" t="s">
        <v>1099</v>
      </c>
    </row>
    <row r="15543">
      <c r="B15543" s="31"/>
      <c r="G15543" s="272" t="s">
        <v>1099</v>
      </c>
    </row>
    <row r="15544">
      <c r="B15544" s="31"/>
      <c r="G15544" s="272" t="s">
        <v>1099</v>
      </c>
    </row>
    <row r="15545">
      <c r="B15545" s="31"/>
      <c r="G15545" s="272" t="s">
        <v>1099</v>
      </c>
    </row>
    <row r="15546">
      <c r="B15546" s="31"/>
      <c r="G15546" s="272" t="s">
        <v>1099</v>
      </c>
    </row>
    <row r="15547">
      <c r="B15547" s="31"/>
      <c r="G15547" s="272" t="s">
        <v>1099</v>
      </c>
    </row>
    <row r="15548">
      <c r="B15548" s="31"/>
      <c r="G15548" s="272" t="s">
        <v>1099</v>
      </c>
    </row>
    <row r="15549">
      <c r="B15549" s="31"/>
      <c r="G15549" s="272" t="s">
        <v>1099</v>
      </c>
    </row>
    <row r="15550">
      <c r="B15550" s="31"/>
      <c r="G15550" s="272" t="s">
        <v>1099</v>
      </c>
    </row>
    <row r="15551">
      <c r="B15551" s="31"/>
      <c r="G15551" s="272" t="s">
        <v>1099</v>
      </c>
    </row>
    <row r="15552">
      <c r="B15552" s="31"/>
      <c r="G15552" s="272" t="s">
        <v>1099</v>
      </c>
    </row>
    <row r="15553">
      <c r="B15553" s="31"/>
      <c r="G15553" s="272" t="s">
        <v>1099</v>
      </c>
    </row>
    <row r="15554">
      <c r="B15554" s="31"/>
      <c r="G15554" s="272" t="s">
        <v>1099</v>
      </c>
    </row>
    <row r="15555">
      <c r="B15555" s="31"/>
      <c r="G15555" s="272" t="s">
        <v>1099</v>
      </c>
    </row>
    <row r="15556">
      <c r="B15556" s="31"/>
      <c r="G15556" s="272" t="s">
        <v>1099</v>
      </c>
    </row>
    <row r="15557">
      <c r="B15557" s="31"/>
      <c r="G15557" s="272" t="s">
        <v>1099</v>
      </c>
    </row>
    <row r="15558">
      <c r="B15558" s="31"/>
      <c r="G15558" s="272" t="s">
        <v>1099</v>
      </c>
    </row>
    <row r="15559">
      <c r="B15559" s="31"/>
      <c r="G15559" s="272" t="s">
        <v>1099</v>
      </c>
    </row>
    <row r="15560">
      <c r="B15560" s="31"/>
      <c r="G15560" s="272" t="s">
        <v>1099</v>
      </c>
    </row>
    <row r="15561">
      <c r="B15561" s="31"/>
      <c r="G15561" s="272" t="s">
        <v>1099</v>
      </c>
    </row>
    <row r="15562">
      <c r="B15562" s="31"/>
      <c r="G15562" s="272" t="s">
        <v>1099</v>
      </c>
    </row>
    <row r="15563">
      <c r="B15563" s="31"/>
      <c r="G15563" s="272" t="s">
        <v>1099</v>
      </c>
    </row>
    <row r="15564">
      <c r="B15564" s="31"/>
      <c r="G15564" s="272" t="s">
        <v>1099</v>
      </c>
    </row>
    <row r="15565">
      <c r="B15565" s="31"/>
      <c r="G15565" s="272" t="s">
        <v>1099</v>
      </c>
    </row>
    <row r="15566">
      <c r="B15566" s="31"/>
      <c r="G15566" s="272" t="s">
        <v>1099</v>
      </c>
    </row>
    <row r="15567">
      <c r="B15567" s="31"/>
      <c r="G15567" s="272" t="s">
        <v>1099</v>
      </c>
    </row>
    <row r="15568">
      <c r="B15568" s="31"/>
      <c r="G15568" s="272" t="s">
        <v>1099</v>
      </c>
    </row>
    <row r="15569">
      <c r="B15569" s="31"/>
      <c r="G15569" s="272" t="s">
        <v>1099</v>
      </c>
    </row>
    <row r="15570">
      <c r="B15570" s="31"/>
      <c r="G15570" s="272" t="s">
        <v>1099</v>
      </c>
    </row>
    <row r="15571">
      <c r="B15571" s="31"/>
      <c r="G15571" s="272" t="s">
        <v>1099</v>
      </c>
    </row>
    <row r="15572">
      <c r="B15572" s="31"/>
      <c r="G15572" s="272" t="s">
        <v>1099</v>
      </c>
    </row>
    <row r="15573">
      <c r="B15573" s="31"/>
      <c r="G15573" s="272" t="s">
        <v>1099</v>
      </c>
    </row>
    <row r="15574">
      <c r="B15574" s="31"/>
      <c r="G15574" s="272" t="s">
        <v>1099</v>
      </c>
    </row>
    <row r="15575">
      <c r="B15575" s="31"/>
      <c r="G15575" s="272" t="s">
        <v>1099</v>
      </c>
    </row>
    <row r="15576">
      <c r="B15576" s="31"/>
      <c r="G15576" s="272" t="s">
        <v>1099</v>
      </c>
    </row>
    <row r="15577">
      <c r="B15577" s="31"/>
      <c r="G15577" s="272" t="s">
        <v>1099</v>
      </c>
    </row>
    <row r="15578">
      <c r="B15578" s="31"/>
      <c r="G15578" s="272" t="s">
        <v>1099</v>
      </c>
    </row>
    <row r="15579">
      <c r="B15579" s="31"/>
      <c r="G15579" s="272" t="s">
        <v>1099</v>
      </c>
    </row>
    <row r="15580">
      <c r="B15580" s="31"/>
      <c r="G15580" s="272" t="s">
        <v>1099</v>
      </c>
    </row>
    <row r="15581">
      <c r="B15581" s="31"/>
      <c r="G15581" s="272" t="s">
        <v>1099</v>
      </c>
    </row>
    <row r="15582">
      <c r="B15582" s="31"/>
      <c r="G15582" s="272" t="s">
        <v>1099</v>
      </c>
    </row>
    <row r="15583">
      <c r="B15583" s="31"/>
      <c r="G15583" s="272" t="s">
        <v>1099</v>
      </c>
    </row>
    <row r="15584">
      <c r="B15584" s="31"/>
      <c r="G15584" s="272" t="s">
        <v>1099</v>
      </c>
    </row>
    <row r="15585">
      <c r="B15585" s="31"/>
      <c r="G15585" s="272" t="s">
        <v>1099</v>
      </c>
    </row>
    <row r="15586">
      <c r="B15586" s="31"/>
      <c r="G15586" s="272" t="s">
        <v>1099</v>
      </c>
    </row>
    <row r="15587">
      <c r="B15587" s="31"/>
      <c r="G15587" s="272" t="s">
        <v>1099</v>
      </c>
    </row>
    <row r="15588">
      <c r="B15588" s="31"/>
      <c r="G15588" s="272" t="s">
        <v>1099</v>
      </c>
    </row>
    <row r="15589">
      <c r="B15589" s="31"/>
      <c r="G15589" s="272" t="s">
        <v>1099</v>
      </c>
    </row>
    <row r="15590">
      <c r="B15590" s="31"/>
      <c r="G15590" s="272" t="s">
        <v>1099</v>
      </c>
    </row>
    <row r="15591">
      <c r="B15591" s="31"/>
      <c r="G15591" s="272" t="s">
        <v>1099</v>
      </c>
    </row>
    <row r="15592">
      <c r="B15592" s="31"/>
      <c r="G15592" s="272" t="s">
        <v>1099</v>
      </c>
    </row>
    <row r="15593">
      <c r="B15593" s="31"/>
      <c r="G15593" s="272" t="s">
        <v>1099</v>
      </c>
    </row>
    <row r="15594">
      <c r="B15594" s="31"/>
      <c r="G15594" s="272" t="s">
        <v>1099</v>
      </c>
    </row>
    <row r="15595">
      <c r="B15595" s="31"/>
      <c r="G15595" s="272" t="s">
        <v>1099</v>
      </c>
    </row>
    <row r="15596">
      <c r="B15596" s="31"/>
      <c r="G15596" s="272" t="s">
        <v>1099</v>
      </c>
    </row>
    <row r="15597">
      <c r="B15597" s="31"/>
      <c r="G15597" s="272" t="s">
        <v>1099</v>
      </c>
    </row>
    <row r="15598">
      <c r="B15598" s="31"/>
      <c r="G15598" s="272" t="s">
        <v>1099</v>
      </c>
    </row>
    <row r="15599">
      <c r="B15599" s="31"/>
      <c r="G15599" s="272" t="s">
        <v>1099</v>
      </c>
    </row>
    <row r="15600">
      <c r="B15600" s="31"/>
      <c r="G15600" s="272" t="s">
        <v>1099</v>
      </c>
    </row>
    <row r="15601">
      <c r="B15601" s="31"/>
      <c r="G15601" s="272" t="s">
        <v>1099</v>
      </c>
    </row>
    <row r="15602">
      <c r="B15602" s="31"/>
      <c r="G15602" s="272" t="s">
        <v>1099</v>
      </c>
    </row>
    <row r="15603">
      <c r="B15603" s="31"/>
      <c r="G15603" s="272" t="s">
        <v>1099</v>
      </c>
    </row>
    <row r="15604">
      <c r="B15604" s="31"/>
      <c r="G15604" s="272" t="s">
        <v>1099</v>
      </c>
    </row>
    <row r="15605">
      <c r="B15605" s="31"/>
      <c r="G15605" s="272" t="s">
        <v>1099</v>
      </c>
    </row>
    <row r="15606">
      <c r="B15606" s="31"/>
      <c r="G15606" s="272" t="s">
        <v>1099</v>
      </c>
    </row>
    <row r="15607">
      <c r="B15607" s="31"/>
      <c r="G15607" s="272" t="s">
        <v>1099</v>
      </c>
    </row>
    <row r="15608">
      <c r="B15608" s="31"/>
      <c r="G15608" s="272" t="s">
        <v>1099</v>
      </c>
    </row>
    <row r="15609">
      <c r="B15609" s="31"/>
      <c r="G15609" s="272" t="s">
        <v>1099</v>
      </c>
    </row>
    <row r="15610">
      <c r="B15610" s="31"/>
      <c r="G15610" s="272" t="s">
        <v>1099</v>
      </c>
    </row>
    <row r="15611">
      <c r="B15611" s="31"/>
      <c r="G15611" s="272" t="s">
        <v>1099</v>
      </c>
    </row>
    <row r="15612">
      <c r="B15612" s="31"/>
      <c r="G15612" s="272" t="s">
        <v>1099</v>
      </c>
    </row>
    <row r="15613">
      <c r="B15613" s="31"/>
      <c r="G15613" s="272" t="s">
        <v>1099</v>
      </c>
    </row>
    <row r="15614">
      <c r="B15614" s="31"/>
      <c r="G15614" s="272" t="s">
        <v>1099</v>
      </c>
    </row>
    <row r="15615">
      <c r="B15615" s="31"/>
      <c r="G15615" s="272" t="s">
        <v>1099</v>
      </c>
    </row>
    <row r="15616">
      <c r="B15616" s="31"/>
      <c r="G15616" s="272" t="s">
        <v>1099</v>
      </c>
    </row>
    <row r="15617">
      <c r="B15617" s="31"/>
      <c r="G15617" s="272" t="s">
        <v>1099</v>
      </c>
    </row>
    <row r="15618">
      <c r="B15618" s="31"/>
      <c r="G15618" s="272" t="s">
        <v>1099</v>
      </c>
    </row>
    <row r="15619">
      <c r="B15619" s="31"/>
      <c r="G15619" s="272" t="s">
        <v>1099</v>
      </c>
    </row>
    <row r="15620">
      <c r="B15620" s="31"/>
      <c r="G15620" s="272" t="s">
        <v>1099</v>
      </c>
    </row>
    <row r="15621">
      <c r="B15621" s="31"/>
      <c r="G15621" s="272" t="s">
        <v>1099</v>
      </c>
    </row>
    <row r="15622">
      <c r="B15622" s="31"/>
      <c r="G15622" s="272" t="s">
        <v>1099</v>
      </c>
    </row>
    <row r="15623">
      <c r="B15623" s="31"/>
      <c r="G15623" s="272" t="s">
        <v>1099</v>
      </c>
    </row>
    <row r="15624">
      <c r="B15624" s="31"/>
      <c r="G15624" s="272" t="s">
        <v>1099</v>
      </c>
    </row>
    <row r="15625">
      <c r="B15625" s="31"/>
      <c r="G15625" s="272" t="s">
        <v>1099</v>
      </c>
    </row>
    <row r="15626">
      <c r="B15626" s="31"/>
      <c r="G15626" s="272" t="s">
        <v>1099</v>
      </c>
    </row>
    <row r="15627">
      <c r="B15627" s="31"/>
      <c r="G15627" s="272" t="s">
        <v>1099</v>
      </c>
    </row>
    <row r="15628">
      <c r="B15628" s="31"/>
      <c r="G15628" s="272" t="s">
        <v>1099</v>
      </c>
    </row>
    <row r="15629">
      <c r="B15629" s="31"/>
      <c r="G15629" s="272" t="s">
        <v>1099</v>
      </c>
    </row>
    <row r="15630">
      <c r="B15630" s="31"/>
      <c r="G15630" s="272" t="s">
        <v>1099</v>
      </c>
    </row>
    <row r="15631">
      <c r="B15631" s="31"/>
      <c r="G15631" s="272" t="s">
        <v>1099</v>
      </c>
    </row>
    <row r="15632">
      <c r="B15632" s="31"/>
      <c r="G15632" s="272" t="s">
        <v>1099</v>
      </c>
    </row>
    <row r="15633">
      <c r="B15633" s="31"/>
      <c r="G15633" s="272" t="s">
        <v>1099</v>
      </c>
    </row>
    <row r="15634">
      <c r="B15634" s="31"/>
      <c r="G15634" s="272" t="s">
        <v>1099</v>
      </c>
    </row>
    <row r="15635">
      <c r="B15635" s="31"/>
      <c r="G15635" s="272" t="s">
        <v>1099</v>
      </c>
    </row>
    <row r="15636">
      <c r="B15636" s="31"/>
      <c r="G15636" s="272" t="s">
        <v>1099</v>
      </c>
    </row>
    <row r="15637">
      <c r="B15637" s="31"/>
      <c r="G15637" s="272" t="s">
        <v>1099</v>
      </c>
    </row>
    <row r="15638">
      <c r="B15638" s="31"/>
      <c r="G15638" s="272" t="s">
        <v>1099</v>
      </c>
    </row>
    <row r="15639">
      <c r="B15639" s="31"/>
      <c r="G15639" s="272" t="s">
        <v>1099</v>
      </c>
    </row>
    <row r="15640">
      <c r="B15640" s="31"/>
      <c r="G15640" s="272" t="s">
        <v>1099</v>
      </c>
    </row>
    <row r="15641">
      <c r="B15641" s="31"/>
      <c r="G15641" s="272" t="s">
        <v>1099</v>
      </c>
    </row>
    <row r="15642">
      <c r="B15642" s="31"/>
      <c r="G15642" s="272" t="s">
        <v>1099</v>
      </c>
    </row>
    <row r="15643">
      <c r="B15643" s="31"/>
      <c r="G15643" s="272" t="s">
        <v>1099</v>
      </c>
    </row>
    <row r="15644">
      <c r="B15644" s="31"/>
      <c r="G15644" s="272" t="s">
        <v>1099</v>
      </c>
    </row>
    <row r="15645">
      <c r="B15645" s="31"/>
      <c r="G15645" s="272" t="s">
        <v>1099</v>
      </c>
    </row>
    <row r="15646">
      <c r="B15646" s="31"/>
      <c r="G15646" s="272" t="s">
        <v>1099</v>
      </c>
    </row>
    <row r="15647">
      <c r="B15647" s="31"/>
      <c r="G15647" s="272" t="s">
        <v>1099</v>
      </c>
    </row>
    <row r="15648">
      <c r="B15648" s="31"/>
      <c r="G15648" s="272" t="s">
        <v>1099</v>
      </c>
    </row>
    <row r="15649">
      <c r="B15649" s="31"/>
      <c r="G15649" s="272" t="s">
        <v>1099</v>
      </c>
    </row>
    <row r="15650">
      <c r="B15650" s="31"/>
      <c r="G15650" s="272" t="s">
        <v>1099</v>
      </c>
    </row>
    <row r="15651">
      <c r="B15651" s="31"/>
      <c r="G15651" s="272" t="s">
        <v>1099</v>
      </c>
    </row>
    <row r="15652">
      <c r="B15652" s="31"/>
      <c r="G15652" s="272" t="s">
        <v>1099</v>
      </c>
    </row>
    <row r="15653">
      <c r="B15653" s="31"/>
      <c r="G15653" s="272" t="s">
        <v>1099</v>
      </c>
    </row>
    <row r="15654">
      <c r="B15654" s="31"/>
      <c r="G15654" s="272" t="s">
        <v>1099</v>
      </c>
    </row>
    <row r="15655">
      <c r="B15655" s="31"/>
      <c r="G15655" s="272" t="s">
        <v>1099</v>
      </c>
    </row>
    <row r="15656">
      <c r="B15656" s="31"/>
      <c r="G15656" s="272" t="s">
        <v>1099</v>
      </c>
    </row>
    <row r="15657">
      <c r="B15657" s="31"/>
      <c r="G15657" s="272" t="s">
        <v>1099</v>
      </c>
    </row>
    <row r="15658">
      <c r="B15658" s="31"/>
      <c r="G15658" s="272" t="s">
        <v>1099</v>
      </c>
    </row>
    <row r="15659">
      <c r="B15659" s="31"/>
      <c r="G15659" s="272" t="s">
        <v>1099</v>
      </c>
    </row>
    <row r="15660">
      <c r="B15660" s="31"/>
      <c r="G15660" s="272" t="s">
        <v>1099</v>
      </c>
    </row>
    <row r="15661">
      <c r="B15661" s="31"/>
      <c r="G15661" s="272" t="s">
        <v>1099</v>
      </c>
    </row>
    <row r="15662">
      <c r="B15662" s="31"/>
      <c r="G15662" s="272" t="s">
        <v>1099</v>
      </c>
    </row>
    <row r="15663">
      <c r="B15663" s="31"/>
      <c r="G15663" s="272" t="s">
        <v>1099</v>
      </c>
    </row>
    <row r="15664">
      <c r="B15664" s="31"/>
      <c r="G15664" s="272" t="s">
        <v>1099</v>
      </c>
    </row>
    <row r="15665">
      <c r="B15665" s="31"/>
      <c r="G15665" s="272" t="s">
        <v>1099</v>
      </c>
    </row>
    <row r="15666">
      <c r="B15666" s="31"/>
      <c r="G15666" s="272" t="s">
        <v>1099</v>
      </c>
    </row>
    <row r="15667">
      <c r="B15667" s="31"/>
      <c r="G15667" s="272" t="s">
        <v>1099</v>
      </c>
    </row>
    <row r="15668">
      <c r="B15668" s="31"/>
      <c r="G15668" s="272" t="s">
        <v>1099</v>
      </c>
    </row>
    <row r="15669">
      <c r="B15669" s="31"/>
      <c r="G15669" s="272" t="s">
        <v>1099</v>
      </c>
    </row>
    <row r="15670">
      <c r="B15670" s="31"/>
      <c r="G15670" s="272" t="s">
        <v>1099</v>
      </c>
    </row>
    <row r="15671">
      <c r="B15671" s="31"/>
      <c r="G15671" s="272" t="s">
        <v>1099</v>
      </c>
    </row>
    <row r="15672">
      <c r="B15672" s="31"/>
      <c r="G15672" s="272" t="s">
        <v>1099</v>
      </c>
    </row>
    <row r="15673">
      <c r="B15673" s="31"/>
      <c r="G15673" s="272" t="s">
        <v>1099</v>
      </c>
    </row>
    <row r="15674">
      <c r="B15674" s="31"/>
      <c r="G15674" s="272" t="s">
        <v>1099</v>
      </c>
    </row>
    <row r="15675">
      <c r="B15675" s="31"/>
      <c r="G15675" s="272" t="s">
        <v>1099</v>
      </c>
    </row>
    <row r="15676">
      <c r="B15676" s="31"/>
      <c r="G15676" s="272" t="s">
        <v>1099</v>
      </c>
    </row>
    <row r="15677">
      <c r="B15677" s="31"/>
      <c r="G15677" s="272" t="s">
        <v>1099</v>
      </c>
    </row>
    <row r="15678">
      <c r="B15678" s="31"/>
      <c r="G15678" s="272" t="s">
        <v>1099</v>
      </c>
    </row>
    <row r="15679">
      <c r="B15679" s="31"/>
      <c r="G15679" s="272" t="s">
        <v>1099</v>
      </c>
    </row>
    <row r="15680">
      <c r="B15680" s="31"/>
      <c r="G15680" s="272" t="s">
        <v>1099</v>
      </c>
    </row>
    <row r="15681">
      <c r="B15681" s="31"/>
      <c r="G15681" s="272" t="s">
        <v>1099</v>
      </c>
    </row>
    <row r="15682">
      <c r="B15682" s="31"/>
      <c r="G15682" s="272" t="s">
        <v>1099</v>
      </c>
    </row>
    <row r="15683">
      <c r="B15683" s="31"/>
      <c r="G15683" s="272" t="s">
        <v>1099</v>
      </c>
    </row>
    <row r="15684">
      <c r="B15684" s="31"/>
      <c r="G15684" s="272" t="s">
        <v>1099</v>
      </c>
    </row>
    <row r="15685">
      <c r="B15685" s="31"/>
      <c r="G15685" s="272" t="s">
        <v>1099</v>
      </c>
    </row>
    <row r="15686">
      <c r="B15686" s="31"/>
      <c r="G15686" s="272" t="s">
        <v>1099</v>
      </c>
    </row>
    <row r="15687">
      <c r="B15687" s="31"/>
      <c r="G15687" s="272" t="s">
        <v>1099</v>
      </c>
    </row>
    <row r="15688">
      <c r="B15688" s="31"/>
      <c r="G15688" s="272" t="s">
        <v>1099</v>
      </c>
    </row>
    <row r="15689">
      <c r="B15689" s="31"/>
      <c r="G15689" s="272" t="s">
        <v>1099</v>
      </c>
    </row>
    <row r="15690">
      <c r="B15690" s="31"/>
      <c r="G15690" s="272" t="s">
        <v>1099</v>
      </c>
    </row>
    <row r="15691">
      <c r="B15691" s="31"/>
      <c r="G15691" s="272" t="s">
        <v>1099</v>
      </c>
    </row>
    <row r="15692">
      <c r="B15692" s="31"/>
      <c r="G15692" s="272" t="s">
        <v>1099</v>
      </c>
    </row>
    <row r="15693">
      <c r="B15693" s="31"/>
      <c r="G15693" s="272" t="s">
        <v>1099</v>
      </c>
    </row>
    <row r="15694">
      <c r="B15694" s="31"/>
      <c r="G15694" s="272" t="s">
        <v>1099</v>
      </c>
    </row>
    <row r="15695">
      <c r="B15695" s="31"/>
      <c r="G15695" s="272" t="s">
        <v>1099</v>
      </c>
    </row>
    <row r="15696">
      <c r="B15696" s="31"/>
      <c r="G15696" s="272" t="s">
        <v>1099</v>
      </c>
    </row>
    <row r="15697">
      <c r="B15697" s="31"/>
      <c r="G15697" s="272" t="s">
        <v>1099</v>
      </c>
    </row>
    <row r="15698">
      <c r="B15698" s="31"/>
      <c r="G15698" s="272" t="s">
        <v>1099</v>
      </c>
    </row>
    <row r="15699">
      <c r="B15699" s="31"/>
      <c r="G15699" s="272" t="s">
        <v>1099</v>
      </c>
    </row>
    <row r="15700">
      <c r="B15700" s="31"/>
      <c r="G15700" s="272" t="s">
        <v>1099</v>
      </c>
    </row>
    <row r="15701">
      <c r="B15701" s="31"/>
      <c r="G15701" s="272" t="s">
        <v>1099</v>
      </c>
    </row>
    <row r="15702">
      <c r="B15702" s="31"/>
      <c r="G15702" s="272" t="s">
        <v>1099</v>
      </c>
    </row>
    <row r="15703">
      <c r="B15703" s="31"/>
      <c r="G15703" s="272" t="s">
        <v>1099</v>
      </c>
    </row>
    <row r="15704">
      <c r="B15704" s="31"/>
      <c r="G15704" s="272" t="s">
        <v>1099</v>
      </c>
    </row>
    <row r="15705">
      <c r="B15705" s="31"/>
      <c r="G15705" s="272" t="s">
        <v>1099</v>
      </c>
    </row>
    <row r="15706">
      <c r="B15706" s="31"/>
      <c r="G15706" s="272" t="s">
        <v>1099</v>
      </c>
    </row>
    <row r="15707">
      <c r="B15707" s="31"/>
      <c r="G15707" s="272" t="s">
        <v>1099</v>
      </c>
    </row>
    <row r="15708">
      <c r="B15708" s="31"/>
      <c r="G15708" s="272" t="s">
        <v>1099</v>
      </c>
    </row>
    <row r="15709">
      <c r="B15709" s="31"/>
      <c r="G15709" s="272" t="s">
        <v>1099</v>
      </c>
    </row>
    <row r="15710">
      <c r="B15710" s="31"/>
      <c r="G15710" s="272" t="s">
        <v>1099</v>
      </c>
    </row>
    <row r="15711">
      <c r="B15711" s="31"/>
      <c r="G15711" s="272" t="s">
        <v>1099</v>
      </c>
    </row>
    <row r="15712">
      <c r="B15712" s="31"/>
      <c r="G15712" s="272" t="s">
        <v>1099</v>
      </c>
    </row>
    <row r="15713">
      <c r="B15713" s="31"/>
      <c r="G15713" s="272" t="s">
        <v>1099</v>
      </c>
    </row>
    <row r="15714">
      <c r="B15714" s="31"/>
      <c r="G15714" s="272" t="s">
        <v>1099</v>
      </c>
    </row>
    <row r="15715">
      <c r="B15715" s="31"/>
      <c r="G15715" s="272" t="s">
        <v>1099</v>
      </c>
    </row>
    <row r="15716">
      <c r="B15716" s="31"/>
      <c r="G15716" s="272" t="s">
        <v>1099</v>
      </c>
    </row>
    <row r="15717">
      <c r="B15717" s="31"/>
      <c r="G15717" s="272" t="s">
        <v>1099</v>
      </c>
    </row>
    <row r="15718">
      <c r="B15718" s="31"/>
      <c r="G15718" s="272" t="s">
        <v>1099</v>
      </c>
    </row>
    <row r="15719">
      <c r="B15719" s="31"/>
      <c r="G15719" s="272" t="s">
        <v>1099</v>
      </c>
    </row>
    <row r="15720">
      <c r="B15720" s="31"/>
      <c r="G15720" s="272" t="s">
        <v>1099</v>
      </c>
    </row>
    <row r="15721">
      <c r="B15721" s="31"/>
      <c r="G15721" s="272" t="s">
        <v>1099</v>
      </c>
    </row>
    <row r="15722">
      <c r="B15722" s="31"/>
      <c r="G15722" s="272" t="s">
        <v>1099</v>
      </c>
    </row>
    <row r="15723">
      <c r="B15723" s="31"/>
      <c r="G15723" s="272" t="s">
        <v>1099</v>
      </c>
    </row>
    <row r="15724">
      <c r="B15724" s="31"/>
      <c r="G15724" s="272" t="s">
        <v>1099</v>
      </c>
    </row>
    <row r="15725">
      <c r="B15725" s="31"/>
      <c r="G15725" s="272" t="s">
        <v>1099</v>
      </c>
    </row>
    <row r="15726">
      <c r="B15726" s="31"/>
      <c r="G15726" s="272" t="s">
        <v>1099</v>
      </c>
    </row>
    <row r="15727">
      <c r="B15727" s="31"/>
      <c r="G15727" s="272" t="s">
        <v>1099</v>
      </c>
    </row>
    <row r="15728">
      <c r="B15728" s="31"/>
      <c r="G15728" s="272" t="s">
        <v>1099</v>
      </c>
    </row>
    <row r="15729">
      <c r="B15729" s="31"/>
      <c r="G15729" s="272" t="s">
        <v>1099</v>
      </c>
    </row>
    <row r="15730">
      <c r="B15730" s="31"/>
      <c r="G15730" s="272" t="s">
        <v>1099</v>
      </c>
    </row>
    <row r="15731">
      <c r="B15731" s="31"/>
      <c r="G15731" s="272" t="s">
        <v>1099</v>
      </c>
    </row>
    <row r="15732">
      <c r="B15732" s="31"/>
      <c r="G15732" s="272" t="s">
        <v>1099</v>
      </c>
    </row>
    <row r="15733">
      <c r="B15733" s="31"/>
      <c r="G15733" s="272" t="s">
        <v>1099</v>
      </c>
    </row>
    <row r="15734">
      <c r="B15734" s="31"/>
      <c r="G15734" s="272" t="s">
        <v>1099</v>
      </c>
    </row>
    <row r="15735">
      <c r="B15735" s="31"/>
      <c r="G15735" s="272" t="s">
        <v>1099</v>
      </c>
    </row>
    <row r="15736">
      <c r="B15736" s="31"/>
      <c r="G15736" s="272" t="s">
        <v>1099</v>
      </c>
    </row>
    <row r="15737">
      <c r="B15737" s="31"/>
      <c r="G15737" s="272" t="s">
        <v>1099</v>
      </c>
    </row>
    <row r="15738">
      <c r="B15738" s="31"/>
      <c r="G15738" s="272" t="s">
        <v>1099</v>
      </c>
    </row>
    <row r="15739">
      <c r="B15739" s="31"/>
      <c r="G15739" s="272" t="s">
        <v>1099</v>
      </c>
    </row>
    <row r="15740">
      <c r="B15740" s="31"/>
      <c r="G15740" s="272" t="s">
        <v>1099</v>
      </c>
    </row>
    <row r="15741">
      <c r="B15741" s="31"/>
      <c r="G15741" s="272" t="s">
        <v>1099</v>
      </c>
    </row>
    <row r="15742">
      <c r="B15742" s="31"/>
      <c r="G15742" s="272" t="s">
        <v>1099</v>
      </c>
    </row>
    <row r="15743">
      <c r="B15743" s="31"/>
      <c r="G15743" s="272" t="s">
        <v>1099</v>
      </c>
    </row>
    <row r="15744">
      <c r="B15744" s="31"/>
      <c r="G15744" s="272" t="s">
        <v>1099</v>
      </c>
    </row>
    <row r="15745">
      <c r="B15745" s="31"/>
      <c r="G15745" s="272" t="s">
        <v>1099</v>
      </c>
    </row>
    <row r="15746">
      <c r="B15746" s="31"/>
      <c r="G15746" s="272" t="s">
        <v>1099</v>
      </c>
    </row>
    <row r="15747">
      <c r="B15747" s="31"/>
      <c r="G15747" s="272" t="s">
        <v>1099</v>
      </c>
    </row>
    <row r="15748">
      <c r="B15748" s="31"/>
      <c r="G15748" s="272" t="s">
        <v>1099</v>
      </c>
    </row>
    <row r="15749">
      <c r="B15749" s="31"/>
      <c r="G15749" s="272" t="s">
        <v>1099</v>
      </c>
    </row>
    <row r="15750">
      <c r="B15750" s="31"/>
      <c r="G15750" s="272" t="s">
        <v>1099</v>
      </c>
    </row>
    <row r="15751">
      <c r="B15751" s="31"/>
      <c r="G15751" s="272" t="s">
        <v>1099</v>
      </c>
    </row>
    <row r="15752">
      <c r="B15752" s="31"/>
      <c r="G15752" s="272" t="s">
        <v>1099</v>
      </c>
    </row>
    <row r="15753">
      <c r="B15753" s="31"/>
      <c r="G15753" s="272" t="s">
        <v>1099</v>
      </c>
    </row>
    <row r="15754">
      <c r="B15754" s="31"/>
      <c r="G15754" s="272" t="s">
        <v>1099</v>
      </c>
    </row>
    <row r="15755">
      <c r="B15755" s="31"/>
      <c r="G15755" s="272" t="s">
        <v>1099</v>
      </c>
    </row>
    <row r="15756">
      <c r="B15756" s="31"/>
      <c r="G15756" s="272" t="s">
        <v>1099</v>
      </c>
    </row>
    <row r="15757">
      <c r="B15757" s="31"/>
      <c r="G15757" s="272" t="s">
        <v>1099</v>
      </c>
    </row>
    <row r="15758">
      <c r="B15758" s="31"/>
      <c r="G15758" s="272" t="s">
        <v>1099</v>
      </c>
    </row>
    <row r="15759">
      <c r="B15759" s="31"/>
      <c r="G15759" s="272" t="s">
        <v>1099</v>
      </c>
    </row>
    <row r="15760">
      <c r="B15760" s="31"/>
      <c r="G15760" s="272" t="s">
        <v>1099</v>
      </c>
    </row>
    <row r="15761">
      <c r="B15761" s="31"/>
      <c r="G15761" s="272" t="s">
        <v>1099</v>
      </c>
    </row>
    <row r="15762">
      <c r="B15762" s="31"/>
      <c r="G15762" s="272" t="s">
        <v>1099</v>
      </c>
    </row>
    <row r="15763">
      <c r="B15763" s="31"/>
      <c r="G15763" s="272" t="s">
        <v>1099</v>
      </c>
    </row>
    <row r="15764">
      <c r="B15764" s="31"/>
      <c r="G15764" s="272" t="s">
        <v>1099</v>
      </c>
    </row>
    <row r="15765">
      <c r="B15765" s="31"/>
      <c r="G15765" s="272" t="s">
        <v>1099</v>
      </c>
    </row>
    <row r="15766">
      <c r="B15766" s="31"/>
      <c r="G15766" s="272" t="s">
        <v>1099</v>
      </c>
    </row>
    <row r="15767">
      <c r="B15767" s="31"/>
      <c r="G15767" s="272" t="s">
        <v>1099</v>
      </c>
    </row>
    <row r="15768">
      <c r="B15768" s="31"/>
      <c r="G15768" s="272" t="s">
        <v>1099</v>
      </c>
    </row>
    <row r="15769">
      <c r="B15769" s="31"/>
      <c r="G15769" s="272" t="s">
        <v>1099</v>
      </c>
    </row>
    <row r="15770">
      <c r="B15770" s="31"/>
      <c r="G15770" s="272" t="s">
        <v>1099</v>
      </c>
    </row>
    <row r="15771">
      <c r="B15771" s="31"/>
      <c r="G15771" s="272" t="s">
        <v>1099</v>
      </c>
    </row>
    <row r="15772">
      <c r="B15772" s="31"/>
      <c r="G15772" s="272" t="s">
        <v>1099</v>
      </c>
    </row>
    <row r="15773">
      <c r="B15773" s="31"/>
      <c r="G15773" s="272" t="s">
        <v>1099</v>
      </c>
    </row>
    <row r="15774">
      <c r="B15774" s="31"/>
      <c r="G15774" s="272" t="s">
        <v>1099</v>
      </c>
    </row>
    <row r="15775">
      <c r="B15775" s="31"/>
      <c r="G15775" s="272" t="s">
        <v>1099</v>
      </c>
    </row>
    <row r="15776">
      <c r="B15776" s="31"/>
      <c r="G15776" s="272" t="s">
        <v>1099</v>
      </c>
    </row>
    <row r="15777">
      <c r="B15777" s="31"/>
      <c r="G15777" s="272" t="s">
        <v>1099</v>
      </c>
    </row>
    <row r="15778">
      <c r="B15778" s="31"/>
      <c r="G15778" s="272" t="s">
        <v>1099</v>
      </c>
    </row>
    <row r="15779">
      <c r="B15779" s="31"/>
      <c r="G15779" s="272" t="s">
        <v>1099</v>
      </c>
    </row>
    <row r="15780">
      <c r="B15780" s="31"/>
      <c r="G15780" s="272" t="s">
        <v>1099</v>
      </c>
    </row>
    <row r="15781">
      <c r="B15781" s="31"/>
      <c r="G15781" s="272" t="s">
        <v>1099</v>
      </c>
    </row>
    <row r="15782">
      <c r="B15782" s="31"/>
      <c r="G15782" s="272" t="s">
        <v>1099</v>
      </c>
    </row>
    <row r="15783">
      <c r="B15783" s="31"/>
      <c r="G15783" s="272" t="s">
        <v>1099</v>
      </c>
    </row>
    <row r="15784">
      <c r="B15784" s="31"/>
      <c r="G15784" s="272" t="s">
        <v>1099</v>
      </c>
    </row>
    <row r="15785">
      <c r="B15785" s="31"/>
      <c r="G15785" s="272" t="s">
        <v>1099</v>
      </c>
    </row>
    <row r="15786">
      <c r="B15786" s="31"/>
      <c r="G15786" s="272" t="s">
        <v>1099</v>
      </c>
    </row>
    <row r="15787">
      <c r="B15787" s="31"/>
      <c r="G15787" s="272" t="s">
        <v>1099</v>
      </c>
    </row>
    <row r="15788">
      <c r="B15788" s="31"/>
      <c r="G15788" s="272" t="s">
        <v>1099</v>
      </c>
    </row>
    <row r="15789">
      <c r="B15789" s="31"/>
      <c r="G15789" s="272" t="s">
        <v>1099</v>
      </c>
    </row>
    <row r="15790">
      <c r="B15790" s="31"/>
      <c r="G15790" s="272" t="s">
        <v>1099</v>
      </c>
    </row>
    <row r="15791">
      <c r="B15791" s="31"/>
      <c r="G15791" s="272" t="s">
        <v>1099</v>
      </c>
    </row>
    <row r="15792">
      <c r="B15792" s="31"/>
      <c r="G15792" s="272" t="s">
        <v>1099</v>
      </c>
    </row>
    <row r="15793">
      <c r="B15793" s="31"/>
      <c r="G15793" s="272" t="s">
        <v>1099</v>
      </c>
    </row>
    <row r="15794">
      <c r="B15794" s="31"/>
      <c r="G15794" s="272" t="s">
        <v>1099</v>
      </c>
    </row>
    <row r="15795">
      <c r="B15795" s="31"/>
      <c r="G15795" s="272" t="s">
        <v>1099</v>
      </c>
    </row>
    <row r="15796">
      <c r="B15796" s="31"/>
      <c r="G15796" s="272" t="s">
        <v>1099</v>
      </c>
    </row>
    <row r="15797">
      <c r="B15797" s="31"/>
      <c r="G15797" s="272" t="s">
        <v>1099</v>
      </c>
    </row>
    <row r="15798">
      <c r="B15798" s="31"/>
      <c r="G15798" s="272" t="s">
        <v>1099</v>
      </c>
    </row>
    <row r="15799">
      <c r="B15799" s="31"/>
      <c r="G15799" s="272" t="s">
        <v>1099</v>
      </c>
    </row>
    <row r="15800">
      <c r="B15800" s="31"/>
      <c r="G15800" s="272" t="s">
        <v>1099</v>
      </c>
    </row>
    <row r="15801">
      <c r="B15801" s="31"/>
      <c r="G15801" s="272" t="s">
        <v>1099</v>
      </c>
    </row>
    <row r="15802">
      <c r="B15802" s="31"/>
      <c r="G15802" s="272" t="s">
        <v>1099</v>
      </c>
    </row>
    <row r="15803">
      <c r="B15803" s="31"/>
      <c r="G15803" s="272" t="s">
        <v>1099</v>
      </c>
    </row>
    <row r="15804">
      <c r="B15804" s="31"/>
      <c r="G15804" s="272" t="s">
        <v>1099</v>
      </c>
    </row>
    <row r="15805">
      <c r="B15805" s="31"/>
      <c r="G15805" s="272" t="s">
        <v>1099</v>
      </c>
    </row>
    <row r="15806">
      <c r="B15806" s="31"/>
      <c r="G15806" s="272" t="s">
        <v>1099</v>
      </c>
    </row>
    <row r="15807">
      <c r="B15807" s="31"/>
      <c r="G15807" s="272" t="s">
        <v>1099</v>
      </c>
    </row>
    <row r="15808">
      <c r="B15808" s="31"/>
      <c r="G15808" s="272" t="s">
        <v>1099</v>
      </c>
    </row>
    <row r="15809">
      <c r="B15809" s="31"/>
      <c r="G15809" s="272" t="s">
        <v>1099</v>
      </c>
    </row>
    <row r="15810">
      <c r="B15810" s="31"/>
      <c r="G15810" s="272" t="s">
        <v>1099</v>
      </c>
    </row>
    <row r="15811">
      <c r="B15811" s="31"/>
      <c r="G15811" s="272" t="s">
        <v>1099</v>
      </c>
    </row>
    <row r="15812">
      <c r="B15812" s="31"/>
      <c r="G15812" s="272" t="s">
        <v>1099</v>
      </c>
    </row>
    <row r="15813">
      <c r="B15813" s="31"/>
      <c r="G15813" s="272" t="s">
        <v>1099</v>
      </c>
    </row>
    <row r="15814">
      <c r="B15814" s="31"/>
      <c r="G15814" s="272" t="s">
        <v>1099</v>
      </c>
    </row>
    <row r="15815">
      <c r="B15815" s="31"/>
      <c r="G15815" s="272" t="s">
        <v>1099</v>
      </c>
    </row>
    <row r="15816">
      <c r="B15816" s="31"/>
      <c r="G15816" s="272" t="s">
        <v>1099</v>
      </c>
    </row>
    <row r="15817">
      <c r="B15817" s="31"/>
      <c r="G15817" s="272" t="s">
        <v>1099</v>
      </c>
    </row>
    <row r="15818">
      <c r="B15818" s="31"/>
      <c r="G15818" s="272" t="s">
        <v>1099</v>
      </c>
    </row>
    <row r="15819">
      <c r="B15819" s="31"/>
      <c r="G15819" s="272" t="s">
        <v>1099</v>
      </c>
    </row>
    <row r="15820">
      <c r="B15820" s="31"/>
      <c r="G15820" s="272" t="s">
        <v>1099</v>
      </c>
    </row>
    <row r="15821">
      <c r="B15821" s="31"/>
      <c r="G15821" s="272" t="s">
        <v>1099</v>
      </c>
    </row>
    <row r="15822">
      <c r="B15822" s="31"/>
      <c r="G15822" s="272" t="s">
        <v>1099</v>
      </c>
    </row>
    <row r="15823">
      <c r="B15823" s="31"/>
      <c r="G15823" s="272" t="s">
        <v>1099</v>
      </c>
    </row>
    <row r="15824">
      <c r="B15824" s="31"/>
      <c r="G15824" s="272" t="s">
        <v>1099</v>
      </c>
    </row>
    <row r="15825">
      <c r="B15825" s="31"/>
      <c r="G15825" s="272" t="s">
        <v>1099</v>
      </c>
    </row>
    <row r="15826">
      <c r="B15826" s="31"/>
      <c r="G15826" s="272" t="s">
        <v>1099</v>
      </c>
    </row>
    <row r="15827">
      <c r="B15827" s="31"/>
      <c r="G15827" s="272" t="s">
        <v>1099</v>
      </c>
    </row>
    <row r="15828">
      <c r="B15828" s="31"/>
      <c r="G15828" s="272" t="s">
        <v>1099</v>
      </c>
    </row>
    <row r="15829">
      <c r="B15829" s="31"/>
      <c r="G15829" s="272" t="s">
        <v>1099</v>
      </c>
    </row>
    <row r="15830">
      <c r="B15830" s="31"/>
      <c r="G15830" s="272" t="s">
        <v>1099</v>
      </c>
    </row>
    <row r="15831">
      <c r="B15831" s="31"/>
      <c r="G15831" s="272" t="s">
        <v>1099</v>
      </c>
    </row>
    <row r="15832">
      <c r="B15832" s="31"/>
      <c r="G15832" s="272" t="s">
        <v>1099</v>
      </c>
    </row>
    <row r="15833">
      <c r="B15833" s="31"/>
      <c r="G15833" s="272" t="s">
        <v>1099</v>
      </c>
    </row>
    <row r="15834">
      <c r="B15834" s="31"/>
      <c r="G15834" s="272" t="s">
        <v>1099</v>
      </c>
    </row>
    <row r="15835">
      <c r="B15835" s="31"/>
      <c r="G15835" s="272" t="s">
        <v>1099</v>
      </c>
    </row>
    <row r="15836">
      <c r="B15836" s="31"/>
      <c r="G15836" s="272" t="s">
        <v>1099</v>
      </c>
    </row>
    <row r="15837">
      <c r="B15837" s="31"/>
      <c r="G15837" s="272" t="s">
        <v>1099</v>
      </c>
    </row>
    <row r="15838">
      <c r="B15838" s="31"/>
      <c r="G15838" s="272" t="s">
        <v>1099</v>
      </c>
    </row>
    <row r="15839">
      <c r="B15839" s="31"/>
      <c r="G15839" s="272" t="s">
        <v>1099</v>
      </c>
    </row>
    <row r="15840">
      <c r="B15840" s="31"/>
      <c r="G15840" s="272" t="s">
        <v>1099</v>
      </c>
    </row>
    <row r="15841">
      <c r="B15841" s="31"/>
      <c r="G15841" s="272" t="s">
        <v>1099</v>
      </c>
    </row>
    <row r="15842">
      <c r="B15842" s="31"/>
      <c r="G15842" s="272" t="s">
        <v>1099</v>
      </c>
    </row>
    <row r="15843">
      <c r="B15843" s="31"/>
      <c r="G15843" s="272" t="s">
        <v>1099</v>
      </c>
    </row>
    <row r="15844">
      <c r="B15844" s="31"/>
      <c r="G15844" s="272" t="s">
        <v>1099</v>
      </c>
    </row>
    <row r="15845">
      <c r="B15845" s="31"/>
      <c r="G15845" s="272" t="s">
        <v>1099</v>
      </c>
    </row>
    <row r="15846">
      <c r="B15846" s="31"/>
      <c r="G15846" s="272" t="s">
        <v>1099</v>
      </c>
    </row>
    <row r="15847">
      <c r="B15847" s="31"/>
      <c r="G15847" s="272" t="s">
        <v>1099</v>
      </c>
    </row>
    <row r="15848">
      <c r="B15848" s="31"/>
      <c r="G15848" s="272" t="s">
        <v>1099</v>
      </c>
    </row>
    <row r="15849">
      <c r="B15849" s="31"/>
      <c r="G15849" s="272" t="s">
        <v>1099</v>
      </c>
    </row>
    <row r="15850">
      <c r="B15850" s="31"/>
      <c r="G15850" s="272" t="s">
        <v>1099</v>
      </c>
    </row>
    <row r="15851">
      <c r="B15851" s="31"/>
      <c r="G15851" s="272" t="s">
        <v>1099</v>
      </c>
    </row>
    <row r="15852">
      <c r="B15852" s="31"/>
      <c r="G15852" s="272" t="s">
        <v>1099</v>
      </c>
    </row>
    <row r="15853">
      <c r="B15853" s="31"/>
      <c r="G15853" s="272" t="s">
        <v>1099</v>
      </c>
    </row>
    <row r="15854">
      <c r="B15854" s="31"/>
      <c r="G15854" s="272" t="s">
        <v>1099</v>
      </c>
    </row>
    <row r="15855">
      <c r="B15855" s="31"/>
      <c r="G15855" s="272" t="s">
        <v>1099</v>
      </c>
    </row>
    <row r="15856">
      <c r="B15856" s="31"/>
      <c r="G15856" s="272" t="s">
        <v>1099</v>
      </c>
    </row>
    <row r="15857">
      <c r="B15857" s="31"/>
      <c r="G15857" s="272" t="s">
        <v>1099</v>
      </c>
    </row>
    <row r="15858">
      <c r="B15858" s="31"/>
      <c r="G15858" s="272" t="s">
        <v>1099</v>
      </c>
    </row>
    <row r="15859">
      <c r="B15859" s="31"/>
      <c r="G15859" s="272" t="s">
        <v>1099</v>
      </c>
    </row>
    <row r="15860">
      <c r="B15860" s="31"/>
      <c r="G15860" s="272" t="s">
        <v>1099</v>
      </c>
    </row>
    <row r="15861">
      <c r="B15861" s="31"/>
      <c r="G15861" s="272" t="s">
        <v>1099</v>
      </c>
    </row>
    <row r="15862">
      <c r="B15862" s="31"/>
      <c r="G15862" s="272" t="s">
        <v>1099</v>
      </c>
    </row>
    <row r="15863">
      <c r="B15863" s="31"/>
      <c r="G15863" s="272" t="s">
        <v>1099</v>
      </c>
    </row>
    <row r="15864">
      <c r="B15864" s="31"/>
      <c r="G15864" s="272" t="s">
        <v>1099</v>
      </c>
    </row>
    <row r="15865">
      <c r="B15865" s="31"/>
      <c r="G15865" s="272" t="s">
        <v>1099</v>
      </c>
    </row>
    <row r="15866">
      <c r="B15866" s="31"/>
      <c r="G15866" s="272" t="s">
        <v>1099</v>
      </c>
    </row>
    <row r="15867">
      <c r="B15867" s="31"/>
      <c r="G15867" s="272" t="s">
        <v>1099</v>
      </c>
    </row>
    <row r="15868">
      <c r="B15868" s="31"/>
      <c r="G15868" s="272" t="s">
        <v>1099</v>
      </c>
    </row>
    <row r="15869">
      <c r="B15869" s="31"/>
      <c r="G15869" s="272" t="s">
        <v>1099</v>
      </c>
    </row>
    <row r="15870">
      <c r="B15870" s="31"/>
      <c r="G15870" s="272" t="s">
        <v>1099</v>
      </c>
    </row>
    <row r="15871">
      <c r="B15871" s="31"/>
      <c r="G15871" s="272" t="s">
        <v>1099</v>
      </c>
    </row>
    <row r="15872">
      <c r="B15872" s="31"/>
      <c r="G15872" s="272" t="s">
        <v>1099</v>
      </c>
    </row>
    <row r="15873">
      <c r="B15873" s="31"/>
      <c r="G15873" s="272" t="s">
        <v>1099</v>
      </c>
    </row>
    <row r="15874">
      <c r="B15874" s="31"/>
      <c r="G15874" s="272" t="s">
        <v>1099</v>
      </c>
    </row>
    <row r="15875">
      <c r="B15875" s="31"/>
      <c r="G15875" s="272" t="s">
        <v>1099</v>
      </c>
    </row>
    <row r="15876">
      <c r="B15876" s="31"/>
      <c r="G15876" s="272" t="s">
        <v>1099</v>
      </c>
    </row>
    <row r="15877">
      <c r="B15877" s="31"/>
      <c r="G15877" s="272" t="s">
        <v>1099</v>
      </c>
    </row>
    <row r="15878">
      <c r="B15878" s="31"/>
      <c r="G15878" s="272" t="s">
        <v>1099</v>
      </c>
    </row>
    <row r="15879">
      <c r="B15879" s="31"/>
      <c r="G15879" s="272" t="s">
        <v>1099</v>
      </c>
    </row>
    <row r="15880">
      <c r="B15880" s="31"/>
      <c r="G15880" s="272" t="s">
        <v>1099</v>
      </c>
    </row>
    <row r="15881">
      <c r="B15881" s="31"/>
      <c r="G15881" s="272" t="s">
        <v>1099</v>
      </c>
    </row>
    <row r="15882">
      <c r="B15882" s="31"/>
      <c r="G15882" s="272" t="s">
        <v>1099</v>
      </c>
    </row>
    <row r="15883">
      <c r="B15883" s="31"/>
      <c r="G15883" s="272" t="s">
        <v>1099</v>
      </c>
    </row>
    <row r="15884">
      <c r="B15884" s="31"/>
      <c r="G15884" s="272" t="s">
        <v>1099</v>
      </c>
    </row>
    <row r="15885">
      <c r="B15885" s="31"/>
      <c r="G15885" s="272" t="s">
        <v>1099</v>
      </c>
    </row>
    <row r="15886">
      <c r="B15886" s="31"/>
      <c r="G15886" s="272" t="s">
        <v>1099</v>
      </c>
    </row>
    <row r="15887">
      <c r="B15887" s="31"/>
      <c r="G15887" s="272" t="s">
        <v>1099</v>
      </c>
    </row>
    <row r="15888">
      <c r="B15888" s="31"/>
      <c r="G15888" s="272" t="s">
        <v>1099</v>
      </c>
    </row>
    <row r="15889">
      <c r="B15889" s="31"/>
      <c r="G15889" s="272" t="s">
        <v>1099</v>
      </c>
    </row>
    <row r="15890">
      <c r="B15890" s="31"/>
      <c r="G15890" s="272" t="s">
        <v>1099</v>
      </c>
    </row>
    <row r="15891">
      <c r="B15891" s="31"/>
      <c r="G15891" s="272" t="s">
        <v>1099</v>
      </c>
    </row>
    <row r="15892">
      <c r="B15892" s="31"/>
      <c r="G15892" s="272" t="s">
        <v>1099</v>
      </c>
    </row>
    <row r="15893">
      <c r="B15893" s="31"/>
      <c r="G15893" s="272" t="s">
        <v>1099</v>
      </c>
    </row>
    <row r="15894">
      <c r="B15894" s="31"/>
      <c r="G15894" s="272" t="s">
        <v>1099</v>
      </c>
    </row>
    <row r="15895">
      <c r="B15895" s="31"/>
      <c r="G15895" s="272" t="s">
        <v>1099</v>
      </c>
    </row>
    <row r="15896">
      <c r="B15896" s="31"/>
      <c r="G15896" s="272" t="s">
        <v>1099</v>
      </c>
    </row>
    <row r="15897">
      <c r="B15897" s="31"/>
      <c r="G15897" s="272" t="s">
        <v>1099</v>
      </c>
    </row>
    <row r="15898">
      <c r="B15898" s="31"/>
      <c r="G15898" s="272" t="s">
        <v>1099</v>
      </c>
    </row>
    <row r="15899">
      <c r="B15899" s="31"/>
      <c r="G15899" s="272" t="s">
        <v>1099</v>
      </c>
    </row>
    <row r="15900">
      <c r="B15900" s="31"/>
      <c r="G15900" s="272" t="s">
        <v>1099</v>
      </c>
    </row>
    <row r="15901">
      <c r="B15901" s="31"/>
      <c r="G15901" s="272" t="s">
        <v>1099</v>
      </c>
    </row>
    <row r="15902">
      <c r="B15902" s="31"/>
      <c r="G15902" s="272" t="s">
        <v>1099</v>
      </c>
    </row>
    <row r="15903">
      <c r="B15903" s="31"/>
      <c r="G15903" s="272" t="s">
        <v>1099</v>
      </c>
    </row>
    <row r="15904">
      <c r="B15904" s="31"/>
      <c r="G15904" s="272" t="s">
        <v>1099</v>
      </c>
    </row>
    <row r="15905">
      <c r="B15905" s="31"/>
      <c r="G15905" s="272" t="s">
        <v>1099</v>
      </c>
    </row>
    <row r="15906">
      <c r="B15906" s="31"/>
      <c r="G15906" s="272" t="s">
        <v>1099</v>
      </c>
    </row>
    <row r="15907">
      <c r="B15907" s="31"/>
      <c r="G15907" s="272" t="s">
        <v>1099</v>
      </c>
    </row>
    <row r="15908">
      <c r="B15908" s="31"/>
      <c r="G15908" s="272" t="s">
        <v>1099</v>
      </c>
    </row>
    <row r="15909">
      <c r="B15909" s="31"/>
      <c r="G15909" s="272" t="s">
        <v>1099</v>
      </c>
    </row>
    <row r="15910">
      <c r="B15910" s="31"/>
      <c r="G15910" s="272" t="s">
        <v>1099</v>
      </c>
    </row>
    <row r="15911">
      <c r="B15911" s="31"/>
      <c r="G15911" s="272" t="s">
        <v>1099</v>
      </c>
    </row>
    <row r="15912">
      <c r="B15912" s="31"/>
      <c r="G15912" s="272" t="s">
        <v>1099</v>
      </c>
    </row>
    <row r="15913">
      <c r="B15913" s="31"/>
      <c r="G15913" s="272" t="s">
        <v>1099</v>
      </c>
    </row>
    <row r="15914">
      <c r="B15914" s="31"/>
      <c r="G15914" s="272" t="s">
        <v>1099</v>
      </c>
    </row>
    <row r="15915">
      <c r="B15915" s="31"/>
      <c r="G15915" s="272" t="s">
        <v>1099</v>
      </c>
    </row>
    <row r="15916">
      <c r="B15916" s="31"/>
      <c r="G15916" s="272" t="s">
        <v>1099</v>
      </c>
    </row>
    <row r="15917">
      <c r="B15917" s="31"/>
      <c r="G15917" s="272" t="s">
        <v>1099</v>
      </c>
    </row>
    <row r="15918">
      <c r="B15918" s="31"/>
      <c r="G15918" s="272" t="s">
        <v>1099</v>
      </c>
    </row>
    <row r="15919">
      <c r="B15919" s="31"/>
      <c r="G15919" s="272" t="s">
        <v>1099</v>
      </c>
    </row>
    <row r="15920">
      <c r="B15920" s="31"/>
      <c r="G15920" s="272" t="s">
        <v>1099</v>
      </c>
    </row>
    <row r="15921">
      <c r="B15921" s="31"/>
      <c r="G15921" s="272" t="s">
        <v>1099</v>
      </c>
    </row>
    <row r="15922">
      <c r="B15922" s="31"/>
      <c r="G15922" s="272" t="s">
        <v>1099</v>
      </c>
    </row>
    <row r="15923">
      <c r="B15923" s="31"/>
      <c r="G15923" s="272" t="s">
        <v>1099</v>
      </c>
    </row>
    <row r="15924">
      <c r="B15924" s="31"/>
      <c r="G15924" s="272" t="s">
        <v>1099</v>
      </c>
    </row>
    <row r="15925">
      <c r="B15925" s="31"/>
      <c r="G15925" s="272" t="s">
        <v>1099</v>
      </c>
    </row>
    <row r="15926">
      <c r="B15926" s="31"/>
      <c r="G15926" s="272" t="s">
        <v>1099</v>
      </c>
    </row>
    <row r="15927">
      <c r="B15927" s="31"/>
      <c r="G15927" s="272" t="s">
        <v>1099</v>
      </c>
    </row>
    <row r="15928">
      <c r="B15928" s="31"/>
      <c r="G15928" s="272" t="s">
        <v>1099</v>
      </c>
    </row>
    <row r="15929">
      <c r="B15929" s="31"/>
      <c r="G15929" s="272" t="s">
        <v>1099</v>
      </c>
    </row>
    <row r="15930">
      <c r="B15930" s="31"/>
      <c r="G15930" s="272" t="s">
        <v>1099</v>
      </c>
    </row>
    <row r="15931">
      <c r="B15931" s="31"/>
      <c r="G15931" s="272" t="s">
        <v>1099</v>
      </c>
    </row>
    <row r="15932">
      <c r="B15932" s="31"/>
      <c r="G15932" s="272" t="s">
        <v>1099</v>
      </c>
    </row>
    <row r="15933">
      <c r="B15933" s="31"/>
      <c r="G15933" s="272" t="s">
        <v>1099</v>
      </c>
    </row>
    <row r="15934">
      <c r="B15934" s="31"/>
      <c r="G15934" s="272" t="s">
        <v>1099</v>
      </c>
    </row>
    <row r="15935">
      <c r="B15935" s="31"/>
      <c r="G15935" s="272" t="s">
        <v>1099</v>
      </c>
    </row>
    <row r="15936">
      <c r="B15936" s="31"/>
      <c r="G15936" s="272" t="s">
        <v>1099</v>
      </c>
    </row>
    <row r="15937">
      <c r="B15937" s="31"/>
      <c r="G15937" s="272" t="s">
        <v>1099</v>
      </c>
    </row>
    <row r="15938">
      <c r="B15938" s="31"/>
      <c r="G15938" s="272" t="s">
        <v>1099</v>
      </c>
    </row>
    <row r="15939">
      <c r="B15939" s="31"/>
      <c r="G15939" s="272" t="s">
        <v>1099</v>
      </c>
    </row>
    <row r="15940">
      <c r="B15940" s="31"/>
      <c r="G15940" s="272" t="s">
        <v>1099</v>
      </c>
    </row>
    <row r="15941">
      <c r="B15941" s="31"/>
      <c r="G15941" s="272" t="s">
        <v>1099</v>
      </c>
    </row>
    <row r="15942">
      <c r="B15942" s="31"/>
      <c r="G15942" s="272" t="s">
        <v>1099</v>
      </c>
    </row>
    <row r="15943">
      <c r="B15943" s="31"/>
      <c r="G15943" s="272" t="s">
        <v>1099</v>
      </c>
    </row>
    <row r="15944">
      <c r="B15944" s="31"/>
      <c r="G15944" s="272" t="s">
        <v>1099</v>
      </c>
    </row>
    <row r="15945">
      <c r="B15945" s="31"/>
      <c r="G15945" s="272" t="s">
        <v>1099</v>
      </c>
    </row>
    <row r="15946">
      <c r="B15946" s="31"/>
      <c r="G15946" s="272" t="s">
        <v>1099</v>
      </c>
    </row>
    <row r="15947">
      <c r="B15947" s="31"/>
      <c r="G15947" s="272" t="s">
        <v>1099</v>
      </c>
    </row>
    <row r="15948">
      <c r="B15948" s="31"/>
      <c r="G15948" s="272" t="s">
        <v>1099</v>
      </c>
    </row>
    <row r="15949">
      <c r="B15949" s="31"/>
      <c r="G15949" s="272" t="s">
        <v>1099</v>
      </c>
    </row>
    <row r="15950">
      <c r="B15950" s="31"/>
      <c r="G15950" s="272" t="s">
        <v>1099</v>
      </c>
    </row>
    <row r="15951">
      <c r="B15951" s="31"/>
      <c r="G15951" s="272" t="s">
        <v>1099</v>
      </c>
    </row>
    <row r="15952">
      <c r="B15952" s="31"/>
      <c r="G15952" s="272" t="s">
        <v>1099</v>
      </c>
    </row>
    <row r="15953">
      <c r="B15953" s="31"/>
      <c r="G15953" s="272" t="s">
        <v>1099</v>
      </c>
    </row>
    <row r="15954">
      <c r="B15954" s="31"/>
      <c r="G15954" s="272" t="s">
        <v>1099</v>
      </c>
    </row>
    <row r="15955">
      <c r="B15955" s="31"/>
      <c r="G15955" s="272" t="s">
        <v>1099</v>
      </c>
    </row>
    <row r="15956">
      <c r="B15956" s="31"/>
      <c r="G15956" s="272" t="s">
        <v>1099</v>
      </c>
    </row>
    <row r="15957">
      <c r="B15957" s="31"/>
      <c r="G15957" s="272" t="s">
        <v>1099</v>
      </c>
    </row>
    <row r="15958">
      <c r="B15958" s="31"/>
      <c r="G15958" s="272" t="s">
        <v>1099</v>
      </c>
    </row>
    <row r="15959">
      <c r="B15959" s="31"/>
      <c r="G15959" s="272" t="s">
        <v>1099</v>
      </c>
    </row>
    <row r="15960">
      <c r="B15960" s="31"/>
      <c r="G15960" s="272" t="s">
        <v>1099</v>
      </c>
    </row>
    <row r="15961">
      <c r="B15961" s="31"/>
      <c r="G15961" s="272" t="s">
        <v>1099</v>
      </c>
    </row>
    <row r="15962">
      <c r="B15962" s="31"/>
      <c r="G15962" s="272" t="s">
        <v>1099</v>
      </c>
    </row>
    <row r="15963">
      <c r="B15963" s="31"/>
      <c r="G15963" s="272" t="s">
        <v>1099</v>
      </c>
    </row>
    <row r="15964">
      <c r="B15964" s="31"/>
      <c r="G15964" s="272" t="s">
        <v>1099</v>
      </c>
    </row>
    <row r="15965">
      <c r="B15965" s="31"/>
      <c r="G15965" s="272" t="s">
        <v>1099</v>
      </c>
    </row>
    <row r="15966">
      <c r="B15966" s="31"/>
      <c r="G15966" s="272" t="s">
        <v>1099</v>
      </c>
    </row>
    <row r="15967">
      <c r="B15967" s="31"/>
      <c r="G15967" s="272" t="s">
        <v>1099</v>
      </c>
    </row>
    <row r="15968">
      <c r="B15968" s="31"/>
      <c r="G15968" s="272" t="s">
        <v>1099</v>
      </c>
    </row>
    <row r="15969">
      <c r="B15969" s="31"/>
      <c r="G15969" s="272" t="s">
        <v>1099</v>
      </c>
    </row>
    <row r="15970">
      <c r="B15970" s="31"/>
      <c r="G15970" s="272" t="s">
        <v>1099</v>
      </c>
    </row>
    <row r="15971">
      <c r="B15971" s="31"/>
      <c r="G15971" s="272" t="s">
        <v>1099</v>
      </c>
    </row>
    <row r="15972">
      <c r="B15972" s="31"/>
      <c r="G15972" s="272" t="s">
        <v>1099</v>
      </c>
    </row>
    <row r="15973">
      <c r="B15973" s="31"/>
      <c r="G15973" s="272" t="s">
        <v>1099</v>
      </c>
    </row>
    <row r="15974">
      <c r="B15974" s="31"/>
      <c r="G15974" s="272" t="s">
        <v>1099</v>
      </c>
    </row>
    <row r="15975">
      <c r="B15975" s="31"/>
      <c r="G15975" s="272" t="s">
        <v>1099</v>
      </c>
    </row>
    <row r="15976">
      <c r="B15976" s="31"/>
      <c r="G15976" s="272" t="s">
        <v>1099</v>
      </c>
    </row>
    <row r="15977">
      <c r="B15977" s="31"/>
      <c r="G15977" s="272" t="s">
        <v>1099</v>
      </c>
    </row>
    <row r="15978">
      <c r="B15978" s="31"/>
      <c r="G15978" s="272" t="s">
        <v>1099</v>
      </c>
    </row>
    <row r="15979">
      <c r="B15979" s="31"/>
      <c r="G15979" s="272" t="s">
        <v>1099</v>
      </c>
    </row>
    <row r="15980">
      <c r="B15980" s="31"/>
      <c r="G15980" s="272" t="s">
        <v>1099</v>
      </c>
    </row>
    <row r="15981">
      <c r="B15981" s="31"/>
      <c r="G15981" s="272" t="s">
        <v>1099</v>
      </c>
    </row>
    <row r="15982">
      <c r="B15982" s="31"/>
      <c r="G15982" s="272" t="s">
        <v>1099</v>
      </c>
    </row>
    <row r="15983">
      <c r="B15983" s="31"/>
      <c r="G15983" s="272" t="s">
        <v>1099</v>
      </c>
    </row>
    <row r="15984">
      <c r="B15984" s="31"/>
      <c r="G15984" s="272" t="s">
        <v>1099</v>
      </c>
    </row>
    <row r="15985">
      <c r="B15985" s="31"/>
      <c r="G15985" s="272" t="s">
        <v>1099</v>
      </c>
    </row>
    <row r="15986">
      <c r="B15986" s="31"/>
      <c r="G15986" s="272" t="s">
        <v>1099</v>
      </c>
    </row>
    <row r="15987">
      <c r="B15987" s="31"/>
      <c r="G15987" s="272" t="s">
        <v>1099</v>
      </c>
    </row>
    <row r="15988">
      <c r="B15988" s="31"/>
      <c r="G15988" s="272" t="s">
        <v>1099</v>
      </c>
    </row>
    <row r="15989">
      <c r="B15989" s="31"/>
      <c r="G15989" s="272" t="s">
        <v>1099</v>
      </c>
    </row>
    <row r="15990">
      <c r="B15990" s="31"/>
      <c r="G15990" s="272" t="s">
        <v>1099</v>
      </c>
    </row>
    <row r="15991">
      <c r="B15991" s="31"/>
      <c r="G15991" s="272" t="s">
        <v>1099</v>
      </c>
    </row>
    <row r="15992">
      <c r="B15992" s="31"/>
      <c r="G15992" s="272" t="s">
        <v>1099</v>
      </c>
    </row>
    <row r="15993">
      <c r="B15993" s="31"/>
      <c r="G15993" s="272" t="s">
        <v>1099</v>
      </c>
    </row>
    <row r="15994">
      <c r="B15994" s="31"/>
      <c r="G15994" s="272" t="s">
        <v>1099</v>
      </c>
    </row>
    <row r="15995">
      <c r="B15995" s="31"/>
      <c r="G15995" s="272" t="s">
        <v>1099</v>
      </c>
    </row>
    <row r="15996">
      <c r="B15996" s="31"/>
      <c r="G15996" s="272" t="s">
        <v>1099</v>
      </c>
    </row>
    <row r="15997">
      <c r="B15997" s="31"/>
      <c r="G15997" s="272" t="s">
        <v>1099</v>
      </c>
    </row>
    <row r="15998">
      <c r="B15998" s="31"/>
      <c r="G15998" s="272" t="s">
        <v>1099</v>
      </c>
    </row>
    <row r="15999">
      <c r="B15999" s="31"/>
      <c r="G15999" s="272" t="s">
        <v>1099</v>
      </c>
    </row>
    <row r="16000">
      <c r="B16000" s="31"/>
      <c r="G16000" s="272" t="s">
        <v>1099</v>
      </c>
    </row>
    <row r="16001">
      <c r="B16001" s="31"/>
      <c r="G16001" s="272" t="s">
        <v>1099</v>
      </c>
    </row>
    <row r="16002">
      <c r="B16002" s="31"/>
      <c r="G16002" s="272" t="s">
        <v>1099</v>
      </c>
    </row>
    <row r="16003">
      <c r="B16003" s="31"/>
      <c r="G16003" s="272" t="s">
        <v>1099</v>
      </c>
    </row>
    <row r="16004">
      <c r="B16004" s="31"/>
      <c r="G16004" s="272" t="s">
        <v>1099</v>
      </c>
    </row>
    <row r="16005">
      <c r="B16005" s="31"/>
      <c r="G16005" s="272" t="s">
        <v>1099</v>
      </c>
    </row>
    <row r="16006">
      <c r="B16006" s="31"/>
      <c r="G16006" s="272" t="s">
        <v>1099</v>
      </c>
    </row>
    <row r="16007">
      <c r="B16007" s="31"/>
      <c r="G16007" s="272" t="s">
        <v>1099</v>
      </c>
    </row>
    <row r="16008">
      <c r="B16008" s="31"/>
      <c r="G16008" s="272" t="s">
        <v>1099</v>
      </c>
    </row>
    <row r="16009">
      <c r="B16009" s="31"/>
      <c r="G16009" s="272" t="s">
        <v>1099</v>
      </c>
    </row>
    <row r="16010">
      <c r="B16010" s="31"/>
      <c r="G16010" s="272" t="s">
        <v>1099</v>
      </c>
    </row>
    <row r="16011">
      <c r="B16011" s="31"/>
      <c r="G16011" s="272" t="s">
        <v>1099</v>
      </c>
    </row>
    <row r="16012">
      <c r="B16012" s="31"/>
      <c r="G16012" s="272" t="s">
        <v>1099</v>
      </c>
    </row>
    <row r="16013">
      <c r="B16013" s="31"/>
      <c r="G16013" s="272" t="s">
        <v>1099</v>
      </c>
    </row>
    <row r="16014">
      <c r="B16014" s="31"/>
      <c r="G16014" s="272" t="s">
        <v>1099</v>
      </c>
    </row>
    <row r="16015">
      <c r="B16015" s="31"/>
      <c r="G16015" s="272" t="s">
        <v>1099</v>
      </c>
    </row>
    <row r="16016">
      <c r="B16016" s="31"/>
      <c r="G16016" s="272" t="s">
        <v>1099</v>
      </c>
    </row>
    <row r="16017">
      <c r="B16017" s="31"/>
      <c r="G16017" s="272" t="s">
        <v>1099</v>
      </c>
    </row>
    <row r="16018">
      <c r="B16018" s="31"/>
      <c r="G16018" s="272" t="s">
        <v>1099</v>
      </c>
    </row>
    <row r="16019">
      <c r="B16019" s="31"/>
      <c r="G16019" s="272" t="s">
        <v>1099</v>
      </c>
    </row>
    <row r="16020">
      <c r="B16020" s="31"/>
      <c r="G16020" s="272" t="s">
        <v>1099</v>
      </c>
    </row>
    <row r="16021">
      <c r="B16021" s="31"/>
      <c r="G16021" s="272" t="s">
        <v>1099</v>
      </c>
    </row>
    <row r="16022">
      <c r="B16022" s="31"/>
      <c r="G16022" s="272" t="s">
        <v>1099</v>
      </c>
    </row>
    <row r="16023">
      <c r="B16023" s="31"/>
      <c r="G16023" s="272" t="s">
        <v>1099</v>
      </c>
    </row>
    <row r="16024">
      <c r="B16024" s="31"/>
      <c r="G16024" s="272" t="s">
        <v>1099</v>
      </c>
    </row>
    <row r="16025">
      <c r="B16025" s="31"/>
      <c r="G16025" s="272" t="s">
        <v>1099</v>
      </c>
    </row>
    <row r="16026">
      <c r="B16026" s="31"/>
      <c r="G16026" s="272" t="s">
        <v>1099</v>
      </c>
    </row>
    <row r="16027">
      <c r="B16027" s="31"/>
      <c r="G16027" s="272" t="s">
        <v>1099</v>
      </c>
    </row>
    <row r="16028">
      <c r="B16028" s="31"/>
      <c r="G16028" s="272" t="s">
        <v>1099</v>
      </c>
    </row>
    <row r="16029">
      <c r="B16029" s="31"/>
      <c r="G16029" s="272" t="s">
        <v>1099</v>
      </c>
    </row>
    <row r="16030">
      <c r="B16030" s="31"/>
      <c r="G16030" s="272" t="s">
        <v>1099</v>
      </c>
    </row>
    <row r="16031">
      <c r="B16031" s="31"/>
      <c r="G16031" s="272" t="s">
        <v>1099</v>
      </c>
    </row>
    <row r="16032">
      <c r="B16032" s="31"/>
      <c r="G16032" s="272" t="s">
        <v>1099</v>
      </c>
    </row>
    <row r="16033">
      <c r="B16033" s="31"/>
      <c r="G16033" s="272" t="s">
        <v>1099</v>
      </c>
    </row>
    <row r="16034">
      <c r="B16034" s="31"/>
      <c r="G16034" s="272" t="s">
        <v>1099</v>
      </c>
    </row>
    <row r="16035">
      <c r="B16035" s="31"/>
      <c r="G16035" s="272" t="s">
        <v>1099</v>
      </c>
    </row>
    <row r="16036">
      <c r="B16036" s="31"/>
      <c r="G16036" s="272" t="s">
        <v>1099</v>
      </c>
    </row>
    <row r="16037">
      <c r="B16037" s="31"/>
      <c r="G16037" s="272" t="s">
        <v>1099</v>
      </c>
    </row>
    <row r="16038">
      <c r="B16038" s="31"/>
      <c r="G16038" s="272" t="s">
        <v>1099</v>
      </c>
    </row>
    <row r="16039">
      <c r="B16039" s="31"/>
      <c r="G16039" s="272" t="s">
        <v>1099</v>
      </c>
    </row>
    <row r="16040">
      <c r="B16040" s="31"/>
      <c r="G16040" s="272" t="s">
        <v>1099</v>
      </c>
    </row>
    <row r="16041">
      <c r="B16041" s="31"/>
      <c r="G16041" s="272" t="s">
        <v>1099</v>
      </c>
    </row>
    <row r="16042">
      <c r="B16042" s="31"/>
      <c r="G16042" s="272" t="s">
        <v>1099</v>
      </c>
    </row>
    <row r="16043">
      <c r="B16043" s="31"/>
      <c r="G16043" s="272" t="s">
        <v>1099</v>
      </c>
    </row>
    <row r="16044">
      <c r="B16044" s="31"/>
      <c r="G16044" s="272" t="s">
        <v>1099</v>
      </c>
    </row>
    <row r="16045">
      <c r="B16045" s="31"/>
      <c r="G16045" s="272" t="s">
        <v>1099</v>
      </c>
    </row>
    <row r="16046">
      <c r="B16046" s="31"/>
      <c r="G16046" s="272" t="s">
        <v>1099</v>
      </c>
    </row>
    <row r="16047">
      <c r="B16047" s="31"/>
      <c r="G16047" s="272" t="s">
        <v>1099</v>
      </c>
    </row>
    <row r="16048">
      <c r="B16048" s="31"/>
      <c r="G16048" s="272" t="s">
        <v>1099</v>
      </c>
    </row>
    <row r="16049">
      <c r="B16049" s="31"/>
      <c r="G16049" s="272" t="s">
        <v>1099</v>
      </c>
    </row>
    <row r="16050">
      <c r="B16050" s="31"/>
      <c r="G16050" s="272" t="s">
        <v>1099</v>
      </c>
    </row>
    <row r="16051">
      <c r="B16051" s="31"/>
      <c r="G16051" s="272" t="s">
        <v>1099</v>
      </c>
    </row>
    <row r="16052">
      <c r="B16052" s="31"/>
      <c r="G16052" s="272" t="s">
        <v>1099</v>
      </c>
    </row>
    <row r="16053">
      <c r="B16053" s="31"/>
      <c r="G16053" s="272" t="s">
        <v>1099</v>
      </c>
    </row>
    <row r="16054">
      <c r="B16054" s="31"/>
      <c r="G16054" s="272" t="s">
        <v>1099</v>
      </c>
    </row>
    <row r="16055">
      <c r="B16055" s="31"/>
      <c r="G16055" s="272" t="s">
        <v>1099</v>
      </c>
    </row>
    <row r="16056">
      <c r="B16056" s="31"/>
      <c r="G16056" s="272" t="s">
        <v>1099</v>
      </c>
    </row>
    <row r="16057">
      <c r="B16057" s="31"/>
      <c r="G16057" s="272" t="s">
        <v>1099</v>
      </c>
    </row>
    <row r="16058">
      <c r="B16058" s="31"/>
      <c r="G16058" s="272" t="s">
        <v>1099</v>
      </c>
    </row>
    <row r="16059">
      <c r="B16059" s="31"/>
      <c r="G16059" s="272" t="s">
        <v>1099</v>
      </c>
    </row>
    <row r="16060">
      <c r="B16060" s="31"/>
      <c r="G16060" s="272" t="s">
        <v>1099</v>
      </c>
    </row>
    <row r="16061">
      <c r="B16061" s="31"/>
      <c r="G16061" s="272" t="s">
        <v>1099</v>
      </c>
    </row>
    <row r="16062">
      <c r="B16062" s="31"/>
      <c r="G16062" s="272" t="s">
        <v>1099</v>
      </c>
    </row>
    <row r="16063">
      <c r="B16063" s="31"/>
      <c r="G16063" s="272" t="s">
        <v>1099</v>
      </c>
    </row>
    <row r="16064">
      <c r="B16064" s="31"/>
      <c r="G16064" s="272" t="s">
        <v>1099</v>
      </c>
    </row>
    <row r="16065">
      <c r="B16065" s="31"/>
      <c r="G16065" s="272" t="s">
        <v>1099</v>
      </c>
    </row>
    <row r="16066">
      <c r="B16066" s="31"/>
      <c r="G16066" s="272" t="s">
        <v>1099</v>
      </c>
    </row>
    <row r="16067">
      <c r="B16067" s="31"/>
      <c r="G16067" s="272" t="s">
        <v>1099</v>
      </c>
    </row>
    <row r="16068">
      <c r="B16068" s="31"/>
      <c r="G16068" s="272" t="s">
        <v>1099</v>
      </c>
    </row>
    <row r="16069">
      <c r="B16069" s="31"/>
      <c r="G16069" s="272" t="s">
        <v>1099</v>
      </c>
    </row>
    <row r="16070">
      <c r="B16070" s="31"/>
      <c r="G16070" s="272" t="s">
        <v>1099</v>
      </c>
    </row>
    <row r="16071">
      <c r="B16071" s="31"/>
      <c r="G16071" s="272" t="s">
        <v>1099</v>
      </c>
    </row>
    <row r="16072">
      <c r="B16072" s="31"/>
      <c r="G16072" s="272" t="s">
        <v>1099</v>
      </c>
    </row>
    <row r="16073">
      <c r="B16073" s="31"/>
      <c r="G16073" s="272" t="s">
        <v>1099</v>
      </c>
    </row>
    <row r="16074">
      <c r="B16074" s="31"/>
      <c r="G16074" s="272" t="s">
        <v>1099</v>
      </c>
    </row>
    <row r="16075">
      <c r="B16075" s="31"/>
      <c r="G16075" s="272" t="s">
        <v>1099</v>
      </c>
    </row>
    <row r="16076">
      <c r="B16076" s="31"/>
      <c r="G16076" s="272" t="s">
        <v>1099</v>
      </c>
    </row>
    <row r="16077">
      <c r="B16077" s="31"/>
      <c r="G16077" s="272" t="s">
        <v>1099</v>
      </c>
    </row>
    <row r="16078">
      <c r="B16078" s="31"/>
      <c r="G16078" s="272" t="s">
        <v>1099</v>
      </c>
    </row>
    <row r="16079">
      <c r="B16079" s="31"/>
      <c r="G16079" s="272" t="s">
        <v>1099</v>
      </c>
    </row>
    <row r="16080">
      <c r="B16080" s="31"/>
      <c r="G16080" s="272" t="s">
        <v>1099</v>
      </c>
    </row>
    <row r="16081">
      <c r="B16081" s="31"/>
      <c r="G16081" s="272" t="s">
        <v>1099</v>
      </c>
    </row>
    <row r="16082">
      <c r="B16082" s="31"/>
      <c r="G16082" s="272" t="s">
        <v>1099</v>
      </c>
    </row>
    <row r="16083">
      <c r="B16083" s="31"/>
      <c r="G16083" s="272" t="s">
        <v>1099</v>
      </c>
    </row>
    <row r="16084">
      <c r="B16084" s="31"/>
      <c r="G16084" s="272" t="s">
        <v>1099</v>
      </c>
    </row>
    <row r="16085">
      <c r="B16085" s="31"/>
      <c r="G16085" s="272" t="s">
        <v>1099</v>
      </c>
    </row>
    <row r="16086">
      <c r="B16086" s="31"/>
      <c r="G16086" s="272" t="s">
        <v>1099</v>
      </c>
    </row>
    <row r="16087">
      <c r="B16087" s="31"/>
      <c r="G16087" s="272" t="s">
        <v>1099</v>
      </c>
    </row>
    <row r="16088">
      <c r="B16088" s="31"/>
      <c r="G16088" s="272" t="s">
        <v>1099</v>
      </c>
    </row>
    <row r="16089">
      <c r="B16089" s="31"/>
      <c r="G16089" s="272" t="s">
        <v>1099</v>
      </c>
    </row>
    <row r="16090">
      <c r="B16090" s="31"/>
      <c r="G16090" s="272" t="s">
        <v>1099</v>
      </c>
    </row>
    <row r="16091">
      <c r="B16091" s="31"/>
      <c r="G16091" s="272" t="s">
        <v>1099</v>
      </c>
    </row>
    <row r="16092">
      <c r="B16092" s="31"/>
      <c r="G16092" s="272" t="s">
        <v>1099</v>
      </c>
    </row>
    <row r="16093">
      <c r="B16093" s="31"/>
      <c r="G16093" s="272" t="s">
        <v>1099</v>
      </c>
    </row>
    <row r="16094">
      <c r="B16094" s="31"/>
      <c r="G16094" s="272" t="s">
        <v>1099</v>
      </c>
    </row>
    <row r="16095">
      <c r="B16095" s="31"/>
      <c r="G16095" s="272" t="s">
        <v>1099</v>
      </c>
    </row>
    <row r="16096">
      <c r="B16096" s="31"/>
      <c r="G16096" s="272" t="s">
        <v>1099</v>
      </c>
    </row>
    <row r="16097">
      <c r="B16097" s="31"/>
      <c r="G16097" s="272" t="s">
        <v>1099</v>
      </c>
    </row>
    <row r="16098">
      <c r="B16098" s="31"/>
      <c r="G16098" s="272" t="s">
        <v>1099</v>
      </c>
    </row>
    <row r="16099">
      <c r="B16099" s="31"/>
      <c r="G16099" s="272" t="s">
        <v>1099</v>
      </c>
    </row>
    <row r="16100">
      <c r="B16100" s="31"/>
      <c r="G16100" s="272" t="s">
        <v>1099</v>
      </c>
    </row>
    <row r="16101">
      <c r="B16101" s="31"/>
      <c r="G16101" s="272" t="s">
        <v>1099</v>
      </c>
    </row>
    <row r="16102">
      <c r="B16102" s="31"/>
      <c r="G16102" s="272" t="s">
        <v>1099</v>
      </c>
    </row>
    <row r="16103">
      <c r="B16103" s="31"/>
      <c r="G16103" s="272" t="s">
        <v>1099</v>
      </c>
    </row>
    <row r="16104">
      <c r="B16104" s="31"/>
      <c r="G16104" s="272" t="s">
        <v>1099</v>
      </c>
    </row>
    <row r="16105">
      <c r="B16105" s="31"/>
      <c r="G16105" s="272" t="s">
        <v>1099</v>
      </c>
    </row>
    <row r="16106">
      <c r="B16106" s="31"/>
      <c r="G16106" s="272" t="s">
        <v>1099</v>
      </c>
    </row>
    <row r="16107">
      <c r="B16107" s="31"/>
      <c r="G16107" s="272" t="s">
        <v>1099</v>
      </c>
    </row>
    <row r="16108">
      <c r="B16108" s="31"/>
      <c r="G16108" s="272" t="s">
        <v>1099</v>
      </c>
    </row>
    <row r="16109">
      <c r="B16109" s="31"/>
      <c r="G16109" s="272" t="s">
        <v>1099</v>
      </c>
    </row>
    <row r="16110">
      <c r="B16110" s="31"/>
      <c r="G16110" s="272" t="s">
        <v>1099</v>
      </c>
    </row>
    <row r="16111">
      <c r="B16111" s="31"/>
      <c r="G16111" s="272" t="s">
        <v>1099</v>
      </c>
    </row>
    <row r="16112">
      <c r="B16112" s="31"/>
      <c r="G16112" s="272" t="s">
        <v>1099</v>
      </c>
    </row>
    <row r="16113">
      <c r="B16113" s="31"/>
      <c r="G16113" s="272" t="s">
        <v>1099</v>
      </c>
    </row>
    <row r="16114">
      <c r="B16114" s="31"/>
      <c r="G16114" s="272" t="s">
        <v>1099</v>
      </c>
    </row>
    <row r="16115">
      <c r="B16115" s="31"/>
      <c r="G16115" s="272" t="s">
        <v>1099</v>
      </c>
    </row>
    <row r="16116">
      <c r="B16116" s="31"/>
      <c r="G16116" s="272" t="s">
        <v>1099</v>
      </c>
    </row>
    <row r="16117">
      <c r="B16117" s="31"/>
      <c r="G16117" s="272" t="s">
        <v>1099</v>
      </c>
    </row>
    <row r="16118">
      <c r="B16118" s="31"/>
      <c r="G16118" s="272" t="s">
        <v>1099</v>
      </c>
    </row>
    <row r="16119">
      <c r="B16119" s="31"/>
      <c r="G16119" s="272" t="s">
        <v>1099</v>
      </c>
    </row>
    <row r="16120">
      <c r="B16120" s="31"/>
      <c r="G16120" s="272" t="s">
        <v>1099</v>
      </c>
    </row>
    <row r="16121">
      <c r="B16121" s="31"/>
      <c r="G16121" s="272" t="s">
        <v>1099</v>
      </c>
    </row>
    <row r="16122">
      <c r="B16122" s="31"/>
      <c r="G16122" s="272" t="s">
        <v>1099</v>
      </c>
    </row>
    <row r="16123">
      <c r="B16123" s="31"/>
      <c r="G16123" s="272" t="s">
        <v>1099</v>
      </c>
    </row>
    <row r="16124">
      <c r="B16124" s="31"/>
      <c r="G16124" s="272" t="s">
        <v>1099</v>
      </c>
    </row>
    <row r="16125">
      <c r="B16125" s="31"/>
      <c r="G16125" s="272" t="s">
        <v>1099</v>
      </c>
    </row>
    <row r="16126">
      <c r="B16126" s="31"/>
      <c r="G16126" s="272" t="s">
        <v>1099</v>
      </c>
    </row>
    <row r="16127">
      <c r="B16127" s="31"/>
      <c r="G16127" s="272" t="s">
        <v>1099</v>
      </c>
    </row>
    <row r="16128">
      <c r="B16128" s="31"/>
      <c r="G16128" s="272" t="s">
        <v>1099</v>
      </c>
    </row>
    <row r="16129">
      <c r="B16129" s="31"/>
      <c r="G16129" s="272" t="s">
        <v>1099</v>
      </c>
    </row>
    <row r="16130">
      <c r="B16130" s="31"/>
      <c r="G16130" s="272" t="s">
        <v>1099</v>
      </c>
    </row>
    <row r="16131">
      <c r="B16131" s="31"/>
      <c r="G16131" s="272" t="s">
        <v>1099</v>
      </c>
    </row>
    <row r="16132">
      <c r="B16132" s="31"/>
      <c r="G16132" s="272" t="s">
        <v>1099</v>
      </c>
    </row>
    <row r="16133">
      <c r="B16133" s="31"/>
      <c r="G16133" s="272" t="s">
        <v>1099</v>
      </c>
    </row>
    <row r="16134">
      <c r="B16134" s="31"/>
      <c r="G16134" s="272" t="s">
        <v>1099</v>
      </c>
    </row>
    <row r="16135">
      <c r="B16135" s="31"/>
      <c r="G16135" s="272" t="s">
        <v>1099</v>
      </c>
    </row>
    <row r="16136">
      <c r="B16136" s="31"/>
      <c r="G16136" s="272" t="s">
        <v>1099</v>
      </c>
    </row>
    <row r="16137">
      <c r="B16137" s="31"/>
      <c r="G16137" s="272" t="s">
        <v>1099</v>
      </c>
    </row>
    <row r="16138">
      <c r="B16138" s="31"/>
      <c r="G16138" s="272" t="s">
        <v>1099</v>
      </c>
    </row>
    <row r="16139">
      <c r="B16139" s="31"/>
      <c r="G16139" s="272" t="s">
        <v>1099</v>
      </c>
    </row>
    <row r="16140">
      <c r="B16140" s="31"/>
      <c r="G16140" s="272" t="s">
        <v>1099</v>
      </c>
    </row>
    <row r="16141">
      <c r="B16141" s="31"/>
      <c r="G16141" s="272" t="s">
        <v>1099</v>
      </c>
    </row>
    <row r="16142">
      <c r="B16142" s="31"/>
      <c r="G16142" s="272" t="s">
        <v>1099</v>
      </c>
    </row>
    <row r="16143">
      <c r="B16143" s="31"/>
      <c r="G16143" s="272" t="s">
        <v>1099</v>
      </c>
    </row>
    <row r="16144">
      <c r="B16144" s="31"/>
      <c r="G16144" s="272" t="s">
        <v>1099</v>
      </c>
    </row>
    <row r="16145">
      <c r="B16145" s="31"/>
      <c r="G16145" s="272" t="s">
        <v>1099</v>
      </c>
    </row>
    <row r="16146">
      <c r="B16146" s="31"/>
      <c r="G16146" s="272" t="s">
        <v>1099</v>
      </c>
    </row>
    <row r="16147">
      <c r="B16147" s="31"/>
      <c r="G16147" s="272" t="s">
        <v>1099</v>
      </c>
    </row>
    <row r="16148">
      <c r="B16148" s="31"/>
      <c r="G16148" s="272" t="s">
        <v>1099</v>
      </c>
    </row>
    <row r="16149">
      <c r="B16149" s="31"/>
      <c r="G16149" s="272" t="s">
        <v>1099</v>
      </c>
    </row>
    <row r="16150">
      <c r="B16150" s="31"/>
      <c r="G16150" s="272" t="s">
        <v>1099</v>
      </c>
    </row>
    <row r="16151">
      <c r="B16151" s="31"/>
      <c r="G16151" s="272" t="s">
        <v>1099</v>
      </c>
    </row>
    <row r="16152">
      <c r="B16152" s="31"/>
      <c r="G16152" s="272" t="s">
        <v>1099</v>
      </c>
    </row>
    <row r="16153">
      <c r="B16153" s="31"/>
      <c r="G16153" s="272" t="s">
        <v>1099</v>
      </c>
    </row>
    <row r="16154">
      <c r="B16154" s="31"/>
      <c r="G16154" s="272" t="s">
        <v>1099</v>
      </c>
    </row>
    <row r="16155">
      <c r="B16155" s="31"/>
      <c r="G16155" s="272" t="s">
        <v>1099</v>
      </c>
    </row>
    <row r="16156">
      <c r="B16156" s="31"/>
      <c r="G16156" s="272" t="s">
        <v>1099</v>
      </c>
    </row>
    <row r="16157">
      <c r="B16157" s="31"/>
      <c r="G16157" s="272" t="s">
        <v>1099</v>
      </c>
    </row>
    <row r="16158">
      <c r="B16158" s="31"/>
      <c r="G16158" s="272" t="s">
        <v>1099</v>
      </c>
    </row>
    <row r="16159">
      <c r="B16159" s="31"/>
      <c r="G16159" s="272" t="s">
        <v>1099</v>
      </c>
    </row>
    <row r="16160">
      <c r="B16160" s="31"/>
      <c r="G16160" s="272" t="s">
        <v>1099</v>
      </c>
    </row>
    <row r="16161">
      <c r="B16161" s="31"/>
      <c r="G16161" s="272" t="s">
        <v>1099</v>
      </c>
    </row>
    <row r="16162">
      <c r="B16162" s="31"/>
      <c r="G16162" s="272" t="s">
        <v>1099</v>
      </c>
    </row>
    <row r="16163">
      <c r="B16163" s="31"/>
      <c r="G16163" s="272" t="s">
        <v>1099</v>
      </c>
    </row>
    <row r="16164">
      <c r="B16164" s="31"/>
      <c r="G16164" s="272" t="s">
        <v>1099</v>
      </c>
    </row>
    <row r="16165">
      <c r="B16165" s="31"/>
      <c r="G16165" s="272" t="s">
        <v>1099</v>
      </c>
    </row>
    <row r="16166">
      <c r="B16166" s="31"/>
      <c r="G16166" s="272" t="s">
        <v>1099</v>
      </c>
    </row>
    <row r="16167">
      <c r="B16167" s="31"/>
      <c r="G16167" s="272" t="s">
        <v>1099</v>
      </c>
    </row>
    <row r="16168">
      <c r="B16168" s="31"/>
      <c r="G16168" s="272" t="s">
        <v>1099</v>
      </c>
    </row>
    <row r="16169">
      <c r="B16169" s="31"/>
      <c r="G16169" s="272" t="s">
        <v>1099</v>
      </c>
    </row>
    <row r="16170">
      <c r="B16170" s="31"/>
      <c r="G16170" s="272" t="s">
        <v>1099</v>
      </c>
    </row>
    <row r="16171">
      <c r="B16171" s="31"/>
      <c r="G16171" s="272" t="s">
        <v>1099</v>
      </c>
    </row>
    <row r="16172">
      <c r="B16172" s="31"/>
      <c r="G16172" s="272" t="s">
        <v>1099</v>
      </c>
    </row>
    <row r="16173">
      <c r="B16173" s="31"/>
      <c r="G16173" s="272" t="s">
        <v>1099</v>
      </c>
    </row>
    <row r="16174">
      <c r="B16174" s="31"/>
      <c r="G16174" s="272" t="s">
        <v>1099</v>
      </c>
    </row>
    <row r="16175">
      <c r="B16175" s="31"/>
      <c r="G16175" s="272" t="s">
        <v>1099</v>
      </c>
    </row>
    <row r="16176">
      <c r="B16176" s="31"/>
      <c r="G16176" s="272" t="s">
        <v>1099</v>
      </c>
    </row>
    <row r="16177">
      <c r="B16177" s="31"/>
      <c r="G16177" s="272" t="s">
        <v>1099</v>
      </c>
    </row>
    <row r="16178">
      <c r="B16178" s="31"/>
      <c r="G16178" s="272" t="s">
        <v>1099</v>
      </c>
    </row>
    <row r="16179">
      <c r="B16179" s="31"/>
      <c r="G16179" s="272" t="s">
        <v>1099</v>
      </c>
    </row>
    <row r="16180">
      <c r="B16180" s="31"/>
      <c r="G16180" s="272" t="s">
        <v>1099</v>
      </c>
    </row>
    <row r="16181">
      <c r="B16181" s="31"/>
      <c r="G16181" s="272" t="s">
        <v>1099</v>
      </c>
    </row>
    <row r="16182">
      <c r="B16182" s="31"/>
      <c r="G16182" s="272" t="s">
        <v>1099</v>
      </c>
    </row>
    <row r="16183">
      <c r="B16183" s="31"/>
      <c r="G16183" s="272" t="s">
        <v>1099</v>
      </c>
    </row>
    <row r="16184">
      <c r="B16184" s="31"/>
      <c r="G16184" s="272" t="s">
        <v>1099</v>
      </c>
    </row>
    <row r="16185">
      <c r="B16185" s="31"/>
      <c r="G16185" s="272" t="s">
        <v>1099</v>
      </c>
    </row>
    <row r="16186">
      <c r="B16186" s="31"/>
      <c r="G16186" s="272" t="s">
        <v>1099</v>
      </c>
    </row>
    <row r="16187">
      <c r="B16187" s="31"/>
      <c r="G16187" s="272" t="s">
        <v>1099</v>
      </c>
    </row>
    <row r="16188">
      <c r="B16188" s="31"/>
      <c r="G16188" s="272" t="s">
        <v>1099</v>
      </c>
    </row>
    <row r="16189">
      <c r="B16189" s="31"/>
      <c r="G16189" s="272" t="s">
        <v>1099</v>
      </c>
    </row>
    <row r="16190">
      <c r="B16190" s="31"/>
      <c r="G16190" s="272" t="s">
        <v>1099</v>
      </c>
    </row>
    <row r="16191">
      <c r="B16191" s="31"/>
      <c r="G16191" s="272" t="s">
        <v>1099</v>
      </c>
    </row>
    <row r="16192">
      <c r="B16192" s="31"/>
      <c r="G16192" s="272" t="s">
        <v>1099</v>
      </c>
    </row>
    <row r="16193">
      <c r="B16193" s="31"/>
      <c r="G16193" s="272" t="s">
        <v>1099</v>
      </c>
    </row>
    <row r="16194">
      <c r="B16194" s="31"/>
      <c r="G16194" s="272" t="s">
        <v>1099</v>
      </c>
    </row>
    <row r="16195">
      <c r="B16195" s="31"/>
      <c r="G16195" s="272" t="s">
        <v>1099</v>
      </c>
    </row>
    <row r="16196">
      <c r="B16196" s="31"/>
      <c r="G16196" s="272" t="s">
        <v>1099</v>
      </c>
    </row>
    <row r="16197">
      <c r="B16197" s="31"/>
      <c r="G16197" s="272" t="s">
        <v>1099</v>
      </c>
    </row>
    <row r="16198">
      <c r="B16198" s="31"/>
      <c r="G16198" s="272" t="s">
        <v>1099</v>
      </c>
    </row>
    <row r="16199">
      <c r="B16199" s="31"/>
      <c r="G16199" s="272" t="s">
        <v>1099</v>
      </c>
    </row>
    <row r="16200">
      <c r="B16200" s="31"/>
      <c r="G16200" s="272" t="s">
        <v>1099</v>
      </c>
    </row>
    <row r="16201">
      <c r="B16201" s="31"/>
      <c r="G16201" s="272" t="s">
        <v>1099</v>
      </c>
    </row>
    <row r="16202">
      <c r="B16202" s="31"/>
      <c r="G16202" s="272" t="s">
        <v>1099</v>
      </c>
    </row>
    <row r="16203">
      <c r="B16203" s="31"/>
      <c r="G16203" s="272" t="s">
        <v>1099</v>
      </c>
    </row>
    <row r="16204">
      <c r="B16204" s="31"/>
      <c r="G16204" s="272" t="s">
        <v>1099</v>
      </c>
    </row>
    <row r="16205">
      <c r="B16205" s="31"/>
      <c r="G16205" s="272" t="s">
        <v>1099</v>
      </c>
    </row>
    <row r="16206">
      <c r="B16206" s="31"/>
      <c r="G16206" s="272" t="s">
        <v>1099</v>
      </c>
    </row>
    <row r="16207">
      <c r="B16207" s="31"/>
      <c r="G16207" s="272" t="s">
        <v>1099</v>
      </c>
    </row>
    <row r="16208">
      <c r="B16208" s="31"/>
      <c r="G16208" s="272" t="s">
        <v>1099</v>
      </c>
    </row>
    <row r="16209">
      <c r="B16209" s="31"/>
      <c r="G16209" s="272" t="s">
        <v>1099</v>
      </c>
    </row>
    <row r="16210">
      <c r="B16210" s="31"/>
      <c r="G16210" s="272" t="s">
        <v>1099</v>
      </c>
    </row>
    <row r="16211">
      <c r="B16211" s="31"/>
      <c r="G16211" s="272" t="s">
        <v>1099</v>
      </c>
    </row>
    <row r="16212">
      <c r="B16212" s="31"/>
      <c r="G16212" s="272" t="s">
        <v>1099</v>
      </c>
    </row>
    <row r="16213">
      <c r="B16213" s="31"/>
      <c r="G16213" s="272" t="s">
        <v>1099</v>
      </c>
    </row>
    <row r="16214">
      <c r="B16214" s="31"/>
      <c r="G16214" s="272" t="s">
        <v>1099</v>
      </c>
    </row>
    <row r="16215">
      <c r="B16215" s="31"/>
      <c r="G16215" s="272" t="s">
        <v>1099</v>
      </c>
    </row>
    <row r="16216">
      <c r="B16216" s="31"/>
      <c r="G16216" s="272" t="s">
        <v>1099</v>
      </c>
    </row>
    <row r="16217">
      <c r="B16217" s="31"/>
      <c r="G16217" s="272" t="s">
        <v>1099</v>
      </c>
    </row>
    <row r="16218">
      <c r="B16218" s="31"/>
      <c r="G16218" s="272" t="s">
        <v>1099</v>
      </c>
    </row>
    <row r="16219">
      <c r="B16219" s="31"/>
      <c r="G16219" s="272" t="s">
        <v>1099</v>
      </c>
    </row>
    <row r="16220">
      <c r="B16220" s="31"/>
      <c r="G16220" s="272" t="s">
        <v>1099</v>
      </c>
    </row>
    <row r="16221">
      <c r="B16221" s="31"/>
      <c r="G16221" s="272" t="s">
        <v>1099</v>
      </c>
    </row>
    <row r="16222">
      <c r="B16222" s="31"/>
      <c r="G16222" s="272" t="s">
        <v>1099</v>
      </c>
    </row>
    <row r="16223">
      <c r="B16223" s="31"/>
      <c r="G16223" s="272" t="s">
        <v>1099</v>
      </c>
    </row>
    <row r="16224">
      <c r="B16224" s="31"/>
      <c r="G16224" s="272" t="s">
        <v>1099</v>
      </c>
    </row>
    <row r="16225">
      <c r="B16225" s="31"/>
      <c r="G16225" s="272" t="s">
        <v>1099</v>
      </c>
    </row>
    <row r="16226">
      <c r="B16226" s="31"/>
      <c r="G16226" s="272" t="s">
        <v>1099</v>
      </c>
    </row>
    <row r="16227">
      <c r="B16227" s="31"/>
      <c r="G16227" s="272" t="s">
        <v>1099</v>
      </c>
    </row>
    <row r="16228">
      <c r="B16228" s="31"/>
      <c r="G16228" s="272" t="s">
        <v>1099</v>
      </c>
    </row>
    <row r="16229">
      <c r="B16229" s="31"/>
      <c r="G16229" s="272" t="s">
        <v>1099</v>
      </c>
    </row>
    <row r="16230">
      <c r="B16230" s="31"/>
      <c r="G16230" s="272" t="s">
        <v>1099</v>
      </c>
    </row>
    <row r="16231">
      <c r="B16231" s="31"/>
      <c r="G16231" s="272" t="s">
        <v>1099</v>
      </c>
    </row>
    <row r="16232">
      <c r="B16232" s="31"/>
      <c r="G16232" s="272" t="s">
        <v>1099</v>
      </c>
    </row>
    <row r="16233">
      <c r="B16233" s="31"/>
      <c r="G16233" s="272" t="s">
        <v>1099</v>
      </c>
    </row>
    <row r="16234">
      <c r="B16234" s="31"/>
      <c r="G16234" s="272" t="s">
        <v>1099</v>
      </c>
    </row>
    <row r="16235">
      <c r="B16235" s="31"/>
      <c r="G16235" s="272" t="s">
        <v>1099</v>
      </c>
    </row>
    <row r="16236">
      <c r="B16236" s="31"/>
      <c r="G16236" s="272" t="s">
        <v>1099</v>
      </c>
    </row>
    <row r="16237">
      <c r="B16237" s="31"/>
      <c r="G16237" s="272" t="s">
        <v>1099</v>
      </c>
    </row>
    <row r="16238">
      <c r="B16238" s="31"/>
      <c r="G16238" s="272" t="s">
        <v>1099</v>
      </c>
    </row>
    <row r="16239">
      <c r="B16239" s="31"/>
      <c r="G16239" s="272" t="s">
        <v>1099</v>
      </c>
    </row>
    <row r="16240">
      <c r="B16240" s="31"/>
      <c r="G16240" s="272" t="s">
        <v>1099</v>
      </c>
    </row>
    <row r="16241">
      <c r="B16241" s="31"/>
      <c r="G16241" s="272" t="s">
        <v>1099</v>
      </c>
    </row>
    <row r="16242">
      <c r="B16242" s="31"/>
      <c r="G16242" s="272" t="s">
        <v>1099</v>
      </c>
    </row>
    <row r="16243">
      <c r="B16243" s="31"/>
      <c r="G16243" s="272" t="s">
        <v>1099</v>
      </c>
    </row>
    <row r="16244">
      <c r="B16244" s="31"/>
      <c r="G16244" s="272" t="s">
        <v>1099</v>
      </c>
    </row>
    <row r="16245">
      <c r="B16245" s="31"/>
      <c r="G16245" s="272" t="s">
        <v>1099</v>
      </c>
    </row>
    <row r="16246">
      <c r="B16246" s="31"/>
      <c r="G16246" s="272" t="s">
        <v>1099</v>
      </c>
    </row>
    <row r="16247">
      <c r="B16247" s="31"/>
      <c r="G16247" s="272" t="s">
        <v>1099</v>
      </c>
    </row>
    <row r="16248">
      <c r="B16248" s="31"/>
      <c r="G16248" s="272" t="s">
        <v>1099</v>
      </c>
    </row>
    <row r="16249">
      <c r="B16249" s="31"/>
      <c r="G16249" s="272" t="s">
        <v>1099</v>
      </c>
    </row>
    <row r="16250">
      <c r="B16250" s="31"/>
      <c r="G16250" s="272" t="s">
        <v>1099</v>
      </c>
    </row>
    <row r="16251">
      <c r="B16251" s="31"/>
      <c r="G16251" s="272" t="s">
        <v>1099</v>
      </c>
    </row>
    <row r="16252">
      <c r="B16252" s="31"/>
      <c r="G16252" s="272" t="s">
        <v>1099</v>
      </c>
    </row>
    <row r="16253">
      <c r="B16253" s="31"/>
      <c r="G16253" s="272" t="s">
        <v>1099</v>
      </c>
    </row>
    <row r="16254">
      <c r="B16254" s="31"/>
      <c r="G16254" s="272" t="s">
        <v>1099</v>
      </c>
    </row>
    <row r="16255">
      <c r="B16255" s="31"/>
      <c r="G16255" s="272" t="s">
        <v>1099</v>
      </c>
    </row>
    <row r="16256">
      <c r="B16256" s="31"/>
      <c r="G16256" s="272" t="s">
        <v>1099</v>
      </c>
    </row>
    <row r="16257">
      <c r="B16257" s="31"/>
      <c r="G16257" s="272" t="s">
        <v>1099</v>
      </c>
    </row>
    <row r="16258">
      <c r="B16258" s="31"/>
      <c r="G16258" s="272" t="s">
        <v>1099</v>
      </c>
    </row>
    <row r="16259">
      <c r="B16259" s="31"/>
      <c r="G16259" s="272" t="s">
        <v>1099</v>
      </c>
    </row>
    <row r="16260">
      <c r="B16260" s="31"/>
      <c r="G16260" s="272" t="s">
        <v>1099</v>
      </c>
    </row>
    <row r="16261">
      <c r="B16261" s="31"/>
      <c r="G16261" s="272" t="s">
        <v>1099</v>
      </c>
    </row>
    <row r="16262">
      <c r="B16262" s="31"/>
      <c r="G16262" s="272" t="s">
        <v>1099</v>
      </c>
    </row>
    <row r="16263">
      <c r="B16263" s="31"/>
      <c r="G16263" s="272" t="s">
        <v>1099</v>
      </c>
    </row>
    <row r="16264">
      <c r="B16264" s="31"/>
      <c r="G16264" s="272" t="s">
        <v>1099</v>
      </c>
    </row>
    <row r="16265">
      <c r="B16265" s="31"/>
      <c r="G16265" s="272" t="s">
        <v>1099</v>
      </c>
    </row>
    <row r="16266">
      <c r="B16266" s="31"/>
      <c r="G16266" s="272" t="s">
        <v>1099</v>
      </c>
    </row>
    <row r="16267">
      <c r="B16267" s="31"/>
      <c r="G16267" s="272" t="s">
        <v>1099</v>
      </c>
    </row>
    <row r="16268">
      <c r="B16268" s="31"/>
      <c r="G16268" s="272" t="s">
        <v>1099</v>
      </c>
    </row>
    <row r="16269">
      <c r="B16269" s="31"/>
      <c r="G16269" s="272" t="s">
        <v>1099</v>
      </c>
    </row>
    <row r="16270">
      <c r="B16270" s="31"/>
      <c r="G16270" s="272" t="s">
        <v>1099</v>
      </c>
    </row>
    <row r="16271">
      <c r="B16271" s="31"/>
      <c r="G16271" s="272" t="s">
        <v>1099</v>
      </c>
    </row>
    <row r="16272">
      <c r="B16272" s="31"/>
      <c r="G16272" s="272" t="s">
        <v>1099</v>
      </c>
    </row>
    <row r="16273">
      <c r="B16273" s="31"/>
      <c r="G16273" s="272" t="s">
        <v>1099</v>
      </c>
    </row>
    <row r="16274">
      <c r="B16274" s="31"/>
      <c r="G16274" s="272" t="s">
        <v>1099</v>
      </c>
    </row>
    <row r="16275">
      <c r="B16275" s="31"/>
      <c r="G16275" s="272" t="s">
        <v>1099</v>
      </c>
    </row>
    <row r="16276">
      <c r="B16276" s="31"/>
      <c r="G16276" s="272" t="s">
        <v>1099</v>
      </c>
    </row>
    <row r="16277">
      <c r="B16277" s="31"/>
      <c r="G16277" s="272" t="s">
        <v>1099</v>
      </c>
    </row>
    <row r="16278">
      <c r="B16278" s="31"/>
      <c r="G16278" s="272" t="s">
        <v>1099</v>
      </c>
    </row>
    <row r="16279">
      <c r="B16279" s="31"/>
      <c r="G16279" s="272" t="s">
        <v>1099</v>
      </c>
    </row>
    <row r="16280">
      <c r="B16280" s="31"/>
      <c r="G16280" s="272" t="s">
        <v>1099</v>
      </c>
    </row>
    <row r="16281">
      <c r="B16281" s="31"/>
      <c r="G16281" s="272" t="s">
        <v>1099</v>
      </c>
    </row>
    <row r="16282">
      <c r="B16282" s="31"/>
      <c r="G16282" s="272" t="s">
        <v>1099</v>
      </c>
    </row>
    <row r="16283">
      <c r="B16283" s="31"/>
      <c r="G16283" s="272" t="s">
        <v>1099</v>
      </c>
    </row>
    <row r="16284">
      <c r="B16284" s="31"/>
      <c r="G16284" s="272" t="s">
        <v>1099</v>
      </c>
    </row>
    <row r="16285">
      <c r="B16285" s="31"/>
      <c r="G16285" s="272" t="s">
        <v>1099</v>
      </c>
    </row>
    <row r="16286">
      <c r="B16286" s="31"/>
      <c r="G16286" s="272" t="s">
        <v>1099</v>
      </c>
    </row>
    <row r="16287">
      <c r="B16287" s="31"/>
      <c r="G16287" s="272" t="s">
        <v>1099</v>
      </c>
    </row>
    <row r="16288">
      <c r="B16288" s="31"/>
      <c r="G16288" s="272" t="s">
        <v>1099</v>
      </c>
    </row>
    <row r="16289">
      <c r="B16289" s="31"/>
      <c r="G16289" s="272" t="s">
        <v>1099</v>
      </c>
    </row>
    <row r="16290">
      <c r="B16290" s="31"/>
      <c r="G16290" s="272" t="s">
        <v>1099</v>
      </c>
    </row>
    <row r="16291">
      <c r="B16291" s="31"/>
      <c r="G16291" s="272" t="s">
        <v>1099</v>
      </c>
    </row>
    <row r="16292">
      <c r="B16292" s="31"/>
      <c r="G16292" s="272" t="s">
        <v>1099</v>
      </c>
    </row>
    <row r="16293">
      <c r="B16293" s="31"/>
      <c r="G16293" s="272" t="s">
        <v>1099</v>
      </c>
    </row>
    <row r="16294">
      <c r="B16294" s="31"/>
      <c r="G16294" s="272" t="s">
        <v>1099</v>
      </c>
    </row>
    <row r="16295">
      <c r="B16295" s="31"/>
      <c r="G16295" s="272" t="s">
        <v>1099</v>
      </c>
    </row>
    <row r="16296">
      <c r="B16296" s="31"/>
      <c r="G16296" s="272" t="s">
        <v>1099</v>
      </c>
    </row>
    <row r="16297">
      <c r="B16297" s="31"/>
      <c r="G16297" s="272" t="s">
        <v>1099</v>
      </c>
    </row>
    <row r="16298">
      <c r="B16298" s="31"/>
      <c r="G16298" s="272" t="s">
        <v>1099</v>
      </c>
    </row>
    <row r="16299">
      <c r="B16299" s="31"/>
      <c r="G16299" s="272" t="s">
        <v>1099</v>
      </c>
    </row>
    <row r="16300">
      <c r="B16300" s="31"/>
      <c r="G16300" s="272" t="s">
        <v>1099</v>
      </c>
    </row>
    <row r="16301">
      <c r="B16301" s="31"/>
      <c r="G16301" s="272" t="s">
        <v>1099</v>
      </c>
    </row>
    <row r="16302">
      <c r="B16302" s="31"/>
      <c r="G16302" s="272" t="s">
        <v>1099</v>
      </c>
    </row>
    <row r="16303">
      <c r="B16303" s="31"/>
      <c r="G16303" s="272" t="s">
        <v>1099</v>
      </c>
    </row>
    <row r="16304">
      <c r="B16304" s="31"/>
      <c r="G16304" s="272" t="s">
        <v>1099</v>
      </c>
    </row>
    <row r="16305">
      <c r="B16305" s="31"/>
      <c r="G16305" s="272" t="s">
        <v>1099</v>
      </c>
    </row>
    <row r="16306">
      <c r="B16306" s="31"/>
      <c r="G16306" s="272" t="s">
        <v>1099</v>
      </c>
    </row>
    <row r="16307">
      <c r="B16307" s="31"/>
      <c r="G16307" s="272" t="s">
        <v>1099</v>
      </c>
    </row>
    <row r="16308">
      <c r="B16308" s="31"/>
      <c r="G16308" s="272" t="s">
        <v>1099</v>
      </c>
    </row>
    <row r="16309">
      <c r="B16309" s="31"/>
      <c r="G16309" s="272" t="s">
        <v>1099</v>
      </c>
    </row>
    <row r="16310">
      <c r="B16310" s="31"/>
      <c r="G16310" s="272" t="s">
        <v>1099</v>
      </c>
    </row>
    <row r="16311">
      <c r="B16311" s="31"/>
      <c r="G16311" s="272" t="s">
        <v>1099</v>
      </c>
    </row>
    <row r="16312">
      <c r="B16312" s="31"/>
      <c r="G16312" s="272" t="s">
        <v>1099</v>
      </c>
    </row>
    <row r="16313">
      <c r="B16313" s="31"/>
      <c r="G16313" s="272" t="s">
        <v>1099</v>
      </c>
    </row>
    <row r="16314">
      <c r="B16314" s="31"/>
      <c r="G16314" s="272" t="s">
        <v>1099</v>
      </c>
    </row>
    <row r="16315">
      <c r="B16315" s="31"/>
      <c r="G16315" s="272" t="s">
        <v>1099</v>
      </c>
    </row>
    <row r="16316">
      <c r="B16316" s="31"/>
      <c r="G16316" s="272" t="s">
        <v>1099</v>
      </c>
    </row>
    <row r="16317">
      <c r="B16317" s="31"/>
      <c r="G16317" s="272" t="s">
        <v>1099</v>
      </c>
    </row>
    <row r="16318">
      <c r="B16318" s="31"/>
      <c r="G16318" s="272" t="s">
        <v>1099</v>
      </c>
    </row>
    <row r="16319">
      <c r="B16319" s="31"/>
      <c r="G16319" s="272" t="s">
        <v>1099</v>
      </c>
    </row>
    <row r="16320">
      <c r="B16320" s="31"/>
      <c r="G16320" s="272" t="s">
        <v>1099</v>
      </c>
    </row>
    <row r="16321">
      <c r="B16321" s="31"/>
      <c r="G16321" s="272" t="s">
        <v>1099</v>
      </c>
    </row>
    <row r="16322">
      <c r="B16322" s="31"/>
      <c r="G16322" s="272" t="s">
        <v>1099</v>
      </c>
    </row>
    <row r="16323">
      <c r="B16323" s="31"/>
      <c r="G16323" s="272" t="s">
        <v>1099</v>
      </c>
    </row>
    <row r="16324">
      <c r="B16324" s="31"/>
      <c r="G16324" s="272" t="s">
        <v>1099</v>
      </c>
    </row>
    <row r="16325">
      <c r="B16325" s="31"/>
      <c r="G16325" s="272" t="s">
        <v>1099</v>
      </c>
    </row>
    <row r="16326">
      <c r="B16326" s="31"/>
      <c r="G16326" s="272" t="s">
        <v>1099</v>
      </c>
    </row>
    <row r="16327">
      <c r="B16327" s="31"/>
      <c r="G16327" s="272" t="s">
        <v>1099</v>
      </c>
    </row>
    <row r="16328">
      <c r="B16328" s="31"/>
      <c r="G16328" s="272" t="s">
        <v>1099</v>
      </c>
    </row>
    <row r="16329">
      <c r="B16329" s="31"/>
      <c r="G16329" s="272" t="s">
        <v>1099</v>
      </c>
    </row>
    <row r="16330">
      <c r="B16330" s="31"/>
      <c r="G16330" s="272" t="s">
        <v>1099</v>
      </c>
    </row>
    <row r="16331">
      <c r="B16331" s="31"/>
      <c r="G16331" s="272" t="s">
        <v>1099</v>
      </c>
    </row>
    <row r="16332">
      <c r="B16332" s="31"/>
      <c r="G16332" s="272" t="s">
        <v>1099</v>
      </c>
    </row>
    <row r="16333">
      <c r="B16333" s="31"/>
      <c r="G16333" s="272" t="s">
        <v>1099</v>
      </c>
    </row>
    <row r="16334">
      <c r="B16334" s="31"/>
      <c r="G16334" s="272" t="s">
        <v>1099</v>
      </c>
    </row>
    <row r="16335">
      <c r="B16335" s="31"/>
      <c r="G16335" s="272" t="s">
        <v>1099</v>
      </c>
    </row>
    <row r="16336">
      <c r="B16336" s="31"/>
      <c r="G16336" s="272" t="s">
        <v>1099</v>
      </c>
    </row>
    <row r="16337">
      <c r="B16337" s="31"/>
      <c r="G16337" s="272" t="s">
        <v>1099</v>
      </c>
    </row>
    <row r="16338">
      <c r="B16338" s="31"/>
      <c r="G16338" s="272" t="s">
        <v>1099</v>
      </c>
    </row>
    <row r="16339">
      <c r="B16339" s="31"/>
      <c r="G16339" s="272" t="s">
        <v>1099</v>
      </c>
    </row>
    <row r="16340">
      <c r="B16340" s="31"/>
      <c r="G16340" s="272" t="s">
        <v>1099</v>
      </c>
    </row>
    <row r="16341">
      <c r="B16341" s="31"/>
      <c r="G16341" s="272" t="s">
        <v>1099</v>
      </c>
    </row>
    <row r="16342">
      <c r="B16342" s="31"/>
      <c r="G16342" s="272" t="s">
        <v>1099</v>
      </c>
    </row>
    <row r="16343">
      <c r="B16343" s="31"/>
      <c r="G16343" s="272" t="s">
        <v>1099</v>
      </c>
    </row>
    <row r="16344">
      <c r="B16344" s="31"/>
      <c r="G16344" s="272" t="s">
        <v>1099</v>
      </c>
    </row>
    <row r="16345">
      <c r="B16345" s="31"/>
      <c r="G16345" s="272" t="s">
        <v>1099</v>
      </c>
    </row>
    <row r="16346">
      <c r="B16346" s="31"/>
      <c r="G16346" s="272" t="s">
        <v>1099</v>
      </c>
    </row>
    <row r="16347">
      <c r="B16347" s="31"/>
      <c r="G16347" s="272" t="s">
        <v>1099</v>
      </c>
    </row>
    <row r="16348">
      <c r="B16348" s="31"/>
      <c r="G16348" s="272" t="s">
        <v>1099</v>
      </c>
    </row>
    <row r="16349">
      <c r="B16349" s="31"/>
      <c r="G16349" s="272" t="s">
        <v>1099</v>
      </c>
    </row>
    <row r="16350">
      <c r="B16350" s="31"/>
      <c r="G16350" s="272" t="s">
        <v>1099</v>
      </c>
    </row>
    <row r="16351">
      <c r="B16351" s="31"/>
      <c r="G16351" s="272" t="s">
        <v>1099</v>
      </c>
    </row>
    <row r="16352">
      <c r="B16352" s="31"/>
      <c r="G16352" s="272" t="s">
        <v>1099</v>
      </c>
    </row>
    <row r="16353">
      <c r="B16353" s="31"/>
      <c r="G16353" s="272" t="s">
        <v>1099</v>
      </c>
    </row>
    <row r="16354">
      <c r="B16354" s="31"/>
      <c r="G16354" s="272" t="s">
        <v>1099</v>
      </c>
    </row>
    <row r="16355">
      <c r="B16355" s="31"/>
      <c r="G16355" s="272" t="s">
        <v>1099</v>
      </c>
    </row>
    <row r="16356">
      <c r="B16356" s="31"/>
      <c r="G16356" s="272" t="s">
        <v>1099</v>
      </c>
    </row>
    <row r="16357">
      <c r="B16357" s="31"/>
      <c r="G16357" s="272" t="s">
        <v>1099</v>
      </c>
    </row>
    <row r="16358">
      <c r="B16358" s="31"/>
      <c r="G16358" s="272" t="s">
        <v>1099</v>
      </c>
    </row>
    <row r="16359">
      <c r="B16359" s="31"/>
      <c r="G16359" s="272" t="s">
        <v>1099</v>
      </c>
    </row>
    <row r="16360">
      <c r="B16360" s="31"/>
      <c r="G16360" s="272" t="s">
        <v>1099</v>
      </c>
    </row>
    <row r="16361">
      <c r="B16361" s="31"/>
      <c r="G16361" s="272" t="s">
        <v>1099</v>
      </c>
    </row>
    <row r="16362">
      <c r="B16362" s="31"/>
      <c r="G16362" s="272" t="s">
        <v>1099</v>
      </c>
    </row>
    <row r="16363">
      <c r="B16363" s="31"/>
      <c r="G16363" s="272" t="s">
        <v>1099</v>
      </c>
    </row>
    <row r="16364">
      <c r="B16364" s="31"/>
      <c r="G16364" s="272" t="s">
        <v>1099</v>
      </c>
    </row>
    <row r="16365">
      <c r="B16365" s="31"/>
      <c r="G16365" s="272" t="s">
        <v>1099</v>
      </c>
    </row>
    <row r="16366">
      <c r="B16366" s="31"/>
      <c r="G16366" s="272" t="s">
        <v>1099</v>
      </c>
    </row>
    <row r="16367">
      <c r="B16367" s="31"/>
      <c r="G16367" s="272" t="s">
        <v>1099</v>
      </c>
    </row>
    <row r="16368">
      <c r="B16368" s="31"/>
      <c r="G16368" s="272" t="s">
        <v>1099</v>
      </c>
    </row>
    <row r="16369">
      <c r="B16369" s="31"/>
      <c r="G16369" s="272" t="s">
        <v>1099</v>
      </c>
    </row>
    <row r="16370">
      <c r="B16370" s="31"/>
      <c r="G16370" s="272" t="s">
        <v>1099</v>
      </c>
    </row>
    <row r="16371">
      <c r="B16371" s="31"/>
      <c r="G16371" s="272" t="s">
        <v>1099</v>
      </c>
    </row>
    <row r="16372">
      <c r="B16372" s="31"/>
      <c r="G16372" s="272" t="s">
        <v>1099</v>
      </c>
    </row>
    <row r="16373">
      <c r="B16373" s="31"/>
      <c r="G16373" s="272" t="s">
        <v>1099</v>
      </c>
    </row>
    <row r="16374">
      <c r="B16374" s="31"/>
      <c r="G16374" s="272" t="s">
        <v>1099</v>
      </c>
    </row>
    <row r="16375">
      <c r="B16375" s="31"/>
      <c r="G16375" s="272" t="s">
        <v>1099</v>
      </c>
    </row>
    <row r="16376">
      <c r="B16376" s="31"/>
      <c r="G16376" s="272" t="s">
        <v>1099</v>
      </c>
    </row>
    <row r="16377">
      <c r="B16377" s="31"/>
      <c r="G16377" s="272" t="s">
        <v>1099</v>
      </c>
    </row>
    <row r="16378">
      <c r="B16378" s="31"/>
      <c r="G16378" s="272" t="s">
        <v>1099</v>
      </c>
    </row>
    <row r="16379">
      <c r="B16379" s="31"/>
      <c r="G16379" s="272" t="s">
        <v>1099</v>
      </c>
    </row>
    <row r="16380">
      <c r="B16380" s="31"/>
      <c r="G16380" s="272" t="s">
        <v>1099</v>
      </c>
    </row>
    <row r="16381">
      <c r="B16381" s="31"/>
      <c r="G16381" s="272" t="s">
        <v>1099</v>
      </c>
    </row>
    <row r="16382">
      <c r="B16382" s="31"/>
      <c r="G16382" s="272" t="s">
        <v>1099</v>
      </c>
    </row>
    <row r="16383">
      <c r="B16383" s="31"/>
      <c r="G16383" s="272" t="s">
        <v>1099</v>
      </c>
    </row>
    <row r="16384">
      <c r="B16384" s="31"/>
      <c r="G16384" s="272" t="s">
        <v>1099</v>
      </c>
    </row>
    <row r="16385">
      <c r="B16385" s="31"/>
      <c r="G16385" s="272" t="s">
        <v>1099</v>
      </c>
    </row>
    <row r="16386">
      <c r="B16386" s="31"/>
      <c r="G16386" s="272" t="s">
        <v>1099</v>
      </c>
    </row>
    <row r="16387">
      <c r="B16387" s="31"/>
      <c r="G16387" s="272" t="s">
        <v>1099</v>
      </c>
    </row>
    <row r="16388">
      <c r="B16388" s="31"/>
      <c r="G16388" s="272" t="s">
        <v>1099</v>
      </c>
    </row>
    <row r="16389">
      <c r="B16389" s="31"/>
      <c r="G16389" s="272" t="s">
        <v>1099</v>
      </c>
    </row>
    <row r="16390">
      <c r="B16390" s="31"/>
      <c r="G16390" s="272" t="s">
        <v>1099</v>
      </c>
    </row>
    <row r="16391">
      <c r="B16391" s="31"/>
      <c r="G16391" s="272" t="s">
        <v>1099</v>
      </c>
    </row>
    <row r="16392">
      <c r="B16392" s="31"/>
      <c r="G16392" s="272" t="s">
        <v>1099</v>
      </c>
    </row>
    <row r="16393">
      <c r="B16393" s="31"/>
      <c r="G16393" s="272" t="s">
        <v>1099</v>
      </c>
    </row>
    <row r="16394">
      <c r="B16394" s="31"/>
      <c r="G16394" s="272" t="s">
        <v>1099</v>
      </c>
    </row>
    <row r="16395">
      <c r="B16395" s="31"/>
      <c r="G16395" s="272" t="s">
        <v>1099</v>
      </c>
    </row>
    <row r="16396">
      <c r="B16396" s="31"/>
      <c r="G16396" s="272" t="s">
        <v>1099</v>
      </c>
    </row>
    <row r="16397">
      <c r="B16397" s="31"/>
      <c r="G16397" s="272" t="s">
        <v>1099</v>
      </c>
    </row>
    <row r="16398">
      <c r="B16398" s="31"/>
      <c r="G16398" s="272" t="s">
        <v>1099</v>
      </c>
    </row>
    <row r="16399">
      <c r="B16399" s="31"/>
      <c r="G16399" s="272" t="s">
        <v>1099</v>
      </c>
    </row>
    <row r="16400">
      <c r="B16400" s="31"/>
      <c r="G16400" s="272" t="s">
        <v>1099</v>
      </c>
    </row>
    <row r="16401">
      <c r="B16401" s="31"/>
      <c r="G16401" s="272" t="s">
        <v>1099</v>
      </c>
    </row>
    <row r="16402">
      <c r="B16402" s="31"/>
      <c r="G16402" s="272" t="s">
        <v>1099</v>
      </c>
    </row>
    <row r="16403">
      <c r="B16403" s="31"/>
      <c r="G16403" s="272" t="s">
        <v>1099</v>
      </c>
    </row>
    <row r="16404">
      <c r="B16404" s="31"/>
      <c r="G16404" s="272" t="s">
        <v>1099</v>
      </c>
    </row>
    <row r="16405">
      <c r="B16405" s="31"/>
      <c r="G16405" s="272" t="s">
        <v>1099</v>
      </c>
    </row>
    <row r="16406">
      <c r="B16406" s="31"/>
      <c r="G16406" s="272" t="s">
        <v>1099</v>
      </c>
    </row>
    <row r="16407">
      <c r="B16407" s="31"/>
      <c r="G16407" s="272" t="s">
        <v>1099</v>
      </c>
    </row>
    <row r="16408">
      <c r="B16408" s="31"/>
      <c r="G16408" s="272" t="s">
        <v>1099</v>
      </c>
    </row>
    <row r="16409">
      <c r="B16409" s="31"/>
      <c r="G16409" s="272" t="s">
        <v>1099</v>
      </c>
    </row>
    <row r="16410">
      <c r="B16410" s="31"/>
      <c r="G16410" s="272" t="s">
        <v>1099</v>
      </c>
    </row>
    <row r="16411">
      <c r="B16411" s="31"/>
      <c r="G16411" s="272" t="s">
        <v>1099</v>
      </c>
    </row>
    <row r="16412">
      <c r="B16412" s="31"/>
      <c r="G16412" s="272" t="s">
        <v>1099</v>
      </c>
    </row>
    <row r="16413">
      <c r="B16413" s="31"/>
      <c r="G16413" s="272" t="s">
        <v>1099</v>
      </c>
    </row>
    <row r="16414">
      <c r="B16414" s="31"/>
      <c r="G16414" s="272" t="s">
        <v>1099</v>
      </c>
    </row>
    <row r="16415">
      <c r="B16415" s="31"/>
      <c r="G16415" s="272" t="s">
        <v>1099</v>
      </c>
    </row>
    <row r="16416">
      <c r="B16416" s="31"/>
      <c r="G16416" s="272" t="s">
        <v>1099</v>
      </c>
    </row>
    <row r="16417">
      <c r="B16417" s="31"/>
      <c r="G16417" s="272" t="s">
        <v>1099</v>
      </c>
    </row>
    <row r="16418">
      <c r="B16418" s="31"/>
      <c r="G16418" s="272" t="s">
        <v>1099</v>
      </c>
    </row>
    <row r="16419">
      <c r="B16419" s="31"/>
      <c r="G16419" s="272" t="s">
        <v>1099</v>
      </c>
    </row>
    <row r="16420">
      <c r="B16420" s="31"/>
      <c r="G16420" s="272" t="s">
        <v>1099</v>
      </c>
    </row>
    <row r="16421">
      <c r="B16421" s="31"/>
      <c r="G16421" s="272" t="s">
        <v>1099</v>
      </c>
    </row>
    <row r="16422">
      <c r="B16422" s="31"/>
      <c r="G16422" s="272" t="s">
        <v>1099</v>
      </c>
    </row>
    <row r="16423">
      <c r="B16423" s="31"/>
      <c r="G16423" s="272" t="s">
        <v>1099</v>
      </c>
    </row>
    <row r="16424">
      <c r="B16424" s="31"/>
      <c r="G16424" s="272" t="s">
        <v>1099</v>
      </c>
    </row>
    <row r="16425">
      <c r="B16425" s="31"/>
      <c r="G16425" s="272" t="s">
        <v>1099</v>
      </c>
    </row>
    <row r="16426">
      <c r="B16426" s="31"/>
      <c r="G16426" s="272" t="s">
        <v>1099</v>
      </c>
    </row>
    <row r="16427">
      <c r="B16427" s="31"/>
      <c r="G16427" s="272" t="s">
        <v>1099</v>
      </c>
    </row>
    <row r="16428">
      <c r="B16428" s="31"/>
      <c r="G16428" s="272" t="s">
        <v>1099</v>
      </c>
    </row>
    <row r="16429">
      <c r="B16429" s="31"/>
      <c r="G16429" s="272" t="s">
        <v>1099</v>
      </c>
    </row>
    <row r="16430">
      <c r="B16430" s="31"/>
      <c r="G16430" s="272" t="s">
        <v>1099</v>
      </c>
    </row>
    <row r="16431">
      <c r="B16431" s="31"/>
      <c r="G16431" s="272" t="s">
        <v>1099</v>
      </c>
    </row>
    <row r="16432">
      <c r="B16432" s="31"/>
      <c r="G16432" s="272" t="s">
        <v>1099</v>
      </c>
    </row>
    <row r="16433">
      <c r="B16433" s="31"/>
      <c r="G16433" s="272" t="s">
        <v>1099</v>
      </c>
    </row>
    <row r="16434">
      <c r="B16434" s="31"/>
      <c r="G16434" s="272" t="s">
        <v>1099</v>
      </c>
    </row>
    <row r="16435">
      <c r="B16435" s="31"/>
      <c r="G16435" s="272" t="s">
        <v>1099</v>
      </c>
    </row>
    <row r="16436">
      <c r="B16436" s="31"/>
      <c r="G16436" s="272" t="s">
        <v>1099</v>
      </c>
    </row>
    <row r="16437">
      <c r="B16437" s="31"/>
      <c r="G16437" s="272" t="s">
        <v>1099</v>
      </c>
    </row>
    <row r="16438">
      <c r="B16438" s="31"/>
      <c r="G16438" s="272" t="s">
        <v>1099</v>
      </c>
    </row>
    <row r="16439">
      <c r="B16439" s="31"/>
      <c r="G16439" s="272" t="s">
        <v>1099</v>
      </c>
    </row>
    <row r="16440">
      <c r="B16440" s="31"/>
      <c r="G16440" s="272" t="s">
        <v>1099</v>
      </c>
    </row>
    <row r="16441">
      <c r="B16441" s="31"/>
      <c r="G16441" s="272" t="s">
        <v>1099</v>
      </c>
    </row>
    <row r="16442">
      <c r="B16442" s="31"/>
      <c r="G16442" s="272" t="s">
        <v>1099</v>
      </c>
    </row>
    <row r="16443">
      <c r="B16443" s="31"/>
      <c r="G16443" s="272" t="s">
        <v>1099</v>
      </c>
    </row>
    <row r="16444">
      <c r="B16444" s="31"/>
      <c r="G16444" s="272" t="s">
        <v>1099</v>
      </c>
    </row>
    <row r="16445">
      <c r="B16445" s="31"/>
      <c r="G16445" s="272" t="s">
        <v>1099</v>
      </c>
    </row>
    <row r="16446">
      <c r="B16446" s="31"/>
      <c r="G16446" s="272" t="s">
        <v>1099</v>
      </c>
    </row>
    <row r="16447">
      <c r="B16447" s="31"/>
      <c r="G16447" s="272" t="s">
        <v>1099</v>
      </c>
    </row>
    <row r="16448">
      <c r="B16448" s="31"/>
      <c r="G16448" s="272" t="s">
        <v>1099</v>
      </c>
    </row>
    <row r="16449">
      <c r="B16449" s="31"/>
      <c r="G16449" s="272" t="s">
        <v>1099</v>
      </c>
    </row>
    <row r="16450">
      <c r="B16450" s="31"/>
      <c r="G16450" s="272" t="s">
        <v>1099</v>
      </c>
    </row>
    <row r="16451">
      <c r="B16451" s="31"/>
      <c r="G16451" s="272" t="s">
        <v>1099</v>
      </c>
    </row>
    <row r="16452">
      <c r="B16452" s="31"/>
      <c r="G16452" s="272" t="s">
        <v>1099</v>
      </c>
    </row>
    <row r="16453">
      <c r="B16453" s="31"/>
      <c r="G16453" s="272" t="s">
        <v>1099</v>
      </c>
    </row>
    <row r="16454">
      <c r="B16454" s="31"/>
      <c r="G16454" s="272" t="s">
        <v>1099</v>
      </c>
    </row>
    <row r="16455">
      <c r="B16455" s="31"/>
      <c r="G16455" s="272" t="s">
        <v>1099</v>
      </c>
    </row>
    <row r="16456">
      <c r="B16456" s="31"/>
      <c r="G16456" s="272" t="s">
        <v>1099</v>
      </c>
    </row>
    <row r="16457">
      <c r="B16457" s="31"/>
      <c r="G16457" s="272" t="s">
        <v>1099</v>
      </c>
    </row>
    <row r="16458">
      <c r="B16458" s="31"/>
      <c r="G16458" s="272" t="s">
        <v>1099</v>
      </c>
    </row>
    <row r="16459">
      <c r="B16459" s="31"/>
      <c r="G16459" s="272" t="s">
        <v>1099</v>
      </c>
    </row>
    <row r="16460">
      <c r="B16460" s="31"/>
      <c r="G16460" s="272" t="s">
        <v>1099</v>
      </c>
    </row>
    <row r="16461">
      <c r="B16461" s="31"/>
      <c r="G16461" s="272" t="s">
        <v>1099</v>
      </c>
    </row>
    <row r="16462">
      <c r="B16462" s="31"/>
      <c r="G16462" s="272" t="s">
        <v>1099</v>
      </c>
    </row>
    <row r="16463">
      <c r="B16463" s="31"/>
      <c r="G16463" s="272" t="s">
        <v>1099</v>
      </c>
    </row>
    <row r="16464">
      <c r="B16464" s="31"/>
      <c r="G16464" s="272" t="s">
        <v>1099</v>
      </c>
    </row>
    <row r="16465">
      <c r="B16465" s="31"/>
      <c r="G16465" s="272" t="s">
        <v>1099</v>
      </c>
    </row>
    <row r="16466">
      <c r="B16466" s="31"/>
      <c r="G16466" s="272" t="s">
        <v>1099</v>
      </c>
    </row>
    <row r="16467">
      <c r="B16467" s="31"/>
      <c r="G16467" s="272" t="s">
        <v>1099</v>
      </c>
    </row>
    <row r="16468">
      <c r="B16468" s="31"/>
      <c r="G16468" s="272" t="s">
        <v>1099</v>
      </c>
    </row>
    <row r="16469">
      <c r="B16469" s="31"/>
      <c r="G16469" s="272" t="s">
        <v>1099</v>
      </c>
    </row>
    <row r="16470">
      <c r="B16470" s="31"/>
      <c r="G16470" s="272" t="s">
        <v>1099</v>
      </c>
    </row>
    <row r="16471">
      <c r="B16471" s="31"/>
      <c r="G16471" s="272" t="s">
        <v>1099</v>
      </c>
    </row>
    <row r="16472">
      <c r="B16472" s="31"/>
      <c r="G16472" s="272" t="s">
        <v>1099</v>
      </c>
    </row>
    <row r="16473">
      <c r="B16473" s="31"/>
      <c r="G16473" s="272" t="s">
        <v>1099</v>
      </c>
    </row>
    <row r="16474">
      <c r="B16474" s="31"/>
      <c r="G16474" s="272" t="s">
        <v>1099</v>
      </c>
    </row>
    <row r="16475">
      <c r="B16475" s="31"/>
      <c r="G16475" s="272" t="s">
        <v>1099</v>
      </c>
    </row>
    <row r="16476">
      <c r="B16476" s="31"/>
      <c r="G16476" s="272" t="s">
        <v>1099</v>
      </c>
    </row>
    <row r="16477">
      <c r="B16477" s="31"/>
      <c r="G16477" s="272" t="s">
        <v>1099</v>
      </c>
    </row>
    <row r="16478">
      <c r="B16478" s="31"/>
      <c r="G16478" s="272" t="s">
        <v>1099</v>
      </c>
    </row>
    <row r="16479">
      <c r="B16479" s="31"/>
      <c r="G16479" s="272" t="s">
        <v>1099</v>
      </c>
    </row>
    <row r="16480">
      <c r="B16480" s="31"/>
      <c r="G16480" s="272" t="s">
        <v>1099</v>
      </c>
    </row>
    <row r="16481">
      <c r="B16481" s="31"/>
      <c r="G16481" s="272" t="s">
        <v>1099</v>
      </c>
    </row>
    <row r="16482">
      <c r="B16482" s="31"/>
      <c r="G16482" s="272" t="s">
        <v>1099</v>
      </c>
    </row>
    <row r="16483">
      <c r="B16483" s="31"/>
      <c r="G16483" s="272" t="s">
        <v>1099</v>
      </c>
    </row>
    <row r="16484">
      <c r="B16484" s="31"/>
      <c r="G16484" s="272" t="s">
        <v>1099</v>
      </c>
    </row>
    <row r="16485">
      <c r="B16485" s="31"/>
      <c r="G16485" s="272" t="s">
        <v>1099</v>
      </c>
    </row>
    <row r="16486">
      <c r="B16486" s="31"/>
      <c r="G16486" s="272" t="s">
        <v>1099</v>
      </c>
    </row>
    <row r="16487">
      <c r="B16487" s="31"/>
      <c r="G16487" s="272" t="s">
        <v>1099</v>
      </c>
    </row>
    <row r="16488">
      <c r="B16488" s="31"/>
      <c r="G16488" s="272" t="s">
        <v>1099</v>
      </c>
    </row>
    <row r="16489">
      <c r="B16489" s="31"/>
      <c r="G16489" s="272" t="s">
        <v>1099</v>
      </c>
    </row>
    <row r="16490">
      <c r="B16490" s="31"/>
      <c r="G16490" s="272" t="s">
        <v>1099</v>
      </c>
    </row>
    <row r="16491">
      <c r="B16491" s="31"/>
      <c r="G16491" s="272" t="s">
        <v>1099</v>
      </c>
    </row>
    <row r="16492">
      <c r="B16492" s="31"/>
      <c r="G16492" s="272" t="s">
        <v>1099</v>
      </c>
    </row>
    <row r="16493">
      <c r="B16493" s="31"/>
      <c r="G16493" s="272" t="s">
        <v>1099</v>
      </c>
    </row>
    <row r="16494">
      <c r="B16494" s="31"/>
      <c r="G16494" s="272" t="s">
        <v>1099</v>
      </c>
    </row>
    <row r="16495">
      <c r="B16495" s="31"/>
      <c r="G16495" s="272" t="s">
        <v>1099</v>
      </c>
    </row>
    <row r="16496">
      <c r="B16496" s="31"/>
      <c r="G16496" s="272" t="s">
        <v>1099</v>
      </c>
    </row>
    <row r="16497">
      <c r="B16497" s="31"/>
      <c r="G16497" s="272" t="s">
        <v>1099</v>
      </c>
    </row>
    <row r="16498">
      <c r="B16498" s="31"/>
      <c r="G16498" s="272" t="s">
        <v>1099</v>
      </c>
    </row>
    <row r="16499">
      <c r="B16499" s="31"/>
      <c r="G16499" s="272" t="s">
        <v>1099</v>
      </c>
    </row>
    <row r="16500">
      <c r="B16500" s="31"/>
      <c r="G16500" s="272" t="s">
        <v>1099</v>
      </c>
    </row>
    <row r="16501">
      <c r="B16501" s="31"/>
      <c r="G16501" s="272" t="s">
        <v>1099</v>
      </c>
    </row>
    <row r="16502">
      <c r="B16502" s="31"/>
      <c r="G16502" s="272" t="s">
        <v>1099</v>
      </c>
    </row>
    <row r="16503">
      <c r="B16503" s="31"/>
      <c r="G16503" s="272" t="s">
        <v>1099</v>
      </c>
    </row>
    <row r="16504">
      <c r="B16504" s="31"/>
      <c r="G16504" s="272" t="s">
        <v>1099</v>
      </c>
    </row>
    <row r="16505">
      <c r="B16505" s="31"/>
      <c r="G16505" s="272" t="s">
        <v>1099</v>
      </c>
    </row>
    <row r="16506">
      <c r="B16506" s="31"/>
      <c r="G16506" s="272" t="s">
        <v>1099</v>
      </c>
    </row>
    <row r="16507">
      <c r="B16507" s="31"/>
      <c r="G16507" s="272" t="s">
        <v>1099</v>
      </c>
    </row>
    <row r="16508">
      <c r="B16508" s="31"/>
      <c r="G16508" s="272" t="s">
        <v>1099</v>
      </c>
    </row>
    <row r="16509">
      <c r="B16509" s="31"/>
      <c r="G16509" s="272" t="s">
        <v>1099</v>
      </c>
    </row>
    <row r="16510">
      <c r="B16510" s="31"/>
      <c r="G16510" s="272" t="s">
        <v>1099</v>
      </c>
    </row>
    <row r="16511">
      <c r="B16511" s="31"/>
      <c r="G16511" s="272" t="s">
        <v>1099</v>
      </c>
    </row>
    <row r="16512">
      <c r="B16512" s="31"/>
      <c r="G16512" s="272" t="s">
        <v>1099</v>
      </c>
    </row>
    <row r="16513">
      <c r="B16513" s="31"/>
      <c r="G16513" s="272" t="s">
        <v>1099</v>
      </c>
    </row>
    <row r="16514">
      <c r="B16514" s="31"/>
      <c r="G16514" s="272" t="s">
        <v>1099</v>
      </c>
    </row>
    <row r="16515">
      <c r="B16515" s="31"/>
      <c r="G16515" s="272" t="s">
        <v>1099</v>
      </c>
    </row>
    <row r="16516">
      <c r="B16516" s="31"/>
      <c r="G16516" s="272" t="s">
        <v>1099</v>
      </c>
    </row>
    <row r="16517">
      <c r="B16517" s="31"/>
      <c r="G16517" s="272" t="s">
        <v>1099</v>
      </c>
    </row>
    <row r="16518">
      <c r="B16518" s="31"/>
      <c r="G16518" s="272" t="s">
        <v>1099</v>
      </c>
    </row>
    <row r="16519">
      <c r="B16519" s="31"/>
      <c r="G16519" s="272" t="s">
        <v>1099</v>
      </c>
    </row>
    <row r="16520">
      <c r="B16520" s="31"/>
      <c r="G16520" s="272" t="s">
        <v>1099</v>
      </c>
    </row>
    <row r="16521">
      <c r="B16521" s="31"/>
      <c r="G16521" s="272" t="s">
        <v>1099</v>
      </c>
    </row>
    <row r="16522">
      <c r="B16522" s="31"/>
      <c r="G16522" s="272" t="s">
        <v>1099</v>
      </c>
    </row>
    <row r="16523">
      <c r="B16523" s="31"/>
      <c r="G16523" s="272" t="s">
        <v>1099</v>
      </c>
    </row>
    <row r="16524">
      <c r="B16524" s="31"/>
      <c r="G16524" s="272" t="s">
        <v>1099</v>
      </c>
    </row>
    <row r="16525">
      <c r="B16525" s="31"/>
      <c r="G16525" s="272" t="s">
        <v>1099</v>
      </c>
    </row>
    <row r="16526">
      <c r="B16526" s="31"/>
      <c r="G16526" s="272" t="s">
        <v>1099</v>
      </c>
    </row>
    <row r="16527">
      <c r="B16527" s="31"/>
      <c r="G16527" s="272" t="s">
        <v>1099</v>
      </c>
    </row>
    <row r="16528">
      <c r="B16528" s="31"/>
      <c r="G16528" s="272" t="s">
        <v>1099</v>
      </c>
    </row>
    <row r="16529">
      <c r="B16529" s="31"/>
      <c r="G16529" s="272" t="s">
        <v>1099</v>
      </c>
    </row>
    <row r="16530">
      <c r="B16530" s="31"/>
      <c r="G16530" s="272" t="s">
        <v>1099</v>
      </c>
    </row>
    <row r="16531">
      <c r="B16531" s="31"/>
      <c r="G16531" s="272" t="s">
        <v>1099</v>
      </c>
    </row>
    <row r="16532">
      <c r="B16532" s="31"/>
      <c r="G16532" s="272" t="s">
        <v>1099</v>
      </c>
    </row>
    <row r="16533">
      <c r="B16533" s="31"/>
      <c r="G16533" s="272" t="s">
        <v>1099</v>
      </c>
    </row>
    <row r="16534">
      <c r="B16534" s="31"/>
      <c r="G16534" s="272" t="s">
        <v>1099</v>
      </c>
    </row>
    <row r="16535">
      <c r="B16535" s="31"/>
      <c r="G16535" s="272" t="s">
        <v>1099</v>
      </c>
    </row>
    <row r="16536">
      <c r="B16536" s="31"/>
      <c r="G16536" s="272" t="s">
        <v>1099</v>
      </c>
    </row>
    <row r="16537">
      <c r="B16537" s="31"/>
      <c r="G16537" s="272" t="s">
        <v>1099</v>
      </c>
    </row>
    <row r="16538">
      <c r="B16538" s="31"/>
      <c r="G16538" s="272" t="s">
        <v>1099</v>
      </c>
    </row>
    <row r="16539">
      <c r="B16539" s="31"/>
      <c r="G16539" s="272" t="s">
        <v>1099</v>
      </c>
    </row>
    <row r="16540">
      <c r="B16540" s="31"/>
      <c r="G16540" s="272" t="s">
        <v>1099</v>
      </c>
    </row>
    <row r="16541">
      <c r="B16541" s="31"/>
      <c r="G16541" s="272" t="s">
        <v>1099</v>
      </c>
    </row>
    <row r="16542">
      <c r="B16542" s="31"/>
      <c r="G16542" s="272" t="s">
        <v>1099</v>
      </c>
    </row>
    <row r="16543">
      <c r="B16543" s="31"/>
      <c r="G16543" s="272" t="s">
        <v>1099</v>
      </c>
    </row>
    <row r="16544">
      <c r="B16544" s="31"/>
      <c r="G16544" s="272" t="s">
        <v>1099</v>
      </c>
    </row>
    <row r="16545">
      <c r="B16545" s="31"/>
      <c r="G16545" s="272" t="s">
        <v>1099</v>
      </c>
    </row>
    <row r="16546">
      <c r="B16546" s="31"/>
      <c r="G16546" s="272" t="s">
        <v>1099</v>
      </c>
    </row>
    <row r="16547">
      <c r="B16547" s="31"/>
      <c r="G16547" s="272" t="s">
        <v>1099</v>
      </c>
    </row>
    <row r="16548">
      <c r="B16548" s="31"/>
      <c r="G16548" s="272" t="s">
        <v>1099</v>
      </c>
    </row>
    <row r="16549">
      <c r="B16549" s="31"/>
      <c r="G16549" s="272" t="s">
        <v>1099</v>
      </c>
    </row>
    <row r="16550">
      <c r="B16550" s="31"/>
      <c r="G16550" s="272" t="s">
        <v>1099</v>
      </c>
    </row>
    <row r="16551">
      <c r="B16551" s="31"/>
      <c r="G16551" s="272" t="s">
        <v>1099</v>
      </c>
    </row>
    <row r="16552">
      <c r="B16552" s="31"/>
      <c r="G16552" s="272" t="s">
        <v>1099</v>
      </c>
    </row>
    <row r="16553">
      <c r="B16553" s="31"/>
      <c r="G16553" s="272" t="s">
        <v>1099</v>
      </c>
    </row>
    <row r="16554">
      <c r="B16554" s="31"/>
      <c r="G16554" s="272" t="s">
        <v>1099</v>
      </c>
    </row>
    <row r="16555">
      <c r="B16555" s="31"/>
      <c r="G16555" s="272" t="s">
        <v>1099</v>
      </c>
    </row>
    <row r="16556">
      <c r="B16556" s="31"/>
      <c r="G16556" s="272" t="s">
        <v>1099</v>
      </c>
    </row>
    <row r="16557">
      <c r="B16557" s="31"/>
      <c r="G16557" s="272" t="s">
        <v>1099</v>
      </c>
    </row>
    <row r="16558">
      <c r="B16558" s="31"/>
      <c r="G16558" s="272" t="s">
        <v>1099</v>
      </c>
    </row>
    <row r="16559">
      <c r="B16559" s="31"/>
      <c r="G16559" s="272" t="s">
        <v>1099</v>
      </c>
    </row>
    <row r="16560">
      <c r="B16560" s="31"/>
      <c r="G16560" s="272" t="s">
        <v>1099</v>
      </c>
    </row>
    <row r="16561">
      <c r="B16561" s="31"/>
      <c r="G16561" s="272" t="s">
        <v>1099</v>
      </c>
    </row>
    <row r="16562">
      <c r="B16562" s="31"/>
      <c r="G16562" s="272" t="s">
        <v>1099</v>
      </c>
    </row>
    <row r="16563">
      <c r="B16563" s="31"/>
      <c r="G16563" s="272" t="s">
        <v>1099</v>
      </c>
    </row>
    <row r="16564">
      <c r="B16564" s="31"/>
      <c r="G16564" s="272" t="s">
        <v>1099</v>
      </c>
    </row>
    <row r="16565">
      <c r="B16565" s="31"/>
      <c r="G16565" s="272" t="s">
        <v>1099</v>
      </c>
    </row>
    <row r="16566">
      <c r="B16566" s="31"/>
      <c r="G16566" s="272" t="s">
        <v>1099</v>
      </c>
    </row>
    <row r="16567">
      <c r="B16567" s="31"/>
      <c r="G16567" s="272" t="s">
        <v>1099</v>
      </c>
    </row>
    <row r="16568">
      <c r="B16568" s="31"/>
      <c r="G16568" s="272" t="s">
        <v>1099</v>
      </c>
    </row>
    <row r="16569">
      <c r="B16569" s="31"/>
      <c r="G16569" s="272" t="s">
        <v>1099</v>
      </c>
    </row>
    <row r="16570">
      <c r="B16570" s="31"/>
      <c r="G16570" s="272" t="s">
        <v>1099</v>
      </c>
    </row>
    <row r="16571">
      <c r="B16571" s="31"/>
      <c r="G16571" s="272" t="s">
        <v>1099</v>
      </c>
    </row>
    <row r="16572">
      <c r="B16572" s="31"/>
      <c r="G16572" s="272" t="s">
        <v>1099</v>
      </c>
    </row>
    <row r="16573">
      <c r="B16573" s="31"/>
      <c r="G16573" s="272" t="s">
        <v>1099</v>
      </c>
    </row>
    <row r="16574">
      <c r="B16574" s="31"/>
      <c r="G16574" s="272" t="s">
        <v>1099</v>
      </c>
    </row>
    <row r="16575">
      <c r="B16575" s="31"/>
      <c r="G16575" s="272" t="s">
        <v>1099</v>
      </c>
    </row>
    <row r="16576">
      <c r="B16576" s="31"/>
      <c r="G16576" s="272" t="s">
        <v>1099</v>
      </c>
    </row>
    <row r="16577">
      <c r="B16577" s="31"/>
      <c r="G16577" s="272" t="s">
        <v>1099</v>
      </c>
    </row>
    <row r="16578">
      <c r="B16578" s="31"/>
      <c r="G16578" s="272" t="s">
        <v>1099</v>
      </c>
    </row>
    <row r="16579">
      <c r="B16579" s="31"/>
      <c r="G16579" s="272" t="s">
        <v>1099</v>
      </c>
    </row>
    <row r="16580">
      <c r="B16580" s="31"/>
      <c r="G16580" s="272" t="s">
        <v>1099</v>
      </c>
    </row>
    <row r="16581">
      <c r="B16581" s="31"/>
      <c r="G16581" s="272" t="s">
        <v>1099</v>
      </c>
    </row>
    <row r="16582">
      <c r="B16582" s="31"/>
      <c r="G16582" s="272" t="s">
        <v>1099</v>
      </c>
    </row>
    <row r="16583">
      <c r="B16583" s="31"/>
      <c r="G16583" s="272" t="s">
        <v>1099</v>
      </c>
    </row>
    <row r="16584">
      <c r="B16584" s="31"/>
      <c r="G16584" s="272" t="s">
        <v>1099</v>
      </c>
    </row>
    <row r="16585">
      <c r="B16585" s="31"/>
      <c r="G16585" s="272" t="s">
        <v>1099</v>
      </c>
    </row>
    <row r="16586">
      <c r="B16586" s="31"/>
      <c r="G16586" s="272" t="s">
        <v>1099</v>
      </c>
    </row>
    <row r="16587">
      <c r="B16587" s="31"/>
      <c r="G16587" s="272" t="s">
        <v>1099</v>
      </c>
    </row>
    <row r="16588">
      <c r="B16588" s="31"/>
      <c r="G16588" s="272" t="s">
        <v>1099</v>
      </c>
    </row>
    <row r="16589">
      <c r="B16589" s="31"/>
      <c r="G16589" s="272" t="s">
        <v>1099</v>
      </c>
    </row>
    <row r="16590">
      <c r="B16590" s="31"/>
      <c r="G16590" s="272" t="s">
        <v>1099</v>
      </c>
    </row>
    <row r="16591">
      <c r="B16591" s="31"/>
      <c r="G16591" s="272" t="s">
        <v>1099</v>
      </c>
    </row>
    <row r="16592">
      <c r="B16592" s="31"/>
      <c r="G16592" s="272" t="s">
        <v>1099</v>
      </c>
    </row>
    <row r="16593">
      <c r="B16593" s="31"/>
      <c r="G16593" s="272" t="s">
        <v>1099</v>
      </c>
    </row>
    <row r="16594">
      <c r="B16594" s="31"/>
      <c r="G16594" s="272" t="s">
        <v>1099</v>
      </c>
    </row>
    <row r="16595">
      <c r="B16595" s="31"/>
      <c r="G16595" s="272" t="s">
        <v>1099</v>
      </c>
    </row>
    <row r="16596">
      <c r="B16596" s="31"/>
      <c r="G16596" s="272" t="s">
        <v>1099</v>
      </c>
    </row>
    <row r="16597">
      <c r="B16597" s="31"/>
      <c r="G16597" s="272" t="s">
        <v>1099</v>
      </c>
    </row>
    <row r="16598">
      <c r="B16598" s="31"/>
      <c r="G16598" s="272" t="s">
        <v>1099</v>
      </c>
    </row>
    <row r="16599">
      <c r="B16599" s="31"/>
      <c r="G16599" s="272" t="s">
        <v>1099</v>
      </c>
    </row>
    <row r="16600">
      <c r="B16600" s="31"/>
      <c r="G16600" s="272" t="s">
        <v>1099</v>
      </c>
    </row>
    <row r="16601">
      <c r="B16601" s="31"/>
      <c r="G16601" s="272" t="s">
        <v>1099</v>
      </c>
    </row>
    <row r="16602">
      <c r="B16602" s="31"/>
      <c r="G16602" s="272" t="s">
        <v>1099</v>
      </c>
    </row>
    <row r="16603">
      <c r="B16603" s="31"/>
      <c r="G16603" s="272" t="s">
        <v>1099</v>
      </c>
    </row>
    <row r="16604">
      <c r="B16604" s="31"/>
      <c r="G16604" s="272" t="s">
        <v>1099</v>
      </c>
    </row>
    <row r="16605">
      <c r="B16605" s="31"/>
      <c r="G16605" s="272" t="s">
        <v>1099</v>
      </c>
    </row>
    <row r="16606">
      <c r="B16606" s="31"/>
      <c r="G16606" s="272" t="s">
        <v>1099</v>
      </c>
    </row>
    <row r="16607">
      <c r="B16607" s="31"/>
      <c r="G16607" s="272" t="s">
        <v>1099</v>
      </c>
    </row>
    <row r="16608">
      <c r="B16608" s="31"/>
      <c r="G16608" s="272" t="s">
        <v>1099</v>
      </c>
    </row>
    <row r="16609">
      <c r="B16609" s="31"/>
      <c r="G16609" s="272" t="s">
        <v>1099</v>
      </c>
    </row>
    <row r="16610">
      <c r="B16610" s="31"/>
      <c r="G16610" s="272" t="s">
        <v>1099</v>
      </c>
    </row>
    <row r="16611">
      <c r="B16611" s="31"/>
      <c r="G16611" s="272" t="s">
        <v>1099</v>
      </c>
    </row>
    <row r="16612">
      <c r="B16612" s="31"/>
      <c r="G16612" s="272" t="s">
        <v>1099</v>
      </c>
    </row>
    <row r="16613">
      <c r="B16613" s="31"/>
      <c r="G16613" s="272" t="s">
        <v>1099</v>
      </c>
    </row>
    <row r="16614">
      <c r="B16614" s="31"/>
      <c r="G16614" s="272" t="s">
        <v>1099</v>
      </c>
    </row>
    <row r="16615">
      <c r="B16615" s="31"/>
      <c r="G16615" s="272" t="s">
        <v>1099</v>
      </c>
    </row>
    <row r="16616">
      <c r="B16616" s="31"/>
      <c r="G16616" s="272" t="s">
        <v>1099</v>
      </c>
    </row>
    <row r="16617">
      <c r="B16617" s="31"/>
      <c r="G16617" s="272" t="s">
        <v>1099</v>
      </c>
    </row>
    <row r="16618">
      <c r="B16618" s="31"/>
      <c r="G16618" s="272" t="s">
        <v>1099</v>
      </c>
    </row>
    <row r="16619">
      <c r="B16619" s="31"/>
      <c r="G16619" s="272" t="s">
        <v>1099</v>
      </c>
    </row>
    <row r="16620">
      <c r="B16620" s="31"/>
      <c r="G16620" s="272" t="s">
        <v>1099</v>
      </c>
    </row>
    <row r="16621">
      <c r="B16621" s="31"/>
      <c r="G16621" s="272" t="s">
        <v>1099</v>
      </c>
    </row>
    <row r="16622">
      <c r="B16622" s="31"/>
      <c r="G16622" s="272" t="s">
        <v>1099</v>
      </c>
    </row>
    <row r="16623">
      <c r="B16623" s="31"/>
      <c r="G16623" s="272" t="s">
        <v>1099</v>
      </c>
    </row>
    <row r="16624">
      <c r="B16624" s="31"/>
      <c r="G16624" s="272" t="s">
        <v>1099</v>
      </c>
    </row>
    <row r="16625">
      <c r="B16625" s="31"/>
      <c r="G16625" s="272" t="s">
        <v>1099</v>
      </c>
    </row>
    <row r="16626">
      <c r="B16626" s="31"/>
      <c r="G16626" s="272" t="s">
        <v>1099</v>
      </c>
    </row>
    <row r="16627">
      <c r="B16627" s="31"/>
      <c r="G16627" s="272" t="s">
        <v>1099</v>
      </c>
    </row>
    <row r="16628">
      <c r="B16628" s="31"/>
      <c r="G16628" s="272" t="s">
        <v>1099</v>
      </c>
    </row>
    <row r="16629">
      <c r="B16629" s="31"/>
      <c r="G16629" s="272" t="s">
        <v>1099</v>
      </c>
    </row>
    <row r="16630">
      <c r="B16630" s="31"/>
      <c r="G16630" s="272" t="s">
        <v>1099</v>
      </c>
    </row>
    <row r="16631">
      <c r="B16631" s="31"/>
      <c r="G16631" s="272" t="s">
        <v>1099</v>
      </c>
    </row>
    <row r="16632">
      <c r="B16632" s="31"/>
      <c r="G16632" s="272" t="s">
        <v>1099</v>
      </c>
    </row>
    <row r="16633">
      <c r="B16633" s="31"/>
      <c r="G16633" s="272" t="s">
        <v>1099</v>
      </c>
    </row>
    <row r="16634">
      <c r="B16634" s="31"/>
      <c r="G16634" s="272" t="s">
        <v>1099</v>
      </c>
    </row>
    <row r="16635">
      <c r="B16635" s="31"/>
      <c r="G16635" s="272" t="s">
        <v>1099</v>
      </c>
    </row>
    <row r="16636">
      <c r="B16636" s="31"/>
      <c r="G16636" s="272" t="s">
        <v>1099</v>
      </c>
    </row>
    <row r="16637">
      <c r="B16637" s="31"/>
      <c r="G16637" s="272" t="s">
        <v>1099</v>
      </c>
    </row>
    <row r="16638">
      <c r="B16638" s="31"/>
      <c r="G16638" s="272" t="s">
        <v>1099</v>
      </c>
    </row>
    <row r="16639">
      <c r="B16639" s="31"/>
      <c r="G16639" s="272" t="s">
        <v>1099</v>
      </c>
    </row>
    <row r="16640">
      <c r="B16640" s="31"/>
      <c r="G16640" s="272" t="s">
        <v>1099</v>
      </c>
    </row>
    <row r="16641">
      <c r="B16641" s="31"/>
      <c r="G16641" s="272" t="s">
        <v>1099</v>
      </c>
    </row>
    <row r="16642">
      <c r="B16642" s="31"/>
      <c r="G16642" s="272" t="s">
        <v>1099</v>
      </c>
    </row>
    <row r="16643">
      <c r="B16643" s="31"/>
      <c r="G16643" s="272" t="s">
        <v>1099</v>
      </c>
    </row>
    <row r="16644">
      <c r="B16644" s="31"/>
      <c r="G16644" s="272" t="s">
        <v>1099</v>
      </c>
    </row>
    <row r="16645">
      <c r="B16645" s="31"/>
      <c r="G16645" s="272" t="s">
        <v>1099</v>
      </c>
    </row>
    <row r="16646">
      <c r="B16646" s="31"/>
      <c r="G16646" s="272" t="s">
        <v>1099</v>
      </c>
    </row>
    <row r="16647">
      <c r="B16647" s="31"/>
      <c r="G16647" s="272" t="s">
        <v>1099</v>
      </c>
    </row>
    <row r="16648">
      <c r="B16648" s="31"/>
      <c r="G16648" s="272" t="s">
        <v>1099</v>
      </c>
    </row>
    <row r="16649">
      <c r="B16649" s="31"/>
      <c r="G16649" s="272" t="s">
        <v>1099</v>
      </c>
    </row>
    <row r="16650">
      <c r="B16650" s="31"/>
      <c r="G16650" s="272" t="s">
        <v>1099</v>
      </c>
    </row>
    <row r="16651">
      <c r="B16651" s="31"/>
      <c r="G16651" s="272" t="s">
        <v>1099</v>
      </c>
    </row>
    <row r="16652">
      <c r="B16652" s="31"/>
      <c r="G16652" s="272" t="s">
        <v>1099</v>
      </c>
    </row>
    <row r="16653">
      <c r="B16653" s="31"/>
      <c r="G16653" s="272" t="s">
        <v>1099</v>
      </c>
    </row>
    <row r="16654">
      <c r="B16654" s="31"/>
      <c r="G16654" s="272" t="s">
        <v>1099</v>
      </c>
    </row>
    <row r="16655">
      <c r="B16655" s="31"/>
      <c r="G16655" s="272" t="s">
        <v>1099</v>
      </c>
    </row>
    <row r="16656">
      <c r="B16656" s="31"/>
      <c r="G16656" s="272" t="s">
        <v>1099</v>
      </c>
    </row>
    <row r="16657">
      <c r="B16657" s="31"/>
      <c r="G16657" s="272" t="s">
        <v>1099</v>
      </c>
    </row>
    <row r="16658">
      <c r="B16658" s="31"/>
      <c r="G16658" s="272" t="s">
        <v>1099</v>
      </c>
    </row>
    <row r="16659">
      <c r="B16659" s="31"/>
      <c r="G16659" s="272" t="s">
        <v>1099</v>
      </c>
    </row>
    <row r="16660">
      <c r="B16660" s="31"/>
      <c r="G16660" s="272" t="s">
        <v>1099</v>
      </c>
    </row>
    <row r="16661">
      <c r="B16661" s="31"/>
      <c r="G16661" s="272" t="s">
        <v>1099</v>
      </c>
    </row>
    <row r="16662">
      <c r="B16662" s="31"/>
      <c r="G16662" s="272" t="s">
        <v>1099</v>
      </c>
    </row>
    <row r="16663">
      <c r="B16663" s="31"/>
      <c r="G16663" s="272" t="s">
        <v>1099</v>
      </c>
    </row>
    <row r="16664">
      <c r="B16664" s="31"/>
      <c r="G16664" s="272" t="s">
        <v>1099</v>
      </c>
    </row>
    <row r="16665">
      <c r="B16665" s="31"/>
      <c r="G16665" s="272" t="s">
        <v>1099</v>
      </c>
    </row>
    <row r="16666">
      <c r="B16666" s="31"/>
      <c r="G16666" s="272" t="s">
        <v>1099</v>
      </c>
    </row>
    <row r="16667">
      <c r="B16667" s="31"/>
      <c r="G16667" s="272" t="s">
        <v>1099</v>
      </c>
    </row>
    <row r="16668">
      <c r="B16668" s="31"/>
      <c r="G16668" s="272" t="s">
        <v>1099</v>
      </c>
    </row>
    <row r="16669">
      <c r="B16669" s="31"/>
      <c r="G16669" s="272" t="s">
        <v>1099</v>
      </c>
    </row>
    <row r="16670">
      <c r="B16670" s="31"/>
      <c r="G16670" s="272" t="s">
        <v>1099</v>
      </c>
    </row>
    <row r="16671">
      <c r="B16671" s="31"/>
      <c r="G16671" s="272" t="s">
        <v>1099</v>
      </c>
    </row>
    <row r="16672">
      <c r="B16672" s="31"/>
      <c r="G16672" s="272" t="s">
        <v>1099</v>
      </c>
    </row>
    <row r="16673">
      <c r="B16673" s="31"/>
      <c r="G16673" s="272" t="s">
        <v>1099</v>
      </c>
    </row>
    <row r="16674">
      <c r="B16674" s="31"/>
      <c r="G16674" s="272" t="s">
        <v>1099</v>
      </c>
    </row>
    <row r="16675">
      <c r="B16675" s="31"/>
      <c r="G16675" s="272" t="s">
        <v>1099</v>
      </c>
    </row>
    <row r="16676">
      <c r="B16676" s="31"/>
      <c r="G16676" s="272" t="s">
        <v>1099</v>
      </c>
    </row>
    <row r="16677">
      <c r="B16677" s="31"/>
      <c r="G16677" s="272" t="s">
        <v>1099</v>
      </c>
    </row>
    <row r="16678">
      <c r="B16678" s="31"/>
      <c r="G16678" s="272" t="s">
        <v>1099</v>
      </c>
    </row>
    <row r="16679">
      <c r="B16679" s="31"/>
      <c r="G16679" s="272" t="s">
        <v>1099</v>
      </c>
    </row>
    <row r="16680">
      <c r="B16680" s="31"/>
      <c r="G16680" s="272" t="s">
        <v>1099</v>
      </c>
    </row>
    <row r="16681">
      <c r="B16681" s="31"/>
      <c r="G16681" s="272" t="s">
        <v>1099</v>
      </c>
    </row>
    <row r="16682">
      <c r="B16682" s="31"/>
      <c r="G16682" s="272" t="s">
        <v>1099</v>
      </c>
    </row>
    <row r="16683">
      <c r="B16683" s="31"/>
      <c r="G16683" s="272" t="s">
        <v>1099</v>
      </c>
    </row>
    <row r="16684">
      <c r="B16684" s="31"/>
      <c r="G16684" s="272" t="s">
        <v>1099</v>
      </c>
    </row>
    <row r="16685">
      <c r="B16685" s="31"/>
      <c r="G16685" s="272" t="s">
        <v>1099</v>
      </c>
    </row>
    <row r="16686">
      <c r="B16686" s="31"/>
      <c r="G16686" s="272" t="s">
        <v>1099</v>
      </c>
    </row>
    <row r="16687">
      <c r="B16687" s="31"/>
      <c r="G16687" s="272" t="s">
        <v>1099</v>
      </c>
    </row>
    <row r="16688">
      <c r="B16688" s="31"/>
      <c r="G16688" s="272" t="s">
        <v>1099</v>
      </c>
    </row>
    <row r="16689">
      <c r="B16689" s="31"/>
      <c r="G16689" s="272" t="s">
        <v>1099</v>
      </c>
    </row>
    <row r="16690">
      <c r="B16690" s="31"/>
      <c r="G16690" s="272" t="s">
        <v>1099</v>
      </c>
    </row>
    <row r="16691">
      <c r="B16691" s="31"/>
      <c r="G16691" s="272" t="s">
        <v>1099</v>
      </c>
    </row>
    <row r="16692">
      <c r="B16692" s="31"/>
      <c r="G16692" s="272" t="s">
        <v>1099</v>
      </c>
    </row>
    <row r="16693">
      <c r="B16693" s="31"/>
      <c r="G16693" s="272" t="s">
        <v>1099</v>
      </c>
    </row>
    <row r="16694">
      <c r="B16694" s="31"/>
      <c r="G16694" s="272" t="s">
        <v>1099</v>
      </c>
    </row>
    <row r="16695">
      <c r="B16695" s="31"/>
      <c r="G16695" s="272" t="s">
        <v>1099</v>
      </c>
    </row>
    <row r="16696">
      <c r="B16696" s="31"/>
      <c r="G16696" s="272" t="s">
        <v>1099</v>
      </c>
    </row>
    <row r="16697">
      <c r="B16697" s="31"/>
      <c r="G16697" s="272" t="s">
        <v>1099</v>
      </c>
    </row>
    <row r="16698">
      <c r="B16698" s="31"/>
      <c r="G16698" s="272" t="s">
        <v>1099</v>
      </c>
    </row>
    <row r="16699">
      <c r="B16699" s="31"/>
      <c r="G16699" s="272" t="s">
        <v>1099</v>
      </c>
    </row>
    <row r="16700">
      <c r="B16700" s="31"/>
      <c r="G16700" s="272" t="s">
        <v>1099</v>
      </c>
    </row>
    <row r="16701">
      <c r="B16701" s="31"/>
      <c r="G16701" s="272" t="s">
        <v>1099</v>
      </c>
    </row>
    <row r="16702">
      <c r="B16702" s="31"/>
      <c r="G16702" s="272" t="s">
        <v>1099</v>
      </c>
    </row>
    <row r="16703">
      <c r="B16703" s="31"/>
      <c r="G16703" s="272" t="s">
        <v>1099</v>
      </c>
    </row>
    <row r="16704">
      <c r="B16704" s="31"/>
      <c r="G16704" s="272" t="s">
        <v>1099</v>
      </c>
    </row>
    <row r="16705">
      <c r="B16705" s="31"/>
      <c r="G16705" s="272" t="s">
        <v>1099</v>
      </c>
    </row>
    <row r="16706">
      <c r="B16706" s="31"/>
      <c r="G16706" s="272" t="s">
        <v>1099</v>
      </c>
    </row>
    <row r="16707">
      <c r="B16707" s="31"/>
      <c r="G16707" s="272" t="s">
        <v>1099</v>
      </c>
    </row>
    <row r="16708">
      <c r="B16708" s="31"/>
      <c r="G16708" s="272" t="s">
        <v>1099</v>
      </c>
    </row>
    <row r="16709">
      <c r="B16709" s="31"/>
      <c r="G16709" s="272" t="s">
        <v>1099</v>
      </c>
    </row>
    <row r="16710">
      <c r="B16710" s="31"/>
      <c r="G16710" s="272" t="s">
        <v>1099</v>
      </c>
    </row>
    <row r="16711">
      <c r="B16711" s="31"/>
      <c r="G16711" s="272" t="s">
        <v>1099</v>
      </c>
    </row>
    <row r="16712">
      <c r="B16712" s="31"/>
      <c r="G16712" s="272" t="s">
        <v>1099</v>
      </c>
    </row>
    <row r="16713">
      <c r="B16713" s="31"/>
      <c r="G16713" s="272" t="s">
        <v>1099</v>
      </c>
    </row>
    <row r="16714">
      <c r="B16714" s="31"/>
      <c r="G16714" s="272" t="s">
        <v>1099</v>
      </c>
    </row>
    <row r="16715">
      <c r="B16715" s="31"/>
      <c r="G16715" s="272" t="s">
        <v>1099</v>
      </c>
    </row>
    <row r="16716">
      <c r="B16716" s="31"/>
      <c r="G16716" s="272" t="s">
        <v>1099</v>
      </c>
    </row>
    <row r="16717">
      <c r="B16717" s="31"/>
      <c r="G16717" s="272" t="s">
        <v>1099</v>
      </c>
    </row>
    <row r="16718">
      <c r="B16718" s="31"/>
      <c r="G16718" s="272" t="s">
        <v>1099</v>
      </c>
    </row>
    <row r="16719">
      <c r="B16719" s="31"/>
      <c r="G16719" s="272" t="s">
        <v>1099</v>
      </c>
    </row>
    <row r="16720">
      <c r="B16720" s="31"/>
      <c r="G16720" s="272" t="s">
        <v>1099</v>
      </c>
    </row>
    <row r="16721">
      <c r="B16721" s="31"/>
      <c r="G16721" s="272" t="s">
        <v>1099</v>
      </c>
    </row>
    <row r="16722">
      <c r="B16722" s="31"/>
      <c r="G16722" s="272" t="s">
        <v>1099</v>
      </c>
    </row>
    <row r="16723">
      <c r="B16723" s="31"/>
      <c r="G16723" s="272" t="s">
        <v>1099</v>
      </c>
    </row>
    <row r="16724">
      <c r="B16724" s="31"/>
      <c r="G16724" s="272" t="s">
        <v>1099</v>
      </c>
    </row>
    <row r="16725">
      <c r="B16725" s="31"/>
      <c r="G16725" s="272" t="s">
        <v>1099</v>
      </c>
    </row>
    <row r="16726">
      <c r="B16726" s="31"/>
      <c r="G16726" s="272" t="s">
        <v>1099</v>
      </c>
    </row>
    <row r="16727">
      <c r="B16727" s="31"/>
      <c r="G16727" s="272" t="s">
        <v>1099</v>
      </c>
    </row>
    <row r="16728">
      <c r="B16728" s="31"/>
      <c r="G16728" s="272" t="s">
        <v>1099</v>
      </c>
    </row>
    <row r="16729">
      <c r="B16729" s="31"/>
      <c r="G16729" s="272" t="s">
        <v>1099</v>
      </c>
    </row>
    <row r="16730">
      <c r="B16730" s="31"/>
      <c r="G16730" s="272" t="s">
        <v>1099</v>
      </c>
    </row>
    <row r="16731">
      <c r="B16731" s="31"/>
      <c r="G16731" s="272" t="s">
        <v>1099</v>
      </c>
    </row>
    <row r="16732">
      <c r="B16732" s="31"/>
      <c r="G16732" s="272" t="s">
        <v>1099</v>
      </c>
    </row>
    <row r="16733">
      <c r="B16733" s="31"/>
      <c r="G16733" s="272" t="s">
        <v>1099</v>
      </c>
    </row>
    <row r="16734">
      <c r="B16734" s="31"/>
      <c r="G16734" s="272" t="s">
        <v>1099</v>
      </c>
    </row>
    <row r="16735">
      <c r="B16735" s="31"/>
      <c r="G16735" s="272" t="s">
        <v>1099</v>
      </c>
    </row>
    <row r="16736">
      <c r="B16736" s="31"/>
      <c r="G16736" s="272" t="s">
        <v>1099</v>
      </c>
    </row>
    <row r="16737">
      <c r="B16737" s="31"/>
      <c r="G16737" s="272" t="s">
        <v>1099</v>
      </c>
    </row>
    <row r="16738">
      <c r="B16738" s="31"/>
      <c r="G16738" s="272" t="s">
        <v>1099</v>
      </c>
    </row>
    <row r="16739">
      <c r="B16739" s="31"/>
      <c r="G16739" s="272" t="s">
        <v>1099</v>
      </c>
    </row>
    <row r="16740">
      <c r="B16740" s="31"/>
      <c r="G16740" s="272" t="s">
        <v>1099</v>
      </c>
    </row>
    <row r="16741">
      <c r="B16741" s="31"/>
      <c r="G16741" s="272" t="s">
        <v>1099</v>
      </c>
    </row>
    <row r="16742">
      <c r="B16742" s="31"/>
      <c r="G16742" s="272" t="s">
        <v>1099</v>
      </c>
    </row>
    <row r="16743">
      <c r="B16743" s="31"/>
      <c r="G16743" s="272" t="s">
        <v>1099</v>
      </c>
    </row>
    <row r="16744">
      <c r="B16744" s="31"/>
      <c r="G16744" s="272" t="s">
        <v>1099</v>
      </c>
    </row>
    <row r="16745">
      <c r="B16745" s="31"/>
      <c r="G16745" s="272" t="s">
        <v>1099</v>
      </c>
    </row>
    <row r="16746">
      <c r="B16746" s="31"/>
      <c r="G16746" s="272" t="s">
        <v>1099</v>
      </c>
    </row>
    <row r="16747">
      <c r="B16747" s="31"/>
      <c r="G16747" s="272" t="s">
        <v>1099</v>
      </c>
    </row>
    <row r="16748">
      <c r="B16748" s="31"/>
      <c r="G16748" s="272" t="s">
        <v>1099</v>
      </c>
    </row>
    <row r="16749">
      <c r="B16749" s="31"/>
      <c r="G16749" s="272" t="s">
        <v>1099</v>
      </c>
    </row>
    <row r="16750">
      <c r="B16750" s="31"/>
      <c r="G16750" s="272" t="s">
        <v>1099</v>
      </c>
    </row>
    <row r="16751">
      <c r="B16751" s="31"/>
      <c r="G16751" s="272" t="s">
        <v>1099</v>
      </c>
    </row>
    <row r="16752">
      <c r="B16752" s="31"/>
      <c r="G16752" s="272" t="s">
        <v>1099</v>
      </c>
    </row>
    <row r="16753">
      <c r="B16753" s="31"/>
      <c r="G16753" s="272" t="s">
        <v>1099</v>
      </c>
    </row>
    <row r="16754">
      <c r="B16754" s="31"/>
      <c r="G16754" s="272" t="s">
        <v>1099</v>
      </c>
    </row>
    <row r="16755">
      <c r="B16755" s="31"/>
      <c r="G16755" s="272" t="s">
        <v>1099</v>
      </c>
    </row>
    <row r="16756">
      <c r="B16756" s="31"/>
      <c r="G16756" s="272" t="s">
        <v>1099</v>
      </c>
    </row>
    <row r="16757">
      <c r="B16757" s="31"/>
      <c r="G16757" s="272" t="s">
        <v>1099</v>
      </c>
    </row>
    <row r="16758">
      <c r="B16758" s="31"/>
      <c r="G16758" s="272" t="s">
        <v>1099</v>
      </c>
    </row>
    <row r="16759">
      <c r="B16759" s="31"/>
      <c r="G16759" s="272" t="s">
        <v>1099</v>
      </c>
    </row>
    <row r="16760">
      <c r="B16760" s="31"/>
      <c r="G16760" s="272" t="s">
        <v>1099</v>
      </c>
    </row>
    <row r="16761">
      <c r="B16761" s="31"/>
      <c r="G16761" s="272" t="s">
        <v>1099</v>
      </c>
    </row>
    <row r="16762">
      <c r="B16762" s="31"/>
      <c r="G16762" s="272" t="s">
        <v>1099</v>
      </c>
    </row>
    <row r="16763">
      <c r="B16763" s="31"/>
      <c r="G16763" s="272" t="s">
        <v>1099</v>
      </c>
    </row>
    <row r="16764">
      <c r="B16764" s="31"/>
      <c r="G16764" s="272" t="s">
        <v>1099</v>
      </c>
    </row>
    <row r="16765">
      <c r="B16765" s="31"/>
      <c r="G16765" s="272" t="s">
        <v>1099</v>
      </c>
    </row>
    <row r="16766">
      <c r="B16766" s="31"/>
      <c r="G16766" s="272" t="s">
        <v>1099</v>
      </c>
    </row>
    <row r="16767">
      <c r="B16767" s="31"/>
      <c r="G16767" s="272" t="s">
        <v>1099</v>
      </c>
    </row>
    <row r="16768">
      <c r="B16768" s="31"/>
      <c r="G16768" s="272" t="s">
        <v>1099</v>
      </c>
    </row>
    <row r="16769">
      <c r="B16769" s="31"/>
      <c r="G16769" s="272" t="s">
        <v>1099</v>
      </c>
    </row>
    <row r="16770">
      <c r="B16770" s="31"/>
      <c r="G16770" s="272" t="s">
        <v>1099</v>
      </c>
    </row>
    <row r="16771">
      <c r="B16771" s="31"/>
      <c r="G16771" s="272" t="s">
        <v>1099</v>
      </c>
    </row>
    <row r="16772">
      <c r="B16772" s="31"/>
      <c r="G16772" s="272" t="s">
        <v>1099</v>
      </c>
    </row>
    <row r="16773">
      <c r="B16773" s="31"/>
      <c r="G16773" s="272" t="s">
        <v>1099</v>
      </c>
    </row>
    <row r="16774">
      <c r="B16774" s="31"/>
      <c r="G16774" s="272" t="s">
        <v>1099</v>
      </c>
    </row>
    <row r="16775">
      <c r="B16775" s="31"/>
      <c r="G16775" s="272" t="s">
        <v>1099</v>
      </c>
    </row>
    <row r="16776">
      <c r="B16776" s="31"/>
      <c r="G16776" s="272" t="s">
        <v>1099</v>
      </c>
    </row>
    <row r="16777">
      <c r="B16777" s="31"/>
      <c r="G16777" s="272" t="s">
        <v>1099</v>
      </c>
    </row>
    <row r="16778">
      <c r="B16778" s="31"/>
      <c r="G16778" s="272" t="s">
        <v>1099</v>
      </c>
    </row>
    <row r="16779">
      <c r="B16779" s="31"/>
      <c r="G16779" s="272" t="s">
        <v>1099</v>
      </c>
    </row>
    <row r="16780">
      <c r="B16780" s="31"/>
      <c r="G16780" s="272" t="s">
        <v>1099</v>
      </c>
    </row>
    <row r="16781">
      <c r="B16781" s="31"/>
      <c r="G16781" s="272" t="s">
        <v>1099</v>
      </c>
    </row>
    <row r="16782">
      <c r="B16782" s="31"/>
      <c r="G16782" s="272" t="s">
        <v>1099</v>
      </c>
    </row>
    <row r="16783">
      <c r="B16783" s="31"/>
      <c r="G16783" s="272" t="s">
        <v>1099</v>
      </c>
    </row>
    <row r="16784">
      <c r="B16784" s="31"/>
      <c r="G16784" s="272" t="s">
        <v>1099</v>
      </c>
    </row>
    <row r="16785">
      <c r="B16785" s="31"/>
      <c r="G16785" s="272" t="s">
        <v>1099</v>
      </c>
    </row>
    <row r="16786">
      <c r="B16786" s="31"/>
      <c r="G16786" s="272" t="s">
        <v>1099</v>
      </c>
    </row>
    <row r="16787">
      <c r="B16787" s="31"/>
      <c r="G16787" s="272" t="s">
        <v>1099</v>
      </c>
    </row>
    <row r="16788">
      <c r="B16788" s="31"/>
      <c r="G16788" s="272" t="s">
        <v>1099</v>
      </c>
    </row>
    <row r="16789">
      <c r="B16789" s="31"/>
      <c r="G16789" s="272" t="s">
        <v>1099</v>
      </c>
    </row>
    <row r="16790">
      <c r="B16790" s="31"/>
      <c r="G16790" s="272" t="s">
        <v>1099</v>
      </c>
    </row>
    <row r="16791">
      <c r="B16791" s="31"/>
      <c r="G16791" s="272" t="s">
        <v>1099</v>
      </c>
    </row>
    <row r="16792">
      <c r="B16792" s="31"/>
      <c r="G16792" s="272" t="s">
        <v>1099</v>
      </c>
    </row>
    <row r="16793">
      <c r="B16793" s="31"/>
      <c r="G16793" s="272" t="s">
        <v>1099</v>
      </c>
    </row>
    <row r="16794">
      <c r="B16794" s="31"/>
      <c r="G16794" s="272" t="s">
        <v>1099</v>
      </c>
    </row>
    <row r="16795">
      <c r="B16795" s="31"/>
      <c r="G16795" s="272" t="s">
        <v>1099</v>
      </c>
    </row>
    <row r="16796">
      <c r="B16796" s="31"/>
      <c r="G16796" s="272" t="s">
        <v>1099</v>
      </c>
    </row>
    <row r="16797">
      <c r="B16797" s="31"/>
      <c r="G16797" s="272" t="s">
        <v>1099</v>
      </c>
    </row>
    <row r="16798">
      <c r="B16798" s="31"/>
      <c r="G16798" s="272" t="s">
        <v>1099</v>
      </c>
    </row>
    <row r="16799">
      <c r="B16799" s="31"/>
      <c r="G16799" s="272" t="s">
        <v>1099</v>
      </c>
    </row>
    <row r="16800">
      <c r="B16800" s="31"/>
      <c r="G16800" s="272" t="s">
        <v>1099</v>
      </c>
    </row>
    <row r="16801">
      <c r="B16801" s="31"/>
      <c r="G16801" s="272" t="s">
        <v>1099</v>
      </c>
    </row>
    <row r="16802">
      <c r="B16802" s="31"/>
      <c r="G16802" s="272" t="s">
        <v>1099</v>
      </c>
    </row>
    <row r="16803">
      <c r="B16803" s="31"/>
      <c r="G16803" s="272" t="s">
        <v>1099</v>
      </c>
    </row>
    <row r="16804">
      <c r="B16804" s="31"/>
      <c r="G16804" s="272" t="s">
        <v>1099</v>
      </c>
    </row>
    <row r="16805">
      <c r="B16805" s="31"/>
      <c r="G16805" s="272" t="s">
        <v>1099</v>
      </c>
    </row>
    <row r="16806">
      <c r="B16806" s="31"/>
      <c r="G16806" s="272" t="s">
        <v>1099</v>
      </c>
    </row>
    <row r="16807">
      <c r="B16807" s="31"/>
      <c r="G16807" s="272" t="s">
        <v>1099</v>
      </c>
    </row>
    <row r="16808">
      <c r="B16808" s="31"/>
      <c r="G16808" s="272" t="s">
        <v>1099</v>
      </c>
    </row>
    <row r="16809">
      <c r="B16809" s="31"/>
      <c r="G16809" s="272" t="s">
        <v>1099</v>
      </c>
    </row>
    <row r="16810">
      <c r="B16810" s="31"/>
      <c r="G16810" s="272" t="s">
        <v>1099</v>
      </c>
    </row>
    <row r="16811">
      <c r="B16811" s="31"/>
      <c r="G16811" s="272" t="s">
        <v>1099</v>
      </c>
    </row>
    <row r="16812">
      <c r="B16812" s="31"/>
      <c r="G16812" s="272" t="s">
        <v>1099</v>
      </c>
    </row>
    <row r="16813">
      <c r="B16813" s="31"/>
      <c r="G16813" s="272" t="s">
        <v>1099</v>
      </c>
    </row>
    <row r="16814">
      <c r="B16814" s="31"/>
      <c r="G16814" s="272" t="s">
        <v>1099</v>
      </c>
    </row>
    <row r="16815">
      <c r="B16815" s="31"/>
      <c r="G16815" s="272" t="s">
        <v>1099</v>
      </c>
    </row>
    <row r="16816">
      <c r="B16816" s="31"/>
      <c r="G16816" s="272" t="s">
        <v>1099</v>
      </c>
    </row>
    <row r="16817">
      <c r="B16817" s="31"/>
      <c r="G16817" s="272" t="s">
        <v>1099</v>
      </c>
    </row>
    <row r="16818">
      <c r="B16818" s="31"/>
      <c r="G16818" s="272" t="s">
        <v>1099</v>
      </c>
    </row>
    <row r="16819">
      <c r="B16819" s="31"/>
      <c r="G16819" s="272" t="s">
        <v>1099</v>
      </c>
    </row>
    <row r="16820">
      <c r="B16820" s="31"/>
      <c r="G16820" s="272" t="s">
        <v>1099</v>
      </c>
    </row>
    <row r="16821">
      <c r="B16821" s="31"/>
      <c r="G16821" s="272" t="s">
        <v>1099</v>
      </c>
    </row>
    <row r="16822">
      <c r="B16822" s="31"/>
      <c r="G16822" s="272" t="s">
        <v>1099</v>
      </c>
    </row>
    <row r="16823">
      <c r="B16823" s="31"/>
      <c r="G16823" s="272" t="s">
        <v>1099</v>
      </c>
    </row>
    <row r="16824">
      <c r="B16824" s="31"/>
      <c r="G16824" s="272" t="s">
        <v>1099</v>
      </c>
    </row>
    <row r="16825">
      <c r="B16825" s="31"/>
      <c r="G16825" s="272" t="s">
        <v>1099</v>
      </c>
    </row>
    <row r="16826">
      <c r="B16826" s="31"/>
      <c r="G16826" s="272" t="s">
        <v>1099</v>
      </c>
    </row>
    <row r="16827">
      <c r="B16827" s="31"/>
      <c r="G16827" s="272" t="s">
        <v>1099</v>
      </c>
    </row>
    <row r="16828">
      <c r="B16828" s="31"/>
      <c r="G16828" s="272" t="s">
        <v>1099</v>
      </c>
    </row>
    <row r="16829">
      <c r="B16829" s="31"/>
      <c r="G16829" s="272" t="s">
        <v>1099</v>
      </c>
    </row>
    <row r="16830">
      <c r="B16830" s="31"/>
      <c r="G16830" s="272" t="s">
        <v>1099</v>
      </c>
    </row>
    <row r="16831">
      <c r="B16831" s="31"/>
      <c r="G16831" s="272" t="s">
        <v>1099</v>
      </c>
    </row>
    <row r="16832">
      <c r="B16832" s="31"/>
      <c r="G16832" s="272" t="s">
        <v>1099</v>
      </c>
    </row>
    <row r="16833">
      <c r="B16833" s="31"/>
      <c r="G16833" s="272" t="s">
        <v>1099</v>
      </c>
    </row>
    <row r="16834">
      <c r="B16834" s="31"/>
      <c r="G16834" s="272" t="s">
        <v>1099</v>
      </c>
    </row>
    <row r="16835">
      <c r="B16835" s="31"/>
      <c r="G16835" s="272" t="s">
        <v>1099</v>
      </c>
    </row>
    <row r="16836">
      <c r="B16836" s="31"/>
      <c r="G16836" s="272" t="s">
        <v>1099</v>
      </c>
    </row>
    <row r="16837">
      <c r="B16837" s="31"/>
      <c r="G16837" s="272" t="s">
        <v>1099</v>
      </c>
    </row>
    <row r="16838">
      <c r="B16838" s="31"/>
      <c r="G16838" s="272" t="s">
        <v>1099</v>
      </c>
    </row>
    <row r="16839">
      <c r="B16839" s="31"/>
      <c r="G16839" s="272" t="s">
        <v>1099</v>
      </c>
    </row>
    <row r="16840">
      <c r="B16840" s="31"/>
      <c r="G16840" s="272" t="s">
        <v>1099</v>
      </c>
    </row>
    <row r="16841">
      <c r="B16841" s="31"/>
      <c r="G16841" s="272" t="s">
        <v>1099</v>
      </c>
    </row>
    <row r="16842">
      <c r="B16842" s="31"/>
      <c r="G16842" s="272" t="s">
        <v>1099</v>
      </c>
    </row>
    <row r="16843">
      <c r="B16843" s="31"/>
      <c r="G16843" s="272" t="s">
        <v>1099</v>
      </c>
    </row>
    <row r="16844">
      <c r="B16844" s="31"/>
      <c r="G16844" s="272" t="s">
        <v>1099</v>
      </c>
    </row>
    <row r="16845">
      <c r="B16845" s="31"/>
      <c r="G16845" s="272" t="s">
        <v>1099</v>
      </c>
    </row>
    <row r="16846">
      <c r="B16846" s="31"/>
      <c r="G16846" s="272" t="s">
        <v>1099</v>
      </c>
    </row>
    <row r="16847">
      <c r="B16847" s="31"/>
      <c r="G16847" s="272" t="s">
        <v>1099</v>
      </c>
    </row>
    <row r="16848">
      <c r="B16848" s="31"/>
      <c r="G16848" s="272" t="s">
        <v>1099</v>
      </c>
    </row>
    <row r="16849">
      <c r="B16849" s="31"/>
      <c r="G16849" s="272" t="s">
        <v>1099</v>
      </c>
    </row>
    <row r="16850">
      <c r="B16850" s="31"/>
      <c r="G16850" s="272" t="s">
        <v>1099</v>
      </c>
    </row>
    <row r="16851">
      <c r="B16851" s="31"/>
      <c r="G16851" s="272" t="s">
        <v>1099</v>
      </c>
    </row>
    <row r="16852">
      <c r="B16852" s="31"/>
      <c r="G16852" s="272" t="s">
        <v>1099</v>
      </c>
    </row>
    <row r="16853">
      <c r="B16853" s="31"/>
      <c r="G16853" s="272" t="s">
        <v>1099</v>
      </c>
    </row>
    <row r="16854">
      <c r="B16854" s="31"/>
      <c r="G16854" s="272" t="s">
        <v>1099</v>
      </c>
    </row>
    <row r="16855">
      <c r="B16855" s="31"/>
      <c r="G16855" s="272" t="s">
        <v>1099</v>
      </c>
    </row>
    <row r="16856">
      <c r="B16856" s="31"/>
      <c r="G16856" s="272" t="s">
        <v>1099</v>
      </c>
    </row>
    <row r="16857">
      <c r="B16857" s="31"/>
      <c r="G16857" s="272" t="s">
        <v>1099</v>
      </c>
    </row>
    <row r="16858">
      <c r="B16858" s="31"/>
      <c r="G16858" s="272" t="s">
        <v>1099</v>
      </c>
    </row>
    <row r="16859">
      <c r="B16859" s="31"/>
      <c r="G16859" s="272" t="s">
        <v>1099</v>
      </c>
    </row>
    <row r="16860">
      <c r="B16860" s="31"/>
      <c r="G16860" s="272" t="s">
        <v>1099</v>
      </c>
    </row>
    <row r="16861">
      <c r="B16861" s="31"/>
      <c r="G16861" s="272" t="s">
        <v>1099</v>
      </c>
    </row>
    <row r="16862">
      <c r="B16862" s="31"/>
      <c r="G16862" s="272" t="s">
        <v>1099</v>
      </c>
    </row>
    <row r="16863">
      <c r="B16863" s="31"/>
      <c r="G16863" s="272" t="s">
        <v>1099</v>
      </c>
    </row>
    <row r="16864">
      <c r="B16864" s="31"/>
      <c r="G16864" s="272" t="s">
        <v>1099</v>
      </c>
    </row>
    <row r="16865">
      <c r="B16865" s="31"/>
      <c r="G16865" s="272" t="s">
        <v>1099</v>
      </c>
    </row>
    <row r="16866">
      <c r="B16866" s="31"/>
      <c r="G16866" s="272" t="s">
        <v>1099</v>
      </c>
    </row>
    <row r="16867">
      <c r="B16867" s="31"/>
      <c r="G16867" s="272" t="s">
        <v>1099</v>
      </c>
    </row>
    <row r="16868">
      <c r="B16868" s="31"/>
      <c r="G16868" s="272" t="s">
        <v>1099</v>
      </c>
    </row>
    <row r="16869">
      <c r="B16869" s="31"/>
      <c r="G16869" s="272" t="s">
        <v>1099</v>
      </c>
    </row>
    <row r="16870">
      <c r="B16870" s="31"/>
      <c r="G16870" s="272" t="s">
        <v>1099</v>
      </c>
    </row>
    <row r="16871">
      <c r="B16871" s="31"/>
      <c r="G16871" s="272" t="s">
        <v>1099</v>
      </c>
    </row>
    <row r="16872">
      <c r="B16872" s="31"/>
      <c r="G16872" s="272" t="s">
        <v>1099</v>
      </c>
    </row>
    <row r="16873">
      <c r="B16873" s="31"/>
      <c r="G16873" s="272" t="s">
        <v>1099</v>
      </c>
    </row>
    <row r="16874">
      <c r="B16874" s="31"/>
      <c r="G16874" s="272" t="s">
        <v>1099</v>
      </c>
    </row>
    <row r="16875">
      <c r="B16875" s="31"/>
      <c r="G16875" s="272" t="s">
        <v>1099</v>
      </c>
    </row>
    <row r="16876">
      <c r="B16876" s="31"/>
      <c r="G16876" s="272" t="s">
        <v>1099</v>
      </c>
    </row>
    <row r="16877">
      <c r="B16877" s="31"/>
      <c r="G16877" s="272" t="s">
        <v>1099</v>
      </c>
    </row>
    <row r="16878">
      <c r="B16878" s="31"/>
      <c r="G16878" s="272" t="s">
        <v>1099</v>
      </c>
    </row>
    <row r="16879">
      <c r="B16879" s="31"/>
      <c r="G16879" s="272" t="s">
        <v>1099</v>
      </c>
    </row>
    <row r="16880">
      <c r="B16880" s="31"/>
      <c r="G16880" s="272" t="s">
        <v>1099</v>
      </c>
    </row>
    <row r="16881">
      <c r="B16881" s="31"/>
      <c r="G16881" s="272" t="s">
        <v>1099</v>
      </c>
    </row>
    <row r="16882">
      <c r="B16882" s="31"/>
      <c r="G16882" s="272" t="s">
        <v>1099</v>
      </c>
    </row>
    <row r="16883">
      <c r="B16883" s="31"/>
      <c r="G16883" s="272" t="s">
        <v>1099</v>
      </c>
    </row>
    <row r="16884">
      <c r="B16884" s="31"/>
      <c r="G16884" s="272" t="s">
        <v>1099</v>
      </c>
    </row>
    <row r="16885">
      <c r="B16885" s="31"/>
      <c r="G16885" s="272" t="s">
        <v>1099</v>
      </c>
    </row>
    <row r="16886">
      <c r="B16886" s="31"/>
      <c r="G16886" s="272" t="s">
        <v>1099</v>
      </c>
    </row>
    <row r="16887">
      <c r="B16887" s="31"/>
      <c r="G16887" s="272" t="s">
        <v>1099</v>
      </c>
    </row>
    <row r="16888">
      <c r="B16888" s="31"/>
      <c r="G16888" s="272" t="s">
        <v>1099</v>
      </c>
    </row>
    <row r="16889">
      <c r="B16889" s="31"/>
      <c r="G16889" s="272" t="s">
        <v>1099</v>
      </c>
    </row>
    <row r="16890">
      <c r="B16890" s="31"/>
      <c r="G16890" s="272" t="s">
        <v>1099</v>
      </c>
    </row>
    <row r="16891">
      <c r="B16891" s="31"/>
      <c r="G16891" s="272" t="s">
        <v>1099</v>
      </c>
    </row>
    <row r="16892">
      <c r="B16892" s="31"/>
      <c r="G16892" s="272" t="s">
        <v>1099</v>
      </c>
    </row>
    <row r="16893">
      <c r="B16893" s="31"/>
      <c r="G16893" s="272" t="s">
        <v>1099</v>
      </c>
    </row>
    <row r="16894">
      <c r="B16894" s="31"/>
      <c r="G16894" s="272" t="s">
        <v>1099</v>
      </c>
    </row>
    <row r="16895">
      <c r="B16895" s="31"/>
      <c r="G16895" s="272" t="s">
        <v>1099</v>
      </c>
    </row>
    <row r="16896">
      <c r="B16896" s="31"/>
      <c r="G16896" s="272" t="s">
        <v>1099</v>
      </c>
    </row>
    <row r="16897">
      <c r="B16897" s="31"/>
      <c r="G16897" s="272" t="s">
        <v>1099</v>
      </c>
    </row>
    <row r="16898">
      <c r="B16898" s="31"/>
      <c r="G16898" s="272" t="s">
        <v>1099</v>
      </c>
    </row>
    <row r="16899">
      <c r="B16899" s="31"/>
      <c r="G16899" s="272" t="s">
        <v>1099</v>
      </c>
    </row>
    <row r="16900">
      <c r="B16900" s="31"/>
      <c r="G16900" s="272" t="s">
        <v>1099</v>
      </c>
    </row>
    <row r="16901">
      <c r="B16901" s="31"/>
      <c r="G16901" s="272" t="s">
        <v>1099</v>
      </c>
    </row>
    <row r="16902">
      <c r="B16902" s="31"/>
      <c r="G16902" s="272" t="s">
        <v>1099</v>
      </c>
    </row>
    <row r="16903">
      <c r="B16903" s="31"/>
      <c r="G16903" s="272" t="s">
        <v>1099</v>
      </c>
    </row>
    <row r="16904">
      <c r="B16904" s="31"/>
      <c r="G16904" s="272" t="s">
        <v>1099</v>
      </c>
    </row>
    <row r="16905">
      <c r="B16905" s="31"/>
      <c r="G16905" s="272" t="s">
        <v>1099</v>
      </c>
    </row>
    <row r="16906">
      <c r="B16906" s="31"/>
      <c r="G16906" s="272" t="s">
        <v>1099</v>
      </c>
    </row>
    <row r="16907">
      <c r="B16907" s="31"/>
      <c r="G16907" s="272" t="s">
        <v>1099</v>
      </c>
    </row>
    <row r="16908">
      <c r="B16908" s="31"/>
      <c r="G16908" s="272" t="s">
        <v>1099</v>
      </c>
    </row>
    <row r="16909">
      <c r="B16909" s="31"/>
      <c r="G16909" s="272" t="s">
        <v>1099</v>
      </c>
    </row>
    <row r="16910">
      <c r="B16910" s="31"/>
      <c r="G16910" s="272" t="s">
        <v>1099</v>
      </c>
    </row>
    <row r="16911">
      <c r="B16911" s="31"/>
      <c r="G16911" s="272" t="s">
        <v>1099</v>
      </c>
    </row>
    <row r="16912">
      <c r="B16912" s="31"/>
      <c r="G16912" s="272" t="s">
        <v>1099</v>
      </c>
    </row>
    <row r="16913">
      <c r="B16913" s="31"/>
      <c r="G16913" s="272" t="s">
        <v>1099</v>
      </c>
    </row>
    <row r="16914">
      <c r="B16914" s="31"/>
      <c r="G16914" s="272" t="s">
        <v>1099</v>
      </c>
    </row>
    <row r="16915">
      <c r="B16915" s="31"/>
      <c r="G16915" s="272" t="s">
        <v>1099</v>
      </c>
    </row>
    <row r="16916">
      <c r="B16916" s="31"/>
      <c r="G16916" s="272" t="s">
        <v>1099</v>
      </c>
    </row>
    <row r="16917">
      <c r="B16917" s="31"/>
      <c r="G16917" s="272" t="s">
        <v>1099</v>
      </c>
    </row>
    <row r="16918">
      <c r="B16918" s="31"/>
      <c r="G16918" s="272" t="s">
        <v>1099</v>
      </c>
    </row>
    <row r="16919">
      <c r="B16919" s="31"/>
      <c r="G16919" s="272" t="s">
        <v>1099</v>
      </c>
    </row>
    <row r="16920">
      <c r="B16920" s="31"/>
      <c r="G16920" s="272" t="s">
        <v>1099</v>
      </c>
    </row>
    <row r="16921">
      <c r="B16921" s="31"/>
      <c r="G16921" s="272" t="s">
        <v>1099</v>
      </c>
    </row>
    <row r="16922">
      <c r="B16922" s="31"/>
      <c r="G16922" s="272" t="s">
        <v>1099</v>
      </c>
    </row>
    <row r="16923">
      <c r="B16923" s="31"/>
      <c r="G16923" s="272" t="s">
        <v>1099</v>
      </c>
    </row>
    <row r="16924">
      <c r="B16924" s="31"/>
      <c r="G16924" s="272" t="s">
        <v>1099</v>
      </c>
    </row>
    <row r="16925">
      <c r="B16925" s="31"/>
      <c r="G16925" s="272" t="s">
        <v>1099</v>
      </c>
    </row>
    <row r="16926">
      <c r="B16926" s="31"/>
      <c r="G16926" s="272" t="s">
        <v>1099</v>
      </c>
    </row>
    <row r="16927">
      <c r="B16927" s="31"/>
      <c r="G16927" s="272" t="s">
        <v>1099</v>
      </c>
    </row>
    <row r="16928">
      <c r="B16928" s="31"/>
      <c r="G16928" s="272" t="s">
        <v>1099</v>
      </c>
    </row>
    <row r="16929">
      <c r="B16929" s="31"/>
      <c r="G16929" s="272" t="s">
        <v>1099</v>
      </c>
    </row>
    <row r="16930">
      <c r="B16930" s="31"/>
      <c r="G16930" s="272" t="s">
        <v>1099</v>
      </c>
    </row>
    <row r="16931">
      <c r="B16931" s="31"/>
      <c r="G16931" s="272" t="s">
        <v>1099</v>
      </c>
    </row>
    <row r="16932">
      <c r="B16932" s="31"/>
      <c r="G16932" s="272" t="s">
        <v>1099</v>
      </c>
    </row>
    <row r="16933">
      <c r="B16933" s="31"/>
      <c r="G16933" s="272" t="s">
        <v>1099</v>
      </c>
    </row>
    <row r="16934">
      <c r="B16934" s="31"/>
      <c r="G16934" s="272" t="s">
        <v>1099</v>
      </c>
    </row>
    <row r="16935">
      <c r="B16935" s="31"/>
      <c r="G16935" s="272" t="s">
        <v>1099</v>
      </c>
    </row>
    <row r="16936">
      <c r="B16936" s="31"/>
      <c r="G16936" s="272" t="s">
        <v>1099</v>
      </c>
    </row>
    <row r="16937">
      <c r="B16937" s="31"/>
      <c r="G16937" s="272" t="s">
        <v>1099</v>
      </c>
    </row>
    <row r="16938">
      <c r="B16938" s="31"/>
      <c r="G16938" s="272" t="s">
        <v>1099</v>
      </c>
    </row>
    <row r="16939">
      <c r="B16939" s="31"/>
      <c r="G16939" s="272" t="s">
        <v>1099</v>
      </c>
    </row>
    <row r="16940">
      <c r="B16940" s="31"/>
      <c r="G16940" s="272" t="s">
        <v>1099</v>
      </c>
    </row>
    <row r="16941">
      <c r="B16941" s="31"/>
      <c r="G16941" s="272" t="s">
        <v>1099</v>
      </c>
    </row>
    <row r="16942">
      <c r="B16942" s="31"/>
      <c r="G16942" s="272" t="s">
        <v>1099</v>
      </c>
    </row>
    <row r="16943">
      <c r="B16943" s="31"/>
      <c r="G16943" s="272" t="s">
        <v>1099</v>
      </c>
    </row>
    <row r="16944">
      <c r="B16944" s="31"/>
      <c r="G16944" s="272" t="s">
        <v>1099</v>
      </c>
    </row>
    <row r="16945">
      <c r="B16945" s="31"/>
      <c r="G16945" s="272" t="s">
        <v>1099</v>
      </c>
    </row>
    <row r="16946">
      <c r="B16946" s="31"/>
      <c r="G16946" s="272" t="s">
        <v>1099</v>
      </c>
    </row>
    <row r="16947">
      <c r="B16947" s="31"/>
      <c r="G16947" s="272" t="s">
        <v>1099</v>
      </c>
    </row>
    <row r="16948">
      <c r="B16948" s="31"/>
      <c r="G16948" s="272" t="s">
        <v>1099</v>
      </c>
    </row>
    <row r="16949">
      <c r="B16949" s="31"/>
      <c r="G16949" s="272" t="s">
        <v>1099</v>
      </c>
    </row>
    <row r="16950">
      <c r="B16950" s="31"/>
      <c r="G16950" s="272" t="s">
        <v>1099</v>
      </c>
    </row>
    <row r="16951">
      <c r="B16951" s="31"/>
      <c r="G16951" s="272" t="s">
        <v>1099</v>
      </c>
    </row>
    <row r="16952">
      <c r="B16952" s="31"/>
      <c r="G16952" s="272" t="s">
        <v>1099</v>
      </c>
    </row>
    <row r="16953">
      <c r="B16953" s="31"/>
      <c r="G16953" s="272" t="s">
        <v>1099</v>
      </c>
    </row>
    <row r="16954">
      <c r="B16954" s="31"/>
      <c r="G16954" s="272" t="s">
        <v>1099</v>
      </c>
    </row>
    <row r="16955">
      <c r="B16955" s="31"/>
      <c r="G16955" s="272" t="s">
        <v>1099</v>
      </c>
    </row>
    <row r="16956">
      <c r="B16956" s="31"/>
      <c r="G16956" s="272" t="s">
        <v>1099</v>
      </c>
    </row>
    <row r="16957">
      <c r="B16957" s="31"/>
      <c r="G16957" s="272" t="s">
        <v>1099</v>
      </c>
    </row>
    <row r="16958">
      <c r="B16958" s="31"/>
      <c r="G16958" s="272" t="s">
        <v>1099</v>
      </c>
    </row>
    <row r="16959">
      <c r="B16959" s="31"/>
      <c r="G16959" s="272" t="s">
        <v>1099</v>
      </c>
    </row>
    <row r="16960">
      <c r="B16960" s="31"/>
      <c r="G16960" s="272" t="s">
        <v>1099</v>
      </c>
    </row>
    <row r="16961">
      <c r="B16961" s="31"/>
      <c r="G16961" s="272" t="s">
        <v>1099</v>
      </c>
    </row>
    <row r="16962">
      <c r="B16962" s="31"/>
      <c r="G16962" s="272" t="s">
        <v>1099</v>
      </c>
    </row>
    <row r="16963">
      <c r="B16963" s="31"/>
      <c r="G16963" s="272" t="s">
        <v>1099</v>
      </c>
    </row>
    <row r="16964">
      <c r="B16964" s="31"/>
      <c r="G16964" s="272" t="s">
        <v>1099</v>
      </c>
    </row>
    <row r="16965">
      <c r="B16965" s="31"/>
      <c r="G16965" s="272" t="s">
        <v>1099</v>
      </c>
    </row>
    <row r="16966">
      <c r="B16966" s="31"/>
      <c r="G16966" s="272" t="s">
        <v>1099</v>
      </c>
    </row>
    <row r="16967">
      <c r="B16967" s="31"/>
      <c r="G16967" s="272" t="s">
        <v>1099</v>
      </c>
    </row>
    <row r="16968">
      <c r="B16968" s="31"/>
      <c r="G16968" s="272" t="s">
        <v>1099</v>
      </c>
    </row>
    <row r="16969">
      <c r="B16969" s="31"/>
      <c r="G16969" s="272" t="s">
        <v>1099</v>
      </c>
    </row>
    <row r="16970">
      <c r="B16970" s="31"/>
      <c r="G16970" s="272" t="s">
        <v>1099</v>
      </c>
    </row>
    <row r="16971">
      <c r="B16971" s="31"/>
      <c r="G16971" s="272" t="s">
        <v>1099</v>
      </c>
    </row>
    <row r="16972">
      <c r="B16972" s="31"/>
      <c r="G16972" s="272" t="s">
        <v>1099</v>
      </c>
    </row>
    <row r="16973">
      <c r="B16973" s="31"/>
      <c r="G16973" s="272" t="s">
        <v>1099</v>
      </c>
    </row>
    <row r="16974">
      <c r="B16974" s="31"/>
      <c r="G16974" s="272" t="s">
        <v>1099</v>
      </c>
    </row>
    <row r="16975">
      <c r="B16975" s="31"/>
      <c r="G16975" s="272" t="s">
        <v>1099</v>
      </c>
    </row>
    <row r="16976">
      <c r="B16976" s="31"/>
      <c r="G16976" s="272" t="s">
        <v>1099</v>
      </c>
    </row>
    <row r="16977">
      <c r="B16977" s="31"/>
      <c r="G16977" s="272" t="s">
        <v>1099</v>
      </c>
    </row>
    <row r="16978">
      <c r="B16978" s="31"/>
      <c r="G16978" s="272" t="s">
        <v>1099</v>
      </c>
    </row>
    <row r="16979">
      <c r="B16979" s="31"/>
      <c r="G16979" s="272" t="s">
        <v>1099</v>
      </c>
    </row>
    <row r="16980">
      <c r="B16980" s="31"/>
      <c r="G16980" s="272" t="s">
        <v>1099</v>
      </c>
    </row>
    <row r="16981">
      <c r="B16981" s="31"/>
      <c r="G16981" s="272" t="s">
        <v>1099</v>
      </c>
    </row>
    <row r="16982">
      <c r="B16982" s="31"/>
      <c r="G16982" s="272" t="s">
        <v>1099</v>
      </c>
    </row>
    <row r="16983">
      <c r="B16983" s="31"/>
      <c r="G16983" s="272" t="s">
        <v>1099</v>
      </c>
    </row>
    <row r="16984">
      <c r="B16984" s="31"/>
      <c r="G16984" s="272" t="s">
        <v>1099</v>
      </c>
    </row>
    <row r="16985">
      <c r="B16985" s="31"/>
      <c r="G16985" s="272" t="s">
        <v>1099</v>
      </c>
    </row>
    <row r="16986">
      <c r="B16986" s="31"/>
      <c r="G16986" s="272" t="s">
        <v>1099</v>
      </c>
    </row>
    <row r="16987">
      <c r="B16987" s="31"/>
      <c r="G16987" s="272" t="s">
        <v>1099</v>
      </c>
    </row>
    <row r="16988">
      <c r="B16988" s="31"/>
      <c r="G16988" s="272" t="s">
        <v>1099</v>
      </c>
    </row>
    <row r="16989">
      <c r="B16989" s="31"/>
      <c r="G16989" s="272" t="s">
        <v>1099</v>
      </c>
    </row>
    <row r="16990">
      <c r="B16990" s="31"/>
      <c r="G16990" s="272" t="s">
        <v>1099</v>
      </c>
    </row>
    <row r="16991">
      <c r="B16991" s="31"/>
      <c r="G16991" s="272" t="s">
        <v>1099</v>
      </c>
    </row>
    <row r="16992">
      <c r="B16992" s="31"/>
      <c r="G16992" s="272" t="s">
        <v>1099</v>
      </c>
    </row>
    <row r="16993">
      <c r="B16993" s="31"/>
      <c r="G16993" s="272" t="s">
        <v>1099</v>
      </c>
    </row>
    <row r="16994">
      <c r="B16994" s="31"/>
      <c r="G16994" s="272" t="s">
        <v>1099</v>
      </c>
    </row>
    <row r="16995">
      <c r="B16995" s="31"/>
      <c r="G16995" s="272" t="s">
        <v>1099</v>
      </c>
    </row>
    <row r="16996">
      <c r="B16996" s="31"/>
      <c r="G16996" s="272" t="s">
        <v>1099</v>
      </c>
    </row>
    <row r="16997">
      <c r="B16997" s="31"/>
      <c r="G16997" s="272" t="s">
        <v>1099</v>
      </c>
    </row>
    <row r="16998">
      <c r="B16998" s="31"/>
      <c r="G16998" s="272" t="s">
        <v>1099</v>
      </c>
    </row>
    <row r="16999">
      <c r="B16999" s="31"/>
      <c r="G16999" s="272" t="s">
        <v>1099</v>
      </c>
    </row>
    <row r="17000">
      <c r="B17000" s="31"/>
      <c r="G17000" s="272" t="s">
        <v>1099</v>
      </c>
    </row>
    <row r="17001">
      <c r="B17001" s="31"/>
      <c r="G17001" s="272" t="s">
        <v>1099</v>
      </c>
    </row>
    <row r="17002">
      <c r="B17002" s="31"/>
      <c r="G17002" s="272" t="s">
        <v>1099</v>
      </c>
    </row>
    <row r="17003">
      <c r="B17003" s="31"/>
      <c r="G17003" s="272" t="s">
        <v>1099</v>
      </c>
    </row>
    <row r="17004">
      <c r="B17004" s="31"/>
      <c r="G17004" s="272" t="s">
        <v>1099</v>
      </c>
    </row>
    <row r="17005">
      <c r="B17005" s="31"/>
      <c r="G17005" s="272" t="s">
        <v>1099</v>
      </c>
    </row>
    <row r="17006">
      <c r="B17006" s="31"/>
      <c r="G17006" s="272" t="s">
        <v>1099</v>
      </c>
    </row>
    <row r="17007">
      <c r="B17007" s="31"/>
      <c r="G17007" s="272" t="s">
        <v>1099</v>
      </c>
    </row>
    <row r="17008">
      <c r="B17008" s="31"/>
      <c r="G17008" s="272" t="s">
        <v>1099</v>
      </c>
    </row>
    <row r="17009">
      <c r="B17009" s="31"/>
      <c r="G17009" s="272" t="s">
        <v>1099</v>
      </c>
    </row>
    <row r="17010">
      <c r="B17010" s="31"/>
      <c r="G17010" s="272" t="s">
        <v>1099</v>
      </c>
    </row>
    <row r="17011">
      <c r="B17011" s="31"/>
      <c r="G17011" s="272" t="s">
        <v>1099</v>
      </c>
    </row>
    <row r="17012">
      <c r="B17012" s="31"/>
      <c r="G17012" s="272" t="s">
        <v>1099</v>
      </c>
    </row>
    <row r="17013">
      <c r="B17013" s="31"/>
      <c r="G17013" s="272" t="s">
        <v>1099</v>
      </c>
    </row>
    <row r="17014">
      <c r="B17014" s="31"/>
      <c r="G17014" s="272" t="s">
        <v>1099</v>
      </c>
    </row>
    <row r="17015">
      <c r="B17015" s="31"/>
      <c r="G17015" s="272" t="s">
        <v>1099</v>
      </c>
    </row>
    <row r="17016">
      <c r="B17016" s="31"/>
      <c r="G17016" s="272" t="s">
        <v>1099</v>
      </c>
    </row>
    <row r="17017">
      <c r="B17017" s="31"/>
      <c r="G17017" s="272" t="s">
        <v>1099</v>
      </c>
    </row>
    <row r="17018">
      <c r="B17018" s="31"/>
      <c r="G17018" s="272" t="s">
        <v>1099</v>
      </c>
    </row>
    <row r="17019">
      <c r="B17019" s="31"/>
      <c r="G17019" s="272" t="s">
        <v>1099</v>
      </c>
    </row>
    <row r="17020">
      <c r="B17020" s="31"/>
      <c r="G17020" s="272" t="s">
        <v>1099</v>
      </c>
    </row>
    <row r="17021">
      <c r="B17021" s="31"/>
      <c r="G17021" s="272" t="s">
        <v>1099</v>
      </c>
    </row>
    <row r="17022">
      <c r="B17022" s="31"/>
      <c r="G17022" s="272" t="s">
        <v>1099</v>
      </c>
    </row>
    <row r="17023">
      <c r="B17023" s="31"/>
      <c r="G17023" s="272" t="s">
        <v>1099</v>
      </c>
    </row>
    <row r="17024">
      <c r="B17024" s="31"/>
      <c r="G17024" s="272" t="s">
        <v>1099</v>
      </c>
    </row>
    <row r="17025">
      <c r="B17025" s="31"/>
      <c r="G17025" s="272" t="s">
        <v>1099</v>
      </c>
    </row>
    <row r="17026">
      <c r="B17026" s="31"/>
      <c r="G17026" s="272" t="s">
        <v>1099</v>
      </c>
    </row>
    <row r="17027">
      <c r="B17027" s="31"/>
      <c r="G17027" s="272" t="s">
        <v>1099</v>
      </c>
    </row>
    <row r="17028">
      <c r="B17028" s="31"/>
      <c r="G17028" s="272" t="s">
        <v>1099</v>
      </c>
    </row>
    <row r="17029">
      <c r="B17029" s="31"/>
      <c r="G17029" s="272" t="s">
        <v>1099</v>
      </c>
    </row>
    <row r="17030">
      <c r="B17030" s="31"/>
      <c r="G17030" s="272" t="s">
        <v>1099</v>
      </c>
    </row>
    <row r="17031">
      <c r="B17031" s="31"/>
      <c r="G17031" s="272" t="s">
        <v>1099</v>
      </c>
    </row>
    <row r="17032">
      <c r="B17032" s="31"/>
      <c r="G17032" s="272" t="s">
        <v>1099</v>
      </c>
    </row>
    <row r="17033">
      <c r="B17033" s="31"/>
      <c r="G17033" s="272" t="s">
        <v>1099</v>
      </c>
    </row>
    <row r="17034">
      <c r="B17034" s="31"/>
      <c r="G17034" s="272" t="s">
        <v>1099</v>
      </c>
    </row>
    <row r="17035">
      <c r="B17035" s="31"/>
      <c r="G17035" s="272" t="s">
        <v>1099</v>
      </c>
    </row>
    <row r="17036">
      <c r="B17036" s="31"/>
      <c r="G17036" s="272" t="s">
        <v>1099</v>
      </c>
    </row>
    <row r="17037">
      <c r="B17037" s="31"/>
      <c r="G17037" s="272" t="s">
        <v>1099</v>
      </c>
    </row>
    <row r="17038">
      <c r="B17038" s="31"/>
      <c r="G17038" s="272" t="s">
        <v>1099</v>
      </c>
    </row>
    <row r="17039">
      <c r="B17039" s="31"/>
      <c r="G17039" s="272" t="s">
        <v>1099</v>
      </c>
    </row>
    <row r="17040">
      <c r="B17040" s="31"/>
      <c r="G17040" s="272" t="s">
        <v>1099</v>
      </c>
    </row>
    <row r="17041">
      <c r="B17041" s="31"/>
      <c r="G17041" s="272" t="s">
        <v>1099</v>
      </c>
    </row>
    <row r="17042">
      <c r="B17042" s="31"/>
      <c r="G17042" s="272" t="s">
        <v>1099</v>
      </c>
    </row>
    <row r="17043">
      <c r="B17043" s="31"/>
      <c r="G17043" s="272" t="s">
        <v>1099</v>
      </c>
    </row>
    <row r="17044">
      <c r="B17044" s="31"/>
      <c r="G17044" s="272" t="s">
        <v>1099</v>
      </c>
    </row>
    <row r="17045">
      <c r="B17045" s="31"/>
      <c r="G17045" s="272" t="s">
        <v>1099</v>
      </c>
    </row>
    <row r="17046">
      <c r="B17046" s="31"/>
      <c r="G17046" s="272" t="s">
        <v>1099</v>
      </c>
    </row>
    <row r="17047">
      <c r="B17047" s="31"/>
      <c r="G17047" s="272" t="s">
        <v>1099</v>
      </c>
    </row>
    <row r="17048">
      <c r="B17048" s="31"/>
      <c r="G17048" s="272" t="s">
        <v>1099</v>
      </c>
    </row>
    <row r="17049">
      <c r="B17049" s="31"/>
      <c r="G17049" s="272" t="s">
        <v>1099</v>
      </c>
    </row>
    <row r="17050">
      <c r="B17050" s="31"/>
      <c r="G17050" s="272" t="s">
        <v>1099</v>
      </c>
    </row>
    <row r="17051">
      <c r="B17051" s="31"/>
      <c r="G17051" s="272" t="s">
        <v>1099</v>
      </c>
    </row>
    <row r="17052">
      <c r="B17052" s="31"/>
      <c r="G17052" s="272" t="s">
        <v>1099</v>
      </c>
    </row>
    <row r="17053">
      <c r="B17053" s="31"/>
      <c r="G17053" s="272" t="s">
        <v>1099</v>
      </c>
    </row>
    <row r="17054">
      <c r="B17054" s="31"/>
      <c r="G17054" s="272" t="s">
        <v>1099</v>
      </c>
    </row>
    <row r="17055">
      <c r="B17055" s="31"/>
      <c r="G17055" s="272" t="s">
        <v>1099</v>
      </c>
    </row>
    <row r="17056">
      <c r="B17056" s="31"/>
      <c r="G17056" s="272" t="s">
        <v>1099</v>
      </c>
    </row>
    <row r="17057">
      <c r="B17057" s="31"/>
      <c r="G17057" s="272" t="s">
        <v>1099</v>
      </c>
    </row>
    <row r="17058">
      <c r="B17058" s="31"/>
      <c r="G17058" s="272" t="s">
        <v>1099</v>
      </c>
    </row>
    <row r="17059">
      <c r="B17059" s="31"/>
      <c r="G17059" s="272" t="s">
        <v>1099</v>
      </c>
    </row>
    <row r="17060">
      <c r="B17060" s="31"/>
      <c r="G17060" s="272" t="s">
        <v>1099</v>
      </c>
    </row>
    <row r="17061">
      <c r="B17061" s="31"/>
      <c r="G17061" s="272" t="s">
        <v>1099</v>
      </c>
    </row>
    <row r="17062">
      <c r="B17062" s="31"/>
      <c r="G17062" s="272" t="s">
        <v>1099</v>
      </c>
    </row>
    <row r="17063">
      <c r="B17063" s="31"/>
      <c r="G17063" s="272" t="s">
        <v>1099</v>
      </c>
    </row>
    <row r="17064">
      <c r="B17064" s="31"/>
      <c r="G17064" s="272" t="s">
        <v>1099</v>
      </c>
    </row>
    <row r="17065">
      <c r="B17065" s="31"/>
      <c r="G17065" s="272" t="s">
        <v>1099</v>
      </c>
    </row>
    <row r="17066">
      <c r="B17066" s="31"/>
      <c r="G17066" s="272" t="s">
        <v>1099</v>
      </c>
    </row>
    <row r="17067">
      <c r="B17067" s="31"/>
      <c r="G17067" s="272" t="s">
        <v>1099</v>
      </c>
    </row>
    <row r="17068">
      <c r="B17068" s="31"/>
      <c r="G17068" s="272" t="s">
        <v>1099</v>
      </c>
    </row>
    <row r="17069">
      <c r="B17069" s="31"/>
      <c r="G17069" s="272" t="s">
        <v>1099</v>
      </c>
    </row>
    <row r="17070">
      <c r="B17070" s="31"/>
      <c r="G17070" s="272" t="s">
        <v>1099</v>
      </c>
    </row>
    <row r="17071">
      <c r="B17071" s="31"/>
      <c r="G17071" s="272" t="s">
        <v>1099</v>
      </c>
    </row>
    <row r="17072">
      <c r="B17072" s="31"/>
      <c r="G17072" s="272" t="s">
        <v>1099</v>
      </c>
    </row>
    <row r="17073">
      <c r="B17073" s="31"/>
      <c r="G17073" s="272" t="s">
        <v>1099</v>
      </c>
    </row>
    <row r="17074">
      <c r="B17074" s="31"/>
      <c r="G17074" s="272" t="s">
        <v>1099</v>
      </c>
    </row>
    <row r="17075">
      <c r="B17075" s="31"/>
      <c r="G17075" s="272" t="s">
        <v>1099</v>
      </c>
    </row>
    <row r="17076">
      <c r="B17076" s="31"/>
      <c r="G17076" s="272" t="s">
        <v>1099</v>
      </c>
    </row>
    <row r="17077">
      <c r="B17077" s="31"/>
      <c r="G17077" s="272" t="s">
        <v>1099</v>
      </c>
    </row>
    <row r="17078">
      <c r="B17078" s="31"/>
      <c r="G17078" s="272" t="s">
        <v>1099</v>
      </c>
    </row>
    <row r="17079">
      <c r="B17079" s="31"/>
      <c r="G17079" s="272" t="s">
        <v>1099</v>
      </c>
    </row>
    <row r="17080">
      <c r="B17080" s="31"/>
      <c r="G17080" s="272" t="s">
        <v>1099</v>
      </c>
    </row>
    <row r="17081">
      <c r="B17081" s="31"/>
      <c r="G17081" s="272" t="s">
        <v>1099</v>
      </c>
    </row>
    <row r="17082">
      <c r="B17082" s="31"/>
      <c r="G17082" s="272" t="s">
        <v>1099</v>
      </c>
    </row>
    <row r="17083">
      <c r="B17083" s="31"/>
      <c r="G17083" s="272" t="s">
        <v>1099</v>
      </c>
    </row>
    <row r="17084">
      <c r="B17084" s="31"/>
      <c r="G17084" s="272" t="s">
        <v>1099</v>
      </c>
    </row>
    <row r="17085">
      <c r="B17085" s="31"/>
      <c r="G17085" s="272" t="s">
        <v>1099</v>
      </c>
    </row>
    <row r="17086">
      <c r="B17086" s="31"/>
      <c r="G17086" s="272" t="s">
        <v>1099</v>
      </c>
    </row>
    <row r="17087">
      <c r="B17087" s="31"/>
      <c r="G17087" s="272" t="s">
        <v>1099</v>
      </c>
    </row>
    <row r="17088">
      <c r="B17088" s="31"/>
      <c r="G17088" s="272" t="s">
        <v>1099</v>
      </c>
    </row>
    <row r="17089">
      <c r="B17089" s="31"/>
      <c r="G17089" s="272" t="s">
        <v>1099</v>
      </c>
    </row>
    <row r="17090">
      <c r="B17090" s="31"/>
      <c r="G17090" s="272" t="s">
        <v>1099</v>
      </c>
    </row>
    <row r="17091">
      <c r="B17091" s="31"/>
      <c r="G17091" s="272" t="s">
        <v>1099</v>
      </c>
    </row>
    <row r="17092">
      <c r="B17092" s="31"/>
      <c r="G17092" s="272" t="s">
        <v>1099</v>
      </c>
    </row>
    <row r="17093">
      <c r="B17093" s="31"/>
      <c r="G17093" s="272" t="s">
        <v>1099</v>
      </c>
    </row>
    <row r="17094">
      <c r="B17094" s="31"/>
      <c r="G17094" s="272" t="s">
        <v>1099</v>
      </c>
    </row>
    <row r="17095">
      <c r="B17095" s="31"/>
      <c r="G17095" s="272" t="s">
        <v>1099</v>
      </c>
    </row>
    <row r="17096">
      <c r="B17096" s="31"/>
      <c r="G17096" s="272" t="s">
        <v>1099</v>
      </c>
    </row>
    <row r="17097">
      <c r="B17097" s="31"/>
      <c r="G17097" s="272" t="s">
        <v>1099</v>
      </c>
    </row>
    <row r="17098">
      <c r="B17098" s="31"/>
      <c r="G17098" s="272" t="s">
        <v>1099</v>
      </c>
    </row>
    <row r="17099">
      <c r="B17099" s="31"/>
      <c r="G17099" s="272" t="s">
        <v>1099</v>
      </c>
    </row>
    <row r="17100">
      <c r="B17100" s="31"/>
      <c r="G17100" s="272" t="s">
        <v>1099</v>
      </c>
    </row>
    <row r="17101">
      <c r="B17101" s="31"/>
      <c r="G17101" s="272" t="s">
        <v>1099</v>
      </c>
    </row>
    <row r="17102">
      <c r="B17102" s="31"/>
      <c r="G17102" s="272" t="s">
        <v>1099</v>
      </c>
    </row>
    <row r="17103">
      <c r="B17103" s="31"/>
      <c r="G17103" s="272" t="s">
        <v>1099</v>
      </c>
    </row>
    <row r="17104">
      <c r="B17104" s="31"/>
      <c r="G17104" s="272" t="s">
        <v>1099</v>
      </c>
    </row>
    <row r="17105">
      <c r="B17105" s="31"/>
      <c r="G17105" s="272" t="s">
        <v>1099</v>
      </c>
    </row>
    <row r="17106">
      <c r="B17106" s="31"/>
      <c r="G17106" s="272" t="s">
        <v>1099</v>
      </c>
    </row>
    <row r="17107">
      <c r="B17107" s="31"/>
      <c r="G17107" s="272" t="s">
        <v>1099</v>
      </c>
    </row>
    <row r="17108">
      <c r="B17108" s="31"/>
      <c r="G17108" s="272" t="s">
        <v>1099</v>
      </c>
    </row>
    <row r="17109">
      <c r="B17109" s="31"/>
      <c r="G17109" s="272" t="s">
        <v>1099</v>
      </c>
    </row>
    <row r="17110">
      <c r="B17110" s="31"/>
      <c r="G17110" s="272" t="s">
        <v>1099</v>
      </c>
    </row>
    <row r="17111">
      <c r="B17111" s="31"/>
      <c r="G17111" s="272" t="s">
        <v>1099</v>
      </c>
    </row>
    <row r="17112">
      <c r="B17112" s="31"/>
      <c r="G17112" s="272" t="s">
        <v>1099</v>
      </c>
    </row>
    <row r="17113">
      <c r="B17113" s="31"/>
      <c r="G17113" s="272" t="s">
        <v>1099</v>
      </c>
    </row>
    <row r="17114">
      <c r="B17114" s="31"/>
      <c r="G17114" s="272" t="s">
        <v>1099</v>
      </c>
    </row>
    <row r="17115">
      <c r="B17115" s="31"/>
      <c r="G17115" s="272" t="s">
        <v>1099</v>
      </c>
    </row>
    <row r="17116">
      <c r="B17116" s="31"/>
      <c r="G17116" s="272" t="s">
        <v>1099</v>
      </c>
    </row>
    <row r="17117">
      <c r="B17117" s="31"/>
      <c r="G17117" s="272" t="s">
        <v>1099</v>
      </c>
    </row>
    <row r="17118">
      <c r="B17118" s="31"/>
      <c r="G17118" s="272" t="s">
        <v>1099</v>
      </c>
    </row>
    <row r="17119">
      <c r="B17119" s="31"/>
      <c r="G17119" s="272" t="s">
        <v>1099</v>
      </c>
    </row>
    <row r="17120">
      <c r="B17120" s="31"/>
      <c r="G17120" s="272" t="s">
        <v>1099</v>
      </c>
    </row>
    <row r="17121">
      <c r="B17121" s="31"/>
      <c r="G17121" s="272" t="s">
        <v>1099</v>
      </c>
    </row>
    <row r="17122">
      <c r="B17122" s="31"/>
      <c r="G17122" s="272" t="s">
        <v>1099</v>
      </c>
    </row>
    <row r="17123">
      <c r="B17123" s="31"/>
      <c r="G17123" s="272" t="s">
        <v>1099</v>
      </c>
    </row>
    <row r="17124">
      <c r="B17124" s="31"/>
      <c r="G17124" s="272" t="s">
        <v>1099</v>
      </c>
    </row>
    <row r="17125">
      <c r="B17125" s="31"/>
      <c r="G17125" s="272" t="s">
        <v>1099</v>
      </c>
    </row>
    <row r="17126">
      <c r="B17126" s="31"/>
      <c r="G17126" s="272" t="s">
        <v>1099</v>
      </c>
    </row>
    <row r="17127">
      <c r="B17127" s="31"/>
      <c r="G17127" s="272" t="s">
        <v>1099</v>
      </c>
    </row>
    <row r="17128">
      <c r="B17128" s="31"/>
      <c r="G17128" s="272" t="s">
        <v>1099</v>
      </c>
    </row>
    <row r="17129">
      <c r="B17129" s="31"/>
      <c r="G17129" s="272" t="s">
        <v>1099</v>
      </c>
    </row>
    <row r="17130">
      <c r="B17130" s="31"/>
      <c r="G17130" s="272" t="s">
        <v>1099</v>
      </c>
    </row>
    <row r="17131">
      <c r="B17131" s="31"/>
      <c r="G17131" s="272" t="s">
        <v>1099</v>
      </c>
    </row>
    <row r="17132">
      <c r="B17132" s="31"/>
      <c r="G17132" s="272" t="s">
        <v>1099</v>
      </c>
    </row>
    <row r="17133">
      <c r="B17133" s="31"/>
      <c r="G17133" s="272" t="s">
        <v>1099</v>
      </c>
    </row>
    <row r="17134">
      <c r="B17134" s="31"/>
      <c r="G17134" s="272" t="s">
        <v>1099</v>
      </c>
    </row>
    <row r="17135">
      <c r="B17135" s="31"/>
      <c r="G17135" s="272" t="s">
        <v>1099</v>
      </c>
    </row>
    <row r="17136">
      <c r="B17136" s="31"/>
      <c r="G17136" s="272" t="s">
        <v>1099</v>
      </c>
    </row>
    <row r="17137">
      <c r="B17137" s="31"/>
      <c r="G17137" s="272" t="s">
        <v>1099</v>
      </c>
    </row>
    <row r="17138">
      <c r="B17138" s="31"/>
      <c r="G17138" s="272" t="s">
        <v>1099</v>
      </c>
    </row>
    <row r="17139">
      <c r="B17139" s="31"/>
      <c r="G17139" s="272" t="s">
        <v>1099</v>
      </c>
    </row>
    <row r="17140">
      <c r="B17140" s="31"/>
      <c r="G17140" s="272" t="s">
        <v>1099</v>
      </c>
    </row>
    <row r="17141">
      <c r="B17141" s="31"/>
      <c r="G17141" s="272" t="s">
        <v>1099</v>
      </c>
    </row>
    <row r="17142">
      <c r="B17142" s="31"/>
      <c r="G17142" s="272" t="s">
        <v>1099</v>
      </c>
    </row>
    <row r="17143">
      <c r="B17143" s="31"/>
      <c r="G17143" s="272" t="s">
        <v>1099</v>
      </c>
    </row>
    <row r="17144">
      <c r="B17144" s="31"/>
      <c r="G17144" s="272" t="s">
        <v>1099</v>
      </c>
    </row>
    <row r="17145">
      <c r="B17145" s="31"/>
      <c r="G17145" s="272" t="s">
        <v>1099</v>
      </c>
    </row>
    <row r="17146">
      <c r="B17146" s="31"/>
      <c r="G17146" s="272" t="s">
        <v>1099</v>
      </c>
    </row>
    <row r="17147">
      <c r="B17147" s="31"/>
      <c r="G17147" s="272" t="s">
        <v>1099</v>
      </c>
    </row>
    <row r="17148">
      <c r="B17148" s="31"/>
      <c r="G17148" s="272" t="s">
        <v>1099</v>
      </c>
    </row>
    <row r="17149">
      <c r="B17149" s="31"/>
      <c r="G17149" s="272" t="s">
        <v>1099</v>
      </c>
    </row>
    <row r="17150">
      <c r="B17150" s="31"/>
      <c r="G17150" s="272" t="s">
        <v>1099</v>
      </c>
    </row>
    <row r="17151">
      <c r="B17151" s="31"/>
      <c r="G17151" s="272" t="s">
        <v>1099</v>
      </c>
    </row>
    <row r="17152">
      <c r="B17152" s="31"/>
      <c r="G17152" s="272" t="s">
        <v>1099</v>
      </c>
    </row>
    <row r="17153">
      <c r="B17153" s="31"/>
      <c r="G17153" s="272" t="s">
        <v>1099</v>
      </c>
    </row>
    <row r="17154">
      <c r="B17154" s="31"/>
      <c r="G17154" s="272" t="s">
        <v>1099</v>
      </c>
    </row>
    <row r="17155">
      <c r="B17155" s="31"/>
      <c r="G17155" s="272" t="s">
        <v>1099</v>
      </c>
    </row>
    <row r="17156">
      <c r="B17156" s="31"/>
      <c r="G17156" s="272" t="s">
        <v>1099</v>
      </c>
    </row>
    <row r="17157">
      <c r="B17157" s="31"/>
      <c r="G17157" s="272" t="s">
        <v>1099</v>
      </c>
    </row>
    <row r="17158">
      <c r="B17158" s="31"/>
      <c r="G17158" s="272" t="s">
        <v>1099</v>
      </c>
    </row>
    <row r="17159">
      <c r="B17159" s="31"/>
      <c r="G17159" s="272" t="s">
        <v>1099</v>
      </c>
    </row>
    <row r="17160">
      <c r="B17160" s="31"/>
      <c r="G17160" s="272" t="s">
        <v>1099</v>
      </c>
    </row>
    <row r="17161">
      <c r="B17161" s="31"/>
      <c r="G17161" s="272" t="s">
        <v>1099</v>
      </c>
    </row>
    <row r="17162">
      <c r="B17162" s="31"/>
      <c r="G17162" s="272" t="s">
        <v>1099</v>
      </c>
    </row>
    <row r="17163">
      <c r="B17163" s="31"/>
      <c r="G17163" s="272" t="s">
        <v>1099</v>
      </c>
    </row>
    <row r="17164">
      <c r="B17164" s="31"/>
      <c r="G17164" s="272" t="s">
        <v>1099</v>
      </c>
    </row>
    <row r="17165">
      <c r="B17165" s="31"/>
      <c r="G17165" s="272" t="s">
        <v>1099</v>
      </c>
    </row>
    <row r="17166">
      <c r="B17166" s="31"/>
      <c r="G17166" s="272" t="s">
        <v>1099</v>
      </c>
    </row>
    <row r="17167">
      <c r="B17167" s="31"/>
      <c r="G17167" s="272" t="s">
        <v>1099</v>
      </c>
    </row>
    <row r="17168">
      <c r="B17168" s="31"/>
      <c r="G17168" s="272" t="s">
        <v>1099</v>
      </c>
    </row>
    <row r="17169">
      <c r="B17169" s="31"/>
      <c r="G17169" s="272" t="s">
        <v>1099</v>
      </c>
    </row>
    <row r="17170">
      <c r="B17170" s="31"/>
      <c r="G17170" s="272" t="s">
        <v>1099</v>
      </c>
    </row>
    <row r="17171">
      <c r="B17171" s="31"/>
      <c r="G17171" s="272" t="s">
        <v>1099</v>
      </c>
    </row>
    <row r="17172">
      <c r="B17172" s="31"/>
      <c r="G17172" s="272" t="s">
        <v>1099</v>
      </c>
    </row>
    <row r="17173">
      <c r="B17173" s="31"/>
      <c r="G17173" s="272" t="s">
        <v>1099</v>
      </c>
    </row>
    <row r="17174">
      <c r="B17174" s="31"/>
      <c r="G17174" s="272" t="s">
        <v>1099</v>
      </c>
    </row>
    <row r="17175">
      <c r="B17175" s="31"/>
      <c r="G17175" s="272" t="s">
        <v>1099</v>
      </c>
    </row>
    <row r="17176">
      <c r="B17176" s="31"/>
      <c r="G17176" s="272" t="s">
        <v>1099</v>
      </c>
    </row>
    <row r="17177">
      <c r="B17177" s="31"/>
      <c r="G17177" s="272" t="s">
        <v>1099</v>
      </c>
    </row>
    <row r="17178">
      <c r="B17178" s="31"/>
      <c r="G17178" s="272" t="s">
        <v>1099</v>
      </c>
    </row>
    <row r="17179">
      <c r="B17179" s="31"/>
      <c r="G17179" s="272" t="s">
        <v>1099</v>
      </c>
    </row>
    <row r="17180">
      <c r="B17180" s="31"/>
      <c r="G17180" s="272" t="s">
        <v>1099</v>
      </c>
    </row>
    <row r="17181">
      <c r="B17181" s="31"/>
      <c r="G17181" s="272" t="s">
        <v>1099</v>
      </c>
    </row>
    <row r="17182">
      <c r="B17182" s="31"/>
      <c r="G17182" s="272" t="s">
        <v>1099</v>
      </c>
    </row>
    <row r="17183">
      <c r="B17183" s="31"/>
      <c r="G17183" s="272" t="s">
        <v>1099</v>
      </c>
    </row>
    <row r="17184">
      <c r="B17184" s="31"/>
      <c r="G17184" s="272" t="s">
        <v>1099</v>
      </c>
    </row>
    <row r="17185">
      <c r="B17185" s="31"/>
      <c r="G17185" s="272" t="s">
        <v>1099</v>
      </c>
    </row>
    <row r="17186">
      <c r="B17186" s="31"/>
      <c r="G17186" s="272" t="s">
        <v>1099</v>
      </c>
    </row>
    <row r="17187">
      <c r="B17187" s="31"/>
      <c r="G17187" s="272" t="s">
        <v>1099</v>
      </c>
    </row>
    <row r="17188">
      <c r="B17188" s="31"/>
      <c r="G17188" s="272" t="s">
        <v>1099</v>
      </c>
    </row>
    <row r="17189">
      <c r="B17189" s="31"/>
      <c r="G17189" s="272" t="s">
        <v>1099</v>
      </c>
    </row>
    <row r="17190">
      <c r="B17190" s="31"/>
      <c r="G17190" s="272" t="s">
        <v>1099</v>
      </c>
    </row>
    <row r="17191">
      <c r="B17191" s="31"/>
      <c r="G17191" s="272" t="s">
        <v>1099</v>
      </c>
    </row>
    <row r="17192">
      <c r="B17192" s="31"/>
      <c r="G17192" s="272" t="s">
        <v>1099</v>
      </c>
    </row>
    <row r="17193">
      <c r="B17193" s="31"/>
      <c r="G17193" s="272" t="s">
        <v>1099</v>
      </c>
    </row>
    <row r="17194">
      <c r="B17194" s="31"/>
      <c r="G17194" s="272" t="s">
        <v>1099</v>
      </c>
    </row>
    <row r="17195">
      <c r="B17195" s="31"/>
      <c r="G17195" s="272" t="s">
        <v>1099</v>
      </c>
    </row>
    <row r="17196">
      <c r="B17196" s="31"/>
      <c r="G17196" s="272" t="s">
        <v>1099</v>
      </c>
    </row>
    <row r="17197">
      <c r="B17197" s="31"/>
      <c r="G17197" s="272" t="s">
        <v>1099</v>
      </c>
    </row>
    <row r="17198">
      <c r="B17198" s="31"/>
      <c r="G17198" s="272" t="s">
        <v>1099</v>
      </c>
    </row>
    <row r="17199">
      <c r="B17199" s="31"/>
      <c r="G17199" s="272" t="s">
        <v>1099</v>
      </c>
    </row>
    <row r="17200">
      <c r="B17200" s="31"/>
      <c r="G17200" s="272" t="s">
        <v>1099</v>
      </c>
    </row>
    <row r="17201">
      <c r="B17201" s="31"/>
      <c r="G17201" s="272" t="s">
        <v>1099</v>
      </c>
    </row>
    <row r="17202">
      <c r="B17202" s="31"/>
      <c r="G17202" s="272" t="s">
        <v>1099</v>
      </c>
    </row>
    <row r="17203">
      <c r="B17203" s="31"/>
      <c r="G17203" s="272" t="s">
        <v>1099</v>
      </c>
    </row>
    <row r="17204">
      <c r="B17204" s="31"/>
      <c r="G17204" s="272" t="s">
        <v>1099</v>
      </c>
    </row>
    <row r="17205">
      <c r="B17205" s="31"/>
      <c r="G17205" s="272" t="s">
        <v>1099</v>
      </c>
    </row>
    <row r="17206">
      <c r="B17206" s="31"/>
      <c r="G17206" s="272" t="s">
        <v>1099</v>
      </c>
    </row>
    <row r="17207">
      <c r="B17207" s="31"/>
      <c r="G17207" s="272" t="s">
        <v>1099</v>
      </c>
    </row>
    <row r="17208">
      <c r="B17208" s="31"/>
      <c r="G17208" s="272" t="s">
        <v>1099</v>
      </c>
    </row>
    <row r="17209">
      <c r="B17209" s="31"/>
      <c r="G17209" s="272" t="s">
        <v>1099</v>
      </c>
    </row>
    <row r="17210">
      <c r="B17210" s="31"/>
      <c r="G17210" s="272" t="s">
        <v>1099</v>
      </c>
    </row>
    <row r="17211">
      <c r="B17211" s="31"/>
      <c r="G17211" s="272" t="s">
        <v>1099</v>
      </c>
    </row>
    <row r="17212">
      <c r="B17212" s="31"/>
      <c r="G17212" s="272" t="s">
        <v>1099</v>
      </c>
    </row>
    <row r="17213">
      <c r="B17213" s="31"/>
      <c r="G17213" s="272" t="s">
        <v>1099</v>
      </c>
    </row>
    <row r="17214">
      <c r="B17214" s="31"/>
      <c r="G17214" s="272" t="s">
        <v>1099</v>
      </c>
    </row>
    <row r="17215">
      <c r="B17215" s="31"/>
      <c r="G17215" s="272" t="s">
        <v>1099</v>
      </c>
    </row>
    <row r="17216">
      <c r="B17216" s="31"/>
      <c r="G17216" s="272" t="s">
        <v>1099</v>
      </c>
    </row>
    <row r="17217">
      <c r="B17217" s="31"/>
      <c r="G17217" s="272" t="s">
        <v>1099</v>
      </c>
    </row>
    <row r="17218">
      <c r="B17218" s="31"/>
      <c r="G17218" s="272" t="s">
        <v>1099</v>
      </c>
    </row>
    <row r="17219">
      <c r="B17219" s="31"/>
      <c r="G17219" s="272" t="s">
        <v>1099</v>
      </c>
    </row>
    <row r="17220">
      <c r="B17220" s="31"/>
      <c r="G17220" s="272" t="s">
        <v>1099</v>
      </c>
    </row>
    <row r="17221">
      <c r="B17221" s="31"/>
      <c r="G17221" s="272" t="s">
        <v>1099</v>
      </c>
    </row>
    <row r="17222">
      <c r="B17222" s="31"/>
      <c r="G17222" s="272" t="s">
        <v>1099</v>
      </c>
    </row>
    <row r="17223">
      <c r="B17223" s="31"/>
      <c r="G17223" s="272" t="s">
        <v>1099</v>
      </c>
    </row>
    <row r="17224">
      <c r="B17224" s="31"/>
      <c r="G17224" s="272" t="s">
        <v>1099</v>
      </c>
    </row>
    <row r="17225">
      <c r="B17225" s="31"/>
      <c r="G17225" s="272" t="s">
        <v>1099</v>
      </c>
    </row>
    <row r="17226">
      <c r="B17226" s="31"/>
      <c r="G17226" s="272" t="s">
        <v>1099</v>
      </c>
    </row>
    <row r="17227">
      <c r="B17227" s="31"/>
      <c r="G17227" s="272" t="s">
        <v>1099</v>
      </c>
    </row>
    <row r="17228">
      <c r="B17228" s="31"/>
      <c r="G17228" s="272" t="s">
        <v>1099</v>
      </c>
    </row>
    <row r="17229">
      <c r="B17229" s="31"/>
      <c r="G17229" s="272" t="s">
        <v>1099</v>
      </c>
    </row>
    <row r="17230">
      <c r="B17230" s="31"/>
      <c r="G17230" s="272" t="s">
        <v>1099</v>
      </c>
    </row>
    <row r="17231">
      <c r="B17231" s="31"/>
      <c r="G17231" s="272" t="s">
        <v>1099</v>
      </c>
    </row>
    <row r="17232">
      <c r="B17232" s="31"/>
      <c r="G17232" s="272" t="s">
        <v>1099</v>
      </c>
    </row>
    <row r="17233">
      <c r="B17233" s="31"/>
      <c r="G17233" s="272" t="s">
        <v>1099</v>
      </c>
    </row>
    <row r="17234">
      <c r="B17234" s="31"/>
      <c r="G17234" s="272" t="s">
        <v>1099</v>
      </c>
    </row>
    <row r="17235">
      <c r="B17235" s="31"/>
      <c r="G17235" s="272" t="s">
        <v>1099</v>
      </c>
    </row>
    <row r="17236">
      <c r="B17236" s="31"/>
      <c r="G17236" s="272" t="s">
        <v>1099</v>
      </c>
    </row>
    <row r="17237">
      <c r="B17237" s="31"/>
      <c r="G17237" s="272" t="s">
        <v>1099</v>
      </c>
    </row>
    <row r="17238">
      <c r="B17238" s="31"/>
      <c r="G17238" s="272" t="s">
        <v>1099</v>
      </c>
    </row>
    <row r="17239">
      <c r="B17239" s="31"/>
      <c r="G17239" s="272" t="s">
        <v>1099</v>
      </c>
    </row>
    <row r="17240">
      <c r="B17240" s="31"/>
      <c r="G17240" s="272" t="s">
        <v>1099</v>
      </c>
    </row>
    <row r="17241">
      <c r="B17241" s="31"/>
      <c r="G17241" s="272" t="s">
        <v>1099</v>
      </c>
    </row>
    <row r="17242">
      <c r="B17242" s="31"/>
      <c r="G17242" s="272" t="s">
        <v>1099</v>
      </c>
    </row>
    <row r="17243">
      <c r="B17243" s="31"/>
      <c r="G17243" s="272" t="s">
        <v>1099</v>
      </c>
    </row>
    <row r="17244">
      <c r="B17244" s="31"/>
      <c r="G17244" s="272" t="s">
        <v>1099</v>
      </c>
    </row>
    <row r="17245">
      <c r="B17245" s="31"/>
      <c r="G17245" s="272" t="s">
        <v>1099</v>
      </c>
    </row>
    <row r="17246">
      <c r="B17246" s="31"/>
      <c r="G17246" s="272" t="s">
        <v>1099</v>
      </c>
    </row>
    <row r="17247">
      <c r="B17247" s="31"/>
      <c r="G17247" s="272" t="s">
        <v>1099</v>
      </c>
    </row>
    <row r="17248">
      <c r="B17248" s="31"/>
      <c r="G17248" s="272" t="s">
        <v>1099</v>
      </c>
    </row>
    <row r="17249">
      <c r="B17249" s="31"/>
      <c r="G17249" s="272" t="s">
        <v>1099</v>
      </c>
    </row>
    <row r="17250">
      <c r="B17250" s="31"/>
      <c r="G17250" s="272" t="s">
        <v>1099</v>
      </c>
    </row>
    <row r="17251">
      <c r="B17251" s="31"/>
      <c r="G17251" s="272" t="s">
        <v>1099</v>
      </c>
    </row>
    <row r="17252">
      <c r="B17252" s="31"/>
      <c r="G17252" s="272" t="s">
        <v>1099</v>
      </c>
    </row>
    <row r="17253">
      <c r="B17253" s="31"/>
      <c r="G17253" s="272" t="s">
        <v>1099</v>
      </c>
    </row>
    <row r="17254">
      <c r="B17254" s="31"/>
      <c r="G17254" s="272" t="s">
        <v>1099</v>
      </c>
    </row>
    <row r="17255">
      <c r="B17255" s="31"/>
      <c r="G17255" s="272" t="s">
        <v>1099</v>
      </c>
    </row>
    <row r="17256">
      <c r="B17256" s="31"/>
      <c r="G17256" s="272" t="s">
        <v>1099</v>
      </c>
    </row>
    <row r="17257">
      <c r="B17257" s="31"/>
      <c r="G17257" s="272" t="s">
        <v>1099</v>
      </c>
    </row>
    <row r="17258">
      <c r="B17258" s="31"/>
      <c r="G17258" s="272" t="s">
        <v>1099</v>
      </c>
    </row>
    <row r="17259">
      <c r="B17259" s="31"/>
      <c r="G17259" s="272" t="s">
        <v>1099</v>
      </c>
    </row>
    <row r="17260">
      <c r="B17260" s="31"/>
      <c r="G17260" s="272" t="s">
        <v>1099</v>
      </c>
    </row>
    <row r="17261">
      <c r="B17261" s="31"/>
      <c r="G17261" s="272" t="s">
        <v>1099</v>
      </c>
    </row>
    <row r="17262">
      <c r="B17262" s="31"/>
      <c r="G17262" s="272" t="s">
        <v>1099</v>
      </c>
    </row>
    <row r="17263">
      <c r="B17263" s="31"/>
      <c r="G17263" s="272" t="s">
        <v>1099</v>
      </c>
    </row>
    <row r="17264">
      <c r="B17264" s="31"/>
      <c r="G17264" s="272" t="s">
        <v>1099</v>
      </c>
    </row>
    <row r="17265">
      <c r="B17265" s="31"/>
      <c r="G17265" s="272" t="s">
        <v>1099</v>
      </c>
    </row>
    <row r="17266">
      <c r="B17266" s="31"/>
      <c r="G17266" s="272" t="s">
        <v>1099</v>
      </c>
    </row>
    <row r="17267">
      <c r="B17267" s="31"/>
      <c r="G17267" s="272" t="s">
        <v>1099</v>
      </c>
    </row>
    <row r="17268">
      <c r="B17268" s="31"/>
      <c r="G17268" s="272" t="s">
        <v>1099</v>
      </c>
    </row>
    <row r="17269">
      <c r="B17269" s="31"/>
      <c r="G17269" s="272" t="s">
        <v>1099</v>
      </c>
    </row>
    <row r="17270">
      <c r="B17270" s="31"/>
      <c r="G17270" s="272" t="s">
        <v>1099</v>
      </c>
    </row>
    <row r="17271">
      <c r="B17271" s="31"/>
      <c r="G17271" s="272" t="s">
        <v>1099</v>
      </c>
    </row>
    <row r="17272">
      <c r="B17272" s="31"/>
      <c r="G17272" s="272" t="s">
        <v>1099</v>
      </c>
    </row>
    <row r="17273">
      <c r="B17273" s="31"/>
      <c r="G17273" s="272" t="s">
        <v>1099</v>
      </c>
    </row>
    <row r="17274">
      <c r="B17274" s="31"/>
      <c r="G17274" s="272" t="s">
        <v>1099</v>
      </c>
    </row>
    <row r="17275">
      <c r="B17275" s="31"/>
      <c r="G17275" s="272" t="s">
        <v>1099</v>
      </c>
    </row>
    <row r="17276">
      <c r="B17276" s="31"/>
      <c r="G17276" s="272" t="s">
        <v>1099</v>
      </c>
    </row>
    <row r="17277">
      <c r="B17277" s="31"/>
      <c r="G17277" s="272" t="s">
        <v>1099</v>
      </c>
    </row>
    <row r="17278">
      <c r="B17278" s="31"/>
      <c r="G17278" s="272" t="s">
        <v>1099</v>
      </c>
    </row>
    <row r="17279">
      <c r="B17279" s="31"/>
      <c r="G17279" s="272" t="s">
        <v>1099</v>
      </c>
    </row>
    <row r="17280">
      <c r="B17280" s="31"/>
      <c r="G17280" s="272" t="s">
        <v>1099</v>
      </c>
    </row>
    <row r="17281">
      <c r="B17281" s="31"/>
      <c r="G17281" s="272" t="s">
        <v>1099</v>
      </c>
    </row>
    <row r="17282">
      <c r="B17282" s="31"/>
      <c r="G17282" s="272" t="s">
        <v>1099</v>
      </c>
    </row>
    <row r="17283">
      <c r="B17283" s="31"/>
      <c r="G17283" s="272" t="s">
        <v>1099</v>
      </c>
    </row>
    <row r="17284">
      <c r="B17284" s="31"/>
      <c r="G17284" s="272" t="s">
        <v>1099</v>
      </c>
    </row>
    <row r="17285">
      <c r="B17285" s="31"/>
      <c r="G17285" s="272" t="s">
        <v>1099</v>
      </c>
    </row>
    <row r="17286">
      <c r="B17286" s="31"/>
      <c r="G17286" s="272" t="s">
        <v>1099</v>
      </c>
    </row>
    <row r="17287">
      <c r="B17287" s="31"/>
      <c r="G17287" s="272" t="s">
        <v>1099</v>
      </c>
    </row>
    <row r="17288">
      <c r="B17288" s="31"/>
      <c r="G17288" s="272" t="s">
        <v>1099</v>
      </c>
    </row>
    <row r="17289">
      <c r="B17289" s="31"/>
      <c r="G17289" s="272" t="s">
        <v>1099</v>
      </c>
    </row>
    <row r="17290">
      <c r="B17290" s="31"/>
      <c r="G17290" s="272" t="s">
        <v>1099</v>
      </c>
    </row>
    <row r="17291">
      <c r="B17291" s="31"/>
      <c r="G17291" s="272" t="s">
        <v>1099</v>
      </c>
    </row>
    <row r="17292">
      <c r="B17292" s="31"/>
      <c r="G17292" s="272" t="s">
        <v>1099</v>
      </c>
    </row>
    <row r="17293">
      <c r="B17293" s="31"/>
      <c r="G17293" s="272" t="s">
        <v>1099</v>
      </c>
    </row>
    <row r="17294">
      <c r="B17294" s="31"/>
      <c r="G17294" s="272" t="s">
        <v>1099</v>
      </c>
    </row>
    <row r="17295">
      <c r="B17295" s="31"/>
      <c r="G17295" s="272" t="s">
        <v>1099</v>
      </c>
    </row>
    <row r="17296">
      <c r="B17296" s="31"/>
      <c r="G17296" s="272" t="s">
        <v>1099</v>
      </c>
    </row>
    <row r="17297">
      <c r="B17297" s="31"/>
      <c r="G17297" s="272" t="s">
        <v>1099</v>
      </c>
    </row>
    <row r="17298">
      <c r="B17298" s="31"/>
      <c r="G17298" s="272" t="s">
        <v>1099</v>
      </c>
    </row>
    <row r="17299">
      <c r="B17299" s="31"/>
      <c r="G17299" s="272" t="s">
        <v>1099</v>
      </c>
    </row>
    <row r="17300">
      <c r="B17300" s="31"/>
      <c r="G17300" s="272" t="s">
        <v>1099</v>
      </c>
    </row>
    <row r="17301">
      <c r="B17301" s="31"/>
      <c r="G17301" s="272" t="s">
        <v>1099</v>
      </c>
    </row>
    <row r="17302">
      <c r="B17302" s="31"/>
      <c r="G17302" s="272" t="s">
        <v>1099</v>
      </c>
    </row>
    <row r="17303">
      <c r="B17303" s="31"/>
      <c r="G17303" s="272" t="s">
        <v>1099</v>
      </c>
    </row>
    <row r="17304">
      <c r="B17304" s="31"/>
      <c r="G17304" s="272" t="s">
        <v>1099</v>
      </c>
    </row>
    <row r="17305">
      <c r="B17305" s="31"/>
      <c r="G17305" s="272" t="s">
        <v>1099</v>
      </c>
    </row>
    <row r="17306">
      <c r="B17306" s="31"/>
      <c r="G17306" s="272" t="s">
        <v>1099</v>
      </c>
    </row>
    <row r="17307">
      <c r="B17307" s="31"/>
      <c r="G17307" s="272" t="s">
        <v>1099</v>
      </c>
    </row>
    <row r="17308">
      <c r="B17308" s="31"/>
      <c r="G17308" s="272" t="s">
        <v>1099</v>
      </c>
    </row>
    <row r="17309">
      <c r="B17309" s="31"/>
      <c r="G17309" s="272" t="s">
        <v>1099</v>
      </c>
    </row>
    <row r="17310">
      <c r="B17310" s="31"/>
      <c r="G17310" s="272" t="s">
        <v>1099</v>
      </c>
    </row>
    <row r="17311">
      <c r="B17311" s="31"/>
      <c r="G17311" s="272" t="s">
        <v>1099</v>
      </c>
    </row>
    <row r="17312">
      <c r="B17312" s="31"/>
      <c r="G17312" s="272" t="s">
        <v>1099</v>
      </c>
    </row>
    <row r="17313">
      <c r="B17313" s="31"/>
      <c r="G17313" s="272" t="s">
        <v>1099</v>
      </c>
    </row>
    <row r="17314">
      <c r="B17314" s="31"/>
      <c r="G17314" s="272" t="s">
        <v>1099</v>
      </c>
    </row>
    <row r="17315">
      <c r="B17315" s="31"/>
      <c r="G17315" s="272" t="s">
        <v>1099</v>
      </c>
    </row>
    <row r="17316">
      <c r="B17316" s="31"/>
      <c r="G17316" s="272" t="s">
        <v>1099</v>
      </c>
    </row>
    <row r="17317">
      <c r="B17317" s="31"/>
      <c r="G17317" s="272" t="s">
        <v>1099</v>
      </c>
    </row>
    <row r="17318">
      <c r="B17318" s="31"/>
      <c r="G17318" s="272" t="s">
        <v>1099</v>
      </c>
    </row>
    <row r="17319">
      <c r="B17319" s="31"/>
      <c r="G17319" s="272" t="s">
        <v>1099</v>
      </c>
    </row>
    <row r="17320">
      <c r="B17320" s="31"/>
      <c r="G17320" s="272" t="s">
        <v>1099</v>
      </c>
    </row>
    <row r="17321">
      <c r="B17321" s="31"/>
      <c r="G17321" s="272" t="s">
        <v>1099</v>
      </c>
    </row>
    <row r="17322">
      <c r="B17322" s="31"/>
      <c r="G17322" s="272" t="s">
        <v>1099</v>
      </c>
    </row>
    <row r="17323">
      <c r="B17323" s="31"/>
      <c r="G17323" s="272" t="s">
        <v>1099</v>
      </c>
    </row>
    <row r="17324">
      <c r="B17324" s="31"/>
      <c r="G17324" s="272" t="s">
        <v>1099</v>
      </c>
    </row>
    <row r="17325">
      <c r="B17325" s="31"/>
      <c r="G17325" s="272" t="s">
        <v>1099</v>
      </c>
    </row>
    <row r="17326">
      <c r="B17326" s="31"/>
      <c r="G17326" s="272" t="s">
        <v>1099</v>
      </c>
    </row>
    <row r="17327">
      <c r="B17327" s="31"/>
      <c r="G17327" s="272" t="s">
        <v>1099</v>
      </c>
    </row>
    <row r="17328">
      <c r="B17328" s="31"/>
      <c r="G17328" s="272" t="s">
        <v>1099</v>
      </c>
    </row>
    <row r="17329">
      <c r="B17329" s="31"/>
      <c r="G17329" s="272" t="s">
        <v>1099</v>
      </c>
    </row>
    <row r="17330">
      <c r="B17330" s="31"/>
      <c r="G17330" s="272" t="s">
        <v>1099</v>
      </c>
    </row>
    <row r="17331">
      <c r="B17331" s="31"/>
      <c r="G17331" s="272" t="s">
        <v>1099</v>
      </c>
    </row>
    <row r="17332">
      <c r="B17332" s="31"/>
      <c r="G17332" s="272" t="s">
        <v>1099</v>
      </c>
    </row>
    <row r="17333">
      <c r="B17333" s="31"/>
      <c r="G17333" s="272" t="s">
        <v>1099</v>
      </c>
    </row>
    <row r="17334">
      <c r="B17334" s="31"/>
      <c r="G17334" s="272" t="s">
        <v>1099</v>
      </c>
    </row>
    <row r="17335">
      <c r="B17335" s="31"/>
      <c r="G17335" s="272" t="s">
        <v>1099</v>
      </c>
    </row>
    <row r="17336">
      <c r="B17336" s="31"/>
      <c r="G17336" s="272" t="s">
        <v>1099</v>
      </c>
    </row>
    <row r="17337">
      <c r="B17337" s="31"/>
      <c r="G17337" s="272" t="s">
        <v>1099</v>
      </c>
    </row>
    <row r="17338">
      <c r="B17338" s="31"/>
      <c r="G17338" s="272" t="s">
        <v>1099</v>
      </c>
    </row>
    <row r="17339">
      <c r="B17339" s="31"/>
      <c r="G17339" s="272" t="s">
        <v>1099</v>
      </c>
    </row>
    <row r="17340">
      <c r="B17340" s="31"/>
      <c r="G17340" s="272" t="s">
        <v>1099</v>
      </c>
    </row>
    <row r="17341">
      <c r="B17341" s="31"/>
      <c r="G17341" s="272" t="s">
        <v>1099</v>
      </c>
    </row>
    <row r="17342">
      <c r="B17342" s="31"/>
      <c r="G17342" s="272" t="s">
        <v>1099</v>
      </c>
    </row>
    <row r="17343">
      <c r="B17343" s="31"/>
      <c r="G17343" s="272" t="s">
        <v>1099</v>
      </c>
    </row>
    <row r="17344">
      <c r="B17344" s="31"/>
      <c r="G17344" s="272" t="s">
        <v>1099</v>
      </c>
    </row>
    <row r="17345">
      <c r="B17345" s="31"/>
      <c r="G17345" s="272" t="s">
        <v>1099</v>
      </c>
    </row>
    <row r="17346">
      <c r="B17346" s="31"/>
      <c r="G17346" s="272" t="s">
        <v>1099</v>
      </c>
    </row>
    <row r="17347">
      <c r="B17347" s="31"/>
      <c r="G17347" s="272" t="s">
        <v>1099</v>
      </c>
    </row>
    <row r="17348">
      <c r="B17348" s="31"/>
      <c r="G17348" s="272" t="s">
        <v>1099</v>
      </c>
    </row>
    <row r="17349">
      <c r="B17349" s="31"/>
      <c r="G17349" s="272" t="s">
        <v>1099</v>
      </c>
    </row>
    <row r="17350">
      <c r="B17350" s="31"/>
      <c r="G17350" s="272" t="s">
        <v>1099</v>
      </c>
    </row>
    <row r="17351">
      <c r="B17351" s="31"/>
      <c r="G17351" s="272" t="s">
        <v>1099</v>
      </c>
    </row>
    <row r="17352">
      <c r="B17352" s="31"/>
      <c r="G17352" s="272" t="s">
        <v>1099</v>
      </c>
    </row>
    <row r="17353">
      <c r="B17353" s="31"/>
      <c r="G17353" s="272" t="s">
        <v>1099</v>
      </c>
    </row>
    <row r="17354">
      <c r="B17354" s="31"/>
      <c r="G17354" s="272" t="s">
        <v>1099</v>
      </c>
    </row>
    <row r="17355">
      <c r="B17355" s="31"/>
      <c r="G17355" s="272" t="s">
        <v>1099</v>
      </c>
    </row>
    <row r="17356">
      <c r="B17356" s="31"/>
      <c r="G17356" s="272" t="s">
        <v>1099</v>
      </c>
    </row>
    <row r="17357">
      <c r="B17357" s="31"/>
      <c r="G17357" s="272" t="s">
        <v>1099</v>
      </c>
    </row>
    <row r="17358">
      <c r="B17358" s="31"/>
      <c r="G17358" s="272" t="s">
        <v>1099</v>
      </c>
    </row>
    <row r="17359">
      <c r="B17359" s="31"/>
      <c r="G17359" s="272" t="s">
        <v>1099</v>
      </c>
    </row>
    <row r="17360">
      <c r="B17360" s="31"/>
      <c r="G17360" s="272" t="s">
        <v>1099</v>
      </c>
    </row>
    <row r="17361">
      <c r="B17361" s="31"/>
      <c r="G17361" s="272" t="s">
        <v>1099</v>
      </c>
    </row>
    <row r="17362">
      <c r="B17362" s="31"/>
      <c r="G17362" s="272" t="s">
        <v>1099</v>
      </c>
    </row>
    <row r="17363">
      <c r="B17363" s="31"/>
      <c r="G17363" s="272" t="s">
        <v>1099</v>
      </c>
    </row>
    <row r="17364">
      <c r="B17364" s="31"/>
      <c r="G17364" s="272" t="s">
        <v>1099</v>
      </c>
    </row>
    <row r="17365">
      <c r="B17365" s="31"/>
      <c r="G17365" s="272" t="s">
        <v>1099</v>
      </c>
    </row>
    <row r="17366">
      <c r="B17366" s="31"/>
      <c r="G17366" s="272" t="s">
        <v>1099</v>
      </c>
    </row>
    <row r="17367">
      <c r="B17367" s="31"/>
      <c r="G17367" s="272" t="s">
        <v>1099</v>
      </c>
    </row>
    <row r="17368">
      <c r="B17368" s="31"/>
      <c r="G17368" s="272" t="s">
        <v>1099</v>
      </c>
    </row>
    <row r="17369">
      <c r="B17369" s="31"/>
      <c r="G17369" s="272" t="s">
        <v>1099</v>
      </c>
    </row>
    <row r="17370">
      <c r="B17370" s="31"/>
      <c r="G17370" s="272" t="s">
        <v>1099</v>
      </c>
    </row>
    <row r="17371">
      <c r="B17371" s="31"/>
      <c r="G17371" s="272" t="s">
        <v>1099</v>
      </c>
    </row>
    <row r="17372">
      <c r="B17372" s="31"/>
      <c r="G17372" s="272" t="s">
        <v>1099</v>
      </c>
    </row>
    <row r="17373">
      <c r="B17373" s="31"/>
      <c r="G17373" s="272" t="s">
        <v>1099</v>
      </c>
    </row>
    <row r="17374">
      <c r="B17374" s="31"/>
      <c r="G17374" s="272" t="s">
        <v>1099</v>
      </c>
    </row>
    <row r="17375">
      <c r="B17375" s="31"/>
      <c r="G17375" s="272" t="s">
        <v>1099</v>
      </c>
    </row>
    <row r="17376">
      <c r="B17376" s="31"/>
      <c r="G17376" s="272" t="s">
        <v>1099</v>
      </c>
    </row>
    <row r="17377">
      <c r="B17377" s="31"/>
      <c r="G17377" s="272" t="s">
        <v>1099</v>
      </c>
    </row>
    <row r="17378">
      <c r="B17378" s="31"/>
      <c r="G17378" s="272" t="s">
        <v>1099</v>
      </c>
    </row>
    <row r="17379">
      <c r="B17379" s="31"/>
      <c r="G17379" s="272" t="s">
        <v>1099</v>
      </c>
    </row>
    <row r="17380">
      <c r="B17380" s="31"/>
      <c r="G17380" s="272" t="s">
        <v>1099</v>
      </c>
    </row>
    <row r="17381">
      <c r="B17381" s="31"/>
      <c r="G17381" s="272" t="s">
        <v>1099</v>
      </c>
    </row>
    <row r="17382">
      <c r="B17382" s="31"/>
      <c r="G17382" s="272" t="s">
        <v>1099</v>
      </c>
    </row>
    <row r="17383">
      <c r="B17383" s="31"/>
      <c r="G17383" s="272" t="s">
        <v>1099</v>
      </c>
    </row>
    <row r="17384">
      <c r="B17384" s="31"/>
      <c r="G17384" s="272" t="s">
        <v>1099</v>
      </c>
    </row>
    <row r="17385">
      <c r="B17385" s="31"/>
      <c r="G17385" s="272" t="s">
        <v>1099</v>
      </c>
    </row>
    <row r="17386">
      <c r="B17386" s="31"/>
      <c r="G17386" s="272" t="s">
        <v>1099</v>
      </c>
    </row>
    <row r="17387">
      <c r="B17387" s="31"/>
      <c r="G17387" s="272" t="s">
        <v>1099</v>
      </c>
    </row>
    <row r="17388">
      <c r="B17388" s="31"/>
      <c r="G17388" s="272" t="s">
        <v>1099</v>
      </c>
    </row>
    <row r="17389">
      <c r="B17389" s="31"/>
      <c r="G17389" s="272" t="s">
        <v>1099</v>
      </c>
    </row>
    <row r="17390">
      <c r="B17390" s="31"/>
      <c r="G17390" s="272" t="s">
        <v>1099</v>
      </c>
    </row>
    <row r="17391">
      <c r="B17391" s="31"/>
      <c r="G17391" s="272" t="s">
        <v>1099</v>
      </c>
    </row>
    <row r="17392">
      <c r="B17392" s="31"/>
      <c r="G17392" s="272" t="s">
        <v>1099</v>
      </c>
    </row>
    <row r="17393">
      <c r="B17393" s="31"/>
      <c r="G17393" s="272" t="s">
        <v>1099</v>
      </c>
    </row>
    <row r="17394">
      <c r="B17394" s="31"/>
      <c r="G17394" s="272" t="s">
        <v>1099</v>
      </c>
    </row>
    <row r="17395">
      <c r="B17395" s="31"/>
      <c r="G17395" s="272" t="s">
        <v>1099</v>
      </c>
    </row>
    <row r="17396">
      <c r="B17396" s="31"/>
      <c r="G17396" s="272" t="s">
        <v>1099</v>
      </c>
    </row>
    <row r="17397">
      <c r="B17397" s="31"/>
      <c r="G17397" s="272" t="s">
        <v>1099</v>
      </c>
    </row>
    <row r="17398">
      <c r="B17398" s="31"/>
      <c r="G17398" s="272" t="s">
        <v>1099</v>
      </c>
    </row>
    <row r="17399">
      <c r="B17399" s="31"/>
      <c r="G17399" s="272" t="s">
        <v>1099</v>
      </c>
    </row>
    <row r="17400">
      <c r="B17400" s="31"/>
      <c r="G17400" s="272" t="s">
        <v>1099</v>
      </c>
    </row>
    <row r="17401">
      <c r="B17401" s="31"/>
      <c r="G17401" s="272" t="s">
        <v>1099</v>
      </c>
    </row>
    <row r="17402">
      <c r="B17402" s="31"/>
      <c r="G17402" s="272" t="s">
        <v>1099</v>
      </c>
    </row>
    <row r="17403">
      <c r="B17403" s="31"/>
      <c r="G17403" s="272" t="s">
        <v>1099</v>
      </c>
    </row>
    <row r="17404">
      <c r="B17404" s="31"/>
      <c r="G17404" s="272" t="s">
        <v>1099</v>
      </c>
    </row>
    <row r="17405">
      <c r="B17405" s="31"/>
      <c r="G17405" s="272" t="s">
        <v>1099</v>
      </c>
    </row>
    <row r="17406">
      <c r="B17406" s="31"/>
      <c r="G17406" s="272" t="s">
        <v>1099</v>
      </c>
    </row>
    <row r="17407">
      <c r="B17407" s="31"/>
      <c r="G17407" s="272" t="s">
        <v>1099</v>
      </c>
    </row>
    <row r="17408">
      <c r="B17408" s="31"/>
      <c r="G17408" s="272" t="s">
        <v>1099</v>
      </c>
    </row>
    <row r="17409">
      <c r="B17409" s="31"/>
      <c r="G17409" s="272" t="s">
        <v>1099</v>
      </c>
    </row>
    <row r="17410">
      <c r="B17410" s="31"/>
      <c r="G17410" s="272" t="s">
        <v>1099</v>
      </c>
    </row>
    <row r="17411">
      <c r="B17411" s="31"/>
      <c r="G17411" s="272" t="s">
        <v>1099</v>
      </c>
    </row>
    <row r="17412">
      <c r="B17412" s="31"/>
      <c r="G17412" s="272" t="s">
        <v>1099</v>
      </c>
    </row>
    <row r="17413">
      <c r="B17413" s="31"/>
      <c r="G17413" s="272" t="s">
        <v>1099</v>
      </c>
    </row>
    <row r="17414">
      <c r="B17414" s="31"/>
      <c r="G17414" s="272" t="s">
        <v>1099</v>
      </c>
    </row>
    <row r="17415">
      <c r="B17415" s="31"/>
      <c r="G17415" s="272" t="s">
        <v>1099</v>
      </c>
    </row>
    <row r="17416">
      <c r="B17416" s="31"/>
      <c r="G17416" s="272" t="s">
        <v>1099</v>
      </c>
    </row>
    <row r="17417">
      <c r="B17417" s="31"/>
      <c r="G17417" s="272" t="s">
        <v>1099</v>
      </c>
    </row>
    <row r="17418">
      <c r="B17418" s="31"/>
      <c r="G17418" s="272" t="s">
        <v>1099</v>
      </c>
    </row>
    <row r="17419">
      <c r="B17419" s="31"/>
      <c r="G17419" s="272" t="s">
        <v>1099</v>
      </c>
    </row>
    <row r="17420">
      <c r="B17420" s="31"/>
      <c r="G17420" s="272" t="s">
        <v>1099</v>
      </c>
    </row>
    <row r="17421">
      <c r="B17421" s="31"/>
      <c r="G17421" s="272" t="s">
        <v>1099</v>
      </c>
    </row>
    <row r="17422">
      <c r="B17422" s="31"/>
      <c r="G17422" s="272" t="s">
        <v>1099</v>
      </c>
    </row>
    <row r="17423">
      <c r="B17423" s="31"/>
      <c r="G17423" s="272" t="s">
        <v>1099</v>
      </c>
    </row>
    <row r="17424">
      <c r="B17424" s="31"/>
      <c r="G17424" s="272" t="s">
        <v>1099</v>
      </c>
    </row>
    <row r="17425">
      <c r="B17425" s="31"/>
      <c r="G17425" s="272" t="s">
        <v>1099</v>
      </c>
    </row>
    <row r="17426">
      <c r="B17426" s="31"/>
      <c r="G17426" s="272" t="s">
        <v>1099</v>
      </c>
    </row>
    <row r="17427">
      <c r="B17427" s="31"/>
      <c r="G17427" s="272" t="s">
        <v>1099</v>
      </c>
    </row>
    <row r="17428">
      <c r="B17428" s="31"/>
      <c r="G17428" s="272" t="s">
        <v>1099</v>
      </c>
    </row>
    <row r="17429">
      <c r="B17429" s="31"/>
      <c r="G17429" s="272" t="s">
        <v>1099</v>
      </c>
    </row>
    <row r="17430">
      <c r="B17430" s="31"/>
      <c r="G17430" s="272" t="s">
        <v>1099</v>
      </c>
    </row>
    <row r="17431">
      <c r="B17431" s="31"/>
      <c r="G17431" s="272" t="s">
        <v>1099</v>
      </c>
    </row>
    <row r="17432">
      <c r="B17432" s="31"/>
      <c r="G17432" s="272" t="s">
        <v>1099</v>
      </c>
    </row>
    <row r="17433">
      <c r="B17433" s="31"/>
      <c r="G17433" s="272" t="s">
        <v>1099</v>
      </c>
    </row>
    <row r="17434">
      <c r="B17434" s="31"/>
      <c r="G17434" s="272" t="s">
        <v>1099</v>
      </c>
    </row>
    <row r="17435">
      <c r="B17435" s="31"/>
      <c r="G17435" s="272" t="s">
        <v>1099</v>
      </c>
    </row>
    <row r="17436">
      <c r="B17436" s="31"/>
      <c r="G17436" s="272" t="s">
        <v>1099</v>
      </c>
    </row>
    <row r="17437">
      <c r="B17437" s="31"/>
      <c r="G17437" s="272" t="s">
        <v>1099</v>
      </c>
    </row>
    <row r="17438">
      <c r="B17438" s="31"/>
      <c r="G17438" s="272" t="s">
        <v>1099</v>
      </c>
    </row>
    <row r="17439">
      <c r="B17439" s="31"/>
      <c r="G17439" s="272" t="s">
        <v>1099</v>
      </c>
    </row>
    <row r="17440">
      <c r="B17440" s="31"/>
      <c r="G17440" s="272" t="s">
        <v>1099</v>
      </c>
    </row>
    <row r="17441">
      <c r="B17441" s="31"/>
      <c r="G17441" s="272" t="s">
        <v>1099</v>
      </c>
    </row>
    <row r="17442">
      <c r="B17442" s="31"/>
      <c r="G17442" s="272" t="s">
        <v>1099</v>
      </c>
    </row>
    <row r="17443">
      <c r="B17443" s="31"/>
      <c r="G17443" s="272" t="s">
        <v>1099</v>
      </c>
    </row>
    <row r="17444">
      <c r="B17444" s="31"/>
      <c r="G17444" s="272" t="s">
        <v>1099</v>
      </c>
    </row>
    <row r="17445">
      <c r="B17445" s="31"/>
      <c r="G17445" s="272" t="s">
        <v>1099</v>
      </c>
    </row>
    <row r="17446">
      <c r="B17446" s="31"/>
      <c r="G17446" s="272" t="s">
        <v>1099</v>
      </c>
    </row>
    <row r="17447">
      <c r="B17447" s="31"/>
      <c r="G17447" s="272" t="s">
        <v>1099</v>
      </c>
    </row>
    <row r="17448">
      <c r="B17448" s="31"/>
      <c r="G17448" s="272" t="s">
        <v>1099</v>
      </c>
    </row>
    <row r="17449">
      <c r="B17449" s="31"/>
      <c r="G17449" s="272" t="s">
        <v>1099</v>
      </c>
    </row>
    <row r="17450">
      <c r="B17450" s="31"/>
      <c r="G17450" s="272" t="s">
        <v>1099</v>
      </c>
    </row>
    <row r="17451">
      <c r="B17451" s="31"/>
      <c r="G17451" s="272" t="s">
        <v>1099</v>
      </c>
    </row>
    <row r="17452">
      <c r="B17452" s="31"/>
      <c r="G17452" s="272" t="s">
        <v>1099</v>
      </c>
    </row>
    <row r="17453">
      <c r="B17453" s="31"/>
      <c r="G17453" s="272" t="s">
        <v>1099</v>
      </c>
    </row>
    <row r="17454">
      <c r="B17454" s="31"/>
      <c r="G17454" s="272" t="s">
        <v>1099</v>
      </c>
    </row>
    <row r="17455">
      <c r="B17455" s="31"/>
      <c r="G17455" s="272" t="s">
        <v>1099</v>
      </c>
    </row>
    <row r="17456">
      <c r="B17456" s="31"/>
      <c r="G17456" s="272" t="s">
        <v>1099</v>
      </c>
    </row>
    <row r="17457">
      <c r="B17457" s="31"/>
      <c r="G17457" s="272" t="s">
        <v>1099</v>
      </c>
    </row>
    <row r="17458">
      <c r="B17458" s="31"/>
      <c r="G17458" s="272" t="s">
        <v>1099</v>
      </c>
    </row>
    <row r="17459">
      <c r="B17459" s="31"/>
      <c r="G17459" s="272" t="s">
        <v>1099</v>
      </c>
    </row>
    <row r="17460">
      <c r="B17460" s="31"/>
      <c r="G17460" s="272" t="s">
        <v>1099</v>
      </c>
    </row>
    <row r="17461">
      <c r="B17461" s="31"/>
      <c r="G17461" s="272" t="s">
        <v>1099</v>
      </c>
    </row>
    <row r="17462">
      <c r="B17462" s="31"/>
      <c r="G17462" s="272" t="s">
        <v>1099</v>
      </c>
    </row>
    <row r="17463">
      <c r="B17463" s="31"/>
      <c r="G17463" s="272" t="s">
        <v>1099</v>
      </c>
    </row>
    <row r="17464">
      <c r="B17464" s="31"/>
      <c r="G17464" s="272" t="s">
        <v>1099</v>
      </c>
    </row>
    <row r="17465">
      <c r="B17465" s="31"/>
      <c r="G17465" s="272" t="s">
        <v>1099</v>
      </c>
    </row>
    <row r="17466">
      <c r="B17466" s="31"/>
      <c r="G17466" s="272" t="s">
        <v>1099</v>
      </c>
    </row>
    <row r="17467">
      <c r="B17467" s="31"/>
      <c r="G17467" s="272" t="s">
        <v>1099</v>
      </c>
    </row>
    <row r="17468">
      <c r="B17468" s="31"/>
      <c r="G17468" s="272" t="s">
        <v>1099</v>
      </c>
    </row>
    <row r="17469">
      <c r="B17469" s="31"/>
      <c r="G17469" s="272" t="s">
        <v>1099</v>
      </c>
    </row>
    <row r="17470">
      <c r="B17470" s="31"/>
      <c r="G17470" s="272" t="s">
        <v>1099</v>
      </c>
    </row>
    <row r="17471">
      <c r="B17471" s="31"/>
      <c r="G17471" s="272" t="s">
        <v>1099</v>
      </c>
    </row>
    <row r="17472">
      <c r="B17472" s="31"/>
      <c r="G17472" s="272" t="s">
        <v>1099</v>
      </c>
    </row>
    <row r="17473">
      <c r="B17473" s="31"/>
      <c r="G17473" s="272" t="s">
        <v>1099</v>
      </c>
    </row>
    <row r="17474">
      <c r="B17474" s="31"/>
      <c r="G17474" s="272" t="s">
        <v>1099</v>
      </c>
    </row>
    <row r="17475">
      <c r="B17475" s="31"/>
      <c r="G17475" s="272" t="s">
        <v>1099</v>
      </c>
    </row>
    <row r="17476">
      <c r="B17476" s="31"/>
      <c r="G17476" s="272" t="s">
        <v>1099</v>
      </c>
    </row>
    <row r="17477">
      <c r="B17477" s="31"/>
      <c r="G17477" s="272" t="s">
        <v>1099</v>
      </c>
    </row>
    <row r="17478">
      <c r="B17478" s="31"/>
      <c r="G17478" s="272" t="s">
        <v>1099</v>
      </c>
    </row>
    <row r="17479">
      <c r="B17479" s="31"/>
      <c r="G17479" s="272" t="s">
        <v>1099</v>
      </c>
    </row>
    <row r="17480">
      <c r="B17480" s="31"/>
      <c r="G17480" s="272" t="s">
        <v>1099</v>
      </c>
    </row>
    <row r="17481">
      <c r="B17481" s="31"/>
      <c r="G17481" s="272" t="s">
        <v>1099</v>
      </c>
    </row>
    <row r="17482">
      <c r="B17482" s="31"/>
      <c r="G17482" s="272" t="s">
        <v>1099</v>
      </c>
    </row>
    <row r="17483">
      <c r="B17483" s="31"/>
      <c r="G17483" s="272" t="s">
        <v>1099</v>
      </c>
    </row>
    <row r="17484">
      <c r="B17484" s="31"/>
      <c r="G17484" s="272" t="s">
        <v>1099</v>
      </c>
    </row>
    <row r="17485">
      <c r="B17485" s="31"/>
      <c r="G17485" s="272" t="s">
        <v>1099</v>
      </c>
    </row>
    <row r="17486">
      <c r="B17486" s="31"/>
      <c r="G17486" s="272" t="s">
        <v>1099</v>
      </c>
    </row>
    <row r="17487">
      <c r="B17487" s="31"/>
      <c r="G17487" s="272" t="s">
        <v>1099</v>
      </c>
    </row>
    <row r="17488">
      <c r="B17488" s="31"/>
      <c r="G17488" s="272" t="s">
        <v>1099</v>
      </c>
    </row>
    <row r="17489">
      <c r="B17489" s="31"/>
      <c r="G17489" s="272" t="s">
        <v>1099</v>
      </c>
    </row>
    <row r="17490">
      <c r="B17490" s="31"/>
      <c r="G17490" s="272" t="s">
        <v>1099</v>
      </c>
    </row>
    <row r="17491">
      <c r="B17491" s="31"/>
      <c r="G17491" s="272" t="s">
        <v>1099</v>
      </c>
    </row>
    <row r="17492">
      <c r="B17492" s="31"/>
      <c r="G17492" s="272" t="s">
        <v>1099</v>
      </c>
    </row>
    <row r="17493">
      <c r="B17493" s="31"/>
      <c r="G17493" s="272" t="s">
        <v>1099</v>
      </c>
    </row>
    <row r="17494">
      <c r="B17494" s="31"/>
      <c r="G17494" s="272" t="s">
        <v>1099</v>
      </c>
    </row>
    <row r="17495">
      <c r="B17495" s="31"/>
      <c r="G17495" s="272" t="s">
        <v>1099</v>
      </c>
    </row>
    <row r="17496">
      <c r="B17496" s="31"/>
      <c r="G17496" s="272" t="s">
        <v>1099</v>
      </c>
    </row>
    <row r="17497">
      <c r="B17497" s="31"/>
      <c r="G17497" s="272" t="s">
        <v>1099</v>
      </c>
    </row>
    <row r="17498">
      <c r="B17498" s="31"/>
      <c r="G17498" s="272" t="s">
        <v>1099</v>
      </c>
    </row>
    <row r="17499">
      <c r="B17499" s="31"/>
      <c r="G17499" s="272" t="s">
        <v>1099</v>
      </c>
    </row>
    <row r="17500">
      <c r="B17500" s="31"/>
      <c r="G17500" s="272" t="s">
        <v>1099</v>
      </c>
    </row>
    <row r="17501">
      <c r="B17501" s="31"/>
      <c r="G17501" s="272" t="s">
        <v>1099</v>
      </c>
    </row>
    <row r="17502">
      <c r="B17502" s="31"/>
      <c r="G17502" s="272" t="s">
        <v>1099</v>
      </c>
    </row>
    <row r="17503">
      <c r="B17503" s="31"/>
      <c r="G17503" s="272" t="s">
        <v>1099</v>
      </c>
    </row>
    <row r="17504">
      <c r="B17504" s="31"/>
      <c r="G17504" s="272" t="s">
        <v>1099</v>
      </c>
    </row>
    <row r="17505">
      <c r="B17505" s="31"/>
      <c r="G17505" s="272" t="s">
        <v>1099</v>
      </c>
    </row>
    <row r="17506">
      <c r="B17506" s="31"/>
      <c r="G17506" s="272" t="s">
        <v>1099</v>
      </c>
    </row>
    <row r="17507">
      <c r="B17507" s="31"/>
      <c r="G17507" s="272" t="s">
        <v>1099</v>
      </c>
    </row>
    <row r="17508">
      <c r="B17508" s="31"/>
      <c r="G17508" s="272" t="s">
        <v>1099</v>
      </c>
    </row>
    <row r="17509">
      <c r="B17509" s="31"/>
      <c r="G17509" s="272" t="s">
        <v>1099</v>
      </c>
    </row>
    <row r="17510">
      <c r="B17510" s="31"/>
      <c r="G17510" s="272" t="s">
        <v>1099</v>
      </c>
    </row>
    <row r="17511">
      <c r="B17511" s="31"/>
      <c r="G17511" s="272" t="s">
        <v>1099</v>
      </c>
    </row>
    <row r="17512">
      <c r="B17512" s="31"/>
      <c r="G17512" s="272" t="s">
        <v>1099</v>
      </c>
    </row>
    <row r="17513">
      <c r="B17513" s="31"/>
      <c r="G17513" s="272" t="s">
        <v>1099</v>
      </c>
    </row>
    <row r="17514">
      <c r="B17514" s="31"/>
      <c r="G17514" s="272" t="s">
        <v>1099</v>
      </c>
    </row>
    <row r="17515">
      <c r="B17515" s="31"/>
      <c r="G17515" s="272" t="s">
        <v>1099</v>
      </c>
    </row>
    <row r="17516">
      <c r="B17516" s="31"/>
      <c r="G17516" s="272" t="s">
        <v>1099</v>
      </c>
    </row>
    <row r="17517">
      <c r="B17517" s="31"/>
      <c r="G17517" s="272" t="s">
        <v>1099</v>
      </c>
    </row>
    <row r="17518">
      <c r="B17518" s="31"/>
      <c r="G17518" s="272" t="s">
        <v>1099</v>
      </c>
    </row>
    <row r="17519">
      <c r="B17519" s="31"/>
      <c r="G17519" s="272" t="s">
        <v>1099</v>
      </c>
    </row>
    <row r="17520">
      <c r="B17520" s="31"/>
      <c r="G17520" s="272" t="s">
        <v>1099</v>
      </c>
    </row>
    <row r="17521">
      <c r="B17521" s="31"/>
      <c r="G17521" s="272" t="s">
        <v>1099</v>
      </c>
    </row>
    <row r="17522">
      <c r="B17522" s="31"/>
      <c r="G17522" s="272" t="s">
        <v>1099</v>
      </c>
    </row>
    <row r="17523">
      <c r="B17523" s="31"/>
      <c r="G17523" s="272" t="s">
        <v>1099</v>
      </c>
    </row>
    <row r="17524">
      <c r="B17524" s="31"/>
      <c r="G17524" s="272" t="s">
        <v>1099</v>
      </c>
    </row>
    <row r="17525">
      <c r="B17525" s="31"/>
      <c r="G17525" s="272" t="s">
        <v>1099</v>
      </c>
    </row>
    <row r="17526">
      <c r="B17526" s="31"/>
      <c r="G17526" s="272" t="s">
        <v>1099</v>
      </c>
    </row>
    <row r="17527">
      <c r="B17527" s="31"/>
      <c r="G17527" s="272" t="s">
        <v>1099</v>
      </c>
    </row>
    <row r="17528">
      <c r="B17528" s="31"/>
      <c r="G17528" s="272" t="s">
        <v>1099</v>
      </c>
    </row>
    <row r="17529">
      <c r="B17529" s="31"/>
      <c r="G17529" s="272" t="s">
        <v>1099</v>
      </c>
    </row>
    <row r="17530">
      <c r="B17530" s="31"/>
      <c r="G17530" s="272" t="s">
        <v>1099</v>
      </c>
    </row>
    <row r="17531">
      <c r="B17531" s="31"/>
      <c r="G17531" s="272" t="s">
        <v>1099</v>
      </c>
    </row>
    <row r="17532">
      <c r="B17532" s="31"/>
      <c r="G17532" s="272" t="s">
        <v>1099</v>
      </c>
    </row>
    <row r="17533">
      <c r="B17533" s="31"/>
      <c r="G17533" s="272" t="s">
        <v>1099</v>
      </c>
    </row>
    <row r="17534">
      <c r="B17534" s="31"/>
      <c r="G17534" s="272" t="s">
        <v>1099</v>
      </c>
    </row>
    <row r="17535">
      <c r="B17535" s="31"/>
      <c r="G17535" s="272" t="s">
        <v>1099</v>
      </c>
    </row>
    <row r="17536">
      <c r="B17536" s="31"/>
      <c r="G17536" s="272" t="s">
        <v>1099</v>
      </c>
    </row>
    <row r="17537">
      <c r="B17537" s="31"/>
      <c r="G17537" s="272" t="s">
        <v>1099</v>
      </c>
    </row>
    <row r="17538">
      <c r="B17538" s="31"/>
      <c r="G17538" s="272" t="s">
        <v>1099</v>
      </c>
    </row>
    <row r="17539">
      <c r="B17539" s="31"/>
      <c r="G17539" s="272" t="s">
        <v>1099</v>
      </c>
    </row>
    <row r="17540">
      <c r="B17540" s="31"/>
      <c r="G17540" s="272" t="s">
        <v>1099</v>
      </c>
    </row>
    <row r="17541">
      <c r="B17541" s="31"/>
      <c r="G17541" s="272" t="s">
        <v>1099</v>
      </c>
    </row>
    <row r="17542">
      <c r="B17542" s="31"/>
      <c r="G17542" s="272" t="s">
        <v>1099</v>
      </c>
    </row>
    <row r="17543">
      <c r="B17543" s="31"/>
      <c r="G17543" s="272" t="s">
        <v>1099</v>
      </c>
    </row>
    <row r="17544">
      <c r="B17544" s="31"/>
      <c r="G17544" s="272" t="s">
        <v>1099</v>
      </c>
    </row>
    <row r="17545">
      <c r="B17545" s="31"/>
      <c r="G17545" s="272" t="s">
        <v>1099</v>
      </c>
    </row>
    <row r="17546">
      <c r="B17546" s="31"/>
      <c r="G17546" s="272" t="s">
        <v>1099</v>
      </c>
    </row>
    <row r="17547">
      <c r="B17547" s="31"/>
      <c r="G17547" s="272" t="s">
        <v>1099</v>
      </c>
    </row>
    <row r="17548">
      <c r="B17548" s="31"/>
      <c r="G17548" s="272" t="s">
        <v>1099</v>
      </c>
    </row>
    <row r="17549">
      <c r="B17549" s="31"/>
      <c r="G17549" s="272" t="s">
        <v>1099</v>
      </c>
    </row>
    <row r="17550">
      <c r="B17550" s="31"/>
      <c r="G17550" s="272" t="s">
        <v>1099</v>
      </c>
    </row>
    <row r="17551">
      <c r="B17551" s="31"/>
      <c r="G17551" s="272" t="s">
        <v>1099</v>
      </c>
    </row>
    <row r="17552">
      <c r="B17552" s="31"/>
      <c r="G17552" s="272" t="s">
        <v>1099</v>
      </c>
    </row>
    <row r="17553">
      <c r="B17553" s="31"/>
      <c r="G17553" s="272" t="s">
        <v>1099</v>
      </c>
    </row>
    <row r="17554">
      <c r="B17554" s="31"/>
      <c r="G17554" s="272" t="s">
        <v>1099</v>
      </c>
    </row>
    <row r="17555">
      <c r="B17555" s="31"/>
      <c r="G17555" s="272" t="s">
        <v>1099</v>
      </c>
    </row>
    <row r="17556">
      <c r="B17556" s="31"/>
      <c r="G17556" s="272" t="s">
        <v>1099</v>
      </c>
    </row>
    <row r="17557">
      <c r="B17557" s="31"/>
      <c r="G17557" s="272" t="s">
        <v>1099</v>
      </c>
    </row>
    <row r="17558">
      <c r="B17558" s="31"/>
      <c r="G17558" s="272" t="s">
        <v>1099</v>
      </c>
    </row>
    <row r="17559">
      <c r="B17559" s="31"/>
      <c r="G17559" s="272" t="s">
        <v>1099</v>
      </c>
    </row>
    <row r="17560">
      <c r="B17560" s="31"/>
      <c r="G17560" s="272" t="s">
        <v>1099</v>
      </c>
    </row>
    <row r="17561">
      <c r="B17561" s="31"/>
      <c r="G17561" s="272" t="s">
        <v>1099</v>
      </c>
    </row>
    <row r="17562">
      <c r="B17562" s="31"/>
      <c r="G17562" s="272" t="s">
        <v>1099</v>
      </c>
    </row>
    <row r="17563">
      <c r="B17563" s="31"/>
      <c r="G17563" s="272" t="s">
        <v>1099</v>
      </c>
    </row>
    <row r="17564">
      <c r="B17564" s="31"/>
      <c r="G17564" s="272" t="s">
        <v>1099</v>
      </c>
    </row>
    <row r="17565">
      <c r="B17565" s="31"/>
      <c r="G17565" s="272" t="s">
        <v>1099</v>
      </c>
    </row>
    <row r="17566">
      <c r="B17566" s="31"/>
      <c r="G17566" s="272" t="s">
        <v>1099</v>
      </c>
    </row>
    <row r="17567">
      <c r="B17567" s="31"/>
      <c r="G17567" s="272" t="s">
        <v>1099</v>
      </c>
    </row>
    <row r="17568">
      <c r="B17568" s="31"/>
      <c r="G17568" s="272" t="s">
        <v>1099</v>
      </c>
    </row>
    <row r="17569">
      <c r="B17569" s="31"/>
      <c r="G17569" s="272" t="s">
        <v>1099</v>
      </c>
    </row>
    <row r="17570">
      <c r="B17570" s="31"/>
      <c r="G17570" s="272" t="s">
        <v>1099</v>
      </c>
    </row>
    <row r="17571">
      <c r="B17571" s="31"/>
      <c r="G17571" s="272" t="s">
        <v>1099</v>
      </c>
    </row>
    <row r="17572">
      <c r="B17572" s="31"/>
      <c r="G17572" s="272" t="s">
        <v>1099</v>
      </c>
    </row>
    <row r="17573">
      <c r="B17573" s="31"/>
      <c r="G17573" s="272" t="s">
        <v>1099</v>
      </c>
    </row>
    <row r="17574">
      <c r="B17574" s="31"/>
      <c r="G17574" s="272" t="s">
        <v>1099</v>
      </c>
    </row>
    <row r="17575">
      <c r="B17575" s="31"/>
      <c r="G17575" s="272" t="s">
        <v>1099</v>
      </c>
    </row>
    <row r="17576">
      <c r="B17576" s="31"/>
      <c r="G17576" s="272" t="s">
        <v>1099</v>
      </c>
    </row>
    <row r="17577">
      <c r="B17577" s="31"/>
      <c r="G17577" s="272" t="s">
        <v>1099</v>
      </c>
    </row>
    <row r="17578">
      <c r="B17578" s="31"/>
      <c r="G17578" s="272" t="s">
        <v>1099</v>
      </c>
    </row>
    <row r="17579">
      <c r="B17579" s="31"/>
      <c r="G17579" s="272" t="s">
        <v>1099</v>
      </c>
    </row>
    <row r="17580">
      <c r="B17580" s="31"/>
      <c r="G17580" s="272" t="s">
        <v>1099</v>
      </c>
    </row>
    <row r="17581">
      <c r="B17581" s="31"/>
      <c r="G17581" s="272" t="s">
        <v>1099</v>
      </c>
    </row>
    <row r="17582">
      <c r="B17582" s="31"/>
      <c r="G17582" s="272" t="s">
        <v>1099</v>
      </c>
    </row>
    <row r="17583">
      <c r="B17583" s="31"/>
      <c r="G17583" s="272" t="s">
        <v>1099</v>
      </c>
    </row>
    <row r="17584">
      <c r="B17584" s="31"/>
      <c r="G17584" s="272" t="s">
        <v>1099</v>
      </c>
    </row>
    <row r="17585">
      <c r="B17585" s="31"/>
      <c r="G17585" s="272" t="s">
        <v>1099</v>
      </c>
    </row>
    <row r="17586">
      <c r="B17586" s="31"/>
      <c r="G17586" s="272" t="s">
        <v>1099</v>
      </c>
    </row>
    <row r="17587">
      <c r="B17587" s="31"/>
      <c r="G17587" s="272" t="s">
        <v>1099</v>
      </c>
    </row>
    <row r="17588">
      <c r="B17588" s="31"/>
      <c r="G17588" s="272" t="s">
        <v>1099</v>
      </c>
    </row>
    <row r="17589">
      <c r="B17589" s="31"/>
      <c r="G17589" s="272" t="s">
        <v>1099</v>
      </c>
    </row>
    <row r="17590">
      <c r="B17590" s="31"/>
      <c r="G17590" s="272" t="s">
        <v>1099</v>
      </c>
    </row>
    <row r="17591">
      <c r="B17591" s="31"/>
      <c r="G17591" s="272" t="s">
        <v>1099</v>
      </c>
    </row>
    <row r="17592">
      <c r="B17592" s="31"/>
      <c r="G17592" s="272" t="s">
        <v>1099</v>
      </c>
    </row>
    <row r="17593">
      <c r="B17593" s="31"/>
      <c r="G17593" s="272" t="s">
        <v>1099</v>
      </c>
    </row>
    <row r="17594">
      <c r="B17594" s="31"/>
      <c r="G17594" s="272" t="s">
        <v>1099</v>
      </c>
    </row>
    <row r="17595">
      <c r="B17595" s="31"/>
      <c r="G17595" s="272" t="s">
        <v>1099</v>
      </c>
    </row>
    <row r="17596">
      <c r="B17596" s="31"/>
      <c r="G17596" s="272" t="s">
        <v>1099</v>
      </c>
    </row>
    <row r="17597">
      <c r="B17597" s="31"/>
      <c r="G17597" s="272" t="s">
        <v>1099</v>
      </c>
    </row>
    <row r="17598">
      <c r="B17598" s="31"/>
      <c r="G17598" s="272" t="s">
        <v>1099</v>
      </c>
    </row>
    <row r="17599">
      <c r="B17599" s="31"/>
      <c r="G17599" s="272" t="s">
        <v>1099</v>
      </c>
    </row>
    <row r="17600">
      <c r="B17600" s="31"/>
      <c r="G17600" s="272" t="s">
        <v>1099</v>
      </c>
    </row>
    <row r="17601">
      <c r="B17601" s="31"/>
      <c r="G17601" s="272" t="s">
        <v>1099</v>
      </c>
    </row>
    <row r="17602">
      <c r="B17602" s="31"/>
      <c r="G17602" s="272" t="s">
        <v>1099</v>
      </c>
    </row>
    <row r="17603">
      <c r="B17603" s="31"/>
      <c r="G17603" s="272" t="s">
        <v>1099</v>
      </c>
    </row>
    <row r="17604">
      <c r="B17604" s="31"/>
      <c r="G17604" s="272" t="s">
        <v>1099</v>
      </c>
    </row>
    <row r="17605">
      <c r="B17605" s="31"/>
      <c r="G17605" s="272" t="s">
        <v>1099</v>
      </c>
    </row>
    <row r="17606">
      <c r="B17606" s="31"/>
      <c r="G17606" s="272" t="s">
        <v>1099</v>
      </c>
    </row>
    <row r="17607">
      <c r="B17607" s="31"/>
      <c r="G17607" s="272" t="s">
        <v>1099</v>
      </c>
    </row>
    <row r="17608">
      <c r="B17608" s="31"/>
      <c r="G17608" s="272" t="s">
        <v>1099</v>
      </c>
    </row>
    <row r="17609">
      <c r="B17609" s="31"/>
      <c r="G17609" s="272" t="s">
        <v>1099</v>
      </c>
    </row>
    <row r="17610">
      <c r="B17610" s="31"/>
      <c r="G17610" s="272" t="s">
        <v>1099</v>
      </c>
    </row>
    <row r="17611">
      <c r="B17611" s="31"/>
      <c r="G17611" s="272" t="s">
        <v>1099</v>
      </c>
    </row>
    <row r="17612">
      <c r="B17612" s="31"/>
      <c r="G17612" s="272" t="s">
        <v>1099</v>
      </c>
    </row>
    <row r="17613">
      <c r="B17613" s="31"/>
      <c r="G17613" s="272" t="s">
        <v>1099</v>
      </c>
    </row>
    <row r="17614">
      <c r="B17614" s="31"/>
      <c r="G17614" s="272" t="s">
        <v>1099</v>
      </c>
    </row>
    <row r="17615">
      <c r="B17615" s="31"/>
      <c r="G17615" s="272" t="s">
        <v>1099</v>
      </c>
    </row>
    <row r="17616">
      <c r="B17616" s="31"/>
      <c r="G17616" s="272" t="s">
        <v>1099</v>
      </c>
    </row>
    <row r="17617">
      <c r="B17617" s="31"/>
      <c r="G17617" s="272" t="s">
        <v>1099</v>
      </c>
    </row>
    <row r="17618">
      <c r="B17618" s="31"/>
      <c r="G17618" s="272" t="s">
        <v>1099</v>
      </c>
    </row>
    <row r="17619">
      <c r="B17619" s="31"/>
      <c r="G17619" s="272" t="s">
        <v>1099</v>
      </c>
    </row>
    <row r="17620">
      <c r="B17620" s="31"/>
      <c r="G17620" s="272" t="s">
        <v>1099</v>
      </c>
    </row>
    <row r="17621">
      <c r="B17621" s="31"/>
      <c r="G17621" s="272" t="s">
        <v>1099</v>
      </c>
    </row>
    <row r="17622">
      <c r="B17622" s="31"/>
      <c r="G17622" s="272" t="s">
        <v>1099</v>
      </c>
    </row>
    <row r="17623">
      <c r="B17623" s="31"/>
      <c r="G17623" s="272" t="s">
        <v>1099</v>
      </c>
    </row>
    <row r="17624">
      <c r="B17624" s="31"/>
      <c r="G17624" s="272" t="s">
        <v>1099</v>
      </c>
    </row>
    <row r="17625">
      <c r="B17625" s="31"/>
      <c r="G17625" s="272" t="s">
        <v>1099</v>
      </c>
    </row>
    <row r="17626">
      <c r="B17626" s="31"/>
      <c r="G17626" s="272" t="s">
        <v>1099</v>
      </c>
    </row>
    <row r="17627">
      <c r="B17627" s="31"/>
      <c r="G17627" s="272" t="s">
        <v>1099</v>
      </c>
    </row>
    <row r="17628">
      <c r="B17628" s="31"/>
      <c r="G17628" s="272" t="s">
        <v>1099</v>
      </c>
    </row>
    <row r="17629">
      <c r="B17629" s="31"/>
      <c r="G17629" s="272" t="s">
        <v>1099</v>
      </c>
    </row>
    <row r="17630">
      <c r="B17630" s="31"/>
      <c r="G17630" s="272" t="s">
        <v>1099</v>
      </c>
    </row>
    <row r="17631">
      <c r="B17631" s="31"/>
      <c r="G17631" s="272" t="s">
        <v>1099</v>
      </c>
    </row>
    <row r="17632">
      <c r="B17632" s="31"/>
      <c r="G17632" s="272" t="s">
        <v>1099</v>
      </c>
    </row>
    <row r="17633">
      <c r="B17633" s="31"/>
      <c r="G17633" s="272" t="s">
        <v>1099</v>
      </c>
    </row>
    <row r="17634">
      <c r="B17634" s="31"/>
      <c r="G17634" s="272" t="s">
        <v>1099</v>
      </c>
    </row>
    <row r="17635">
      <c r="B17635" s="31"/>
      <c r="G17635" s="272" t="s">
        <v>1099</v>
      </c>
    </row>
    <row r="17636">
      <c r="B17636" s="31"/>
      <c r="G17636" s="272" t="s">
        <v>1099</v>
      </c>
    </row>
    <row r="17637">
      <c r="B17637" s="31"/>
      <c r="G17637" s="272" t="s">
        <v>1099</v>
      </c>
    </row>
    <row r="17638">
      <c r="B17638" s="31"/>
      <c r="G17638" s="272" t="s">
        <v>1099</v>
      </c>
    </row>
    <row r="17639">
      <c r="B17639" s="31"/>
      <c r="G17639" s="272" t="s">
        <v>1099</v>
      </c>
    </row>
    <row r="17640">
      <c r="B17640" s="31"/>
      <c r="G17640" s="272" t="s">
        <v>1099</v>
      </c>
    </row>
    <row r="17641">
      <c r="B17641" s="31"/>
      <c r="G17641" s="272" t="s">
        <v>1099</v>
      </c>
    </row>
    <row r="17642">
      <c r="B17642" s="31"/>
      <c r="G17642" s="272" t="s">
        <v>1099</v>
      </c>
    </row>
    <row r="17643">
      <c r="B17643" s="31"/>
      <c r="G17643" s="272" t="s">
        <v>1099</v>
      </c>
    </row>
    <row r="17644">
      <c r="B17644" s="31"/>
      <c r="G17644" s="272" t="s">
        <v>1099</v>
      </c>
    </row>
    <row r="17645">
      <c r="B17645" s="31"/>
      <c r="G17645" s="272" t="s">
        <v>1099</v>
      </c>
    </row>
    <row r="17646">
      <c r="B17646" s="31"/>
      <c r="G17646" s="272" t="s">
        <v>1099</v>
      </c>
    </row>
    <row r="17647">
      <c r="B17647" s="31"/>
      <c r="G17647" s="272" t="s">
        <v>1099</v>
      </c>
    </row>
    <row r="17648">
      <c r="B17648" s="31"/>
      <c r="G17648" s="272" t="s">
        <v>1099</v>
      </c>
    </row>
    <row r="17649">
      <c r="B17649" s="31"/>
      <c r="G17649" s="272" t="s">
        <v>1099</v>
      </c>
    </row>
    <row r="17650">
      <c r="B17650" s="31"/>
      <c r="G17650" s="272" t="s">
        <v>1099</v>
      </c>
    </row>
    <row r="17651">
      <c r="B17651" s="31"/>
      <c r="G17651" s="272" t="s">
        <v>1099</v>
      </c>
    </row>
    <row r="17652">
      <c r="B17652" s="31"/>
      <c r="G17652" s="272" t="s">
        <v>1099</v>
      </c>
    </row>
    <row r="17653">
      <c r="B17653" s="31"/>
      <c r="G17653" s="272" t="s">
        <v>1099</v>
      </c>
    </row>
    <row r="17654">
      <c r="B17654" s="31"/>
      <c r="G17654" s="272" t="s">
        <v>1099</v>
      </c>
    </row>
    <row r="17655">
      <c r="B17655" s="31"/>
      <c r="G17655" s="272" t="s">
        <v>1099</v>
      </c>
    </row>
    <row r="17656">
      <c r="B17656" s="31"/>
      <c r="G17656" s="272" t="s">
        <v>1099</v>
      </c>
    </row>
    <row r="17657">
      <c r="B17657" s="31"/>
      <c r="G17657" s="272" t="s">
        <v>1099</v>
      </c>
    </row>
    <row r="17658">
      <c r="B17658" s="31"/>
      <c r="G17658" s="272" t="s">
        <v>1099</v>
      </c>
    </row>
    <row r="17659">
      <c r="B17659" s="31"/>
      <c r="G17659" s="272" t="s">
        <v>1099</v>
      </c>
    </row>
    <row r="17660">
      <c r="B17660" s="31"/>
      <c r="G17660" s="272" t="s">
        <v>1099</v>
      </c>
    </row>
    <row r="17661">
      <c r="B17661" s="31"/>
      <c r="G17661" s="272" t="s">
        <v>1099</v>
      </c>
    </row>
    <row r="17662">
      <c r="B17662" s="31"/>
      <c r="G17662" s="272" t="s">
        <v>1099</v>
      </c>
    </row>
    <row r="17663">
      <c r="B17663" s="31"/>
      <c r="G17663" s="272" t="s">
        <v>1099</v>
      </c>
    </row>
    <row r="17664">
      <c r="B17664" s="31"/>
      <c r="G17664" s="272" t="s">
        <v>1099</v>
      </c>
    </row>
    <row r="17665">
      <c r="B17665" s="31"/>
      <c r="G17665" s="272" t="s">
        <v>1099</v>
      </c>
    </row>
    <row r="17666">
      <c r="B17666" s="31"/>
      <c r="G17666" s="272" t="s">
        <v>1099</v>
      </c>
    </row>
    <row r="17667">
      <c r="B17667" s="31"/>
      <c r="G17667" s="272" t="s">
        <v>1099</v>
      </c>
    </row>
    <row r="17668">
      <c r="B17668" s="31"/>
      <c r="G17668" s="272" t="s">
        <v>1099</v>
      </c>
    </row>
    <row r="17669">
      <c r="B17669" s="31"/>
      <c r="G17669" s="272" t="s">
        <v>1099</v>
      </c>
    </row>
    <row r="17670">
      <c r="B17670" s="31"/>
      <c r="G17670" s="272" t="s">
        <v>1099</v>
      </c>
    </row>
    <row r="17671">
      <c r="B17671" s="31"/>
      <c r="G17671" s="272" t="s">
        <v>1099</v>
      </c>
    </row>
    <row r="17672">
      <c r="B17672" s="31"/>
      <c r="G17672" s="272" t="s">
        <v>1099</v>
      </c>
    </row>
    <row r="17673">
      <c r="B17673" s="31"/>
      <c r="G17673" s="272" t="s">
        <v>1099</v>
      </c>
    </row>
    <row r="17674">
      <c r="B17674" s="31"/>
      <c r="G17674" s="272" t="s">
        <v>1099</v>
      </c>
    </row>
    <row r="17675">
      <c r="B17675" s="31"/>
      <c r="G17675" s="272" t="s">
        <v>1099</v>
      </c>
    </row>
    <row r="17676">
      <c r="B17676" s="31"/>
      <c r="G17676" s="272" t="s">
        <v>1099</v>
      </c>
    </row>
    <row r="17677">
      <c r="B17677" s="31"/>
      <c r="G17677" s="272" t="s">
        <v>1099</v>
      </c>
    </row>
    <row r="17678">
      <c r="B17678" s="31"/>
      <c r="G17678" s="272" t="s">
        <v>1099</v>
      </c>
    </row>
    <row r="17679">
      <c r="B17679" s="31"/>
      <c r="G17679" s="272" t="s">
        <v>1099</v>
      </c>
    </row>
    <row r="17680">
      <c r="B17680" s="31"/>
      <c r="G17680" s="272" t="s">
        <v>1099</v>
      </c>
    </row>
    <row r="17681">
      <c r="B17681" s="31"/>
      <c r="G17681" s="272" t="s">
        <v>1099</v>
      </c>
    </row>
    <row r="17682">
      <c r="B17682" s="31"/>
      <c r="G17682" s="272" t="s">
        <v>1099</v>
      </c>
    </row>
    <row r="17683">
      <c r="B17683" s="31"/>
      <c r="G17683" s="272" t="s">
        <v>1099</v>
      </c>
    </row>
    <row r="17684">
      <c r="B17684" s="31"/>
      <c r="G17684" s="272" t="s">
        <v>1099</v>
      </c>
    </row>
    <row r="17685">
      <c r="B17685" s="31"/>
      <c r="G17685" s="272" t="s">
        <v>1099</v>
      </c>
    </row>
    <row r="17686">
      <c r="B17686" s="31"/>
      <c r="G17686" s="272" t="s">
        <v>1099</v>
      </c>
    </row>
    <row r="17687">
      <c r="B17687" s="31"/>
      <c r="G17687" s="272" t="s">
        <v>1099</v>
      </c>
    </row>
    <row r="17688">
      <c r="B17688" s="31"/>
      <c r="G17688" s="272" t="s">
        <v>1099</v>
      </c>
    </row>
    <row r="17689">
      <c r="B17689" s="31"/>
      <c r="G17689" s="272" t="s">
        <v>1099</v>
      </c>
    </row>
    <row r="17690">
      <c r="B17690" s="31"/>
      <c r="G17690" s="272" t="s">
        <v>1099</v>
      </c>
    </row>
    <row r="17691">
      <c r="B17691" s="31"/>
      <c r="G17691" s="272" t="s">
        <v>1099</v>
      </c>
    </row>
    <row r="17692">
      <c r="B17692" s="31"/>
      <c r="G17692" s="272" t="s">
        <v>1099</v>
      </c>
    </row>
    <row r="17693">
      <c r="B17693" s="31"/>
      <c r="G17693" s="272" t="s">
        <v>1099</v>
      </c>
    </row>
    <row r="17694">
      <c r="B17694" s="31"/>
      <c r="G17694" s="272" t="s">
        <v>1099</v>
      </c>
    </row>
    <row r="17695">
      <c r="B17695" s="31"/>
      <c r="G17695" s="272" t="s">
        <v>1099</v>
      </c>
    </row>
    <row r="17696">
      <c r="B17696" s="31"/>
      <c r="G17696" s="272" t="s">
        <v>1099</v>
      </c>
    </row>
    <row r="17697">
      <c r="B17697" s="31"/>
      <c r="G17697" s="272" t="s">
        <v>1099</v>
      </c>
    </row>
    <row r="17698">
      <c r="B17698" s="31"/>
      <c r="G17698" s="272" t="s">
        <v>1099</v>
      </c>
    </row>
    <row r="17699">
      <c r="B17699" s="31"/>
      <c r="G17699" s="272" t="s">
        <v>1099</v>
      </c>
    </row>
    <row r="17700">
      <c r="B17700" s="31"/>
      <c r="G17700" s="272" t="s">
        <v>1099</v>
      </c>
    </row>
    <row r="17701">
      <c r="B17701" s="31"/>
      <c r="G17701" s="272" t="s">
        <v>1099</v>
      </c>
    </row>
    <row r="17702">
      <c r="B17702" s="31"/>
      <c r="G17702" s="272" t="s">
        <v>1099</v>
      </c>
    </row>
    <row r="17703">
      <c r="B17703" s="31"/>
      <c r="G17703" s="272" t="s">
        <v>1099</v>
      </c>
    </row>
    <row r="17704">
      <c r="B17704" s="31"/>
      <c r="G17704" s="272" t="s">
        <v>1099</v>
      </c>
    </row>
    <row r="17705">
      <c r="B17705" s="31"/>
      <c r="G17705" s="272" t="s">
        <v>1099</v>
      </c>
    </row>
    <row r="17706">
      <c r="B17706" s="31"/>
      <c r="G17706" s="272" t="s">
        <v>1099</v>
      </c>
    </row>
    <row r="17707">
      <c r="B17707" s="31"/>
      <c r="G17707" s="272" t="s">
        <v>1099</v>
      </c>
    </row>
    <row r="17708">
      <c r="B17708" s="31"/>
      <c r="G17708" s="272" t="s">
        <v>1099</v>
      </c>
    </row>
    <row r="17709">
      <c r="B17709" s="31"/>
      <c r="G17709" s="272" t="s">
        <v>1099</v>
      </c>
    </row>
    <row r="17710">
      <c r="B17710" s="31"/>
      <c r="G17710" s="272" t="s">
        <v>1099</v>
      </c>
    </row>
    <row r="17711">
      <c r="B17711" s="31"/>
      <c r="G17711" s="272" t="s">
        <v>1099</v>
      </c>
    </row>
    <row r="17712">
      <c r="B17712" s="31"/>
      <c r="G17712" s="272" t="s">
        <v>1099</v>
      </c>
    </row>
    <row r="17713">
      <c r="B17713" s="31"/>
      <c r="G17713" s="272" t="s">
        <v>1099</v>
      </c>
    </row>
    <row r="17714">
      <c r="B17714" s="31"/>
      <c r="G17714" s="272" t="s">
        <v>1099</v>
      </c>
    </row>
    <row r="17715">
      <c r="B17715" s="31"/>
      <c r="G17715" s="272" t="s">
        <v>1099</v>
      </c>
    </row>
    <row r="17716">
      <c r="B17716" s="31"/>
      <c r="G17716" s="272" t="s">
        <v>1099</v>
      </c>
    </row>
    <row r="17717">
      <c r="B17717" s="31"/>
      <c r="G17717" s="272" t="s">
        <v>1099</v>
      </c>
    </row>
    <row r="17718">
      <c r="B17718" s="31"/>
      <c r="G17718" s="272" t="s">
        <v>1099</v>
      </c>
    </row>
    <row r="17719">
      <c r="B17719" s="31"/>
      <c r="G17719" s="272" t="s">
        <v>1099</v>
      </c>
    </row>
    <row r="17720">
      <c r="B17720" s="31"/>
      <c r="G17720" s="272" t="s">
        <v>1099</v>
      </c>
    </row>
    <row r="17721">
      <c r="B17721" s="31"/>
      <c r="G17721" s="272" t="s">
        <v>1099</v>
      </c>
    </row>
    <row r="17722">
      <c r="B17722" s="31"/>
      <c r="G17722" s="272" t="s">
        <v>1099</v>
      </c>
    </row>
    <row r="17723">
      <c r="B17723" s="31"/>
      <c r="G17723" s="272" t="s">
        <v>1099</v>
      </c>
    </row>
    <row r="17724">
      <c r="B17724" s="31"/>
      <c r="G17724" s="272" t="s">
        <v>1099</v>
      </c>
    </row>
    <row r="17725">
      <c r="B17725" s="31"/>
      <c r="G17725" s="272" t="s">
        <v>1099</v>
      </c>
    </row>
    <row r="17726">
      <c r="B17726" s="31"/>
      <c r="G17726" s="272" t="s">
        <v>1099</v>
      </c>
    </row>
    <row r="17727">
      <c r="B17727" s="31"/>
      <c r="G17727" s="272" t="s">
        <v>1099</v>
      </c>
    </row>
    <row r="17728">
      <c r="B17728" s="31"/>
      <c r="G17728" s="272" t="s">
        <v>1099</v>
      </c>
    </row>
    <row r="17729">
      <c r="B17729" s="31"/>
      <c r="G17729" s="272" t="s">
        <v>1099</v>
      </c>
    </row>
    <row r="17730">
      <c r="B17730" s="31"/>
      <c r="G17730" s="272" t="s">
        <v>1099</v>
      </c>
    </row>
    <row r="17731">
      <c r="B17731" s="31"/>
      <c r="G17731" s="272" t="s">
        <v>1099</v>
      </c>
    </row>
    <row r="17732">
      <c r="B17732" s="31"/>
      <c r="G17732" s="272" t="s">
        <v>1099</v>
      </c>
    </row>
    <row r="17733">
      <c r="B17733" s="31"/>
      <c r="G17733" s="272" t="s">
        <v>1099</v>
      </c>
    </row>
    <row r="17734">
      <c r="B17734" s="31"/>
      <c r="G17734" s="272" t="s">
        <v>1099</v>
      </c>
    </row>
    <row r="17735">
      <c r="B17735" s="31"/>
      <c r="G17735" s="272" t="s">
        <v>1099</v>
      </c>
    </row>
    <row r="17736">
      <c r="B17736" s="31"/>
      <c r="G17736" s="272" t="s">
        <v>1099</v>
      </c>
    </row>
    <row r="17737">
      <c r="B17737" s="31"/>
      <c r="G17737" s="272" t="s">
        <v>1099</v>
      </c>
    </row>
    <row r="17738">
      <c r="B17738" s="31"/>
      <c r="G17738" s="272" t="s">
        <v>1099</v>
      </c>
    </row>
    <row r="17739">
      <c r="B17739" s="31"/>
      <c r="G17739" s="272" t="s">
        <v>1099</v>
      </c>
    </row>
    <row r="17740">
      <c r="B17740" s="31"/>
      <c r="G17740" s="272" t="s">
        <v>1099</v>
      </c>
    </row>
    <row r="17741">
      <c r="B17741" s="31"/>
      <c r="G17741" s="272" t="s">
        <v>1099</v>
      </c>
    </row>
    <row r="17742">
      <c r="B17742" s="31"/>
      <c r="G17742" s="272" t="s">
        <v>1099</v>
      </c>
    </row>
    <row r="17743">
      <c r="B17743" s="31"/>
      <c r="G17743" s="272" t="s">
        <v>1099</v>
      </c>
    </row>
    <row r="17744">
      <c r="B17744" s="31"/>
      <c r="G17744" s="272" t="s">
        <v>1099</v>
      </c>
    </row>
    <row r="17745">
      <c r="B17745" s="31"/>
      <c r="G17745" s="272" t="s">
        <v>1099</v>
      </c>
    </row>
    <row r="17746">
      <c r="B17746" s="31"/>
      <c r="G17746" s="272" t="s">
        <v>1099</v>
      </c>
    </row>
    <row r="17747">
      <c r="B17747" s="31"/>
      <c r="G17747" s="272" t="s">
        <v>1099</v>
      </c>
    </row>
    <row r="17748">
      <c r="B17748" s="31"/>
      <c r="G17748" s="272" t="s">
        <v>1099</v>
      </c>
    </row>
    <row r="17749">
      <c r="B17749" s="31"/>
      <c r="G17749" s="272" t="s">
        <v>1099</v>
      </c>
    </row>
    <row r="17750">
      <c r="B17750" s="31"/>
      <c r="G17750" s="272" t="s">
        <v>1099</v>
      </c>
    </row>
    <row r="17751">
      <c r="B17751" s="31"/>
      <c r="G17751" s="272" t="s">
        <v>1099</v>
      </c>
    </row>
    <row r="17752">
      <c r="B17752" s="31"/>
      <c r="G17752" s="272" t="s">
        <v>1099</v>
      </c>
    </row>
    <row r="17753">
      <c r="B17753" s="31"/>
      <c r="G17753" s="272" t="s">
        <v>1099</v>
      </c>
    </row>
    <row r="17754">
      <c r="B17754" s="31"/>
      <c r="G17754" s="272" t="s">
        <v>1099</v>
      </c>
    </row>
    <row r="17755">
      <c r="B17755" s="31"/>
      <c r="G17755" s="272" t="s">
        <v>1099</v>
      </c>
    </row>
    <row r="17756">
      <c r="B17756" s="31"/>
      <c r="G17756" s="272" t="s">
        <v>1099</v>
      </c>
    </row>
    <row r="17757">
      <c r="B17757" s="31"/>
      <c r="G17757" s="272" t="s">
        <v>1099</v>
      </c>
    </row>
    <row r="17758">
      <c r="B17758" s="31"/>
      <c r="G17758" s="272" t="s">
        <v>1099</v>
      </c>
    </row>
    <row r="17759">
      <c r="B17759" s="31"/>
      <c r="G17759" s="272" t="s">
        <v>1099</v>
      </c>
    </row>
    <row r="17760">
      <c r="B17760" s="31"/>
      <c r="G17760" s="272" t="s">
        <v>1099</v>
      </c>
    </row>
    <row r="17761">
      <c r="B17761" s="31"/>
      <c r="G17761" s="272" t="s">
        <v>1099</v>
      </c>
    </row>
    <row r="17762">
      <c r="B17762" s="31"/>
      <c r="G17762" s="272" t="s">
        <v>1099</v>
      </c>
    </row>
    <row r="17763">
      <c r="B17763" s="31"/>
      <c r="G17763" s="272" t="s">
        <v>1099</v>
      </c>
    </row>
    <row r="17764">
      <c r="B17764" s="31"/>
      <c r="G17764" s="272" t="s">
        <v>1099</v>
      </c>
    </row>
    <row r="17765">
      <c r="B17765" s="31"/>
      <c r="G17765" s="272" t="s">
        <v>1099</v>
      </c>
    </row>
    <row r="17766">
      <c r="B17766" s="31"/>
      <c r="G17766" s="272" t="s">
        <v>1099</v>
      </c>
    </row>
    <row r="17767">
      <c r="B17767" s="31"/>
      <c r="G17767" s="272" t="s">
        <v>1099</v>
      </c>
    </row>
    <row r="17768">
      <c r="B17768" s="31"/>
      <c r="G17768" s="272" t="s">
        <v>1099</v>
      </c>
    </row>
    <row r="17769">
      <c r="B17769" s="31"/>
      <c r="G17769" s="272" t="s">
        <v>1099</v>
      </c>
    </row>
    <row r="17770">
      <c r="B17770" s="31"/>
      <c r="G17770" s="272" t="s">
        <v>1099</v>
      </c>
    </row>
    <row r="17771">
      <c r="B17771" s="31"/>
      <c r="G17771" s="272" t="s">
        <v>1099</v>
      </c>
    </row>
    <row r="17772">
      <c r="B17772" s="31"/>
      <c r="G17772" s="272" t="s">
        <v>1099</v>
      </c>
    </row>
    <row r="17773">
      <c r="B17773" s="31"/>
      <c r="G17773" s="272" t="s">
        <v>1099</v>
      </c>
    </row>
    <row r="17774">
      <c r="B17774" s="31"/>
      <c r="G17774" s="272" t="s">
        <v>1099</v>
      </c>
    </row>
    <row r="17775">
      <c r="B17775" s="31"/>
      <c r="G17775" s="272" t="s">
        <v>1099</v>
      </c>
    </row>
    <row r="17776">
      <c r="B17776" s="31"/>
      <c r="G17776" s="272" t="s">
        <v>1099</v>
      </c>
    </row>
    <row r="17777">
      <c r="B17777" s="31"/>
      <c r="G17777" s="272" t="s">
        <v>1099</v>
      </c>
    </row>
    <row r="17778">
      <c r="B17778" s="31"/>
      <c r="G17778" s="272" t="s">
        <v>1099</v>
      </c>
    </row>
    <row r="17779">
      <c r="B17779" s="31"/>
      <c r="G17779" s="272" t="s">
        <v>1099</v>
      </c>
    </row>
    <row r="17780">
      <c r="B17780" s="31"/>
      <c r="G17780" s="272" t="s">
        <v>1099</v>
      </c>
    </row>
    <row r="17781">
      <c r="B17781" s="31"/>
      <c r="G17781" s="272" t="s">
        <v>1099</v>
      </c>
    </row>
    <row r="17782">
      <c r="B17782" s="31"/>
      <c r="G17782" s="272" t="s">
        <v>1099</v>
      </c>
    </row>
    <row r="17783">
      <c r="B17783" s="31"/>
      <c r="G17783" s="272" t="s">
        <v>1099</v>
      </c>
    </row>
    <row r="17784">
      <c r="B17784" s="31"/>
      <c r="G17784" s="272" t="s">
        <v>1099</v>
      </c>
    </row>
    <row r="17785">
      <c r="B17785" s="31"/>
      <c r="G17785" s="272" t="s">
        <v>1099</v>
      </c>
    </row>
    <row r="17786">
      <c r="B17786" s="31"/>
      <c r="G17786" s="272" t="s">
        <v>1099</v>
      </c>
    </row>
    <row r="17787">
      <c r="B17787" s="31"/>
      <c r="G17787" s="272" t="s">
        <v>1099</v>
      </c>
    </row>
    <row r="17788">
      <c r="B17788" s="31"/>
      <c r="G17788" s="272" t="s">
        <v>1099</v>
      </c>
    </row>
    <row r="17789">
      <c r="B17789" s="31"/>
      <c r="G17789" s="272" t="s">
        <v>1099</v>
      </c>
    </row>
    <row r="17790">
      <c r="B17790" s="31"/>
      <c r="G17790" s="272" t="s">
        <v>1099</v>
      </c>
    </row>
    <row r="17791">
      <c r="B17791" s="31"/>
      <c r="G17791" s="272" t="s">
        <v>1099</v>
      </c>
    </row>
    <row r="17792">
      <c r="B17792" s="31"/>
      <c r="G17792" s="272" t="s">
        <v>1099</v>
      </c>
    </row>
    <row r="17793">
      <c r="B17793" s="31"/>
      <c r="G17793" s="272" t="s">
        <v>1099</v>
      </c>
    </row>
    <row r="17794">
      <c r="B17794" s="31"/>
      <c r="G17794" s="272" t="s">
        <v>1099</v>
      </c>
    </row>
    <row r="17795">
      <c r="B17795" s="31"/>
      <c r="G17795" s="272" t="s">
        <v>1099</v>
      </c>
    </row>
    <row r="17796">
      <c r="B17796" s="31"/>
      <c r="G17796" s="272" t="s">
        <v>1099</v>
      </c>
    </row>
    <row r="17797">
      <c r="B17797" s="31"/>
      <c r="G17797" s="272" t="s">
        <v>1099</v>
      </c>
    </row>
    <row r="17798">
      <c r="B17798" s="31"/>
      <c r="G17798" s="272" t="s">
        <v>1099</v>
      </c>
    </row>
    <row r="17799">
      <c r="B17799" s="31"/>
      <c r="G17799" s="272" t="s">
        <v>1099</v>
      </c>
    </row>
    <row r="17800">
      <c r="B17800" s="31"/>
      <c r="G17800" s="272" t="s">
        <v>1099</v>
      </c>
    </row>
    <row r="17801">
      <c r="B17801" s="31"/>
      <c r="G17801" s="272" t="s">
        <v>1099</v>
      </c>
    </row>
    <row r="17802">
      <c r="B17802" s="31"/>
      <c r="G17802" s="272" t="s">
        <v>1099</v>
      </c>
    </row>
    <row r="17803">
      <c r="B17803" s="31"/>
      <c r="G17803" s="272" t="s">
        <v>1099</v>
      </c>
    </row>
    <row r="17804">
      <c r="B17804" s="31"/>
      <c r="G17804" s="272" t="s">
        <v>1099</v>
      </c>
    </row>
    <row r="17805">
      <c r="B17805" s="31"/>
      <c r="G17805" s="272" t="s">
        <v>1099</v>
      </c>
    </row>
    <row r="17806">
      <c r="B17806" s="31"/>
      <c r="G17806" s="272" t="s">
        <v>1099</v>
      </c>
    </row>
    <row r="17807">
      <c r="B17807" s="31"/>
      <c r="G17807" s="272" t="s">
        <v>1099</v>
      </c>
    </row>
    <row r="17808">
      <c r="B17808" s="31"/>
      <c r="G17808" s="272" t="s">
        <v>1099</v>
      </c>
    </row>
    <row r="17809">
      <c r="B17809" s="31"/>
      <c r="G17809" s="272" t="s">
        <v>1099</v>
      </c>
    </row>
    <row r="17810">
      <c r="B17810" s="31"/>
      <c r="G17810" s="272" t="s">
        <v>1099</v>
      </c>
    </row>
    <row r="17811">
      <c r="B17811" s="31"/>
      <c r="G17811" s="272" t="s">
        <v>1099</v>
      </c>
    </row>
    <row r="17812">
      <c r="B17812" s="31"/>
      <c r="G17812" s="272" t="s">
        <v>1099</v>
      </c>
    </row>
    <row r="17813">
      <c r="B17813" s="31"/>
      <c r="G17813" s="272" t="s">
        <v>1099</v>
      </c>
    </row>
    <row r="17814">
      <c r="B17814" s="31"/>
      <c r="G17814" s="272" t="s">
        <v>1099</v>
      </c>
    </row>
    <row r="17815">
      <c r="B17815" s="31"/>
      <c r="G17815" s="272" t="s">
        <v>1099</v>
      </c>
    </row>
    <row r="17816">
      <c r="B17816" s="31"/>
      <c r="G17816" s="272" t="s">
        <v>1099</v>
      </c>
    </row>
    <row r="17817">
      <c r="B17817" s="31"/>
      <c r="G17817" s="272" t="s">
        <v>1099</v>
      </c>
    </row>
    <row r="17818">
      <c r="B17818" s="31"/>
      <c r="G17818" s="272" t="s">
        <v>1099</v>
      </c>
    </row>
    <row r="17819">
      <c r="B17819" s="31"/>
      <c r="G17819" s="272" t="s">
        <v>1099</v>
      </c>
    </row>
    <row r="17820">
      <c r="B17820" s="31"/>
      <c r="G17820" s="272" t="s">
        <v>1099</v>
      </c>
    </row>
    <row r="17821">
      <c r="B17821" s="31"/>
      <c r="G17821" s="272" t="s">
        <v>1099</v>
      </c>
    </row>
    <row r="17822">
      <c r="B17822" s="31"/>
      <c r="G17822" s="272" t="s">
        <v>1099</v>
      </c>
    </row>
    <row r="17823">
      <c r="B17823" s="31"/>
      <c r="G17823" s="272" t="s">
        <v>1099</v>
      </c>
    </row>
    <row r="17824">
      <c r="B17824" s="31"/>
      <c r="G17824" s="272" t="s">
        <v>1099</v>
      </c>
    </row>
    <row r="17825">
      <c r="B17825" s="31"/>
      <c r="G17825" s="272" t="s">
        <v>1099</v>
      </c>
    </row>
    <row r="17826">
      <c r="B17826" s="31"/>
      <c r="G17826" s="272" t="s">
        <v>1099</v>
      </c>
    </row>
    <row r="17827">
      <c r="B17827" s="31"/>
      <c r="G17827" s="272" t="s">
        <v>1099</v>
      </c>
    </row>
    <row r="17828">
      <c r="B17828" s="31"/>
      <c r="G17828" s="272" t="s">
        <v>1099</v>
      </c>
    </row>
    <row r="17829">
      <c r="B17829" s="31"/>
      <c r="G17829" s="272" t="s">
        <v>1099</v>
      </c>
    </row>
    <row r="17830">
      <c r="B17830" s="31"/>
      <c r="G17830" s="272" t="s">
        <v>1099</v>
      </c>
    </row>
    <row r="17831">
      <c r="B17831" s="31"/>
      <c r="G17831" s="272" t="s">
        <v>1099</v>
      </c>
    </row>
    <row r="17832">
      <c r="B17832" s="31"/>
      <c r="G17832" s="272" t="s">
        <v>1099</v>
      </c>
    </row>
    <row r="17833">
      <c r="B17833" s="31"/>
      <c r="G17833" s="272" t="s">
        <v>1099</v>
      </c>
    </row>
    <row r="17834">
      <c r="B17834" s="31"/>
      <c r="G17834" s="272" t="s">
        <v>1099</v>
      </c>
    </row>
    <row r="17835">
      <c r="B17835" s="31"/>
      <c r="G17835" s="272" t="s">
        <v>1099</v>
      </c>
    </row>
    <row r="17836">
      <c r="B17836" s="31"/>
      <c r="G17836" s="272" t="s">
        <v>1099</v>
      </c>
    </row>
    <row r="17837">
      <c r="B17837" s="31"/>
      <c r="G17837" s="272" t="s">
        <v>1099</v>
      </c>
    </row>
    <row r="17838">
      <c r="B17838" s="31"/>
      <c r="G17838" s="272" t="s">
        <v>1099</v>
      </c>
    </row>
    <row r="17839">
      <c r="B17839" s="31"/>
      <c r="G17839" s="272" t="s">
        <v>1099</v>
      </c>
    </row>
    <row r="17840">
      <c r="B17840" s="31"/>
      <c r="G17840" s="272" t="s">
        <v>1099</v>
      </c>
    </row>
    <row r="17841">
      <c r="B17841" s="31"/>
      <c r="G17841" s="272" t="s">
        <v>1099</v>
      </c>
    </row>
    <row r="17842">
      <c r="B17842" s="31"/>
      <c r="G17842" s="272" t="s">
        <v>1099</v>
      </c>
    </row>
    <row r="17843">
      <c r="B17843" s="31"/>
      <c r="G17843" s="272" t="s">
        <v>1099</v>
      </c>
    </row>
    <row r="17844">
      <c r="B17844" s="31"/>
      <c r="G17844" s="272" t="s">
        <v>1099</v>
      </c>
    </row>
    <row r="17845">
      <c r="B17845" s="31"/>
      <c r="G17845" s="272" t="s">
        <v>1099</v>
      </c>
    </row>
    <row r="17846">
      <c r="B17846" s="31"/>
      <c r="G17846" s="272" t="s">
        <v>1099</v>
      </c>
    </row>
    <row r="17847">
      <c r="B17847" s="31"/>
      <c r="G17847" s="272" t="s">
        <v>1099</v>
      </c>
    </row>
    <row r="17848">
      <c r="B17848" s="31"/>
      <c r="G17848" s="272" t="s">
        <v>1099</v>
      </c>
    </row>
    <row r="17849">
      <c r="B17849" s="31"/>
      <c r="G17849" s="272" t="s">
        <v>1099</v>
      </c>
    </row>
    <row r="17850">
      <c r="B17850" s="31"/>
      <c r="G17850" s="272" t="s">
        <v>1099</v>
      </c>
    </row>
    <row r="17851">
      <c r="B17851" s="31"/>
      <c r="G17851" s="272" t="s">
        <v>1099</v>
      </c>
    </row>
    <row r="17852">
      <c r="B17852" s="31"/>
      <c r="G17852" s="272" t="s">
        <v>1099</v>
      </c>
    </row>
    <row r="17853">
      <c r="B17853" s="31"/>
      <c r="G17853" s="272" t="s">
        <v>1099</v>
      </c>
    </row>
    <row r="17854">
      <c r="B17854" s="31"/>
      <c r="G17854" s="272" t="s">
        <v>1099</v>
      </c>
    </row>
    <row r="17855">
      <c r="B17855" s="31"/>
      <c r="G17855" s="272" t="s">
        <v>1099</v>
      </c>
    </row>
    <row r="17856">
      <c r="B17856" s="31"/>
      <c r="G17856" s="272" t="s">
        <v>1099</v>
      </c>
    </row>
    <row r="17857">
      <c r="B17857" s="31"/>
      <c r="G17857" s="272" t="s">
        <v>1099</v>
      </c>
    </row>
    <row r="17858">
      <c r="B17858" s="31"/>
      <c r="G17858" s="272" t="s">
        <v>1099</v>
      </c>
    </row>
    <row r="17859">
      <c r="B17859" s="31"/>
      <c r="G17859" s="272" t="s">
        <v>1099</v>
      </c>
    </row>
    <row r="17860">
      <c r="B17860" s="31"/>
      <c r="G17860" s="272" t="s">
        <v>1099</v>
      </c>
    </row>
    <row r="17861">
      <c r="B17861" s="31"/>
      <c r="G17861" s="272" t="s">
        <v>1099</v>
      </c>
    </row>
    <row r="17862">
      <c r="B17862" s="31"/>
      <c r="G17862" s="272" t="s">
        <v>1099</v>
      </c>
    </row>
    <row r="17863">
      <c r="B17863" s="31"/>
      <c r="G17863" s="272" t="s">
        <v>1099</v>
      </c>
    </row>
    <row r="17864">
      <c r="B17864" s="31"/>
      <c r="G17864" s="272" t="s">
        <v>1099</v>
      </c>
    </row>
    <row r="17865">
      <c r="B17865" s="31"/>
      <c r="G17865" s="272" t="s">
        <v>1099</v>
      </c>
    </row>
    <row r="17866">
      <c r="B17866" s="31"/>
      <c r="G17866" s="272" t="s">
        <v>1099</v>
      </c>
    </row>
    <row r="17867">
      <c r="B17867" s="31"/>
      <c r="G17867" s="272" t="s">
        <v>1099</v>
      </c>
    </row>
    <row r="17868">
      <c r="B17868" s="31"/>
      <c r="G17868" s="272" t="s">
        <v>1099</v>
      </c>
    </row>
    <row r="17869">
      <c r="B17869" s="31"/>
      <c r="G17869" s="272" t="s">
        <v>1099</v>
      </c>
    </row>
    <row r="17870">
      <c r="B17870" s="31"/>
      <c r="G17870" s="272" t="s">
        <v>1099</v>
      </c>
    </row>
    <row r="17871">
      <c r="B17871" s="31"/>
      <c r="G17871" s="272" t="s">
        <v>1099</v>
      </c>
    </row>
    <row r="17872">
      <c r="B17872" s="31"/>
      <c r="G17872" s="272" t="s">
        <v>1099</v>
      </c>
    </row>
    <row r="17873">
      <c r="B17873" s="31"/>
      <c r="G17873" s="272" t="s">
        <v>1099</v>
      </c>
    </row>
    <row r="17874">
      <c r="B17874" s="31"/>
      <c r="G17874" s="272" t="s">
        <v>1099</v>
      </c>
    </row>
    <row r="17875">
      <c r="B17875" s="31"/>
      <c r="G17875" s="272" t="s">
        <v>1099</v>
      </c>
    </row>
    <row r="17876">
      <c r="B17876" s="31"/>
      <c r="G17876" s="272" t="s">
        <v>1099</v>
      </c>
    </row>
    <row r="17877">
      <c r="B17877" s="31"/>
      <c r="G17877" s="272" t="s">
        <v>1099</v>
      </c>
    </row>
    <row r="17878">
      <c r="B17878" s="31"/>
      <c r="G17878" s="272" t="s">
        <v>1099</v>
      </c>
    </row>
    <row r="17879">
      <c r="B17879" s="31"/>
      <c r="G17879" s="272" t="s">
        <v>1099</v>
      </c>
    </row>
    <row r="17880">
      <c r="B17880" s="31"/>
      <c r="G17880" s="272" t="s">
        <v>1099</v>
      </c>
    </row>
    <row r="17881">
      <c r="B17881" s="31"/>
      <c r="G17881" s="272" t="s">
        <v>1099</v>
      </c>
    </row>
    <row r="17882">
      <c r="B17882" s="31"/>
      <c r="G17882" s="272" t="s">
        <v>1099</v>
      </c>
    </row>
    <row r="17883">
      <c r="B17883" s="31"/>
      <c r="G17883" s="272" t="s">
        <v>1099</v>
      </c>
    </row>
    <row r="17884">
      <c r="B17884" s="31"/>
      <c r="G17884" s="272" t="s">
        <v>1099</v>
      </c>
    </row>
    <row r="17885">
      <c r="B17885" s="31"/>
      <c r="G17885" s="272" t="s">
        <v>1099</v>
      </c>
    </row>
    <row r="17886">
      <c r="B17886" s="31"/>
      <c r="G17886" s="272" t="s">
        <v>1099</v>
      </c>
    </row>
    <row r="17887">
      <c r="B17887" s="31"/>
      <c r="G17887" s="272" t="s">
        <v>1099</v>
      </c>
    </row>
    <row r="17888">
      <c r="B17888" s="31"/>
      <c r="G17888" s="272" t="s">
        <v>1099</v>
      </c>
    </row>
    <row r="17889">
      <c r="B17889" s="31"/>
      <c r="G17889" s="272" t="s">
        <v>1099</v>
      </c>
    </row>
    <row r="17890">
      <c r="B17890" s="31"/>
      <c r="G17890" s="272" t="s">
        <v>1099</v>
      </c>
    </row>
    <row r="17891">
      <c r="B17891" s="31"/>
      <c r="G17891" s="272" t="s">
        <v>1099</v>
      </c>
    </row>
    <row r="17892">
      <c r="B17892" s="31"/>
      <c r="G17892" s="272" t="s">
        <v>1099</v>
      </c>
    </row>
    <row r="17893">
      <c r="B17893" s="31"/>
      <c r="G17893" s="272" t="s">
        <v>1099</v>
      </c>
    </row>
    <row r="17894">
      <c r="B17894" s="31"/>
      <c r="G17894" s="272" t="s">
        <v>1099</v>
      </c>
    </row>
    <row r="17895">
      <c r="B17895" s="31"/>
      <c r="G17895" s="272" t="s">
        <v>1099</v>
      </c>
    </row>
    <row r="17896">
      <c r="B17896" s="31"/>
      <c r="G17896" s="272" t="s">
        <v>1099</v>
      </c>
    </row>
    <row r="17897">
      <c r="B17897" s="31"/>
      <c r="G17897" s="272" t="s">
        <v>1099</v>
      </c>
    </row>
    <row r="17898">
      <c r="B17898" s="31"/>
      <c r="G17898" s="272" t="s">
        <v>1099</v>
      </c>
    </row>
    <row r="17899">
      <c r="B17899" s="31"/>
      <c r="G17899" s="272" t="s">
        <v>1099</v>
      </c>
    </row>
    <row r="17900">
      <c r="B17900" s="31"/>
      <c r="G17900" s="272" t="s">
        <v>1099</v>
      </c>
    </row>
    <row r="17901">
      <c r="B17901" s="31"/>
      <c r="G17901" s="272" t="s">
        <v>1099</v>
      </c>
    </row>
    <row r="17902">
      <c r="B17902" s="31"/>
      <c r="G17902" s="272" t="s">
        <v>1099</v>
      </c>
    </row>
    <row r="17903">
      <c r="B17903" s="31"/>
      <c r="G17903" s="272" t="s">
        <v>1099</v>
      </c>
    </row>
    <row r="17904">
      <c r="B17904" s="31"/>
      <c r="G17904" s="272" t="s">
        <v>1099</v>
      </c>
    </row>
    <row r="17905">
      <c r="B17905" s="31"/>
      <c r="G17905" s="272" t="s">
        <v>1099</v>
      </c>
    </row>
    <row r="17906">
      <c r="B17906" s="31"/>
      <c r="G17906" s="272" t="s">
        <v>1099</v>
      </c>
    </row>
    <row r="17907">
      <c r="B17907" s="31"/>
      <c r="G17907" s="272" t="s">
        <v>1099</v>
      </c>
    </row>
    <row r="17908">
      <c r="B17908" s="31"/>
      <c r="G17908" s="272" t="s">
        <v>1099</v>
      </c>
    </row>
    <row r="17909">
      <c r="B17909" s="31"/>
      <c r="G17909" s="272" t="s">
        <v>1099</v>
      </c>
    </row>
    <row r="17910">
      <c r="B17910" s="31"/>
      <c r="G17910" s="272" t="s">
        <v>1099</v>
      </c>
    </row>
    <row r="17911">
      <c r="B17911" s="31"/>
      <c r="G17911" s="272" t="s">
        <v>1099</v>
      </c>
    </row>
    <row r="17912">
      <c r="B17912" s="31"/>
      <c r="G17912" s="272" t="s">
        <v>1099</v>
      </c>
    </row>
    <row r="17913">
      <c r="B17913" s="31"/>
      <c r="G17913" s="272" t="s">
        <v>1099</v>
      </c>
    </row>
    <row r="17914">
      <c r="B17914" s="31"/>
      <c r="G17914" s="272" t="s">
        <v>1099</v>
      </c>
    </row>
    <row r="17915">
      <c r="B17915" s="31"/>
      <c r="G17915" s="272" t="s">
        <v>1099</v>
      </c>
    </row>
    <row r="17916">
      <c r="B17916" s="31"/>
      <c r="G17916" s="272" t="s">
        <v>1099</v>
      </c>
    </row>
    <row r="17917">
      <c r="B17917" s="31"/>
      <c r="G17917" s="272" t="s">
        <v>1099</v>
      </c>
    </row>
    <row r="17918">
      <c r="B17918" s="31"/>
      <c r="G17918" s="272" t="s">
        <v>1099</v>
      </c>
    </row>
    <row r="17919">
      <c r="B17919" s="31"/>
      <c r="G17919" s="272" t="s">
        <v>1099</v>
      </c>
    </row>
    <row r="17920">
      <c r="B17920" s="31"/>
      <c r="G17920" s="272" t="s">
        <v>1099</v>
      </c>
    </row>
    <row r="17921">
      <c r="B17921" s="31"/>
      <c r="G17921" s="272" t="s">
        <v>1099</v>
      </c>
    </row>
    <row r="17922">
      <c r="B17922" s="31"/>
      <c r="G17922" s="272" t="s">
        <v>1099</v>
      </c>
    </row>
    <row r="17923">
      <c r="B17923" s="31"/>
      <c r="G17923" s="272" t="s">
        <v>1099</v>
      </c>
    </row>
    <row r="17924">
      <c r="B17924" s="31"/>
      <c r="G17924" s="272" t="s">
        <v>1099</v>
      </c>
    </row>
    <row r="17925">
      <c r="B17925" s="31"/>
      <c r="G17925" s="272" t="s">
        <v>1099</v>
      </c>
    </row>
    <row r="17926">
      <c r="B17926" s="31"/>
      <c r="G17926" s="272" t="s">
        <v>1099</v>
      </c>
    </row>
    <row r="17927">
      <c r="B17927" s="31"/>
      <c r="G17927" s="272" t="s">
        <v>1099</v>
      </c>
    </row>
    <row r="17928">
      <c r="B17928" s="31"/>
      <c r="G17928" s="272" t="s">
        <v>1099</v>
      </c>
    </row>
    <row r="17929">
      <c r="B17929" s="31"/>
      <c r="G17929" s="272" t="s">
        <v>1099</v>
      </c>
    </row>
    <row r="17930">
      <c r="B17930" s="31"/>
      <c r="G17930" s="272" t="s">
        <v>1099</v>
      </c>
    </row>
    <row r="17931">
      <c r="B17931" s="31"/>
      <c r="G17931" s="272" t="s">
        <v>1099</v>
      </c>
    </row>
    <row r="17932">
      <c r="B17932" s="31"/>
      <c r="G17932" s="272" t="s">
        <v>1099</v>
      </c>
    </row>
    <row r="17933">
      <c r="B17933" s="31"/>
      <c r="G17933" s="272" t="s">
        <v>1099</v>
      </c>
    </row>
    <row r="17934">
      <c r="B17934" s="31"/>
      <c r="G17934" s="272" t="s">
        <v>1099</v>
      </c>
    </row>
    <row r="17935">
      <c r="B17935" s="31"/>
      <c r="G17935" s="272" t="s">
        <v>1099</v>
      </c>
    </row>
    <row r="17936">
      <c r="B17936" s="31"/>
      <c r="G17936" s="272" t="s">
        <v>1099</v>
      </c>
    </row>
    <row r="17937">
      <c r="B17937" s="31"/>
      <c r="G17937" s="272" t="s">
        <v>1099</v>
      </c>
    </row>
    <row r="17938">
      <c r="B17938" s="31"/>
      <c r="G17938" s="272" t="s">
        <v>1099</v>
      </c>
    </row>
    <row r="17939">
      <c r="B17939" s="31"/>
      <c r="G17939" s="272" t="s">
        <v>1099</v>
      </c>
    </row>
    <row r="17940">
      <c r="B17940" s="31"/>
      <c r="G17940" s="272" t="s">
        <v>1099</v>
      </c>
    </row>
    <row r="17941">
      <c r="B17941" s="31"/>
      <c r="G17941" s="272" t="s">
        <v>1099</v>
      </c>
    </row>
    <row r="17942">
      <c r="B17942" s="31"/>
      <c r="G17942" s="272" t="s">
        <v>1099</v>
      </c>
    </row>
    <row r="17943">
      <c r="B17943" s="31"/>
      <c r="G17943" s="272" t="s">
        <v>1099</v>
      </c>
    </row>
    <row r="17944">
      <c r="B17944" s="31"/>
      <c r="G17944" s="272" t="s">
        <v>1099</v>
      </c>
    </row>
    <row r="17945">
      <c r="B17945" s="31"/>
      <c r="G17945" s="272" t="s">
        <v>1099</v>
      </c>
    </row>
    <row r="17946">
      <c r="B17946" s="31"/>
      <c r="G17946" s="272" t="s">
        <v>1099</v>
      </c>
    </row>
    <row r="17947">
      <c r="B17947" s="31"/>
      <c r="G17947" s="272" t="s">
        <v>1099</v>
      </c>
    </row>
    <row r="17948">
      <c r="B17948" s="31"/>
      <c r="G17948" s="272" t="s">
        <v>1099</v>
      </c>
    </row>
    <row r="17949">
      <c r="B17949" s="31"/>
      <c r="G17949" s="272" t="s">
        <v>1099</v>
      </c>
    </row>
    <row r="17950">
      <c r="B17950" s="31"/>
      <c r="G17950" s="272" t="s">
        <v>1099</v>
      </c>
    </row>
    <row r="17951">
      <c r="B17951" s="31"/>
      <c r="G17951" s="272" t="s">
        <v>1099</v>
      </c>
    </row>
    <row r="17952">
      <c r="B17952" s="31"/>
      <c r="G17952" s="272" t="s">
        <v>1099</v>
      </c>
    </row>
    <row r="17953">
      <c r="B17953" s="31"/>
      <c r="G17953" s="272" t="s">
        <v>1099</v>
      </c>
    </row>
    <row r="17954">
      <c r="B17954" s="31"/>
      <c r="G17954" s="272" t="s">
        <v>1099</v>
      </c>
    </row>
    <row r="17955">
      <c r="B17955" s="31"/>
      <c r="G17955" s="272" t="s">
        <v>1099</v>
      </c>
    </row>
    <row r="17956">
      <c r="B17956" s="31"/>
      <c r="G17956" s="272" t="s">
        <v>1099</v>
      </c>
    </row>
    <row r="17957">
      <c r="B17957" s="31"/>
      <c r="G17957" s="272" t="s">
        <v>1099</v>
      </c>
    </row>
    <row r="17958">
      <c r="B17958" s="31"/>
      <c r="G17958" s="272" t="s">
        <v>1099</v>
      </c>
    </row>
    <row r="17959">
      <c r="B17959" s="31"/>
      <c r="G17959" s="272" t="s">
        <v>1099</v>
      </c>
    </row>
    <row r="17960">
      <c r="B17960" s="31"/>
      <c r="G17960" s="272" t="s">
        <v>1099</v>
      </c>
    </row>
    <row r="17961">
      <c r="B17961" s="31"/>
      <c r="G17961" s="272" t="s">
        <v>1099</v>
      </c>
    </row>
    <row r="17962">
      <c r="B17962" s="31"/>
      <c r="G17962" s="272" t="s">
        <v>1099</v>
      </c>
    </row>
    <row r="17963">
      <c r="B17963" s="31"/>
      <c r="G17963" s="272" t="s">
        <v>1099</v>
      </c>
    </row>
    <row r="17964">
      <c r="B17964" s="31"/>
      <c r="G17964" s="272" t="s">
        <v>1099</v>
      </c>
    </row>
    <row r="17965">
      <c r="B17965" s="31"/>
      <c r="G17965" s="272" t="s">
        <v>1099</v>
      </c>
    </row>
    <row r="17966">
      <c r="B17966" s="31"/>
      <c r="G17966" s="272" t="s">
        <v>1099</v>
      </c>
    </row>
    <row r="17967">
      <c r="B17967" s="31"/>
      <c r="G17967" s="272" t="s">
        <v>1099</v>
      </c>
    </row>
    <row r="17968">
      <c r="B17968" s="31"/>
      <c r="G17968" s="272" t="s">
        <v>1099</v>
      </c>
    </row>
    <row r="17969">
      <c r="B17969" s="31"/>
      <c r="G17969" s="272" t="s">
        <v>1099</v>
      </c>
    </row>
    <row r="17970">
      <c r="B17970" s="31"/>
      <c r="G17970" s="272" t="s">
        <v>1099</v>
      </c>
    </row>
    <row r="17971">
      <c r="B17971" s="31"/>
      <c r="G17971" s="272" t="s">
        <v>1099</v>
      </c>
    </row>
    <row r="17972">
      <c r="B17972" s="31"/>
      <c r="G17972" s="272" t="s">
        <v>1099</v>
      </c>
    </row>
    <row r="17973">
      <c r="B17973" s="31"/>
      <c r="G17973" s="272" t="s">
        <v>1099</v>
      </c>
    </row>
    <row r="17974">
      <c r="B17974" s="31"/>
      <c r="G17974" s="272" t="s">
        <v>1099</v>
      </c>
    </row>
    <row r="17975">
      <c r="B17975" s="31"/>
      <c r="G17975" s="272" t="s">
        <v>1099</v>
      </c>
    </row>
    <row r="17976">
      <c r="B17976" s="31"/>
      <c r="G17976" s="272" t="s">
        <v>1099</v>
      </c>
    </row>
    <row r="17977">
      <c r="B17977" s="31"/>
      <c r="G17977" s="272" t="s">
        <v>1099</v>
      </c>
    </row>
    <row r="17978">
      <c r="B17978" s="31"/>
      <c r="G17978" s="272" t="s">
        <v>1099</v>
      </c>
    </row>
    <row r="17979">
      <c r="B17979" s="31"/>
      <c r="G17979" s="272" t="s">
        <v>1099</v>
      </c>
    </row>
    <row r="17980">
      <c r="B17980" s="31"/>
      <c r="G17980" s="272" t="s">
        <v>1099</v>
      </c>
    </row>
    <row r="17981">
      <c r="B17981" s="31"/>
      <c r="G17981" s="272" t="s">
        <v>1099</v>
      </c>
    </row>
    <row r="17982">
      <c r="B17982" s="31"/>
      <c r="G17982" s="272" t="s">
        <v>1099</v>
      </c>
    </row>
    <row r="17983">
      <c r="B17983" s="31"/>
      <c r="G17983" s="272" t="s">
        <v>1099</v>
      </c>
    </row>
    <row r="17984">
      <c r="B17984" s="31"/>
      <c r="G17984" s="272" t="s">
        <v>1099</v>
      </c>
    </row>
    <row r="17985">
      <c r="B17985" s="31"/>
      <c r="G17985" s="272" t="s">
        <v>1099</v>
      </c>
    </row>
    <row r="17986">
      <c r="B17986" s="31"/>
      <c r="G17986" s="272" t="s">
        <v>1099</v>
      </c>
    </row>
    <row r="17987">
      <c r="B17987" s="31"/>
      <c r="G17987" s="272" t="s">
        <v>1099</v>
      </c>
    </row>
    <row r="17988">
      <c r="B17988" s="31"/>
      <c r="G17988" s="272" t="s">
        <v>1099</v>
      </c>
    </row>
    <row r="17989">
      <c r="B17989" s="31"/>
      <c r="G17989" s="272" t="s">
        <v>1099</v>
      </c>
    </row>
    <row r="17990">
      <c r="B17990" s="31"/>
      <c r="G17990" s="272" t="s">
        <v>1099</v>
      </c>
    </row>
    <row r="17991">
      <c r="B17991" s="31"/>
      <c r="G17991" s="272" t="s">
        <v>1099</v>
      </c>
    </row>
    <row r="17992">
      <c r="B17992" s="31"/>
      <c r="G17992" s="272" t="s">
        <v>1099</v>
      </c>
    </row>
    <row r="17993">
      <c r="B17993" s="31"/>
      <c r="G17993" s="272" t="s">
        <v>1099</v>
      </c>
    </row>
    <row r="17994">
      <c r="B17994" s="31"/>
      <c r="G17994" s="272" t="s">
        <v>1099</v>
      </c>
    </row>
    <row r="17995">
      <c r="B17995" s="31"/>
      <c r="G17995" s="272" t="s">
        <v>1099</v>
      </c>
    </row>
    <row r="17996">
      <c r="B17996" s="31"/>
      <c r="G17996" s="272" t="s">
        <v>1099</v>
      </c>
    </row>
    <row r="17997">
      <c r="B17997" s="31"/>
      <c r="G17997" s="272" t="s">
        <v>1099</v>
      </c>
    </row>
    <row r="17998">
      <c r="B17998" s="31"/>
      <c r="G17998" s="272" t="s">
        <v>1099</v>
      </c>
    </row>
    <row r="17999">
      <c r="B17999" s="31"/>
      <c r="G17999" s="272" t="s">
        <v>1099</v>
      </c>
    </row>
    <row r="18000">
      <c r="B18000" s="31"/>
      <c r="G18000" s="272" t="s">
        <v>1099</v>
      </c>
    </row>
    <row r="18001">
      <c r="B18001" s="31"/>
      <c r="G18001" s="272" t="s">
        <v>1099</v>
      </c>
    </row>
    <row r="18002">
      <c r="B18002" s="31"/>
      <c r="G18002" s="272" t="s">
        <v>1099</v>
      </c>
    </row>
    <row r="18003">
      <c r="B18003" s="31"/>
      <c r="G18003" s="272" t="s">
        <v>1099</v>
      </c>
    </row>
    <row r="18004">
      <c r="B18004" s="31"/>
      <c r="G18004" s="272" t="s">
        <v>1099</v>
      </c>
    </row>
    <row r="18005">
      <c r="B18005" s="31"/>
      <c r="G18005" s="272" t="s">
        <v>1099</v>
      </c>
    </row>
    <row r="18006">
      <c r="B18006" s="31"/>
      <c r="G18006" s="272" t="s">
        <v>1099</v>
      </c>
    </row>
    <row r="18007">
      <c r="B18007" s="31"/>
      <c r="G18007" s="272" t="s">
        <v>1099</v>
      </c>
    </row>
    <row r="18008">
      <c r="B18008" s="31"/>
      <c r="G18008" s="272" t="s">
        <v>1099</v>
      </c>
    </row>
    <row r="18009">
      <c r="B18009" s="31"/>
      <c r="G18009" s="272" t="s">
        <v>1099</v>
      </c>
    </row>
    <row r="18010">
      <c r="B18010" s="31"/>
      <c r="G18010" s="272" t="s">
        <v>1099</v>
      </c>
    </row>
    <row r="18011">
      <c r="B18011" s="31"/>
      <c r="G18011" s="272" t="s">
        <v>1099</v>
      </c>
    </row>
    <row r="18012">
      <c r="B18012" s="31"/>
      <c r="G18012" s="272" t="s">
        <v>1099</v>
      </c>
    </row>
    <row r="18013">
      <c r="B18013" s="31"/>
      <c r="G18013" s="272" t="s">
        <v>1099</v>
      </c>
    </row>
    <row r="18014">
      <c r="B18014" s="31"/>
      <c r="G18014" s="272" t="s">
        <v>1099</v>
      </c>
    </row>
    <row r="18015">
      <c r="B18015" s="31"/>
      <c r="G18015" s="272" t="s">
        <v>1099</v>
      </c>
    </row>
    <row r="18016">
      <c r="B18016" s="31"/>
      <c r="G18016" s="272" t="s">
        <v>1099</v>
      </c>
    </row>
    <row r="18017">
      <c r="B18017" s="31"/>
      <c r="G18017" s="272" t="s">
        <v>1099</v>
      </c>
    </row>
    <row r="18018">
      <c r="B18018" s="31"/>
      <c r="G18018" s="272" t="s">
        <v>1099</v>
      </c>
    </row>
    <row r="18019">
      <c r="B18019" s="31"/>
      <c r="G18019" s="272" t="s">
        <v>1099</v>
      </c>
    </row>
    <row r="18020">
      <c r="B18020" s="31"/>
      <c r="G18020" s="272" t="s">
        <v>1099</v>
      </c>
    </row>
    <row r="18021">
      <c r="B18021" s="31"/>
      <c r="G18021" s="272" t="s">
        <v>1099</v>
      </c>
    </row>
    <row r="18022">
      <c r="B18022" s="31"/>
      <c r="G18022" s="272" t="s">
        <v>1099</v>
      </c>
    </row>
    <row r="18023">
      <c r="B18023" s="31"/>
      <c r="G18023" s="272" t="s">
        <v>1099</v>
      </c>
    </row>
    <row r="18024">
      <c r="B18024" s="31"/>
      <c r="G18024" s="272" t="s">
        <v>1099</v>
      </c>
    </row>
    <row r="18025">
      <c r="B18025" s="31"/>
      <c r="G18025" s="272" t="s">
        <v>1099</v>
      </c>
    </row>
    <row r="18026">
      <c r="B18026" s="31"/>
      <c r="G18026" s="272" t="s">
        <v>1099</v>
      </c>
    </row>
    <row r="18027">
      <c r="B18027" s="31"/>
      <c r="G18027" s="272" t="s">
        <v>1099</v>
      </c>
    </row>
    <row r="18028">
      <c r="B18028" s="31"/>
      <c r="G18028" s="272" t="s">
        <v>1099</v>
      </c>
    </row>
    <row r="18029">
      <c r="B18029" s="31"/>
      <c r="G18029" s="272" t="s">
        <v>1099</v>
      </c>
    </row>
    <row r="18030">
      <c r="B18030" s="31"/>
      <c r="G18030" s="272" t="s">
        <v>1099</v>
      </c>
    </row>
    <row r="18031">
      <c r="B18031" s="31"/>
      <c r="G18031" s="272" t="s">
        <v>1099</v>
      </c>
    </row>
    <row r="18032">
      <c r="B18032" s="31"/>
      <c r="G18032" s="272" t="s">
        <v>1099</v>
      </c>
    </row>
    <row r="18033">
      <c r="B18033" s="31"/>
      <c r="G18033" s="272" t="s">
        <v>1099</v>
      </c>
    </row>
    <row r="18034">
      <c r="B18034" s="31"/>
      <c r="G18034" s="272" t="s">
        <v>1099</v>
      </c>
    </row>
    <row r="18035">
      <c r="B18035" s="31"/>
      <c r="G18035" s="272" t="s">
        <v>1099</v>
      </c>
    </row>
    <row r="18036">
      <c r="B18036" s="31"/>
      <c r="G18036" s="272" t="s">
        <v>1099</v>
      </c>
    </row>
    <row r="18037">
      <c r="B18037" s="31"/>
      <c r="G18037" s="272" t="s">
        <v>1099</v>
      </c>
    </row>
    <row r="18038">
      <c r="B18038" s="31"/>
      <c r="G18038" s="272" t="s">
        <v>1099</v>
      </c>
    </row>
    <row r="18039">
      <c r="B18039" s="31"/>
      <c r="G18039" s="272" t="s">
        <v>1099</v>
      </c>
    </row>
    <row r="18040">
      <c r="B18040" s="31"/>
      <c r="G18040" s="272" t="s">
        <v>1099</v>
      </c>
    </row>
    <row r="18041">
      <c r="B18041" s="31"/>
      <c r="G18041" s="272" t="s">
        <v>1099</v>
      </c>
    </row>
    <row r="18042">
      <c r="B18042" s="31"/>
      <c r="G18042" s="272" t="s">
        <v>1099</v>
      </c>
    </row>
    <row r="18043">
      <c r="B18043" s="31"/>
      <c r="G18043" s="272" t="s">
        <v>1099</v>
      </c>
    </row>
    <row r="18044">
      <c r="B18044" s="31"/>
      <c r="G18044" s="272" t="s">
        <v>1099</v>
      </c>
    </row>
    <row r="18045">
      <c r="B18045" s="31"/>
      <c r="G18045" s="272" t="s">
        <v>1099</v>
      </c>
    </row>
    <row r="18046">
      <c r="B18046" s="31"/>
      <c r="G18046" s="272" t="s">
        <v>1099</v>
      </c>
    </row>
    <row r="18047">
      <c r="B18047" s="31"/>
      <c r="G18047" s="272" t="s">
        <v>1099</v>
      </c>
    </row>
    <row r="18048">
      <c r="B18048" s="31"/>
      <c r="G18048" s="272" t="s">
        <v>1099</v>
      </c>
    </row>
    <row r="18049">
      <c r="B18049" s="31"/>
      <c r="G18049" s="272" t="s">
        <v>1099</v>
      </c>
    </row>
    <row r="18050">
      <c r="B18050" s="31"/>
      <c r="G18050" s="272" t="s">
        <v>1099</v>
      </c>
    </row>
    <row r="18051">
      <c r="B18051" s="31"/>
      <c r="G18051" s="272" t="s">
        <v>1099</v>
      </c>
    </row>
    <row r="18052">
      <c r="B18052" s="31"/>
      <c r="G18052" s="272" t="s">
        <v>1099</v>
      </c>
    </row>
    <row r="18053">
      <c r="B18053" s="31"/>
      <c r="G18053" s="272" t="s">
        <v>1099</v>
      </c>
    </row>
    <row r="18054">
      <c r="B18054" s="31"/>
      <c r="G18054" s="272" t="s">
        <v>1099</v>
      </c>
    </row>
    <row r="18055">
      <c r="B18055" s="31"/>
      <c r="G18055" s="272" t="s">
        <v>1099</v>
      </c>
    </row>
    <row r="18056">
      <c r="B18056" s="31"/>
      <c r="G18056" s="272" t="s">
        <v>1099</v>
      </c>
    </row>
    <row r="18057">
      <c r="B18057" s="31"/>
      <c r="G18057" s="272" t="s">
        <v>1099</v>
      </c>
    </row>
    <row r="18058">
      <c r="B18058" s="31"/>
      <c r="G18058" s="272" t="s">
        <v>1099</v>
      </c>
    </row>
    <row r="18059">
      <c r="B18059" s="31"/>
      <c r="G18059" s="272" t="s">
        <v>1099</v>
      </c>
    </row>
    <row r="18060">
      <c r="B18060" s="31"/>
      <c r="G18060" s="272" t="s">
        <v>1099</v>
      </c>
    </row>
    <row r="18061">
      <c r="B18061" s="31"/>
      <c r="G18061" s="272" t="s">
        <v>1099</v>
      </c>
    </row>
    <row r="18062">
      <c r="B18062" s="31"/>
      <c r="G18062" s="272" t="s">
        <v>1099</v>
      </c>
    </row>
    <row r="18063">
      <c r="B18063" s="31"/>
      <c r="G18063" s="272" t="s">
        <v>1099</v>
      </c>
    </row>
    <row r="18064">
      <c r="B18064" s="31"/>
      <c r="G18064" s="272" t="s">
        <v>1099</v>
      </c>
    </row>
    <row r="18065">
      <c r="B18065" s="31"/>
      <c r="G18065" s="272" t="s">
        <v>1099</v>
      </c>
    </row>
    <row r="18066">
      <c r="B18066" s="31"/>
      <c r="G18066" s="272" t="s">
        <v>1099</v>
      </c>
    </row>
    <row r="18067">
      <c r="B18067" s="31"/>
      <c r="G18067" s="272" t="s">
        <v>1099</v>
      </c>
    </row>
    <row r="18068">
      <c r="B18068" s="31"/>
      <c r="G18068" s="272" t="s">
        <v>1099</v>
      </c>
    </row>
    <row r="18069">
      <c r="B18069" s="31"/>
      <c r="G18069" s="272" t="s">
        <v>1099</v>
      </c>
    </row>
    <row r="18070">
      <c r="B18070" s="31"/>
      <c r="G18070" s="272" t="s">
        <v>1099</v>
      </c>
    </row>
    <row r="18071">
      <c r="B18071" s="31"/>
      <c r="G18071" s="272" t="s">
        <v>1099</v>
      </c>
    </row>
    <row r="18072">
      <c r="B18072" s="31"/>
      <c r="G18072" s="272" t="s">
        <v>1099</v>
      </c>
    </row>
    <row r="18073">
      <c r="B18073" s="31"/>
      <c r="G18073" s="272" t="s">
        <v>1099</v>
      </c>
    </row>
    <row r="18074">
      <c r="B18074" s="31"/>
      <c r="G18074" s="272" t="s">
        <v>1099</v>
      </c>
    </row>
    <row r="18075">
      <c r="B18075" s="31"/>
      <c r="G18075" s="272" t="s">
        <v>1099</v>
      </c>
    </row>
    <row r="18076">
      <c r="B18076" s="31"/>
      <c r="G18076" s="272" t="s">
        <v>1099</v>
      </c>
    </row>
    <row r="18077">
      <c r="B18077" s="31"/>
      <c r="G18077" s="272" t="s">
        <v>1099</v>
      </c>
    </row>
    <row r="18078">
      <c r="B18078" s="31"/>
      <c r="G18078" s="272" t="s">
        <v>1099</v>
      </c>
    </row>
    <row r="18079">
      <c r="B18079" s="31"/>
      <c r="G18079" s="272" t="s">
        <v>1099</v>
      </c>
    </row>
    <row r="18080">
      <c r="B18080" s="31"/>
      <c r="G18080" s="272" t="s">
        <v>1099</v>
      </c>
    </row>
    <row r="18081">
      <c r="B18081" s="31"/>
      <c r="G18081" s="272" t="s">
        <v>1099</v>
      </c>
    </row>
    <row r="18082">
      <c r="B18082" s="31"/>
      <c r="G18082" s="272" t="s">
        <v>1099</v>
      </c>
    </row>
    <row r="18083">
      <c r="B18083" s="31"/>
      <c r="G18083" s="272" t="s">
        <v>1099</v>
      </c>
    </row>
    <row r="18084">
      <c r="B18084" s="31"/>
      <c r="G18084" s="272" t="s">
        <v>1099</v>
      </c>
    </row>
    <row r="18085">
      <c r="B18085" s="31"/>
      <c r="G18085" s="272" t="s">
        <v>1099</v>
      </c>
    </row>
    <row r="18086">
      <c r="B18086" s="31"/>
      <c r="G18086" s="272" t="s">
        <v>1099</v>
      </c>
    </row>
    <row r="18087">
      <c r="B18087" s="31"/>
      <c r="G18087" s="272" t="s">
        <v>1099</v>
      </c>
    </row>
    <row r="18088">
      <c r="B18088" s="31"/>
      <c r="G18088" s="272" t="s">
        <v>1099</v>
      </c>
    </row>
    <row r="18089">
      <c r="B18089" s="31"/>
      <c r="G18089" s="272" t="s">
        <v>1099</v>
      </c>
    </row>
    <row r="18090">
      <c r="B18090" s="31"/>
      <c r="G18090" s="272" t="s">
        <v>1099</v>
      </c>
    </row>
    <row r="18091">
      <c r="B18091" s="31"/>
      <c r="G18091" s="272" t="s">
        <v>1099</v>
      </c>
    </row>
    <row r="18092">
      <c r="B18092" s="31"/>
      <c r="G18092" s="272" t="s">
        <v>1099</v>
      </c>
    </row>
    <row r="18093">
      <c r="B18093" s="31"/>
      <c r="G18093" s="272" t="s">
        <v>1099</v>
      </c>
    </row>
    <row r="18094">
      <c r="B18094" s="31"/>
      <c r="G18094" s="272" t="s">
        <v>1099</v>
      </c>
    </row>
    <row r="18095">
      <c r="B18095" s="31"/>
      <c r="G18095" s="272" t="s">
        <v>1099</v>
      </c>
    </row>
    <row r="18096">
      <c r="B18096" s="31"/>
      <c r="G18096" s="272" t="s">
        <v>1099</v>
      </c>
    </row>
    <row r="18097">
      <c r="B18097" s="31"/>
      <c r="G18097" s="272" t="s">
        <v>1099</v>
      </c>
    </row>
    <row r="18098">
      <c r="B18098" s="31"/>
      <c r="G18098" s="272" t="s">
        <v>1099</v>
      </c>
    </row>
    <row r="18099">
      <c r="B18099" s="31"/>
      <c r="G18099" s="272" t="s">
        <v>1099</v>
      </c>
    </row>
    <row r="18100">
      <c r="B18100" s="31"/>
      <c r="G18100" s="272" t="s">
        <v>1099</v>
      </c>
    </row>
    <row r="18101">
      <c r="B18101" s="31"/>
      <c r="G18101" s="272" t="s">
        <v>1099</v>
      </c>
    </row>
    <row r="18102">
      <c r="B18102" s="31"/>
      <c r="G18102" s="272" t="s">
        <v>1099</v>
      </c>
    </row>
    <row r="18103">
      <c r="B18103" s="31"/>
      <c r="G18103" s="272" t="s">
        <v>1099</v>
      </c>
    </row>
    <row r="18104">
      <c r="B18104" s="31"/>
      <c r="G18104" s="272" t="s">
        <v>1099</v>
      </c>
    </row>
    <row r="18105">
      <c r="B18105" s="31"/>
      <c r="G18105" s="272" t="s">
        <v>1099</v>
      </c>
    </row>
    <row r="18106">
      <c r="B18106" s="31"/>
      <c r="G18106" s="272" t="s">
        <v>1099</v>
      </c>
    </row>
    <row r="18107">
      <c r="B18107" s="31"/>
      <c r="G18107" s="272" t="s">
        <v>1099</v>
      </c>
    </row>
    <row r="18108">
      <c r="B18108" s="31"/>
      <c r="G18108" s="272" t="s">
        <v>1099</v>
      </c>
    </row>
    <row r="18109">
      <c r="B18109" s="31"/>
      <c r="G18109" s="272" t="s">
        <v>1099</v>
      </c>
    </row>
    <row r="18110">
      <c r="B18110" s="31"/>
      <c r="G18110" s="272" t="s">
        <v>1099</v>
      </c>
    </row>
    <row r="18111">
      <c r="B18111" s="31"/>
      <c r="G18111" s="272" t="s">
        <v>1099</v>
      </c>
    </row>
    <row r="18112">
      <c r="B18112" s="31"/>
      <c r="G18112" s="272" t="s">
        <v>1099</v>
      </c>
    </row>
    <row r="18113">
      <c r="B18113" s="31"/>
      <c r="G18113" s="272" t="s">
        <v>1099</v>
      </c>
    </row>
    <row r="18114">
      <c r="B18114" s="31"/>
      <c r="G18114" s="272" t="s">
        <v>1099</v>
      </c>
    </row>
    <row r="18115">
      <c r="B18115" s="31"/>
      <c r="G18115" s="272" t="s">
        <v>1099</v>
      </c>
    </row>
    <row r="18116">
      <c r="B18116" s="31"/>
      <c r="G18116" s="272" t="s">
        <v>1099</v>
      </c>
    </row>
    <row r="18117">
      <c r="B18117" s="31"/>
      <c r="G18117" s="272" t="s">
        <v>1099</v>
      </c>
    </row>
    <row r="18118">
      <c r="B18118" s="31"/>
      <c r="G18118" s="272" t="s">
        <v>1099</v>
      </c>
    </row>
    <row r="18119">
      <c r="B18119" s="31"/>
      <c r="G18119" s="272" t="s">
        <v>1099</v>
      </c>
    </row>
    <row r="18120">
      <c r="B18120" s="31"/>
      <c r="G18120" s="272" t="s">
        <v>1099</v>
      </c>
    </row>
    <row r="18121">
      <c r="B18121" s="31"/>
      <c r="G18121" s="272" t="s">
        <v>1099</v>
      </c>
    </row>
    <row r="18122">
      <c r="B18122" s="31"/>
      <c r="G18122" s="272" t="s">
        <v>1099</v>
      </c>
    </row>
    <row r="18123">
      <c r="B18123" s="31"/>
      <c r="G18123" s="272" t="s">
        <v>1099</v>
      </c>
    </row>
    <row r="18124">
      <c r="B18124" s="31"/>
      <c r="G18124" s="272" t="s">
        <v>1099</v>
      </c>
    </row>
    <row r="18125">
      <c r="B18125" s="31"/>
      <c r="G18125" s="272" t="s">
        <v>1099</v>
      </c>
    </row>
    <row r="18126">
      <c r="B18126" s="31"/>
      <c r="G18126" s="272" t="s">
        <v>1099</v>
      </c>
    </row>
    <row r="18127">
      <c r="B18127" s="31"/>
      <c r="G18127" s="272" t="s">
        <v>1099</v>
      </c>
    </row>
    <row r="18128">
      <c r="B18128" s="31"/>
      <c r="G18128" s="272" t="s">
        <v>1099</v>
      </c>
    </row>
    <row r="18129">
      <c r="B18129" s="31"/>
      <c r="G18129" s="272" t="s">
        <v>1099</v>
      </c>
    </row>
    <row r="18130">
      <c r="B18130" s="31"/>
      <c r="G18130" s="272" t="s">
        <v>1099</v>
      </c>
    </row>
    <row r="18131">
      <c r="B18131" s="31"/>
      <c r="G18131" s="272" t="s">
        <v>1099</v>
      </c>
    </row>
    <row r="18132">
      <c r="B18132" s="31"/>
      <c r="G18132" s="272" t="s">
        <v>1099</v>
      </c>
    </row>
    <row r="18133">
      <c r="B18133" s="31"/>
      <c r="G18133" s="272" t="s">
        <v>1099</v>
      </c>
    </row>
    <row r="18134">
      <c r="B18134" s="31"/>
      <c r="G18134" s="272" t="s">
        <v>1099</v>
      </c>
    </row>
    <row r="18135">
      <c r="B18135" s="31"/>
      <c r="G18135" s="272" t="s">
        <v>1099</v>
      </c>
    </row>
    <row r="18136">
      <c r="B18136" s="31"/>
      <c r="G18136" s="272" t="s">
        <v>1099</v>
      </c>
    </row>
    <row r="18137">
      <c r="B18137" s="31"/>
      <c r="G18137" s="272" t="s">
        <v>1099</v>
      </c>
    </row>
    <row r="18138">
      <c r="B18138" s="31"/>
      <c r="G18138" s="272" t="s">
        <v>1099</v>
      </c>
    </row>
    <row r="18139">
      <c r="B18139" s="31"/>
      <c r="G18139" s="272" t="s">
        <v>1099</v>
      </c>
    </row>
    <row r="18140">
      <c r="B18140" s="31"/>
      <c r="G18140" s="272" t="s">
        <v>1099</v>
      </c>
    </row>
    <row r="18141">
      <c r="B18141" s="31"/>
      <c r="G18141" s="272" t="s">
        <v>1099</v>
      </c>
    </row>
    <row r="18142">
      <c r="B18142" s="31"/>
      <c r="G18142" s="272" t="s">
        <v>1099</v>
      </c>
    </row>
    <row r="18143">
      <c r="B18143" s="31"/>
      <c r="G18143" s="272" t="s">
        <v>1099</v>
      </c>
    </row>
    <row r="18144">
      <c r="B18144" s="31"/>
      <c r="G18144" s="272" t="s">
        <v>1099</v>
      </c>
    </row>
    <row r="18145">
      <c r="B18145" s="31"/>
      <c r="G18145" s="272" t="s">
        <v>1099</v>
      </c>
    </row>
    <row r="18146">
      <c r="B18146" s="31"/>
      <c r="G18146" s="272" t="s">
        <v>1099</v>
      </c>
    </row>
    <row r="18147">
      <c r="B18147" s="31"/>
      <c r="G18147" s="272" t="s">
        <v>1099</v>
      </c>
    </row>
    <row r="18148">
      <c r="B18148" s="31"/>
      <c r="G18148" s="272" t="s">
        <v>1099</v>
      </c>
    </row>
    <row r="18149">
      <c r="B18149" s="31"/>
      <c r="G18149" s="272" t="s">
        <v>1099</v>
      </c>
    </row>
    <row r="18150">
      <c r="B18150" s="31"/>
      <c r="G18150" s="272" t="s">
        <v>1099</v>
      </c>
    </row>
    <row r="18151">
      <c r="B18151" s="31"/>
      <c r="G18151" s="272" t="s">
        <v>1099</v>
      </c>
    </row>
    <row r="18152">
      <c r="B18152" s="31"/>
      <c r="G18152" s="272" t="s">
        <v>1099</v>
      </c>
    </row>
    <row r="18153">
      <c r="B18153" s="31"/>
      <c r="G18153" s="272" t="s">
        <v>1099</v>
      </c>
    </row>
    <row r="18154">
      <c r="B18154" s="31"/>
      <c r="G18154" s="272" t="s">
        <v>1099</v>
      </c>
    </row>
    <row r="18155">
      <c r="B18155" s="31"/>
      <c r="G18155" s="272" t="s">
        <v>1099</v>
      </c>
    </row>
    <row r="18156">
      <c r="B18156" s="31"/>
      <c r="G18156" s="272" t="s">
        <v>1099</v>
      </c>
    </row>
    <row r="18157">
      <c r="B18157" s="31"/>
      <c r="G18157" s="272" t="s">
        <v>1099</v>
      </c>
    </row>
    <row r="18158">
      <c r="B18158" s="31"/>
      <c r="G18158" s="272" t="s">
        <v>1099</v>
      </c>
    </row>
    <row r="18159">
      <c r="B18159" s="31"/>
      <c r="G18159" s="272" t="s">
        <v>1099</v>
      </c>
    </row>
    <row r="18160">
      <c r="B18160" s="31"/>
      <c r="G18160" s="272" t="s">
        <v>1099</v>
      </c>
    </row>
    <row r="18161">
      <c r="B18161" s="31"/>
      <c r="G18161" s="272" t="s">
        <v>1099</v>
      </c>
    </row>
    <row r="18162">
      <c r="B18162" s="31"/>
      <c r="G18162" s="272" t="s">
        <v>1099</v>
      </c>
    </row>
    <row r="18163">
      <c r="B18163" s="31"/>
      <c r="G18163" s="272" t="s">
        <v>1099</v>
      </c>
    </row>
    <row r="18164">
      <c r="B18164" s="31"/>
      <c r="G18164" s="272" t="s">
        <v>1099</v>
      </c>
    </row>
    <row r="18165">
      <c r="B18165" s="31"/>
      <c r="G18165" s="272" t="s">
        <v>1099</v>
      </c>
    </row>
    <row r="18166">
      <c r="B18166" s="31"/>
      <c r="G18166" s="272" t="s">
        <v>1099</v>
      </c>
    </row>
    <row r="18167">
      <c r="B18167" s="31"/>
      <c r="G18167" s="272" t="s">
        <v>1099</v>
      </c>
    </row>
    <row r="18168">
      <c r="B18168" s="31"/>
      <c r="G18168" s="272" t="s">
        <v>1099</v>
      </c>
    </row>
    <row r="18169">
      <c r="B18169" s="31"/>
      <c r="G18169" s="272" t="s">
        <v>1099</v>
      </c>
    </row>
    <row r="18170">
      <c r="B18170" s="31"/>
      <c r="G18170" s="272" t="s">
        <v>1099</v>
      </c>
    </row>
    <row r="18171">
      <c r="B18171" s="31"/>
      <c r="G18171" s="272" t="s">
        <v>1099</v>
      </c>
    </row>
    <row r="18172">
      <c r="B18172" s="31"/>
      <c r="G18172" s="272" t="s">
        <v>1099</v>
      </c>
    </row>
    <row r="18173">
      <c r="B18173" s="31"/>
      <c r="G18173" s="272" t="s">
        <v>1099</v>
      </c>
    </row>
    <row r="18174">
      <c r="B18174" s="31"/>
      <c r="G18174" s="272" t="s">
        <v>1099</v>
      </c>
    </row>
    <row r="18175">
      <c r="B18175" s="31"/>
      <c r="G18175" s="272" t="s">
        <v>1099</v>
      </c>
    </row>
    <row r="18176">
      <c r="B18176" s="31"/>
      <c r="G18176" s="272" t="s">
        <v>1099</v>
      </c>
    </row>
    <row r="18177">
      <c r="B18177" s="31"/>
      <c r="G18177" s="272" t="s">
        <v>1099</v>
      </c>
    </row>
    <row r="18178">
      <c r="B18178" s="31"/>
      <c r="G18178" s="272" t="s">
        <v>1099</v>
      </c>
    </row>
    <row r="18179">
      <c r="B18179" s="31"/>
      <c r="G18179" s="272" t="s">
        <v>1099</v>
      </c>
    </row>
    <row r="18180">
      <c r="B18180" s="31"/>
      <c r="G18180" s="272" t="s">
        <v>1099</v>
      </c>
    </row>
    <row r="18181">
      <c r="B18181" s="31"/>
      <c r="G18181" s="272" t="s">
        <v>1099</v>
      </c>
    </row>
    <row r="18182">
      <c r="B18182" s="31"/>
      <c r="G18182" s="272" t="s">
        <v>1099</v>
      </c>
    </row>
    <row r="18183">
      <c r="B18183" s="31"/>
      <c r="G18183" s="272" t="s">
        <v>1099</v>
      </c>
    </row>
    <row r="18184">
      <c r="B18184" s="31"/>
      <c r="G18184" s="272" t="s">
        <v>1099</v>
      </c>
    </row>
    <row r="18185">
      <c r="B18185" s="31"/>
      <c r="G18185" s="272" t="s">
        <v>1099</v>
      </c>
    </row>
    <row r="18186">
      <c r="B18186" s="31"/>
      <c r="G18186" s="272" t="s">
        <v>1099</v>
      </c>
    </row>
    <row r="18187">
      <c r="B18187" s="31"/>
      <c r="G18187" s="272" t="s">
        <v>1099</v>
      </c>
    </row>
    <row r="18188">
      <c r="B18188" s="31"/>
      <c r="G18188" s="272" t="s">
        <v>1099</v>
      </c>
    </row>
    <row r="18189">
      <c r="B18189" s="31"/>
      <c r="G18189" s="272" t="s">
        <v>1099</v>
      </c>
    </row>
    <row r="18190">
      <c r="B18190" s="31"/>
      <c r="G18190" s="272" t="s">
        <v>1099</v>
      </c>
    </row>
    <row r="18191">
      <c r="B18191" s="31"/>
      <c r="G18191" s="272" t="s">
        <v>1099</v>
      </c>
    </row>
    <row r="18192">
      <c r="B18192" s="31"/>
      <c r="G18192" s="272" t="s">
        <v>1099</v>
      </c>
    </row>
    <row r="18193">
      <c r="B18193" s="31"/>
      <c r="G18193" s="272" t="s">
        <v>1099</v>
      </c>
    </row>
    <row r="18194">
      <c r="B18194" s="31"/>
      <c r="G18194" s="272" t="s">
        <v>1099</v>
      </c>
    </row>
    <row r="18195">
      <c r="B18195" s="31"/>
      <c r="G18195" s="272" t="s">
        <v>1099</v>
      </c>
    </row>
    <row r="18196">
      <c r="B18196" s="31"/>
      <c r="G18196" s="272" t="s">
        <v>1099</v>
      </c>
    </row>
    <row r="18197">
      <c r="B18197" s="31"/>
      <c r="G18197" s="272" t="s">
        <v>1099</v>
      </c>
    </row>
    <row r="18198">
      <c r="B18198" s="31"/>
      <c r="G18198" s="272" t="s">
        <v>1099</v>
      </c>
    </row>
    <row r="18199">
      <c r="B18199" s="31"/>
      <c r="G18199" s="272" t="s">
        <v>1099</v>
      </c>
    </row>
    <row r="18200">
      <c r="B18200" s="31"/>
      <c r="G18200" s="272" t="s">
        <v>1099</v>
      </c>
    </row>
    <row r="18201">
      <c r="B18201" s="31"/>
      <c r="G18201" s="272" t="s">
        <v>1099</v>
      </c>
    </row>
    <row r="18202">
      <c r="B18202" s="31"/>
      <c r="G18202" s="272" t="s">
        <v>1099</v>
      </c>
    </row>
    <row r="18203">
      <c r="B18203" s="31"/>
      <c r="G18203" s="272" t="s">
        <v>1099</v>
      </c>
    </row>
    <row r="18204">
      <c r="B18204" s="31"/>
      <c r="G18204" s="272" t="s">
        <v>1099</v>
      </c>
    </row>
    <row r="18205">
      <c r="B18205" s="31"/>
      <c r="G18205" s="272" t="s">
        <v>1099</v>
      </c>
    </row>
    <row r="18206">
      <c r="B18206" s="31"/>
      <c r="G18206" s="272" t="s">
        <v>1099</v>
      </c>
    </row>
    <row r="18207">
      <c r="B18207" s="31"/>
      <c r="G18207" s="272" t="s">
        <v>1099</v>
      </c>
    </row>
    <row r="18208">
      <c r="B18208" s="31"/>
      <c r="G18208" s="272" t="s">
        <v>1099</v>
      </c>
    </row>
    <row r="18209">
      <c r="B18209" s="31"/>
      <c r="G18209" s="272" t="s">
        <v>1099</v>
      </c>
    </row>
    <row r="18210">
      <c r="B18210" s="31"/>
      <c r="G18210" s="272" t="s">
        <v>1099</v>
      </c>
    </row>
    <row r="18211">
      <c r="B18211" s="31"/>
      <c r="G18211" s="272" t="s">
        <v>1099</v>
      </c>
    </row>
    <row r="18212">
      <c r="B18212" s="31"/>
      <c r="G18212" s="272" t="s">
        <v>1099</v>
      </c>
    </row>
    <row r="18213">
      <c r="B18213" s="31"/>
      <c r="G18213" s="272" t="s">
        <v>1099</v>
      </c>
    </row>
    <row r="18214">
      <c r="B18214" s="31"/>
      <c r="G18214" s="272" t="s">
        <v>1099</v>
      </c>
    </row>
    <row r="18215">
      <c r="B18215" s="31"/>
      <c r="G18215" s="272" t="s">
        <v>1099</v>
      </c>
    </row>
    <row r="18216">
      <c r="B18216" s="31"/>
      <c r="G18216" s="272" t="s">
        <v>1099</v>
      </c>
    </row>
    <row r="18217">
      <c r="B18217" s="31"/>
      <c r="G18217" s="272" t="s">
        <v>1099</v>
      </c>
    </row>
    <row r="18218">
      <c r="B18218" s="31"/>
      <c r="G18218" s="272" t="s">
        <v>1099</v>
      </c>
    </row>
    <row r="18219">
      <c r="B18219" s="31"/>
      <c r="G18219" s="272" t="s">
        <v>1099</v>
      </c>
    </row>
    <row r="18220">
      <c r="B18220" s="31"/>
      <c r="G18220" s="272" t="s">
        <v>1099</v>
      </c>
    </row>
    <row r="18221">
      <c r="B18221" s="31"/>
      <c r="G18221" s="272" t="s">
        <v>1099</v>
      </c>
    </row>
    <row r="18222">
      <c r="B18222" s="31"/>
      <c r="G18222" s="272" t="s">
        <v>1099</v>
      </c>
    </row>
    <row r="18223">
      <c r="B18223" s="31"/>
      <c r="G18223" s="272" t="s">
        <v>1099</v>
      </c>
    </row>
    <row r="18224">
      <c r="B18224" s="31"/>
      <c r="G18224" s="272" t="s">
        <v>1099</v>
      </c>
    </row>
    <row r="18225">
      <c r="B18225" s="31"/>
      <c r="G18225" s="272" t="s">
        <v>1099</v>
      </c>
    </row>
    <row r="18226">
      <c r="B18226" s="31"/>
      <c r="G18226" s="272" t="s">
        <v>1099</v>
      </c>
    </row>
    <row r="18227">
      <c r="B18227" s="31"/>
      <c r="G18227" s="272" t="s">
        <v>1099</v>
      </c>
    </row>
    <row r="18228">
      <c r="B18228" s="31"/>
      <c r="G18228" s="272" t="s">
        <v>1099</v>
      </c>
    </row>
    <row r="18229">
      <c r="B18229" s="31"/>
      <c r="G18229" s="272" t="s">
        <v>1099</v>
      </c>
    </row>
    <row r="18230">
      <c r="B18230" s="31"/>
      <c r="G18230" s="272" t="s">
        <v>1099</v>
      </c>
    </row>
    <row r="18231">
      <c r="B18231" s="31"/>
      <c r="G18231" s="272" t="s">
        <v>1099</v>
      </c>
    </row>
    <row r="18232">
      <c r="B18232" s="31"/>
      <c r="G18232" s="272" t="s">
        <v>1099</v>
      </c>
    </row>
    <row r="18233">
      <c r="B18233" s="31"/>
      <c r="G18233" s="272" t="s">
        <v>1099</v>
      </c>
    </row>
    <row r="18234">
      <c r="B18234" s="31"/>
      <c r="G18234" s="272" t="s">
        <v>1099</v>
      </c>
    </row>
    <row r="18235">
      <c r="B18235" s="31"/>
      <c r="G18235" s="272" t="s">
        <v>1099</v>
      </c>
    </row>
    <row r="18236">
      <c r="B18236" s="31"/>
      <c r="G18236" s="272" t="s">
        <v>1099</v>
      </c>
    </row>
    <row r="18237">
      <c r="B18237" s="31"/>
      <c r="G18237" s="272" t="s">
        <v>1099</v>
      </c>
    </row>
    <row r="18238">
      <c r="B18238" s="31"/>
      <c r="G18238" s="272" t="s">
        <v>1099</v>
      </c>
    </row>
    <row r="18239">
      <c r="B18239" s="31"/>
      <c r="G18239" s="272" t="s">
        <v>1099</v>
      </c>
    </row>
    <row r="18240">
      <c r="B18240" s="31"/>
      <c r="G18240" s="272" t="s">
        <v>1099</v>
      </c>
    </row>
    <row r="18241">
      <c r="B18241" s="31"/>
      <c r="G18241" s="272" t="s">
        <v>1099</v>
      </c>
    </row>
    <row r="18242">
      <c r="B18242" s="31"/>
      <c r="G18242" s="272" t="s">
        <v>1099</v>
      </c>
    </row>
    <row r="18243">
      <c r="B18243" s="31"/>
      <c r="G18243" s="272" t="s">
        <v>1099</v>
      </c>
    </row>
    <row r="18244">
      <c r="B18244" s="31"/>
      <c r="G18244" s="272" t="s">
        <v>1099</v>
      </c>
    </row>
    <row r="18245">
      <c r="B18245" s="31"/>
      <c r="G18245" s="272" t="s">
        <v>1099</v>
      </c>
    </row>
    <row r="18246">
      <c r="B18246" s="31"/>
      <c r="G18246" s="272" t="s">
        <v>1099</v>
      </c>
    </row>
    <row r="18247">
      <c r="B18247" s="31"/>
      <c r="G18247" s="272" t="s">
        <v>1099</v>
      </c>
    </row>
    <row r="18248">
      <c r="B18248" s="31"/>
      <c r="G18248" s="272" t="s">
        <v>1099</v>
      </c>
    </row>
    <row r="18249">
      <c r="B18249" s="31"/>
      <c r="G18249" s="272" t="s">
        <v>1099</v>
      </c>
    </row>
    <row r="18250">
      <c r="B18250" s="31"/>
      <c r="G18250" s="272" t="s">
        <v>1099</v>
      </c>
    </row>
    <row r="18251">
      <c r="B18251" s="31"/>
      <c r="G18251" s="272" t="s">
        <v>1099</v>
      </c>
    </row>
    <row r="18252">
      <c r="B18252" s="31"/>
      <c r="G18252" s="272" t="s">
        <v>1099</v>
      </c>
    </row>
    <row r="18253">
      <c r="B18253" s="31"/>
      <c r="G18253" s="272" t="s">
        <v>1099</v>
      </c>
    </row>
    <row r="18254">
      <c r="B18254" s="31"/>
      <c r="G18254" s="272" t="s">
        <v>1099</v>
      </c>
    </row>
    <row r="18255">
      <c r="B18255" s="31"/>
      <c r="G18255" s="272" t="s">
        <v>1099</v>
      </c>
    </row>
    <row r="18256">
      <c r="B18256" s="31"/>
      <c r="G18256" s="272" t="s">
        <v>1099</v>
      </c>
    </row>
    <row r="18257">
      <c r="B18257" s="31"/>
      <c r="G18257" s="272" t="s">
        <v>1099</v>
      </c>
    </row>
    <row r="18258">
      <c r="B18258" s="31"/>
      <c r="G18258" s="272" t="s">
        <v>1099</v>
      </c>
    </row>
    <row r="18259">
      <c r="B18259" s="31"/>
      <c r="G18259" s="272" t="s">
        <v>1099</v>
      </c>
    </row>
    <row r="18260">
      <c r="B18260" s="31"/>
      <c r="G18260" s="272" t="s">
        <v>1099</v>
      </c>
    </row>
    <row r="18261">
      <c r="B18261" s="31"/>
      <c r="G18261" s="272" t="s">
        <v>1099</v>
      </c>
    </row>
    <row r="18262">
      <c r="B18262" s="31"/>
      <c r="G18262" s="272" t="s">
        <v>1099</v>
      </c>
    </row>
    <row r="18263">
      <c r="B18263" s="31"/>
      <c r="G18263" s="272" t="s">
        <v>1099</v>
      </c>
    </row>
    <row r="18264">
      <c r="B18264" s="31"/>
      <c r="G18264" s="272" t="s">
        <v>1099</v>
      </c>
    </row>
    <row r="18265">
      <c r="B18265" s="31"/>
      <c r="G18265" s="272" t="s">
        <v>1099</v>
      </c>
    </row>
    <row r="18266">
      <c r="B18266" s="31"/>
      <c r="G18266" s="272" t="s">
        <v>1099</v>
      </c>
    </row>
    <row r="18267">
      <c r="B18267" s="31"/>
      <c r="G18267" s="272" t="s">
        <v>1099</v>
      </c>
    </row>
    <row r="18268">
      <c r="B18268" s="31"/>
      <c r="G18268" s="272" t="s">
        <v>1099</v>
      </c>
    </row>
    <row r="18269">
      <c r="B18269" s="31"/>
      <c r="G18269" s="272" t="s">
        <v>1099</v>
      </c>
    </row>
    <row r="18270">
      <c r="B18270" s="31"/>
      <c r="G18270" s="272" t="s">
        <v>1099</v>
      </c>
    </row>
    <row r="18271">
      <c r="B18271" s="31"/>
      <c r="G18271" s="272" t="s">
        <v>1099</v>
      </c>
    </row>
    <row r="18272">
      <c r="B18272" s="31"/>
      <c r="G18272" s="272" t="s">
        <v>1099</v>
      </c>
    </row>
    <row r="18273">
      <c r="B18273" s="31"/>
      <c r="G18273" s="272" t="s">
        <v>1099</v>
      </c>
    </row>
    <row r="18274">
      <c r="B18274" s="31"/>
      <c r="G18274" s="272" t="s">
        <v>1099</v>
      </c>
    </row>
    <row r="18275">
      <c r="B18275" s="31"/>
      <c r="G18275" s="272" t="s">
        <v>1099</v>
      </c>
    </row>
    <row r="18276">
      <c r="B18276" s="31"/>
      <c r="G18276" s="272" t="s">
        <v>1099</v>
      </c>
    </row>
    <row r="18277">
      <c r="B18277" s="31"/>
      <c r="G18277" s="272" t="s">
        <v>1099</v>
      </c>
    </row>
    <row r="18278">
      <c r="B18278" s="31"/>
      <c r="G18278" s="272" t="s">
        <v>1099</v>
      </c>
    </row>
    <row r="18279">
      <c r="B18279" s="31"/>
      <c r="G18279" s="272" t="s">
        <v>1099</v>
      </c>
    </row>
    <row r="18280">
      <c r="B18280" s="31"/>
      <c r="G18280" s="272" t="s">
        <v>1099</v>
      </c>
    </row>
    <row r="18281">
      <c r="B18281" s="31"/>
      <c r="G18281" s="272" t="s">
        <v>1099</v>
      </c>
    </row>
    <row r="18282">
      <c r="B18282" s="31"/>
      <c r="G18282" s="272" t="s">
        <v>1099</v>
      </c>
    </row>
    <row r="18283">
      <c r="B18283" s="31"/>
      <c r="G18283" s="272" t="s">
        <v>1099</v>
      </c>
    </row>
    <row r="18284">
      <c r="B18284" s="31"/>
      <c r="G18284" s="272" t="s">
        <v>1099</v>
      </c>
    </row>
    <row r="18285">
      <c r="B18285" s="31"/>
      <c r="G18285" s="272" t="s">
        <v>1099</v>
      </c>
    </row>
    <row r="18286">
      <c r="B18286" s="31"/>
      <c r="G18286" s="272" t="s">
        <v>1099</v>
      </c>
    </row>
    <row r="18287">
      <c r="B18287" s="31"/>
      <c r="G18287" s="272" t="s">
        <v>1099</v>
      </c>
    </row>
    <row r="18288">
      <c r="B18288" s="31"/>
      <c r="G18288" s="272" t="s">
        <v>1099</v>
      </c>
    </row>
    <row r="18289">
      <c r="B18289" s="31"/>
      <c r="G18289" s="272" t="s">
        <v>1099</v>
      </c>
    </row>
    <row r="18290">
      <c r="B18290" s="31"/>
      <c r="G18290" s="272" t="s">
        <v>1099</v>
      </c>
    </row>
    <row r="18291">
      <c r="B18291" s="31"/>
      <c r="G18291" s="272" t="s">
        <v>1099</v>
      </c>
    </row>
    <row r="18292">
      <c r="B18292" s="31"/>
      <c r="G18292" s="272" t="s">
        <v>1099</v>
      </c>
    </row>
    <row r="18293">
      <c r="B18293" s="31"/>
      <c r="G18293" s="272" t="s">
        <v>1099</v>
      </c>
    </row>
    <row r="18294">
      <c r="B18294" s="31"/>
      <c r="G18294" s="272" t="s">
        <v>1099</v>
      </c>
    </row>
    <row r="18295">
      <c r="B18295" s="31"/>
      <c r="G18295" s="272" t="s">
        <v>1099</v>
      </c>
    </row>
    <row r="18296">
      <c r="B18296" s="31"/>
      <c r="G18296" s="272" t="s">
        <v>1099</v>
      </c>
    </row>
    <row r="18297">
      <c r="B18297" s="31"/>
      <c r="G18297" s="272" t="s">
        <v>1099</v>
      </c>
    </row>
    <row r="18298">
      <c r="B18298" s="31"/>
      <c r="G18298" s="272" t="s">
        <v>1099</v>
      </c>
    </row>
    <row r="18299">
      <c r="B18299" s="31"/>
      <c r="G18299" s="272" t="s">
        <v>1099</v>
      </c>
    </row>
    <row r="18300">
      <c r="B18300" s="31"/>
      <c r="G18300" s="272" t="s">
        <v>1099</v>
      </c>
    </row>
    <row r="18301">
      <c r="B18301" s="31"/>
      <c r="G18301" s="272" t="s">
        <v>1099</v>
      </c>
    </row>
    <row r="18302">
      <c r="B18302" s="31"/>
      <c r="G18302" s="272" t="s">
        <v>1099</v>
      </c>
    </row>
    <row r="18303">
      <c r="B18303" s="31"/>
      <c r="G18303" s="272" t="s">
        <v>1099</v>
      </c>
    </row>
    <row r="18304">
      <c r="B18304" s="31"/>
      <c r="G18304" s="272" t="s">
        <v>1099</v>
      </c>
    </row>
    <row r="18305">
      <c r="B18305" s="31"/>
      <c r="G18305" s="272" t="s">
        <v>1099</v>
      </c>
    </row>
    <row r="18306">
      <c r="B18306" s="31"/>
      <c r="G18306" s="272" t="s">
        <v>1099</v>
      </c>
    </row>
    <row r="18307">
      <c r="B18307" s="31"/>
      <c r="G18307" s="272" t="s">
        <v>1099</v>
      </c>
    </row>
    <row r="18308">
      <c r="B18308" s="31"/>
      <c r="G18308" s="272" t="s">
        <v>1099</v>
      </c>
    </row>
    <row r="18309">
      <c r="B18309" s="31"/>
      <c r="G18309" s="272" t="s">
        <v>1099</v>
      </c>
    </row>
    <row r="18310">
      <c r="B18310" s="31"/>
      <c r="G18310" s="272" t="s">
        <v>1099</v>
      </c>
    </row>
    <row r="18311">
      <c r="B18311" s="31"/>
      <c r="G18311" s="272" t="s">
        <v>1099</v>
      </c>
    </row>
    <row r="18312">
      <c r="B18312" s="31"/>
      <c r="G18312" s="272" t="s">
        <v>1099</v>
      </c>
    </row>
    <row r="18313">
      <c r="B18313" s="31"/>
      <c r="G18313" s="272" t="s">
        <v>1099</v>
      </c>
    </row>
    <row r="18314">
      <c r="B18314" s="31"/>
      <c r="G18314" s="272" t="s">
        <v>1099</v>
      </c>
    </row>
    <row r="18315">
      <c r="B18315" s="31"/>
      <c r="G18315" s="272" t="s">
        <v>1099</v>
      </c>
    </row>
    <row r="18316">
      <c r="B18316" s="31"/>
      <c r="G18316" s="272" t="s">
        <v>1099</v>
      </c>
    </row>
    <row r="18317">
      <c r="B18317" s="31"/>
      <c r="G18317" s="272" t="s">
        <v>1099</v>
      </c>
    </row>
    <row r="18318">
      <c r="B18318" s="31"/>
      <c r="G18318" s="272" t="s">
        <v>1099</v>
      </c>
    </row>
    <row r="18319">
      <c r="B18319" s="31"/>
      <c r="G18319" s="272" t="s">
        <v>1099</v>
      </c>
    </row>
    <row r="18320">
      <c r="B18320" s="31"/>
      <c r="G18320" s="272" t="s">
        <v>1099</v>
      </c>
    </row>
    <row r="18321">
      <c r="B18321" s="31"/>
      <c r="G18321" s="272" t="s">
        <v>1099</v>
      </c>
    </row>
    <row r="18322">
      <c r="B18322" s="31"/>
      <c r="G18322" s="272" t="s">
        <v>1099</v>
      </c>
    </row>
    <row r="18323">
      <c r="B18323" s="31"/>
      <c r="G18323" s="272" t="s">
        <v>1099</v>
      </c>
    </row>
    <row r="18324">
      <c r="B18324" s="31"/>
      <c r="G18324" s="272" t="s">
        <v>1099</v>
      </c>
    </row>
    <row r="18325">
      <c r="B18325" s="31"/>
      <c r="G18325" s="272" t="s">
        <v>1099</v>
      </c>
    </row>
    <row r="18326">
      <c r="B18326" s="31"/>
      <c r="G18326" s="272" t="s">
        <v>1099</v>
      </c>
    </row>
    <row r="18327">
      <c r="B18327" s="31"/>
      <c r="G18327" s="272" t="s">
        <v>1099</v>
      </c>
    </row>
    <row r="18328">
      <c r="B18328" s="31"/>
      <c r="G18328" s="272" t="s">
        <v>1099</v>
      </c>
    </row>
    <row r="18329">
      <c r="B18329" s="31"/>
      <c r="G18329" s="272" t="s">
        <v>1099</v>
      </c>
    </row>
    <row r="18330">
      <c r="B18330" s="31"/>
      <c r="G18330" s="272" t="s">
        <v>1099</v>
      </c>
    </row>
    <row r="18331">
      <c r="B18331" s="31"/>
      <c r="G18331" s="272" t="s">
        <v>1099</v>
      </c>
    </row>
    <row r="18332">
      <c r="B18332" s="31"/>
      <c r="G18332" s="272" t="s">
        <v>1099</v>
      </c>
    </row>
    <row r="18333">
      <c r="B18333" s="31"/>
      <c r="G18333" s="272" t="s">
        <v>1099</v>
      </c>
    </row>
    <row r="18334">
      <c r="B18334" s="31"/>
      <c r="G18334" s="272" t="s">
        <v>1099</v>
      </c>
    </row>
    <row r="18335">
      <c r="B18335" s="31"/>
      <c r="G18335" s="272" t="s">
        <v>1099</v>
      </c>
    </row>
    <row r="18336">
      <c r="B18336" s="31"/>
      <c r="G18336" s="272" t="s">
        <v>1099</v>
      </c>
    </row>
    <row r="18337">
      <c r="B18337" s="31"/>
      <c r="G18337" s="272" t="s">
        <v>1099</v>
      </c>
    </row>
    <row r="18338">
      <c r="B18338" s="31"/>
      <c r="G18338" s="272" t="s">
        <v>1099</v>
      </c>
    </row>
    <row r="18339">
      <c r="B18339" s="31"/>
      <c r="G18339" s="272" t="s">
        <v>1099</v>
      </c>
    </row>
    <row r="18340">
      <c r="B18340" s="31"/>
      <c r="G18340" s="272" t="s">
        <v>1099</v>
      </c>
    </row>
    <row r="18341">
      <c r="B18341" s="31"/>
      <c r="G18341" s="272" t="s">
        <v>1099</v>
      </c>
    </row>
    <row r="18342">
      <c r="B18342" s="31"/>
      <c r="G18342" s="272" t="s">
        <v>1099</v>
      </c>
    </row>
    <row r="18343">
      <c r="B18343" s="31"/>
      <c r="G18343" s="272" t="s">
        <v>1099</v>
      </c>
    </row>
    <row r="18344">
      <c r="B18344" s="31"/>
      <c r="G18344" s="272" t="s">
        <v>1099</v>
      </c>
    </row>
    <row r="18345">
      <c r="B18345" s="31"/>
      <c r="G18345" s="272" t="s">
        <v>1099</v>
      </c>
    </row>
    <row r="18346">
      <c r="B18346" s="31"/>
      <c r="G18346" s="272" t="s">
        <v>1099</v>
      </c>
    </row>
    <row r="18347">
      <c r="B18347" s="31"/>
      <c r="G18347" s="272" t="s">
        <v>1099</v>
      </c>
    </row>
    <row r="18348">
      <c r="B18348" s="31"/>
      <c r="G18348" s="272" t="s">
        <v>1099</v>
      </c>
    </row>
    <row r="18349">
      <c r="B18349" s="31"/>
      <c r="G18349" s="272" t="s">
        <v>1099</v>
      </c>
    </row>
    <row r="18350">
      <c r="B18350" s="31"/>
      <c r="G18350" s="272" t="s">
        <v>1099</v>
      </c>
    </row>
    <row r="18351">
      <c r="B18351" s="31"/>
      <c r="G18351" s="272" t="s">
        <v>1099</v>
      </c>
    </row>
    <row r="18352">
      <c r="B18352" s="31"/>
      <c r="G18352" s="272" t="s">
        <v>1099</v>
      </c>
    </row>
    <row r="18353">
      <c r="B18353" s="31"/>
      <c r="G18353" s="272" t="s">
        <v>1099</v>
      </c>
    </row>
    <row r="18354">
      <c r="B18354" s="31"/>
      <c r="G18354" s="272" t="s">
        <v>1099</v>
      </c>
    </row>
    <row r="18355">
      <c r="B18355" s="31"/>
      <c r="G18355" s="272" t="s">
        <v>1099</v>
      </c>
    </row>
    <row r="18356">
      <c r="B18356" s="31"/>
      <c r="G18356" s="272" t="s">
        <v>1099</v>
      </c>
    </row>
    <row r="18357">
      <c r="B18357" s="31"/>
      <c r="G18357" s="272" t="s">
        <v>1099</v>
      </c>
    </row>
    <row r="18358">
      <c r="B18358" s="31"/>
      <c r="G18358" s="272" t="s">
        <v>1099</v>
      </c>
    </row>
    <row r="18359">
      <c r="B18359" s="31"/>
      <c r="G18359" s="272" t="s">
        <v>1099</v>
      </c>
    </row>
    <row r="18360">
      <c r="B18360" s="31"/>
      <c r="G18360" s="272" t="s">
        <v>1099</v>
      </c>
    </row>
    <row r="18361">
      <c r="B18361" s="31"/>
      <c r="G18361" s="272" t="s">
        <v>1099</v>
      </c>
    </row>
    <row r="18362">
      <c r="B18362" s="31"/>
      <c r="G18362" s="272" t="s">
        <v>1099</v>
      </c>
    </row>
    <row r="18363">
      <c r="B18363" s="31"/>
      <c r="G18363" s="272" t="s">
        <v>1099</v>
      </c>
    </row>
    <row r="18364">
      <c r="B18364" s="31"/>
      <c r="G18364" s="272" t="s">
        <v>1099</v>
      </c>
    </row>
    <row r="18365">
      <c r="B18365" s="31"/>
      <c r="G18365" s="272" t="s">
        <v>1099</v>
      </c>
    </row>
    <row r="18366">
      <c r="B18366" s="31"/>
      <c r="G18366" s="272" t="s">
        <v>1099</v>
      </c>
    </row>
    <row r="18367">
      <c r="B18367" s="31"/>
      <c r="G18367" s="272" t="s">
        <v>1099</v>
      </c>
    </row>
    <row r="18368">
      <c r="B18368" s="31"/>
      <c r="G18368" s="272" t="s">
        <v>1099</v>
      </c>
    </row>
    <row r="18369">
      <c r="B18369" s="31"/>
      <c r="G18369" s="272" t="s">
        <v>1099</v>
      </c>
    </row>
    <row r="18370">
      <c r="B18370" s="31"/>
      <c r="G18370" s="272" t="s">
        <v>1099</v>
      </c>
    </row>
    <row r="18371">
      <c r="B18371" s="31"/>
      <c r="G18371" s="272" t="s">
        <v>1099</v>
      </c>
    </row>
    <row r="18372">
      <c r="B18372" s="31"/>
      <c r="G18372" s="272" t="s">
        <v>1099</v>
      </c>
    </row>
    <row r="18373">
      <c r="B18373" s="31"/>
      <c r="G18373" s="272" t="s">
        <v>1099</v>
      </c>
    </row>
    <row r="18374">
      <c r="B18374" s="31"/>
      <c r="G18374" s="272" t="s">
        <v>1099</v>
      </c>
    </row>
    <row r="18375">
      <c r="B18375" s="31"/>
      <c r="G18375" s="272" t="s">
        <v>1099</v>
      </c>
    </row>
    <row r="18376">
      <c r="B18376" s="31"/>
      <c r="G18376" s="272" t="s">
        <v>1099</v>
      </c>
    </row>
    <row r="18377">
      <c r="B18377" s="31"/>
      <c r="G18377" s="272" t="s">
        <v>1099</v>
      </c>
    </row>
    <row r="18378">
      <c r="B18378" s="31"/>
      <c r="G18378" s="272" t="s">
        <v>1099</v>
      </c>
    </row>
    <row r="18379">
      <c r="B18379" s="31"/>
      <c r="G18379" s="272" t="s">
        <v>1099</v>
      </c>
    </row>
    <row r="18380">
      <c r="B18380" s="31"/>
      <c r="G18380" s="272" t="s">
        <v>1099</v>
      </c>
    </row>
    <row r="18381">
      <c r="B18381" s="31"/>
      <c r="G18381" s="272" t="s">
        <v>1099</v>
      </c>
    </row>
    <row r="18382">
      <c r="B18382" s="31"/>
      <c r="G18382" s="272" t="s">
        <v>1099</v>
      </c>
    </row>
    <row r="18383">
      <c r="B18383" s="31"/>
      <c r="G18383" s="272" t="s">
        <v>1099</v>
      </c>
    </row>
    <row r="18384">
      <c r="B18384" s="31"/>
      <c r="G18384" s="272" t="s">
        <v>1099</v>
      </c>
    </row>
    <row r="18385">
      <c r="B18385" s="31"/>
      <c r="G18385" s="272" t="s">
        <v>1099</v>
      </c>
    </row>
    <row r="18386">
      <c r="B18386" s="31"/>
      <c r="G18386" s="272" t="s">
        <v>1099</v>
      </c>
    </row>
    <row r="18387">
      <c r="B18387" s="31"/>
      <c r="G18387" s="272" t="s">
        <v>1099</v>
      </c>
    </row>
    <row r="18388">
      <c r="B18388" s="31"/>
      <c r="G18388" s="272" t="s">
        <v>1099</v>
      </c>
    </row>
    <row r="18389">
      <c r="B18389" s="31"/>
      <c r="G18389" s="272" t="s">
        <v>1099</v>
      </c>
    </row>
    <row r="18390">
      <c r="B18390" s="31"/>
      <c r="G18390" s="272" t="s">
        <v>1099</v>
      </c>
    </row>
    <row r="18391">
      <c r="B18391" s="31"/>
      <c r="G18391" s="272" t="s">
        <v>1099</v>
      </c>
    </row>
    <row r="18392">
      <c r="B18392" s="31"/>
      <c r="G18392" s="272" t="s">
        <v>1099</v>
      </c>
    </row>
    <row r="18393">
      <c r="B18393" s="31"/>
      <c r="G18393" s="272" t="s">
        <v>1099</v>
      </c>
    </row>
    <row r="18394">
      <c r="B18394" s="31"/>
      <c r="G18394" s="272" t="s">
        <v>1099</v>
      </c>
    </row>
    <row r="18395">
      <c r="B18395" s="31"/>
      <c r="G18395" s="272" t="s">
        <v>1099</v>
      </c>
    </row>
    <row r="18396">
      <c r="B18396" s="31"/>
      <c r="G18396" s="272" t="s">
        <v>1099</v>
      </c>
    </row>
    <row r="18397">
      <c r="B18397" s="31"/>
      <c r="G18397" s="272" t="s">
        <v>1099</v>
      </c>
    </row>
    <row r="18398">
      <c r="B18398" s="31"/>
      <c r="G18398" s="272" t="s">
        <v>1099</v>
      </c>
    </row>
    <row r="18399">
      <c r="B18399" s="31"/>
      <c r="G18399" s="272" t="s">
        <v>1099</v>
      </c>
    </row>
    <row r="18400">
      <c r="B18400" s="31"/>
      <c r="G18400" s="272" t="s">
        <v>1099</v>
      </c>
    </row>
    <row r="18401">
      <c r="B18401" s="31"/>
      <c r="G18401" s="272" t="s">
        <v>1099</v>
      </c>
    </row>
    <row r="18402">
      <c r="B18402" s="31"/>
      <c r="G18402" s="272" t="s">
        <v>1099</v>
      </c>
    </row>
    <row r="18403">
      <c r="B18403" s="31"/>
      <c r="G18403" s="272" t="s">
        <v>1099</v>
      </c>
    </row>
    <row r="18404">
      <c r="B18404" s="31"/>
      <c r="G18404" s="272" t="s">
        <v>1099</v>
      </c>
    </row>
    <row r="18405">
      <c r="B18405" s="31"/>
      <c r="G18405" s="272" t="s">
        <v>1099</v>
      </c>
    </row>
    <row r="18406">
      <c r="B18406" s="31"/>
      <c r="G18406" s="272" t="s">
        <v>1099</v>
      </c>
    </row>
    <row r="18407">
      <c r="B18407" s="31"/>
      <c r="G18407" s="272" t="s">
        <v>1099</v>
      </c>
    </row>
    <row r="18408">
      <c r="B18408" s="31"/>
      <c r="G18408" s="272" t="s">
        <v>1099</v>
      </c>
    </row>
    <row r="18409">
      <c r="B18409" s="31"/>
      <c r="G18409" s="272" t="s">
        <v>1099</v>
      </c>
    </row>
    <row r="18410">
      <c r="B18410" s="31"/>
      <c r="G18410" s="272" t="s">
        <v>1099</v>
      </c>
    </row>
    <row r="18411">
      <c r="B18411" s="31"/>
      <c r="G18411" s="272" t="s">
        <v>1099</v>
      </c>
    </row>
    <row r="18412">
      <c r="B18412" s="31"/>
      <c r="G18412" s="272" t="s">
        <v>1099</v>
      </c>
    </row>
    <row r="18413">
      <c r="B18413" s="31"/>
      <c r="G18413" s="272" t="s">
        <v>1099</v>
      </c>
    </row>
    <row r="18414">
      <c r="B18414" s="31"/>
      <c r="G18414" s="272" t="s">
        <v>1099</v>
      </c>
    </row>
    <row r="18415">
      <c r="B18415" s="31"/>
      <c r="G18415" s="272" t="s">
        <v>1099</v>
      </c>
    </row>
    <row r="18416">
      <c r="B18416" s="31"/>
      <c r="G18416" s="272" t="s">
        <v>1099</v>
      </c>
    </row>
    <row r="18417">
      <c r="B18417" s="31"/>
      <c r="G18417" s="272" t="s">
        <v>1099</v>
      </c>
    </row>
    <row r="18418">
      <c r="B18418" s="31"/>
      <c r="G18418" s="272" t="s">
        <v>1099</v>
      </c>
    </row>
    <row r="18419">
      <c r="B18419" s="31"/>
      <c r="G18419" s="272" t="s">
        <v>1099</v>
      </c>
    </row>
    <row r="18420">
      <c r="B18420" s="31"/>
      <c r="G18420" s="272" t="s">
        <v>1099</v>
      </c>
    </row>
    <row r="18421">
      <c r="B18421" s="31"/>
      <c r="G18421" s="272" t="s">
        <v>1099</v>
      </c>
    </row>
    <row r="18422">
      <c r="B18422" s="31"/>
      <c r="G18422" s="272" t="s">
        <v>1099</v>
      </c>
    </row>
    <row r="18423">
      <c r="B18423" s="31"/>
      <c r="G18423" s="272" t="s">
        <v>1099</v>
      </c>
    </row>
    <row r="18424">
      <c r="B18424" s="31"/>
      <c r="G18424" s="272" t="s">
        <v>1099</v>
      </c>
    </row>
    <row r="18425">
      <c r="B18425" s="31"/>
      <c r="G18425" s="272" t="s">
        <v>1099</v>
      </c>
    </row>
    <row r="18426">
      <c r="B18426" s="31"/>
      <c r="G18426" s="272" t="s">
        <v>1099</v>
      </c>
    </row>
    <row r="18427">
      <c r="B18427" s="31"/>
      <c r="G18427" s="272" t="s">
        <v>1099</v>
      </c>
    </row>
    <row r="18428">
      <c r="B18428" s="31"/>
      <c r="G18428" s="272" t="s">
        <v>1099</v>
      </c>
    </row>
    <row r="18429">
      <c r="B18429" s="31"/>
      <c r="G18429" s="272" t="s">
        <v>1099</v>
      </c>
    </row>
    <row r="18430">
      <c r="B18430" s="31"/>
      <c r="G18430" s="272" t="s">
        <v>1099</v>
      </c>
    </row>
    <row r="18431">
      <c r="B18431" s="31"/>
      <c r="G18431" s="272" t="s">
        <v>1099</v>
      </c>
    </row>
    <row r="18432">
      <c r="B18432" s="31"/>
      <c r="G18432" s="272" t="s">
        <v>1099</v>
      </c>
    </row>
    <row r="18433">
      <c r="B18433" s="31"/>
      <c r="G18433" s="272" t="s">
        <v>1099</v>
      </c>
    </row>
    <row r="18434">
      <c r="B18434" s="31"/>
      <c r="G18434" s="272" t="s">
        <v>1099</v>
      </c>
    </row>
    <row r="18435">
      <c r="B18435" s="31"/>
      <c r="G18435" s="272" t="s">
        <v>1099</v>
      </c>
    </row>
    <row r="18436">
      <c r="B18436" s="31"/>
      <c r="G18436" s="272" t="s">
        <v>1099</v>
      </c>
    </row>
    <row r="18437">
      <c r="B18437" s="31"/>
      <c r="G18437" s="272" t="s">
        <v>1099</v>
      </c>
    </row>
    <row r="18438">
      <c r="B18438" s="31"/>
      <c r="G18438" s="272" t="s">
        <v>1099</v>
      </c>
    </row>
    <row r="18439">
      <c r="B18439" s="31"/>
      <c r="G18439" s="272" t="s">
        <v>1099</v>
      </c>
    </row>
    <row r="18440">
      <c r="B18440" s="31"/>
      <c r="G18440" s="272" t="s">
        <v>1099</v>
      </c>
    </row>
    <row r="18441">
      <c r="B18441" s="31"/>
      <c r="G18441" s="272" t="s">
        <v>1099</v>
      </c>
    </row>
    <row r="18442">
      <c r="B18442" s="31"/>
      <c r="G18442" s="272" t="s">
        <v>1099</v>
      </c>
    </row>
    <row r="18443">
      <c r="B18443" s="31"/>
      <c r="G18443" s="272" t="s">
        <v>1099</v>
      </c>
    </row>
    <row r="18444">
      <c r="B18444" s="31"/>
      <c r="G18444" s="272" t="s">
        <v>1099</v>
      </c>
    </row>
    <row r="18445">
      <c r="B18445" s="31"/>
      <c r="G18445" s="272" t="s">
        <v>1099</v>
      </c>
    </row>
    <row r="18446">
      <c r="B18446" s="31"/>
      <c r="G18446" s="272" t="s">
        <v>1099</v>
      </c>
    </row>
    <row r="18447">
      <c r="B18447" s="31"/>
      <c r="G18447" s="272" t="s">
        <v>1099</v>
      </c>
    </row>
    <row r="18448">
      <c r="B18448" s="31"/>
      <c r="G18448" s="272" t="s">
        <v>1099</v>
      </c>
    </row>
    <row r="18449">
      <c r="B18449" s="31"/>
      <c r="G18449" s="272" t="s">
        <v>1099</v>
      </c>
    </row>
    <row r="18450">
      <c r="B18450" s="31"/>
      <c r="G18450" s="272" t="s">
        <v>1099</v>
      </c>
    </row>
    <row r="18451">
      <c r="B18451" s="31"/>
      <c r="G18451" s="272" t="s">
        <v>1099</v>
      </c>
    </row>
    <row r="18452">
      <c r="B18452" s="31"/>
      <c r="G18452" s="272" t="s">
        <v>1099</v>
      </c>
    </row>
    <row r="18453">
      <c r="B18453" s="31"/>
      <c r="G18453" s="272" t="s">
        <v>1099</v>
      </c>
    </row>
    <row r="18454">
      <c r="B18454" s="31"/>
      <c r="G18454" s="272" t="s">
        <v>1099</v>
      </c>
    </row>
    <row r="18455">
      <c r="B18455" s="31"/>
      <c r="G18455" s="272" t="s">
        <v>1099</v>
      </c>
    </row>
    <row r="18456">
      <c r="B18456" s="31"/>
      <c r="G18456" s="272" t="s">
        <v>1099</v>
      </c>
    </row>
    <row r="18457">
      <c r="B18457" s="31"/>
      <c r="G18457" s="272" t="s">
        <v>1099</v>
      </c>
    </row>
    <row r="18458">
      <c r="B18458" s="31"/>
      <c r="G18458" s="272" t="s">
        <v>1099</v>
      </c>
    </row>
    <row r="18459">
      <c r="B18459" s="31"/>
      <c r="G18459" s="272" t="s">
        <v>1099</v>
      </c>
    </row>
    <row r="18460">
      <c r="B18460" s="31"/>
      <c r="G18460" s="272" t="s">
        <v>1099</v>
      </c>
    </row>
    <row r="18461">
      <c r="B18461" s="31"/>
      <c r="G18461" s="272" t="s">
        <v>1099</v>
      </c>
    </row>
    <row r="18462">
      <c r="B18462" s="31"/>
      <c r="G18462" s="272" t="s">
        <v>1099</v>
      </c>
    </row>
    <row r="18463">
      <c r="B18463" s="31"/>
      <c r="G18463" s="272" t="s">
        <v>1099</v>
      </c>
    </row>
    <row r="18464">
      <c r="B18464" s="31"/>
      <c r="G18464" s="272" t="s">
        <v>1099</v>
      </c>
    </row>
    <row r="18465">
      <c r="B18465" s="31"/>
      <c r="G18465" s="272" t="s">
        <v>1099</v>
      </c>
    </row>
    <row r="18466">
      <c r="B18466" s="31"/>
      <c r="G18466" s="272" t="s">
        <v>1099</v>
      </c>
    </row>
    <row r="18467">
      <c r="B18467" s="31"/>
      <c r="G18467" s="272" t="s">
        <v>1099</v>
      </c>
    </row>
    <row r="18468">
      <c r="B18468" s="31"/>
      <c r="G18468" s="272" t="s">
        <v>1099</v>
      </c>
    </row>
    <row r="18469">
      <c r="B18469" s="31"/>
      <c r="G18469" s="272" t="s">
        <v>1099</v>
      </c>
    </row>
    <row r="18470">
      <c r="B18470" s="31"/>
      <c r="G18470" s="272" t="s">
        <v>1099</v>
      </c>
    </row>
    <row r="18471">
      <c r="B18471" s="31"/>
      <c r="G18471" s="272" t="s">
        <v>1099</v>
      </c>
    </row>
    <row r="18472">
      <c r="B18472" s="31"/>
      <c r="G18472" s="272" t="s">
        <v>1099</v>
      </c>
    </row>
    <row r="18473">
      <c r="B18473" s="31"/>
      <c r="G18473" s="272" t="s">
        <v>1099</v>
      </c>
    </row>
    <row r="18474">
      <c r="B18474" s="31"/>
      <c r="G18474" s="272" t="s">
        <v>1099</v>
      </c>
    </row>
    <row r="18475">
      <c r="B18475" s="31"/>
      <c r="G18475" s="272" t="s">
        <v>1099</v>
      </c>
    </row>
    <row r="18476">
      <c r="B18476" s="31"/>
      <c r="G18476" s="272" t="s">
        <v>1099</v>
      </c>
    </row>
    <row r="18477">
      <c r="B18477" s="31"/>
      <c r="G18477" s="272" t="s">
        <v>1099</v>
      </c>
    </row>
    <row r="18478">
      <c r="B18478" s="31"/>
      <c r="G18478" s="272" t="s">
        <v>1099</v>
      </c>
    </row>
    <row r="18479">
      <c r="B18479" s="31"/>
      <c r="G18479" s="272" t="s">
        <v>1099</v>
      </c>
    </row>
    <row r="18480">
      <c r="B18480" s="31"/>
      <c r="G18480" s="272" t="s">
        <v>1099</v>
      </c>
    </row>
    <row r="18481">
      <c r="B18481" s="31"/>
      <c r="G18481" s="272" t="s">
        <v>1099</v>
      </c>
    </row>
    <row r="18482">
      <c r="B18482" s="31"/>
      <c r="G18482" s="272" t="s">
        <v>1099</v>
      </c>
    </row>
    <row r="18483">
      <c r="B18483" s="31"/>
      <c r="G18483" s="272" t="s">
        <v>1099</v>
      </c>
    </row>
    <row r="18484">
      <c r="B18484" s="31"/>
      <c r="G18484" s="272" t="s">
        <v>1099</v>
      </c>
    </row>
    <row r="18485">
      <c r="B18485" s="31"/>
      <c r="G18485" s="272" t="s">
        <v>1099</v>
      </c>
    </row>
    <row r="18486">
      <c r="B18486" s="31"/>
      <c r="G18486" s="272" t="s">
        <v>1099</v>
      </c>
    </row>
    <row r="18487">
      <c r="B18487" s="31"/>
      <c r="G18487" s="272" t="s">
        <v>1099</v>
      </c>
    </row>
    <row r="18488">
      <c r="B18488" s="31"/>
      <c r="G18488" s="272" t="s">
        <v>1099</v>
      </c>
    </row>
    <row r="18489">
      <c r="B18489" s="31"/>
      <c r="G18489" s="272" t="s">
        <v>1099</v>
      </c>
    </row>
    <row r="18490">
      <c r="B18490" s="31"/>
      <c r="G18490" s="272" t="s">
        <v>1099</v>
      </c>
    </row>
    <row r="18491">
      <c r="B18491" s="31"/>
      <c r="G18491" s="272" t="s">
        <v>1099</v>
      </c>
    </row>
    <row r="18492">
      <c r="B18492" s="31"/>
      <c r="G18492" s="272" t="s">
        <v>1099</v>
      </c>
    </row>
    <row r="18493">
      <c r="B18493" s="31"/>
      <c r="G18493" s="272" t="s">
        <v>1099</v>
      </c>
    </row>
    <row r="18494">
      <c r="B18494" s="31"/>
      <c r="G18494" s="272" t="s">
        <v>1099</v>
      </c>
    </row>
    <row r="18495">
      <c r="B18495" s="31"/>
      <c r="G18495" s="272" t="s">
        <v>1099</v>
      </c>
    </row>
    <row r="18496">
      <c r="B18496" s="31"/>
      <c r="G18496" s="272" t="s">
        <v>1099</v>
      </c>
    </row>
    <row r="18497">
      <c r="B18497" s="31"/>
      <c r="G18497" s="272" t="s">
        <v>1099</v>
      </c>
    </row>
    <row r="18498">
      <c r="B18498" s="31"/>
      <c r="G18498" s="272" t="s">
        <v>1099</v>
      </c>
    </row>
    <row r="18499">
      <c r="B18499" s="31"/>
      <c r="G18499" s="272" t="s">
        <v>1099</v>
      </c>
    </row>
    <row r="18500">
      <c r="B18500" s="31"/>
      <c r="G18500" s="272" t="s">
        <v>1099</v>
      </c>
    </row>
    <row r="18501">
      <c r="B18501" s="31"/>
      <c r="G18501" s="272" t="s">
        <v>1099</v>
      </c>
    </row>
    <row r="18502">
      <c r="B18502" s="31"/>
      <c r="G18502" s="272" t="s">
        <v>1099</v>
      </c>
    </row>
    <row r="18503">
      <c r="B18503" s="31"/>
      <c r="G18503" s="272" t="s">
        <v>1099</v>
      </c>
    </row>
    <row r="18504">
      <c r="B18504" s="31"/>
      <c r="G18504" s="272" t="s">
        <v>1099</v>
      </c>
    </row>
    <row r="18505">
      <c r="B18505" s="31"/>
      <c r="G18505" s="272" t="s">
        <v>1099</v>
      </c>
    </row>
    <row r="18506">
      <c r="B18506" s="31"/>
      <c r="G18506" s="272" t="s">
        <v>1099</v>
      </c>
    </row>
    <row r="18507">
      <c r="B18507" s="31"/>
      <c r="G18507" s="272" t="s">
        <v>1099</v>
      </c>
    </row>
    <row r="18508">
      <c r="B18508" s="31"/>
      <c r="G18508" s="272" t="s">
        <v>1099</v>
      </c>
    </row>
    <row r="18509">
      <c r="B18509" s="31"/>
      <c r="G18509" s="272" t="s">
        <v>1099</v>
      </c>
    </row>
    <row r="18510">
      <c r="B18510" s="31"/>
      <c r="G18510" s="272" t="s">
        <v>1099</v>
      </c>
    </row>
    <row r="18511">
      <c r="B18511" s="31"/>
      <c r="G18511" s="272" t="s">
        <v>1099</v>
      </c>
    </row>
    <row r="18512">
      <c r="B18512" s="31"/>
      <c r="G18512" s="272" t="s">
        <v>1099</v>
      </c>
    </row>
    <row r="18513">
      <c r="B18513" s="31"/>
      <c r="G18513" s="272" t="s">
        <v>1099</v>
      </c>
    </row>
    <row r="18514">
      <c r="B18514" s="31"/>
      <c r="G18514" s="272" t="s">
        <v>1099</v>
      </c>
    </row>
    <row r="18515">
      <c r="B18515" s="31"/>
      <c r="G18515" s="272" t="s">
        <v>1099</v>
      </c>
    </row>
    <row r="18516">
      <c r="B18516" s="31"/>
      <c r="G18516" s="272" t="s">
        <v>1099</v>
      </c>
    </row>
    <row r="18517">
      <c r="B18517" s="31"/>
      <c r="G18517" s="272" t="s">
        <v>1099</v>
      </c>
    </row>
    <row r="18518">
      <c r="B18518" s="31"/>
      <c r="G18518" s="272" t="s">
        <v>1099</v>
      </c>
    </row>
    <row r="18519">
      <c r="B18519" s="31"/>
      <c r="G18519" s="272" t="s">
        <v>1099</v>
      </c>
    </row>
    <row r="18520">
      <c r="B18520" s="31"/>
      <c r="G18520" s="272" t="s">
        <v>1099</v>
      </c>
    </row>
    <row r="18521">
      <c r="B18521" s="31"/>
      <c r="G18521" s="272" t="s">
        <v>1099</v>
      </c>
    </row>
    <row r="18522">
      <c r="B18522" s="31"/>
      <c r="G18522" s="272" t="s">
        <v>1099</v>
      </c>
    </row>
    <row r="18523">
      <c r="B18523" s="31"/>
      <c r="G18523" s="272" t="s">
        <v>1099</v>
      </c>
    </row>
    <row r="18524">
      <c r="B18524" s="31"/>
      <c r="G18524" s="272" t="s">
        <v>1099</v>
      </c>
    </row>
    <row r="18525">
      <c r="B18525" s="31"/>
      <c r="G18525" s="272" t="s">
        <v>1099</v>
      </c>
    </row>
    <row r="18526">
      <c r="B18526" s="31"/>
      <c r="G18526" s="272" t="s">
        <v>1099</v>
      </c>
    </row>
    <row r="18527">
      <c r="B18527" s="31"/>
      <c r="G18527" s="272" t="s">
        <v>1099</v>
      </c>
    </row>
    <row r="18528">
      <c r="B18528" s="31"/>
      <c r="G18528" s="272" t="s">
        <v>1099</v>
      </c>
    </row>
    <row r="18529">
      <c r="B18529" s="31"/>
      <c r="G18529" s="272" t="s">
        <v>1099</v>
      </c>
    </row>
    <row r="18530">
      <c r="B18530" s="31"/>
      <c r="G18530" s="272" t="s">
        <v>1099</v>
      </c>
    </row>
    <row r="18531">
      <c r="B18531" s="31"/>
      <c r="G18531" s="272" t="s">
        <v>1099</v>
      </c>
    </row>
    <row r="18532">
      <c r="B18532" s="31"/>
      <c r="G18532" s="272" t="s">
        <v>1099</v>
      </c>
    </row>
    <row r="18533">
      <c r="B18533" s="31"/>
      <c r="G18533" s="272" t="s">
        <v>1099</v>
      </c>
    </row>
    <row r="18534">
      <c r="B18534" s="31"/>
      <c r="G18534" s="272" t="s">
        <v>1099</v>
      </c>
    </row>
    <row r="18535">
      <c r="B18535" s="31"/>
      <c r="G18535" s="272" t="s">
        <v>1099</v>
      </c>
    </row>
    <row r="18536">
      <c r="B18536" s="31"/>
      <c r="G18536" s="272" t="s">
        <v>1099</v>
      </c>
    </row>
    <row r="18537">
      <c r="B18537" s="31"/>
      <c r="G18537" s="272" t="s">
        <v>1099</v>
      </c>
    </row>
    <row r="18538">
      <c r="B18538" s="31"/>
      <c r="G18538" s="272" t="s">
        <v>1099</v>
      </c>
    </row>
    <row r="18539">
      <c r="B18539" s="31"/>
      <c r="G18539" s="272" t="s">
        <v>1099</v>
      </c>
    </row>
    <row r="18540">
      <c r="B18540" s="31"/>
      <c r="G18540" s="272" t="s">
        <v>1099</v>
      </c>
    </row>
    <row r="18541">
      <c r="B18541" s="31"/>
      <c r="G18541" s="272" t="s">
        <v>1099</v>
      </c>
    </row>
    <row r="18542">
      <c r="B18542" s="31"/>
      <c r="G18542" s="272" t="s">
        <v>1099</v>
      </c>
    </row>
    <row r="18543">
      <c r="B18543" s="31"/>
      <c r="G18543" s="272" t="s">
        <v>1099</v>
      </c>
    </row>
    <row r="18544">
      <c r="B18544" s="31"/>
      <c r="G18544" s="272" t="s">
        <v>1099</v>
      </c>
    </row>
    <row r="18545">
      <c r="B18545" s="31"/>
      <c r="G18545" s="272" t="s">
        <v>1099</v>
      </c>
    </row>
    <row r="18546">
      <c r="B18546" s="31"/>
      <c r="G18546" s="272" t="s">
        <v>1099</v>
      </c>
    </row>
    <row r="18547">
      <c r="B18547" s="31"/>
      <c r="G18547" s="272" t="s">
        <v>1099</v>
      </c>
    </row>
    <row r="18548">
      <c r="B18548" s="31"/>
      <c r="G18548" s="272" t="s">
        <v>1099</v>
      </c>
    </row>
    <row r="18549">
      <c r="B18549" s="31"/>
      <c r="G18549" s="272" t="s">
        <v>1099</v>
      </c>
    </row>
    <row r="18550">
      <c r="B18550" s="31"/>
      <c r="G18550" s="272" t="s">
        <v>1099</v>
      </c>
    </row>
    <row r="18551">
      <c r="B18551" s="31"/>
      <c r="G18551" s="272" t="s">
        <v>1099</v>
      </c>
    </row>
    <row r="18552">
      <c r="B18552" s="31"/>
      <c r="G18552" s="272" t="s">
        <v>1099</v>
      </c>
    </row>
    <row r="18553">
      <c r="B18553" s="31"/>
      <c r="G18553" s="272" t="s">
        <v>1099</v>
      </c>
    </row>
    <row r="18554">
      <c r="B18554" s="31"/>
      <c r="G18554" s="272" t="s">
        <v>1099</v>
      </c>
    </row>
    <row r="18555">
      <c r="B18555" s="31"/>
      <c r="G18555" s="272" t="s">
        <v>1099</v>
      </c>
    </row>
    <row r="18556">
      <c r="B18556" s="31"/>
      <c r="G18556" s="272" t="s">
        <v>1099</v>
      </c>
    </row>
    <row r="18557">
      <c r="B18557" s="31"/>
      <c r="G18557" s="272" t="s">
        <v>1099</v>
      </c>
    </row>
    <row r="18558">
      <c r="B18558" s="31"/>
      <c r="G18558" s="272" t="s">
        <v>1099</v>
      </c>
    </row>
    <row r="18559">
      <c r="B18559" s="31"/>
      <c r="G18559" s="272" t="s">
        <v>1099</v>
      </c>
    </row>
    <row r="18560">
      <c r="B18560" s="31"/>
      <c r="G18560" s="272" t="s">
        <v>1099</v>
      </c>
    </row>
    <row r="18561">
      <c r="B18561" s="31"/>
      <c r="G18561" s="272" t="s">
        <v>1099</v>
      </c>
    </row>
    <row r="18562">
      <c r="B18562" s="31"/>
      <c r="G18562" s="272" t="s">
        <v>1099</v>
      </c>
    </row>
    <row r="18563">
      <c r="B18563" s="31"/>
      <c r="G18563" s="272" t="s">
        <v>1099</v>
      </c>
    </row>
    <row r="18564">
      <c r="B18564" s="31"/>
      <c r="G18564" s="272" t="s">
        <v>1099</v>
      </c>
    </row>
    <row r="18565">
      <c r="B18565" s="31"/>
      <c r="G18565" s="272" t="s">
        <v>1099</v>
      </c>
    </row>
    <row r="18566">
      <c r="B18566" s="31"/>
      <c r="G18566" s="272" t="s">
        <v>1099</v>
      </c>
    </row>
    <row r="18567">
      <c r="B18567" s="31"/>
      <c r="G18567" s="272" t="s">
        <v>1099</v>
      </c>
    </row>
    <row r="18568">
      <c r="B18568" s="31"/>
      <c r="G18568" s="272" t="s">
        <v>1099</v>
      </c>
    </row>
    <row r="18569">
      <c r="B18569" s="31"/>
      <c r="G18569" s="272" t="s">
        <v>1099</v>
      </c>
    </row>
    <row r="18570">
      <c r="B18570" s="31"/>
      <c r="G18570" s="272" t="s">
        <v>1099</v>
      </c>
    </row>
    <row r="18571">
      <c r="B18571" s="31"/>
      <c r="G18571" s="272" t="s">
        <v>1099</v>
      </c>
    </row>
    <row r="18572">
      <c r="B18572" s="31"/>
      <c r="G18572" s="272" t="s">
        <v>1099</v>
      </c>
    </row>
    <row r="18573">
      <c r="B18573" s="31"/>
      <c r="G18573" s="272" t="s">
        <v>1099</v>
      </c>
    </row>
    <row r="18574">
      <c r="B18574" s="31"/>
      <c r="G18574" s="272" t="s">
        <v>1099</v>
      </c>
    </row>
    <row r="18575">
      <c r="B18575" s="31"/>
      <c r="G18575" s="272" t="s">
        <v>1099</v>
      </c>
    </row>
    <row r="18576">
      <c r="B18576" s="31"/>
      <c r="G18576" s="272" t="s">
        <v>1099</v>
      </c>
    </row>
    <row r="18577">
      <c r="B18577" s="31"/>
      <c r="G18577" s="272" t="s">
        <v>1099</v>
      </c>
    </row>
    <row r="18578">
      <c r="B18578" s="31"/>
      <c r="G18578" s="272" t="s">
        <v>1099</v>
      </c>
    </row>
    <row r="18579">
      <c r="B18579" s="31"/>
      <c r="G18579" s="272" t="s">
        <v>1099</v>
      </c>
    </row>
    <row r="18580">
      <c r="B18580" s="31"/>
      <c r="G18580" s="272" t="s">
        <v>1099</v>
      </c>
    </row>
    <row r="18581">
      <c r="B18581" s="31"/>
      <c r="G18581" s="272" t="s">
        <v>1099</v>
      </c>
    </row>
    <row r="18582">
      <c r="B18582" s="31"/>
      <c r="G18582" s="272" t="s">
        <v>1099</v>
      </c>
    </row>
    <row r="18583">
      <c r="B18583" s="31"/>
      <c r="G18583" s="272" t="s">
        <v>1099</v>
      </c>
    </row>
    <row r="18584">
      <c r="B18584" s="31"/>
      <c r="G18584" s="272" t="s">
        <v>1099</v>
      </c>
    </row>
    <row r="18585">
      <c r="B18585" s="31"/>
      <c r="G18585" s="272" t="s">
        <v>1099</v>
      </c>
    </row>
    <row r="18586">
      <c r="B18586" s="31"/>
      <c r="G18586" s="272" t="s">
        <v>1099</v>
      </c>
    </row>
    <row r="18587">
      <c r="B18587" s="31"/>
      <c r="G18587" s="272" t="s">
        <v>1099</v>
      </c>
    </row>
    <row r="18588">
      <c r="B18588" s="31"/>
      <c r="G18588" s="272" t="s">
        <v>1099</v>
      </c>
    </row>
    <row r="18589">
      <c r="B18589" s="31"/>
      <c r="G18589" s="272" t="s">
        <v>1099</v>
      </c>
    </row>
    <row r="18590">
      <c r="B18590" s="31"/>
      <c r="G18590" s="272" t="s">
        <v>1099</v>
      </c>
    </row>
    <row r="18591">
      <c r="B18591" s="31"/>
      <c r="G18591" s="272" t="s">
        <v>1099</v>
      </c>
    </row>
    <row r="18592">
      <c r="B18592" s="31"/>
      <c r="G18592" s="272" t="s">
        <v>1099</v>
      </c>
    </row>
    <row r="18593">
      <c r="B18593" s="31"/>
      <c r="G18593" s="272" t="s">
        <v>1099</v>
      </c>
    </row>
    <row r="18594">
      <c r="B18594" s="31"/>
      <c r="G18594" s="272" t="s">
        <v>1099</v>
      </c>
    </row>
    <row r="18595">
      <c r="B18595" s="31"/>
      <c r="G18595" s="272" t="s">
        <v>1099</v>
      </c>
    </row>
    <row r="18596">
      <c r="B18596" s="31"/>
      <c r="G18596" s="272" t="s">
        <v>1099</v>
      </c>
    </row>
    <row r="18597">
      <c r="B18597" s="31"/>
      <c r="G18597" s="272" t="s">
        <v>1099</v>
      </c>
    </row>
    <row r="18598">
      <c r="B18598" s="31"/>
      <c r="G18598" s="272" t="s">
        <v>1099</v>
      </c>
    </row>
    <row r="18599">
      <c r="B18599" s="31"/>
      <c r="G18599" s="272" t="s">
        <v>1099</v>
      </c>
    </row>
    <row r="18600">
      <c r="B18600" s="31"/>
      <c r="G18600" s="272" t="s">
        <v>1099</v>
      </c>
    </row>
    <row r="18601">
      <c r="B18601" s="31"/>
      <c r="G18601" s="272" t="s">
        <v>1099</v>
      </c>
    </row>
    <row r="18602">
      <c r="B18602" s="31"/>
      <c r="G18602" s="272" t="s">
        <v>1099</v>
      </c>
    </row>
    <row r="18603">
      <c r="B18603" s="31"/>
      <c r="G18603" s="272" t="s">
        <v>1099</v>
      </c>
    </row>
    <row r="18604">
      <c r="B18604" s="31"/>
      <c r="G18604" s="272" t="s">
        <v>1099</v>
      </c>
    </row>
    <row r="18605">
      <c r="B18605" s="31"/>
      <c r="G18605" s="272" t="s">
        <v>1099</v>
      </c>
    </row>
    <row r="18606">
      <c r="B18606" s="31"/>
      <c r="G18606" s="272" t="s">
        <v>1099</v>
      </c>
    </row>
    <row r="18607">
      <c r="B18607" s="31"/>
      <c r="G18607" s="272" t="s">
        <v>1099</v>
      </c>
    </row>
    <row r="18608">
      <c r="B18608" s="31"/>
      <c r="G18608" s="272" t="s">
        <v>1099</v>
      </c>
    </row>
    <row r="18609">
      <c r="B18609" s="31"/>
      <c r="G18609" s="272" t="s">
        <v>1099</v>
      </c>
    </row>
    <row r="18610">
      <c r="B18610" s="31"/>
      <c r="G18610" s="272" t="s">
        <v>1099</v>
      </c>
    </row>
    <row r="18611">
      <c r="B18611" s="31"/>
      <c r="G18611" s="272" t="s">
        <v>1099</v>
      </c>
    </row>
    <row r="18612">
      <c r="B18612" s="31"/>
      <c r="G18612" s="272" t="s">
        <v>1099</v>
      </c>
    </row>
    <row r="18613">
      <c r="B18613" s="31"/>
      <c r="G18613" s="272" t="s">
        <v>1099</v>
      </c>
    </row>
    <row r="18614">
      <c r="B18614" s="31"/>
      <c r="G18614" s="272" t="s">
        <v>1099</v>
      </c>
    </row>
    <row r="18615">
      <c r="B18615" s="31"/>
      <c r="G18615" s="272" t="s">
        <v>1099</v>
      </c>
    </row>
    <row r="18616">
      <c r="B18616" s="31"/>
      <c r="G18616" s="272" t="s">
        <v>1099</v>
      </c>
    </row>
    <row r="18617">
      <c r="B18617" s="31"/>
      <c r="G18617" s="272" t="s">
        <v>1099</v>
      </c>
    </row>
    <row r="18618">
      <c r="B18618" s="31"/>
      <c r="G18618" s="272" t="s">
        <v>1099</v>
      </c>
    </row>
    <row r="18619">
      <c r="B18619" s="31"/>
      <c r="G18619" s="272" t="s">
        <v>1099</v>
      </c>
    </row>
    <row r="18620">
      <c r="B18620" s="31"/>
      <c r="G18620" s="272" t="s">
        <v>1099</v>
      </c>
    </row>
    <row r="18621">
      <c r="B18621" s="31"/>
      <c r="G18621" s="272" t="s">
        <v>1099</v>
      </c>
    </row>
    <row r="18622">
      <c r="B18622" s="31"/>
      <c r="G18622" s="272" t="s">
        <v>1099</v>
      </c>
    </row>
    <row r="18623">
      <c r="B18623" s="31"/>
      <c r="G18623" s="272" t="s">
        <v>1099</v>
      </c>
    </row>
    <row r="18624">
      <c r="B18624" s="31"/>
      <c r="G18624" s="272" t="s">
        <v>1099</v>
      </c>
    </row>
    <row r="18625">
      <c r="B18625" s="31"/>
      <c r="G18625" s="272" t="s">
        <v>1099</v>
      </c>
    </row>
    <row r="18626">
      <c r="B18626" s="31"/>
      <c r="G18626" s="272" t="s">
        <v>1099</v>
      </c>
    </row>
    <row r="18627">
      <c r="B18627" s="31"/>
      <c r="G18627" s="272" t="s">
        <v>1099</v>
      </c>
    </row>
    <row r="18628">
      <c r="B18628" s="31"/>
      <c r="G18628" s="272" t="s">
        <v>1099</v>
      </c>
    </row>
    <row r="18629">
      <c r="B18629" s="31"/>
      <c r="G18629" s="272" t="s">
        <v>1099</v>
      </c>
    </row>
    <row r="18630">
      <c r="B18630" s="31"/>
      <c r="G18630" s="272" t="s">
        <v>1099</v>
      </c>
    </row>
    <row r="18631">
      <c r="B18631" s="31"/>
      <c r="G18631" s="272" t="s">
        <v>1099</v>
      </c>
    </row>
    <row r="18632">
      <c r="B18632" s="31"/>
      <c r="G18632" s="272" t="s">
        <v>1099</v>
      </c>
    </row>
    <row r="18633">
      <c r="B18633" s="31"/>
      <c r="G18633" s="272" t="s">
        <v>1099</v>
      </c>
    </row>
    <row r="18634">
      <c r="B18634" s="31"/>
      <c r="G18634" s="272" t="s">
        <v>1099</v>
      </c>
    </row>
    <row r="18635">
      <c r="B18635" s="31"/>
      <c r="G18635" s="272" t="s">
        <v>1099</v>
      </c>
    </row>
    <row r="18636">
      <c r="B18636" s="31"/>
      <c r="G18636" s="272" t="s">
        <v>1099</v>
      </c>
    </row>
    <row r="18637">
      <c r="B18637" s="31"/>
      <c r="G18637" s="272" t="s">
        <v>1099</v>
      </c>
    </row>
    <row r="18638">
      <c r="B18638" s="31"/>
      <c r="G18638" s="272" t="s">
        <v>1099</v>
      </c>
    </row>
    <row r="18639">
      <c r="B18639" s="31"/>
      <c r="G18639" s="272" t="s">
        <v>1099</v>
      </c>
    </row>
    <row r="18640">
      <c r="B18640" s="31"/>
      <c r="G18640" s="272" t="s">
        <v>1099</v>
      </c>
    </row>
    <row r="18641">
      <c r="B18641" s="31"/>
      <c r="G18641" s="272" t="s">
        <v>1099</v>
      </c>
    </row>
    <row r="18642">
      <c r="B18642" s="31"/>
      <c r="G18642" s="272" t="s">
        <v>1099</v>
      </c>
    </row>
    <row r="18643">
      <c r="B18643" s="31"/>
      <c r="G18643" s="272" t="s">
        <v>1099</v>
      </c>
    </row>
    <row r="18644">
      <c r="B18644" s="31"/>
      <c r="G18644" s="272" t="s">
        <v>1099</v>
      </c>
    </row>
    <row r="18645">
      <c r="B18645" s="31"/>
      <c r="G18645" s="272" t="s">
        <v>1099</v>
      </c>
    </row>
    <row r="18646">
      <c r="B18646" s="31"/>
      <c r="G18646" s="272" t="s">
        <v>1099</v>
      </c>
    </row>
    <row r="18647">
      <c r="B18647" s="31"/>
      <c r="G18647" s="272" t="s">
        <v>1099</v>
      </c>
    </row>
    <row r="18648">
      <c r="B18648" s="31"/>
      <c r="G18648" s="272" t="s">
        <v>1099</v>
      </c>
    </row>
    <row r="18649">
      <c r="B18649" s="31"/>
      <c r="G18649" s="272" t="s">
        <v>1099</v>
      </c>
    </row>
    <row r="18650">
      <c r="B18650" s="31"/>
      <c r="G18650" s="272" t="s">
        <v>1099</v>
      </c>
    </row>
    <row r="18651">
      <c r="B18651" s="31"/>
      <c r="G18651" s="272" t="s">
        <v>1099</v>
      </c>
    </row>
    <row r="18652">
      <c r="B18652" s="31"/>
      <c r="G18652" s="272" t="s">
        <v>1099</v>
      </c>
    </row>
    <row r="18653">
      <c r="B18653" s="31"/>
      <c r="G18653" s="272" t="s">
        <v>1099</v>
      </c>
    </row>
    <row r="18654">
      <c r="B18654" s="31"/>
      <c r="G18654" s="272" t="s">
        <v>1099</v>
      </c>
    </row>
    <row r="18655">
      <c r="B18655" s="31"/>
      <c r="G18655" s="272" t="s">
        <v>1099</v>
      </c>
    </row>
    <row r="18656">
      <c r="B18656" s="31"/>
      <c r="G18656" s="272" t="s">
        <v>1099</v>
      </c>
    </row>
    <row r="18657">
      <c r="B18657" s="31"/>
      <c r="G18657" s="272" t="s">
        <v>1099</v>
      </c>
    </row>
    <row r="18658">
      <c r="B18658" s="31"/>
      <c r="G18658" s="272" t="s">
        <v>1099</v>
      </c>
    </row>
    <row r="18659">
      <c r="B18659" s="31"/>
      <c r="G18659" s="272" t="s">
        <v>1099</v>
      </c>
    </row>
    <row r="18660">
      <c r="B18660" s="31"/>
      <c r="G18660" s="272" t="s">
        <v>1099</v>
      </c>
    </row>
    <row r="18661">
      <c r="B18661" s="31"/>
      <c r="G18661" s="272" t="s">
        <v>1099</v>
      </c>
    </row>
    <row r="18662">
      <c r="B18662" s="31"/>
      <c r="G18662" s="272" t="s">
        <v>1099</v>
      </c>
    </row>
    <row r="18663">
      <c r="B18663" s="31"/>
      <c r="G18663" s="272" t="s">
        <v>1099</v>
      </c>
    </row>
    <row r="18664">
      <c r="B18664" s="31"/>
      <c r="G18664" s="272" t="s">
        <v>1099</v>
      </c>
    </row>
    <row r="18665">
      <c r="B18665" s="31"/>
      <c r="G18665" s="272" t="s">
        <v>1099</v>
      </c>
    </row>
    <row r="18666">
      <c r="B18666" s="31"/>
      <c r="G18666" s="272" t="s">
        <v>1099</v>
      </c>
    </row>
    <row r="18667">
      <c r="B18667" s="31"/>
      <c r="G18667" s="272" t="s">
        <v>1099</v>
      </c>
    </row>
    <row r="18668">
      <c r="B18668" s="31"/>
      <c r="G18668" s="272" t="s">
        <v>1099</v>
      </c>
    </row>
    <row r="18669">
      <c r="B18669" s="31"/>
      <c r="G18669" s="272" t="s">
        <v>1099</v>
      </c>
    </row>
    <row r="18670">
      <c r="B18670" s="31"/>
      <c r="G18670" s="272" t="s">
        <v>1099</v>
      </c>
    </row>
    <row r="18671">
      <c r="B18671" s="31"/>
      <c r="G18671" s="272" t="s">
        <v>1099</v>
      </c>
    </row>
    <row r="18672">
      <c r="B18672" s="31"/>
      <c r="G18672" s="272" t="s">
        <v>1099</v>
      </c>
    </row>
    <row r="18673">
      <c r="B18673" s="31"/>
      <c r="G18673" s="272" t="s">
        <v>1099</v>
      </c>
    </row>
    <row r="18674">
      <c r="B18674" s="31"/>
      <c r="G18674" s="272" t="s">
        <v>1099</v>
      </c>
    </row>
    <row r="18675">
      <c r="B18675" s="31"/>
      <c r="G18675" s="272" t="s">
        <v>1099</v>
      </c>
    </row>
    <row r="18676">
      <c r="B18676" s="31"/>
      <c r="G18676" s="272" t="s">
        <v>1099</v>
      </c>
    </row>
    <row r="18677">
      <c r="B18677" s="31"/>
      <c r="G18677" s="272" t="s">
        <v>1099</v>
      </c>
    </row>
    <row r="18678">
      <c r="B18678" s="31"/>
      <c r="G18678" s="272" t="s">
        <v>1099</v>
      </c>
    </row>
    <row r="18679">
      <c r="B18679" s="31"/>
      <c r="G18679" s="272" t="s">
        <v>1099</v>
      </c>
    </row>
    <row r="18680">
      <c r="B18680" s="31"/>
      <c r="G18680" s="272" t="s">
        <v>1099</v>
      </c>
    </row>
    <row r="18681">
      <c r="B18681" s="31"/>
      <c r="G18681" s="272" t="s">
        <v>1099</v>
      </c>
    </row>
    <row r="18682">
      <c r="B18682" s="31"/>
      <c r="G18682" s="272" t="s">
        <v>1099</v>
      </c>
    </row>
    <row r="18683">
      <c r="B18683" s="31"/>
      <c r="G18683" s="272" t="s">
        <v>1099</v>
      </c>
    </row>
    <row r="18684">
      <c r="B18684" s="31"/>
      <c r="G18684" s="272" t="s">
        <v>1099</v>
      </c>
    </row>
    <row r="18685">
      <c r="B18685" s="31"/>
      <c r="G18685" s="272" t="s">
        <v>1099</v>
      </c>
    </row>
    <row r="18686">
      <c r="B18686" s="31"/>
      <c r="G18686" s="272" t="s">
        <v>1099</v>
      </c>
    </row>
    <row r="18687">
      <c r="B18687" s="31"/>
      <c r="G18687" s="272" t="s">
        <v>1099</v>
      </c>
    </row>
    <row r="18688">
      <c r="B18688" s="31"/>
      <c r="G18688" s="272" t="s">
        <v>1099</v>
      </c>
    </row>
    <row r="18689">
      <c r="B18689" s="31"/>
      <c r="G18689" s="272" t="s">
        <v>1099</v>
      </c>
    </row>
    <row r="18690">
      <c r="B18690" s="31"/>
      <c r="G18690" s="272" t="s">
        <v>1099</v>
      </c>
    </row>
    <row r="18691">
      <c r="B18691" s="31"/>
      <c r="G18691" s="272" t="s">
        <v>1099</v>
      </c>
    </row>
    <row r="18692">
      <c r="B18692" s="31"/>
      <c r="G18692" s="272" t="s">
        <v>1099</v>
      </c>
    </row>
    <row r="18693">
      <c r="B18693" s="31"/>
      <c r="G18693" s="272" t="s">
        <v>1099</v>
      </c>
    </row>
    <row r="18694">
      <c r="B18694" s="31"/>
      <c r="G18694" s="272" t="s">
        <v>1099</v>
      </c>
    </row>
    <row r="18695">
      <c r="B18695" s="31"/>
      <c r="G18695" s="272" t="s">
        <v>1099</v>
      </c>
    </row>
    <row r="18696">
      <c r="B18696" s="31"/>
      <c r="G18696" s="272" t="s">
        <v>1099</v>
      </c>
    </row>
    <row r="18697">
      <c r="B18697" s="31"/>
      <c r="G18697" s="272" t="s">
        <v>1099</v>
      </c>
    </row>
    <row r="18698">
      <c r="B18698" s="31"/>
      <c r="G18698" s="272" t="s">
        <v>1099</v>
      </c>
    </row>
    <row r="18699">
      <c r="B18699" s="31"/>
      <c r="G18699" s="272" t="s">
        <v>1099</v>
      </c>
    </row>
    <row r="18700">
      <c r="B18700" s="31"/>
      <c r="G18700" s="272" t="s">
        <v>1099</v>
      </c>
    </row>
    <row r="18701">
      <c r="B18701" s="31"/>
      <c r="G18701" s="272" t="s">
        <v>1099</v>
      </c>
    </row>
    <row r="18702">
      <c r="B18702" s="31"/>
      <c r="G18702" s="272" t="s">
        <v>1099</v>
      </c>
    </row>
    <row r="18703">
      <c r="B18703" s="31"/>
      <c r="G18703" s="272" t="s">
        <v>1099</v>
      </c>
    </row>
    <row r="18704">
      <c r="B18704" s="31"/>
      <c r="G18704" s="272" t="s">
        <v>1099</v>
      </c>
    </row>
    <row r="18705">
      <c r="B18705" s="31"/>
      <c r="G18705" s="272" t="s">
        <v>1099</v>
      </c>
    </row>
    <row r="18706">
      <c r="B18706" s="31"/>
      <c r="G18706" s="272" t="s">
        <v>1099</v>
      </c>
    </row>
    <row r="18707">
      <c r="B18707" s="31"/>
      <c r="G18707" s="272" t="s">
        <v>1099</v>
      </c>
    </row>
    <row r="18708">
      <c r="B18708" s="31"/>
      <c r="G18708" s="272" t="s">
        <v>1099</v>
      </c>
    </row>
    <row r="18709">
      <c r="B18709" s="31"/>
      <c r="G18709" s="272" t="s">
        <v>1099</v>
      </c>
    </row>
    <row r="18710">
      <c r="B18710" s="31"/>
      <c r="G18710" s="272" t="s">
        <v>1099</v>
      </c>
    </row>
    <row r="18711">
      <c r="B18711" s="31"/>
      <c r="G18711" s="272" t="s">
        <v>1099</v>
      </c>
    </row>
    <row r="18712">
      <c r="B18712" s="31"/>
      <c r="G18712" s="272" t="s">
        <v>1099</v>
      </c>
    </row>
    <row r="18713">
      <c r="B18713" s="31"/>
      <c r="G18713" s="272" t="s">
        <v>1099</v>
      </c>
    </row>
    <row r="18714">
      <c r="B18714" s="31"/>
      <c r="G18714" s="272" t="s">
        <v>1099</v>
      </c>
    </row>
    <row r="18715">
      <c r="B18715" s="31"/>
      <c r="G18715" s="272" t="s">
        <v>1099</v>
      </c>
    </row>
    <row r="18716">
      <c r="B18716" s="31"/>
      <c r="G18716" s="272" t="s">
        <v>1099</v>
      </c>
    </row>
    <row r="18717">
      <c r="B18717" s="31"/>
      <c r="G18717" s="272" t="s">
        <v>1099</v>
      </c>
    </row>
    <row r="18718">
      <c r="B18718" s="31"/>
      <c r="G18718" s="272" t="s">
        <v>1099</v>
      </c>
    </row>
    <row r="18719">
      <c r="B18719" s="31"/>
      <c r="G18719" s="272" t="s">
        <v>1099</v>
      </c>
    </row>
    <row r="18720">
      <c r="B18720" s="31"/>
      <c r="G18720" s="272" t="s">
        <v>1099</v>
      </c>
    </row>
    <row r="18721">
      <c r="B18721" s="31"/>
      <c r="G18721" s="272" t="s">
        <v>1099</v>
      </c>
    </row>
    <row r="18722">
      <c r="B18722" s="31"/>
      <c r="G18722" s="272" t="s">
        <v>1099</v>
      </c>
    </row>
    <row r="18723">
      <c r="B18723" s="31"/>
      <c r="G18723" s="272" t="s">
        <v>1099</v>
      </c>
    </row>
    <row r="18724">
      <c r="B18724" s="31"/>
      <c r="G18724" s="272" t="s">
        <v>1099</v>
      </c>
    </row>
    <row r="18725">
      <c r="B18725" s="31"/>
      <c r="G18725" s="272" t="s">
        <v>1099</v>
      </c>
    </row>
    <row r="18726">
      <c r="B18726" s="31"/>
      <c r="G18726" s="272" t="s">
        <v>1099</v>
      </c>
    </row>
    <row r="18727">
      <c r="B18727" s="31"/>
      <c r="G18727" s="272" t="s">
        <v>1099</v>
      </c>
    </row>
    <row r="18728">
      <c r="B18728" s="31"/>
      <c r="G18728" s="272" t="s">
        <v>1099</v>
      </c>
    </row>
    <row r="18729">
      <c r="B18729" s="31"/>
      <c r="G18729" s="272" t="s">
        <v>1099</v>
      </c>
    </row>
    <row r="18730">
      <c r="B18730" s="31"/>
      <c r="G18730" s="272" t="s">
        <v>1099</v>
      </c>
    </row>
    <row r="18731">
      <c r="B18731" s="31"/>
      <c r="G18731" s="272" t="s">
        <v>1099</v>
      </c>
    </row>
    <row r="18732">
      <c r="B18732" s="31"/>
      <c r="G18732" s="272" t="s">
        <v>1099</v>
      </c>
    </row>
    <row r="18733">
      <c r="B18733" s="31"/>
      <c r="G18733" s="272" t="s">
        <v>1099</v>
      </c>
    </row>
    <row r="18734">
      <c r="B18734" s="31"/>
      <c r="G18734" s="272" t="s">
        <v>1099</v>
      </c>
    </row>
    <row r="18735">
      <c r="B18735" s="31"/>
      <c r="G18735" s="272" t="s">
        <v>1099</v>
      </c>
    </row>
    <row r="18736">
      <c r="B18736" s="31"/>
      <c r="G18736" s="272" t="s">
        <v>1099</v>
      </c>
    </row>
    <row r="18737">
      <c r="B18737" s="31"/>
      <c r="G18737" s="272" t="s">
        <v>1099</v>
      </c>
    </row>
    <row r="18738">
      <c r="B18738" s="31"/>
      <c r="G18738" s="272" t="s">
        <v>1099</v>
      </c>
    </row>
    <row r="18739">
      <c r="B18739" s="31"/>
      <c r="G18739" s="272" t="s">
        <v>1099</v>
      </c>
    </row>
    <row r="18740">
      <c r="B18740" s="31"/>
      <c r="G18740" s="272" t="s">
        <v>1099</v>
      </c>
    </row>
    <row r="18741">
      <c r="B18741" s="31"/>
      <c r="G18741" s="272" t="s">
        <v>1099</v>
      </c>
    </row>
    <row r="18742">
      <c r="B18742" s="31"/>
      <c r="G18742" s="272" t="s">
        <v>1099</v>
      </c>
    </row>
    <row r="18743">
      <c r="B18743" s="31"/>
      <c r="G18743" s="272" t="s">
        <v>1099</v>
      </c>
    </row>
    <row r="18744">
      <c r="B18744" s="31"/>
      <c r="G18744" s="272" t="s">
        <v>1099</v>
      </c>
    </row>
    <row r="18745">
      <c r="B18745" s="31"/>
      <c r="G18745" s="272" t="s">
        <v>1099</v>
      </c>
    </row>
    <row r="18746">
      <c r="B18746" s="31"/>
      <c r="G18746" s="272" t="s">
        <v>1099</v>
      </c>
    </row>
    <row r="18747">
      <c r="B18747" s="31"/>
      <c r="G18747" s="272" t="s">
        <v>1099</v>
      </c>
    </row>
    <row r="18748">
      <c r="B18748" s="31"/>
      <c r="G18748" s="272" t="s">
        <v>1099</v>
      </c>
    </row>
    <row r="18749">
      <c r="B18749" s="31"/>
      <c r="G18749" s="272" t="s">
        <v>1099</v>
      </c>
    </row>
    <row r="18750">
      <c r="B18750" s="31"/>
      <c r="G18750" s="272" t="s">
        <v>1099</v>
      </c>
    </row>
    <row r="18751">
      <c r="B18751" s="31"/>
      <c r="G18751" s="272" t="s">
        <v>1099</v>
      </c>
    </row>
    <row r="18752">
      <c r="B18752" s="31"/>
      <c r="G18752" s="272" t="s">
        <v>1099</v>
      </c>
    </row>
    <row r="18753">
      <c r="B18753" s="31"/>
      <c r="G18753" s="272" t="s">
        <v>1099</v>
      </c>
    </row>
    <row r="18754">
      <c r="B18754" s="31"/>
      <c r="G18754" s="272" t="s">
        <v>1099</v>
      </c>
    </row>
    <row r="18755">
      <c r="B18755" s="31"/>
      <c r="G18755" s="272" t="s">
        <v>1099</v>
      </c>
    </row>
    <row r="18756">
      <c r="B18756" s="31"/>
      <c r="G18756" s="272" t="s">
        <v>1099</v>
      </c>
    </row>
    <row r="18757">
      <c r="B18757" s="31"/>
      <c r="G18757" s="272" t="s">
        <v>1099</v>
      </c>
    </row>
    <row r="18758">
      <c r="B18758" s="31"/>
      <c r="G18758" s="272" t="s">
        <v>1099</v>
      </c>
    </row>
    <row r="18759">
      <c r="B18759" s="31"/>
      <c r="G18759" s="272" t="s">
        <v>1099</v>
      </c>
    </row>
    <row r="18760">
      <c r="B18760" s="31"/>
      <c r="G18760" s="272" t="s">
        <v>1099</v>
      </c>
    </row>
    <row r="18761">
      <c r="B18761" s="31"/>
      <c r="G18761" s="272" t="s">
        <v>1099</v>
      </c>
    </row>
    <row r="18762">
      <c r="B18762" s="31"/>
      <c r="G18762" s="272" t="s">
        <v>1099</v>
      </c>
    </row>
    <row r="18763">
      <c r="B18763" s="31"/>
      <c r="G18763" s="272" t="s">
        <v>1099</v>
      </c>
    </row>
    <row r="18764">
      <c r="B18764" s="31"/>
      <c r="G18764" s="272" t="s">
        <v>1099</v>
      </c>
    </row>
    <row r="18765">
      <c r="B18765" s="31"/>
      <c r="G18765" s="272" t="s">
        <v>1099</v>
      </c>
    </row>
    <row r="18766">
      <c r="B18766" s="31"/>
      <c r="G18766" s="272" t="s">
        <v>1099</v>
      </c>
    </row>
    <row r="18767">
      <c r="B18767" s="31"/>
      <c r="G18767" s="272" t="s">
        <v>1099</v>
      </c>
    </row>
    <row r="18768">
      <c r="B18768" s="31"/>
      <c r="G18768" s="272" t="s">
        <v>1099</v>
      </c>
    </row>
    <row r="18769">
      <c r="B18769" s="31"/>
      <c r="G18769" s="272" t="s">
        <v>1099</v>
      </c>
    </row>
    <row r="18770">
      <c r="B18770" s="31"/>
      <c r="G18770" s="272" t="s">
        <v>1099</v>
      </c>
    </row>
    <row r="18771">
      <c r="B18771" s="31"/>
      <c r="G18771" s="272" t="s">
        <v>1099</v>
      </c>
    </row>
    <row r="18772">
      <c r="B18772" s="31"/>
      <c r="G18772" s="272" t="s">
        <v>1099</v>
      </c>
    </row>
    <row r="18773">
      <c r="B18773" s="31"/>
      <c r="G18773" s="272" t="s">
        <v>1099</v>
      </c>
    </row>
    <row r="18774">
      <c r="B18774" s="31"/>
      <c r="G18774" s="272" t="s">
        <v>1099</v>
      </c>
    </row>
    <row r="18775">
      <c r="B18775" s="31"/>
      <c r="G18775" s="272" t="s">
        <v>1099</v>
      </c>
    </row>
    <row r="18776">
      <c r="B18776" s="31"/>
      <c r="G18776" s="272" t="s">
        <v>1099</v>
      </c>
    </row>
    <row r="18777">
      <c r="B18777" s="31"/>
      <c r="G18777" s="272" t="s">
        <v>1099</v>
      </c>
    </row>
    <row r="18778">
      <c r="B18778" s="31"/>
      <c r="G18778" s="272" t="s">
        <v>1099</v>
      </c>
    </row>
    <row r="18779">
      <c r="B18779" s="31"/>
      <c r="G18779" s="272" t="s">
        <v>1099</v>
      </c>
    </row>
    <row r="18780">
      <c r="B18780" s="31"/>
      <c r="G18780" s="272" t="s">
        <v>1099</v>
      </c>
    </row>
    <row r="18781">
      <c r="B18781" s="31"/>
      <c r="G18781" s="272" t="s">
        <v>1099</v>
      </c>
    </row>
    <row r="18782">
      <c r="B18782" s="31"/>
      <c r="G18782" s="272" t="s">
        <v>1099</v>
      </c>
    </row>
    <row r="18783">
      <c r="B18783" s="31"/>
      <c r="G18783" s="272" t="s">
        <v>1099</v>
      </c>
    </row>
    <row r="18784">
      <c r="B18784" s="31"/>
      <c r="G18784" s="272" t="s">
        <v>1099</v>
      </c>
    </row>
    <row r="18785">
      <c r="B18785" s="31"/>
      <c r="G18785" s="272" t="s">
        <v>1099</v>
      </c>
    </row>
    <row r="18786">
      <c r="B18786" s="31"/>
      <c r="G18786" s="272" t="s">
        <v>1099</v>
      </c>
    </row>
    <row r="18787">
      <c r="B18787" s="31"/>
      <c r="G18787" s="272" t="s">
        <v>1099</v>
      </c>
    </row>
    <row r="18788">
      <c r="B18788" s="31"/>
      <c r="G18788" s="272" t="s">
        <v>1099</v>
      </c>
    </row>
    <row r="18789">
      <c r="B18789" s="31"/>
      <c r="G18789" s="272" t="s">
        <v>1099</v>
      </c>
    </row>
    <row r="18790">
      <c r="B18790" s="31"/>
      <c r="G18790" s="272" t="s">
        <v>1099</v>
      </c>
    </row>
    <row r="18791">
      <c r="B18791" s="31"/>
      <c r="G18791" s="272" t="s">
        <v>1099</v>
      </c>
    </row>
    <row r="18792">
      <c r="B18792" s="31"/>
      <c r="G18792" s="272" t="s">
        <v>1099</v>
      </c>
    </row>
    <row r="18793">
      <c r="B18793" s="31"/>
      <c r="G18793" s="272" t="s">
        <v>1099</v>
      </c>
    </row>
    <row r="18794">
      <c r="B18794" s="31"/>
      <c r="G18794" s="272" t="s">
        <v>1099</v>
      </c>
    </row>
    <row r="18795">
      <c r="B18795" s="31"/>
      <c r="G18795" s="272" t="s">
        <v>1099</v>
      </c>
    </row>
    <row r="18796">
      <c r="B18796" s="31"/>
      <c r="G18796" s="272" t="s">
        <v>1099</v>
      </c>
    </row>
    <row r="18797">
      <c r="B18797" s="31"/>
      <c r="G18797" s="272" t="s">
        <v>1099</v>
      </c>
    </row>
    <row r="18798">
      <c r="B18798" s="31"/>
      <c r="G18798" s="272" t="s">
        <v>1099</v>
      </c>
    </row>
    <row r="18799">
      <c r="B18799" s="31"/>
      <c r="G18799" s="272" t="s">
        <v>1099</v>
      </c>
    </row>
    <row r="18800">
      <c r="B18800" s="31"/>
      <c r="G18800" s="272" t="s">
        <v>1099</v>
      </c>
    </row>
    <row r="18801">
      <c r="B18801" s="31"/>
      <c r="G18801" s="272" t="s">
        <v>1099</v>
      </c>
    </row>
    <row r="18802">
      <c r="B18802" s="31"/>
      <c r="G18802" s="272" t="s">
        <v>1099</v>
      </c>
    </row>
    <row r="18803">
      <c r="B18803" s="31"/>
      <c r="G18803" s="272" t="s">
        <v>1099</v>
      </c>
    </row>
    <row r="18804">
      <c r="B18804" s="31"/>
      <c r="G18804" s="272" t="s">
        <v>1099</v>
      </c>
    </row>
    <row r="18805">
      <c r="B18805" s="31"/>
      <c r="G18805" s="272" t="s">
        <v>1099</v>
      </c>
    </row>
    <row r="18806">
      <c r="B18806" s="31"/>
      <c r="G18806" s="272" t="s">
        <v>1099</v>
      </c>
    </row>
    <row r="18807">
      <c r="B18807" s="31"/>
      <c r="G18807" s="272" t="s">
        <v>1099</v>
      </c>
    </row>
    <row r="18808">
      <c r="B18808" s="31"/>
      <c r="G18808" s="272" t="s">
        <v>1099</v>
      </c>
    </row>
    <row r="18809">
      <c r="B18809" s="31"/>
      <c r="G18809" s="272" t="s">
        <v>1099</v>
      </c>
    </row>
    <row r="18810">
      <c r="B18810" s="31"/>
      <c r="G18810" s="272" t="s">
        <v>1099</v>
      </c>
    </row>
    <row r="18811">
      <c r="B18811" s="31"/>
      <c r="G18811" s="272" t="s">
        <v>1099</v>
      </c>
    </row>
    <row r="18812">
      <c r="B18812" s="31"/>
      <c r="G18812" s="272" t="s">
        <v>1099</v>
      </c>
    </row>
    <row r="18813">
      <c r="B18813" s="31"/>
      <c r="G18813" s="272" t="s">
        <v>1099</v>
      </c>
    </row>
    <row r="18814">
      <c r="B18814" s="31"/>
      <c r="G18814" s="272" t="s">
        <v>1099</v>
      </c>
    </row>
    <row r="18815">
      <c r="B18815" s="31"/>
      <c r="G18815" s="272" t="s">
        <v>1099</v>
      </c>
    </row>
    <row r="18816">
      <c r="B18816" s="31"/>
      <c r="G18816" s="272" t="s">
        <v>1099</v>
      </c>
    </row>
    <row r="18817">
      <c r="B18817" s="31"/>
      <c r="G18817" s="272" t="s">
        <v>1099</v>
      </c>
    </row>
    <row r="18818">
      <c r="B18818" s="31"/>
      <c r="G18818" s="272" t="s">
        <v>1099</v>
      </c>
    </row>
    <row r="18819">
      <c r="B18819" s="31"/>
      <c r="G18819" s="272" t="s">
        <v>1099</v>
      </c>
    </row>
    <row r="18820">
      <c r="B18820" s="31"/>
      <c r="G18820" s="272" t="s">
        <v>1099</v>
      </c>
    </row>
    <row r="18821">
      <c r="B18821" s="31"/>
      <c r="G18821" s="272" t="s">
        <v>1099</v>
      </c>
    </row>
    <row r="18822">
      <c r="B18822" s="31"/>
      <c r="G18822" s="272" t="s">
        <v>1099</v>
      </c>
    </row>
    <row r="18823">
      <c r="B18823" s="31"/>
      <c r="G18823" s="272" t="s">
        <v>1099</v>
      </c>
    </row>
    <row r="18824">
      <c r="B18824" s="31"/>
      <c r="G18824" s="272" t="s">
        <v>1099</v>
      </c>
    </row>
    <row r="18825">
      <c r="B18825" s="31"/>
      <c r="G18825" s="272" t="s">
        <v>1099</v>
      </c>
    </row>
    <row r="18826">
      <c r="B18826" s="31"/>
      <c r="G18826" s="272" t="s">
        <v>1099</v>
      </c>
    </row>
    <row r="18827">
      <c r="B18827" s="31"/>
      <c r="G18827" s="272" t="s">
        <v>1099</v>
      </c>
    </row>
    <row r="18828">
      <c r="B18828" s="31"/>
      <c r="G18828" s="272" t="s">
        <v>1099</v>
      </c>
    </row>
    <row r="18829">
      <c r="B18829" s="31"/>
      <c r="G18829" s="272" t="s">
        <v>1099</v>
      </c>
    </row>
    <row r="18830">
      <c r="B18830" s="31"/>
      <c r="G18830" s="272" t="s">
        <v>1099</v>
      </c>
    </row>
    <row r="18831">
      <c r="B18831" s="31"/>
      <c r="G18831" s="272" t="s">
        <v>1099</v>
      </c>
    </row>
    <row r="18832">
      <c r="B18832" s="31"/>
      <c r="G18832" s="272" t="s">
        <v>1099</v>
      </c>
    </row>
    <row r="18833">
      <c r="B18833" s="31"/>
      <c r="G18833" s="272" t="s">
        <v>1099</v>
      </c>
    </row>
    <row r="18834">
      <c r="B18834" s="31"/>
      <c r="G18834" s="272" t="s">
        <v>1099</v>
      </c>
    </row>
    <row r="18835">
      <c r="B18835" s="31"/>
      <c r="G18835" s="272" t="s">
        <v>1099</v>
      </c>
    </row>
    <row r="18836">
      <c r="B18836" s="31"/>
      <c r="G18836" s="272" t="s">
        <v>1099</v>
      </c>
    </row>
    <row r="18837">
      <c r="B18837" s="31"/>
      <c r="G18837" s="272" t="s">
        <v>1099</v>
      </c>
    </row>
    <row r="18838">
      <c r="B18838" s="31"/>
      <c r="G18838" s="272" t="s">
        <v>1099</v>
      </c>
    </row>
    <row r="18839">
      <c r="B18839" s="31"/>
      <c r="G18839" s="272" t="s">
        <v>1099</v>
      </c>
    </row>
    <row r="18840">
      <c r="B18840" s="31"/>
      <c r="G18840" s="272" t="s">
        <v>1099</v>
      </c>
    </row>
    <row r="18841">
      <c r="B18841" s="31"/>
      <c r="G18841" s="272" t="s">
        <v>1099</v>
      </c>
    </row>
    <row r="18842">
      <c r="B18842" s="31"/>
      <c r="G18842" s="272" t="s">
        <v>1099</v>
      </c>
    </row>
    <row r="18843">
      <c r="B18843" s="31"/>
      <c r="G18843" s="272" t="s">
        <v>1099</v>
      </c>
    </row>
    <row r="18844">
      <c r="B18844" s="31"/>
      <c r="G18844" s="272" t="s">
        <v>1099</v>
      </c>
    </row>
    <row r="18845">
      <c r="B18845" s="31"/>
      <c r="G18845" s="272" t="s">
        <v>1099</v>
      </c>
    </row>
    <row r="18846">
      <c r="B18846" s="31"/>
      <c r="G18846" s="272" t="s">
        <v>1099</v>
      </c>
    </row>
    <row r="18847">
      <c r="B18847" s="31"/>
      <c r="G18847" s="272" t="s">
        <v>1099</v>
      </c>
    </row>
    <row r="18848">
      <c r="B18848" s="31"/>
      <c r="G18848" s="272" t="s">
        <v>1099</v>
      </c>
    </row>
    <row r="18849">
      <c r="B18849" s="31"/>
      <c r="G18849" s="272" t="s">
        <v>1099</v>
      </c>
    </row>
    <row r="18850">
      <c r="B18850" s="31"/>
      <c r="G18850" s="272" t="s">
        <v>1099</v>
      </c>
    </row>
    <row r="18851">
      <c r="B18851" s="31"/>
      <c r="G18851" s="272" t="s">
        <v>1099</v>
      </c>
    </row>
    <row r="18852">
      <c r="B18852" s="31"/>
      <c r="G18852" s="272" t="s">
        <v>1099</v>
      </c>
    </row>
    <row r="18853">
      <c r="B18853" s="31"/>
      <c r="G18853" s="272" t="s">
        <v>1099</v>
      </c>
    </row>
    <row r="18854">
      <c r="B18854" s="31"/>
      <c r="G18854" s="272" t="s">
        <v>1099</v>
      </c>
    </row>
    <row r="18855">
      <c r="B18855" s="31"/>
      <c r="G18855" s="272" t="s">
        <v>1099</v>
      </c>
    </row>
    <row r="18856">
      <c r="B18856" s="31"/>
      <c r="G18856" s="272" t="s">
        <v>1099</v>
      </c>
    </row>
    <row r="18857">
      <c r="B18857" s="31"/>
      <c r="G18857" s="272" t="s">
        <v>1099</v>
      </c>
    </row>
    <row r="18858">
      <c r="B18858" s="31"/>
      <c r="G18858" s="272" t="s">
        <v>1099</v>
      </c>
    </row>
    <row r="18859">
      <c r="B18859" s="31"/>
      <c r="G18859" s="272" t="s">
        <v>1099</v>
      </c>
    </row>
    <row r="18860">
      <c r="B18860" s="31"/>
      <c r="G18860" s="272" t="s">
        <v>1099</v>
      </c>
    </row>
    <row r="18861">
      <c r="B18861" s="31"/>
      <c r="G18861" s="272" t="s">
        <v>1099</v>
      </c>
    </row>
    <row r="18862">
      <c r="B18862" s="31"/>
      <c r="G18862" s="272" t="s">
        <v>1099</v>
      </c>
    </row>
    <row r="18863">
      <c r="B18863" s="31"/>
      <c r="G18863" s="272" t="s">
        <v>1099</v>
      </c>
    </row>
    <row r="18864">
      <c r="B18864" s="31"/>
      <c r="G18864" s="272" t="s">
        <v>1099</v>
      </c>
    </row>
    <row r="18865">
      <c r="B18865" s="31"/>
      <c r="G18865" s="272" t="s">
        <v>1099</v>
      </c>
    </row>
    <row r="18866">
      <c r="B18866" s="31"/>
      <c r="G18866" s="272" t="s">
        <v>1099</v>
      </c>
    </row>
    <row r="18867">
      <c r="B18867" s="31"/>
      <c r="G18867" s="272" t="s">
        <v>1099</v>
      </c>
    </row>
    <row r="18868">
      <c r="B18868" s="31"/>
      <c r="G18868" s="272" t="s">
        <v>1099</v>
      </c>
    </row>
    <row r="18869">
      <c r="B18869" s="31"/>
      <c r="G18869" s="272" t="s">
        <v>1099</v>
      </c>
    </row>
    <row r="18870">
      <c r="B18870" s="31"/>
      <c r="G18870" s="272" t="s">
        <v>1099</v>
      </c>
    </row>
    <row r="18871">
      <c r="B18871" s="31"/>
      <c r="G18871" s="272" t="s">
        <v>1099</v>
      </c>
    </row>
    <row r="18872">
      <c r="B18872" s="31"/>
      <c r="G18872" s="272" t="s">
        <v>1099</v>
      </c>
    </row>
    <row r="18873">
      <c r="B18873" s="31"/>
      <c r="G18873" s="272" t="s">
        <v>1099</v>
      </c>
    </row>
    <row r="18874">
      <c r="B18874" s="31"/>
      <c r="G18874" s="272" t="s">
        <v>1099</v>
      </c>
    </row>
    <row r="18875">
      <c r="B18875" s="31"/>
      <c r="G18875" s="272" t="s">
        <v>1099</v>
      </c>
    </row>
    <row r="18876">
      <c r="B18876" s="31"/>
      <c r="G18876" s="272" t="s">
        <v>1099</v>
      </c>
    </row>
    <row r="18877">
      <c r="B18877" s="31"/>
      <c r="G18877" s="272" t="s">
        <v>1099</v>
      </c>
    </row>
    <row r="18878">
      <c r="B18878" s="31"/>
      <c r="G18878" s="272" t="s">
        <v>1099</v>
      </c>
    </row>
    <row r="18879">
      <c r="B18879" s="31"/>
      <c r="G18879" s="272" t="s">
        <v>1099</v>
      </c>
    </row>
    <row r="18880">
      <c r="B18880" s="31"/>
      <c r="G18880" s="272" t="s">
        <v>1099</v>
      </c>
    </row>
    <row r="18881">
      <c r="B18881" s="31"/>
      <c r="G18881" s="272" t="s">
        <v>1099</v>
      </c>
    </row>
    <row r="18882">
      <c r="B18882" s="31"/>
      <c r="G18882" s="272" t="s">
        <v>1099</v>
      </c>
    </row>
    <row r="18883">
      <c r="B18883" s="31"/>
      <c r="G18883" s="272" t="s">
        <v>1099</v>
      </c>
    </row>
    <row r="18884">
      <c r="B18884" s="31"/>
      <c r="G18884" s="272" t="s">
        <v>1099</v>
      </c>
    </row>
    <row r="18885">
      <c r="B18885" s="31"/>
      <c r="G18885" s="272" t="s">
        <v>1099</v>
      </c>
    </row>
    <row r="18886">
      <c r="B18886" s="31"/>
      <c r="G18886" s="272" t="s">
        <v>1099</v>
      </c>
    </row>
    <row r="18887">
      <c r="B18887" s="31"/>
      <c r="G18887" s="272" t="s">
        <v>1099</v>
      </c>
    </row>
    <row r="18888">
      <c r="B18888" s="31"/>
      <c r="G18888" s="272" t="s">
        <v>1099</v>
      </c>
    </row>
    <row r="18889">
      <c r="B18889" s="31"/>
      <c r="G18889" s="272" t="s">
        <v>1099</v>
      </c>
    </row>
    <row r="18890">
      <c r="B18890" s="31"/>
      <c r="G18890" s="272" t="s">
        <v>1099</v>
      </c>
    </row>
    <row r="18891">
      <c r="B18891" s="31"/>
      <c r="G18891" s="272" t="s">
        <v>1099</v>
      </c>
    </row>
    <row r="18892">
      <c r="B18892" s="31"/>
      <c r="G18892" s="272" t="s">
        <v>1099</v>
      </c>
    </row>
    <row r="18893">
      <c r="B18893" s="31"/>
      <c r="G18893" s="272" t="s">
        <v>1099</v>
      </c>
    </row>
    <row r="18894">
      <c r="B18894" s="31"/>
      <c r="G18894" s="272" t="s">
        <v>1099</v>
      </c>
    </row>
    <row r="18895">
      <c r="B18895" s="31"/>
      <c r="G18895" s="272" t="s">
        <v>1099</v>
      </c>
    </row>
    <row r="18896">
      <c r="B18896" s="31"/>
      <c r="G18896" s="272" t="s">
        <v>1099</v>
      </c>
    </row>
    <row r="18897">
      <c r="B18897" s="31"/>
      <c r="G18897" s="272" t="s">
        <v>1099</v>
      </c>
    </row>
    <row r="18898">
      <c r="B18898" s="31"/>
      <c r="G18898" s="272" t="s">
        <v>1099</v>
      </c>
    </row>
    <row r="18899">
      <c r="B18899" s="31"/>
      <c r="G18899" s="272" t="s">
        <v>1099</v>
      </c>
    </row>
    <row r="18900">
      <c r="B18900" s="31"/>
      <c r="G18900" s="272" t="s">
        <v>1099</v>
      </c>
    </row>
    <row r="18901">
      <c r="B18901" s="31"/>
      <c r="G18901" s="272" t="s">
        <v>1099</v>
      </c>
    </row>
    <row r="18902">
      <c r="B18902" s="31"/>
      <c r="G18902" s="272" t="s">
        <v>1099</v>
      </c>
    </row>
    <row r="18903">
      <c r="B18903" s="31"/>
      <c r="G18903" s="272" t="s">
        <v>1099</v>
      </c>
    </row>
    <row r="18904">
      <c r="B18904" s="31"/>
      <c r="G18904" s="272" t="s">
        <v>1099</v>
      </c>
    </row>
    <row r="18905">
      <c r="B18905" s="31"/>
      <c r="G18905" s="272" t="s">
        <v>1099</v>
      </c>
    </row>
    <row r="18906">
      <c r="B18906" s="31"/>
      <c r="G18906" s="272" t="s">
        <v>1099</v>
      </c>
    </row>
    <row r="18907">
      <c r="B18907" s="31"/>
      <c r="G18907" s="272" t="s">
        <v>1099</v>
      </c>
    </row>
    <row r="18908">
      <c r="B18908" s="31"/>
      <c r="G18908" s="272" t="s">
        <v>1099</v>
      </c>
    </row>
    <row r="18909">
      <c r="B18909" s="31"/>
      <c r="G18909" s="272" t="s">
        <v>1099</v>
      </c>
    </row>
    <row r="18910">
      <c r="B18910" s="31"/>
      <c r="G18910" s="272" t="s">
        <v>1099</v>
      </c>
    </row>
    <row r="18911">
      <c r="B18911" s="31"/>
      <c r="G18911" s="272" t="s">
        <v>1099</v>
      </c>
    </row>
    <row r="18912">
      <c r="B18912" s="31"/>
      <c r="G18912" s="272" t="s">
        <v>1099</v>
      </c>
    </row>
    <row r="18913">
      <c r="B18913" s="31"/>
      <c r="G18913" s="272" t="s">
        <v>1099</v>
      </c>
    </row>
    <row r="18914">
      <c r="B18914" s="31"/>
      <c r="G18914" s="272" t="s">
        <v>1099</v>
      </c>
    </row>
    <row r="18915">
      <c r="B18915" s="31"/>
      <c r="G18915" s="272" t="s">
        <v>1099</v>
      </c>
    </row>
    <row r="18916">
      <c r="B18916" s="31"/>
      <c r="G18916" s="272" t="s">
        <v>1099</v>
      </c>
    </row>
    <row r="18917">
      <c r="B18917" s="31"/>
      <c r="G18917" s="272" t="s">
        <v>1099</v>
      </c>
    </row>
    <row r="18918">
      <c r="B18918" s="31"/>
      <c r="G18918" s="272" t="s">
        <v>1099</v>
      </c>
    </row>
    <row r="18919">
      <c r="B18919" s="31"/>
      <c r="G18919" s="272" t="s">
        <v>1099</v>
      </c>
    </row>
    <row r="18920">
      <c r="B18920" s="31"/>
      <c r="G18920" s="272" t="s">
        <v>1099</v>
      </c>
    </row>
    <row r="18921">
      <c r="B18921" s="31"/>
      <c r="G18921" s="272" t="s">
        <v>1099</v>
      </c>
    </row>
    <row r="18922">
      <c r="B18922" s="31"/>
      <c r="G18922" s="272" t="s">
        <v>1099</v>
      </c>
    </row>
    <row r="18923">
      <c r="B18923" s="31"/>
      <c r="G18923" s="272" t="s">
        <v>1099</v>
      </c>
    </row>
    <row r="18924">
      <c r="B18924" s="31"/>
      <c r="G18924" s="272" t="s">
        <v>1099</v>
      </c>
    </row>
    <row r="18925">
      <c r="B18925" s="31"/>
      <c r="G18925" s="272" t="s">
        <v>1099</v>
      </c>
    </row>
    <row r="18926">
      <c r="B18926" s="31"/>
      <c r="G18926" s="272" t="s">
        <v>1099</v>
      </c>
    </row>
    <row r="18927">
      <c r="B18927" s="31"/>
      <c r="G18927" s="272" t="s">
        <v>1099</v>
      </c>
    </row>
    <row r="18928">
      <c r="B18928" s="31"/>
      <c r="G18928" s="272" t="s">
        <v>1099</v>
      </c>
    </row>
    <row r="18929">
      <c r="B18929" s="31"/>
      <c r="G18929" s="272" t="s">
        <v>1099</v>
      </c>
    </row>
    <row r="18930">
      <c r="B18930" s="31"/>
      <c r="G18930" s="272" t="s">
        <v>1099</v>
      </c>
    </row>
    <row r="18931">
      <c r="B18931" s="31"/>
      <c r="G18931" s="272" t="s">
        <v>1099</v>
      </c>
    </row>
    <row r="18932">
      <c r="B18932" s="31"/>
      <c r="G18932" s="272" t="s">
        <v>1099</v>
      </c>
    </row>
    <row r="18933">
      <c r="B18933" s="31"/>
      <c r="G18933" s="272" t="s">
        <v>1099</v>
      </c>
    </row>
    <row r="18934">
      <c r="B18934" s="31"/>
      <c r="G18934" s="272" t="s">
        <v>1099</v>
      </c>
    </row>
    <row r="18935">
      <c r="B18935" s="31"/>
      <c r="G18935" s="272" t="s">
        <v>1099</v>
      </c>
    </row>
    <row r="18936">
      <c r="B18936" s="31"/>
      <c r="G18936" s="272" t="s">
        <v>1099</v>
      </c>
    </row>
    <row r="18937">
      <c r="B18937" s="31"/>
      <c r="G18937" s="272" t="s">
        <v>1099</v>
      </c>
    </row>
    <row r="18938">
      <c r="B18938" s="31"/>
      <c r="G18938" s="272" t="s">
        <v>1099</v>
      </c>
    </row>
    <row r="18939">
      <c r="B18939" s="31"/>
      <c r="G18939" s="272" t="s">
        <v>1099</v>
      </c>
    </row>
    <row r="18940">
      <c r="B18940" s="31"/>
      <c r="G18940" s="272" t="s">
        <v>1099</v>
      </c>
    </row>
    <row r="18941">
      <c r="B18941" s="31"/>
      <c r="G18941" s="272" t="s">
        <v>1099</v>
      </c>
    </row>
    <row r="18942">
      <c r="B18942" s="31"/>
      <c r="G18942" s="272" t="s">
        <v>1099</v>
      </c>
    </row>
    <row r="18943">
      <c r="B18943" s="31"/>
      <c r="G18943" s="272" t="s">
        <v>1099</v>
      </c>
    </row>
    <row r="18944">
      <c r="B18944" s="31"/>
      <c r="G18944" s="272" t="s">
        <v>1099</v>
      </c>
    </row>
    <row r="18945">
      <c r="B18945" s="31"/>
      <c r="G18945" s="272" t="s">
        <v>1099</v>
      </c>
    </row>
    <row r="18946">
      <c r="B18946" s="31"/>
      <c r="G18946" s="272" t="s">
        <v>1099</v>
      </c>
    </row>
    <row r="18947">
      <c r="B18947" s="31"/>
      <c r="G18947" s="272" t="s">
        <v>1099</v>
      </c>
    </row>
    <row r="18948">
      <c r="B18948" s="31"/>
      <c r="G18948" s="272" t="s">
        <v>1099</v>
      </c>
    </row>
    <row r="18949">
      <c r="B18949" s="31"/>
      <c r="G18949" s="272" t="s">
        <v>1099</v>
      </c>
    </row>
    <row r="18950">
      <c r="B18950" s="31"/>
      <c r="G18950" s="272" t="s">
        <v>1099</v>
      </c>
    </row>
    <row r="18951">
      <c r="B18951" s="31"/>
      <c r="G18951" s="272" t="s">
        <v>1099</v>
      </c>
    </row>
    <row r="18952">
      <c r="B18952" s="31"/>
      <c r="G18952" s="272" t="s">
        <v>1099</v>
      </c>
    </row>
    <row r="18953">
      <c r="B18953" s="31"/>
      <c r="G18953" s="272" t="s">
        <v>1099</v>
      </c>
    </row>
    <row r="18954">
      <c r="B18954" s="31"/>
      <c r="G18954" s="272" t="s">
        <v>1099</v>
      </c>
    </row>
    <row r="18955">
      <c r="B18955" s="31"/>
      <c r="G18955" s="272" t="s">
        <v>1099</v>
      </c>
    </row>
    <row r="18956">
      <c r="B18956" s="31"/>
      <c r="G18956" s="272" t="s">
        <v>1099</v>
      </c>
    </row>
    <row r="18957">
      <c r="B18957" s="31"/>
      <c r="G18957" s="272" t="s">
        <v>1099</v>
      </c>
    </row>
    <row r="18958">
      <c r="B18958" s="31"/>
      <c r="G18958" s="272" t="s">
        <v>1099</v>
      </c>
    </row>
    <row r="18959">
      <c r="B18959" s="31"/>
      <c r="G18959" s="272" t="s">
        <v>1099</v>
      </c>
    </row>
    <row r="18960">
      <c r="B18960" s="31"/>
      <c r="G18960" s="272" t="s">
        <v>1099</v>
      </c>
    </row>
    <row r="18961">
      <c r="B18961" s="31"/>
      <c r="G18961" s="272" t="s">
        <v>1099</v>
      </c>
    </row>
    <row r="18962">
      <c r="B18962" s="31"/>
      <c r="G18962" s="272" t="s">
        <v>1099</v>
      </c>
    </row>
    <row r="18963">
      <c r="B18963" s="31"/>
      <c r="G18963" s="272" t="s">
        <v>1099</v>
      </c>
    </row>
    <row r="18964">
      <c r="B18964" s="31"/>
      <c r="G18964" s="272" t="s">
        <v>1099</v>
      </c>
    </row>
    <row r="18965">
      <c r="B18965" s="31"/>
      <c r="G18965" s="272" t="s">
        <v>1099</v>
      </c>
    </row>
    <row r="18966">
      <c r="B18966" s="31"/>
      <c r="G18966" s="272" t="s">
        <v>1099</v>
      </c>
    </row>
    <row r="18967">
      <c r="B18967" s="31"/>
      <c r="G18967" s="272" t="s">
        <v>1099</v>
      </c>
    </row>
    <row r="18968">
      <c r="B18968" s="31"/>
      <c r="G18968" s="272" t="s">
        <v>1099</v>
      </c>
    </row>
    <row r="18969">
      <c r="B18969" s="31"/>
      <c r="G18969" s="272" t="s">
        <v>1099</v>
      </c>
    </row>
    <row r="18970">
      <c r="B18970" s="31"/>
      <c r="G18970" s="272" t="s">
        <v>1099</v>
      </c>
    </row>
    <row r="18971">
      <c r="B18971" s="31"/>
      <c r="G18971" s="272" t="s">
        <v>1099</v>
      </c>
    </row>
    <row r="18972">
      <c r="B18972" s="31"/>
      <c r="G18972" s="272" t="s">
        <v>1099</v>
      </c>
    </row>
    <row r="18973">
      <c r="B18973" s="31"/>
      <c r="G18973" s="272" t="s">
        <v>1099</v>
      </c>
    </row>
    <row r="18974">
      <c r="B18974" s="31"/>
      <c r="G18974" s="272" t="s">
        <v>1099</v>
      </c>
    </row>
    <row r="18975">
      <c r="B18975" s="31"/>
      <c r="G18975" s="272" t="s">
        <v>1099</v>
      </c>
    </row>
    <row r="18976">
      <c r="B18976" s="31"/>
      <c r="G18976" s="272" t="s">
        <v>1099</v>
      </c>
    </row>
    <row r="18977">
      <c r="B18977" s="31"/>
      <c r="G18977" s="272" t="s">
        <v>1099</v>
      </c>
    </row>
    <row r="18978">
      <c r="B18978" s="31"/>
      <c r="G18978" s="272" t="s">
        <v>1099</v>
      </c>
    </row>
    <row r="18979">
      <c r="B18979" s="31"/>
      <c r="G18979" s="272" t="s">
        <v>1099</v>
      </c>
    </row>
    <row r="18980">
      <c r="B18980" s="31"/>
      <c r="G18980" s="272" t="s">
        <v>1099</v>
      </c>
    </row>
    <row r="18981">
      <c r="B18981" s="31"/>
      <c r="G18981" s="272" t="s">
        <v>1099</v>
      </c>
    </row>
    <row r="18982">
      <c r="B18982" s="31"/>
      <c r="G18982" s="272" t="s">
        <v>1099</v>
      </c>
    </row>
    <row r="18983">
      <c r="B18983" s="31"/>
      <c r="G18983" s="272" t="s">
        <v>1099</v>
      </c>
    </row>
    <row r="18984">
      <c r="B18984" s="31"/>
      <c r="G18984" s="272" t="s">
        <v>1099</v>
      </c>
    </row>
    <row r="18985">
      <c r="B18985" s="31"/>
      <c r="G18985" s="272" t="s">
        <v>1099</v>
      </c>
    </row>
    <row r="18986">
      <c r="B18986" s="31"/>
      <c r="G18986" s="272" t="s">
        <v>1099</v>
      </c>
    </row>
    <row r="18987">
      <c r="B18987" s="31"/>
      <c r="G18987" s="272" t="s">
        <v>1099</v>
      </c>
    </row>
    <row r="18988">
      <c r="B18988" s="31"/>
      <c r="G18988" s="272" t="s">
        <v>1099</v>
      </c>
    </row>
    <row r="18989">
      <c r="B18989" s="31"/>
      <c r="G18989" s="272" t="s">
        <v>1099</v>
      </c>
    </row>
    <row r="18990">
      <c r="B18990" s="31"/>
      <c r="G18990" s="272" t="s">
        <v>1099</v>
      </c>
    </row>
    <row r="18991">
      <c r="B18991" s="31"/>
      <c r="G18991" s="272" t="s">
        <v>1099</v>
      </c>
    </row>
    <row r="18992">
      <c r="B18992" s="31"/>
      <c r="G18992" s="272" t="s">
        <v>1099</v>
      </c>
    </row>
    <row r="18993">
      <c r="B18993" s="31"/>
      <c r="G18993" s="272" t="s">
        <v>1099</v>
      </c>
    </row>
    <row r="18994">
      <c r="B18994" s="31"/>
      <c r="G18994" s="272" t="s">
        <v>1099</v>
      </c>
    </row>
    <row r="18995">
      <c r="B18995" s="31"/>
      <c r="G18995" s="272" t="s">
        <v>1099</v>
      </c>
    </row>
    <row r="18996">
      <c r="B18996" s="31"/>
      <c r="G18996" s="272" t="s">
        <v>1099</v>
      </c>
    </row>
    <row r="18997">
      <c r="B18997" s="31"/>
      <c r="G18997" s="272" t="s">
        <v>1099</v>
      </c>
    </row>
    <row r="18998">
      <c r="B18998" s="31"/>
      <c r="G18998" s="272" t="s">
        <v>1099</v>
      </c>
    </row>
    <row r="18999">
      <c r="B18999" s="31"/>
      <c r="G18999" s="272" t="s">
        <v>1099</v>
      </c>
    </row>
    <row r="19000">
      <c r="B19000" s="31"/>
      <c r="G19000" s="272" t="s">
        <v>1099</v>
      </c>
    </row>
    <row r="19001">
      <c r="B19001" s="31"/>
      <c r="G19001" s="272" t="s">
        <v>1099</v>
      </c>
    </row>
    <row r="19002">
      <c r="B19002" s="31"/>
      <c r="G19002" s="272" t="s">
        <v>1099</v>
      </c>
    </row>
    <row r="19003">
      <c r="B19003" s="31"/>
      <c r="G19003" s="272" t="s">
        <v>1099</v>
      </c>
    </row>
    <row r="19004">
      <c r="B19004" s="31"/>
      <c r="G19004" s="272" t="s">
        <v>1099</v>
      </c>
    </row>
    <row r="19005">
      <c r="B19005" s="31"/>
      <c r="G19005" s="272" t="s">
        <v>1099</v>
      </c>
    </row>
    <row r="19006">
      <c r="B19006" s="31"/>
      <c r="G19006" s="272" t="s">
        <v>1099</v>
      </c>
    </row>
    <row r="19007">
      <c r="B19007" s="31"/>
      <c r="G19007" s="272" t="s">
        <v>1099</v>
      </c>
    </row>
    <row r="19008">
      <c r="B19008" s="31"/>
      <c r="G19008" s="272" t="s">
        <v>1099</v>
      </c>
    </row>
    <row r="19009">
      <c r="B19009" s="31"/>
      <c r="G19009" s="272" t="s">
        <v>1099</v>
      </c>
    </row>
    <row r="19010">
      <c r="B19010" s="31"/>
      <c r="G19010" s="272" t="s">
        <v>1099</v>
      </c>
    </row>
    <row r="19011">
      <c r="B19011" s="31"/>
      <c r="G19011" s="272" t="s">
        <v>1099</v>
      </c>
    </row>
    <row r="19012">
      <c r="B19012" s="31"/>
      <c r="G19012" s="272" t="s">
        <v>1099</v>
      </c>
    </row>
    <row r="19013">
      <c r="B19013" s="31"/>
      <c r="G19013" s="272" t="s">
        <v>1099</v>
      </c>
    </row>
    <row r="19014">
      <c r="B19014" s="31"/>
      <c r="G19014" s="272" t="s">
        <v>1099</v>
      </c>
    </row>
    <row r="19015">
      <c r="B19015" s="31"/>
      <c r="G19015" s="272" t="s">
        <v>1099</v>
      </c>
    </row>
    <row r="19016">
      <c r="B19016" s="31"/>
      <c r="G19016" s="272" t="s">
        <v>1099</v>
      </c>
    </row>
    <row r="19017">
      <c r="B19017" s="31"/>
      <c r="G19017" s="272" t="s">
        <v>1099</v>
      </c>
    </row>
    <row r="19018">
      <c r="B19018" s="31"/>
      <c r="G19018" s="272" t="s">
        <v>1099</v>
      </c>
    </row>
    <row r="19019">
      <c r="B19019" s="31"/>
      <c r="G19019" s="272" t="s">
        <v>1099</v>
      </c>
    </row>
    <row r="19020">
      <c r="B19020" s="31"/>
      <c r="G19020" s="272" t="s">
        <v>1099</v>
      </c>
    </row>
    <row r="19021">
      <c r="B19021" s="31"/>
      <c r="G19021" s="272" t="s">
        <v>1099</v>
      </c>
    </row>
    <row r="19022">
      <c r="B19022" s="31"/>
      <c r="G19022" s="272" t="s">
        <v>1099</v>
      </c>
    </row>
    <row r="19023">
      <c r="B19023" s="31"/>
      <c r="G19023" s="272" t="s">
        <v>1099</v>
      </c>
    </row>
    <row r="19024">
      <c r="B19024" s="31"/>
      <c r="G19024" s="272" t="s">
        <v>1099</v>
      </c>
    </row>
    <row r="19025">
      <c r="B19025" s="31"/>
      <c r="G19025" s="272" t="s">
        <v>1099</v>
      </c>
    </row>
    <row r="19026">
      <c r="B19026" s="31"/>
      <c r="G19026" s="272" t="s">
        <v>1099</v>
      </c>
    </row>
    <row r="19027">
      <c r="B19027" s="31"/>
      <c r="G19027" s="272" t="s">
        <v>1099</v>
      </c>
    </row>
    <row r="19028">
      <c r="B19028" s="31"/>
      <c r="G19028" s="272" t="s">
        <v>1099</v>
      </c>
    </row>
    <row r="19029">
      <c r="B19029" s="31"/>
      <c r="G19029" s="272" t="s">
        <v>1099</v>
      </c>
    </row>
    <row r="19030">
      <c r="B19030" s="31"/>
      <c r="G19030" s="272" t="s">
        <v>1099</v>
      </c>
    </row>
    <row r="19031">
      <c r="B19031" s="31"/>
      <c r="G19031" s="272" t="s">
        <v>1099</v>
      </c>
    </row>
    <row r="19032">
      <c r="B19032" s="31"/>
      <c r="G19032" s="272" t="s">
        <v>1099</v>
      </c>
    </row>
    <row r="19033">
      <c r="B19033" s="31"/>
      <c r="G19033" s="272" t="s">
        <v>1099</v>
      </c>
    </row>
    <row r="19034">
      <c r="B19034" s="31"/>
      <c r="G19034" s="272" t="s">
        <v>1099</v>
      </c>
    </row>
    <row r="19035">
      <c r="B19035" s="31"/>
      <c r="G19035" s="272" t="s">
        <v>1099</v>
      </c>
    </row>
    <row r="19036">
      <c r="B19036" s="31"/>
      <c r="G19036" s="272" t="s">
        <v>1099</v>
      </c>
    </row>
    <row r="19037">
      <c r="B19037" s="31"/>
      <c r="G19037" s="272" t="s">
        <v>1099</v>
      </c>
    </row>
    <row r="19038">
      <c r="B19038" s="31"/>
      <c r="G19038" s="272" t="s">
        <v>1099</v>
      </c>
    </row>
    <row r="19039">
      <c r="B19039" s="31"/>
      <c r="G19039" s="272" t="s">
        <v>1099</v>
      </c>
    </row>
    <row r="19040">
      <c r="B19040" s="31"/>
      <c r="G19040" s="272" t="s">
        <v>1099</v>
      </c>
    </row>
    <row r="19041">
      <c r="B19041" s="31"/>
      <c r="G19041" s="272" t="s">
        <v>1099</v>
      </c>
    </row>
    <row r="19042">
      <c r="B19042" s="31"/>
      <c r="G19042" s="272" t="s">
        <v>1099</v>
      </c>
    </row>
    <row r="19043">
      <c r="B19043" s="31"/>
      <c r="G19043" s="272" t="s">
        <v>1099</v>
      </c>
    </row>
    <row r="19044">
      <c r="B19044" s="31"/>
      <c r="G19044" s="272" t="s">
        <v>1099</v>
      </c>
    </row>
    <row r="19045">
      <c r="B19045" s="31"/>
      <c r="G19045" s="272" t="s">
        <v>1099</v>
      </c>
    </row>
    <row r="19046">
      <c r="B19046" s="31"/>
      <c r="G19046" s="272" t="s">
        <v>1099</v>
      </c>
    </row>
    <row r="19047">
      <c r="B19047" s="31"/>
      <c r="G19047" s="272" t="s">
        <v>1099</v>
      </c>
    </row>
    <row r="19048">
      <c r="B19048" s="31"/>
      <c r="G19048" s="272" t="s">
        <v>1099</v>
      </c>
    </row>
    <row r="19049">
      <c r="B19049" s="31"/>
      <c r="G19049" s="272" t="s">
        <v>1099</v>
      </c>
    </row>
    <row r="19050">
      <c r="B19050" s="31"/>
      <c r="G19050" s="272" t="s">
        <v>1099</v>
      </c>
    </row>
    <row r="19051">
      <c r="B19051" s="31"/>
      <c r="G19051" s="272" t="s">
        <v>1099</v>
      </c>
    </row>
    <row r="19052">
      <c r="B19052" s="31"/>
      <c r="G19052" s="272" t="s">
        <v>1099</v>
      </c>
    </row>
    <row r="19053">
      <c r="B19053" s="31"/>
      <c r="G19053" s="272" t="s">
        <v>1099</v>
      </c>
    </row>
    <row r="19054">
      <c r="B19054" s="31"/>
      <c r="G19054" s="272" t="s">
        <v>1099</v>
      </c>
    </row>
    <row r="19055">
      <c r="B19055" s="31"/>
      <c r="G19055" s="272" t="s">
        <v>1099</v>
      </c>
    </row>
    <row r="19056">
      <c r="B19056" s="31"/>
      <c r="G19056" s="272" t="s">
        <v>1099</v>
      </c>
    </row>
    <row r="19057">
      <c r="B19057" s="31"/>
      <c r="G19057" s="272" t="s">
        <v>1099</v>
      </c>
    </row>
    <row r="19058">
      <c r="B19058" s="31"/>
      <c r="G19058" s="272" t="s">
        <v>1099</v>
      </c>
    </row>
    <row r="19059">
      <c r="B19059" s="31"/>
      <c r="G19059" s="272" t="s">
        <v>1099</v>
      </c>
    </row>
    <row r="19060">
      <c r="B19060" s="31"/>
      <c r="G19060" s="272" t="s">
        <v>1099</v>
      </c>
    </row>
    <row r="19061">
      <c r="B19061" s="31"/>
      <c r="G19061" s="272" t="s">
        <v>1099</v>
      </c>
    </row>
    <row r="19062">
      <c r="B19062" s="31"/>
      <c r="G19062" s="272" t="s">
        <v>1099</v>
      </c>
    </row>
    <row r="19063">
      <c r="B19063" s="31"/>
      <c r="G19063" s="272" t="s">
        <v>1099</v>
      </c>
    </row>
    <row r="19064">
      <c r="B19064" s="31"/>
      <c r="G19064" s="272" t="s">
        <v>1099</v>
      </c>
    </row>
    <row r="19065">
      <c r="B19065" s="31"/>
      <c r="G19065" s="272" t="s">
        <v>1099</v>
      </c>
    </row>
    <row r="19066">
      <c r="B19066" s="31"/>
      <c r="G19066" s="272" t="s">
        <v>1099</v>
      </c>
    </row>
    <row r="19067">
      <c r="B19067" s="31"/>
      <c r="G19067" s="272" t="s">
        <v>1099</v>
      </c>
    </row>
    <row r="19068">
      <c r="B19068" s="31"/>
      <c r="G19068" s="272" t="s">
        <v>1099</v>
      </c>
    </row>
    <row r="19069">
      <c r="B19069" s="31"/>
      <c r="G19069" s="272" t="s">
        <v>1099</v>
      </c>
    </row>
    <row r="19070">
      <c r="B19070" s="31"/>
      <c r="G19070" s="272" t="s">
        <v>1099</v>
      </c>
    </row>
    <row r="19071">
      <c r="B19071" s="31"/>
      <c r="G19071" s="272" t="s">
        <v>1099</v>
      </c>
    </row>
    <row r="19072">
      <c r="B19072" s="31"/>
      <c r="G19072" s="272" t="s">
        <v>1099</v>
      </c>
    </row>
    <row r="19073">
      <c r="B19073" s="31"/>
      <c r="G19073" s="272" t="s">
        <v>1099</v>
      </c>
    </row>
    <row r="19074">
      <c r="B19074" s="31"/>
      <c r="G19074" s="272" t="s">
        <v>1099</v>
      </c>
    </row>
    <row r="19075">
      <c r="B19075" s="31"/>
      <c r="G19075" s="272" t="s">
        <v>1099</v>
      </c>
    </row>
    <row r="19076">
      <c r="B19076" s="31"/>
      <c r="G19076" s="272" t="s">
        <v>1099</v>
      </c>
    </row>
    <row r="19077">
      <c r="B19077" s="31"/>
      <c r="G19077" s="272" t="s">
        <v>1099</v>
      </c>
    </row>
    <row r="19078">
      <c r="B19078" s="31"/>
      <c r="G19078" s="272" t="s">
        <v>1099</v>
      </c>
    </row>
    <row r="19079">
      <c r="B19079" s="31"/>
      <c r="G19079" s="272" t="s">
        <v>1099</v>
      </c>
    </row>
    <row r="19080">
      <c r="B19080" s="31"/>
      <c r="G19080" s="272" t="s">
        <v>1099</v>
      </c>
    </row>
    <row r="19081">
      <c r="B19081" s="31"/>
      <c r="G19081" s="272" t="s">
        <v>1099</v>
      </c>
    </row>
    <row r="19082">
      <c r="B19082" s="31"/>
      <c r="G19082" s="272" t="s">
        <v>1099</v>
      </c>
    </row>
    <row r="19083">
      <c r="B19083" s="31"/>
      <c r="G19083" s="272" t="s">
        <v>1099</v>
      </c>
    </row>
    <row r="19084">
      <c r="B19084" s="31"/>
      <c r="G19084" s="272" t="s">
        <v>1099</v>
      </c>
    </row>
    <row r="19085">
      <c r="B19085" s="31"/>
      <c r="G19085" s="272" t="s">
        <v>1099</v>
      </c>
    </row>
    <row r="19086">
      <c r="B19086" s="31"/>
      <c r="G19086" s="272" t="s">
        <v>1099</v>
      </c>
    </row>
    <row r="19087">
      <c r="B19087" s="31"/>
      <c r="G19087" s="272" t="s">
        <v>1099</v>
      </c>
    </row>
    <row r="19088">
      <c r="B19088" s="31"/>
      <c r="G19088" s="272" t="s">
        <v>1099</v>
      </c>
    </row>
    <row r="19089">
      <c r="B19089" s="31"/>
      <c r="G19089" s="272" t="s">
        <v>1099</v>
      </c>
    </row>
    <row r="19090">
      <c r="B19090" s="31"/>
      <c r="G19090" s="272" t="s">
        <v>1099</v>
      </c>
    </row>
    <row r="19091">
      <c r="B19091" s="31"/>
      <c r="G19091" s="272" t="s">
        <v>1099</v>
      </c>
    </row>
    <row r="19092">
      <c r="B19092" s="31"/>
      <c r="G19092" s="272" t="s">
        <v>1099</v>
      </c>
    </row>
    <row r="19093">
      <c r="B19093" s="31"/>
      <c r="G19093" s="272" t="s">
        <v>1099</v>
      </c>
    </row>
    <row r="19094">
      <c r="B19094" s="31"/>
      <c r="G19094" s="272" t="s">
        <v>1099</v>
      </c>
    </row>
    <row r="19095">
      <c r="B19095" s="31"/>
      <c r="G19095" s="272" t="s">
        <v>1099</v>
      </c>
    </row>
    <row r="19096">
      <c r="B19096" s="31"/>
      <c r="G19096" s="272" t="s">
        <v>1099</v>
      </c>
    </row>
    <row r="19097">
      <c r="B19097" s="31"/>
      <c r="G19097" s="272" t="s">
        <v>1099</v>
      </c>
    </row>
    <row r="19098">
      <c r="B19098" s="31"/>
      <c r="G19098" s="272" t="s">
        <v>1099</v>
      </c>
    </row>
    <row r="19099">
      <c r="B19099" s="31"/>
      <c r="G19099" s="272" t="s">
        <v>1099</v>
      </c>
    </row>
    <row r="19100">
      <c r="B19100" s="31"/>
      <c r="G19100" s="272" t="s">
        <v>1099</v>
      </c>
    </row>
    <row r="19101">
      <c r="B19101" s="31"/>
      <c r="G19101" s="272" t="s">
        <v>1099</v>
      </c>
    </row>
    <row r="19102">
      <c r="B19102" s="31"/>
      <c r="G19102" s="272" t="s">
        <v>1099</v>
      </c>
    </row>
    <row r="19103">
      <c r="B19103" s="31"/>
      <c r="G19103" s="272" t="s">
        <v>1099</v>
      </c>
    </row>
    <row r="19104">
      <c r="B19104" s="31"/>
      <c r="G19104" s="272" t="s">
        <v>1099</v>
      </c>
    </row>
    <row r="19105">
      <c r="B19105" s="31"/>
      <c r="G19105" s="272" t="s">
        <v>1099</v>
      </c>
    </row>
    <row r="19106">
      <c r="B19106" s="31"/>
      <c r="G19106" s="272" t="s">
        <v>1099</v>
      </c>
    </row>
    <row r="19107">
      <c r="B19107" s="31"/>
      <c r="G19107" s="272" t="s">
        <v>1099</v>
      </c>
    </row>
    <row r="19108">
      <c r="B19108" s="31"/>
      <c r="G19108" s="272" t="s">
        <v>1099</v>
      </c>
    </row>
    <row r="19109">
      <c r="B19109" s="31"/>
      <c r="G19109" s="272" t="s">
        <v>1099</v>
      </c>
    </row>
    <row r="19110">
      <c r="B19110" s="31"/>
      <c r="G19110" s="272" t="s">
        <v>1099</v>
      </c>
    </row>
    <row r="19111">
      <c r="B19111" s="31"/>
      <c r="G19111" s="272" t="s">
        <v>1099</v>
      </c>
    </row>
    <row r="19112">
      <c r="B19112" s="31"/>
      <c r="G19112" s="272" t="s">
        <v>1099</v>
      </c>
    </row>
    <row r="19113">
      <c r="B19113" s="31"/>
      <c r="G19113" s="272" t="s">
        <v>1099</v>
      </c>
    </row>
    <row r="19114">
      <c r="B19114" s="31"/>
      <c r="G19114" s="272" t="s">
        <v>1099</v>
      </c>
    </row>
    <row r="19115">
      <c r="B19115" s="31"/>
      <c r="G19115" s="272" t="s">
        <v>1099</v>
      </c>
    </row>
    <row r="19116">
      <c r="B19116" s="31"/>
      <c r="G19116" s="272" t="s">
        <v>1099</v>
      </c>
    </row>
    <row r="19117">
      <c r="B19117" s="31"/>
      <c r="G19117" s="272" t="s">
        <v>1099</v>
      </c>
    </row>
    <row r="19118">
      <c r="B19118" s="31"/>
      <c r="G19118" s="272" t="s">
        <v>1099</v>
      </c>
    </row>
    <row r="19119">
      <c r="B19119" s="31"/>
      <c r="G19119" s="272" t="s">
        <v>1099</v>
      </c>
    </row>
    <row r="19120">
      <c r="B19120" s="31"/>
      <c r="G19120" s="272" t="s">
        <v>1099</v>
      </c>
    </row>
    <row r="19121">
      <c r="B19121" s="31"/>
      <c r="G19121" s="272" t="s">
        <v>1099</v>
      </c>
    </row>
    <row r="19122">
      <c r="B19122" s="31"/>
      <c r="G19122" s="272" t="s">
        <v>1099</v>
      </c>
    </row>
    <row r="19123">
      <c r="B19123" s="31"/>
      <c r="G19123" s="272" t="s">
        <v>1099</v>
      </c>
    </row>
    <row r="19124">
      <c r="B19124" s="31"/>
      <c r="G19124" s="272" t="s">
        <v>1099</v>
      </c>
    </row>
    <row r="19125">
      <c r="B19125" s="31"/>
      <c r="G19125" s="272" t="s">
        <v>1099</v>
      </c>
    </row>
    <row r="19126">
      <c r="B19126" s="31"/>
      <c r="G19126" s="272" t="s">
        <v>1099</v>
      </c>
    </row>
    <row r="19127">
      <c r="B19127" s="31"/>
      <c r="G19127" s="272" t="s">
        <v>1099</v>
      </c>
    </row>
    <row r="19128">
      <c r="B19128" s="31"/>
      <c r="G19128" s="272" t="s">
        <v>1099</v>
      </c>
    </row>
    <row r="19129">
      <c r="B19129" s="31"/>
      <c r="G19129" s="272" t="s">
        <v>1099</v>
      </c>
    </row>
    <row r="19130">
      <c r="B19130" s="31"/>
      <c r="G19130" s="272" t="s">
        <v>1099</v>
      </c>
    </row>
    <row r="19131">
      <c r="B19131" s="31"/>
      <c r="G19131" s="272" t="s">
        <v>1099</v>
      </c>
    </row>
    <row r="19132">
      <c r="B19132" s="31"/>
      <c r="G19132" s="272" t="s">
        <v>1099</v>
      </c>
    </row>
    <row r="19133">
      <c r="B19133" s="31"/>
      <c r="G19133" s="272" t="s">
        <v>1099</v>
      </c>
    </row>
    <row r="19134">
      <c r="B19134" s="31"/>
      <c r="G19134" s="272" t="s">
        <v>1099</v>
      </c>
    </row>
    <row r="19135">
      <c r="B19135" s="31"/>
      <c r="G19135" s="272" t="s">
        <v>1099</v>
      </c>
    </row>
    <row r="19136">
      <c r="B19136" s="31"/>
      <c r="G19136" s="272" t="s">
        <v>1099</v>
      </c>
    </row>
    <row r="19137">
      <c r="B19137" s="31"/>
      <c r="G19137" s="272" t="s">
        <v>1099</v>
      </c>
    </row>
    <row r="19138">
      <c r="B19138" s="31"/>
      <c r="G19138" s="272" t="s">
        <v>1099</v>
      </c>
    </row>
    <row r="19139">
      <c r="B19139" s="31"/>
      <c r="G19139" s="272" t="s">
        <v>1099</v>
      </c>
    </row>
    <row r="19140">
      <c r="B19140" s="31"/>
      <c r="G19140" s="272" t="s">
        <v>1099</v>
      </c>
    </row>
    <row r="19141">
      <c r="B19141" s="31"/>
      <c r="G19141" s="272" t="s">
        <v>1099</v>
      </c>
    </row>
    <row r="19142">
      <c r="B19142" s="31"/>
      <c r="G19142" s="272" t="s">
        <v>1099</v>
      </c>
    </row>
    <row r="19143">
      <c r="B19143" s="31"/>
      <c r="G19143" s="272" t="s">
        <v>1099</v>
      </c>
    </row>
    <row r="19144">
      <c r="B19144" s="31"/>
      <c r="G19144" s="272" t="s">
        <v>1099</v>
      </c>
    </row>
    <row r="19145">
      <c r="B19145" s="31"/>
      <c r="G19145" s="272" t="s">
        <v>1099</v>
      </c>
    </row>
    <row r="19146">
      <c r="B19146" s="31"/>
      <c r="G19146" s="272" t="s">
        <v>1099</v>
      </c>
    </row>
    <row r="19147">
      <c r="B19147" s="31"/>
      <c r="G19147" s="272" t="s">
        <v>1099</v>
      </c>
    </row>
    <row r="19148">
      <c r="B19148" s="31"/>
      <c r="G19148" s="272" t="s">
        <v>1099</v>
      </c>
    </row>
    <row r="19149">
      <c r="B19149" s="31"/>
      <c r="G19149" s="272" t="s">
        <v>1099</v>
      </c>
    </row>
    <row r="19150">
      <c r="B19150" s="31"/>
      <c r="G19150" s="272" t="s">
        <v>1099</v>
      </c>
    </row>
    <row r="19151">
      <c r="B19151" s="31"/>
      <c r="G19151" s="272" t="s">
        <v>1099</v>
      </c>
    </row>
    <row r="19152">
      <c r="B19152" s="31"/>
      <c r="G19152" s="272" t="s">
        <v>1099</v>
      </c>
    </row>
    <row r="19153">
      <c r="B19153" s="31"/>
      <c r="G19153" s="272" t="s">
        <v>1099</v>
      </c>
    </row>
    <row r="19154">
      <c r="B19154" s="31"/>
      <c r="G19154" s="272" t="s">
        <v>1099</v>
      </c>
    </row>
    <row r="19155">
      <c r="B19155" s="31"/>
      <c r="G19155" s="272" t="s">
        <v>1099</v>
      </c>
    </row>
    <row r="19156">
      <c r="B19156" s="31"/>
      <c r="G19156" s="272" t="s">
        <v>1099</v>
      </c>
    </row>
    <row r="19157">
      <c r="B19157" s="31"/>
      <c r="G19157" s="272" t="s">
        <v>1099</v>
      </c>
    </row>
    <row r="19158">
      <c r="B19158" s="31"/>
      <c r="G19158" s="272" t="s">
        <v>1099</v>
      </c>
    </row>
    <row r="19159">
      <c r="B19159" s="31"/>
      <c r="G19159" s="272" t="s">
        <v>1099</v>
      </c>
    </row>
    <row r="19160">
      <c r="B19160" s="31"/>
      <c r="G19160" s="272" t="s">
        <v>1099</v>
      </c>
    </row>
    <row r="19161">
      <c r="B19161" s="31"/>
      <c r="G19161" s="272" t="s">
        <v>1099</v>
      </c>
    </row>
    <row r="19162">
      <c r="B19162" s="31"/>
      <c r="G19162" s="272" t="s">
        <v>1099</v>
      </c>
    </row>
    <row r="19163">
      <c r="B19163" s="31"/>
      <c r="G19163" s="272" t="s">
        <v>1099</v>
      </c>
    </row>
    <row r="19164">
      <c r="B19164" s="31"/>
      <c r="G19164" s="272" t="s">
        <v>1099</v>
      </c>
    </row>
    <row r="19165">
      <c r="B19165" s="31"/>
      <c r="G19165" s="272" t="s">
        <v>1099</v>
      </c>
    </row>
    <row r="19166">
      <c r="B19166" s="31"/>
      <c r="G19166" s="272" t="s">
        <v>1099</v>
      </c>
    </row>
    <row r="19167">
      <c r="B19167" s="31"/>
      <c r="G19167" s="272" t="s">
        <v>1099</v>
      </c>
    </row>
    <row r="19168">
      <c r="B19168" s="31"/>
      <c r="G19168" s="272" t="s">
        <v>1099</v>
      </c>
    </row>
    <row r="19169">
      <c r="B19169" s="31"/>
      <c r="G19169" s="272" t="s">
        <v>1099</v>
      </c>
    </row>
    <row r="19170">
      <c r="B19170" s="31"/>
      <c r="G19170" s="272" t="s">
        <v>1099</v>
      </c>
    </row>
    <row r="19171">
      <c r="B19171" s="31"/>
      <c r="G19171" s="272" t="s">
        <v>1099</v>
      </c>
    </row>
    <row r="19172">
      <c r="B19172" s="31"/>
      <c r="G19172" s="272" t="s">
        <v>1099</v>
      </c>
    </row>
    <row r="19173">
      <c r="B19173" s="31"/>
      <c r="G19173" s="272" t="s">
        <v>1099</v>
      </c>
    </row>
    <row r="19174">
      <c r="B19174" s="31"/>
      <c r="G19174" s="272" t="s">
        <v>1099</v>
      </c>
    </row>
    <row r="19175">
      <c r="B19175" s="31"/>
      <c r="G19175" s="272" t="s">
        <v>1099</v>
      </c>
    </row>
    <row r="19176">
      <c r="B19176" s="31"/>
      <c r="G19176" s="272" t="s">
        <v>1099</v>
      </c>
    </row>
    <row r="19177">
      <c r="B19177" s="31"/>
      <c r="G19177" s="272" t="s">
        <v>1099</v>
      </c>
    </row>
    <row r="19178">
      <c r="B19178" s="31"/>
      <c r="G19178" s="272" t="s">
        <v>1099</v>
      </c>
    </row>
    <row r="19179">
      <c r="B19179" s="31"/>
      <c r="G19179" s="272" t="s">
        <v>1099</v>
      </c>
    </row>
    <row r="19180">
      <c r="B19180" s="31"/>
      <c r="G19180" s="272" t="s">
        <v>1099</v>
      </c>
    </row>
    <row r="19181">
      <c r="B19181" s="31"/>
      <c r="G19181" s="272" t="s">
        <v>1099</v>
      </c>
    </row>
    <row r="19182">
      <c r="B19182" s="31"/>
      <c r="G19182" s="272" t="s">
        <v>1099</v>
      </c>
    </row>
    <row r="19183">
      <c r="B19183" s="31"/>
      <c r="G19183" s="272" t="s">
        <v>1099</v>
      </c>
    </row>
    <row r="19184">
      <c r="B19184" s="31"/>
      <c r="G19184" s="272" t="s">
        <v>1099</v>
      </c>
    </row>
    <row r="19185">
      <c r="B19185" s="31"/>
      <c r="G19185" s="272" t="s">
        <v>1099</v>
      </c>
    </row>
    <row r="19186">
      <c r="B19186" s="31"/>
      <c r="G19186" s="272" t="s">
        <v>1099</v>
      </c>
    </row>
    <row r="19187">
      <c r="B19187" s="31"/>
      <c r="G19187" s="272" t="s">
        <v>1099</v>
      </c>
    </row>
    <row r="19188">
      <c r="B19188" s="31"/>
      <c r="G19188" s="272" t="s">
        <v>1099</v>
      </c>
    </row>
    <row r="19189">
      <c r="B19189" s="31"/>
      <c r="G19189" s="272" t="s">
        <v>1099</v>
      </c>
    </row>
    <row r="19190">
      <c r="B19190" s="31"/>
      <c r="G19190" s="272" t="s">
        <v>1099</v>
      </c>
    </row>
    <row r="19191">
      <c r="B19191" s="31"/>
      <c r="G19191" s="272" t="s">
        <v>1099</v>
      </c>
    </row>
    <row r="19192">
      <c r="B19192" s="31"/>
      <c r="G19192" s="272" t="s">
        <v>1099</v>
      </c>
    </row>
    <row r="19193">
      <c r="B19193" s="31"/>
      <c r="G19193" s="272" t="s">
        <v>1099</v>
      </c>
    </row>
    <row r="19194">
      <c r="B19194" s="31"/>
      <c r="G19194" s="272" t="s">
        <v>1099</v>
      </c>
    </row>
    <row r="19195">
      <c r="B19195" s="31"/>
      <c r="G19195" s="272" t="s">
        <v>1099</v>
      </c>
    </row>
    <row r="19196">
      <c r="B19196" s="31"/>
      <c r="G19196" s="272" t="s">
        <v>1099</v>
      </c>
    </row>
    <row r="19197">
      <c r="B19197" s="31"/>
      <c r="G19197" s="272" t="s">
        <v>1099</v>
      </c>
    </row>
    <row r="19198">
      <c r="B19198" s="31"/>
      <c r="G19198" s="272" t="s">
        <v>1099</v>
      </c>
    </row>
    <row r="19199">
      <c r="B19199" s="31"/>
      <c r="G19199" s="272" t="s">
        <v>1099</v>
      </c>
    </row>
    <row r="19200">
      <c r="B19200" s="31"/>
      <c r="G19200" s="272" t="s">
        <v>1099</v>
      </c>
    </row>
    <row r="19201">
      <c r="B19201" s="31"/>
      <c r="G19201" s="272" t="s">
        <v>1099</v>
      </c>
    </row>
    <row r="19202">
      <c r="B19202" s="31"/>
      <c r="G19202" s="272" t="s">
        <v>1099</v>
      </c>
    </row>
    <row r="19203">
      <c r="B19203" s="31"/>
      <c r="G19203" s="272" t="s">
        <v>1099</v>
      </c>
    </row>
    <row r="19204">
      <c r="B19204" s="31"/>
      <c r="G19204" s="272" t="s">
        <v>1099</v>
      </c>
    </row>
    <row r="19205">
      <c r="B19205" s="31"/>
      <c r="G19205" s="272" t="s">
        <v>1099</v>
      </c>
    </row>
    <row r="19206">
      <c r="B19206" s="31"/>
      <c r="G19206" s="272" t="s">
        <v>1099</v>
      </c>
    </row>
    <row r="19207">
      <c r="B19207" s="31"/>
      <c r="G19207" s="272" t="s">
        <v>1099</v>
      </c>
    </row>
    <row r="19208">
      <c r="B19208" s="31"/>
      <c r="G19208" s="272" t="s">
        <v>1099</v>
      </c>
    </row>
    <row r="19209">
      <c r="B19209" s="31"/>
      <c r="G19209" s="272" t="s">
        <v>1099</v>
      </c>
    </row>
    <row r="19210">
      <c r="B19210" s="31"/>
      <c r="G19210" s="272" t="s">
        <v>1099</v>
      </c>
    </row>
    <row r="19211">
      <c r="B19211" s="31"/>
      <c r="G19211" s="272" t="s">
        <v>1099</v>
      </c>
    </row>
    <row r="19212">
      <c r="B19212" s="31"/>
      <c r="G19212" s="272" t="s">
        <v>1099</v>
      </c>
    </row>
    <row r="19213">
      <c r="B19213" s="31"/>
      <c r="G19213" s="272" t="s">
        <v>1099</v>
      </c>
    </row>
    <row r="19214">
      <c r="B19214" s="31"/>
      <c r="G19214" s="272" t="s">
        <v>1099</v>
      </c>
    </row>
    <row r="19215">
      <c r="B19215" s="31"/>
      <c r="G19215" s="272" t="s">
        <v>1099</v>
      </c>
    </row>
    <row r="19216">
      <c r="B19216" s="31"/>
      <c r="G19216" s="272" t="s">
        <v>1099</v>
      </c>
    </row>
    <row r="19217">
      <c r="B19217" s="31"/>
      <c r="G19217" s="272" t="s">
        <v>1099</v>
      </c>
    </row>
    <row r="19218">
      <c r="B19218" s="31"/>
      <c r="G19218" s="272" t="s">
        <v>1099</v>
      </c>
    </row>
    <row r="19219">
      <c r="B19219" s="31"/>
      <c r="G19219" s="272" t="s">
        <v>1099</v>
      </c>
    </row>
    <row r="19220">
      <c r="B19220" s="31"/>
      <c r="G19220" s="272" t="s">
        <v>1099</v>
      </c>
    </row>
    <row r="19221">
      <c r="B19221" s="31"/>
      <c r="G19221" s="272" t="s">
        <v>1099</v>
      </c>
    </row>
    <row r="19222">
      <c r="B19222" s="31"/>
      <c r="G19222" s="272" t="s">
        <v>1099</v>
      </c>
    </row>
    <row r="19223">
      <c r="B19223" s="31"/>
      <c r="G19223" s="272" t="s">
        <v>1099</v>
      </c>
    </row>
    <row r="19224">
      <c r="B19224" s="31"/>
      <c r="G19224" s="272" t="s">
        <v>1099</v>
      </c>
    </row>
    <row r="19225">
      <c r="B19225" s="31"/>
      <c r="G19225" s="272" t="s">
        <v>1099</v>
      </c>
    </row>
    <row r="19226">
      <c r="B19226" s="31"/>
      <c r="G19226" s="272" t="s">
        <v>1099</v>
      </c>
    </row>
    <row r="19227">
      <c r="B19227" s="31"/>
      <c r="G19227" s="272" t="s">
        <v>1099</v>
      </c>
    </row>
    <row r="19228">
      <c r="B19228" s="31"/>
      <c r="G19228" s="272" t="s">
        <v>1099</v>
      </c>
    </row>
    <row r="19229">
      <c r="B19229" s="31"/>
      <c r="G19229" s="272" t="s">
        <v>1099</v>
      </c>
    </row>
    <row r="19230">
      <c r="B19230" s="31"/>
      <c r="G19230" s="272" t="s">
        <v>1099</v>
      </c>
    </row>
    <row r="19231">
      <c r="B19231" s="31"/>
      <c r="G19231" s="272" t="s">
        <v>1099</v>
      </c>
    </row>
    <row r="19232">
      <c r="B19232" s="31"/>
      <c r="G19232" s="272" t="s">
        <v>1099</v>
      </c>
    </row>
    <row r="19233">
      <c r="B19233" s="31"/>
      <c r="G19233" s="272" t="s">
        <v>1099</v>
      </c>
    </row>
    <row r="19234">
      <c r="B19234" s="31"/>
      <c r="G19234" s="272" t="s">
        <v>1099</v>
      </c>
    </row>
    <row r="19235">
      <c r="B19235" s="31"/>
      <c r="G19235" s="272" t="s">
        <v>1099</v>
      </c>
    </row>
    <row r="19236">
      <c r="B19236" s="31"/>
      <c r="G19236" s="272" t="s">
        <v>1099</v>
      </c>
    </row>
    <row r="19237">
      <c r="B19237" s="31"/>
      <c r="G19237" s="272" t="s">
        <v>1099</v>
      </c>
    </row>
    <row r="19238">
      <c r="B19238" s="31"/>
      <c r="G19238" s="272" t="s">
        <v>1099</v>
      </c>
    </row>
    <row r="19239">
      <c r="B19239" s="31"/>
      <c r="G19239" s="272" t="s">
        <v>1099</v>
      </c>
    </row>
    <row r="19240">
      <c r="B19240" s="31"/>
      <c r="G19240" s="272" t="s">
        <v>1099</v>
      </c>
    </row>
    <row r="19241">
      <c r="B19241" s="31"/>
      <c r="G19241" s="272" t="s">
        <v>1099</v>
      </c>
    </row>
    <row r="19242">
      <c r="B19242" s="31"/>
      <c r="G19242" s="272" t="s">
        <v>1099</v>
      </c>
    </row>
    <row r="19243">
      <c r="B19243" s="31"/>
      <c r="G19243" s="272" t="s">
        <v>1099</v>
      </c>
    </row>
    <row r="19244">
      <c r="B19244" s="31"/>
      <c r="G19244" s="272" t="s">
        <v>1099</v>
      </c>
    </row>
    <row r="19245">
      <c r="B19245" s="31"/>
      <c r="G19245" s="272" t="s">
        <v>1099</v>
      </c>
    </row>
    <row r="19246">
      <c r="B19246" s="31"/>
      <c r="G19246" s="272" t="s">
        <v>1099</v>
      </c>
    </row>
    <row r="19247">
      <c r="B19247" s="31"/>
      <c r="G19247" s="272" t="s">
        <v>1099</v>
      </c>
    </row>
    <row r="19248">
      <c r="B19248" s="31"/>
      <c r="G19248" s="272" t="s">
        <v>1099</v>
      </c>
    </row>
    <row r="19249">
      <c r="B19249" s="31"/>
      <c r="G19249" s="272" t="s">
        <v>1099</v>
      </c>
    </row>
    <row r="19250">
      <c r="B19250" s="31"/>
      <c r="G19250" s="272" t="s">
        <v>1099</v>
      </c>
    </row>
    <row r="19251">
      <c r="B19251" s="31"/>
      <c r="G19251" s="272" t="s">
        <v>1099</v>
      </c>
    </row>
    <row r="19252">
      <c r="B19252" s="31"/>
      <c r="G19252" s="272" t="s">
        <v>1099</v>
      </c>
    </row>
    <row r="19253">
      <c r="B19253" s="31"/>
      <c r="G19253" s="272" t="s">
        <v>1099</v>
      </c>
    </row>
    <row r="19254">
      <c r="B19254" s="31"/>
      <c r="G19254" s="272" t="s">
        <v>1099</v>
      </c>
    </row>
    <row r="19255">
      <c r="B19255" s="31"/>
      <c r="G19255" s="272" t="s">
        <v>1099</v>
      </c>
    </row>
    <row r="19256">
      <c r="B19256" s="31"/>
      <c r="G19256" s="272" t="s">
        <v>1099</v>
      </c>
    </row>
    <row r="19257">
      <c r="B19257" s="31"/>
      <c r="G19257" s="272" t="s">
        <v>1099</v>
      </c>
    </row>
    <row r="19258">
      <c r="B19258" s="31"/>
      <c r="G19258" s="272" t="s">
        <v>1099</v>
      </c>
    </row>
    <row r="19259">
      <c r="B19259" s="31"/>
      <c r="G19259" s="272" t="s">
        <v>1099</v>
      </c>
    </row>
    <row r="19260">
      <c r="B19260" s="31"/>
      <c r="G19260" s="272" t="s">
        <v>1099</v>
      </c>
    </row>
    <row r="19261">
      <c r="B19261" s="31"/>
      <c r="G19261" s="272" t="s">
        <v>1099</v>
      </c>
    </row>
    <row r="19262">
      <c r="B19262" s="31"/>
      <c r="G19262" s="272" t="s">
        <v>1099</v>
      </c>
    </row>
    <row r="19263">
      <c r="B19263" s="31"/>
      <c r="G19263" s="272" t="s">
        <v>1099</v>
      </c>
    </row>
    <row r="19264">
      <c r="B19264" s="31"/>
      <c r="G19264" s="272" t="s">
        <v>1099</v>
      </c>
    </row>
    <row r="19265">
      <c r="B19265" s="31"/>
      <c r="G19265" s="272" t="s">
        <v>1099</v>
      </c>
    </row>
    <row r="19266">
      <c r="B19266" s="31"/>
      <c r="G19266" s="272" t="s">
        <v>1099</v>
      </c>
    </row>
    <row r="19267">
      <c r="B19267" s="31"/>
      <c r="G19267" s="272" t="s">
        <v>1099</v>
      </c>
    </row>
    <row r="19268">
      <c r="B19268" s="31"/>
      <c r="G19268" s="272" t="s">
        <v>1099</v>
      </c>
    </row>
    <row r="19269">
      <c r="B19269" s="31"/>
      <c r="G19269" s="272" t="s">
        <v>1099</v>
      </c>
    </row>
    <row r="19270">
      <c r="B19270" s="31"/>
      <c r="G19270" s="272" t="s">
        <v>1099</v>
      </c>
    </row>
    <row r="19271">
      <c r="B19271" s="31"/>
      <c r="G19271" s="272" t="s">
        <v>1099</v>
      </c>
    </row>
    <row r="19272">
      <c r="B19272" s="31"/>
      <c r="G19272" s="272" t="s">
        <v>1099</v>
      </c>
    </row>
    <row r="19273">
      <c r="B19273" s="31"/>
      <c r="G19273" s="272" t="s">
        <v>1099</v>
      </c>
    </row>
    <row r="19274">
      <c r="B19274" s="31"/>
      <c r="G19274" s="272" t="s">
        <v>1099</v>
      </c>
    </row>
    <row r="19275">
      <c r="B19275" s="31"/>
      <c r="G19275" s="272" t="s">
        <v>1099</v>
      </c>
    </row>
    <row r="19276">
      <c r="B19276" s="31"/>
      <c r="G19276" s="272" t="s">
        <v>1099</v>
      </c>
    </row>
    <row r="19277">
      <c r="B19277" s="31"/>
      <c r="G19277" s="272" t="s">
        <v>1099</v>
      </c>
    </row>
    <row r="19278">
      <c r="B19278" s="31"/>
      <c r="G19278" s="272" t="s">
        <v>1099</v>
      </c>
    </row>
    <row r="19279">
      <c r="B19279" s="31"/>
      <c r="G19279" s="272" t="s">
        <v>1099</v>
      </c>
    </row>
    <row r="19280">
      <c r="B19280" s="31"/>
      <c r="G19280" s="272" t="s">
        <v>1099</v>
      </c>
    </row>
    <row r="19281">
      <c r="B19281" s="31"/>
      <c r="G19281" s="272" t="s">
        <v>1099</v>
      </c>
    </row>
    <row r="19282">
      <c r="B19282" s="31"/>
      <c r="G19282" s="272" t="s">
        <v>1099</v>
      </c>
    </row>
    <row r="19283">
      <c r="B19283" s="31"/>
      <c r="G19283" s="272" t="s">
        <v>1099</v>
      </c>
    </row>
    <row r="19284">
      <c r="B19284" s="31"/>
      <c r="G19284" s="272" t="s">
        <v>1099</v>
      </c>
    </row>
    <row r="19285">
      <c r="B19285" s="31"/>
      <c r="G19285" s="272" t="s">
        <v>1099</v>
      </c>
    </row>
    <row r="19286">
      <c r="B19286" s="31"/>
      <c r="G19286" s="272" t="s">
        <v>1099</v>
      </c>
    </row>
    <row r="19287">
      <c r="B19287" s="31"/>
      <c r="G19287" s="272" t="s">
        <v>1099</v>
      </c>
    </row>
    <row r="19288">
      <c r="B19288" s="31"/>
      <c r="G19288" s="272" t="s">
        <v>1099</v>
      </c>
    </row>
    <row r="19289">
      <c r="B19289" s="31"/>
      <c r="G19289" s="272" t="s">
        <v>1099</v>
      </c>
    </row>
    <row r="19290">
      <c r="B19290" s="31"/>
      <c r="G19290" s="272" t="s">
        <v>1099</v>
      </c>
    </row>
    <row r="19291">
      <c r="B19291" s="31"/>
      <c r="G19291" s="272" t="s">
        <v>1099</v>
      </c>
    </row>
    <row r="19292">
      <c r="B19292" s="31"/>
      <c r="G19292" s="272" t="s">
        <v>1099</v>
      </c>
    </row>
    <row r="19293">
      <c r="B19293" s="31"/>
      <c r="G19293" s="272" t="s">
        <v>1099</v>
      </c>
    </row>
    <row r="19294">
      <c r="B19294" s="31"/>
      <c r="G19294" s="272" t="s">
        <v>1099</v>
      </c>
    </row>
    <row r="19295">
      <c r="B19295" s="31"/>
      <c r="G19295" s="272" t="s">
        <v>1099</v>
      </c>
    </row>
    <row r="19296">
      <c r="B19296" s="31"/>
      <c r="G19296" s="272" t="s">
        <v>1099</v>
      </c>
    </row>
    <row r="19297">
      <c r="B19297" s="31"/>
      <c r="G19297" s="272" t="s">
        <v>1099</v>
      </c>
    </row>
    <row r="19298">
      <c r="B19298" s="31"/>
      <c r="G19298" s="272" t="s">
        <v>1099</v>
      </c>
    </row>
    <row r="19299">
      <c r="B19299" s="31"/>
      <c r="G19299" s="272" t="s">
        <v>1099</v>
      </c>
    </row>
    <row r="19300">
      <c r="B19300" s="31"/>
      <c r="G19300" s="272" t="s">
        <v>1099</v>
      </c>
    </row>
    <row r="19301">
      <c r="B19301" s="31"/>
      <c r="G19301" s="272" t="s">
        <v>1099</v>
      </c>
    </row>
    <row r="19302">
      <c r="B19302" s="31"/>
      <c r="G19302" s="272" t="s">
        <v>1099</v>
      </c>
    </row>
    <row r="19303">
      <c r="B19303" s="31"/>
      <c r="G19303" s="272" t="s">
        <v>1099</v>
      </c>
    </row>
    <row r="19304">
      <c r="B19304" s="31"/>
      <c r="G19304" s="272" t="s">
        <v>1099</v>
      </c>
    </row>
    <row r="19305">
      <c r="B19305" s="31"/>
      <c r="G19305" s="272" t="s">
        <v>1099</v>
      </c>
    </row>
    <row r="19306">
      <c r="B19306" s="31"/>
      <c r="G19306" s="272" t="s">
        <v>1099</v>
      </c>
    </row>
    <row r="19307">
      <c r="B19307" s="31"/>
      <c r="G19307" s="272" t="s">
        <v>1099</v>
      </c>
    </row>
    <row r="19308">
      <c r="B19308" s="31"/>
      <c r="G19308" s="272" t="s">
        <v>1099</v>
      </c>
    </row>
    <row r="19309">
      <c r="B19309" s="31"/>
      <c r="G19309" s="272" t="s">
        <v>1099</v>
      </c>
    </row>
    <row r="19310">
      <c r="B19310" s="31"/>
      <c r="G19310" s="272" t="s">
        <v>1099</v>
      </c>
    </row>
    <row r="19311">
      <c r="B19311" s="31"/>
      <c r="G19311" s="272" t="s">
        <v>1099</v>
      </c>
    </row>
    <row r="19312">
      <c r="B19312" s="31"/>
      <c r="G19312" s="272" t="s">
        <v>1099</v>
      </c>
    </row>
    <row r="19313">
      <c r="B19313" s="31"/>
      <c r="G19313" s="272" t="s">
        <v>1099</v>
      </c>
    </row>
    <row r="19314">
      <c r="B19314" s="31"/>
      <c r="G19314" s="272" t="s">
        <v>1099</v>
      </c>
    </row>
    <row r="19315">
      <c r="B19315" s="31"/>
      <c r="G19315" s="272" t="s">
        <v>1099</v>
      </c>
    </row>
    <row r="19316">
      <c r="B19316" s="31"/>
      <c r="G19316" s="272" t="s">
        <v>1099</v>
      </c>
    </row>
    <row r="19317">
      <c r="B19317" s="31"/>
      <c r="G19317" s="272" t="s">
        <v>1099</v>
      </c>
    </row>
    <row r="19318">
      <c r="B19318" s="31"/>
      <c r="G19318" s="272" t="s">
        <v>1099</v>
      </c>
    </row>
    <row r="19319">
      <c r="B19319" s="31"/>
      <c r="G19319" s="272" t="s">
        <v>1099</v>
      </c>
    </row>
    <row r="19320">
      <c r="B19320" s="31"/>
      <c r="G19320" s="272" t="s">
        <v>1099</v>
      </c>
    </row>
    <row r="19321">
      <c r="B19321" s="31"/>
      <c r="G19321" s="272" t="s">
        <v>1099</v>
      </c>
    </row>
    <row r="19322">
      <c r="B19322" s="31"/>
      <c r="G19322" s="272" t="s">
        <v>1099</v>
      </c>
    </row>
    <row r="19323">
      <c r="B19323" s="31"/>
      <c r="G19323" s="272" t="s">
        <v>1099</v>
      </c>
    </row>
    <row r="19324">
      <c r="B19324" s="31"/>
      <c r="G19324" s="272" t="s">
        <v>1099</v>
      </c>
    </row>
    <row r="19325">
      <c r="B19325" s="31"/>
      <c r="G19325" s="272" t="s">
        <v>1099</v>
      </c>
    </row>
    <row r="19326">
      <c r="B19326" s="31"/>
      <c r="G19326" s="272" t="s">
        <v>1099</v>
      </c>
    </row>
    <row r="19327">
      <c r="B19327" s="31"/>
      <c r="G19327" s="272" t="s">
        <v>1099</v>
      </c>
    </row>
    <row r="19328">
      <c r="B19328" s="31"/>
      <c r="G19328" s="272" t="s">
        <v>1099</v>
      </c>
    </row>
    <row r="19329">
      <c r="B19329" s="31"/>
      <c r="G19329" s="272" t="s">
        <v>1099</v>
      </c>
    </row>
    <row r="19330">
      <c r="B19330" s="31"/>
      <c r="G19330" s="272" t="s">
        <v>1099</v>
      </c>
    </row>
    <row r="19331">
      <c r="B19331" s="31"/>
      <c r="G19331" s="272" t="s">
        <v>1099</v>
      </c>
    </row>
    <row r="19332">
      <c r="B19332" s="31"/>
      <c r="G19332" s="272" t="s">
        <v>1099</v>
      </c>
    </row>
    <row r="19333">
      <c r="B19333" s="31"/>
      <c r="G19333" s="272" t="s">
        <v>1099</v>
      </c>
    </row>
    <row r="19334">
      <c r="B19334" s="31"/>
      <c r="G19334" s="272" t="s">
        <v>1099</v>
      </c>
    </row>
    <row r="19335">
      <c r="B19335" s="31"/>
      <c r="G19335" s="272" t="s">
        <v>1099</v>
      </c>
    </row>
    <row r="19336">
      <c r="B19336" s="31"/>
      <c r="G19336" s="272" t="s">
        <v>1099</v>
      </c>
    </row>
    <row r="19337">
      <c r="B19337" s="31"/>
      <c r="G19337" s="272" t="s">
        <v>1099</v>
      </c>
    </row>
    <row r="19338">
      <c r="B19338" s="31"/>
      <c r="G19338" s="272" t="s">
        <v>1099</v>
      </c>
    </row>
    <row r="19339">
      <c r="B19339" s="31"/>
      <c r="G19339" s="272" t="s">
        <v>1099</v>
      </c>
    </row>
    <row r="19340">
      <c r="B19340" s="31"/>
      <c r="G19340" s="272" t="s">
        <v>1099</v>
      </c>
    </row>
    <row r="19341">
      <c r="B19341" s="31"/>
      <c r="G19341" s="272" t="s">
        <v>1099</v>
      </c>
    </row>
    <row r="19342">
      <c r="B19342" s="31"/>
      <c r="G19342" s="272" t="s">
        <v>1099</v>
      </c>
    </row>
    <row r="19343">
      <c r="B19343" s="31"/>
      <c r="G19343" s="272" t="s">
        <v>1099</v>
      </c>
    </row>
    <row r="19344">
      <c r="B19344" s="31"/>
      <c r="G19344" s="272" t="s">
        <v>1099</v>
      </c>
    </row>
    <row r="19345">
      <c r="B19345" s="31"/>
      <c r="G19345" s="272" t="s">
        <v>1099</v>
      </c>
    </row>
    <row r="19346">
      <c r="B19346" s="31"/>
      <c r="G19346" s="272" t="s">
        <v>1099</v>
      </c>
    </row>
    <row r="19347">
      <c r="B19347" s="31"/>
      <c r="G19347" s="272" t="s">
        <v>1099</v>
      </c>
    </row>
    <row r="19348">
      <c r="B19348" s="31"/>
      <c r="G19348" s="272" t="s">
        <v>1099</v>
      </c>
    </row>
    <row r="19349">
      <c r="B19349" s="31"/>
      <c r="G19349" s="272" t="s">
        <v>1099</v>
      </c>
    </row>
    <row r="19350">
      <c r="B19350" s="31"/>
      <c r="G19350" s="272" t="s">
        <v>1099</v>
      </c>
    </row>
    <row r="19351">
      <c r="B19351" s="31"/>
      <c r="G19351" s="272" t="s">
        <v>1099</v>
      </c>
    </row>
    <row r="19352">
      <c r="B19352" s="31"/>
      <c r="G19352" s="272" t="s">
        <v>1099</v>
      </c>
    </row>
    <row r="19353">
      <c r="B19353" s="31"/>
      <c r="G19353" s="272" t="s">
        <v>1099</v>
      </c>
    </row>
    <row r="19354">
      <c r="B19354" s="31"/>
      <c r="G19354" s="272" t="s">
        <v>1099</v>
      </c>
    </row>
    <row r="19355">
      <c r="B19355" s="31"/>
      <c r="G19355" s="272" t="s">
        <v>1099</v>
      </c>
    </row>
    <row r="19356">
      <c r="B19356" s="31"/>
      <c r="G19356" s="272" t="s">
        <v>1099</v>
      </c>
    </row>
    <row r="19357">
      <c r="B19357" s="31"/>
      <c r="G19357" s="272" t="s">
        <v>1099</v>
      </c>
    </row>
    <row r="19358">
      <c r="B19358" s="31"/>
      <c r="G19358" s="272" t="s">
        <v>1099</v>
      </c>
    </row>
    <row r="19359">
      <c r="B19359" s="31"/>
      <c r="G19359" s="272" t="s">
        <v>1099</v>
      </c>
    </row>
    <row r="19360">
      <c r="B19360" s="31"/>
      <c r="G19360" s="272" t="s">
        <v>1099</v>
      </c>
    </row>
    <row r="19361">
      <c r="B19361" s="31"/>
      <c r="G19361" s="272" t="s">
        <v>1099</v>
      </c>
    </row>
    <row r="19362">
      <c r="B19362" s="31"/>
      <c r="G19362" s="272" t="s">
        <v>1099</v>
      </c>
    </row>
    <row r="19363">
      <c r="B19363" s="31"/>
      <c r="G19363" s="272" t="s">
        <v>1099</v>
      </c>
    </row>
    <row r="19364">
      <c r="B19364" s="31"/>
      <c r="G19364" s="272" t="s">
        <v>1099</v>
      </c>
    </row>
    <row r="19365">
      <c r="B19365" s="31"/>
      <c r="G19365" s="272" t="s">
        <v>1099</v>
      </c>
    </row>
    <row r="19366">
      <c r="B19366" s="31"/>
      <c r="G19366" s="272" t="s">
        <v>1099</v>
      </c>
    </row>
    <row r="19367">
      <c r="B19367" s="31"/>
      <c r="G19367" s="272" t="s">
        <v>1099</v>
      </c>
    </row>
    <row r="19368">
      <c r="B19368" s="31"/>
      <c r="G19368" s="272" t="s">
        <v>1099</v>
      </c>
    </row>
    <row r="19369">
      <c r="B19369" s="31"/>
      <c r="G19369" s="272" t="s">
        <v>1099</v>
      </c>
    </row>
    <row r="19370">
      <c r="B19370" s="31"/>
      <c r="G19370" s="272" t="s">
        <v>1099</v>
      </c>
    </row>
    <row r="19371">
      <c r="B19371" s="31"/>
      <c r="G19371" s="272" t="s">
        <v>1099</v>
      </c>
    </row>
    <row r="19372">
      <c r="B19372" s="31"/>
      <c r="G19372" s="272" t="s">
        <v>1099</v>
      </c>
    </row>
    <row r="19373">
      <c r="B19373" s="31"/>
      <c r="G19373" s="272" t="s">
        <v>1099</v>
      </c>
    </row>
    <row r="19374">
      <c r="B19374" s="31"/>
      <c r="G19374" s="272" t="s">
        <v>1099</v>
      </c>
    </row>
    <row r="19375">
      <c r="B19375" s="31"/>
      <c r="G19375" s="272" t="s">
        <v>1099</v>
      </c>
    </row>
    <row r="19376">
      <c r="B19376" s="31"/>
      <c r="G19376" s="272" t="s">
        <v>1099</v>
      </c>
    </row>
    <row r="19377">
      <c r="B19377" s="31"/>
      <c r="G19377" s="272" t="s">
        <v>1099</v>
      </c>
    </row>
    <row r="19378">
      <c r="B19378" s="31"/>
      <c r="G19378" s="272" t="s">
        <v>1099</v>
      </c>
    </row>
    <row r="19379">
      <c r="B19379" s="31"/>
      <c r="G19379" s="272" t="s">
        <v>1099</v>
      </c>
    </row>
    <row r="19380">
      <c r="B19380" s="31"/>
      <c r="G19380" s="272" t="s">
        <v>1099</v>
      </c>
    </row>
    <row r="19381">
      <c r="B19381" s="31"/>
      <c r="G19381" s="272" t="s">
        <v>1099</v>
      </c>
    </row>
    <row r="19382">
      <c r="B19382" s="31"/>
      <c r="G19382" s="272" t="s">
        <v>1099</v>
      </c>
    </row>
    <row r="19383">
      <c r="B19383" s="31"/>
      <c r="G19383" s="272" t="s">
        <v>1099</v>
      </c>
    </row>
    <row r="19384">
      <c r="B19384" s="31"/>
      <c r="G19384" s="272" t="s">
        <v>1099</v>
      </c>
    </row>
    <row r="19385">
      <c r="B19385" s="31"/>
      <c r="G19385" s="272" t="s">
        <v>1099</v>
      </c>
    </row>
    <row r="19386">
      <c r="B19386" s="31"/>
      <c r="G19386" s="272" t="s">
        <v>1099</v>
      </c>
    </row>
    <row r="19387">
      <c r="B19387" s="31"/>
      <c r="G19387" s="272" t="s">
        <v>1099</v>
      </c>
    </row>
    <row r="19388">
      <c r="B19388" s="31"/>
      <c r="G19388" s="272" t="s">
        <v>1099</v>
      </c>
    </row>
    <row r="19389">
      <c r="B19389" s="31"/>
      <c r="G19389" s="272" t="s">
        <v>1099</v>
      </c>
    </row>
    <row r="19390">
      <c r="B19390" s="31"/>
      <c r="G19390" s="272" t="s">
        <v>1099</v>
      </c>
    </row>
    <row r="19391">
      <c r="B19391" s="31"/>
      <c r="G19391" s="272" t="s">
        <v>1099</v>
      </c>
    </row>
    <row r="19392">
      <c r="B19392" s="31"/>
      <c r="G19392" s="272" t="s">
        <v>1099</v>
      </c>
    </row>
    <row r="19393">
      <c r="B19393" s="31"/>
      <c r="G19393" s="272" t="s">
        <v>1099</v>
      </c>
    </row>
    <row r="19394">
      <c r="B19394" s="31"/>
      <c r="G19394" s="272" t="s">
        <v>1099</v>
      </c>
    </row>
    <row r="19395">
      <c r="B19395" s="31"/>
      <c r="G19395" s="272" t="s">
        <v>1099</v>
      </c>
    </row>
    <row r="19396">
      <c r="B19396" s="31"/>
      <c r="G19396" s="272" t="s">
        <v>1099</v>
      </c>
    </row>
    <row r="19397">
      <c r="B19397" s="31"/>
      <c r="G19397" s="272" t="s">
        <v>1099</v>
      </c>
    </row>
    <row r="19398">
      <c r="B19398" s="31"/>
      <c r="G19398" s="272" t="s">
        <v>1099</v>
      </c>
    </row>
    <row r="19399">
      <c r="B19399" s="31"/>
      <c r="G19399" s="272" t="s">
        <v>1099</v>
      </c>
    </row>
    <row r="19400">
      <c r="B19400" s="31"/>
      <c r="G19400" s="272" t="s">
        <v>1099</v>
      </c>
    </row>
    <row r="19401">
      <c r="B19401" s="31"/>
      <c r="G19401" s="272" t="s">
        <v>1099</v>
      </c>
    </row>
    <row r="19402">
      <c r="B19402" s="31"/>
      <c r="G19402" s="272" t="s">
        <v>1099</v>
      </c>
    </row>
    <row r="19403">
      <c r="B19403" s="31"/>
      <c r="G19403" s="272" t="s">
        <v>1099</v>
      </c>
    </row>
    <row r="19404">
      <c r="B19404" s="31"/>
      <c r="G19404" s="272" t="s">
        <v>1099</v>
      </c>
    </row>
    <row r="19405">
      <c r="B19405" s="31"/>
      <c r="G19405" s="272" t="s">
        <v>1099</v>
      </c>
    </row>
    <row r="19406">
      <c r="B19406" s="31"/>
      <c r="G19406" s="272" t="s">
        <v>1099</v>
      </c>
    </row>
    <row r="19407">
      <c r="B19407" s="31"/>
      <c r="G19407" s="272" t="s">
        <v>1099</v>
      </c>
    </row>
    <row r="19408">
      <c r="B19408" s="31"/>
      <c r="G19408" s="272" t="s">
        <v>1099</v>
      </c>
    </row>
    <row r="19409">
      <c r="B19409" s="31"/>
      <c r="G19409" s="272" t="s">
        <v>1099</v>
      </c>
    </row>
    <row r="19410">
      <c r="B19410" s="31"/>
      <c r="G19410" s="272" t="s">
        <v>1099</v>
      </c>
    </row>
    <row r="19411">
      <c r="B19411" s="31"/>
      <c r="G19411" s="272" t="s">
        <v>1099</v>
      </c>
    </row>
    <row r="19412">
      <c r="B19412" s="31"/>
      <c r="G19412" s="272" t="s">
        <v>1099</v>
      </c>
    </row>
    <row r="19413">
      <c r="B19413" s="31"/>
      <c r="G19413" s="272" t="s">
        <v>1099</v>
      </c>
    </row>
    <row r="19414">
      <c r="B19414" s="31"/>
      <c r="G19414" s="272" t="s">
        <v>1099</v>
      </c>
    </row>
    <row r="19415">
      <c r="B19415" s="31"/>
      <c r="G19415" s="272" t="s">
        <v>1099</v>
      </c>
    </row>
    <row r="19416">
      <c r="B19416" s="31"/>
      <c r="G19416" s="272" t="s">
        <v>1099</v>
      </c>
    </row>
    <row r="19417">
      <c r="B19417" s="31"/>
      <c r="G19417" s="272" t="s">
        <v>1099</v>
      </c>
    </row>
    <row r="19418">
      <c r="B19418" s="31"/>
      <c r="G19418" s="272" t="s">
        <v>1099</v>
      </c>
    </row>
    <row r="19419">
      <c r="B19419" s="31"/>
      <c r="G19419" s="272" t="s">
        <v>1099</v>
      </c>
    </row>
    <row r="19420">
      <c r="B19420" s="31"/>
      <c r="G19420" s="272" t="s">
        <v>1099</v>
      </c>
    </row>
    <row r="19421">
      <c r="B19421" s="31"/>
      <c r="G19421" s="272" t="s">
        <v>1099</v>
      </c>
    </row>
    <row r="19422">
      <c r="B19422" s="31"/>
      <c r="G19422" s="272" t="s">
        <v>1099</v>
      </c>
    </row>
    <row r="19423">
      <c r="B19423" s="31"/>
      <c r="G19423" s="272" t="s">
        <v>1099</v>
      </c>
    </row>
    <row r="19424">
      <c r="B19424" s="31"/>
      <c r="G19424" s="272" t="s">
        <v>1099</v>
      </c>
    </row>
    <row r="19425">
      <c r="B19425" s="31"/>
      <c r="G19425" s="272" t="s">
        <v>1099</v>
      </c>
    </row>
    <row r="19426">
      <c r="B19426" s="31"/>
      <c r="G19426" s="272" t="s">
        <v>1099</v>
      </c>
    </row>
    <row r="19427">
      <c r="B19427" s="31"/>
      <c r="G19427" s="272" t="s">
        <v>1099</v>
      </c>
    </row>
    <row r="19428">
      <c r="B19428" s="31"/>
      <c r="G19428" s="272" t="s">
        <v>1099</v>
      </c>
    </row>
    <row r="19429">
      <c r="B19429" s="31"/>
      <c r="G19429" s="272" t="s">
        <v>1099</v>
      </c>
    </row>
    <row r="19430">
      <c r="B19430" s="31"/>
      <c r="G19430" s="272" t="s">
        <v>1099</v>
      </c>
    </row>
    <row r="19431">
      <c r="B19431" s="31"/>
      <c r="G19431" s="272" t="s">
        <v>1099</v>
      </c>
    </row>
    <row r="19432">
      <c r="B19432" s="31"/>
      <c r="G19432" s="272" t="s">
        <v>1099</v>
      </c>
    </row>
    <row r="19433">
      <c r="B19433" s="31"/>
      <c r="G19433" s="272" t="s">
        <v>1099</v>
      </c>
    </row>
    <row r="19434">
      <c r="B19434" s="31"/>
      <c r="G19434" s="272" t="s">
        <v>1099</v>
      </c>
    </row>
    <row r="19435">
      <c r="B19435" s="31"/>
      <c r="G19435" s="272" t="s">
        <v>1099</v>
      </c>
    </row>
    <row r="19436">
      <c r="B19436" s="31"/>
      <c r="G19436" s="272" t="s">
        <v>1099</v>
      </c>
    </row>
    <row r="19437">
      <c r="B19437" s="31"/>
      <c r="G19437" s="272" t="s">
        <v>1099</v>
      </c>
    </row>
    <row r="19438">
      <c r="B19438" s="31"/>
      <c r="G19438" s="272" t="s">
        <v>1099</v>
      </c>
    </row>
    <row r="19439">
      <c r="B19439" s="31"/>
      <c r="G19439" s="272" t="s">
        <v>1099</v>
      </c>
    </row>
    <row r="19440">
      <c r="B19440" s="31"/>
      <c r="G19440" s="272" t="s">
        <v>1099</v>
      </c>
    </row>
    <row r="19441">
      <c r="B19441" s="31"/>
      <c r="G19441" s="272" t="s">
        <v>1099</v>
      </c>
    </row>
    <row r="19442">
      <c r="B19442" s="31"/>
      <c r="G19442" s="272" t="s">
        <v>1099</v>
      </c>
    </row>
    <row r="19443">
      <c r="B19443" s="31"/>
      <c r="G19443" s="272" t="s">
        <v>1099</v>
      </c>
    </row>
    <row r="19444">
      <c r="B19444" s="31"/>
      <c r="G19444" s="272" t="s">
        <v>1099</v>
      </c>
    </row>
    <row r="19445">
      <c r="B19445" s="31"/>
      <c r="G19445" s="272" t="s">
        <v>1099</v>
      </c>
    </row>
    <row r="19446">
      <c r="B19446" s="31"/>
      <c r="G19446" s="272" t="s">
        <v>1099</v>
      </c>
    </row>
    <row r="19447">
      <c r="B19447" s="31"/>
      <c r="G19447" s="272" t="s">
        <v>1099</v>
      </c>
    </row>
    <row r="19448">
      <c r="B19448" s="31"/>
      <c r="G19448" s="272" t="s">
        <v>1099</v>
      </c>
    </row>
    <row r="19449">
      <c r="B19449" s="31"/>
      <c r="G19449" s="272" t="s">
        <v>1099</v>
      </c>
    </row>
    <row r="19450">
      <c r="B19450" s="31"/>
      <c r="G19450" s="272" t="s">
        <v>1099</v>
      </c>
    </row>
    <row r="19451">
      <c r="B19451" s="31"/>
      <c r="G19451" s="272" t="s">
        <v>1099</v>
      </c>
    </row>
    <row r="19452">
      <c r="B19452" s="31"/>
      <c r="G19452" s="272" t="s">
        <v>1099</v>
      </c>
    </row>
    <row r="19453">
      <c r="B19453" s="31"/>
      <c r="G19453" s="272" t="s">
        <v>1099</v>
      </c>
    </row>
    <row r="19454">
      <c r="B19454" s="31"/>
      <c r="G19454" s="272" t="s">
        <v>1099</v>
      </c>
    </row>
    <row r="19455">
      <c r="B19455" s="31"/>
      <c r="G19455" s="272" t="s">
        <v>1099</v>
      </c>
    </row>
    <row r="19456">
      <c r="B19456" s="31"/>
      <c r="G19456" s="272" t="s">
        <v>1099</v>
      </c>
    </row>
    <row r="19457">
      <c r="B19457" s="31"/>
      <c r="G19457" s="272" t="s">
        <v>1099</v>
      </c>
    </row>
    <row r="19458">
      <c r="B19458" s="31"/>
      <c r="G19458" s="272" t="s">
        <v>1099</v>
      </c>
    </row>
    <row r="19459">
      <c r="B19459" s="31"/>
      <c r="G19459" s="272" t="s">
        <v>1099</v>
      </c>
    </row>
    <row r="19460">
      <c r="B19460" s="31"/>
      <c r="G19460" s="272" t="s">
        <v>1099</v>
      </c>
    </row>
    <row r="19461">
      <c r="B19461" s="31"/>
      <c r="G19461" s="272" t="s">
        <v>1099</v>
      </c>
    </row>
    <row r="19462">
      <c r="B19462" s="31"/>
      <c r="G19462" s="272" t="s">
        <v>1099</v>
      </c>
    </row>
    <row r="19463">
      <c r="B19463" s="31"/>
      <c r="G19463" s="272" t="s">
        <v>1099</v>
      </c>
    </row>
    <row r="19464">
      <c r="B19464" s="31"/>
      <c r="G19464" s="272" t="s">
        <v>1099</v>
      </c>
    </row>
    <row r="19465">
      <c r="B19465" s="31"/>
      <c r="G19465" s="272" t="s">
        <v>1099</v>
      </c>
    </row>
    <row r="19466">
      <c r="B19466" s="31"/>
      <c r="G19466" s="272" t="s">
        <v>1099</v>
      </c>
    </row>
    <row r="19467">
      <c r="B19467" s="31"/>
      <c r="G19467" s="272" t="s">
        <v>1099</v>
      </c>
    </row>
    <row r="19468">
      <c r="B19468" s="31"/>
      <c r="G19468" s="272" t="s">
        <v>1099</v>
      </c>
    </row>
    <row r="19469">
      <c r="B19469" s="31"/>
      <c r="G19469" s="272" t="s">
        <v>1099</v>
      </c>
    </row>
    <row r="19470">
      <c r="B19470" s="31"/>
      <c r="G19470" s="272" t="s">
        <v>1099</v>
      </c>
    </row>
    <row r="19471">
      <c r="B19471" s="31"/>
      <c r="G19471" s="272" t="s">
        <v>1099</v>
      </c>
    </row>
    <row r="19472">
      <c r="B19472" s="31"/>
      <c r="G19472" s="272" t="s">
        <v>1099</v>
      </c>
    </row>
    <row r="19473">
      <c r="B19473" s="31"/>
      <c r="G19473" s="272" t="s">
        <v>1099</v>
      </c>
    </row>
    <row r="19474">
      <c r="B19474" s="31"/>
      <c r="G19474" s="272" t="s">
        <v>1099</v>
      </c>
    </row>
    <row r="19475">
      <c r="B19475" s="31"/>
      <c r="G19475" s="272" t="s">
        <v>1099</v>
      </c>
    </row>
    <row r="19476">
      <c r="B19476" s="31"/>
      <c r="G19476" s="272" t="s">
        <v>1099</v>
      </c>
    </row>
    <row r="19477">
      <c r="B19477" s="31"/>
      <c r="G19477" s="272" t="s">
        <v>1099</v>
      </c>
    </row>
    <row r="19478">
      <c r="B19478" s="31"/>
      <c r="G19478" s="272" t="s">
        <v>1099</v>
      </c>
    </row>
    <row r="19479">
      <c r="B19479" s="31"/>
      <c r="G19479" s="272" t="s">
        <v>1099</v>
      </c>
    </row>
    <row r="19480">
      <c r="B19480" s="31"/>
      <c r="G19480" s="272" t="s">
        <v>1099</v>
      </c>
    </row>
    <row r="19481">
      <c r="B19481" s="31"/>
      <c r="G19481" s="272" t="s">
        <v>1099</v>
      </c>
    </row>
    <row r="19482">
      <c r="B19482" s="31"/>
      <c r="G19482" s="272" t="s">
        <v>1099</v>
      </c>
    </row>
    <row r="19483">
      <c r="B19483" s="31"/>
      <c r="G19483" s="272" t="s">
        <v>1099</v>
      </c>
    </row>
    <row r="19484">
      <c r="B19484" s="31"/>
      <c r="G19484" s="272" t="s">
        <v>1099</v>
      </c>
    </row>
    <row r="19485">
      <c r="B19485" s="31"/>
      <c r="G19485" s="272" t="s">
        <v>1099</v>
      </c>
    </row>
    <row r="19486">
      <c r="B19486" s="31"/>
      <c r="G19486" s="272" t="s">
        <v>1099</v>
      </c>
    </row>
    <row r="19487">
      <c r="B19487" s="31"/>
      <c r="G19487" s="272" t="s">
        <v>1099</v>
      </c>
    </row>
    <row r="19488">
      <c r="B19488" s="31"/>
      <c r="G19488" s="272" t="s">
        <v>1099</v>
      </c>
    </row>
    <row r="19489">
      <c r="B19489" s="31"/>
      <c r="G19489" s="272" t="s">
        <v>1099</v>
      </c>
    </row>
    <row r="19490">
      <c r="B19490" s="31"/>
      <c r="G19490" s="272" t="s">
        <v>1099</v>
      </c>
    </row>
    <row r="19491">
      <c r="B19491" s="31"/>
      <c r="G19491" s="272" t="s">
        <v>1099</v>
      </c>
    </row>
    <row r="19492">
      <c r="B19492" s="31"/>
      <c r="G19492" s="272" t="s">
        <v>1099</v>
      </c>
    </row>
    <row r="19493">
      <c r="B19493" s="31"/>
      <c r="G19493" s="272" t="s">
        <v>1099</v>
      </c>
    </row>
    <row r="19494">
      <c r="B19494" s="31"/>
      <c r="G19494" s="272" t="s">
        <v>1099</v>
      </c>
    </row>
    <row r="19495">
      <c r="B19495" s="31"/>
      <c r="G19495" s="272" t="s">
        <v>1099</v>
      </c>
    </row>
    <row r="19496">
      <c r="B19496" s="31"/>
      <c r="G19496" s="272" t="s">
        <v>1099</v>
      </c>
    </row>
    <row r="19497">
      <c r="B19497" s="31"/>
      <c r="G19497" s="272" t="s">
        <v>1099</v>
      </c>
    </row>
    <row r="19498">
      <c r="B19498" s="31"/>
      <c r="G19498" s="272" t="s">
        <v>1099</v>
      </c>
    </row>
    <row r="19499">
      <c r="B19499" s="31"/>
      <c r="G19499" s="272" t="s">
        <v>1099</v>
      </c>
    </row>
    <row r="19500">
      <c r="B19500" s="31"/>
      <c r="G19500" s="272" t="s">
        <v>1099</v>
      </c>
    </row>
    <row r="19501">
      <c r="B19501" s="31"/>
      <c r="G19501" s="272" t="s">
        <v>1099</v>
      </c>
    </row>
    <row r="19502">
      <c r="B19502" s="31"/>
      <c r="G19502" s="272" t="s">
        <v>1099</v>
      </c>
    </row>
    <row r="19503">
      <c r="B19503" s="31"/>
      <c r="G19503" s="272" t="s">
        <v>1099</v>
      </c>
    </row>
    <row r="19504">
      <c r="B19504" s="31"/>
      <c r="G19504" s="272" t="s">
        <v>1099</v>
      </c>
    </row>
    <row r="19505">
      <c r="B19505" s="31"/>
      <c r="G19505" s="272" t="s">
        <v>1099</v>
      </c>
    </row>
    <row r="19506">
      <c r="B19506" s="31"/>
      <c r="G19506" s="272" t="s">
        <v>1099</v>
      </c>
    </row>
    <row r="19507">
      <c r="B19507" s="31"/>
      <c r="G19507" s="272" t="s">
        <v>1099</v>
      </c>
    </row>
    <row r="19508">
      <c r="B19508" s="31"/>
      <c r="G19508" s="272" t="s">
        <v>1099</v>
      </c>
    </row>
    <row r="19509">
      <c r="B19509" s="31"/>
      <c r="G19509" s="272" t="s">
        <v>1099</v>
      </c>
    </row>
    <row r="19510">
      <c r="B19510" s="31"/>
      <c r="G19510" s="272" t="s">
        <v>1099</v>
      </c>
    </row>
    <row r="19511">
      <c r="B19511" s="31"/>
      <c r="G19511" s="272" t="s">
        <v>1099</v>
      </c>
    </row>
    <row r="19512">
      <c r="B19512" s="31"/>
      <c r="G19512" s="272" t="s">
        <v>1099</v>
      </c>
    </row>
    <row r="19513">
      <c r="B19513" s="31"/>
      <c r="G19513" s="272" t="s">
        <v>1099</v>
      </c>
    </row>
    <row r="19514">
      <c r="B19514" s="31"/>
      <c r="G19514" s="272" t="s">
        <v>1099</v>
      </c>
    </row>
    <row r="19515">
      <c r="B19515" s="31"/>
      <c r="G19515" s="272" t="s">
        <v>1099</v>
      </c>
    </row>
    <row r="19516">
      <c r="B19516" s="31"/>
      <c r="G19516" s="272" t="s">
        <v>1099</v>
      </c>
    </row>
    <row r="19517">
      <c r="B19517" s="31"/>
      <c r="G19517" s="272" t="s">
        <v>1099</v>
      </c>
    </row>
    <row r="19518">
      <c r="B19518" s="31"/>
      <c r="G19518" s="272" t="s">
        <v>1099</v>
      </c>
    </row>
    <row r="19519">
      <c r="B19519" s="31"/>
      <c r="G19519" s="272" t="s">
        <v>1099</v>
      </c>
    </row>
    <row r="19520">
      <c r="B19520" s="31"/>
      <c r="G19520" s="272" t="s">
        <v>1099</v>
      </c>
    </row>
    <row r="19521">
      <c r="B19521" s="31"/>
      <c r="G19521" s="272" t="s">
        <v>1099</v>
      </c>
    </row>
    <row r="19522">
      <c r="B19522" s="31"/>
      <c r="G19522" s="272" t="s">
        <v>1099</v>
      </c>
    </row>
    <row r="19523">
      <c r="B19523" s="31"/>
      <c r="G19523" s="272" t="s">
        <v>1099</v>
      </c>
    </row>
    <row r="19524">
      <c r="B19524" s="31"/>
      <c r="G19524" s="272" t="s">
        <v>1099</v>
      </c>
    </row>
    <row r="19525">
      <c r="B19525" s="31"/>
      <c r="G19525" s="272" t="s">
        <v>1099</v>
      </c>
    </row>
    <row r="19526">
      <c r="B19526" s="31"/>
      <c r="G19526" s="272" t="s">
        <v>1099</v>
      </c>
    </row>
    <row r="19527">
      <c r="B19527" s="31"/>
      <c r="G19527" s="272" t="s">
        <v>1099</v>
      </c>
    </row>
    <row r="19528">
      <c r="B19528" s="31"/>
      <c r="G19528" s="272" t="s">
        <v>1099</v>
      </c>
    </row>
    <row r="19529">
      <c r="B19529" s="31"/>
      <c r="G19529" s="272" t="s">
        <v>1099</v>
      </c>
    </row>
    <row r="19530">
      <c r="B19530" s="31"/>
      <c r="G19530" s="272" t="s">
        <v>1099</v>
      </c>
    </row>
    <row r="19531">
      <c r="B19531" s="31"/>
      <c r="G19531" s="272" t="s">
        <v>1099</v>
      </c>
    </row>
    <row r="19532">
      <c r="B19532" s="31"/>
      <c r="G19532" s="272" t="s">
        <v>1099</v>
      </c>
    </row>
    <row r="19533">
      <c r="B19533" s="31"/>
      <c r="G19533" s="272" t="s">
        <v>1099</v>
      </c>
    </row>
    <row r="19534">
      <c r="B19534" s="31"/>
      <c r="G19534" s="272" t="s">
        <v>1099</v>
      </c>
    </row>
    <row r="19535">
      <c r="B19535" s="31"/>
      <c r="G19535" s="272" t="s">
        <v>1099</v>
      </c>
    </row>
    <row r="19536">
      <c r="B19536" s="31"/>
      <c r="G19536" s="272" t="s">
        <v>1099</v>
      </c>
    </row>
    <row r="19537">
      <c r="B19537" s="31"/>
      <c r="G19537" s="272" t="s">
        <v>1099</v>
      </c>
    </row>
    <row r="19538">
      <c r="B19538" s="31"/>
      <c r="G19538" s="272" t="s">
        <v>1099</v>
      </c>
    </row>
    <row r="19539">
      <c r="B19539" s="31"/>
      <c r="G19539" s="272" t="s">
        <v>1099</v>
      </c>
    </row>
    <row r="19540">
      <c r="B19540" s="31"/>
      <c r="G19540" s="272" t="s">
        <v>1099</v>
      </c>
    </row>
    <row r="19541">
      <c r="B19541" s="31"/>
      <c r="G19541" s="272" t="s">
        <v>1099</v>
      </c>
    </row>
    <row r="19542">
      <c r="B19542" s="31"/>
      <c r="G19542" s="272" t="s">
        <v>1099</v>
      </c>
    </row>
    <row r="19543">
      <c r="B19543" s="31"/>
      <c r="G19543" s="272" t="s">
        <v>1099</v>
      </c>
    </row>
    <row r="19544">
      <c r="B19544" s="31"/>
      <c r="G19544" s="272" t="s">
        <v>1099</v>
      </c>
    </row>
    <row r="19545">
      <c r="B19545" s="31"/>
      <c r="G19545" s="272" t="s">
        <v>1099</v>
      </c>
    </row>
    <row r="19546">
      <c r="B19546" s="31"/>
      <c r="G19546" s="272" t="s">
        <v>1099</v>
      </c>
    </row>
    <row r="19547">
      <c r="B19547" s="31"/>
      <c r="G19547" s="272" t="s">
        <v>1099</v>
      </c>
    </row>
    <row r="19548">
      <c r="B19548" s="31"/>
      <c r="G19548" s="272" t="s">
        <v>1099</v>
      </c>
    </row>
    <row r="19549">
      <c r="B19549" s="31"/>
      <c r="G19549" s="272" t="s">
        <v>1099</v>
      </c>
    </row>
    <row r="19550">
      <c r="B19550" s="31"/>
      <c r="G19550" s="272" t="s">
        <v>1099</v>
      </c>
    </row>
    <row r="19551">
      <c r="B19551" s="31"/>
      <c r="G19551" s="272" t="s">
        <v>1099</v>
      </c>
    </row>
    <row r="19552">
      <c r="B19552" s="31"/>
      <c r="G19552" s="272" t="s">
        <v>1099</v>
      </c>
    </row>
    <row r="19553">
      <c r="B19553" s="31"/>
      <c r="G19553" s="272" t="s">
        <v>1099</v>
      </c>
    </row>
    <row r="19554">
      <c r="B19554" s="31"/>
      <c r="G19554" s="272" t="s">
        <v>1099</v>
      </c>
    </row>
    <row r="19555">
      <c r="B19555" s="31"/>
      <c r="G19555" s="272" t="s">
        <v>1099</v>
      </c>
    </row>
    <row r="19556">
      <c r="B19556" s="31"/>
      <c r="G19556" s="272" t="s">
        <v>1099</v>
      </c>
    </row>
    <row r="19557">
      <c r="B19557" s="31"/>
      <c r="G19557" s="272" t="s">
        <v>1099</v>
      </c>
    </row>
    <row r="19558">
      <c r="B19558" s="31"/>
      <c r="G19558" s="272" t="s">
        <v>1099</v>
      </c>
    </row>
    <row r="19559">
      <c r="B19559" s="31"/>
      <c r="G19559" s="272" t="s">
        <v>1099</v>
      </c>
    </row>
    <row r="19560">
      <c r="B19560" s="31"/>
      <c r="G19560" s="272" t="s">
        <v>1099</v>
      </c>
    </row>
    <row r="19561">
      <c r="B19561" s="31"/>
      <c r="G19561" s="272" t="s">
        <v>1099</v>
      </c>
    </row>
    <row r="19562">
      <c r="B19562" s="31"/>
      <c r="G19562" s="272" t="s">
        <v>1099</v>
      </c>
    </row>
    <row r="19563">
      <c r="B19563" s="31"/>
      <c r="G19563" s="272" t="s">
        <v>1099</v>
      </c>
    </row>
    <row r="19564">
      <c r="B19564" s="31"/>
      <c r="G19564" s="272" t="s">
        <v>1099</v>
      </c>
    </row>
    <row r="19565">
      <c r="B19565" s="31"/>
      <c r="G19565" s="272" t="s">
        <v>1099</v>
      </c>
    </row>
    <row r="19566">
      <c r="B19566" s="31"/>
      <c r="G19566" s="272" t="s">
        <v>1099</v>
      </c>
    </row>
    <row r="19567">
      <c r="B19567" s="31"/>
      <c r="G19567" s="272" t="s">
        <v>1099</v>
      </c>
    </row>
    <row r="19568">
      <c r="B19568" s="31"/>
      <c r="G19568" s="272" t="s">
        <v>1099</v>
      </c>
    </row>
    <row r="19569">
      <c r="B19569" s="31"/>
      <c r="G19569" s="272" t="s">
        <v>1099</v>
      </c>
    </row>
    <row r="19570">
      <c r="B19570" s="31"/>
      <c r="G19570" s="272" t="s">
        <v>1099</v>
      </c>
    </row>
    <row r="19571">
      <c r="B19571" s="31"/>
      <c r="G19571" s="272" t="s">
        <v>1099</v>
      </c>
    </row>
    <row r="19572">
      <c r="B19572" s="31"/>
      <c r="G19572" s="272" t="s">
        <v>1099</v>
      </c>
    </row>
    <row r="19573">
      <c r="B19573" s="31"/>
      <c r="G19573" s="272" t="s">
        <v>1099</v>
      </c>
    </row>
    <row r="19574">
      <c r="B19574" s="31"/>
      <c r="G19574" s="272" t="s">
        <v>1099</v>
      </c>
    </row>
    <row r="19575">
      <c r="B19575" s="31"/>
      <c r="G19575" s="272" t="s">
        <v>1099</v>
      </c>
    </row>
    <row r="19576">
      <c r="B19576" s="31"/>
      <c r="G19576" s="272" t="s">
        <v>1099</v>
      </c>
    </row>
    <row r="19577">
      <c r="B19577" s="31"/>
      <c r="G19577" s="272" t="s">
        <v>1099</v>
      </c>
    </row>
    <row r="19578">
      <c r="B19578" s="31"/>
      <c r="G19578" s="272" t="s">
        <v>1099</v>
      </c>
    </row>
    <row r="19579">
      <c r="B19579" s="31"/>
      <c r="G19579" s="272" t="s">
        <v>1099</v>
      </c>
    </row>
    <row r="19580">
      <c r="B19580" s="31"/>
      <c r="G19580" s="272" t="s">
        <v>1099</v>
      </c>
    </row>
    <row r="19581">
      <c r="B19581" s="31"/>
      <c r="G19581" s="272" t="s">
        <v>1099</v>
      </c>
    </row>
    <row r="19582">
      <c r="B19582" s="31"/>
      <c r="G19582" s="272" t="s">
        <v>1099</v>
      </c>
    </row>
    <row r="19583">
      <c r="B19583" s="31"/>
      <c r="G19583" s="272" t="s">
        <v>1099</v>
      </c>
    </row>
    <row r="19584">
      <c r="B19584" s="31"/>
      <c r="G19584" s="272" t="s">
        <v>1099</v>
      </c>
    </row>
    <row r="19585">
      <c r="B19585" s="31"/>
      <c r="G19585" s="272" t="s">
        <v>1099</v>
      </c>
    </row>
    <row r="19586">
      <c r="B19586" s="31"/>
      <c r="G19586" s="272" t="s">
        <v>1099</v>
      </c>
    </row>
    <row r="19587">
      <c r="B19587" s="31"/>
      <c r="G19587" s="272" t="s">
        <v>1099</v>
      </c>
    </row>
    <row r="19588">
      <c r="B19588" s="31"/>
      <c r="G19588" s="272" t="s">
        <v>1099</v>
      </c>
    </row>
    <row r="19589">
      <c r="B19589" s="31"/>
      <c r="G19589" s="272" t="s">
        <v>1099</v>
      </c>
    </row>
    <row r="19590">
      <c r="B19590" s="31"/>
      <c r="G19590" s="272" t="s">
        <v>1099</v>
      </c>
    </row>
    <row r="19591">
      <c r="B19591" s="31"/>
      <c r="G19591" s="272" t="s">
        <v>1099</v>
      </c>
    </row>
    <row r="19592">
      <c r="B19592" s="31"/>
      <c r="G19592" s="272" t="s">
        <v>1099</v>
      </c>
    </row>
    <row r="19593">
      <c r="B19593" s="31"/>
      <c r="G19593" s="272" t="s">
        <v>1099</v>
      </c>
    </row>
    <row r="19594">
      <c r="B19594" s="31"/>
      <c r="G19594" s="272" t="s">
        <v>1099</v>
      </c>
    </row>
    <row r="19595">
      <c r="B19595" s="31"/>
      <c r="G19595" s="272" t="s">
        <v>1099</v>
      </c>
    </row>
    <row r="19596">
      <c r="B19596" s="31"/>
      <c r="G19596" s="272" t="s">
        <v>1099</v>
      </c>
    </row>
    <row r="19597">
      <c r="B19597" s="31"/>
      <c r="G19597" s="272" t="s">
        <v>1099</v>
      </c>
    </row>
    <row r="19598">
      <c r="B19598" s="31"/>
      <c r="G19598" s="272" t="s">
        <v>1099</v>
      </c>
    </row>
    <row r="19599">
      <c r="B19599" s="31"/>
      <c r="G19599" s="272" t="s">
        <v>1099</v>
      </c>
    </row>
    <row r="19600">
      <c r="B19600" s="31"/>
      <c r="G19600" s="272" t="s">
        <v>1099</v>
      </c>
    </row>
    <row r="19601">
      <c r="B19601" s="31"/>
      <c r="G19601" s="272" t="s">
        <v>1099</v>
      </c>
    </row>
    <row r="19602">
      <c r="B19602" s="31"/>
      <c r="G19602" s="272" t="s">
        <v>1099</v>
      </c>
    </row>
    <row r="19603">
      <c r="B19603" s="31"/>
      <c r="G19603" s="272" t="s">
        <v>1099</v>
      </c>
    </row>
    <row r="19604">
      <c r="B19604" s="31"/>
      <c r="G19604" s="272" t="s">
        <v>1099</v>
      </c>
    </row>
    <row r="19605">
      <c r="B19605" s="31"/>
      <c r="G19605" s="272" t="s">
        <v>1099</v>
      </c>
    </row>
    <row r="19606">
      <c r="B19606" s="31"/>
      <c r="G19606" s="272" t="s">
        <v>1099</v>
      </c>
    </row>
    <row r="19607">
      <c r="B19607" s="31"/>
      <c r="G19607" s="272" t="s">
        <v>1099</v>
      </c>
    </row>
    <row r="19608">
      <c r="B19608" s="31"/>
      <c r="G19608" s="272" t="s">
        <v>1099</v>
      </c>
    </row>
    <row r="19609">
      <c r="B19609" s="31"/>
      <c r="G19609" s="272" t="s">
        <v>1099</v>
      </c>
    </row>
    <row r="19610">
      <c r="B19610" s="31"/>
      <c r="G19610" s="272" t="s">
        <v>1099</v>
      </c>
    </row>
    <row r="19611">
      <c r="B19611" s="31"/>
      <c r="G19611" s="272" t="s">
        <v>1099</v>
      </c>
    </row>
    <row r="19612">
      <c r="B19612" s="31"/>
      <c r="G19612" s="272" t="s">
        <v>1099</v>
      </c>
    </row>
    <row r="19613">
      <c r="B19613" s="31"/>
      <c r="G19613" s="272" t="s">
        <v>1099</v>
      </c>
    </row>
    <row r="19614">
      <c r="B19614" s="31"/>
      <c r="G19614" s="272" t="s">
        <v>1099</v>
      </c>
    </row>
    <row r="19615">
      <c r="B19615" s="31"/>
      <c r="G19615" s="272" t="s">
        <v>1099</v>
      </c>
    </row>
    <row r="19616">
      <c r="B19616" s="31"/>
      <c r="G19616" s="272" t="s">
        <v>1099</v>
      </c>
    </row>
    <row r="19617">
      <c r="B19617" s="31"/>
      <c r="G19617" s="272" t="s">
        <v>1099</v>
      </c>
    </row>
    <row r="19618">
      <c r="B19618" s="31"/>
      <c r="G19618" s="272" t="s">
        <v>1099</v>
      </c>
    </row>
    <row r="19619">
      <c r="B19619" s="31"/>
      <c r="G19619" s="272" t="s">
        <v>1099</v>
      </c>
    </row>
    <row r="19620">
      <c r="B19620" s="31"/>
      <c r="G19620" s="272" t="s">
        <v>1099</v>
      </c>
    </row>
    <row r="19621">
      <c r="B19621" s="31"/>
      <c r="G19621" s="272" t="s">
        <v>1099</v>
      </c>
    </row>
    <row r="19622">
      <c r="B19622" s="31"/>
      <c r="G19622" s="272" t="s">
        <v>1099</v>
      </c>
    </row>
    <row r="19623">
      <c r="B19623" s="31"/>
      <c r="G19623" s="272" t="s">
        <v>1099</v>
      </c>
    </row>
    <row r="19624">
      <c r="B19624" s="31"/>
      <c r="G19624" s="272" t="s">
        <v>1099</v>
      </c>
    </row>
    <row r="19625">
      <c r="B19625" s="31"/>
      <c r="G19625" s="272" t="s">
        <v>1099</v>
      </c>
    </row>
    <row r="19626">
      <c r="B19626" s="31"/>
      <c r="G19626" s="272" t="s">
        <v>1099</v>
      </c>
    </row>
    <row r="19627">
      <c r="B19627" s="31"/>
      <c r="G19627" s="272" t="s">
        <v>1099</v>
      </c>
    </row>
    <row r="19628">
      <c r="B19628" s="31"/>
      <c r="G19628" s="272" t="s">
        <v>1099</v>
      </c>
    </row>
    <row r="19629">
      <c r="B19629" s="31"/>
      <c r="G19629" s="272" t="s">
        <v>1099</v>
      </c>
    </row>
    <row r="19630">
      <c r="B19630" s="31"/>
      <c r="G19630" s="272" t="s">
        <v>1099</v>
      </c>
    </row>
    <row r="19631">
      <c r="B19631" s="31"/>
      <c r="G19631" s="272" t="s">
        <v>1099</v>
      </c>
    </row>
    <row r="19632">
      <c r="B19632" s="31"/>
      <c r="G19632" s="272" t="s">
        <v>1099</v>
      </c>
    </row>
    <row r="19633">
      <c r="B19633" s="31"/>
      <c r="G19633" s="272" t="s">
        <v>1099</v>
      </c>
    </row>
    <row r="19634">
      <c r="B19634" s="31"/>
      <c r="G19634" s="272" t="s">
        <v>1099</v>
      </c>
    </row>
    <row r="19635">
      <c r="B19635" s="31"/>
      <c r="G19635" s="272" t="s">
        <v>1099</v>
      </c>
    </row>
    <row r="19636">
      <c r="B19636" s="31"/>
      <c r="G19636" s="272" t="s">
        <v>1099</v>
      </c>
    </row>
    <row r="19637">
      <c r="B19637" s="31"/>
      <c r="G19637" s="272" t="s">
        <v>1099</v>
      </c>
    </row>
    <row r="19638">
      <c r="B19638" s="31"/>
      <c r="G19638" s="272" t="s">
        <v>1099</v>
      </c>
    </row>
    <row r="19639">
      <c r="B19639" s="31"/>
      <c r="G19639" s="272" t="s">
        <v>1099</v>
      </c>
    </row>
    <row r="19640">
      <c r="B19640" s="31"/>
      <c r="G19640" s="272" t="s">
        <v>1099</v>
      </c>
    </row>
    <row r="19641">
      <c r="B19641" s="31"/>
      <c r="G19641" s="272" t="s">
        <v>1099</v>
      </c>
    </row>
    <row r="19642">
      <c r="B19642" s="31"/>
      <c r="G19642" s="272" t="s">
        <v>1099</v>
      </c>
    </row>
    <row r="19643">
      <c r="B19643" s="31"/>
      <c r="G19643" s="272" t="s">
        <v>1099</v>
      </c>
    </row>
    <row r="19644">
      <c r="B19644" s="31"/>
      <c r="G19644" s="272" t="s">
        <v>1099</v>
      </c>
    </row>
    <row r="19645">
      <c r="B19645" s="31"/>
      <c r="G19645" s="272" t="s">
        <v>1099</v>
      </c>
    </row>
    <row r="19646">
      <c r="B19646" s="31"/>
      <c r="G19646" s="272" t="s">
        <v>1099</v>
      </c>
    </row>
    <row r="19647">
      <c r="B19647" s="31"/>
      <c r="G19647" s="272" t="s">
        <v>1099</v>
      </c>
    </row>
    <row r="19648">
      <c r="B19648" s="31"/>
      <c r="G19648" s="272" t="s">
        <v>1099</v>
      </c>
    </row>
    <row r="19649">
      <c r="B19649" s="31"/>
      <c r="G19649" s="272" t="s">
        <v>1099</v>
      </c>
    </row>
    <row r="19650">
      <c r="B19650" s="31"/>
      <c r="G19650" s="272" t="s">
        <v>1099</v>
      </c>
    </row>
    <row r="19651">
      <c r="B19651" s="31"/>
      <c r="G19651" s="272" t="s">
        <v>1099</v>
      </c>
    </row>
    <row r="19652">
      <c r="B19652" s="31"/>
      <c r="G19652" s="272" t="s">
        <v>1099</v>
      </c>
    </row>
    <row r="19653">
      <c r="B19653" s="31"/>
      <c r="G19653" s="272" t="s">
        <v>1099</v>
      </c>
    </row>
    <row r="19654">
      <c r="B19654" s="31"/>
      <c r="G19654" s="272" t="s">
        <v>1099</v>
      </c>
    </row>
    <row r="19655">
      <c r="B19655" s="31"/>
      <c r="G19655" s="272" t="s">
        <v>1099</v>
      </c>
    </row>
    <row r="19656">
      <c r="B19656" s="31"/>
      <c r="G19656" s="272" t="s">
        <v>1099</v>
      </c>
    </row>
    <row r="19657">
      <c r="B19657" s="31"/>
      <c r="G19657" s="272" t="s">
        <v>1099</v>
      </c>
    </row>
    <row r="19658">
      <c r="B19658" s="31"/>
      <c r="G19658" s="272" t="s">
        <v>1099</v>
      </c>
    </row>
    <row r="19659">
      <c r="B19659" s="31"/>
      <c r="G19659" s="272" t="s">
        <v>1099</v>
      </c>
    </row>
    <row r="19660">
      <c r="B19660" s="31"/>
      <c r="G19660" s="272" t="s">
        <v>1099</v>
      </c>
    </row>
    <row r="19661">
      <c r="B19661" s="31"/>
      <c r="G19661" s="272" t="s">
        <v>1099</v>
      </c>
    </row>
    <row r="19662">
      <c r="B19662" s="31"/>
      <c r="G19662" s="272" t="s">
        <v>1099</v>
      </c>
    </row>
    <row r="19663">
      <c r="B19663" s="31"/>
      <c r="G19663" s="272" t="s">
        <v>1099</v>
      </c>
    </row>
    <row r="19664">
      <c r="B19664" s="31"/>
      <c r="G19664" s="272" t="s">
        <v>1099</v>
      </c>
    </row>
    <row r="19665">
      <c r="B19665" s="31"/>
      <c r="G19665" s="272" t="s">
        <v>1099</v>
      </c>
    </row>
    <row r="19666">
      <c r="B19666" s="31"/>
      <c r="G19666" s="272" t="s">
        <v>1099</v>
      </c>
    </row>
    <row r="19667">
      <c r="B19667" s="31"/>
      <c r="G19667" s="272" t="s">
        <v>1099</v>
      </c>
    </row>
    <row r="19668">
      <c r="B19668" s="31"/>
      <c r="G19668" s="272" t="s">
        <v>1099</v>
      </c>
    </row>
    <row r="19669">
      <c r="B19669" s="31"/>
      <c r="G19669" s="272" t="s">
        <v>1099</v>
      </c>
    </row>
    <row r="19670">
      <c r="B19670" s="31"/>
      <c r="G19670" s="272" t="s">
        <v>1099</v>
      </c>
    </row>
    <row r="19671">
      <c r="B19671" s="31"/>
      <c r="G19671" s="272" t="s">
        <v>1099</v>
      </c>
    </row>
    <row r="19672">
      <c r="B19672" s="31"/>
      <c r="G19672" s="272" t="s">
        <v>1099</v>
      </c>
    </row>
    <row r="19673">
      <c r="B19673" s="31"/>
      <c r="G19673" s="272" t="s">
        <v>1099</v>
      </c>
    </row>
    <row r="19674">
      <c r="B19674" s="31"/>
      <c r="G19674" s="272" t="s">
        <v>1099</v>
      </c>
    </row>
    <row r="19675">
      <c r="B19675" s="31"/>
      <c r="G19675" s="272" t="s">
        <v>1099</v>
      </c>
    </row>
    <row r="19676">
      <c r="B19676" s="31"/>
      <c r="G19676" s="272" t="s">
        <v>1099</v>
      </c>
    </row>
    <row r="19677">
      <c r="B19677" s="31"/>
      <c r="G19677" s="272" t="s">
        <v>1099</v>
      </c>
    </row>
    <row r="19678">
      <c r="B19678" s="31"/>
      <c r="G19678" s="272" t="s">
        <v>1099</v>
      </c>
    </row>
    <row r="19679">
      <c r="B19679" s="31"/>
      <c r="G19679" s="272" t="s">
        <v>1099</v>
      </c>
    </row>
    <row r="19680">
      <c r="B19680" s="31"/>
      <c r="G19680" s="272" t="s">
        <v>1099</v>
      </c>
    </row>
    <row r="19681">
      <c r="B19681" s="31"/>
      <c r="G19681" s="272" t="s">
        <v>1099</v>
      </c>
    </row>
    <row r="19682">
      <c r="B19682" s="31"/>
      <c r="G19682" s="272" t="s">
        <v>1099</v>
      </c>
    </row>
    <row r="19683">
      <c r="B19683" s="31"/>
      <c r="G19683" s="272" t="s">
        <v>1099</v>
      </c>
    </row>
    <row r="19684">
      <c r="B19684" s="31"/>
      <c r="G19684" s="272" t="s">
        <v>1099</v>
      </c>
    </row>
    <row r="19685">
      <c r="B19685" s="31"/>
      <c r="G19685" s="272" t="s">
        <v>1099</v>
      </c>
    </row>
    <row r="19686">
      <c r="B19686" s="31"/>
      <c r="G19686" s="272" t="s">
        <v>1099</v>
      </c>
    </row>
    <row r="19687">
      <c r="B19687" s="31"/>
      <c r="G19687" s="272" t="s">
        <v>1099</v>
      </c>
    </row>
    <row r="19688">
      <c r="B19688" s="31"/>
      <c r="G19688" s="272" t="s">
        <v>1099</v>
      </c>
    </row>
    <row r="19689">
      <c r="B19689" s="31"/>
      <c r="G19689" s="272" t="s">
        <v>1099</v>
      </c>
    </row>
    <row r="19690">
      <c r="B19690" s="31"/>
      <c r="G19690" s="272" t="s">
        <v>1099</v>
      </c>
    </row>
    <row r="19691">
      <c r="B19691" s="31"/>
      <c r="G19691" s="272" t="s">
        <v>1099</v>
      </c>
    </row>
    <row r="19692">
      <c r="B19692" s="31"/>
      <c r="G19692" s="272" t="s">
        <v>1099</v>
      </c>
    </row>
    <row r="19693">
      <c r="B19693" s="31"/>
      <c r="G19693" s="272" t="s">
        <v>1099</v>
      </c>
    </row>
    <row r="19694">
      <c r="B19694" s="31"/>
      <c r="G19694" s="272" t="s">
        <v>1099</v>
      </c>
    </row>
    <row r="19695">
      <c r="B19695" s="31"/>
      <c r="G19695" s="272" t="s">
        <v>1099</v>
      </c>
    </row>
    <row r="19696">
      <c r="B19696" s="31"/>
      <c r="G19696" s="272" t="s">
        <v>1099</v>
      </c>
    </row>
    <row r="19697">
      <c r="B19697" s="31"/>
      <c r="G19697" s="272" t="s">
        <v>1099</v>
      </c>
    </row>
    <row r="19698">
      <c r="B19698" s="31"/>
      <c r="G19698" s="272" t="s">
        <v>1099</v>
      </c>
    </row>
    <row r="19699">
      <c r="B19699" s="31"/>
      <c r="G19699" s="272" t="s">
        <v>1099</v>
      </c>
    </row>
    <row r="19700">
      <c r="B19700" s="31"/>
      <c r="G19700" s="272" t="s">
        <v>1099</v>
      </c>
    </row>
    <row r="19701">
      <c r="B19701" s="31"/>
      <c r="G19701" s="272" t="s">
        <v>1099</v>
      </c>
    </row>
    <row r="19702">
      <c r="B19702" s="31"/>
      <c r="G19702" s="272" t="s">
        <v>1099</v>
      </c>
    </row>
    <row r="19703">
      <c r="B19703" s="31"/>
      <c r="G19703" s="272" t="s">
        <v>1099</v>
      </c>
    </row>
    <row r="19704">
      <c r="B19704" s="31"/>
      <c r="G19704" s="272" t="s">
        <v>1099</v>
      </c>
    </row>
    <row r="19705">
      <c r="B19705" s="31"/>
      <c r="G19705" s="272" t="s">
        <v>1099</v>
      </c>
    </row>
    <row r="19706">
      <c r="B19706" s="31"/>
      <c r="G19706" s="272" t="s">
        <v>1099</v>
      </c>
    </row>
    <row r="19707">
      <c r="B19707" s="31"/>
      <c r="G19707" s="272" t="s">
        <v>1099</v>
      </c>
    </row>
    <row r="19708">
      <c r="B19708" s="31"/>
      <c r="G19708" s="272" t="s">
        <v>1099</v>
      </c>
    </row>
    <row r="19709">
      <c r="B19709" s="31"/>
      <c r="G19709" s="272" t="s">
        <v>1099</v>
      </c>
    </row>
    <row r="19710">
      <c r="B19710" s="31"/>
      <c r="G19710" s="272" t="s">
        <v>1099</v>
      </c>
    </row>
    <row r="19711">
      <c r="B19711" s="31"/>
      <c r="G19711" s="272" t="s">
        <v>1099</v>
      </c>
    </row>
    <row r="19712">
      <c r="B19712" s="31"/>
      <c r="G19712" s="272" t="s">
        <v>1099</v>
      </c>
    </row>
    <row r="19713">
      <c r="B19713" s="31"/>
      <c r="G19713" s="272" t="s">
        <v>1099</v>
      </c>
    </row>
    <row r="19714">
      <c r="B19714" s="31"/>
      <c r="G19714" s="272" t="s">
        <v>1099</v>
      </c>
    </row>
    <row r="19715">
      <c r="B19715" s="31"/>
      <c r="G19715" s="272" t="s">
        <v>1099</v>
      </c>
    </row>
    <row r="19716">
      <c r="B19716" s="31"/>
      <c r="G19716" s="272" t="s">
        <v>1099</v>
      </c>
    </row>
    <row r="19717">
      <c r="B19717" s="31"/>
      <c r="G19717" s="272" t="s">
        <v>1099</v>
      </c>
    </row>
    <row r="19718">
      <c r="B19718" s="31"/>
      <c r="G19718" s="272" t="s">
        <v>1099</v>
      </c>
    </row>
    <row r="19719">
      <c r="B19719" s="31"/>
      <c r="G19719" s="272" t="s">
        <v>1099</v>
      </c>
    </row>
    <row r="19720">
      <c r="B19720" s="31"/>
      <c r="G19720" s="272" t="s">
        <v>1099</v>
      </c>
    </row>
    <row r="19721">
      <c r="B19721" s="31"/>
      <c r="G19721" s="272" t="s">
        <v>1099</v>
      </c>
    </row>
    <row r="19722">
      <c r="B19722" s="31"/>
      <c r="G19722" s="272" t="s">
        <v>1099</v>
      </c>
    </row>
    <row r="19723">
      <c r="B19723" s="31"/>
      <c r="G19723" s="272" t="s">
        <v>1099</v>
      </c>
    </row>
    <row r="19724">
      <c r="B19724" s="31"/>
      <c r="G19724" s="272" t="s">
        <v>1099</v>
      </c>
    </row>
    <row r="19725">
      <c r="B19725" s="31"/>
      <c r="G19725" s="272" t="s">
        <v>1099</v>
      </c>
    </row>
    <row r="19726">
      <c r="B19726" s="31"/>
      <c r="G19726" s="272" t="s">
        <v>1099</v>
      </c>
    </row>
    <row r="19727">
      <c r="B19727" s="31"/>
      <c r="G19727" s="272" t="s">
        <v>1099</v>
      </c>
    </row>
    <row r="19728">
      <c r="B19728" s="31"/>
      <c r="G19728" s="272" t="s">
        <v>1099</v>
      </c>
    </row>
    <row r="19729">
      <c r="B19729" s="31"/>
      <c r="G19729" s="272" t="s">
        <v>1099</v>
      </c>
    </row>
    <row r="19730">
      <c r="B19730" s="31"/>
      <c r="G19730" s="272" t="s">
        <v>1099</v>
      </c>
    </row>
    <row r="19731">
      <c r="B19731" s="31"/>
      <c r="G19731" s="272" t="s">
        <v>1099</v>
      </c>
    </row>
    <row r="19732">
      <c r="B19732" s="31"/>
      <c r="G19732" s="272" t="s">
        <v>1099</v>
      </c>
    </row>
    <row r="19733">
      <c r="B19733" s="31"/>
      <c r="G19733" s="272" t="s">
        <v>1099</v>
      </c>
    </row>
    <row r="19734">
      <c r="B19734" s="31"/>
      <c r="G19734" s="272" t="s">
        <v>1099</v>
      </c>
    </row>
    <row r="19735">
      <c r="B19735" s="31"/>
      <c r="G19735" s="272" t="s">
        <v>1099</v>
      </c>
    </row>
    <row r="19736">
      <c r="B19736" s="31"/>
      <c r="G19736" s="272" t="s">
        <v>1099</v>
      </c>
    </row>
    <row r="19737">
      <c r="B19737" s="31"/>
      <c r="G19737" s="272" t="s">
        <v>1099</v>
      </c>
    </row>
    <row r="19738">
      <c r="B19738" s="31"/>
      <c r="G19738" s="272" t="s">
        <v>1099</v>
      </c>
    </row>
    <row r="19739">
      <c r="B19739" s="31"/>
      <c r="G19739" s="272" t="s">
        <v>1099</v>
      </c>
    </row>
    <row r="19740">
      <c r="B19740" s="31"/>
      <c r="G19740" s="272" t="s">
        <v>1099</v>
      </c>
    </row>
    <row r="19741">
      <c r="B19741" s="31"/>
      <c r="G19741" s="272" t="s">
        <v>1099</v>
      </c>
    </row>
    <row r="19742">
      <c r="B19742" s="31"/>
      <c r="G19742" s="272" t="s">
        <v>1099</v>
      </c>
    </row>
    <row r="19743">
      <c r="B19743" s="31"/>
      <c r="G19743" s="272" t="s">
        <v>1099</v>
      </c>
    </row>
    <row r="19744">
      <c r="B19744" s="31"/>
      <c r="G19744" s="272" t="s">
        <v>1099</v>
      </c>
    </row>
    <row r="19745">
      <c r="B19745" s="31"/>
      <c r="G19745" s="272" t="s">
        <v>1099</v>
      </c>
    </row>
    <row r="19746">
      <c r="B19746" s="31"/>
      <c r="G19746" s="272" t="s">
        <v>1099</v>
      </c>
    </row>
    <row r="19747">
      <c r="B19747" s="31"/>
      <c r="G19747" s="272" t="s">
        <v>1099</v>
      </c>
    </row>
    <row r="19748">
      <c r="B19748" s="31"/>
      <c r="G19748" s="272" t="s">
        <v>1099</v>
      </c>
    </row>
    <row r="19749">
      <c r="B19749" s="31"/>
      <c r="G19749" s="272" t="s">
        <v>1099</v>
      </c>
    </row>
    <row r="19750">
      <c r="B19750" s="31"/>
      <c r="G19750" s="272" t="s">
        <v>1099</v>
      </c>
    </row>
    <row r="19751">
      <c r="B19751" s="31"/>
      <c r="G19751" s="272" t="s">
        <v>1099</v>
      </c>
    </row>
    <row r="19752">
      <c r="B19752" s="31"/>
      <c r="G19752" s="272" t="s">
        <v>1099</v>
      </c>
    </row>
    <row r="19753">
      <c r="B19753" s="31"/>
      <c r="G19753" s="272" t="s">
        <v>1099</v>
      </c>
    </row>
    <row r="19754">
      <c r="B19754" s="31"/>
      <c r="G19754" s="272" t="s">
        <v>1099</v>
      </c>
    </row>
    <row r="19755">
      <c r="B19755" s="31"/>
      <c r="G19755" s="272" t="s">
        <v>1099</v>
      </c>
    </row>
    <row r="19756">
      <c r="B19756" s="31"/>
      <c r="G19756" s="272" t="s">
        <v>1099</v>
      </c>
    </row>
    <row r="19757">
      <c r="B19757" s="31"/>
      <c r="G19757" s="272" t="s">
        <v>1099</v>
      </c>
    </row>
    <row r="19758">
      <c r="B19758" s="31"/>
      <c r="G19758" s="272" t="s">
        <v>1099</v>
      </c>
    </row>
    <row r="19759">
      <c r="B19759" s="31"/>
      <c r="G19759" s="272" t="s">
        <v>1099</v>
      </c>
    </row>
    <row r="19760">
      <c r="B19760" s="31"/>
      <c r="G19760" s="272" t="s">
        <v>1099</v>
      </c>
    </row>
    <row r="19761">
      <c r="B19761" s="31"/>
      <c r="G19761" s="272" t="s">
        <v>1099</v>
      </c>
    </row>
    <row r="19762">
      <c r="B19762" s="31"/>
      <c r="G19762" s="272" t="s">
        <v>1099</v>
      </c>
    </row>
    <row r="19763">
      <c r="B19763" s="31"/>
      <c r="G19763" s="272" t="s">
        <v>1099</v>
      </c>
    </row>
    <row r="19764">
      <c r="B19764" s="31"/>
      <c r="G19764" s="272" t="s">
        <v>1099</v>
      </c>
    </row>
    <row r="19765">
      <c r="B19765" s="31"/>
      <c r="G19765" s="272" t="s">
        <v>1099</v>
      </c>
    </row>
    <row r="19766">
      <c r="B19766" s="31"/>
      <c r="G19766" s="272" t="s">
        <v>1099</v>
      </c>
    </row>
    <row r="19767">
      <c r="B19767" s="31"/>
      <c r="G19767" s="272" t="s">
        <v>1099</v>
      </c>
    </row>
    <row r="19768">
      <c r="B19768" s="31"/>
      <c r="G19768" s="272" t="s">
        <v>1099</v>
      </c>
    </row>
    <row r="19769">
      <c r="B19769" s="31"/>
      <c r="G19769" s="272" t="s">
        <v>1099</v>
      </c>
    </row>
    <row r="19770">
      <c r="B19770" s="31"/>
      <c r="G19770" s="272" t="s">
        <v>1099</v>
      </c>
    </row>
    <row r="19771">
      <c r="B19771" s="31"/>
      <c r="G19771" s="272" t="s">
        <v>1099</v>
      </c>
    </row>
    <row r="19772">
      <c r="B19772" s="31"/>
      <c r="G19772" s="272" t="s">
        <v>1099</v>
      </c>
    </row>
    <row r="19773">
      <c r="B19773" s="31"/>
      <c r="G19773" s="272" t="s">
        <v>1099</v>
      </c>
    </row>
    <row r="19774">
      <c r="B19774" s="31"/>
      <c r="G19774" s="272" t="s">
        <v>1099</v>
      </c>
    </row>
    <row r="19775">
      <c r="B19775" s="31"/>
      <c r="G19775" s="272" t="s">
        <v>1099</v>
      </c>
    </row>
    <row r="19776">
      <c r="B19776" s="31"/>
      <c r="G19776" s="272" t="s">
        <v>1099</v>
      </c>
    </row>
    <row r="19777">
      <c r="B19777" s="31"/>
      <c r="G19777" s="272" t="s">
        <v>1099</v>
      </c>
    </row>
    <row r="19778">
      <c r="B19778" s="31"/>
      <c r="G19778" s="272" t="s">
        <v>1099</v>
      </c>
    </row>
    <row r="19779">
      <c r="B19779" s="31"/>
      <c r="G19779" s="272" t="s">
        <v>1099</v>
      </c>
    </row>
    <row r="19780">
      <c r="B19780" s="31"/>
      <c r="G19780" s="272" t="s">
        <v>1099</v>
      </c>
    </row>
    <row r="19781">
      <c r="B19781" s="31"/>
      <c r="G19781" s="272" t="s">
        <v>1099</v>
      </c>
    </row>
    <row r="19782">
      <c r="B19782" s="31"/>
      <c r="G19782" s="272" t="s">
        <v>1099</v>
      </c>
    </row>
    <row r="19783">
      <c r="B19783" s="31"/>
      <c r="G19783" s="272" t="s">
        <v>1099</v>
      </c>
    </row>
    <row r="19784">
      <c r="B19784" s="31"/>
      <c r="G19784" s="272" t="s">
        <v>1099</v>
      </c>
    </row>
    <row r="19785">
      <c r="B19785" s="31"/>
      <c r="G19785" s="272" t="s">
        <v>1099</v>
      </c>
    </row>
    <row r="19786">
      <c r="B19786" s="31"/>
      <c r="G19786" s="272" t="s">
        <v>1099</v>
      </c>
    </row>
    <row r="19787">
      <c r="B19787" s="31"/>
      <c r="G19787" s="272" t="s">
        <v>1099</v>
      </c>
    </row>
    <row r="19788">
      <c r="B19788" s="31"/>
      <c r="G19788" s="272" t="s">
        <v>1099</v>
      </c>
    </row>
    <row r="19789">
      <c r="B19789" s="31"/>
      <c r="G19789" s="272" t="s">
        <v>1099</v>
      </c>
    </row>
    <row r="19790">
      <c r="B19790" s="31"/>
      <c r="G19790" s="272" t="s">
        <v>1099</v>
      </c>
    </row>
    <row r="19791">
      <c r="B19791" s="31"/>
      <c r="G19791" s="272" t="s">
        <v>1099</v>
      </c>
    </row>
    <row r="19792">
      <c r="B19792" s="31"/>
      <c r="G19792" s="272" t="s">
        <v>1099</v>
      </c>
    </row>
    <row r="19793">
      <c r="B19793" s="31"/>
      <c r="G19793" s="272" t="s">
        <v>1099</v>
      </c>
    </row>
    <row r="19794">
      <c r="B19794" s="31"/>
      <c r="G19794" s="272" t="s">
        <v>1099</v>
      </c>
    </row>
    <row r="19795">
      <c r="B19795" s="31"/>
      <c r="G19795" s="272" t="s">
        <v>1099</v>
      </c>
    </row>
    <row r="19796">
      <c r="B19796" s="31"/>
      <c r="G19796" s="272" t="s">
        <v>1099</v>
      </c>
    </row>
    <row r="19797">
      <c r="B19797" s="31"/>
      <c r="G19797" s="272" t="s">
        <v>1099</v>
      </c>
    </row>
    <row r="19798">
      <c r="B19798" s="31"/>
      <c r="G19798" s="272" t="s">
        <v>1099</v>
      </c>
    </row>
    <row r="19799">
      <c r="B19799" s="31"/>
      <c r="G19799" s="272" t="s">
        <v>1099</v>
      </c>
    </row>
    <row r="19800">
      <c r="B19800" s="31"/>
      <c r="G19800" s="272" t="s">
        <v>1099</v>
      </c>
    </row>
    <row r="19801">
      <c r="B19801" s="31"/>
      <c r="G19801" s="272" t="s">
        <v>1099</v>
      </c>
    </row>
    <row r="19802">
      <c r="B19802" s="31"/>
      <c r="G19802" s="272" t="s">
        <v>1099</v>
      </c>
    </row>
    <row r="19803">
      <c r="B19803" s="31"/>
      <c r="G19803" s="272" t="s">
        <v>1099</v>
      </c>
    </row>
    <row r="19804">
      <c r="B19804" s="31"/>
      <c r="G19804" s="272" t="s">
        <v>1099</v>
      </c>
    </row>
    <row r="19805">
      <c r="B19805" s="31"/>
      <c r="G19805" s="272" t="s">
        <v>1099</v>
      </c>
    </row>
    <row r="19806">
      <c r="B19806" s="31"/>
      <c r="G19806" s="272" t="s">
        <v>1099</v>
      </c>
    </row>
    <row r="19807">
      <c r="B19807" s="31"/>
      <c r="G19807" s="272" t="s">
        <v>1099</v>
      </c>
    </row>
    <row r="19808">
      <c r="B19808" s="31"/>
      <c r="G19808" s="272" t="s">
        <v>1099</v>
      </c>
    </row>
    <row r="19809">
      <c r="B19809" s="31"/>
      <c r="G19809" s="272" t="s">
        <v>1099</v>
      </c>
    </row>
    <row r="19810">
      <c r="B19810" s="31"/>
      <c r="G19810" s="272" t="s">
        <v>1099</v>
      </c>
    </row>
    <row r="19811">
      <c r="B19811" s="31"/>
      <c r="G19811" s="272" t="s">
        <v>1099</v>
      </c>
    </row>
    <row r="19812">
      <c r="B19812" s="31"/>
      <c r="G19812" s="272" t="s">
        <v>1099</v>
      </c>
    </row>
    <row r="19813">
      <c r="B19813" s="31"/>
      <c r="G19813" s="272" t="s">
        <v>1099</v>
      </c>
    </row>
    <row r="19814">
      <c r="B19814" s="31"/>
      <c r="G19814" s="272" t="s">
        <v>1099</v>
      </c>
    </row>
    <row r="19815">
      <c r="B19815" s="31"/>
      <c r="G19815" s="272" t="s">
        <v>1099</v>
      </c>
    </row>
    <row r="19816">
      <c r="B19816" s="31"/>
      <c r="G19816" s="272" t="s">
        <v>1099</v>
      </c>
    </row>
    <row r="19817">
      <c r="B19817" s="31"/>
      <c r="G19817" s="272" t="s">
        <v>1099</v>
      </c>
    </row>
    <row r="19818">
      <c r="B19818" s="31"/>
      <c r="G19818" s="272" t="s">
        <v>1099</v>
      </c>
    </row>
    <row r="19819">
      <c r="B19819" s="31"/>
      <c r="G19819" s="272" t="s">
        <v>1099</v>
      </c>
    </row>
    <row r="19820">
      <c r="B19820" s="31"/>
      <c r="G19820" s="272" t="s">
        <v>1099</v>
      </c>
    </row>
    <row r="19821">
      <c r="B19821" s="31"/>
      <c r="G19821" s="272" t="s">
        <v>1099</v>
      </c>
    </row>
    <row r="19822">
      <c r="B19822" s="31"/>
      <c r="G19822" s="272" t="s">
        <v>1099</v>
      </c>
    </row>
    <row r="19823">
      <c r="B19823" s="31"/>
      <c r="G19823" s="272" t="s">
        <v>1099</v>
      </c>
    </row>
    <row r="19824">
      <c r="B19824" s="31"/>
      <c r="G19824" s="272" t="s">
        <v>1099</v>
      </c>
    </row>
    <row r="19825">
      <c r="B19825" s="31"/>
      <c r="G19825" s="272" t="s">
        <v>1099</v>
      </c>
    </row>
    <row r="19826">
      <c r="B19826" s="31"/>
      <c r="G19826" s="272" t="s">
        <v>1099</v>
      </c>
    </row>
    <row r="19827">
      <c r="B19827" s="31"/>
      <c r="G19827" s="272" t="s">
        <v>1099</v>
      </c>
    </row>
    <row r="19828">
      <c r="B19828" s="31"/>
      <c r="G19828" s="272" t="s">
        <v>1099</v>
      </c>
    </row>
    <row r="19829">
      <c r="B19829" s="31"/>
      <c r="G19829" s="272" t="s">
        <v>1099</v>
      </c>
    </row>
    <row r="19830">
      <c r="B19830" s="31"/>
      <c r="G19830" s="272" t="s">
        <v>1099</v>
      </c>
    </row>
    <row r="19831">
      <c r="B19831" s="31"/>
      <c r="G19831" s="272" t="s">
        <v>1099</v>
      </c>
    </row>
    <row r="19832">
      <c r="B19832" s="31"/>
      <c r="G19832" s="272" t="s">
        <v>1099</v>
      </c>
    </row>
    <row r="19833">
      <c r="B19833" s="31"/>
      <c r="G19833" s="272" t="s">
        <v>1099</v>
      </c>
    </row>
    <row r="19834">
      <c r="B19834" s="31"/>
      <c r="G19834" s="272" t="s">
        <v>1099</v>
      </c>
    </row>
    <row r="19835">
      <c r="B19835" s="31"/>
      <c r="G19835" s="272" t="s">
        <v>1099</v>
      </c>
    </row>
    <row r="19836">
      <c r="B19836" s="31"/>
      <c r="G19836" s="272" t="s">
        <v>1099</v>
      </c>
    </row>
    <row r="19837">
      <c r="B19837" s="31"/>
      <c r="G19837" s="272" t="s">
        <v>1099</v>
      </c>
    </row>
    <row r="19838">
      <c r="B19838" s="31"/>
      <c r="G19838" s="272" t="s">
        <v>1099</v>
      </c>
    </row>
    <row r="19839">
      <c r="B19839" s="31"/>
      <c r="G19839" s="272" t="s">
        <v>1099</v>
      </c>
    </row>
    <row r="19840">
      <c r="B19840" s="31"/>
      <c r="G19840" s="272" t="s">
        <v>1099</v>
      </c>
    </row>
    <row r="19841">
      <c r="B19841" s="31"/>
      <c r="G19841" s="272" t="s">
        <v>1099</v>
      </c>
    </row>
    <row r="19842">
      <c r="B19842" s="31"/>
      <c r="G19842" s="272" t="s">
        <v>1099</v>
      </c>
    </row>
    <row r="19843">
      <c r="B19843" s="31"/>
      <c r="G19843" s="272" t="s">
        <v>1099</v>
      </c>
    </row>
    <row r="19844">
      <c r="B19844" s="31"/>
      <c r="G19844" s="272" t="s">
        <v>1099</v>
      </c>
    </row>
    <row r="19845">
      <c r="B19845" s="31"/>
      <c r="G19845" s="272" t="s">
        <v>1099</v>
      </c>
    </row>
    <row r="19846">
      <c r="B19846" s="31"/>
      <c r="G19846" s="272" t="s">
        <v>1099</v>
      </c>
    </row>
    <row r="19847">
      <c r="B19847" s="31"/>
      <c r="G19847" s="272" t="s">
        <v>1099</v>
      </c>
    </row>
    <row r="19848">
      <c r="B19848" s="31"/>
      <c r="G19848" s="272" t="s">
        <v>1099</v>
      </c>
    </row>
    <row r="19849">
      <c r="B19849" s="31"/>
      <c r="G19849" s="272" t="s">
        <v>1099</v>
      </c>
    </row>
    <row r="19850">
      <c r="B19850" s="31"/>
      <c r="G19850" s="272" t="s">
        <v>1099</v>
      </c>
    </row>
    <row r="19851">
      <c r="B19851" s="31"/>
      <c r="G19851" s="272" t="s">
        <v>1099</v>
      </c>
    </row>
    <row r="19852">
      <c r="B19852" s="31"/>
      <c r="G19852" s="272" t="s">
        <v>1099</v>
      </c>
    </row>
    <row r="19853">
      <c r="B19853" s="31"/>
      <c r="G19853" s="272" t="s">
        <v>1099</v>
      </c>
    </row>
    <row r="19854">
      <c r="B19854" s="31"/>
      <c r="G19854" s="272" t="s">
        <v>1099</v>
      </c>
    </row>
    <row r="19855">
      <c r="B19855" s="31"/>
      <c r="G19855" s="272" t="s">
        <v>1099</v>
      </c>
    </row>
    <row r="19856">
      <c r="B19856" s="31"/>
      <c r="G19856" s="272" t="s">
        <v>1099</v>
      </c>
    </row>
    <row r="19857">
      <c r="B19857" s="31"/>
      <c r="G19857" s="272" t="s">
        <v>1099</v>
      </c>
    </row>
    <row r="19858">
      <c r="B19858" s="31"/>
      <c r="G19858" s="272" t="s">
        <v>1099</v>
      </c>
    </row>
    <row r="19859">
      <c r="B19859" s="31"/>
      <c r="G19859" s="272" t="s">
        <v>1099</v>
      </c>
    </row>
    <row r="19860">
      <c r="B19860" s="31"/>
      <c r="G19860" s="272" t="s">
        <v>1099</v>
      </c>
    </row>
    <row r="19861">
      <c r="B19861" s="31"/>
      <c r="G19861" s="272" t="s">
        <v>1099</v>
      </c>
    </row>
    <row r="19862">
      <c r="B19862" s="31"/>
      <c r="G19862" s="272" t="s">
        <v>1099</v>
      </c>
    </row>
    <row r="19863">
      <c r="B19863" s="31"/>
      <c r="G19863" s="272" t="s">
        <v>1099</v>
      </c>
    </row>
    <row r="19864">
      <c r="B19864" s="31"/>
      <c r="G19864" s="272" t="s">
        <v>1099</v>
      </c>
    </row>
    <row r="19865">
      <c r="B19865" s="31"/>
      <c r="G19865" s="272" t="s">
        <v>1099</v>
      </c>
    </row>
    <row r="19866">
      <c r="B19866" s="31"/>
      <c r="G19866" s="272" t="s">
        <v>1099</v>
      </c>
    </row>
    <row r="19867">
      <c r="B19867" s="31"/>
      <c r="G19867" s="272" t="s">
        <v>1099</v>
      </c>
    </row>
    <row r="19868">
      <c r="B19868" s="31"/>
      <c r="G19868" s="272" t="s">
        <v>1099</v>
      </c>
    </row>
    <row r="19869">
      <c r="B19869" s="31"/>
      <c r="G19869" s="272" t="s">
        <v>1099</v>
      </c>
    </row>
    <row r="19870">
      <c r="B19870" s="31"/>
      <c r="G19870" s="272" t="s">
        <v>1099</v>
      </c>
    </row>
    <row r="19871">
      <c r="B19871" s="31"/>
      <c r="G19871" s="272" t="s">
        <v>1099</v>
      </c>
    </row>
    <row r="19872">
      <c r="B19872" s="31"/>
      <c r="G19872" s="272" t="s">
        <v>1099</v>
      </c>
    </row>
    <row r="19873">
      <c r="B19873" s="31"/>
      <c r="G19873" s="272" t="s">
        <v>1099</v>
      </c>
    </row>
    <row r="19874">
      <c r="B19874" s="31"/>
      <c r="G19874" s="272" t="s">
        <v>1099</v>
      </c>
    </row>
    <row r="19875">
      <c r="B19875" s="31"/>
      <c r="G19875" s="272" t="s">
        <v>1099</v>
      </c>
    </row>
    <row r="19876">
      <c r="B19876" s="31"/>
      <c r="G19876" s="272" t="s">
        <v>1099</v>
      </c>
    </row>
    <row r="19877">
      <c r="B19877" s="31"/>
      <c r="G19877" s="272" t="s">
        <v>1099</v>
      </c>
    </row>
    <row r="19878">
      <c r="B19878" s="31"/>
      <c r="G19878" s="272" t="s">
        <v>1099</v>
      </c>
    </row>
    <row r="19879">
      <c r="B19879" s="31"/>
      <c r="G19879" s="272" t="s">
        <v>1099</v>
      </c>
    </row>
    <row r="19880">
      <c r="B19880" s="31"/>
      <c r="G19880" s="272" t="s">
        <v>1099</v>
      </c>
    </row>
    <row r="19881">
      <c r="B19881" s="31"/>
      <c r="G19881" s="272" t="s">
        <v>1099</v>
      </c>
    </row>
    <row r="19882">
      <c r="B19882" s="31"/>
      <c r="G19882" s="272" t="s">
        <v>1099</v>
      </c>
    </row>
    <row r="19883">
      <c r="B19883" s="31"/>
      <c r="G19883" s="272" t="s">
        <v>1099</v>
      </c>
    </row>
    <row r="19884">
      <c r="B19884" s="31"/>
      <c r="G19884" s="272" t="s">
        <v>1099</v>
      </c>
    </row>
    <row r="19885">
      <c r="B19885" s="31"/>
      <c r="G19885" s="272" t="s">
        <v>1099</v>
      </c>
    </row>
    <row r="19886">
      <c r="B19886" s="31"/>
      <c r="G19886" s="272" t="s">
        <v>1099</v>
      </c>
    </row>
    <row r="19887">
      <c r="B19887" s="31"/>
      <c r="G19887" s="272" t="s">
        <v>1099</v>
      </c>
    </row>
    <row r="19888">
      <c r="B19888" s="31"/>
      <c r="G19888" s="272" t="s">
        <v>1099</v>
      </c>
    </row>
    <row r="19889">
      <c r="B19889" s="31"/>
      <c r="G19889" s="272" t="s">
        <v>1099</v>
      </c>
    </row>
    <row r="19890">
      <c r="B19890" s="31"/>
      <c r="G19890" s="272" t="s">
        <v>1099</v>
      </c>
    </row>
    <row r="19891">
      <c r="B19891" s="31"/>
      <c r="G19891" s="272" t="s">
        <v>1099</v>
      </c>
    </row>
    <row r="19892">
      <c r="B19892" s="31"/>
      <c r="G19892" s="272" t="s">
        <v>1099</v>
      </c>
    </row>
    <row r="19893">
      <c r="B19893" s="31"/>
      <c r="G19893" s="272" t="s">
        <v>1099</v>
      </c>
    </row>
    <row r="19894">
      <c r="B19894" s="31"/>
      <c r="G19894" s="272" t="s">
        <v>1099</v>
      </c>
    </row>
    <row r="19895">
      <c r="B19895" s="31"/>
      <c r="G19895" s="272" t="s">
        <v>1099</v>
      </c>
    </row>
    <row r="19896">
      <c r="B19896" s="31"/>
      <c r="G19896" s="272" t="s">
        <v>1099</v>
      </c>
    </row>
    <row r="19897">
      <c r="B19897" s="31"/>
      <c r="G19897" s="272" t="s">
        <v>1099</v>
      </c>
    </row>
    <row r="19898">
      <c r="B19898" s="31"/>
      <c r="G19898" s="272" t="s">
        <v>1099</v>
      </c>
    </row>
    <row r="19899">
      <c r="B19899" s="31"/>
      <c r="G19899" s="272" t="s">
        <v>1099</v>
      </c>
    </row>
    <row r="19900">
      <c r="B19900" s="31"/>
      <c r="G19900" s="272" t="s">
        <v>1099</v>
      </c>
    </row>
    <row r="19901">
      <c r="B19901" s="31"/>
      <c r="G19901" s="272" t="s">
        <v>1099</v>
      </c>
    </row>
    <row r="19902">
      <c r="B19902" s="31"/>
      <c r="G19902" s="272" t="s">
        <v>1099</v>
      </c>
    </row>
    <row r="19903">
      <c r="B19903" s="31"/>
      <c r="G19903" s="272" t="s">
        <v>1099</v>
      </c>
    </row>
    <row r="19904">
      <c r="B19904" s="31"/>
      <c r="G19904" s="272" t="s">
        <v>1099</v>
      </c>
    </row>
    <row r="19905">
      <c r="B19905" s="31"/>
      <c r="G19905" s="272" t="s">
        <v>1099</v>
      </c>
    </row>
    <row r="19906">
      <c r="B19906" s="31"/>
      <c r="G19906" s="272" t="s">
        <v>1099</v>
      </c>
    </row>
    <row r="19907">
      <c r="B19907" s="31"/>
      <c r="G19907" s="272" t="s">
        <v>1099</v>
      </c>
    </row>
    <row r="19908">
      <c r="B19908" s="31"/>
      <c r="G19908" s="272" t="s">
        <v>1099</v>
      </c>
    </row>
    <row r="19909">
      <c r="B19909" s="31"/>
      <c r="G19909" s="272" t="s">
        <v>1099</v>
      </c>
    </row>
    <row r="19910">
      <c r="B19910" s="31"/>
      <c r="G19910" s="272" t="s">
        <v>1099</v>
      </c>
    </row>
    <row r="19911">
      <c r="B19911" s="31"/>
      <c r="G19911" s="272" t="s">
        <v>1099</v>
      </c>
    </row>
    <row r="19912">
      <c r="B19912" s="31"/>
      <c r="G19912" s="272" t="s">
        <v>1099</v>
      </c>
    </row>
    <row r="19913">
      <c r="B19913" s="31"/>
      <c r="G19913" s="272" t="s">
        <v>1099</v>
      </c>
    </row>
    <row r="19914">
      <c r="B19914" s="31"/>
      <c r="G19914" s="272" t="s">
        <v>1099</v>
      </c>
    </row>
    <row r="19915">
      <c r="B19915" s="31"/>
      <c r="G19915" s="272" t="s">
        <v>1099</v>
      </c>
    </row>
    <row r="19916">
      <c r="B19916" s="31"/>
      <c r="G19916" s="272" t="s">
        <v>1099</v>
      </c>
    </row>
    <row r="19917">
      <c r="B19917" s="31"/>
      <c r="G19917" s="272" t="s">
        <v>1099</v>
      </c>
    </row>
    <row r="19918">
      <c r="B19918" s="31"/>
      <c r="G19918" s="272" t="s">
        <v>1099</v>
      </c>
    </row>
    <row r="19919">
      <c r="B19919" s="31"/>
      <c r="G19919" s="272" t="s">
        <v>1099</v>
      </c>
    </row>
    <row r="19920">
      <c r="B19920" s="31"/>
      <c r="G19920" s="272" t="s">
        <v>1099</v>
      </c>
    </row>
    <row r="19921">
      <c r="B19921" s="31"/>
      <c r="G19921" s="272" t="s">
        <v>1099</v>
      </c>
    </row>
    <row r="19922">
      <c r="B19922" s="31"/>
      <c r="G19922" s="272" t="s">
        <v>1099</v>
      </c>
    </row>
    <row r="19923">
      <c r="B19923" s="31"/>
      <c r="G19923" s="272" t="s">
        <v>1099</v>
      </c>
    </row>
    <row r="19924">
      <c r="B19924" s="31"/>
      <c r="G19924" s="272" t="s">
        <v>1099</v>
      </c>
    </row>
    <row r="19925">
      <c r="B19925" s="31"/>
      <c r="G19925" s="272" t="s">
        <v>1099</v>
      </c>
    </row>
    <row r="19926">
      <c r="B19926" s="31"/>
      <c r="G19926" s="272" t="s">
        <v>1099</v>
      </c>
    </row>
    <row r="19927">
      <c r="B19927" s="31"/>
      <c r="G19927" s="272" t="s">
        <v>1099</v>
      </c>
    </row>
    <row r="19928">
      <c r="B19928" s="31"/>
      <c r="G19928" s="272" t="s">
        <v>1099</v>
      </c>
    </row>
    <row r="19929">
      <c r="B19929" s="31"/>
      <c r="G19929" s="272" t="s">
        <v>1099</v>
      </c>
    </row>
    <row r="19930">
      <c r="B19930" s="31"/>
      <c r="G19930" s="272" t="s">
        <v>1099</v>
      </c>
    </row>
    <row r="19931">
      <c r="B19931" s="31"/>
      <c r="G19931" s="272" t="s">
        <v>1099</v>
      </c>
    </row>
    <row r="19932">
      <c r="B19932" s="31"/>
      <c r="G19932" s="272" t="s">
        <v>1099</v>
      </c>
    </row>
    <row r="19933">
      <c r="B19933" s="31"/>
      <c r="G19933" s="272" t="s">
        <v>1099</v>
      </c>
    </row>
    <row r="19934">
      <c r="B19934" s="31"/>
      <c r="G19934" s="272" t="s">
        <v>1099</v>
      </c>
    </row>
    <row r="19935">
      <c r="B19935" s="31"/>
      <c r="G19935" s="272" t="s">
        <v>1099</v>
      </c>
    </row>
    <row r="19936">
      <c r="B19936" s="31"/>
      <c r="G19936" s="272" t="s">
        <v>1099</v>
      </c>
    </row>
    <row r="19937">
      <c r="B19937" s="31"/>
      <c r="G19937" s="272" t="s">
        <v>1099</v>
      </c>
    </row>
    <row r="19938">
      <c r="B19938" s="31"/>
      <c r="G19938" s="272" t="s">
        <v>1099</v>
      </c>
    </row>
    <row r="19939">
      <c r="B19939" s="31"/>
      <c r="G19939" s="272" t="s">
        <v>1099</v>
      </c>
    </row>
    <row r="19940">
      <c r="B19940" s="31"/>
      <c r="G19940" s="272" t="s">
        <v>1099</v>
      </c>
    </row>
    <row r="19941">
      <c r="B19941" s="31"/>
      <c r="G19941" s="272" t="s">
        <v>1099</v>
      </c>
    </row>
    <row r="19942">
      <c r="B19942" s="31"/>
      <c r="G19942" s="272" t="s">
        <v>1099</v>
      </c>
    </row>
    <row r="19943">
      <c r="B19943" s="31"/>
      <c r="G19943" s="272" t="s">
        <v>1099</v>
      </c>
    </row>
    <row r="19944">
      <c r="B19944" s="31"/>
      <c r="G19944" s="272" t="s">
        <v>1099</v>
      </c>
    </row>
    <row r="19945">
      <c r="B19945" s="31"/>
      <c r="G19945" s="272" t="s">
        <v>1099</v>
      </c>
    </row>
    <row r="19946">
      <c r="B19946" s="31"/>
      <c r="G19946" s="272" t="s">
        <v>1099</v>
      </c>
    </row>
    <row r="19947">
      <c r="B19947" s="31"/>
      <c r="G19947" s="272" t="s">
        <v>1099</v>
      </c>
    </row>
    <row r="19948">
      <c r="B19948" s="31"/>
      <c r="G19948" s="272" t="s">
        <v>1099</v>
      </c>
    </row>
    <row r="19949">
      <c r="B19949" s="31"/>
      <c r="G19949" s="272" t="s">
        <v>1099</v>
      </c>
    </row>
    <row r="19950">
      <c r="B19950" s="31"/>
      <c r="G19950" s="272" t="s">
        <v>1099</v>
      </c>
    </row>
    <row r="19951">
      <c r="B19951" s="31"/>
      <c r="G19951" s="272" t="s">
        <v>1099</v>
      </c>
    </row>
    <row r="19952">
      <c r="B19952" s="31"/>
      <c r="G19952" s="272" t="s">
        <v>1099</v>
      </c>
    </row>
    <row r="19953">
      <c r="B19953" s="31"/>
      <c r="G19953" s="272" t="s">
        <v>1099</v>
      </c>
    </row>
    <row r="19954">
      <c r="B19954" s="31"/>
      <c r="G19954" s="272" t="s">
        <v>1099</v>
      </c>
    </row>
    <row r="19955">
      <c r="B19955" s="31"/>
      <c r="G19955" s="272" t="s">
        <v>1099</v>
      </c>
    </row>
    <row r="19956">
      <c r="B19956" s="31"/>
      <c r="G19956" s="272" t="s">
        <v>1099</v>
      </c>
    </row>
    <row r="19957">
      <c r="B19957" s="31"/>
      <c r="G19957" s="272" t="s">
        <v>1099</v>
      </c>
    </row>
    <row r="19958">
      <c r="B19958" s="31"/>
      <c r="G19958" s="272" t="s">
        <v>1099</v>
      </c>
    </row>
    <row r="19959">
      <c r="B19959" s="31"/>
      <c r="G19959" s="272" t="s">
        <v>1099</v>
      </c>
    </row>
    <row r="19960">
      <c r="B19960" s="31"/>
      <c r="G19960" s="272" t="s">
        <v>1099</v>
      </c>
    </row>
    <row r="19961">
      <c r="B19961" s="31"/>
      <c r="G19961" s="272" t="s">
        <v>1099</v>
      </c>
    </row>
    <row r="19962">
      <c r="B19962" s="31"/>
      <c r="G19962" s="272" t="s">
        <v>1099</v>
      </c>
    </row>
    <row r="19963">
      <c r="B19963" s="31"/>
      <c r="G19963" s="272" t="s">
        <v>1099</v>
      </c>
    </row>
    <row r="19964">
      <c r="B19964" s="31"/>
      <c r="G19964" s="272" t="s">
        <v>1099</v>
      </c>
    </row>
    <row r="19965">
      <c r="B19965" s="31"/>
      <c r="G19965" s="272" t="s">
        <v>1099</v>
      </c>
    </row>
    <row r="19966">
      <c r="B19966" s="31"/>
      <c r="G19966" s="272" t="s">
        <v>1099</v>
      </c>
    </row>
    <row r="19967">
      <c r="B19967" s="31"/>
      <c r="G19967" s="272" t="s">
        <v>1099</v>
      </c>
    </row>
    <row r="19968">
      <c r="B19968" s="31"/>
      <c r="G19968" s="272" t="s">
        <v>1099</v>
      </c>
    </row>
    <row r="19969">
      <c r="B19969" s="31"/>
      <c r="G19969" s="272" t="s">
        <v>1099</v>
      </c>
    </row>
    <row r="19970">
      <c r="B19970" s="31"/>
      <c r="G19970" s="272" t="s">
        <v>1099</v>
      </c>
    </row>
    <row r="19971">
      <c r="B19971" s="31"/>
      <c r="G19971" s="272" t="s">
        <v>1099</v>
      </c>
    </row>
    <row r="19972">
      <c r="B19972" s="31"/>
      <c r="G19972" s="272" t="s">
        <v>1099</v>
      </c>
    </row>
    <row r="19973">
      <c r="B19973" s="31"/>
      <c r="G19973" s="272" t="s">
        <v>1099</v>
      </c>
    </row>
    <row r="19974">
      <c r="B19974" s="31"/>
      <c r="G19974" s="272" t="s">
        <v>1099</v>
      </c>
    </row>
    <row r="19975">
      <c r="B19975" s="31"/>
      <c r="G19975" s="272" t="s">
        <v>1099</v>
      </c>
    </row>
    <row r="19976">
      <c r="B19976" s="31"/>
      <c r="G19976" s="272" t="s">
        <v>1099</v>
      </c>
    </row>
    <row r="19977">
      <c r="B19977" s="31"/>
      <c r="G19977" s="272" t="s">
        <v>1099</v>
      </c>
    </row>
    <row r="19978">
      <c r="B19978" s="31"/>
      <c r="G19978" s="272" t="s">
        <v>1099</v>
      </c>
    </row>
    <row r="19979">
      <c r="B19979" s="31"/>
      <c r="G19979" s="272" t="s">
        <v>1099</v>
      </c>
    </row>
    <row r="19980">
      <c r="B19980" s="31"/>
      <c r="G19980" s="272" t="s">
        <v>1099</v>
      </c>
    </row>
    <row r="19981">
      <c r="B19981" s="31"/>
      <c r="G19981" s="272" t="s">
        <v>1099</v>
      </c>
    </row>
    <row r="19982">
      <c r="B19982" s="31"/>
      <c r="G19982" s="272" t="s">
        <v>1099</v>
      </c>
    </row>
    <row r="19983">
      <c r="B19983" s="31"/>
      <c r="G19983" s="272" t="s">
        <v>1099</v>
      </c>
    </row>
    <row r="19984">
      <c r="B19984" s="31"/>
      <c r="G19984" s="272" t="s">
        <v>1099</v>
      </c>
    </row>
    <row r="19985">
      <c r="B19985" s="31"/>
      <c r="G19985" s="272" t="s">
        <v>1099</v>
      </c>
    </row>
    <row r="19986">
      <c r="B19986" s="31"/>
      <c r="G19986" s="272" t="s">
        <v>1099</v>
      </c>
    </row>
    <row r="19987">
      <c r="B19987" s="31"/>
      <c r="G19987" s="272" t="s">
        <v>1099</v>
      </c>
    </row>
    <row r="19988">
      <c r="B19988" s="31"/>
      <c r="G19988" s="272" t="s">
        <v>1099</v>
      </c>
    </row>
    <row r="19989">
      <c r="B19989" s="31"/>
      <c r="G19989" s="272" t="s">
        <v>1099</v>
      </c>
    </row>
    <row r="19990">
      <c r="B19990" s="31"/>
      <c r="G19990" s="272" t="s">
        <v>1099</v>
      </c>
    </row>
    <row r="19991">
      <c r="B19991" s="31"/>
      <c r="G19991" s="272" t="s">
        <v>1099</v>
      </c>
    </row>
    <row r="19992">
      <c r="B19992" s="31"/>
      <c r="G19992" s="272" t="s">
        <v>1099</v>
      </c>
    </row>
    <row r="19993">
      <c r="B19993" s="31"/>
      <c r="G19993" s="272" t="s">
        <v>1099</v>
      </c>
    </row>
    <row r="19994">
      <c r="B19994" s="31"/>
      <c r="G19994" s="272" t="s">
        <v>1099</v>
      </c>
    </row>
    <row r="19995">
      <c r="B19995" s="31"/>
      <c r="G19995" s="272" t="s">
        <v>1099</v>
      </c>
    </row>
    <row r="19996">
      <c r="B19996" s="31"/>
      <c r="G19996" s="272" t="s">
        <v>1099</v>
      </c>
    </row>
    <row r="19997">
      <c r="B19997" s="31"/>
      <c r="G19997" s="272" t="s">
        <v>1099</v>
      </c>
    </row>
    <row r="19998">
      <c r="B19998" s="31"/>
      <c r="G19998" s="272" t="s">
        <v>1099</v>
      </c>
    </row>
    <row r="19999">
      <c r="B19999" s="31"/>
      <c r="G19999" s="272" t="s">
        <v>1099</v>
      </c>
    </row>
    <row r="20000">
      <c r="B20000" s="31"/>
      <c r="G20000" s="272" t="s">
        <v>1099</v>
      </c>
    </row>
    <row r="20001">
      <c r="B20001" s="31"/>
      <c r="G20001" s="272" t="s">
        <v>1099</v>
      </c>
    </row>
    <row r="20002">
      <c r="B20002" s="31"/>
      <c r="G20002" s="272" t="s">
        <v>1099</v>
      </c>
    </row>
    <row r="20003">
      <c r="B20003" s="31"/>
      <c r="G20003" s="272" t="s">
        <v>1099</v>
      </c>
    </row>
    <row r="20004">
      <c r="B20004" s="31"/>
      <c r="G20004" s="272" t="s">
        <v>1099</v>
      </c>
    </row>
    <row r="20005">
      <c r="B20005" s="31"/>
      <c r="G20005" s="272" t="s">
        <v>1099</v>
      </c>
    </row>
    <row r="20006">
      <c r="B20006" s="31"/>
      <c r="G20006" s="272" t="s">
        <v>1099</v>
      </c>
    </row>
    <row r="20007">
      <c r="B20007" s="31"/>
      <c r="G20007" s="272" t="s">
        <v>1099</v>
      </c>
    </row>
    <row r="20008">
      <c r="B20008" s="31"/>
      <c r="G20008" s="272" t="s">
        <v>1099</v>
      </c>
    </row>
    <row r="20009">
      <c r="B20009" s="31"/>
      <c r="G20009" s="272" t="s">
        <v>1099</v>
      </c>
    </row>
    <row r="20010">
      <c r="B20010" s="31"/>
      <c r="G20010" s="272" t="s">
        <v>1099</v>
      </c>
    </row>
    <row r="20011">
      <c r="B20011" s="31"/>
      <c r="G20011" s="272" t="s">
        <v>1099</v>
      </c>
    </row>
    <row r="20012">
      <c r="B20012" s="31"/>
      <c r="G20012" s="272" t="s">
        <v>1099</v>
      </c>
    </row>
    <row r="20013">
      <c r="B20013" s="31"/>
      <c r="G20013" s="272" t="s">
        <v>1099</v>
      </c>
    </row>
    <row r="20014">
      <c r="B20014" s="31"/>
      <c r="G20014" s="272" t="s">
        <v>1099</v>
      </c>
    </row>
    <row r="20015">
      <c r="B20015" s="31"/>
      <c r="G20015" s="272" t="s">
        <v>1099</v>
      </c>
    </row>
    <row r="20016">
      <c r="B20016" s="31"/>
      <c r="G20016" s="272" t="s">
        <v>1099</v>
      </c>
    </row>
    <row r="20017">
      <c r="B20017" s="31"/>
      <c r="G20017" s="272" t="s">
        <v>1099</v>
      </c>
    </row>
    <row r="20018">
      <c r="B20018" s="31"/>
      <c r="G20018" s="272" t="s">
        <v>1099</v>
      </c>
    </row>
    <row r="20019">
      <c r="B20019" s="31"/>
      <c r="G20019" s="272" t="s">
        <v>1099</v>
      </c>
    </row>
    <row r="20020">
      <c r="B20020" s="31"/>
      <c r="G20020" s="272" t="s">
        <v>1099</v>
      </c>
    </row>
    <row r="20021">
      <c r="B20021" s="31"/>
      <c r="G20021" s="272" t="s">
        <v>1099</v>
      </c>
    </row>
    <row r="20022">
      <c r="B20022" s="31"/>
      <c r="G20022" s="272" t="s">
        <v>1099</v>
      </c>
    </row>
    <row r="20023">
      <c r="B20023" s="31"/>
      <c r="G20023" s="272" t="s">
        <v>1099</v>
      </c>
    </row>
    <row r="20024">
      <c r="B20024" s="31"/>
      <c r="G20024" s="272" t="s">
        <v>1099</v>
      </c>
    </row>
    <row r="20025">
      <c r="B20025" s="31"/>
      <c r="G20025" s="272" t="s">
        <v>1099</v>
      </c>
    </row>
    <row r="20026">
      <c r="B20026" s="31"/>
      <c r="G20026" s="272" t="s">
        <v>1099</v>
      </c>
    </row>
    <row r="20027">
      <c r="B20027" s="31"/>
      <c r="G20027" s="272" t="s">
        <v>1099</v>
      </c>
    </row>
    <row r="20028">
      <c r="B20028" s="31"/>
      <c r="G20028" s="272" t="s">
        <v>1099</v>
      </c>
    </row>
    <row r="20029">
      <c r="B20029" s="31"/>
      <c r="G20029" s="272" t="s">
        <v>1099</v>
      </c>
    </row>
    <row r="20030">
      <c r="B20030" s="31"/>
      <c r="G20030" s="272" t="s">
        <v>1099</v>
      </c>
    </row>
    <row r="20031">
      <c r="B20031" s="31"/>
      <c r="G20031" s="272" t="s">
        <v>1099</v>
      </c>
    </row>
    <row r="20032">
      <c r="B20032" s="31"/>
      <c r="G20032" s="272" t="s">
        <v>1099</v>
      </c>
    </row>
    <row r="20033">
      <c r="B20033" s="31"/>
      <c r="G20033" s="272" t="s">
        <v>1099</v>
      </c>
    </row>
    <row r="20034">
      <c r="B20034" s="31"/>
      <c r="G20034" s="272" t="s">
        <v>1099</v>
      </c>
    </row>
    <row r="20035">
      <c r="B20035" s="31"/>
      <c r="G20035" s="272" t="s">
        <v>1099</v>
      </c>
    </row>
    <row r="20036">
      <c r="B20036" s="31"/>
      <c r="G20036" s="272" t="s">
        <v>1099</v>
      </c>
    </row>
    <row r="20037">
      <c r="B20037" s="31"/>
      <c r="G20037" s="272" t="s">
        <v>1099</v>
      </c>
    </row>
    <row r="20038">
      <c r="B20038" s="31"/>
      <c r="G20038" s="272" t="s">
        <v>1099</v>
      </c>
    </row>
    <row r="20039">
      <c r="B20039" s="31"/>
      <c r="G20039" s="272" t="s">
        <v>1099</v>
      </c>
    </row>
    <row r="20040">
      <c r="B20040" s="31"/>
      <c r="G20040" s="272" t="s">
        <v>1099</v>
      </c>
    </row>
    <row r="20041">
      <c r="B20041" s="31"/>
      <c r="G20041" s="272" t="s">
        <v>1099</v>
      </c>
    </row>
    <row r="20042">
      <c r="B20042" s="31"/>
      <c r="G20042" s="272" t="s">
        <v>1099</v>
      </c>
    </row>
    <row r="20043">
      <c r="B20043" s="31"/>
      <c r="G20043" s="272" t="s">
        <v>1099</v>
      </c>
    </row>
    <row r="20044">
      <c r="B20044" s="31"/>
      <c r="G20044" s="272" t="s">
        <v>1099</v>
      </c>
    </row>
    <row r="20045">
      <c r="B20045" s="31"/>
      <c r="G20045" s="272" t="s">
        <v>1099</v>
      </c>
    </row>
    <row r="20046">
      <c r="B20046" s="31"/>
      <c r="G20046" s="272" t="s">
        <v>1099</v>
      </c>
    </row>
    <row r="20047">
      <c r="B20047" s="31"/>
      <c r="G20047" s="272" t="s">
        <v>1099</v>
      </c>
    </row>
    <row r="20048">
      <c r="B20048" s="31"/>
      <c r="G20048" s="272" t="s">
        <v>1099</v>
      </c>
    </row>
    <row r="20049">
      <c r="B20049" s="31"/>
      <c r="G20049" s="272" t="s">
        <v>1099</v>
      </c>
    </row>
    <row r="20050">
      <c r="B20050" s="31"/>
      <c r="G20050" s="272" t="s">
        <v>1099</v>
      </c>
    </row>
    <row r="20051">
      <c r="B20051" s="31"/>
      <c r="G20051" s="272" t="s">
        <v>1099</v>
      </c>
    </row>
    <row r="20052">
      <c r="B20052" s="31"/>
      <c r="G20052" s="272" t="s">
        <v>1099</v>
      </c>
    </row>
    <row r="20053">
      <c r="B20053" s="31"/>
      <c r="G20053" s="272" t="s">
        <v>1099</v>
      </c>
    </row>
    <row r="20054">
      <c r="B20054" s="31"/>
      <c r="G20054" s="272" t="s">
        <v>1099</v>
      </c>
    </row>
    <row r="20055">
      <c r="B20055" s="31"/>
      <c r="G20055" s="272" t="s">
        <v>1099</v>
      </c>
    </row>
    <row r="20056">
      <c r="B20056" s="31"/>
      <c r="G20056" s="272" t="s">
        <v>1099</v>
      </c>
    </row>
    <row r="20057">
      <c r="B20057" s="31"/>
      <c r="G20057" s="272" t="s">
        <v>1099</v>
      </c>
    </row>
    <row r="20058">
      <c r="B20058" s="31"/>
      <c r="G20058" s="272" t="s">
        <v>1099</v>
      </c>
    </row>
    <row r="20059">
      <c r="B20059" s="31"/>
      <c r="G20059" s="272" t="s">
        <v>1099</v>
      </c>
    </row>
    <row r="20060">
      <c r="B20060" s="31"/>
      <c r="G20060" s="272" t="s">
        <v>1099</v>
      </c>
    </row>
    <row r="20061">
      <c r="B20061" s="31"/>
      <c r="G20061" s="272" t="s">
        <v>1099</v>
      </c>
    </row>
    <row r="20062">
      <c r="B20062" s="31"/>
      <c r="G20062" s="272" t="s">
        <v>1099</v>
      </c>
    </row>
    <row r="20063">
      <c r="B20063" s="31"/>
      <c r="G20063" s="272" t="s">
        <v>1099</v>
      </c>
    </row>
    <row r="20064">
      <c r="B20064" s="31"/>
      <c r="G20064" s="272" t="s">
        <v>1099</v>
      </c>
    </row>
    <row r="20065">
      <c r="B20065" s="31"/>
      <c r="G20065" s="272" t="s">
        <v>1099</v>
      </c>
    </row>
    <row r="20066">
      <c r="B20066" s="31"/>
      <c r="G20066" s="272" t="s">
        <v>1099</v>
      </c>
    </row>
    <row r="20067">
      <c r="B20067" s="31"/>
      <c r="G20067" s="272" t="s">
        <v>1099</v>
      </c>
    </row>
    <row r="20068">
      <c r="B20068" s="31"/>
      <c r="G20068" s="272" t="s">
        <v>1099</v>
      </c>
    </row>
    <row r="20069">
      <c r="B20069" s="31"/>
      <c r="G20069" s="272" t="s">
        <v>1099</v>
      </c>
    </row>
    <row r="20070">
      <c r="B20070" s="31"/>
      <c r="G20070" s="272" t="s">
        <v>1099</v>
      </c>
    </row>
    <row r="20071">
      <c r="B20071" s="31"/>
      <c r="G20071" s="272" t="s">
        <v>1099</v>
      </c>
    </row>
    <row r="20072">
      <c r="B20072" s="31"/>
      <c r="G20072" s="272" t="s">
        <v>1099</v>
      </c>
    </row>
    <row r="20073">
      <c r="B20073" s="31"/>
      <c r="G20073" s="272" t="s">
        <v>1099</v>
      </c>
    </row>
    <row r="20074">
      <c r="B20074" s="31"/>
      <c r="G20074" s="272" t="s">
        <v>1099</v>
      </c>
    </row>
    <row r="20075">
      <c r="B20075" s="31"/>
      <c r="G20075" s="272" t="s">
        <v>1099</v>
      </c>
    </row>
    <row r="20076">
      <c r="B20076" s="31"/>
      <c r="G20076" s="272" t="s">
        <v>1099</v>
      </c>
    </row>
    <row r="20077">
      <c r="B20077" s="31"/>
      <c r="G20077" s="272" t="s">
        <v>1099</v>
      </c>
    </row>
    <row r="20078">
      <c r="B20078" s="31"/>
      <c r="G20078" s="272" t="s">
        <v>1099</v>
      </c>
    </row>
    <row r="20079">
      <c r="B20079" s="31"/>
      <c r="G20079" s="272" t="s">
        <v>1099</v>
      </c>
    </row>
    <row r="20080">
      <c r="B20080" s="31"/>
      <c r="G20080" s="272" t="s">
        <v>1099</v>
      </c>
    </row>
    <row r="20081">
      <c r="B20081" s="31"/>
      <c r="G20081" s="272" t="s">
        <v>1099</v>
      </c>
    </row>
    <row r="20082">
      <c r="B20082" s="31"/>
      <c r="G20082" s="272" t="s">
        <v>1099</v>
      </c>
    </row>
    <row r="20083">
      <c r="B20083" s="31"/>
      <c r="G20083" s="272" t="s">
        <v>1099</v>
      </c>
    </row>
    <row r="20084">
      <c r="B20084" s="31"/>
      <c r="G20084" s="272" t="s">
        <v>1099</v>
      </c>
    </row>
    <row r="20085">
      <c r="B20085" s="31"/>
      <c r="G20085" s="272" t="s">
        <v>1099</v>
      </c>
    </row>
    <row r="20086">
      <c r="B20086" s="31"/>
      <c r="G20086" s="272" t="s">
        <v>1099</v>
      </c>
    </row>
    <row r="20087">
      <c r="B20087" s="31"/>
      <c r="G20087" s="272" t="s">
        <v>1099</v>
      </c>
    </row>
    <row r="20088">
      <c r="B20088" s="31"/>
      <c r="G20088" s="272" t="s">
        <v>1099</v>
      </c>
    </row>
    <row r="20089">
      <c r="B20089" s="31"/>
      <c r="G20089" s="272" t="s">
        <v>1099</v>
      </c>
    </row>
    <row r="20090">
      <c r="B20090" s="31"/>
      <c r="G20090" s="272" t="s">
        <v>1099</v>
      </c>
    </row>
    <row r="20091">
      <c r="B20091" s="31"/>
      <c r="G20091" s="272" t="s">
        <v>1099</v>
      </c>
    </row>
    <row r="20092">
      <c r="B20092" s="31"/>
      <c r="G20092" s="272" t="s">
        <v>1099</v>
      </c>
    </row>
    <row r="20093">
      <c r="B20093" s="31"/>
      <c r="G20093" s="272" t="s">
        <v>1099</v>
      </c>
    </row>
    <row r="20094">
      <c r="B20094" s="31"/>
      <c r="G20094" s="272" t="s">
        <v>1099</v>
      </c>
    </row>
    <row r="20095">
      <c r="B20095" s="31"/>
      <c r="G20095" s="272" t="s">
        <v>1099</v>
      </c>
    </row>
    <row r="20096">
      <c r="B20096" s="31"/>
      <c r="G20096" s="272" t="s">
        <v>1099</v>
      </c>
    </row>
    <row r="20097">
      <c r="B20097" s="31"/>
      <c r="G20097" s="272" t="s">
        <v>1099</v>
      </c>
    </row>
    <row r="20098">
      <c r="B20098" s="31"/>
      <c r="G20098" s="272" t="s">
        <v>1099</v>
      </c>
    </row>
    <row r="20099">
      <c r="B20099" s="31"/>
      <c r="G20099" s="272" t="s">
        <v>1099</v>
      </c>
    </row>
    <row r="20100">
      <c r="B20100" s="31"/>
      <c r="G20100" s="272" t="s">
        <v>1099</v>
      </c>
    </row>
    <row r="20101">
      <c r="B20101" s="31"/>
      <c r="G20101" s="272" t="s">
        <v>1099</v>
      </c>
    </row>
    <row r="20102">
      <c r="B20102" s="31"/>
      <c r="G20102" s="272" t="s">
        <v>1099</v>
      </c>
    </row>
    <row r="20103">
      <c r="B20103" s="31"/>
      <c r="G20103" s="272" t="s">
        <v>1099</v>
      </c>
    </row>
    <row r="20104">
      <c r="B20104" s="31"/>
      <c r="G20104" s="272" t="s">
        <v>1099</v>
      </c>
    </row>
    <row r="20105">
      <c r="B20105" s="31"/>
      <c r="G20105" s="272" t="s">
        <v>1099</v>
      </c>
    </row>
    <row r="20106">
      <c r="B20106" s="31"/>
      <c r="G20106" s="272" t="s">
        <v>1099</v>
      </c>
    </row>
    <row r="20107">
      <c r="B20107" s="31"/>
      <c r="G20107" s="272" t="s">
        <v>1099</v>
      </c>
    </row>
    <row r="20108">
      <c r="B20108" s="31"/>
      <c r="G20108" s="272" t="s">
        <v>1099</v>
      </c>
    </row>
    <row r="20109">
      <c r="B20109" s="31"/>
      <c r="G20109" s="272" t="s">
        <v>1099</v>
      </c>
    </row>
    <row r="20110">
      <c r="B20110" s="31"/>
      <c r="G20110" s="272" t="s">
        <v>1099</v>
      </c>
    </row>
    <row r="20111">
      <c r="B20111" s="31"/>
      <c r="G20111" s="272" t="s">
        <v>1099</v>
      </c>
    </row>
    <row r="20112">
      <c r="B20112" s="31"/>
      <c r="G20112" s="272" t="s">
        <v>1099</v>
      </c>
    </row>
    <row r="20113">
      <c r="B20113" s="31"/>
      <c r="G20113" s="272" t="s">
        <v>1099</v>
      </c>
    </row>
    <row r="20114">
      <c r="B20114" s="31"/>
      <c r="G20114" s="272" t="s">
        <v>1099</v>
      </c>
    </row>
    <row r="20115">
      <c r="B20115" s="31"/>
      <c r="G20115" s="272" t="s">
        <v>1099</v>
      </c>
    </row>
    <row r="20116">
      <c r="B20116" s="31"/>
      <c r="G20116" s="272" t="s">
        <v>1099</v>
      </c>
    </row>
    <row r="20117">
      <c r="B20117" s="31"/>
      <c r="G20117" s="272" t="s">
        <v>1099</v>
      </c>
    </row>
    <row r="20118">
      <c r="B20118" s="31"/>
      <c r="G20118" s="272" t="s">
        <v>1099</v>
      </c>
    </row>
    <row r="20119">
      <c r="B20119" s="31"/>
      <c r="G20119" s="272" t="s">
        <v>1099</v>
      </c>
    </row>
    <row r="20120">
      <c r="B20120" s="31"/>
      <c r="G20120" s="272" t="s">
        <v>1099</v>
      </c>
    </row>
    <row r="20121">
      <c r="B20121" s="31"/>
      <c r="G20121" s="272" t="s">
        <v>1099</v>
      </c>
    </row>
    <row r="20122">
      <c r="B20122" s="31"/>
      <c r="G20122" s="272" t="s">
        <v>1099</v>
      </c>
    </row>
    <row r="20123">
      <c r="B20123" s="31"/>
      <c r="G20123" s="272" t="s">
        <v>1099</v>
      </c>
    </row>
    <row r="20124">
      <c r="B20124" s="31"/>
      <c r="G20124" s="272" t="s">
        <v>1099</v>
      </c>
    </row>
    <row r="20125">
      <c r="B20125" s="31"/>
      <c r="G20125" s="272" t="s">
        <v>1099</v>
      </c>
    </row>
    <row r="20126">
      <c r="B20126" s="31"/>
      <c r="G20126" s="272" t="s">
        <v>1099</v>
      </c>
    </row>
    <row r="20127">
      <c r="B20127" s="31"/>
      <c r="G20127" s="272" t="s">
        <v>1099</v>
      </c>
    </row>
    <row r="20128">
      <c r="B20128" s="31"/>
      <c r="G20128" s="272" t="s">
        <v>1099</v>
      </c>
    </row>
    <row r="20129">
      <c r="B20129" s="31"/>
      <c r="G20129" s="272" t="s">
        <v>1099</v>
      </c>
    </row>
    <row r="20130">
      <c r="B20130" s="31"/>
      <c r="G20130" s="272" t="s">
        <v>1099</v>
      </c>
    </row>
    <row r="20131">
      <c r="B20131" s="31"/>
      <c r="G20131" s="272" t="s">
        <v>1099</v>
      </c>
    </row>
    <row r="20132">
      <c r="B20132" s="31"/>
      <c r="G20132" s="272" t="s">
        <v>1099</v>
      </c>
    </row>
    <row r="20133">
      <c r="B20133" s="31"/>
      <c r="G20133" s="272" t="s">
        <v>1099</v>
      </c>
    </row>
    <row r="20134">
      <c r="B20134" s="31"/>
      <c r="G20134" s="272" t="s">
        <v>1099</v>
      </c>
    </row>
    <row r="20135">
      <c r="B20135" s="31"/>
      <c r="G20135" s="272" t="s">
        <v>1099</v>
      </c>
    </row>
    <row r="20136">
      <c r="B20136" s="31"/>
      <c r="G20136" s="272" t="s">
        <v>1099</v>
      </c>
    </row>
    <row r="20137">
      <c r="B20137" s="31"/>
      <c r="G20137" s="272" t="s">
        <v>1099</v>
      </c>
    </row>
    <row r="20138">
      <c r="B20138" s="31"/>
      <c r="G20138" s="272" t="s">
        <v>1099</v>
      </c>
    </row>
    <row r="20139">
      <c r="B20139" s="31"/>
      <c r="G20139" s="272" t="s">
        <v>1099</v>
      </c>
    </row>
    <row r="20140">
      <c r="B20140" s="31"/>
      <c r="G20140" s="272" t="s">
        <v>1099</v>
      </c>
    </row>
    <row r="20141">
      <c r="B20141" s="31"/>
      <c r="G20141" s="272" t="s">
        <v>1099</v>
      </c>
    </row>
    <row r="20142">
      <c r="B20142" s="31"/>
      <c r="G20142" s="272" t="s">
        <v>1099</v>
      </c>
    </row>
    <row r="20143">
      <c r="B20143" s="31"/>
      <c r="G20143" s="272" t="s">
        <v>1099</v>
      </c>
    </row>
    <row r="20144">
      <c r="B20144" s="31"/>
      <c r="G20144" s="272" t="s">
        <v>1099</v>
      </c>
    </row>
    <row r="20145">
      <c r="B20145" s="31"/>
      <c r="G20145" s="272" t="s">
        <v>1099</v>
      </c>
    </row>
    <row r="20146">
      <c r="B20146" s="31"/>
      <c r="G20146" s="272" t="s">
        <v>1099</v>
      </c>
    </row>
    <row r="20147">
      <c r="B20147" s="31"/>
      <c r="G20147" s="272" t="s">
        <v>1099</v>
      </c>
    </row>
    <row r="20148">
      <c r="B20148" s="31"/>
      <c r="G20148" s="272" t="s">
        <v>1099</v>
      </c>
    </row>
    <row r="20149">
      <c r="B20149" s="31"/>
      <c r="G20149" s="272" t="s">
        <v>1099</v>
      </c>
    </row>
    <row r="20150">
      <c r="B20150" s="31"/>
      <c r="G20150" s="272" t="s">
        <v>1099</v>
      </c>
    </row>
    <row r="20151">
      <c r="B20151" s="31"/>
      <c r="G20151" s="272" t="s">
        <v>1099</v>
      </c>
    </row>
    <row r="20152">
      <c r="B20152" s="31"/>
      <c r="G20152" s="272" t="s">
        <v>1099</v>
      </c>
    </row>
    <row r="20153">
      <c r="B20153" s="31"/>
      <c r="G20153" s="272" t="s">
        <v>1099</v>
      </c>
    </row>
    <row r="20154">
      <c r="B20154" s="31"/>
      <c r="G20154" s="272" t="s">
        <v>1099</v>
      </c>
    </row>
    <row r="20155">
      <c r="B20155" s="31"/>
      <c r="G20155" s="272" t="s">
        <v>1099</v>
      </c>
    </row>
    <row r="20156">
      <c r="B20156" s="31"/>
      <c r="G20156" s="272" t="s">
        <v>1099</v>
      </c>
    </row>
    <row r="20157">
      <c r="B20157" s="31"/>
      <c r="G20157" s="272" t="s">
        <v>1099</v>
      </c>
    </row>
    <row r="20158">
      <c r="B20158" s="31"/>
      <c r="G20158" s="272" t="s">
        <v>1099</v>
      </c>
    </row>
    <row r="20159">
      <c r="B20159" s="31"/>
      <c r="G20159" s="272" t="s">
        <v>1099</v>
      </c>
    </row>
    <row r="20160">
      <c r="B20160" s="31"/>
      <c r="G20160" s="272" t="s">
        <v>1099</v>
      </c>
    </row>
    <row r="20161">
      <c r="B20161" s="31"/>
      <c r="G20161" s="272" t="s">
        <v>1099</v>
      </c>
    </row>
    <row r="20162">
      <c r="B20162" s="31"/>
      <c r="G20162" s="272" t="s">
        <v>1099</v>
      </c>
    </row>
    <row r="20163">
      <c r="B20163" s="31"/>
      <c r="G20163" s="272" t="s">
        <v>1099</v>
      </c>
    </row>
    <row r="20164">
      <c r="B20164" s="31"/>
      <c r="G20164" s="272" t="s">
        <v>1099</v>
      </c>
    </row>
    <row r="20165">
      <c r="B20165" s="31"/>
      <c r="G20165" s="272" t="s">
        <v>1099</v>
      </c>
    </row>
    <row r="20166">
      <c r="B20166" s="31"/>
      <c r="G20166" s="272" t="s">
        <v>1099</v>
      </c>
    </row>
    <row r="20167">
      <c r="B20167" s="31"/>
      <c r="G20167" s="272" t="s">
        <v>1099</v>
      </c>
    </row>
    <row r="20168">
      <c r="B20168" s="31"/>
      <c r="G20168" s="272" t="s">
        <v>1099</v>
      </c>
    </row>
    <row r="20169">
      <c r="B20169" s="31"/>
      <c r="G20169" s="272" t="s">
        <v>1099</v>
      </c>
    </row>
    <row r="20170">
      <c r="B20170" s="31"/>
      <c r="G20170" s="272" t="s">
        <v>1099</v>
      </c>
    </row>
    <row r="20171">
      <c r="B20171" s="31"/>
      <c r="G20171" s="272" t="s">
        <v>1099</v>
      </c>
    </row>
    <row r="20172">
      <c r="B20172" s="31"/>
      <c r="G20172" s="272" t="s">
        <v>1099</v>
      </c>
    </row>
    <row r="20173">
      <c r="B20173" s="31"/>
      <c r="G20173" s="272" t="s">
        <v>1099</v>
      </c>
    </row>
    <row r="20174">
      <c r="B20174" s="31"/>
      <c r="G20174" s="272" t="s">
        <v>1099</v>
      </c>
    </row>
    <row r="20175">
      <c r="B20175" s="31"/>
      <c r="G20175" s="272" t="s">
        <v>1099</v>
      </c>
    </row>
    <row r="20176">
      <c r="B20176" s="31"/>
      <c r="G20176" s="272" t="s">
        <v>1099</v>
      </c>
    </row>
    <row r="20177">
      <c r="B20177" s="31"/>
      <c r="G20177" s="272" t="s">
        <v>1099</v>
      </c>
    </row>
    <row r="20178">
      <c r="B20178" s="31"/>
      <c r="G20178" s="272" t="s">
        <v>1099</v>
      </c>
    </row>
    <row r="20179">
      <c r="B20179" s="31"/>
      <c r="G20179" s="272" t="s">
        <v>1099</v>
      </c>
    </row>
    <row r="20180">
      <c r="B20180" s="31"/>
      <c r="G20180" s="272" t="s">
        <v>1099</v>
      </c>
    </row>
    <row r="20181">
      <c r="B20181" s="31"/>
      <c r="G20181" s="272" t="s">
        <v>1099</v>
      </c>
    </row>
    <row r="20182">
      <c r="B20182" s="31"/>
      <c r="G20182" s="272" t="s">
        <v>1099</v>
      </c>
    </row>
    <row r="20183">
      <c r="B20183" s="31"/>
      <c r="G20183" s="272" t="s">
        <v>1099</v>
      </c>
    </row>
    <row r="20184">
      <c r="B20184" s="31"/>
      <c r="G20184" s="272" t="s">
        <v>1099</v>
      </c>
    </row>
    <row r="20185">
      <c r="B20185" s="31"/>
      <c r="G20185" s="272" t="s">
        <v>1099</v>
      </c>
    </row>
    <row r="20186">
      <c r="B20186" s="31"/>
      <c r="G20186" s="272" t="s">
        <v>1099</v>
      </c>
    </row>
    <row r="20187">
      <c r="B20187" s="31"/>
      <c r="G20187" s="272" t="s">
        <v>1099</v>
      </c>
    </row>
    <row r="20188">
      <c r="B20188" s="31"/>
      <c r="G20188" s="272" t="s">
        <v>1099</v>
      </c>
    </row>
    <row r="20189">
      <c r="B20189" s="31"/>
      <c r="G20189" s="272" t="s">
        <v>1099</v>
      </c>
    </row>
    <row r="20190">
      <c r="B20190" s="31"/>
      <c r="G20190" s="272" t="s">
        <v>1099</v>
      </c>
    </row>
    <row r="20191">
      <c r="B20191" s="31"/>
      <c r="G20191" s="272" t="s">
        <v>1099</v>
      </c>
    </row>
    <row r="20192">
      <c r="B20192" s="31"/>
      <c r="G20192" s="272" t="s">
        <v>1099</v>
      </c>
    </row>
    <row r="20193">
      <c r="B20193" s="31"/>
      <c r="G20193" s="272" t="s">
        <v>1099</v>
      </c>
    </row>
    <row r="20194">
      <c r="B20194" s="31"/>
      <c r="G20194" s="272" t="s">
        <v>1099</v>
      </c>
    </row>
    <row r="20195">
      <c r="B20195" s="31"/>
      <c r="G20195" s="272" t="s">
        <v>1099</v>
      </c>
    </row>
    <row r="20196">
      <c r="B20196" s="31"/>
      <c r="G20196" s="272" t="s">
        <v>1099</v>
      </c>
    </row>
    <row r="20197">
      <c r="B20197" s="31"/>
      <c r="G20197" s="272" t="s">
        <v>1099</v>
      </c>
    </row>
    <row r="20198">
      <c r="B20198" s="31"/>
      <c r="G20198" s="272" t="s">
        <v>1099</v>
      </c>
    </row>
    <row r="20199">
      <c r="B20199" s="31"/>
      <c r="G20199" s="272" t="s">
        <v>1099</v>
      </c>
    </row>
    <row r="20200">
      <c r="B20200" s="31"/>
      <c r="G20200" s="272" t="s">
        <v>1099</v>
      </c>
    </row>
    <row r="20201">
      <c r="B20201" s="31"/>
      <c r="G20201" s="272" t="s">
        <v>1099</v>
      </c>
    </row>
    <row r="20202">
      <c r="B20202" s="31"/>
      <c r="G20202" s="272" t="s">
        <v>1099</v>
      </c>
    </row>
    <row r="20203">
      <c r="B20203" s="31"/>
      <c r="G20203" s="272" t="s">
        <v>1099</v>
      </c>
    </row>
    <row r="20204">
      <c r="B20204" s="31"/>
      <c r="G20204" s="272" t="s">
        <v>1099</v>
      </c>
    </row>
    <row r="20205">
      <c r="B20205" s="31"/>
      <c r="G20205" s="272" t="s">
        <v>1099</v>
      </c>
    </row>
    <row r="20206">
      <c r="B20206" s="31"/>
      <c r="G20206" s="272" t="s">
        <v>1099</v>
      </c>
    </row>
    <row r="20207">
      <c r="B20207" s="31"/>
      <c r="G20207" s="272" t="s">
        <v>1099</v>
      </c>
    </row>
    <row r="20208">
      <c r="B20208" s="31"/>
      <c r="G20208" s="272" t="s">
        <v>1099</v>
      </c>
    </row>
    <row r="20209">
      <c r="B20209" s="31"/>
      <c r="G20209" s="272" t="s">
        <v>1099</v>
      </c>
    </row>
    <row r="20210">
      <c r="B20210" s="31"/>
      <c r="G20210" s="272" t="s">
        <v>1099</v>
      </c>
    </row>
    <row r="20211">
      <c r="B20211" s="31"/>
      <c r="G20211" s="272" t="s">
        <v>1099</v>
      </c>
    </row>
    <row r="20212">
      <c r="B20212" s="31"/>
      <c r="G20212" s="272" t="s">
        <v>1099</v>
      </c>
    </row>
    <row r="20213">
      <c r="B20213" s="31"/>
      <c r="G20213" s="272" t="s">
        <v>1099</v>
      </c>
    </row>
    <row r="20214">
      <c r="B20214" s="31"/>
      <c r="G20214" s="272" t="s">
        <v>1099</v>
      </c>
    </row>
    <row r="20215">
      <c r="B20215" s="31"/>
      <c r="G20215" s="272" t="s">
        <v>1099</v>
      </c>
    </row>
    <row r="20216">
      <c r="B20216" s="31"/>
      <c r="G20216" s="272" t="s">
        <v>1099</v>
      </c>
    </row>
    <row r="20217">
      <c r="B20217" s="31"/>
      <c r="G20217" s="272" t="s">
        <v>1099</v>
      </c>
    </row>
    <row r="20218">
      <c r="B20218" s="31"/>
      <c r="G20218" s="272" t="s">
        <v>1099</v>
      </c>
    </row>
    <row r="20219">
      <c r="B20219" s="31"/>
      <c r="G20219" s="272" t="s">
        <v>1099</v>
      </c>
    </row>
    <row r="20220">
      <c r="B20220" s="31"/>
      <c r="G20220" s="272" t="s">
        <v>1099</v>
      </c>
    </row>
    <row r="20221">
      <c r="B20221" s="31"/>
      <c r="G20221" s="272" t="s">
        <v>1099</v>
      </c>
    </row>
    <row r="20222">
      <c r="B20222" s="31"/>
      <c r="G20222" s="272" t="s">
        <v>1099</v>
      </c>
    </row>
    <row r="20223">
      <c r="B20223" s="31"/>
      <c r="G20223" s="272" t="s">
        <v>1099</v>
      </c>
    </row>
    <row r="20224">
      <c r="B20224" s="31"/>
      <c r="G20224" s="272" t="s">
        <v>1099</v>
      </c>
    </row>
    <row r="20225">
      <c r="B20225" s="31"/>
      <c r="G20225" s="272" t="s">
        <v>1099</v>
      </c>
    </row>
    <row r="20226">
      <c r="B20226" s="31"/>
      <c r="G20226" s="272" t="s">
        <v>1099</v>
      </c>
    </row>
    <row r="20227">
      <c r="B20227" s="31"/>
      <c r="G20227" s="272" t="s">
        <v>1099</v>
      </c>
    </row>
    <row r="20228">
      <c r="B20228" s="31"/>
      <c r="G20228" s="272" t="s">
        <v>1099</v>
      </c>
    </row>
    <row r="20229">
      <c r="B20229" s="31"/>
      <c r="G20229" s="272" t="s">
        <v>1099</v>
      </c>
    </row>
    <row r="20230">
      <c r="B20230" s="31"/>
      <c r="G20230" s="272" t="s">
        <v>1099</v>
      </c>
    </row>
    <row r="20231">
      <c r="B20231" s="31"/>
      <c r="G20231" s="272" t="s">
        <v>1099</v>
      </c>
    </row>
    <row r="20232">
      <c r="B20232" s="31"/>
      <c r="G20232" s="272" t="s">
        <v>1099</v>
      </c>
    </row>
    <row r="20233">
      <c r="B20233" s="31"/>
      <c r="G20233" s="272" t="s">
        <v>1099</v>
      </c>
    </row>
    <row r="20234">
      <c r="B20234" s="31"/>
      <c r="G20234" s="272" t="s">
        <v>1099</v>
      </c>
    </row>
    <row r="20235">
      <c r="B20235" s="31"/>
      <c r="G20235" s="272" t="s">
        <v>1099</v>
      </c>
    </row>
    <row r="20236">
      <c r="B20236" s="31"/>
      <c r="G20236" s="272" t="s">
        <v>1099</v>
      </c>
    </row>
    <row r="20237">
      <c r="B20237" s="31"/>
      <c r="G20237" s="272" t="s">
        <v>1099</v>
      </c>
    </row>
    <row r="20238">
      <c r="B20238" s="31"/>
      <c r="G20238" s="272" t="s">
        <v>1099</v>
      </c>
    </row>
    <row r="20239">
      <c r="B20239" s="31"/>
      <c r="G20239" s="272" t="s">
        <v>1099</v>
      </c>
    </row>
    <row r="20240">
      <c r="B20240" s="31"/>
      <c r="G20240" s="272" t="s">
        <v>1099</v>
      </c>
    </row>
    <row r="20241">
      <c r="B20241" s="31"/>
      <c r="G20241" s="272" t="s">
        <v>1099</v>
      </c>
    </row>
    <row r="20242">
      <c r="B20242" s="31"/>
      <c r="G20242" s="272" t="s">
        <v>1099</v>
      </c>
    </row>
    <row r="20243">
      <c r="B20243" s="31"/>
      <c r="G20243" s="272" t="s">
        <v>1099</v>
      </c>
    </row>
    <row r="20244">
      <c r="B20244" s="31"/>
      <c r="G20244" s="272" t="s">
        <v>1099</v>
      </c>
    </row>
    <row r="20245">
      <c r="B20245" s="31"/>
      <c r="G20245" s="272" t="s">
        <v>1099</v>
      </c>
    </row>
    <row r="20246">
      <c r="B20246" s="31"/>
      <c r="G20246" s="272" t="s">
        <v>1099</v>
      </c>
    </row>
    <row r="20247">
      <c r="B20247" s="31"/>
      <c r="G20247" s="272" t="s">
        <v>1099</v>
      </c>
    </row>
    <row r="20248">
      <c r="B20248" s="31"/>
      <c r="G20248" s="272" t="s">
        <v>1099</v>
      </c>
    </row>
    <row r="20249">
      <c r="B20249" s="31"/>
      <c r="G20249" s="272" t="s">
        <v>1099</v>
      </c>
    </row>
    <row r="20250">
      <c r="B20250" s="31"/>
      <c r="G20250" s="272" t="s">
        <v>1099</v>
      </c>
    </row>
    <row r="20251">
      <c r="B20251" s="31"/>
      <c r="G20251" s="272" t="s">
        <v>1099</v>
      </c>
    </row>
    <row r="20252">
      <c r="B20252" s="31"/>
      <c r="G20252" s="272" t="s">
        <v>1099</v>
      </c>
    </row>
    <row r="20253">
      <c r="B20253" s="31"/>
      <c r="G20253" s="272" t="s">
        <v>1099</v>
      </c>
    </row>
    <row r="20254">
      <c r="B20254" s="31"/>
      <c r="G20254" s="272" t="s">
        <v>1099</v>
      </c>
    </row>
    <row r="20255">
      <c r="B20255" s="31"/>
      <c r="G20255" s="272" t="s">
        <v>1099</v>
      </c>
    </row>
    <row r="20256">
      <c r="B20256" s="31"/>
      <c r="G20256" s="272" t="s">
        <v>1099</v>
      </c>
    </row>
    <row r="20257">
      <c r="B20257" s="31"/>
      <c r="G20257" s="272" t="s">
        <v>1099</v>
      </c>
    </row>
    <row r="20258">
      <c r="B20258" s="31"/>
      <c r="G20258" s="272" t="s">
        <v>1099</v>
      </c>
    </row>
    <row r="20259">
      <c r="B20259" s="31"/>
      <c r="G20259" s="272" t="s">
        <v>1099</v>
      </c>
    </row>
    <row r="20260">
      <c r="B20260" s="31"/>
      <c r="G20260" s="272" t="s">
        <v>1099</v>
      </c>
    </row>
    <row r="20261">
      <c r="B20261" s="31"/>
      <c r="G20261" s="272" t="s">
        <v>1099</v>
      </c>
    </row>
    <row r="20262">
      <c r="B20262" s="31"/>
      <c r="G20262" s="272" t="s">
        <v>1099</v>
      </c>
    </row>
    <row r="20263">
      <c r="B20263" s="31"/>
      <c r="G20263" s="272" t="s">
        <v>1099</v>
      </c>
    </row>
    <row r="20264">
      <c r="B20264" s="31"/>
      <c r="G20264" s="272" t="s">
        <v>1099</v>
      </c>
    </row>
    <row r="20265">
      <c r="B20265" s="31"/>
      <c r="G20265" s="272" t="s">
        <v>1099</v>
      </c>
    </row>
    <row r="20266">
      <c r="B20266" s="31"/>
      <c r="G20266" s="272" t="s">
        <v>1099</v>
      </c>
    </row>
    <row r="20267">
      <c r="B20267" s="31"/>
      <c r="G20267" s="272" t="s">
        <v>1099</v>
      </c>
    </row>
    <row r="20268">
      <c r="B20268" s="31"/>
      <c r="G20268" s="272" t="s">
        <v>1099</v>
      </c>
    </row>
    <row r="20269">
      <c r="B20269" s="31"/>
      <c r="G20269" s="272" t="s">
        <v>1099</v>
      </c>
    </row>
    <row r="20270">
      <c r="B20270" s="31"/>
      <c r="G20270" s="272" t="s">
        <v>1099</v>
      </c>
    </row>
    <row r="20271">
      <c r="B20271" s="31"/>
      <c r="G20271" s="272" t="s">
        <v>1099</v>
      </c>
    </row>
    <row r="20272">
      <c r="B20272" s="31"/>
      <c r="G20272" s="272" t="s">
        <v>1099</v>
      </c>
    </row>
    <row r="20273">
      <c r="B20273" s="31"/>
      <c r="G20273" s="272" t="s">
        <v>1099</v>
      </c>
    </row>
    <row r="20274">
      <c r="B20274" s="31"/>
      <c r="G20274" s="272" t="s">
        <v>1099</v>
      </c>
    </row>
    <row r="20275">
      <c r="B20275" s="31"/>
      <c r="G20275" s="272" t="s">
        <v>1099</v>
      </c>
    </row>
    <row r="20276">
      <c r="B20276" s="31"/>
      <c r="G20276" s="272" t="s">
        <v>1099</v>
      </c>
    </row>
    <row r="20277">
      <c r="B20277" s="31"/>
      <c r="G20277" s="272" t="s">
        <v>1099</v>
      </c>
    </row>
    <row r="20278">
      <c r="B20278" s="31"/>
      <c r="G20278" s="272" t="s">
        <v>1099</v>
      </c>
    </row>
    <row r="20279">
      <c r="B20279" s="31"/>
      <c r="G20279" s="272" t="s">
        <v>1099</v>
      </c>
    </row>
    <row r="20280">
      <c r="B20280" s="31"/>
      <c r="G20280" s="272" t="s">
        <v>1099</v>
      </c>
    </row>
    <row r="20281">
      <c r="B20281" s="31"/>
      <c r="G20281" s="272" t="s">
        <v>1099</v>
      </c>
    </row>
    <row r="20282">
      <c r="B20282" s="31"/>
      <c r="G20282" s="272" t="s">
        <v>1099</v>
      </c>
    </row>
    <row r="20283">
      <c r="B20283" s="31"/>
      <c r="G20283" s="272" t="s">
        <v>1099</v>
      </c>
    </row>
    <row r="20284">
      <c r="B20284" s="31"/>
      <c r="G20284" s="272" t="s">
        <v>1099</v>
      </c>
    </row>
    <row r="20285">
      <c r="B20285" s="31"/>
      <c r="G20285" s="272" t="s">
        <v>1099</v>
      </c>
    </row>
    <row r="20286">
      <c r="B20286" s="31"/>
      <c r="G20286" s="272" t="s">
        <v>1099</v>
      </c>
    </row>
    <row r="20287">
      <c r="B20287" s="31"/>
      <c r="G20287" s="272" t="s">
        <v>1099</v>
      </c>
    </row>
    <row r="20288">
      <c r="B20288" s="31"/>
      <c r="G20288" s="272" t="s">
        <v>1099</v>
      </c>
    </row>
    <row r="20289">
      <c r="B20289" s="31"/>
      <c r="G20289" s="272" t="s">
        <v>1099</v>
      </c>
    </row>
    <row r="20290">
      <c r="B20290" s="31"/>
      <c r="G20290" s="272" t="s">
        <v>1099</v>
      </c>
    </row>
    <row r="20291">
      <c r="B20291" s="31"/>
      <c r="G20291" s="272" t="s">
        <v>1099</v>
      </c>
    </row>
    <row r="20292">
      <c r="B20292" s="31"/>
      <c r="G20292" s="272" t="s">
        <v>1099</v>
      </c>
    </row>
    <row r="20293">
      <c r="B20293" s="31"/>
      <c r="G20293" s="272" t="s">
        <v>1099</v>
      </c>
    </row>
    <row r="20294">
      <c r="B20294" s="31"/>
      <c r="G20294" s="272" t="s">
        <v>1099</v>
      </c>
    </row>
    <row r="20295">
      <c r="B20295" s="31"/>
      <c r="G20295" s="272" t="s">
        <v>1099</v>
      </c>
    </row>
    <row r="20296">
      <c r="B20296" s="31"/>
      <c r="G20296" s="272" t="s">
        <v>1099</v>
      </c>
    </row>
    <row r="20297">
      <c r="B20297" s="31"/>
      <c r="G20297" s="272" t="s">
        <v>1099</v>
      </c>
    </row>
    <row r="20298">
      <c r="B20298" s="31"/>
      <c r="G20298" s="272" t="s">
        <v>1099</v>
      </c>
    </row>
    <row r="20299">
      <c r="B20299" s="31"/>
      <c r="G20299" s="272" t="s">
        <v>1099</v>
      </c>
    </row>
    <row r="20300">
      <c r="B20300" s="31"/>
      <c r="G20300" s="272" t="s">
        <v>1099</v>
      </c>
    </row>
    <row r="20301">
      <c r="B20301" s="31"/>
      <c r="G20301" s="272" t="s">
        <v>1099</v>
      </c>
    </row>
    <row r="20302">
      <c r="B20302" s="31"/>
      <c r="G20302" s="272" t="s">
        <v>1099</v>
      </c>
    </row>
    <row r="20303">
      <c r="B20303" s="31"/>
      <c r="G20303" s="272" t="s">
        <v>1099</v>
      </c>
    </row>
    <row r="20304">
      <c r="B20304" s="31"/>
      <c r="G20304" s="272" t="s">
        <v>1099</v>
      </c>
    </row>
    <row r="20305">
      <c r="B20305" s="31"/>
      <c r="G20305" s="272" t="s">
        <v>1099</v>
      </c>
    </row>
    <row r="20306">
      <c r="B20306" s="31"/>
      <c r="G20306" s="272" t="s">
        <v>1099</v>
      </c>
    </row>
    <row r="20307">
      <c r="B20307" s="31"/>
      <c r="G20307" s="272" t="s">
        <v>1099</v>
      </c>
    </row>
    <row r="20308">
      <c r="B20308" s="31"/>
      <c r="G20308" s="272" t="s">
        <v>1099</v>
      </c>
    </row>
    <row r="20309">
      <c r="B20309" s="31"/>
      <c r="G20309" s="272" t="s">
        <v>1099</v>
      </c>
    </row>
    <row r="20310">
      <c r="B20310" s="31"/>
      <c r="G20310" s="272" t="s">
        <v>1099</v>
      </c>
    </row>
    <row r="20311">
      <c r="B20311" s="31"/>
      <c r="G20311" s="272" t="s">
        <v>1099</v>
      </c>
    </row>
    <row r="20312">
      <c r="B20312" s="31"/>
      <c r="G20312" s="272" t="s">
        <v>1099</v>
      </c>
    </row>
    <row r="20313">
      <c r="B20313" s="31"/>
      <c r="G20313" s="272" t="s">
        <v>1099</v>
      </c>
    </row>
    <row r="20314">
      <c r="B20314" s="31"/>
      <c r="G20314" s="272" t="s">
        <v>1099</v>
      </c>
    </row>
    <row r="20315">
      <c r="B20315" s="31"/>
      <c r="G20315" s="272" t="s">
        <v>1099</v>
      </c>
    </row>
    <row r="20316">
      <c r="B20316" s="31"/>
      <c r="G20316" s="272" t="s">
        <v>1099</v>
      </c>
    </row>
    <row r="20317">
      <c r="B20317" s="31"/>
      <c r="G20317" s="272" t="s">
        <v>1099</v>
      </c>
    </row>
    <row r="20318">
      <c r="B20318" s="31"/>
      <c r="G20318" s="272" t="s">
        <v>1099</v>
      </c>
    </row>
    <row r="20319">
      <c r="B20319" s="31"/>
      <c r="G20319" s="272" t="s">
        <v>1099</v>
      </c>
    </row>
    <row r="20320">
      <c r="B20320" s="31"/>
      <c r="G20320" s="272" t="s">
        <v>1099</v>
      </c>
    </row>
    <row r="20321">
      <c r="B20321" s="31"/>
      <c r="G20321" s="272" t="s">
        <v>1099</v>
      </c>
    </row>
    <row r="20322">
      <c r="B20322" s="31"/>
      <c r="G20322" s="272" t="s">
        <v>1099</v>
      </c>
    </row>
    <row r="20323">
      <c r="B20323" s="31"/>
      <c r="G20323" s="272" t="s">
        <v>1099</v>
      </c>
    </row>
    <row r="20324">
      <c r="B20324" s="31"/>
      <c r="G20324" s="272" t="s">
        <v>1099</v>
      </c>
    </row>
    <row r="20325">
      <c r="B20325" s="31"/>
      <c r="G20325" s="272" t="s">
        <v>1099</v>
      </c>
    </row>
    <row r="20326">
      <c r="B20326" s="31"/>
      <c r="G20326" s="272" t="s">
        <v>1099</v>
      </c>
    </row>
    <row r="20327">
      <c r="B20327" s="31"/>
      <c r="G20327" s="272" t="s">
        <v>1099</v>
      </c>
    </row>
    <row r="20328">
      <c r="B20328" s="31"/>
      <c r="G20328" s="272" t="s">
        <v>1099</v>
      </c>
    </row>
    <row r="20329">
      <c r="B20329" s="31"/>
      <c r="G20329" s="272" t="s">
        <v>1099</v>
      </c>
    </row>
    <row r="20330">
      <c r="B20330" s="31"/>
      <c r="G20330" s="272" t="s">
        <v>1099</v>
      </c>
    </row>
    <row r="20331">
      <c r="B20331" s="31"/>
      <c r="G20331" s="272" t="s">
        <v>1099</v>
      </c>
    </row>
    <row r="20332">
      <c r="B20332" s="31"/>
      <c r="G20332" s="272" t="s">
        <v>1099</v>
      </c>
    </row>
    <row r="20333">
      <c r="B20333" s="31"/>
      <c r="G20333" s="272" t="s">
        <v>1099</v>
      </c>
    </row>
    <row r="20334">
      <c r="B20334" s="31"/>
      <c r="G20334" s="272" t="s">
        <v>1099</v>
      </c>
    </row>
    <row r="20335">
      <c r="B20335" s="31"/>
      <c r="G20335" s="272" t="s">
        <v>1099</v>
      </c>
    </row>
    <row r="20336">
      <c r="B20336" s="31"/>
      <c r="G20336" s="272" t="s">
        <v>1099</v>
      </c>
    </row>
    <row r="20337">
      <c r="B20337" s="31"/>
      <c r="G20337" s="272" t="s">
        <v>1099</v>
      </c>
    </row>
    <row r="20338">
      <c r="B20338" s="31"/>
      <c r="G20338" s="272" t="s">
        <v>1099</v>
      </c>
    </row>
    <row r="20339">
      <c r="B20339" s="31"/>
      <c r="G20339" s="272" t="s">
        <v>1099</v>
      </c>
    </row>
    <row r="20340">
      <c r="B20340" s="31"/>
      <c r="G20340" s="272" t="s">
        <v>1099</v>
      </c>
    </row>
    <row r="20341">
      <c r="B20341" s="31"/>
      <c r="G20341" s="272" t="s">
        <v>1099</v>
      </c>
    </row>
    <row r="20342">
      <c r="B20342" s="31"/>
      <c r="G20342" s="272" t="s">
        <v>1099</v>
      </c>
    </row>
    <row r="20343">
      <c r="B20343" s="31"/>
      <c r="G20343" s="272" t="s">
        <v>1099</v>
      </c>
    </row>
    <row r="20344">
      <c r="B20344" s="31"/>
      <c r="G20344" s="272" t="s">
        <v>1099</v>
      </c>
    </row>
    <row r="20345">
      <c r="B20345" s="31"/>
      <c r="G20345" s="272" t="s">
        <v>1099</v>
      </c>
    </row>
    <row r="20346">
      <c r="B20346" s="31"/>
      <c r="G20346" s="272" t="s">
        <v>1099</v>
      </c>
    </row>
    <row r="20347">
      <c r="B20347" s="31"/>
      <c r="G20347" s="272" t="s">
        <v>1099</v>
      </c>
    </row>
    <row r="20348">
      <c r="B20348" s="31"/>
      <c r="G20348" s="272" t="s">
        <v>1099</v>
      </c>
    </row>
    <row r="20349">
      <c r="B20349" s="31"/>
      <c r="G20349" s="272" t="s">
        <v>1099</v>
      </c>
    </row>
    <row r="20350">
      <c r="B20350" s="31"/>
      <c r="G20350" s="272" t="s">
        <v>1099</v>
      </c>
    </row>
    <row r="20351">
      <c r="B20351" s="31"/>
      <c r="G20351" s="272" t="s">
        <v>1099</v>
      </c>
    </row>
    <row r="20352">
      <c r="B20352" s="31"/>
      <c r="G20352" s="272" t="s">
        <v>1099</v>
      </c>
    </row>
    <row r="20353">
      <c r="B20353" s="31"/>
      <c r="G20353" s="272" t="s">
        <v>1099</v>
      </c>
    </row>
    <row r="20354">
      <c r="B20354" s="31"/>
      <c r="G20354" s="272" t="s">
        <v>1099</v>
      </c>
    </row>
    <row r="20355">
      <c r="B20355" s="31"/>
      <c r="G20355" s="272" t="s">
        <v>1099</v>
      </c>
    </row>
    <row r="20356">
      <c r="B20356" s="31"/>
      <c r="G20356" s="272" t="s">
        <v>1099</v>
      </c>
    </row>
    <row r="20357">
      <c r="B20357" s="31"/>
      <c r="G20357" s="272" t="s">
        <v>1099</v>
      </c>
    </row>
    <row r="20358">
      <c r="B20358" s="31"/>
      <c r="G20358" s="272" t="s">
        <v>1099</v>
      </c>
    </row>
    <row r="20359">
      <c r="B20359" s="31"/>
      <c r="G20359" s="272" t="s">
        <v>1099</v>
      </c>
    </row>
    <row r="20360">
      <c r="B20360" s="31"/>
      <c r="G20360" s="272" t="s">
        <v>1099</v>
      </c>
    </row>
    <row r="20361">
      <c r="B20361" s="31"/>
      <c r="G20361" s="272" t="s">
        <v>1099</v>
      </c>
    </row>
    <row r="20362">
      <c r="B20362" s="31"/>
      <c r="G20362" s="272" t="s">
        <v>1099</v>
      </c>
    </row>
    <row r="20363">
      <c r="B20363" s="31"/>
      <c r="G20363" s="272" t="s">
        <v>1099</v>
      </c>
    </row>
    <row r="20364">
      <c r="B20364" s="31"/>
      <c r="G20364" s="272" t="s">
        <v>1099</v>
      </c>
    </row>
    <row r="20365">
      <c r="B20365" s="31"/>
      <c r="G20365" s="272" t="s">
        <v>1099</v>
      </c>
    </row>
    <row r="20366">
      <c r="B20366" s="31"/>
      <c r="G20366" s="272" t="s">
        <v>1099</v>
      </c>
    </row>
    <row r="20367">
      <c r="B20367" s="31"/>
      <c r="G20367" s="272" t="s">
        <v>1099</v>
      </c>
    </row>
    <row r="20368">
      <c r="B20368" s="31"/>
      <c r="G20368" s="272" t="s">
        <v>1099</v>
      </c>
    </row>
    <row r="20369">
      <c r="B20369" s="31"/>
      <c r="G20369" s="272" t="s">
        <v>1099</v>
      </c>
    </row>
    <row r="20370">
      <c r="B20370" s="31"/>
      <c r="G20370" s="272" t="s">
        <v>1099</v>
      </c>
    </row>
    <row r="20371">
      <c r="B20371" s="31"/>
      <c r="G20371" s="272" t="s">
        <v>1099</v>
      </c>
    </row>
    <row r="20372">
      <c r="B20372" s="31"/>
      <c r="G20372" s="272" t="s">
        <v>1099</v>
      </c>
    </row>
    <row r="20373">
      <c r="B20373" s="31"/>
      <c r="G20373" s="272" t="s">
        <v>1099</v>
      </c>
    </row>
    <row r="20374">
      <c r="B20374" s="31"/>
      <c r="G20374" s="272" t="s">
        <v>1099</v>
      </c>
    </row>
    <row r="20375">
      <c r="B20375" s="31"/>
      <c r="G20375" s="272" t="s">
        <v>1099</v>
      </c>
    </row>
    <row r="20376">
      <c r="B20376" s="31"/>
      <c r="G20376" s="272" t="s">
        <v>1099</v>
      </c>
    </row>
    <row r="20377">
      <c r="B20377" s="31"/>
      <c r="G20377" s="272" t="s">
        <v>1099</v>
      </c>
    </row>
    <row r="20378">
      <c r="B20378" s="31"/>
      <c r="G20378" s="272" t="s">
        <v>1099</v>
      </c>
    </row>
    <row r="20379">
      <c r="B20379" s="31"/>
      <c r="G20379" s="272" t="s">
        <v>1099</v>
      </c>
    </row>
    <row r="20380">
      <c r="B20380" s="31"/>
      <c r="G20380" s="272" t="s">
        <v>1099</v>
      </c>
    </row>
    <row r="20381">
      <c r="B20381" s="31"/>
      <c r="G20381" s="272" t="s">
        <v>1099</v>
      </c>
    </row>
    <row r="20382">
      <c r="B20382" s="31"/>
      <c r="G20382" s="272" t="s">
        <v>1099</v>
      </c>
    </row>
    <row r="20383">
      <c r="B20383" s="31"/>
      <c r="G20383" s="272" t="s">
        <v>1099</v>
      </c>
    </row>
    <row r="20384">
      <c r="B20384" s="31"/>
      <c r="G20384" s="272" t="s">
        <v>1099</v>
      </c>
    </row>
    <row r="20385">
      <c r="B20385" s="31"/>
      <c r="G20385" s="272" t="s">
        <v>1099</v>
      </c>
    </row>
    <row r="20386">
      <c r="B20386" s="31"/>
      <c r="G20386" s="272" t="s">
        <v>1099</v>
      </c>
    </row>
    <row r="20387">
      <c r="B20387" s="31"/>
      <c r="G20387" s="272" t="s">
        <v>1099</v>
      </c>
    </row>
    <row r="20388">
      <c r="B20388" s="31"/>
      <c r="G20388" s="272" t="s">
        <v>1099</v>
      </c>
    </row>
    <row r="20389">
      <c r="B20389" s="31"/>
      <c r="G20389" s="272" t="s">
        <v>1099</v>
      </c>
    </row>
    <row r="20390">
      <c r="B20390" s="31"/>
      <c r="G20390" s="272" t="s">
        <v>1099</v>
      </c>
    </row>
    <row r="20391">
      <c r="B20391" s="31"/>
      <c r="G20391" s="272" t="s">
        <v>1099</v>
      </c>
    </row>
    <row r="20392">
      <c r="B20392" s="31"/>
      <c r="G20392" s="272" t="s">
        <v>1099</v>
      </c>
    </row>
    <row r="20393">
      <c r="B20393" s="31"/>
      <c r="G20393" s="272" t="s">
        <v>1099</v>
      </c>
    </row>
    <row r="20394">
      <c r="B20394" s="31"/>
      <c r="G20394" s="272" t="s">
        <v>1099</v>
      </c>
    </row>
    <row r="20395">
      <c r="B20395" s="31"/>
      <c r="G20395" s="272" t="s">
        <v>1099</v>
      </c>
    </row>
    <row r="20396">
      <c r="B20396" s="31"/>
      <c r="G20396" s="272" t="s">
        <v>1099</v>
      </c>
    </row>
    <row r="20397">
      <c r="B20397" s="31"/>
      <c r="G20397" s="272" t="s">
        <v>1099</v>
      </c>
    </row>
    <row r="20398">
      <c r="B20398" s="31"/>
      <c r="G20398" s="272" t="s">
        <v>1099</v>
      </c>
    </row>
    <row r="20399">
      <c r="B20399" s="31"/>
      <c r="G20399" s="272" t="s">
        <v>1099</v>
      </c>
    </row>
    <row r="20400">
      <c r="B20400" s="31"/>
      <c r="G20400" s="272" t="s">
        <v>1099</v>
      </c>
    </row>
    <row r="20401">
      <c r="B20401" s="31"/>
      <c r="G20401" s="272" t="s">
        <v>1099</v>
      </c>
    </row>
    <row r="20402">
      <c r="B20402" s="31"/>
      <c r="G20402" s="272" t="s">
        <v>1099</v>
      </c>
    </row>
    <row r="20403">
      <c r="B20403" s="31"/>
      <c r="G20403" s="272" t="s">
        <v>1099</v>
      </c>
    </row>
    <row r="20404">
      <c r="B20404" s="31"/>
      <c r="G20404" s="272" t="s">
        <v>1099</v>
      </c>
    </row>
    <row r="20405">
      <c r="B20405" s="31"/>
      <c r="G20405" s="272" t="s">
        <v>1099</v>
      </c>
    </row>
    <row r="20406">
      <c r="B20406" s="31"/>
      <c r="G20406" s="272" t="s">
        <v>1099</v>
      </c>
    </row>
    <row r="20407">
      <c r="B20407" s="31"/>
      <c r="G20407" s="272" t="s">
        <v>1099</v>
      </c>
    </row>
    <row r="20408">
      <c r="B20408" s="31"/>
      <c r="G20408" s="272" t="s">
        <v>1099</v>
      </c>
    </row>
    <row r="20409">
      <c r="B20409" s="31"/>
      <c r="G20409" s="272" t="s">
        <v>1099</v>
      </c>
    </row>
    <row r="20410">
      <c r="B20410" s="31"/>
      <c r="G20410" s="272" t="s">
        <v>1099</v>
      </c>
    </row>
    <row r="20411">
      <c r="B20411" s="31"/>
      <c r="G20411" s="272" t="s">
        <v>1099</v>
      </c>
    </row>
    <row r="20412">
      <c r="B20412" s="31"/>
      <c r="G20412" s="272" t="s">
        <v>1099</v>
      </c>
    </row>
    <row r="20413">
      <c r="B20413" s="31"/>
      <c r="G20413" s="272" t="s">
        <v>1099</v>
      </c>
    </row>
    <row r="20414">
      <c r="B20414" s="31"/>
      <c r="G20414" s="272" t="s">
        <v>1099</v>
      </c>
    </row>
    <row r="20415">
      <c r="B20415" s="31"/>
      <c r="G20415" s="272" t="s">
        <v>1099</v>
      </c>
    </row>
    <row r="20416">
      <c r="B20416" s="31"/>
      <c r="G20416" s="272" t="s">
        <v>1099</v>
      </c>
    </row>
    <row r="20417">
      <c r="B20417" s="31"/>
      <c r="G20417" s="272" t="s">
        <v>1099</v>
      </c>
    </row>
    <row r="20418">
      <c r="B20418" s="31"/>
      <c r="G20418" s="272" t="s">
        <v>1099</v>
      </c>
    </row>
    <row r="20419">
      <c r="B20419" s="31"/>
      <c r="G20419" s="272" t="s">
        <v>1099</v>
      </c>
    </row>
    <row r="20420">
      <c r="B20420" s="31"/>
      <c r="G20420" s="272" t="s">
        <v>1099</v>
      </c>
    </row>
    <row r="20421">
      <c r="B20421" s="31"/>
      <c r="G20421" s="272" t="s">
        <v>1099</v>
      </c>
    </row>
    <row r="20422">
      <c r="B20422" s="31"/>
      <c r="G20422" s="272" t="s">
        <v>1099</v>
      </c>
    </row>
    <row r="20423">
      <c r="B20423" s="31"/>
      <c r="G20423" s="272" t="s">
        <v>1099</v>
      </c>
    </row>
    <row r="20424">
      <c r="B20424" s="31"/>
      <c r="G20424" s="272" t="s">
        <v>1099</v>
      </c>
    </row>
    <row r="20425">
      <c r="B20425" s="31"/>
      <c r="G20425" s="272" t="s">
        <v>1099</v>
      </c>
    </row>
    <row r="20426">
      <c r="B20426" s="31"/>
      <c r="G20426" s="272" t="s">
        <v>1099</v>
      </c>
    </row>
    <row r="20427">
      <c r="B20427" s="31"/>
      <c r="G20427" s="272" t="s">
        <v>1099</v>
      </c>
    </row>
    <row r="20428">
      <c r="B20428" s="31"/>
      <c r="G20428" s="272" t="s">
        <v>1099</v>
      </c>
    </row>
    <row r="20429">
      <c r="B20429" s="31"/>
      <c r="G20429" s="272" t="s">
        <v>1099</v>
      </c>
    </row>
    <row r="20430">
      <c r="B20430" s="31"/>
      <c r="G20430" s="272" t="s">
        <v>1099</v>
      </c>
    </row>
    <row r="20431">
      <c r="B20431" s="31"/>
      <c r="G20431" s="272" t="s">
        <v>1099</v>
      </c>
    </row>
    <row r="20432">
      <c r="B20432" s="31"/>
      <c r="G20432" s="272" t="s">
        <v>1099</v>
      </c>
    </row>
    <row r="20433">
      <c r="B20433" s="31"/>
      <c r="G20433" s="272" t="s">
        <v>1099</v>
      </c>
    </row>
    <row r="20434">
      <c r="B20434" s="31"/>
      <c r="G20434" s="272" t="s">
        <v>1099</v>
      </c>
    </row>
    <row r="20435">
      <c r="B20435" s="31"/>
      <c r="G20435" s="272" t="s">
        <v>1099</v>
      </c>
    </row>
    <row r="20436">
      <c r="B20436" s="31"/>
      <c r="G20436" s="272" t="s">
        <v>1099</v>
      </c>
    </row>
    <row r="20437">
      <c r="B20437" s="31"/>
      <c r="G20437" s="272" t="s">
        <v>1099</v>
      </c>
    </row>
    <row r="20438">
      <c r="B20438" s="31"/>
      <c r="G20438" s="272" t="s">
        <v>1099</v>
      </c>
    </row>
    <row r="20439">
      <c r="B20439" s="31"/>
      <c r="G20439" s="272" t="s">
        <v>1099</v>
      </c>
    </row>
    <row r="20440">
      <c r="B20440" s="31"/>
      <c r="G20440" s="272" t="s">
        <v>1099</v>
      </c>
    </row>
    <row r="20441">
      <c r="B20441" s="31"/>
      <c r="G20441" s="272" t="s">
        <v>1099</v>
      </c>
    </row>
    <row r="20442">
      <c r="B20442" s="31"/>
      <c r="G20442" s="272" t="s">
        <v>1099</v>
      </c>
    </row>
    <row r="20443">
      <c r="B20443" s="31"/>
      <c r="G20443" s="272" t="s">
        <v>1099</v>
      </c>
    </row>
    <row r="20444">
      <c r="B20444" s="31"/>
      <c r="G20444" s="272" t="s">
        <v>1099</v>
      </c>
    </row>
    <row r="20445">
      <c r="B20445" s="31"/>
      <c r="G20445" s="272" t="s">
        <v>1099</v>
      </c>
    </row>
    <row r="20446">
      <c r="B20446" s="31"/>
      <c r="G20446" s="272" t="s">
        <v>1099</v>
      </c>
    </row>
    <row r="20447">
      <c r="B20447" s="31"/>
      <c r="G20447" s="272" t="s">
        <v>1099</v>
      </c>
    </row>
    <row r="20448">
      <c r="B20448" s="31"/>
      <c r="G20448" s="272" t="s">
        <v>1099</v>
      </c>
    </row>
    <row r="20449">
      <c r="B20449" s="31"/>
      <c r="G20449" s="272" t="s">
        <v>1099</v>
      </c>
    </row>
    <row r="20450">
      <c r="B20450" s="31"/>
      <c r="G20450" s="272" t="s">
        <v>1099</v>
      </c>
    </row>
    <row r="20451">
      <c r="B20451" s="31"/>
      <c r="G20451" s="272" t="s">
        <v>1099</v>
      </c>
    </row>
    <row r="20452">
      <c r="B20452" s="31"/>
      <c r="G20452" s="272" t="s">
        <v>1099</v>
      </c>
    </row>
    <row r="20453">
      <c r="B20453" s="31"/>
      <c r="G20453" s="272" t="s">
        <v>1099</v>
      </c>
    </row>
    <row r="20454">
      <c r="B20454" s="31"/>
      <c r="G20454" s="272" t="s">
        <v>1099</v>
      </c>
    </row>
    <row r="20455">
      <c r="B20455" s="31"/>
      <c r="G20455" s="272" t="s">
        <v>1099</v>
      </c>
    </row>
    <row r="20456">
      <c r="B20456" s="31"/>
      <c r="G20456" s="272" t="s">
        <v>1099</v>
      </c>
    </row>
    <row r="20457">
      <c r="B20457" s="31"/>
      <c r="G20457" s="272" t="s">
        <v>1099</v>
      </c>
    </row>
    <row r="20458">
      <c r="B20458" s="31"/>
      <c r="G20458" s="272" t="s">
        <v>1099</v>
      </c>
    </row>
    <row r="20459">
      <c r="B20459" s="31"/>
      <c r="G20459" s="272" t="s">
        <v>1099</v>
      </c>
    </row>
    <row r="20460">
      <c r="B20460" s="31"/>
      <c r="G20460" s="272" t="s">
        <v>1099</v>
      </c>
    </row>
    <row r="20461">
      <c r="B20461" s="31"/>
      <c r="G20461" s="272" t="s">
        <v>1099</v>
      </c>
    </row>
    <row r="20462">
      <c r="B20462" s="31"/>
      <c r="G20462" s="272" t="s">
        <v>1099</v>
      </c>
    </row>
    <row r="20463">
      <c r="B20463" s="31"/>
      <c r="G20463" s="272" t="s">
        <v>1099</v>
      </c>
    </row>
    <row r="20464">
      <c r="B20464" s="31"/>
      <c r="G20464" s="272" t="s">
        <v>1099</v>
      </c>
    </row>
    <row r="20465">
      <c r="B20465" s="31"/>
      <c r="G20465" s="272" t="s">
        <v>1099</v>
      </c>
    </row>
    <row r="20466">
      <c r="B20466" s="31"/>
      <c r="G20466" s="272" t="s">
        <v>1099</v>
      </c>
    </row>
    <row r="20467">
      <c r="B20467" s="31"/>
      <c r="G20467" s="272" t="s">
        <v>1099</v>
      </c>
    </row>
    <row r="20468">
      <c r="B20468" s="31"/>
      <c r="G20468" s="272" t="s">
        <v>1099</v>
      </c>
    </row>
    <row r="20469">
      <c r="B20469" s="31"/>
      <c r="G20469" s="272" t="s">
        <v>1099</v>
      </c>
    </row>
    <row r="20470">
      <c r="B20470" s="31"/>
      <c r="G20470" s="272" t="s">
        <v>1099</v>
      </c>
    </row>
    <row r="20471">
      <c r="B20471" s="31"/>
      <c r="G20471" s="272" t="s">
        <v>1099</v>
      </c>
    </row>
    <row r="20472">
      <c r="B20472" s="31"/>
      <c r="G20472" s="272" t="s">
        <v>1099</v>
      </c>
    </row>
    <row r="20473">
      <c r="B20473" s="31"/>
      <c r="G20473" s="272" t="s">
        <v>1099</v>
      </c>
    </row>
    <row r="20474">
      <c r="B20474" s="31"/>
      <c r="G20474" s="272" t="s">
        <v>1099</v>
      </c>
    </row>
    <row r="20475">
      <c r="B20475" s="31"/>
      <c r="G20475" s="272" t="s">
        <v>1099</v>
      </c>
    </row>
    <row r="20476">
      <c r="B20476" s="31"/>
      <c r="G20476" s="272" t="s">
        <v>1099</v>
      </c>
    </row>
    <row r="20477">
      <c r="B20477" s="31"/>
      <c r="G20477" s="272" t="s">
        <v>1099</v>
      </c>
    </row>
    <row r="20478">
      <c r="B20478" s="31"/>
      <c r="G20478" s="272" t="s">
        <v>1099</v>
      </c>
    </row>
    <row r="20479">
      <c r="B20479" s="31"/>
      <c r="G20479" s="272" t="s">
        <v>1099</v>
      </c>
    </row>
    <row r="20480">
      <c r="B20480" s="31"/>
      <c r="G20480" s="272" t="s">
        <v>1099</v>
      </c>
    </row>
    <row r="20481">
      <c r="B20481" s="31"/>
      <c r="G20481" s="272" t="s">
        <v>1099</v>
      </c>
    </row>
    <row r="20482">
      <c r="B20482" s="31"/>
      <c r="G20482" s="272" t="s">
        <v>1099</v>
      </c>
    </row>
    <row r="20483">
      <c r="B20483" s="31"/>
      <c r="G20483" s="272" t="s">
        <v>1099</v>
      </c>
    </row>
    <row r="20484">
      <c r="B20484" s="31"/>
      <c r="G20484" s="272" t="s">
        <v>1099</v>
      </c>
    </row>
    <row r="20485">
      <c r="B20485" s="31"/>
      <c r="G20485" s="272" t="s">
        <v>1099</v>
      </c>
    </row>
    <row r="20486">
      <c r="B20486" s="31"/>
      <c r="G20486" s="272" t="s">
        <v>1099</v>
      </c>
    </row>
    <row r="20487">
      <c r="B20487" s="31"/>
      <c r="G20487" s="272" t="s">
        <v>1099</v>
      </c>
    </row>
    <row r="20488">
      <c r="B20488" s="31"/>
      <c r="G20488" s="272" t="s">
        <v>1099</v>
      </c>
    </row>
    <row r="20489">
      <c r="B20489" s="31"/>
      <c r="G20489" s="272" t="s">
        <v>1099</v>
      </c>
    </row>
    <row r="20490">
      <c r="B20490" s="31"/>
      <c r="G20490" s="272" t="s">
        <v>1099</v>
      </c>
    </row>
    <row r="20491">
      <c r="B20491" s="31"/>
      <c r="G20491" s="272" t="s">
        <v>1099</v>
      </c>
    </row>
    <row r="20492">
      <c r="B20492" s="31"/>
      <c r="G20492" s="272" t="s">
        <v>1099</v>
      </c>
    </row>
    <row r="20493">
      <c r="B20493" s="31"/>
      <c r="G20493" s="272" t="s">
        <v>1099</v>
      </c>
    </row>
    <row r="20494">
      <c r="B20494" s="31"/>
      <c r="G20494" s="272" t="s">
        <v>1099</v>
      </c>
    </row>
    <row r="20495">
      <c r="B20495" s="31"/>
      <c r="G20495" s="272" t="s">
        <v>1099</v>
      </c>
    </row>
    <row r="20496">
      <c r="B20496" s="31"/>
      <c r="G20496" s="272" t="s">
        <v>1099</v>
      </c>
    </row>
    <row r="20497">
      <c r="B20497" s="31"/>
      <c r="G20497" s="272" t="s">
        <v>1099</v>
      </c>
    </row>
    <row r="20498">
      <c r="B20498" s="31"/>
      <c r="G20498" s="272" t="s">
        <v>1099</v>
      </c>
    </row>
    <row r="20499">
      <c r="B20499" s="31"/>
      <c r="G20499" s="272" t="s">
        <v>1099</v>
      </c>
    </row>
    <row r="20500">
      <c r="B20500" s="31"/>
      <c r="G20500" s="272" t="s">
        <v>1099</v>
      </c>
    </row>
    <row r="20501">
      <c r="B20501" s="31"/>
      <c r="G20501" s="272" t="s">
        <v>1099</v>
      </c>
    </row>
    <row r="20502">
      <c r="B20502" s="31"/>
      <c r="G20502" s="272" t="s">
        <v>1099</v>
      </c>
    </row>
    <row r="20503">
      <c r="B20503" s="31"/>
      <c r="G20503" s="272" t="s">
        <v>1099</v>
      </c>
    </row>
    <row r="20504">
      <c r="B20504" s="31"/>
      <c r="G20504" s="272" t="s">
        <v>1099</v>
      </c>
    </row>
    <row r="20505">
      <c r="B20505" s="31"/>
      <c r="G20505" s="272" t="s">
        <v>1099</v>
      </c>
    </row>
    <row r="20506">
      <c r="B20506" s="31"/>
      <c r="G20506" s="272" t="s">
        <v>1099</v>
      </c>
    </row>
    <row r="20507">
      <c r="B20507" s="31"/>
      <c r="G20507" s="272" t="s">
        <v>1099</v>
      </c>
    </row>
    <row r="20508">
      <c r="B20508" s="31"/>
      <c r="G20508" s="272" t="s">
        <v>1099</v>
      </c>
    </row>
    <row r="20509">
      <c r="B20509" s="31"/>
      <c r="G20509" s="272" t="s">
        <v>1099</v>
      </c>
    </row>
    <row r="20510">
      <c r="B20510" s="31"/>
      <c r="G20510" s="272" t="s">
        <v>1099</v>
      </c>
    </row>
    <row r="20511">
      <c r="B20511" s="31"/>
      <c r="G20511" s="272" t="s">
        <v>1099</v>
      </c>
    </row>
    <row r="20512">
      <c r="B20512" s="31"/>
      <c r="G20512" s="272" t="s">
        <v>1099</v>
      </c>
    </row>
    <row r="20513">
      <c r="B20513" s="31"/>
      <c r="G20513" s="272" t="s">
        <v>1099</v>
      </c>
    </row>
    <row r="20514">
      <c r="B20514" s="31"/>
      <c r="G20514" s="272" t="s">
        <v>1099</v>
      </c>
    </row>
    <row r="20515">
      <c r="B20515" s="31"/>
      <c r="G20515" s="272" t="s">
        <v>1099</v>
      </c>
    </row>
    <row r="20516">
      <c r="B20516" s="31"/>
      <c r="G20516" s="272" t="s">
        <v>1099</v>
      </c>
    </row>
    <row r="20517">
      <c r="B20517" s="31"/>
      <c r="G20517" s="272" t="s">
        <v>1099</v>
      </c>
    </row>
    <row r="20518">
      <c r="B20518" s="31"/>
      <c r="G20518" s="272" t="s">
        <v>1099</v>
      </c>
    </row>
    <row r="20519">
      <c r="B20519" s="31"/>
      <c r="G20519" s="272" t="s">
        <v>1099</v>
      </c>
    </row>
    <row r="20520">
      <c r="B20520" s="31"/>
      <c r="G20520" s="272" t="s">
        <v>1099</v>
      </c>
    </row>
    <row r="20521">
      <c r="B20521" s="31"/>
      <c r="G20521" s="272" t="s">
        <v>1099</v>
      </c>
    </row>
    <row r="20522">
      <c r="B20522" s="31"/>
      <c r="G20522" s="272" t="s">
        <v>1099</v>
      </c>
    </row>
    <row r="20523">
      <c r="B20523" s="31"/>
      <c r="G20523" s="272" t="s">
        <v>1099</v>
      </c>
    </row>
    <row r="20524">
      <c r="B20524" s="31"/>
      <c r="G20524" s="272" t="s">
        <v>1099</v>
      </c>
    </row>
    <row r="20525">
      <c r="B20525" s="31"/>
      <c r="G20525" s="272" t="s">
        <v>1099</v>
      </c>
    </row>
    <row r="20526">
      <c r="B20526" s="31"/>
      <c r="G20526" s="272" t="s">
        <v>1099</v>
      </c>
    </row>
    <row r="20527">
      <c r="B20527" s="31"/>
      <c r="G20527" s="272" t="s">
        <v>1099</v>
      </c>
    </row>
    <row r="20528">
      <c r="B20528" s="31"/>
      <c r="G20528" s="272" t="s">
        <v>1099</v>
      </c>
    </row>
    <row r="20529">
      <c r="B20529" s="31"/>
      <c r="G20529" s="272" t="s">
        <v>1099</v>
      </c>
    </row>
    <row r="20530">
      <c r="B20530" s="31"/>
      <c r="G20530" s="272" t="s">
        <v>1099</v>
      </c>
    </row>
    <row r="20531">
      <c r="B20531" s="31"/>
      <c r="G20531" s="272" t="s">
        <v>1099</v>
      </c>
    </row>
    <row r="20532">
      <c r="B20532" s="31"/>
      <c r="G20532" s="272" t="s">
        <v>1099</v>
      </c>
    </row>
    <row r="20533">
      <c r="B20533" s="31"/>
      <c r="G20533" s="272" t="s">
        <v>1099</v>
      </c>
    </row>
    <row r="20534">
      <c r="B20534" s="31"/>
      <c r="G20534" s="272" t="s">
        <v>1099</v>
      </c>
    </row>
    <row r="20535">
      <c r="B20535" s="31"/>
      <c r="G20535" s="272" t="s">
        <v>1099</v>
      </c>
    </row>
    <row r="20536">
      <c r="B20536" s="31"/>
      <c r="G20536" s="272" t="s">
        <v>1099</v>
      </c>
    </row>
    <row r="20537">
      <c r="B20537" s="31"/>
      <c r="G20537" s="272" t="s">
        <v>1099</v>
      </c>
    </row>
    <row r="20538">
      <c r="B20538" s="31"/>
      <c r="G20538" s="272" t="s">
        <v>1099</v>
      </c>
    </row>
    <row r="20539">
      <c r="B20539" s="31"/>
      <c r="G20539" s="272" t="s">
        <v>1099</v>
      </c>
    </row>
    <row r="20540">
      <c r="B20540" s="31"/>
      <c r="G20540" s="272" t="s">
        <v>1099</v>
      </c>
    </row>
    <row r="20541">
      <c r="B20541" s="31"/>
      <c r="G20541" s="272" t="s">
        <v>1099</v>
      </c>
    </row>
    <row r="20542">
      <c r="B20542" s="31"/>
      <c r="G20542" s="272" t="s">
        <v>1099</v>
      </c>
    </row>
    <row r="20543">
      <c r="B20543" s="31"/>
      <c r="G20543" s="272" t="s">
        <v>1099</v>
      </c>
    </row>
    <row r="20544">
      <c r="B20544" s="31"/>
      <c r="G20544" s="272" t="s">
        <v>1099</v>
      </c>
    </row>
    <row r="20545">
      <c r="B20545" s="31"/>
      <c r="G20545" s="272" t="s">
        <v>1099</v>
      </c>
    </row>
    <row r="20546">
      <c r="B20546" s="31"/>
      <c r="G20546" s="272" t="s">
        <v>1099</v>
      </c>
    </row>
    <row r="20547">
      <c r="B20547" s="31"/>
      <c r="G20547" s="272" t="s">
        <v>1099</v>
      </c>
    </row>
    <row r="20548">
      <c r="B20548" s="31"/>
      <c r="G20548" s="272" t="s">
        <v>1099</v>
      </c>
    </row>
    <row r="20549">
      <c r="B20549" s="31"/>
      <c r="G20549" s="272" t="s">
        <v>1099</v>
      </c>
    </row>
    <row r="20550">
      <c r="B20550" s="31"/>
      <c r="G20550" s="272" t="s">
        <v>1099</v>
      </c>
    </row>
    <row r="20551">
      <c r="B20551" s="31"/>
      <c r="G20551" s="272" t="s">
        <v>1099</v>
      </c>
    </row>
    <row r="20552">
      <c r="B20552" s="31"/>
      <c r="G20552" s="272" t="s">
        <v>1099</v>
      </c>
    </row>
    <row r="20553">
      <c r="B20553" s="31"/>
      <c r="G20553" s="272" t="s">
        <v>1099</v>
      </c>
    </row>
    <row r="20554">
      <c r="B20554" s="31"/>
      <c r="G20554" s="272" t="s">
        <v>1099</v>
      </c>
    </row>
    <row r="20555">
      <c r="B20555" s="31"/>
      <c r="G20555" s="272" t="s">
        <v>1099</v>
      </c>
    </row>
    <row r="20556">
      <c r="B20556" s="31"/>
      <c r="G20556" s="272" t="s">
        <v>1099</v>
      </c>
    </row>
    <row r="20557">
      <c r="B20557" s="31"/>
      <c r="G20557" s="272" t="s">
        <v>1099</v>
      </c>
    </row>
    <row r="20558">
      <c r="B20558" s="31"/>
      <c r="G20558" s="272" t="s">
        <v>1099</v>
      </c>
    </row>
    <row r="20559">
      <c r="B20559" s="31"/>
      <c r="G20559" s="272" t="s">
        <v>1099</v>
      </c>
    </row>
    <row r="20560">
      <c r="B20560" s="31"/>
      <c r="G20560" s="272" t="s">
        <v>1099</v>
      </c>
    </row>
    <row r="20561">
      <c r="B20561" s="31"/>
      <c r="G20561" s="272" t="s">
        <v>1099</v>
      </c>
    </row>
    <row r="20562">
      <c r="B20562" s="31"/>
      <c r="G20562" s="272" t="s">
        <v>1099</v>
      </c>
    </row>
    <row r="20563">
      <c r="B20563" s="31"/>
      <c r="G20563" s="272" t="s">
        <v>1099</v>
      </c>
    </row>
    <row r="20564">
      <c r="B20564" s="31"/>
      <c r="G20564" s="272" t="s">
        <v>1099</v>
      </c>
    </row>
    <row r="20565">
      <c r="B20565" s="31"/>
      <c r="G20565" s="272" t="s">
        <v>1099</v>
      </c>
    </row>
    <row r="20566">
      <c r="B20566" s="31"/>
      <c r="G20566" s="272" t="s">
        <v>1099</v>
      </c>
    </row>
    <row r="20567">
      <c r="B20567" s="31"/>
      <c r="G20567" s="272" t="s">
        <v>1099</v>
      </c>
    </row>
    <row r="20568">
      <c r="B20568" s="31"/>
      <c r="G20568" s="272" t="s">
        <v>1099</v>
      </c>
    </row>
    <row r="20569">
      <c r="B20569" s="31"/>
      <c r="G20569" s="272" t="s">
        <v>1099</v>
      </c>
    </row>
    <row r="20570">
      <c r="B20570" s="31"/>
      <c r="G20570" s="272" t="s">
        <v>1099</v>
      </c>
    </row>
    <row r="20571">
      <c r="B20571" s="31"/>
      <c r="G20571" s="272" t="s">
        <v>1099</v>
      </c>
    </row>
    <row r="20572">
      <c r="B20572" s="31"/>
      <c r="G20572" s="272" t="s">
        <v>1099</v>
      </c>
    </row>
    <row r="20573">
      <c r="B20573" s="31"/>
      <c r="G20573" s="272" t="s">
        <v>1099</v>
      </c>
    </row>
    <row r="20574">
      <c r="B20574" s="31"/>
      <c r="G20574" s="272" t="s">
        <v>1099</v>
      </c>
    </row>
    <row r="20575">
      <c r="B20575" s="31"/>
      <c r="G20575" s="272" t="s">
        <v>1099</v>
      </c>
    </row>
    <row r="20576">
      <c r="B20576" s="31"/>
      <c r="G20576" s="272" t="s">
        <v>1099</v>
      </c>
    </row>
    <row r="20577">
      <c r="B20577" s="31"/>
      <c r="G20577" s="272" t="s">
        <v>1099</v>
      </c>
    </row>
    <row r="20578">
      <c r="B20578" s="31"/>
      <c r="G20578" s="272" t="s">
        <v>1099</v>
      </c>
    </row>
    <row r="20579">
      <c r="B20579" s="31"/>
      <c r="G20579" s="272" t="s">
        <v>1099</v>
      </c>
    </row>
    <row r="20580">
      <c r="B20580" s="31"/>
      <c r="G20580" s="272" t="s">
        <v>1099</v>
      </c>
    </row>
    <row r="20581">
      <c r="B20581" s="31"/>
      <c r="G20581" s="272" t="s">
        <v>1099</v>
      </c>
    </row>
    <row r="20582">
      <c r="B20582" s="31"/>
      <c r="G20582" s="272" t="s">
        <v>1099</v>
      </c>
    </row>
    <row r="20583">
      <c r="B20583" s="31"/>
      <c r="G20583" s="272" t="s">
        <v>1099</v>
      </c>
    </row>
    <row r="20584">
      <c r="B20584" s="31"/>
      <c r="G20584" s="272" t="s">
        <v>1099</v>
      </c>
    </row>
    <row r="20585">
      <c r="B20585" s="31"/>
      <c r="G20585" s="272" t="s">
        <v>1099</v>
      </c>
    </row>
    <row r="20586">
      <c r="B20586" s="31"/>
      <c r="G20586" s="272" t="s">
        <v>1099</v>
      </c>
    </row>
    <row r="20587">
      <c r="B20587" s="31"/>
      <c r="G20587" s="272" t="s">
        <v>1099</v>
      </c>
    </row>
    <row r="20588">
      <c r="B20588" s="31"/>
      <c r="G20588" s="272" t="s">
        <v>1099</v>
      </c>
    </row>
    <row r="20589">
      <c r="B20589" s="31"/>
      <c r="G20589" s="272" t="s">
        <v>1099</v>
      </c>
    </row>
    <row r="20590">
      <c r="B20590" s="31"/>
      <c r="G20590" s="272" t="s">
        <v>1099</v>
      </c>
    </row>
    <row r="20591">
      <c r="B20591" s="31"/>
      <c r="G20591" s="272" t="s">
        <v>1099</v>
      </c>
    </row>
    <row r="20592">
      <c r="B20592" s="31"/>
      <c r="G20592" s="272" t="s">
        <v>1099</v>
      </c>
    </row>
    <row r="20593">
      <c r="B20593" s="31"/>
      <c r="G20593" s="272" t="s">
        <v>1099</v>
      </c>
    </row>
    <row r="20594">
      <c r="B20594" s="31"/>
      <c r="G20594" s="272" t="s">
        <v>1099</v>
      </c>
    </row>
    <row r="20595">
      <c r="B20595" s="31"/>
      <c r="G20595" s="272" t="s">
        <v>1099</v>
      </c>
    </row>
    <row r="20596">
      <c r="B20596" s="31"/>
      <c r="G20596" s="272" t="s">
        <v>1099</v>
      </c>
    </row>
    <row r="20597">
      <c r="B20597" s="31"/>
      <c r="G20597" s="272" t="s">
        <v>1099</v>
      </c>
    </row>
    <row r="20598">
      <c r="B20598" s="31"/>
      <c r="G20598" s="272" t="s">
        <v>1099</v>
      </c>
    </row>
    <row r="20599">
      <c r="B20599" s="31"/>
      <c r="G20599" s="272" t="s">
        <v>1099</v>
      </c>
    </row>
    <row r="20600">
      <c r="B20600" s="31"/>
      <c r="G20600" s="272" t="s">
        <v>1099</v>
      </c>
    </row>
    <row r="20601">
      <c r="B20601" s="31"/>
      <c r="G20601" s="272" t="s">
        <v>1099</v>
      </c>
    </row>
    <row r="20602">
      <c r="B20602" s="31"/>
      <c r="G20602" s="272" t="s">
        <v>1099</v>
      </c>
    </row>
    <row r="20603">
      <c r="B20603" s="31"/>
      <c r="G20603" s="272" t="s">
        <v>1099</v>
      </c>
    </row>
    <row r="20604">
      <c r="B20604" s="31"/>
      <c r="G20604" s="272" t="s">
        <v>1099</v>
      </c>
    </row>
    <row r="20605">
      <c r="B20605" s="31"/>
      <c r="G20605" s="272" t="s">
        <v>1099</v>
      </c>
    </row>
    <row r="20606">
      <c r="B20606" s="31"/>
      <c r="G20606" s="272" t="s">
        <v>1099</v>
      </c>
    </row>
    <row r="20607">
      <c r="B20607" s="31"/>
      <c r="G20607" s="272" t="s">
        <v>1099</v>
      </c>
    </row>
    <row r="20608">
      <c r="B20608" s="31"/>
      <c r="G20608" s="272" t="s">
        <v>1099</v>
      </c>
    </row>
    <row r="20609">
      <c r="B20609" s="31"/>
      <c r="G20609" s="272" t="s">
        <v>1099</v>
      </c>
    </row>
    <row r="20610">
      <c r="B20610" s="31"/>
      <c r="G20610" s="272" t="s">
        <v>1099</v>
      </c>
    </row>
    <row r="20611">
      <c r="B20611" s="31"/>
      <c r="G20611" s="272" t="s">
        <v>1099</v>
      </c>
    </row>
    <row r="20612">
      <c r="B20612" s="31"/>
      <c r="G20612" s="272" t="s">
        <v>1099</v>
      </c>
    </row>
    <row r="20613">
      <c r="B20613" s="31"/>
      <c r="G20613" s="272" t="s">
        <v>1099</v>
      </c>
    </row>
    <row r="20614">
      <c r="B20614" s="31"/>
      <c r="G20614" s="272" t="s">
        <v>1099</v>
      </c>
    </row>
    <row r="20615">
      <c r="B20615" s="31"/>
      <c r="G20615" s="272" t="s">
        <v>1099</v>
      </c>
    </row>
    <row r="20616">
      <c r="B20616" s="31"/>
      <c r="G20616" s="272" t="s">
        <v>1099</v>
      </c>
    </row>
    <row r="20617">
      <c r="B20617" s="31"/>
      <c r="G20617" s="272" t="s">
        <v>1099</v>
      </c>
    </row>
    <row r="20618">
      <c r="B20618" s="31"/>
      <c r="G20618" s="272" t="s">
        <v>1099</v>
      </c>
    </row>
    <row r="20619">
      <c r="B20619" s="31"/>
      <c r="G20619" s="272" t="s">
        <v>1099</v>
      </c>
    </row>
    <row r="20620">
      <c r="B20620" s="31"/>
      <c r="G20620" s="272" t="s">
        <v>1099</v>
      </c>
    </row>
    <row r="20621">
      <c r="B20621" s="31"/>
      <c r="G20621" s="272" t="s">
        <v>1099</v>
      </c>
    </row>
    <row r="20622">
      <c r="B20622" s="31"/>
      <c r="G20622" s="272" t="s">
        <v>1099</v>
      </c>
    </row>
    <row r="20623">
      <c r="B20623" s="31"/>
      <c r="G20623" s="272" t="s">
        <v>1099</v>
      </c>
    </row>
    <row r="20624">
      <c r="B20624" s="31"/>
      <c r="G20624" s="272" t="s">
        <v>1099</v>
      </c>
    </row>
    <row r="20625">
      <c r="B20625" s="31"/>
      <c r="G20625" s="272" t="s">
        <v>1099</v>
      </c>
    </row>
    <row r="20626">
      <c r="B20626" s="31"/>
      <c r="G20626" s="272" t="s">
        <v>1099</v>
      </c>
    </row>
    <row r="20627">
      <c r="B20627" s="31"/>
      <c r="G20627" s="272" t="s">
        <v>1099</v>
      </c>
    </row>
    <row r="20628">
      <c r="B20628" s="31"/>
      <c r="G20628" s="272" t="s">
        <v>1099</v>
      </c>
    </row>
    <row r="20629">
      <c r="B20629" s="31"/>
      <c r="G20629" s="272" t="s">
        <v>1099</v>
      </c>
    </row>
    <row r="20630">
      <c r="B20630" s="31"/>
      <c r="G20630" s="272" t="s">
        <v>1099</v>
      </c>
    </row>
    <row r="20631">
      <c r="B20631" s="31"/>
      <c r="G20631" s="272" t="s">
        <v>1099</v>
      </c>
    </row>
    <row r="20632">
      <c r="B20632" s="31"/>
      <c r="G20632" s="272" t="s">
        <v>1099</v>
      </c>
    </row>
    <row r="20633">
      <c r="B20633" s="31"/>
      <c r="G20633" s="272" t="s">
        <v>1099</v>
      </c>
    </row>
    <row r="20634">
      <c r="B20634" s="31"/>
      <c r="G20634" s="272" t="s">
        <v>1099</v>
      </c>
    </row>
    <row r="20635">
      <c r="B20635" s="31"/>
      <c r="G20635" s="272" t="s">
        <v>1099</v>
      </c>
    </row>
    <row r="20636">
      <c r="B20636" s="31"/>
      <c r="G20636" s="272" t="s">
        <v>1099</v>
      </c>
    </row>
    <row r="20637">
      <c r="B20637" s="31"/>
      <c r="G20637" s="272" t="s">
        <v>1099</v>
      </c>
    </row>
    <row r="20638">
      <c r="B20638" s="31"/>
      <c r="G20638" s="272" t="s">
        <v>1099</v>
      </c>
    </row>
    <row r="20639">
      <c r="B20639" s="31"/>
      <c r="G20639" s="272" t="s">
        <v>1099</v>
      </c>
    </row>
    <row r="20640">
      <c r="B20640" s="31"/>
      <c r="G20640" s="272" t="s">
        <v>1099</v>
      </c>
    </row>
    <row r="20641">
      <c r="B20641" s="31"/>
      <c r="G20641" s="272" t="s">
        <v>1099</v>
      </c>
    </row>
    <row r="20642">
      <c r="B20642" s="31"/>
      <c r="G20642" s="272" t="s">
        <v>1099</v>
      </c>
    </row>
    <row r="20643">
      <c r="B20643" s="31"/>
      <c r="G20643" s="272" t="s">
        <v>1099</v>
      </c>
    </row>
    <row r="20644">
      <c r="B20644" s="31"/>
      <c r="G20644" s="272" t="s">
        <v>1099</v>
      </c>
    </row>
    <row r="20645">
      <c r="B20645" s="31"/>
      <c r="G20645" s="272" t="s">
        <v>1099</v>
      </c>
    </row>
    <row r="20646">
      <c r="B20646" s="31"/>
      <c r="G20646" s="272" t="s">
        <v>1099</v>
      </c>
    </row>
    <row r="20647">
      <c r="B20647" s="31"/>
      <c r="G20647" s="272" t="s">
        <v>1099</v>
      </c>
    </row>
    <row r="20648">
      <c r="B20648" s="31"/>
      <c r="G20648" s="272" t="s">
        <v>1099</v>
      </c>
    </row>
    <row r="20649">
      <c r="B20649" s="31"/>
      <c r="G20649" s="272" t="s">
        <v>1099</v>
      </c>
    </row>
    <row r="20650">
      <c r="B20650" s="31"/>
      <c r="G20650" s="272" t="s">
        <v>1099</v>
      </c>
    </row>
    <row r="20651">
      <c r="B20651" s="31"/>
      <c r="G20651" s="272" t="s">
        <v>1099</v>
      </c>
    </row>
    <row r="20652">
      <c r="B20652" s="31"/>
      <c r="G20652" s="272" t="s">
        <v>1099</v>
      </c>
    </row>
    <row r="20653">
      <c r="B20653" s="31"/>
      <c r="G20653" s="272" t="s">
        <v>1099</v>
      </c>
    </row>
    <row r="20654">
      <c r="B20654" s="31"/>
      <c r="G20654" s="272" t="s">
        <v>1099</v>
      </c>
    </row>
    <row r="20655">
      <c r="B20655" s="31"/>
      <c r="G20655" s="272" t="s">
        <v>1099</v>
      </c>
    </row>
    <row r="20656">
      <c r="B20656" s="31"/>
      <c r="G20656" s="272" t="s">
        <v>1099</v>
      </c>
    </row>
    <row r="20657">
      <c r="B20657" s="31"/>
      <c r="G20657" s="272" t="s">
        <v>1099</v>
      </c>
    </row>
    <row r="20658">
      <c r="B20658" s="31"/>
      <c r="G20658" s="272" t="s">
        <v>1099</v>
      </c>
    </row>
    <row r="20659">
      <c r="B20659" s="31"/>
      <c r="G20659" s="272" t="s">
        <v>1099</v>
      </c>
    </row>
    <row r="20660">
      <c r="B20660" s="31"/>
      <c r="G20660" s="272" t="s">
        <v>1099</v>
      </c>
    </row>
    <row r="20661">
      <c r="B20661" s="31"/>
      <c r="G20661" s="272" t="s">
        <v>1099</v>
      </c>
    </row>
    <row r="20662">
      <c r="B20662" s="31"/>
      <c r="G20662" s="272" t="s">
        <v>1099</v>
      </c>
    </row>
    <row r="20663">
      <c r="B20663" s="31"/>
      <c r="G20663" s="272" t="s">
        <v>1099</v>
      </c>
    </row>
    <row r="20664">
      <c r="B20664" s="31"/>
      <c r="G20664" s="272" t="s">
        <v>1099</v>
      </c>
    </row>
    <row r="20665">
      <c r="B20665" s="31"/>
      <c r="G20665" s="272" t="s">
        <v>1099</v>
      </c>
    </row>
    <row r="20666">
      <c r="B20666" s="31"/>
      <c r="G20666" s="272" t="s">
        <v>1099</v>
      </c>
    </row>
    <row r="20667">
      <c r="B20667" s="31"/>
      <c r="G20667" s="272" t="s">
        <v>1099</v>
      </c>
    </row>
    <row r="20668">
      <c r="B20668" s="31"/>
      <c r="G20668" s="272" t="s">
        <v>1099</v>
      </c>
    </row>
    <row r="20669">
      <c r="B20669" s="31"/>
      <c r="G20669" s="272" t="s">
        <v>1099</v>
      </c>
    </row>
    <row r="20670">
      <c r="B20670" s="31"/>
      <c r="G20670" s="272" t="s">
        <v>1099</v>
      </c>
    </row>
    <row r="20671">
      <c r="B20671" s="31"/>
      <c r="G20671" s="272" t="s">
        <v>1099</v>
      </c>
    </row>
    <row r="20672">
      <c r="B20672" s="31"/>
      <c r="G20672" s="272" t="s">
        <v>1099</v>
      </c>
    </row>
    <row r="20673">
      <c r="B20673" s="31"/>
      <c r="G20673" s="272" t="s">
        <v>1099</v>
      </c>
    </row>
    <row r="20674">
      <c r="B20674" s="31"/>
      <c r="G20674" s="272" t="s">
        <v>1099</v>
      </c>
    </row>
    <row r="20675">
      <c r="B20675" s="31"/>
      <c r="G20675" s="272" t="s">
        <v>1099</v>
      </c>
    </row>
    <row r="20676">
      <c r="B20676" s="31"/>
      <c r="G20676" s="272" t="s">
        <v>1099</v>
      </c>
    </row>
    <row r="20677">
      <c r="B20677" s="31"/>
      <c r="G20677" s="272" t="s">
        <v>1099</v>
      </c>
    </row>
    <row r="20678">
      <c r="B20678" s="31"/>
      <c r="G20678" s="272" t="s">
        <v>1099</v>
      </c>
    </row>
    <row r="20679">
      <c r="B20679" s="31"/>
      <c r="G20679" s="272" t="s">
        <v>1099</v>
      </c>
    </row>
    <row r="20680">
      <c r="B20680" s="31"/>
      <c r="G20680" s="272" t="s">
        <v>1099</v>
      </c>
    </row>
    <row r="20681">
      <c r="B20681" s="31"/>
      <c r="G20681" s="272" t="s">
        <v>1099</v>
      </c>
    </row>
    <row r="20682">
      <c r="B20682" s="31"/>
      <c r="G20682" s="272" t="s">
        <v>1099</v>
      </c>
    </row>
    <row r="20683">
      <c r="B20683" s="31"/>
      <c r="G20683" s="272" t="s">
        <v>1099</v>
      </c>
    </row>
    <row r="20684">
      <c r="B20684" s="31"/>
      <c r="G20684" s="272" t="s">
        <v>1099</v>
      </c>
    </row>
    <row r="20685">
      <c r="B20685" s="31"/>
      <c r="G20685" s="272" t="s">
        <v>1099</v>
      </c>
    </row>
    <row r="20686">
      <c r="B20686" s="31"/>
      <c r="G20686" s="272" t="s">
        <v>1099</v>
      </c>
    </row>
    <row r="20687">
      <c r="B20687" s="31"/>
      <c r="G20687" s="272" t="s">
        <v>1099</v>
      </c>
    </row>
    <row r="20688">
      <c r="B20688" s="31"/>
      <c r="G20688" s="272" t="s">
        <v>1099</v>
      </c>
    </row>
    <row r="20689">
      <c r="B20689" s="31"/>
      <c r="G20689" s="272" t="s">
        <v>1099</v>
      </c>
    </row>
    <row r="20690">
      <c r="B20690" s="31"/>
      <c r="G20690" s="272" t="s">
        <v>1099</v>
      </c>
    </row>
    <row r="20691">
      <c r="B20691" s="31"/>
      <c r="G20691" s="272" t="s">
        <v>1099</v>
      </c>
    </row>
    <row r="20692">
      <c r="B20692" s="31"/>
      <c r="G20692" s="272" t="s">
        <v>1099</v>
      </c>
    </row>
    <row r="20693">
      <c r="B20693" s="31"/>
      <c r="G20693" s="272" t="s">
        <v>1099</v>
      </c>
    </row>
    <row r="20694">
      <c r="B20694" s="31"/>
      <c r="G20694" s="272" t="s">
        <v>1099</v>
      </c>
    </row>
    <row r="20695">
      <c r="B20695" s="31"/>
      <c r="G20695" s="272" t="s">
        <v>1099</v>
      </c>
    </row>
    <row r="20696">
      <c r="B20696" s="31"/>
      <c r="G20696" s="272" t="s">
        <v>1099</v>
      </c>
    </row>
    <row r="20697">
      <c r="B20697" s="31"/>
      <c r="G20697" s="272" t="s">
        <v>1099</v>
      </c>
    </row>
    <row r="20698">
      <c r="B20698" s="31"/>
      <c r="G20698" s="272" t="s">
        <v>1099</v>
      </c>
    </row>
    <row r="20699">
      <c r="B20699" s="31"/>
      <c r="G20699" s="272" t="s">
        <v>1099</v>
      </c>
    </row>
    <row r="20700">
      <c r="B20700" s="31"/>
      <c r="G20700" s="272" t="s">
        <v>1099</v>
      </c>
    </row>
    <row r="20701">
      <c r="B20701" s="31"/>
      <c r="G20701" s="272" t="s">
        <v>1099</v>
      </c>
    </row>
    <row r="20702">
      <c r="B20702" s="31"/>
      <c r="G20702" s="272" t="s">
        <v>1099</v>
      </c>
    </row>
    <row r="20703">
      <c r="B20703" s="31"/>
      <c r="G20703" s="272" t="s">
        <v>1099</v>
      </c>
    </row>
    <row r="20704">
      <c r="B20704" s="31"/>
      <c r="G20704" s="272" t="s">
        <v>1099</v>
      </c>
    </row>
    <row r="20705">
      <c r="B20705" s="31"/>
      <c r="G20705" s="272" t="s">
        <v>1099</v>
      </c>
    </row>
    <row r="20706">
      <c r="B20706" s="31"/>
      <c r="G20706" s="272" t="s">
        <v>1099</v>
      </c>
    </row>
    <row r="20707">
      <c r="B20707" s="31"/>
      <c r="G20707" s="272" t="s">
        <v>1099</v>
      </c>
    </row>
    <row r="20708">
      <c r="B20708" s="31"/>
      <c r="G20708" s="272" t="s">
        <v>1099</v>
      </c>
    </row>
    <row r="20709">
      <c r="B20709" s="31"/>
      <c r="G20709" s="272" t="s">
        <v>1099</v>
      </c>
    </row>
    <row r="20710">
      <c r="B20710" s="31"/>
      <c r="G20710" s="272" t="s">
        <v>1099</v>
      </c>
    </row>
    <row r="20711">
      <c r="B20711" s="31"/>
      <c r="G20711" s="272" t="s">
        <v>1099</v>
      </c>
    </row>
    <row r="20712">
      <c r="B20712" s="31"/>
      <c r="G20712" s="272" t="s">
        <v>1099</v>
      </c>
    </row>
    <row r="20713">
      <c r="B20713" s="31"/>
      <c r="G20713" s="272" t="s">
        <v>1099</v>
      </c>
    </row>
    <row r="20714">
      <c r="B20714" s="31"/>
      <c r="G20714" s="272" t="s">
        <v>1099</v>
      </c>
    </row>
    <row r="20715">
      <c r="B20715" s="31"/>
      <c r="G20715" s="272" t="s">
        <v>1099</v>
      </c>
    </row>
    <row r="20716">
      <c r="B20716" s="31"/>
      <c r="G20716" s="272" t="s">
        <v>1099</v>
      </c>
    </row>
    <row r="20717">
      <c r="B20717" s="31"/>
      <c r="G20717" s="272" t="s">
        <v>1099</v>
      </c>
    </row>
    <row r="20718">
      <c r="B20718" s="31"/>
      <c r="G20718" s="272" t="s">
        <v>1099</v>
      </c>
    </row>
    <row r="20719">
      <c r="B20719" s="31"/>
      <c r="G20719" s="272" t="s">
        <v>1099</v>
      </c>
    </row>
    <row r="20720">
      <c r="B20720" s="31"/>
      <c r="G20720" s="272" t="s">
        <v>1099</v>
      </c>
    </row>
    <row r="20721">
      <c r="B20721" s="31"/>
      <c r="G20721" s="272" t="s">
        <v>1099</v>
      </c>
    </row>
    <row r="20722">
      <c r="B20722" s="31"/>
      <c r="G20722" s="272" t="s">
        <v>1099</v>
      </c>
    </row>
    <row r="20723">
      <c r="B20723" s="31"/>
      <c r="G20723" s="272" t="s">
        <v>1099</v>
      </c>
    </row>
    <row r="20724">
      <c r="B20724" s="31"/>
      <c r="G20724" s="272" t="s">
        <v>1099</v>
      </c>
    </row>
    <row r="20725">
      <c r="B20725" s="31"/>
      <c r="G20725" s="272" t="s">
        <v>1099</v>
      </c>
    </row>
    <row r="20726">
      <c r="B20726" s="31"/>
      <c r="G20726" s="272" t="s">
        <v>1099</v>
      </c>
    </row>
    <row r="20727">
      <c r="B20727" s="31"/>
      <c r="G20727" s="272" t="s">
        <v>1099</v>
      </c>
    </row>
    <row r="20728">
      <c r="B20728" s="31"/>
      <c r="G20728" s="272" t="s">
        <v>1099</v>
      </c>
    </row>
    <row r="20729">
      <c r="B20729" s="31"/>
      <c r="G20729" s="272" t="s">
        <v>1099</v>
      </c>
    </row>
    <row r="20730">
      <c r="B20730" s="31"/>
      <c r="G20730" s="272" t="s">
        <v>1099</v>
      </c>
    </row>
    <row r="20731">
      <c r="B20731" s="31"/>
      <c r="G20731" s="272" t="s">
        <v>1099</v>
      </c>
    </row>
    <row r="20732">
      <c r="B20732" s="31"/>
      <c r="G20732" s="272" t="s">
        <v>1099</v>
      </c>
    </row>
    <row r="20733">
      <c r="B20733" s="31"/>
      <c r="G20733" s="272" t="s">
        <v>1099</v>
      </c>
    </row>
    <row r="20734">
      <c r="B20734" s="31"/>
      <c r="G20734" s="272" t="s">
        <v>1099</v>
      </c>
    </row>
    <row r="20735">
      <c r="B20735" s="31"/>
      <c r="G20735" s="272" t="s">
        <v>1099</v>
      </c>
    </row>
    <row r="20736">
      <c r="B20736" s="31"/>
      <c r="G20736" s="272" t="s">
        <v>1099</v>
      </c>
    </row>
    <row r="20737">
      <c r="B20737" s="31"/>
      <c r="G20737" s="272" t="s">
        <v>1099</v>
      </c>
    </row>
    <row r="20738">
      <c r="B20738" s="31"/>
      <c r="G20738" s="272" t="s">
        <v>1099</v>
      </c>
    </row>
    <row r="20739">
      <c r="B20739" s="31"/>
      <c r="G20739" s="272" t="s">
        <v>1099</v>
      </c>
    </row>
    <row r="20740">
      <c r="B20740" s="31"/>
      <c r="G20740" s="272" t="s">
        <v>1099</v>
      </c>
    </row>
    <row r="20741">
      <c r="B20741" s="31"/>
      <c r="G20741" s="272" t="s">
        <v>1099</v>
      </c>
    </row>
    <row r="20742">
      <c r="B20742" s="31"/>
      <c r="G20742" s="272" t="s">
        <v>1099</v>
      </c>
    </row>
    <row r="20743">
      <c r="B20743" s="31"/>
      <c r="G20743" s="272" t="s">
        <v>1099</v>
      </c>
    </row>
    <row r="20744">
      <c r="B20744" s="31"/>
      <c r="G20744" s="272" t="s">
        <v>1099</v>
      </c>
    </row>
    <row r="20745">
      <c r="B20745" s="31"/>
      <c r="G20745" s="272" t="s">
        <v>1099</v>
      </c>
    </row>
    <row r="20746">
      <c r="B20746" s="31"/>
      <c r="G20746" s="272" t="s">
        <v>1099</v>
      </c>
    </row>
    <row r="20747">
      <c r="B20747" s="31"/>
      <c r="G20747" s="272" t="s">
        <v>1099</v>
      </c>
    </row>
    <row r="20748">
      <c r="B20748" s="31"/>
      <c r="G20748" s="272" t="s">
        <v>1099</v>
      </c>
    </row>
    <row r="20749">
      <c r="B20749" s="31"/>
      <c r="G20749" s="272" t="s">
        <v>1099</v>
      </c>
    </row>
    <row r="20750">
      <c r="B20750" s="31"/>
      <c r="G20750" s="272" t="s">
        <v>1099</v>
      </c>
    </row>
    <row r="20751">
      <c r="B20751" s="31"/>
      <c r="G20751" s="272" t="s">
        <v>1099</v>
      </c>
    </row>
    <row r="20752">
      <c r="B20752" s="31"/>
      <c r="G20752" s="272" t="s">
        <v>1099</v>
      </c>
    </row>
    <row r="20753">
      <c r="B20753" s="31"/>
      <c r="G20753" s="272" t="s">
        <v>1099</v>
      </c>
    </row>
    <row r="20754">
      <c r="B20754" s="31"/>
      <c r="G20754" s="272" t="s">
        <v>1099</v>
      </c>
    </row>
    <row r="20755">
      <c r="B20755" s="31"/>
      <c r="G20755" s="272" t="s">
        <v>1099</v>
      </c>
    </row>
    <row r="20756">
      <c r="B20756" s="31"/>
      <c r="G20756" s="272" t="s">
        <v>1099</v>
      </c>
    </row>
    <row r="20757">
      <c r="B20757" s="31"/>
      <c r="G20757" s="272" t="s">
        <v>1099</v>
      </c>
    </row>
    <row r="20758">
      <c r="B20758" s="31"/>
      <c r="G20758" s="272" t="s">
        <v>1099</v>
      </c>
    </row>
    <row r="20759">
      <c r="B20759" s="31"/>
      <c r="G20759" s="272" t="s">
        <v>1099</v>
      </c>
    </row>
    <row r="20760">
      <c r="B20760" s="31"/>
      <c r="G20760" s="272" t="s">
        <v>1099</v>
      </c>
    </row>
    <row r="20761">
      <c r="B20761" s="31"/>
      <c r="G20761" s="272" t="s">
        <v>1099</v>
      </c>
    </row>
    <row r="20762">
      <c r="B20762" s="31"/>
      <c r="G20762" s="272" t="s">
        <v>1099</v>
      </c>
    </row>
    <row r="20763">
      <c r="B20763" s="31"/>
      <c r="G20763" s="272" t="s">
        <v>1099</v>
      </c>
    </row>
    <row r="20764">
      <c r="B20764" s="31"/>
      <c r="G20764" s="272" t="s">
        <v>1099</v>
      </c>
    </row>
    <row r="20765">
      <c r="B20765" s="31"/>
      <c r="G20765" s="272" t="s">
        <v>1099</v>
      </c>
    </row>
    <row r="20766">
      <c r="B20766" s="31"/>
      <c r="G20766" s="272" t="s">
        <v>1099</v>
      </c>
    </row>
    <row r="20767">
      <c r="B20767" s="31"/>
      <c r="G20767" s="272" t="s">
        <v>1099</v>
      </c>
    </row>
    <row r="20768">
      <c r="B20768" s="31"/>
      <c r="G20768" s="272" t="s">
        <v>1099</v>
      </c>
    </row>
    <row r="20769">
      <c r="B20769" s="31"/>
      <c r="G20769" s="272" t="s">
        <v>1099</v>
      </c>
    </row>
    <row r="20770">
      <c r="B20770" s="31"/>
      <c r="G20770" s="272" t="s">
        <v>1099</v>
      </c>
    </row>
    <row r="20771">
      <c r="B20771" s="31"/>
      <c r="G20771" s="272" t="s">
        <v>1099</v>
      </c>
    </row>
    <row r="20772">
      <c r="B20772" s="31"/>
      <c r="G20772" s="272" t="s">
        <v>1099</v>
      </c>
    </row>
    <row r="20773">
      <c r="B20773" s="31"/>
      <c r="G20773" s="272" t="s">
        <v>1099</v>
      </c>
    </row>
    <row r="20774">
      <c r="B20774" s="31"/>
      <c r="G20774" s="272" t="s">
        <v>1099</v>
      </c>
    </row>
    <row r="20775">
      <c r="B20775" s="31"/>
      <c r="G20775" s="272" t="s">
        <v>1099</v>
      </c>
    </row>
    <row r="20776">
      <c r="B20776" s="31"/>
      <c r="G20776" s="272" t="s">
        <v>1099</v>
      </c>
    </row>
    <row r="20777">
      <c r="B20777" s="31"/>
      <c r="G20777" s="272" t="s">
        <v>1099</v>
      </c>
    </row>
    <row r="20778">
      <c r="B20778" s="31"/>
      <c r="G20778" s="272" t="s">
        <v>1099</v>
      </c>
    </row>
    <row r="20779">
      <c r="B20779" s="31"/>
      <c r="G20779" s="272" t="s">
        <v>1099</v>
      </c>
    </row>
    <row r="20780">
      <c r="B20780" s="31"/>
      <c r="G20780" s="272" t="s">
        <v>1099</v>
      </c>
    </row>
    <row r="20781">
      <c r="B20781" s="31"/>
      <c r="G20781" s="272" t="s">
        <v>1099</v>
      </c>
    </row>
    <row r="20782">
      <c r="B20782" s="31"/>
      <c r="G20782" s="272" t="s">
        <v>1099</v>
      </c>
    </row>
    <row r="20783">
      <c r="B20783" s="31"/>
      <c r="G20783" s="272" t="s">
        <v>1099</v>
      </c>
    </row>
    <row r="20784">
      <c r="B20784" s="31"/>
      <c r="G20784" s="272" t="s">
        <v>1099</v>
      </c>
    </row>
    <row r="20785">
      <c r="B20785" s="31"/>
      <c r="G20785" s="272" t="s">
        <v>1099</v>
      </c>
    </row>
    <row r="20786">
      <c r="B20786" s="31"/>
      <c r="G20786" s="272" t="s">
        <v>1099</v>
      </c>
    </row>
    <row r="20787">
      <c r="B20787" s="31"/>
      <c r="G20787" s="272" t="s">
        <v>1099</v>
      </c>
    </row>
    <row r="20788">
      <c r="B20788" s="31"/>
      <c r="G20788" s="272" t="s">
        <v>1099</v>
      </c>
    </row>
    <row r="20789">
      <c r="B20789" s="31"/>
      <c r="G20789" s="272" t="s">
        <v>1099</v>
      </c>
    </row>
    <row r="20790">
      <c r="B20790" s="31"/>
      <c r="G20790" s="272" t="s">
        <v>1099</v>
      </c>
    </row>
    <row r="20791">
      <c r="B20791" s="31"/>
      <c r="G20791" s="272" t="s">
        <v>1099</v>
      </c>
    </row>
    <row r="20792">
      <c r="B20792" s="31"/>
      <c r="G20792" s="272" t="s">
        <v>1099</v>
      </c>
    </row>
    <row r="20793">
      <c r="B20793" s="31"/>
      <c r="G20793" s="272" t="s">
        <v>1099</v>
      </c>
    </row>
    <row r="20794">
      <c r="B20794" s="31"/>
      <c r="G20794" s="272" t="s">
        <v>1099</v>
      </c>
    </row>
    <row r="20795">
      <c r="B20795" s="31"/>
      <c r="G20795" s="272" t="s">
        <v>1099</v>
      </c>
    </row>
    <row r="20796">
      <c r="B20796" s="31"/>
      <c r="G20796" s="272" t="s">
        <v>1099</v>
      </c>
    </row>
    <row r="20797">
      <c r="B20797" s="31"/>
      <c r="G20797" s="272" t="s">
        <v>1099</v>
      </c>
    </row>
    <row r="20798">
      <c r="B20798" s="31"/>
      <c r="G20798" s="272" t="s">
        <v>1099</v>
      </c>
    </row>
    <row r="20799">
      <c r="B20799" s="31"/>
      <c r="G20799" s="272" t="s">
        <v>1099</v>
      </c>
    </row>
    <row r="20800">
      <c r="B20800" s="31"/>
      <c r="G20800" s="272" t="s">
        <v>1099</v>
      </c>
    </row>
    <row r="20801">
      <c r="B20801" s="31"/>
      <c r="G20801" s="272" t="s">
        <v>1099</v>
      </c>
    </row>
    <row r="20802">
      <c r="B20802" s="31"/>
      <c r="G20802" s="272" t="s">
        <v>1099</v>
      </c>
    </row>
    <row r="20803">
      <c r="B20803" s="31"/>
      <c r="G20803" s="272" t="s">
        <v>1099</v>
      </c>
    </row>
    <row r="20804">
      <c r="B20804" s="31"/>
      <c r="G20804" s="272" t="s">
        <v>1099</v>
      </c>
    </row>
    <row r="20805">
      <c r="B20805" s="31"/>
      <c r="G20805" s="272" t="s">
        <v>1099</v>
      </c>
    </row>
    <row r="20806">
      <c r="B20806" s="31"/>
      <c r="G20806" s="272" t="s">
        <v>1099</v>
      </c>
    </row>
    <row r="20807">
      <c r="B20807" s="31"/>
      <c r="G20807" s="272" t="s">
        <v>1099</v>
      </c>
    </row>
    <row r="20808">
      <c r="B20808" s="31"/>
      <c r="G20808" s="272" t="s">
        <v>1099</v>
      </c>
    </row>
    <row r="20809">
      <c r="B20809" s="31"/>
      <c r="G20809" s="272" t="s">
        <v>1099</v>
      </c>
    </row>
    <row r="20810">
      <c r="B20810" s="31"/>
      <c r="G20810" s="272" t="s">
        <v>1099</v>
      </c>
    </row>
    <row r="20811">
      <c r="B20811" s="31"/>
      <c r="G20811" s="272" t="s">
        <v>1099</v>
      </c>
    </row>
    <row r="20812">
      <c r="B20812" s="31"/>
      <c r="G20812" s="272" t="s">
        <v>1099</v>
      </c>
    </row>
    <row r="20813">
      <c r="B20813" s="31"/>
      <c r="G20813" s="272" t="s">
        <v>1099</v>
      </c>
    </row>
    <row r="20814">
      <c r="B20814" s="31"/>
      <c r="G20814" s="272" t="s">
        <v>1099</v>
      </c>
    </row>
    <row r="20815">
      <c r="B20815" s="31"/>
      <c r="G20815" s="272" t="s">
        <v>1099</v>
      </c>
    </row>
    <row r="20816">
      <c r="B20816" s="31"/>
      <c r="G20816" s="272" t="s">
        <v>1099</v>
      </c>
    </row>
    <row r="20817">
      <c r="B20817" s="31"/>
      <c r="G20817" s="272" t="s">
        <v>1099</v>
      </c>
    </row>
    <row r="20818">
      <c r="B20818" s="31"/>
      <c r="G20818" s="272" t="s">
        <v>1099</v>
      </c>
    </row>
    <row r="20819">
      <c r="B20819" s="31"/>
      <c r="G20819" s="272" t="s">
        <v>1099</v>
      </c>
    </row>
    <row r="20820">
      <c r="B20820" s="31"/>
      <c r="G20820" s="272" t="s">
        <v>1099</v>
      </c>
    </row>
    <row r="20821">
      <c r="B20821" s="31"/>
      <c r="G20821" s="272" t="s">
        <v>1099</v>
      </c>
    </row>
    <row r="20822">
      <c r="B20822" s="31"/>
      <c r="G20822" s="272" t="s">
        <v>1099</v>
      </c>
    </row>
    <row r="20823">
      <c r="B20823" s="31"/>
      <c r="G20823" s="272" t="s">
        <v>1099</v>
      </c>
    </row>
    <row r="20824">
      <c r="B20824" s="31"/>
      <c r="G20824" s="272" t="s">
        <v>1099</v>
      </c>
    </row>
    <row r="20825">
      <c r="B20825" s="31"/>
      <c r="G20825" s="272" t="s">
        <v>1099</v>
      </c>
    </row>
    <row r="20826">
      <c r="B20826" s="31"/>
      <c r="G20826" s="272" t="s">
        <v>1099</v>
      </c>
    </row>
    <row r="20827">
      <c r="B20827" s="31"/>
      <c r="G20827" s="272" t="s">
        <v>1099</v>
      </c>
    </row>
    <row r="20828">
      <c r="B20828" s="31"/>
      <c r="G20828" s="272" t="s">
        <v>1099</v>
      </c>
    </row>
    <row r="20829">
      <c r="B20829" s="31"/>
      <c r="G20829" s="272" t="s">
        <v>1099</v>
      </c>
    </row>
    <row r="20830">
      <c r="B20830" s="31"/>
      <c r="G20830" s="272" t="s">
        <v>1099</v>
      </c>
    </row>
    <row r="20831">
      <c r="B20831" s="31"/>
      <c r="G20831" s="272" t="s">
        <v>1099</v>
      </c>
    </row>
    <row r="20832">
      <c r="B20832" s="31"/>
      <c r="G20832" s="272" t="s">
        <v>1099</v>
      </c>
    </row>
    <row r="20833">
      <c r="B20833" s="31"/>
      <c r="G20833" s="272" t="s">
        <v>1099</v>
      </c>
    </row>
    <row r="20834">
      <c r="B20834" s="31"/>
      <c r="G20834" s="272" t="s">
        <v>1099</v>
      </c>
    </row>
    <row r="20835">
      <c r="B20835" s="31"/>
      <c r="G20835" s="272" t="s">
        <v>1099</v>
      </c>
    </row>
    <row r="20836">
      <c r="B20836" s="31"/>
      <c r="G20836" s="272" t="s">
        <v>1099</v>
      </c>
    </row>
    <row r="20837">
      <c r="B20837" s="31"/>
      <c r="G20837" s="272" t="s">
        <v>1099</v>
      </c>
    </row>
    <row r="20838">
      <c r="B20838" s="31"/>
      <c r="G20838" s="272" t="s">
        <v>1099</v>
      </c>
    </row>
    <row r="20839">
      <c r="B20839" s="31"/>
      <c r="G20839" s="272" t="s">
        <v>1099</v>
      </c>
    </row>
    <row r="20840">
      <c r="B20840" s="31"/>
      <c r="G20840" s="272" t="s">
        <v>1099</v>
      </c>
    </row>
    <row r="20841">
      <c r="B20841" s="31"/>
      <c r="G20841" s="272" t="s">
        <v>1099</v>
      </c>
    </row>
    <row r="20842">
      <c r="B20842" s="31"/>
      <c r="G20842" s="272" t="s">
        <v>1099</v>
      </c>
    </row>
    <row r="20843">
      <c r="B20843" s="31"/>
      <c r="G20843" s="272" t="s">
        <v>1099</v>
      </c>
    </row>
    <row r="20844">
      <c r="B20844" s="31"/>
      <c r="G20844" s="272" t="s">
        <v>1099</v>
      </c>
    </row>
    <row r="20845">
      <c r="B20845" s="31"/>
      <c r="G20845" s="272" t="s">
        <v>1099</v>
      </c>
    </row>
    <row r="20846">
      <c r="B20846" s="31"/>
      <c r="G20846" s="272" t="s">
        <v>1099</v>
      </c>
    </row>
    <row r="20847">
      <c r="B20847" s="31"/>
      <c r="G20847" s="272" t="s">
        <v>1099</v>
      </c>
    </row>
    <row r="20848">
      <c r="B20848" s="31"/>
      <c r="G20848" s="272" t="s">
        <v>1099</v>
      </c>
    </row>
    <row r="20849">
      <c r="B20849" s="31"/>
      <c r="G20849" s="272" t="s">
        <v>1099</v>
      </c>
    </row>
    <row r="20850">
      <c r="B20850" s="31"/>
      <c r="G20850" s="272" t="s">
        <v>1099</v>
      </c>
    </row>
    <row r="20851">
      <c r="B20851" s="31"/>
      <c r="G20851" s="272" t="s">
        <v>1099</v>
      </c>
    </row>
    <row r="20852">
      <c r="B20852" s="31"/>
      <c r="G20852" s="272" t="s">
        <v>1099</v>
      </c>
    </row>
    <row r="20853">
      <c r="B20853" s="31"/>
      <c r="G20853" s="272" t="s">
        <v>1099</v>
      </c>
    </row>
    <row r="20854">
      <c r="B20854" s="31"/>
      <c r="G20854" s="272" t="s">
        <v>1099</v>
      </c>
    </row>
    <row r="20855">
      <c r="B20855" s="31"/>
      <c r="G20855" s="272" t="s">
        <v>1099</v>
      </c>
    </row>
    <row r="20856">
      <c r="B20856" s="31"/>
      <c r="G20856" s="272" t="s">
        <v>1099</v>
      </c>
    </row>
    <row r="20857">
      <c r="B20857" s="31"/>
      <c r="G20857" s="272" t="s">
        <v>1099</v>
      </c>
    </row>
    <row r="20858">
      <c r="B20858" s="31"/>
      <c r="G20858" s="272" t="s">
        <v>1099</v>
      </c>
    </row>
    <row r="20859">
      <c r="B20859" s="31"/>
      <c r="G20859" s="272" t="s">
        <v>1099</v>
      </c>
    </row>
    <row r="20860">
      <c r="B20860" s="31"/>
      <c r="G20860" s="272" t="s">
        <v>1099</v>
      </c>
    </row>
    <row r="20861">
      <c r="B20861" s="31"/>
      <c r="G20861" s="272" t="s">
        <v>1099</v>
      </c>
    </row>
    <row r="20862">
      <c r="B20862" s="31"/>
      <c r="G20862" s="272" t="s">
        <v>1099</v>
      </c>
    </row>
    <row r="20863">
      <c r="B20863" s="31"/>
      <c r="G20863" s="272" t="s">
        <v>1099</v>
      </c>
    </row>
    <row r="20864">
      <c r="B20864" s="31"/>
      <c r="G20864" s="272" t="s">
        <v>1099</v>
      </c>
    </row>
    <row r="20865">
      <c r="B20865" s="31"/>
      <c r="G20865" s="272" t="s">
        <v>1099</v>
      </c>
    </row>
    <row r="20866">
      <c r="B20866" s="31"/>
      <c r="G20866" s="272" t="s">
        <v>1099</v>
      </c>
    </row>
    <row r="20867">
      <c r="B20867" s="31"/>
      <c r="G20867" s="272" t="s">
        <v>1099</v>
      </c>
    </row>
    <row r="20868">
      <c r="B20868" s="31"/>
      <c r="G20868" s="272" t="s">
        <v>1099</v>
      </c>
    </row>
    <row r="20869">
      <c r="B20869" s="31"/>
      <c r="G20869" s="272" t="s">
        <v>1099</v>
      </c>
    </row>
    <row r="20870">
      <c r="B20870" s="31"/>
      <c r="G20870" s="272" t="s">
        <v>1099</v>
      </c>
    </row>
    <row r="20871">
      <c r="B20871" s="31"/>
      <c r="G20871" s="272" t="s">
        <v>1099</v>
      </c>
    </row>
    <row r="20872">
      <c r="B20872" s="31"/>
      <c r="G20872" s="272" t="s">
        <v>1099</v>
      </c>
    </row>
    <row r="20873">
      <c r="B20873" s="31"/>
      <c r="G20873" s="272" t="s">
        <v>1099</v>
      </c>
    </row>
    <row r="20874">
      <c r="B20874" s="31"/>
      <c r="G20874" s="272" t="s">
        <v>1099</v>
      </c>
    </row>
    <row r="20875">
      <c r="B20875" s="31"/>
      <c r="G20875" s="272" t="s">
        <v>1099</v>
      </c>
    </row>
    <row r="20876">
      <c r="B20876" s="31"/>
      <c r="G20876" s="272" t="s">
        <v>1099</v>
      </c>
    </row>
    <row r="20877">
      <c r="B20877" s="31"/>
      <c r="G20877" s="272" t="s">
        <v>1099</v>
      </c>
    </row>
    <row r="20878">
      <c r="B20878" s="31"/>
      <c r="G20878" s="272" t="s">
        <v>1099</v>
      </c>
    </row>
    <row r="20879">
      <c r="B20879" s="31"/>
      <c r="G20879" s="272" t="s">
        <v>1099</v>
      </c>
    </row>
    <row r="20880">
      <c r="B20880" s="31"/>
      <c r="G20880" s="272" t="s">
        <v>1099</v>
      </c>
    </row>
    <row r="20881">
      <c r="B20881" s="31"/>
      <c r="G20881" s="272" t="s">
        <v>1099</v>
      </c>
    </row>
    <row r="20882">
      <c r="B20882" s="31"/>
      <c r="G20882" s="272" t="s">
        <v>1099</v>
      </c>
    </row>
    <row r="20883">
      <c r="B20883" s="31"/>
      <c r="G20883" s="272" t="s">
        <v>1099</v>
      </c>
    </row>
    <row r="20884">
      <c r="B20884" s="31"/>
      <c r="G20884" s="272" t="s">
        <v>1099</v>
      </c>
    </row>
    <row r="20885">
      <c r="B20885" s="31"/>
      <c r="G20885" s="272" t="s">
        <v>1099</v>
      </c>
    </row>
    <row r="20886">
      <c r="B20886" s="31"/>
      <c r="G20886" s="272" t="s">
        <v>1099</v>
      </c>
    </row>
    <row r="20887">
      <c r="B20887" s="31"/>
      <c r="G20887" s="272" t="s">
        <v>1099</v>
      </c>
    </row>
    <row r="20888">
      <c r="B20888" s="31"/>
      <c r="G20888" s="272" t="s">
        <v>1099</v>
      </c>
    </row>
    <row r="20889">
      <c r="B20889" s="31"/>
      <c r="G20889" s="272" t="s">
        <v>1099</v>
      </c>
    </row>
    <row r="20890">
      <c r="B20890" s="31"/>
      <c r="G20890" s="272" t="s">
        <v>1099</v>
      </c>
    </row>
    <row r="20891">
      <c r="B20891" s="31"/>
      <c r="G20891" s="272" t="s">
        <v>1099</v>
      </c>
    </row>
    <row r="20892">
      <c r="B20892" s="31"/>
      <c r="G20892" s="272" t="s">
        <v>1099</v>
      </c>
    </row>
    <row r="20893">
      <c r="B20893" s="31"/>
      <c r="G20893" s="272" t="s">
        <v>1099</v>
      </c>
    </row>
    <row r="20894">
      <c r="B20894" s="31"/>
      <c r="G20894" s="272" t="s">
        <v>1099</v>
      </c>
    </row>
    <row r="20895">
      <c r="B20895" s="31"/>
      <c r="G20895" s="272" t="s">
        <v>1099</v>
      </c>
    </row>
    <row r="20896">
      <c r="B20896" s="31"/>
      <c r="G20896" s="272" t="s">
        <v>1099</v>
      </c>
    </row>
    <row r="20897">
      <c r="B20897" s="31"/>
      <c r="G20897" s="272" t="s">
        <v>1099</v>
      </c>
    </row>
    <row r="20898">
      <c r="B20898" s="31"/>
      <c r="G20898" s="272" t="s">
        <v>1099</v>
      </c>
    </row>
    <row r="20899">
      <c r="B20899" s="31"/>
      <c r="G20899" s="272" t="s">
        <v>1099</v>
      </c>
    </row>
    <row r="20900">
      <c r="B20900" s="31"/>
      <c r="G20900" s="272" t="s">
        <v>1099</v>
      </c>
    </row>
    <row r="20901">
      <c r="B20901" s="31"/>
      <c r="G20901" s="272" t="s">
        <v>1099</v>
      </c>
    </row>
    <row r="20902">
      <c r="B20902" s="31"/>
      <c r="G20902" s="272" t="s">
        <v>1099</v>
      </c>
    </row>
    <row r="20903">
      <c r="B20903" s="31"/>
      <c r="G20903" s="272" t="s">
        <v>1099</v>
      </c>
    </row>
    <row r="20904">
      <c r="B20904" s="31"/>
      <c r="G20904" s="272" t="s">
        <v>1099</v>
      </c>
    </row>
    <row r="20905">
      <c r="B20905" s="31"/>
      <c r="G20905" s="272" t="s">
        <v>1099</v>
      </c>
    </row>
    <row r="20906">
      <c r="B20906" s="31"/>
      <c r="G20906" s="272" t="s">
        <v>1099</v>
      </c>
    </row>
    <row r="20907">
      <c r="B20907" s="31"/>
      <c r="G20907" s="272" t="s">
        <v>1099</v>
      </c>
    </row>
    <row r="20908">
      <c r="B20908" s="31"/>
      <c r="G20908" s="272" t="s">
        <v>1099</v>
      </c>
    </row>
    <row r="20909">
      <c r="B20909" s="31"/>
      <c r="G20909" s="272" t="s">
        <v>1099</v>
      </c>
    </row>
    <row r="20910">
      <c r="B20910" s="31"/>
      <c r="G20910" s="272" t="s">
        <v>1099</v>
      </c>
    </row>
    <row r="20911">
      <c r="B20911" s="31"/>
      <c r="G20911" s="272" t="s">
        <v>1099</v>
      </c>
    </row>
    <row r="20912">
      <c r="B20912" s="31"/>
      <c r="G20912" s="272" t="s">
        <v>1099</v>
      </c>
    </row>
    <row r="20913">
      <c r="B20913" s="31"/>
      <c r="G20913" s="272" t="s">
        <v>1099</v>
      </c>
    </row>
    <row r="20914">
      <c r="B20914" s="31"/>
      <c r="G20914" s="272" t="s">
        <v>1099</v>
      </c>
    </row>
    <row r="20915">
      <c r="B20915" s="31"/>
      <c r="G20915" s="272" t="s">
        <v>1099</v>
      </c>
    </row>
    <row r="20916">
      <c r="B20916" s="31"/>
      <c r="G20916" s="272" t="s">
        <v>1099</v>
      </c>
    </row>
    <row r="20917">
      <c r="B20917" s="31"/>
      <c r="G20917" s="272" t="s">
        <v>1099</v>
      </c>
    </row>
    <row r="20918">
      <c r="B20918" s="31"/>
      <c r="G20918" s="272" t="s">
        <v>1099</v>
      </c>
    </row>
    <row r="20919">
      <c r="B20919" s="31"/>
      <c r="G20919" s="272" t="s">
        <v>1099</v>
      </c>
    </row>
    <row r="20920">
      <c r="B20920" s="31"/>
      <c r="G20920" s="272" t="s">
        <v>1099</v>
      </c>
    </row>
    <row r="20921">
      <c r="B20921" s="31"/>
      <c r="G20921" s="272" t="s">
        <v>1099</v>
      </c>
    </row>
    <row r="20922">
      <c r="B20922" s="31"/>
      <c r="G20922" s="272" t="s">
        <v>1099</v>
      </c>
    </row>
    <row r="20923">
      <c r="B20923" s="31"/>
      <c r="G20923" s="272" t="s">
        <v>1099</v>
      </c>
    </row>
    <row r="20924">
      <c r="B20924" s="31"/>
      <c r="G20924" s="272" t="s">
        <v>1099</v>
      </c>
    </row>
    <row r="20925">
      <c r="B20925" s="31"/>
      <c r="G20925" s="272" t="s">
        <v>1099</v>
      </c>
    </row>
    <row r="20926">
      <c r="B20926" s="31"/>
      <c r="G20926" s="272" t="s">
        <v>1099</v>
      </c>
    </row>
    <row r="20927">
      <c r="B20927" s="31"/>
      <c r="G20927" s="272" t="s">
        <v>1099</v>
      </c>
    </row>
    <row r="20928">
      <c r="B20928" s="31"/>
      <c r="G20928" s="272" t="s">
        <v>1099</v>
      </c>
    </row>
    <row r="20929">
      <c r="B20929" s="31"/>
      <c r="G20929" s="272" t="s">
        <v>1099</v>
      </c>
    </row>
    <row r="20930">
      <c r="B20930" s="31"/>
      <c r="G20930" s="272" t="s">
        <v>1099</v>
      </c>
    </row>
    <row r="20931">
      <c r="B20931" s="31"/>
      <c r="G20931" s="272" t="s">
        <v>1099</v>
      </c>
    </row>
    <row r="20932">
      <c r="B20932" s="31"/>
      <c r="G20932" s="272" t="s">
        <v>1099</v>
      </c>
    </row>
    <row r="20933">
      <c r="B20933" s="31"/>
      <c r="G20933" s="272" t="s">
        <v>1099</v>
      </c>
    </row>
    <row r="20934">
      <c r="B20934" s="31"/>
      <c r="G20934" s="272" t="s">
        <v>1099</v>
      </c>
    </row>
    <row r="20935">
      <c r="B20935" s="31"/>
      <c r="G20935" s="272" t="s">
        <v>1099</v>
      </c>
    </row>
    <row r="20936">
      <c r="B20936" s="31"/>
      <c r="G20936" s="272" t="s">
        <v>1099</v>
      </c>
    </row>
    <row r="20937">
      <c r="B20937" s="31"/>
      <c r="G20937" s="272" t="s">
        <v>1099</v>
      </c>
    </row>
    <row r="20938">
      <c r="B20938" s="31"/>
      <c r="G20938" s="272" t="s">
        <v>1099</v>
      </c>
    </row>
    <row r="20939">
      <c r="B20939" s="31"/>
      <c r="G20939" s="272" t="s">
        <v>1099</v>
      </c>
    </row>
    <row r="20940">
      <c r="B20940" s="31"/>
      <c r="G20940" s="272" t="s">
        <v>1099</v>
      </c>
    </row>
    <row r="20941">
      <c r="B20941" s="31"/>
      <c r="G20941" s="272" t="s">
        <v>1099</v>
      </c>
    </row>
    <row r="20942">
      <c r="B20942" s="31"/>
      <c r="G20942" s="272" t="s">
        <v>1099</v>
      </c>
    </row>
    <row r="20943">
      <c r="B20943" s="31"/>
      <c r="G20943" s="272" t="s">
        <v>1099</v>
      </c>
    </row>
    <row r="20944">
      <c r="B20944" s="31"/>
      <c r="G20944" s="272" t="s">
        <v>1099</v>
      </c>
    </row>
    <row r="20945">
      <c r="B20945" s="31"/>
      <c r="G20945" s="272" t="s">
        <v>1099</v>
      </c>
    </row>
    <row r="20946">
      <c r="B20946" s="31"/>
      <c r="G20946" s="272" t="s">
        <v>1099</v>
      </c>
    </row>
    <row r="20947">
      <c r="B20947" s="31"/>
      <c r="G20947" s="272" t="s">
        <v>1099</v>
      </c>
    </row>
    <row r="20948">
      <c r="B20948" s="31"/>
      <c r="G20948" s="272" t="s">
        <v>1099</v>
      </c>
    </row>
    <row r="20949">
      <c r="B20949" s="31"/>
      <c r="G20949" s="272" t="s">
        <v>1099</v>
      </c>
    </row>
    <row r="20950">
      <c r="B20950" s="31"/>
      <c r="G20950" s="272" t="s">
        <v>1099</v>
      </c>
    </row>
    <row r="20951">
      <c r="B20951" s="31"/>
      <c r="G20951" s="272" t="s">
        <v>1099</v>
      </c>
    </row>
    <row r="20952">
      <c r="B20952" s="31"/>
      <c r="G20952" s="272" t="s">
        <v>1099</v>
      </c>
    </row>
    <row r="20953">
      <c r="B20953" s="31"/>
      <c r="G20953" s="272" t="s">
        <v>1099</v>
      </c>
    </row>
    <row r="20954">
      <c r="B20954" s="31"/>
      <c r="G20954" s="272" t="s">
        <v>1099</v>
      </c>
    </row>
    <row r="20955">
      <c r="B20955" s="31"/>
      <c r="G20955" s="272" t="s">
        <v>1099</v>
      </c>
    </row>
    <row r="20956">
      <c r="B20956" s="31"/>
      <c r="G20956" s="272" t="s">
        <v>1099</v>
      </c>
    </row>
    <row r="20957">
      <c r="B20957" s="31"/>
      <c r="G20957" s="272" t="s">
        <v>1099</v>
      </c>
    </row>
    <row r="20958">
      <c r="B20958" s="31"/>
      <c r="G20958" s="272" t="s">
        <v>1099</v>
      </c>
    </row>
    <row r="20959">
      <c r="B20959" s="31"/>
      <c r="G20959" s="272" t="s">
        <v>1099</v>
      </c>
    </row>
    <row r="20960">
      <c r="B20960" s="31"/>
      <c r="G20960" s="272" t="s">
        <v>1099</v>
      </c>
    </row>
    <row r="20961">
      <c r="B20961" s="31"/>
      <c r="G20961" s="272" t="s">
        <v>1099</v>
      </c>
    </row>
    <row r="20962">
      <c r="B20962" s="31"/>
      <c r="G20962" s="272" t="s">
        <v>1099</v>
      </c>
    </row>
    <row r="20963">
      <c r="B20963" s="31"/>
      <c r="G20963" s="272" t="s">
        <v>1099</v>
      </c>
    </row>
    <row r="20964">
      <c r="B20964" s="31"/>
      <c r="G20964" s="272" t="s">
        <v>1099</v>
      </c>
    </row>
    <row r="20965">
      <c r="B20965" s="31"/>
      <c r="G20965" s="272" t="s">
        <v>1099</v>
      </c>
    </row>
    <row r="20966">
      <c r="B20966" s="31"/>
      <c r="G20966" s="272" t="s">
        <v>1099</v>
      </c>
    </row>
    <row r="20967">
      <c r="B20967" s="31"/>
      <c r="G20967" s="272" t="s">
        <v>1099</v>
      </c>
    </row>
    <row r="20968">
      <c r="B20968" s="31"/>
      <c r="G20968" s="272" t="s">
        <v>1099</v>
      </c>
    </row>
    <row r="20969">
      <c r="B20969" s="31"/>
      <c r="G20969" s="272" t="s">
        <v>1099</v>
      </c>
    </row>
    <row r="20970">
      <c r="B20970" s="31"/>
      <c r="G20970" s="272" t="s">
        <v>1099</v>
      </c>
    </row>
    <row r="20971">
      <c r="B20971" s="31"/>
      <c r="G20971" s="272" t="s">
        <v>1099</v>
      </c>
    </row>
    <row r="20972">
      <c r="B20972" s="31"/>
      <c r="G20972" s="272" t="s">
        <v>1099</v>
      </c>
    </row>
    <row r="20973">
      <c r="B20973" s="31"/>
      <c r="G20973" s="272" t="s">
        <v>1099</v>
      </c>
    </row>
    <row r="20974">
      <c r="B20974" s="31"/>
      <c r="G20974" s="272" t="s">
        <v>1099</v>
      </c>
    </row>
    <row r="20975">
      <c r="B20975" s="31"/>
      <c r="G20975" s="272" t="s">
        <v>1099</v>
      </c>
    </row>
    <row r="20976">
      <c r="B20976" s="31"/>
      <c r="G20976" s="272" t="s">
        <v>1099</v>
      </c>
    </row>
    <row r="20977">
      <c r="B20977" s="31"/>
      <c r="G20977" s="272" t="s">
        <v>1099</v>
      </c>
    </row>
    <row r="20978">
      <c r="B20978" s="31"/>
      <c r="G20978" s="272" t="s">
        <v>1099</v>
      </c>
    </row>
    <row r="20979">
      <c r="B20979" s="31"/>
      <c r="G20979" s="272" t="s">
        <v>1099</v>
      </c>
    </row>
    <row r="20980">
      <c r="B20980" s="31"/>
      <c r="G20980" s="272" t="s">
        <v>1099</v>
      </c>
    </row>
    <row r="20981">
      <c r="B20981" s="31"/>
      <c r="G20981" s="272" t="s">
        <v>1099</v>
      </c>
    </row>
    <row r="20982">
      <c r="B20982" s="31"/>
      <c r="G20982" s="272" t="s">
        <v>1099</v>
      </c>
    </row>
    <row r="20983">
      <c r="B20983" s="31"/>
      <c r="G20983" s="272" t="s">
        <v>1099</v>
      </c>
    </row>
    <row r="20984">
      <c r="B20984" s="31"/>
      <c r="G20984" s="272" t="s">
        <v>1099</v>
      </c>
    </row>
    <row r="20985">
      <c r="B20985" s="31"/>
      <c r="G20985" s="272" t="s">
        <v>1099</v>
      </c>
    </row>
    <row r="20986">
      <c r="B20986" s="31"/>
      <c r="G20986" s="272" t="s">
        <v>1099</v>
      </c>
    </row>
    <row r="20987">
      <c r="B20987" s="31"/>
      <c r="G20987" s="272" t="s">
        <v>1099</v>
      </c>
    </row>
    <row r="20988">
      <c r="B20988" s="31"/>
      <c r="G20988" s="272" t="s">
        <v>1099</v>
      </c>
    </row>
    <row r="20989">
      <c r="B20989" s="31"/>
      <c r="G20989" s="272" t="s">
        <v>1099</v>
      </c>
    </row>
    <row r="20990">
      <c r="B20990" s="31"/>
      <c r="G20990" s="272" t="s">
        <v>1099</v>
      </c>
    </row>
    <row r="20991">
      <c r="B20991" s="31"/>
      <c r="G20991" s="272" t="s">
        <v>1099</v>
      </c>
    </row>
    <row r="20992">
      <c r="B20992" s="31"/>
      <c r="G20992" s="272" t="s">
        <v>1099</v>
      </c>
    </row>
    <row r="20993">
      <c r="B20993" s="31"/>
      <c r="G20993" s="272" t="s">
        <v>1099</v>
      </c>
    </row>
    <row r="20994">
      <c r="B20994" s="31"/>
      <c r="G20994" s="272" t="s">
        <v>1099</v>
      </c>
    </row>
    <row r="20995">
      <c r="B20995" s="31"/>
      <c r="G20995" s="272" t="s">
        <v>1099</v>
      </c>
    </row>
    <row r="20996">
      <c r="B20996" s="31"/>
      <c r="G20996" s="272" t="s">
        <v>1099</v>
      </c>
    </row>
    <row r="20997">
      <c r="B20997" s="31"/>
      <c r="G20997" s="272" t="s">
        <v>1099</v>
      </c>
    </row>
    <row r="20998">
      <c r="B20998" s="31"/>
      <c r="G20998" s="272" t="s">
        <v>1099</v>
      </c>
    </row>
    <row r="20999">
      <c r="B20999" s="31"/>
      <c r="G20999" s="272" t="s">
        <v>1099</v>
      </c>
    </row>
    <row r="21000">
      <c r="B21000" s="31"/>
      <c r="G21000" s="272" t="s">
        <v>1099</v>
      </c>
    </row>
    <row r="21001">
      <c r="B21001" s="31"/>
      <c r="G21001" s="272" t="s">
        <v>1099</v>
      </c>
    </row>
    <row r="21002">
      <c r="B21002" s="31"/>
      <c r="G21002" s="272" t="s">
        <v>1099</v>
      </c>
    </row>
    <row r="21003">
      <c r="B21003" s="31"/>
      <c r="G21003" s="272" t="s">
        <v>1099</v>
      </c>
    </row>
    <row r="21004">
      <c r="B21004" s="31"/>
      <c r="G21004" s="272" t="s">
        <v>1099</v>
      </c>
    </row>
    <row r="21005">
      <c r="B21005" s="31"/>
      <c r="G21005" s="272" t="s">
        <v>1099</v>
      </c>
    </row>
    <row r="21006">
      <c r="B21006" s="31"/>
      <c r="G21006" s="272" t="s">
        <v>1099</v>
      </c>
    </row>
    <row r="21007">
      <c r="B21007" s="31"/>
      <c r="G21007" s="272" t="s">
        <v>1099</v>
      </c>
    </row>
    <row r="21008">
      <c r="B21008" s="31"/>
      <c r="G21008" s="272" t="s">
        <v>1099</v>
      </c>
    </row>
    <row r="21009">
      <c r="B21009" s="31"/>
      <c r="G21009" s="272" t="s">
        <v>1099</v>
      </c>
    </row>
    <row r="21010">
      <c r="B21010" s="31"/>
      <c r="G21010" s="272" t="s">
        <v>1099</v>
      </c>
    </row>
    <row r="21011">
      <c r="B21011" s="31"/>
      <c r="G21011" s="272" t="s">
        <v>1099</v>
      </c>
    </row>
    <row r="21012">
      <c r="B21012" s="31"/>
      <c r="G21012" s="272" t="s">
        <v>1099</v>
      </c>
    </row>
    <row r="21013">
      <c r="B21013" s="31"/>
      <c r="G21013" s="272" t="s">
        <v>1099</v>
      </c>
    </row>
    <row r="21014">
      <c r="B21014" s="31"/>
      <c r="G21014" s="272" t="s">
        <v>1099</v>
      </c>
    </row>
    <row r="21015">
      <c r="B21015" s="31"/>
      <c r="G21015" s="272" t="s">
        <v>1099</v>
      </c>
    </row>
    <row r="21016">
      <c r="B21016" s="31"/>
      <c r="G21016" s="272" t="s">
        <v>1099</v>
      </c>
    </row>
    <row r="21017">
      <c r="B21017" s="31"/>
      <c r="G21017" s="272" t="s">
        <v>1099</v>
      </c>
    </row>
    <row r="21018">
      <c r="B21018" s="31"/>
      <c r="G21018" s="272" t="s">
        <v>1099</v>
      </c>
    </row>
    <row r="21019">
      <c r="B21019" s="31"/>
      <c r="G21019" s="272" t="s">
        <v>1099</v>
      </c>
    </row>
    <row r="21020">
      <c r="B21020" s="31"/>
      <c r="G21020" s="272" t="s">
        <v>1099</v>
      </c>
    </row>
    <row r="21021">
      <c r="B21021" s="31"/>
      <c r="G21021" s="272" t="s">
        <v>1099</v>
      </c>
    </row>
    <row r="21022">
      <c r="B21022" s="31"/>
      <c r="G21022" s="272" t="s">
        <v>1099</v>
      </c>
    </row>
    <row r="21023">
      <c r="B21023" s="31"/>
      <c r="G21023" s="272" t="s">
        <v>1099</v>
      </c>
    </row>
    <row r="21024">
      <c r="B21024" s="31"/>
      <c r="G21024" s="272" t="s">
        <v>1099</v>
      </c>
    </row>
    <row r="21025">
      <c r="B21025" s="31"/>
      <c r="G21025" s="272" t="s">
        <v>1099</v>
      </c>
    </row>
    <row r="21026">
      <c r="B21026" s="31"/>
      <c r="G21026" s="272" t="s">
        <v>1099</v>
      </c>
    </row>
    <row r="21027">
      <c r="B21027" s="31"/>
      <c r="G21027" s="272" t="s">
        <v>1099</v>
      </c>
    </row>
    <row r="21028">
      <c r="B21028" s="31"/>
      <c r="G21028" s="272" t="s">
        <v>1099</v>
      </c>
    </row>
    <row r="21029">
      <c r="B21029" s="31"/>
      <c r="G21029" s="272" t="s">
        <v>1099</v>
      </c>
    </row>
    <row r="21030">
      <c r="B21030" s="31"/>
      <c r="G21030" s="272" t="s">
        <v>1099</v>
      </c>
    </row>
    <row r="21031">
      <c r="B21031" s="31"/>
      <c r="G21031" s="272" t="s">
        <v>1099</v>
      </c>
    </row>
    <row r="21032">
      <c r="B21032" s="31"/>
      <c r="G21032" s="272" t="s">
        <v>1099</v>
      </c>
    </row>
    <row r="21033">
      <c r="B21033" s="31"/>
      <c r="G21033" s="272" t="s">
        <v>1099</v>
      </c>
    </row>
    <row r="21034">
      <c r="B21034" s="31"/>
      <c r="G21034" s="272" t="s">
        <v>1099</v>
      </c>
    </row>
    <row r="21035">
      <c r="B21035" s="31"/>
      <c r="G21035" s="272" t="s">
        <v>1099</v>
      </c>
    </row>
    <row r="21036">
      <c r="B21036" s="31"/>
      <c r="G21036" s="272" t="s">
        <v>1099</v>
      </c>
    </row>
    <row r="21037">
      <c r="B21037" s="31"/>
      <c r="G21037" s="272" t="s">
        <v>1099</v>
      </c>
    </row>
    <row r="21038">
      <c r="B21038" s="31"/>
      <c r="G21038" s="272" t="s">
        <v>1099</v>
      </c>
    </row>
    <row r="21039">
      <c r="B21039" s="31"/>
      <c r="G21039" s="272" t="s">
        <v>1099</v>
      </c>
    </row>
    <row r="21040">
      <c r="B21040" s="31"/>
      <c r="G21040" s="272" t="s">
        <v>1099</v>
      </c>
    </row>
    <row r="21041">
      <c r="B21041" s="31"/>
      <c r="G21041" s="272" t="s">
        <v>1099</v>
      </c>
    </row>
    <row r="21042">
      <c r="B21042" s="31"/>
      <c r="G21042" s="272" t="s">
        <v>1099</v>
      </c>
    </row>
    <row r="21043">
      <c r="B21043" s="31"/>
      <c r="G21043" s="272" t="s">
        <v>1099</v>
      </c>
    </row>
    <row r="21044">
      <c r="B21044" s="31"/>
      <c r="G21044" s="272" t="s">
        <v>1099</v>
      </c>
    </row>
    <row r="21045">
      <c r="B21045" s="31"/>
      <c r="G21045" s="272" t="s">
        <v>1099</v>
      </c>
    </row>
    <row r="21046">
      <c r="B21046" s="31"/>
      <c r="G21046" s="272" t="s">
        <v>1099</v>
      </c>
    </row>
    <row r="21047">
      <c r="B21047" s="31"/>
      <c r="G21047" s="272" t="s">
        <v>1099</v>
      </c>
    </row>
    <row r="21048">
      <c r="B21048" s="31"/>
      <c r="G21048" s="272" t="s">
        <v>1099</v>
      </c>
    </row>
    <row r="21049">
      <c r="B21049" s="31"/>
      <c r="G21049" s="272" t="s">
        <v>1099</v>
      </c>
    </row>
    <row r="21050">
      <c r="B21050" s="31"/>
      <c r="G21050" s="272" t="s">
        <v>1099</v>
      </c>
    </row>
    <row r="21051">
      <c r="B21051" s="31"/>
      <c r="G21051" s="272" t="s">
        <v>1099</v>
      </c>
    </row>
    <row r="21052">
      <c r="B21052" s="31"/>
      <c r="G21052" s="272" t="s">
        <v>1099</v>
      </c>
    </row>
    <row r="21053">
      <c r="B21053" s="31"/>
      <c r="G21053" s="272" t="s">
        <v>1099</v>
      </c>
    </row>
    <row r="21054">
      <c r="B21054" s="31"/>
      <c r="G21054" s="272" t="s">
        <v>1099</v>
      </c>
    </row>
    <row r="21055">
      <c r="B21055" s="31"/>
      <c r="G21055" s="272" t="s">
        <v>1099</v>
      </c>
    </row>
    <row r="21056">
      <c r="B21056" s="31"/>
      <c r="G21056" s="272" t="s">
        <v>1099</v>
      </c>
    </row>
    <row r="21057">
      <c r="B21057" s="31"/>
      <c r="G21057" s="272" t="s">
        <v>1099</v>
      </c>
    </row>
    <row r="21058">
      <c r="B21058" s="31"/>
      <c r="G21058" s="272" t="s">
        <v>1099</v>
      </c>
    </row>
    <row r="21059">
      <c r="B21059" s="31"/>
      <c r="G21059" s="272" t="s">
        <v>1099</v>
      </c>
    </row>
    <row r="21060">
      <c r="B21060" s="31"/>
      <c r="G21060" s="272" t="s">
        <v>1099</v>
      </c>
    </row>
    <row r="21061">
      <c r="B21061" s="31"/>
      <c r="G21061" s="272" t="s">
        <v>1099</v>
      </c>
    </row>
    <row r="21062">
      <c r="B21062" s="31"/>
      <c r="G21062" s="272" t="s">
        <v>1099</v>
      </c>
    </row>
    <row r="21063">
      <c r="B21063" s="31"/>
      <c r="G21063" s="272" t="s">
        <v>1099</v>
      </c>
    </row>
    <row r="21064">
      <c r="B21064" s="31"/>
      <c r="G21064" s="272" t="s">
        <v>1099</v>
      </c>
    </row>
    <row r="21065">
      <c r="B21065" s="31"/>
      <c r="G21065" s="272" t="s">
        <v>1099</v>
      </c>
    </row>
    <row r="21066">
      <c r="B21066" s="31"/>
      <c r="G21066" s="272" t="s">
        <v>1099</v>
      </c>
    </row>
    <row r="21067">
      <c r="B21067" s="31"/>
      <c r="G21067" s="272" t="s">
        <v>1099</v>
      </c>
    </row>
    <row r="21068">
      <c r="B21068" s="31"/>
      <c r="G21068" s="272" t="s">
        <v>1099</v>
      </c>
    </row>
    <row r="21069">
      <c r="B21069" s="31"/>
      <c r="G21069" s="272" t="s">
        <v>1099</v>
      </c>
    </row>
    <row r="21070">
      <c r="B21070" s="31"/>
      <c r="G21070" s="272" t="s">
        <v>1099</v>
      </c>
    </row>
    <row r="21071">
      <c r="B21071" s="31"/>
      <c r="G21071" s="272" t="s">
        <v>1099</v>
      </c>
    </row>
    <row r="21072">
      <c r="B21072" s="31"/>
      <c r="G21072" s="272" t="s">
        <v>1099</v>
      </c>
    </row>
    <row r="21073">
      <c r="B21073" s="31"/>
      <c r="G21073" s="272" t="s">
        <v>1099</v>
      </c>
    </row>
    <row r="21074">
      <c r="B21074" s="31"/>
      <c r="G21074" s="272" t="s">
        <v>1099</v>
      </c>
    </row>
    <row r="21075">
      <c r="B21075" s="31"/>
      <c r="G21075" s="272" t="s">
        <v>1099</v>
      </c>
    </row>
    <row r="21076">
      <c r="B21076" s="31"/>
      <c r="G21076" s="272" t="s">
        <v>1099</v>
      </c>
    </row>
    <row r="21077">
      <c r="B21077" s="31"/>
      <c r="G21077" s="272" t="s">
        <v>1099</v>
      </c>
    </row>
    <row r="21078">
      <c r="B21078" s="31"/>
      <c r="G21078" s="272" t="s">
        <v>1099</v>
      </c>
    </row>
    <row r="21079">
      <c r="B21079" s="31"/>
      <c r="G21079" s="272" t="s">
        <v>1099</v>
      </c>
    </row>
    <row r="21080">
      <c r="B21080" s="31"/>
      <c r="G21080" s="272" t="s">
        <v>1099</v>
      </c>
    </row>
    <row r="21081">
      <c r="B21081" s="31"/>
      <c r="G21081" s="272" t="s">
        <v>1099</v>
      </c>
    </row>
    <row r="21082">
      <c r="B21082" s="31"/>
      <c r="G21082" s="272" t="s">
        <v>1099</v>
      </c>
    </row>
    <row r="21083">
      <c r="B21083" s="31"/>
      <c r="G21083" s="272" t="s">
        <v>1099</v>
      </c>
    </row>
    <row r="21084">
      <c r="B21084" s="31"/>
      <c r="G21084" s="272" t="s">
        <v>1099</v>
      </c>
    </row>
    <row r="21085">
      <c r="B21085" s="31"/>
      <c r="G21085" s="272" t="s">
        <v>1099</v>
      </c>
    </row>
    <row r="21086">
      <c r="B21086" s="31"/>
      <c r="G21086" s="272" t="s">
        <v>1099</v>
      </c>
    </row>
    <row r="21087">
      <c r="B21087" s="31"/>
      <c r="G21087" s="272" t="s">
        <v>1099</v>
      </c>
    </row>
    <row r="21088">
      <c r="B21088" s="31"/>
      <c r="G21088" s="272" t="s">
        <v>1099</v>
      </c>
    </row>
    <row r="21089">
      <c r="B21089" s="31"/>
      <c r="G21089" s="272" t="s">
        <v>1099</v>
      </c>
    </row>
    <row r="21090">
      <c r="B21090" s="31"/>
      <c r="G21090" s="272" t="s">
        <v>1099</v>
      </c>
    </row>
    <row r="21091">
      <c r="B21091" s="31"/>
      <c r="G21091" s="272" t="s">
        <v>1099</v>
      </c>
    </row>
    <row r="21092">
      <c r="B21092" s="31"/>
      <c r="G21092" s="272" t="s">
        <v>1099</v>
      </c>
    </row>
    <row r="21093">
      <c r="B21093" s="31"/>
      <c r="G21093" s="272" t="s">
        <v>1099</v>
      </c>
    </row>
    <row r="21094">
      <c r="B21094" s="31"/>
      <c r="G21094" s="272" t="s">
        <v>1099</v>
      </c>
    </row>
    <row r="21095">
      <c r="B21095" s="31"/>
      <c r="G21095" s="272" t="s">
        <v>1099</v>
      </c>
    </row>
    <row r="21096">
      <c r="B21096" s="31"/>
      <c r="G21096" s="272" t="s">
        <v>1099</v>
      </c>
    </row>
    <row r="21097">
      <c r="B21097" s="31"/>
      <c r="G21097" s="272" t="s">
        <v>1099</v>
      </c>
    </row>
    <row r="21098">
      <c r="B21098" s="31"/>
      <c r="G21098" s="272" t="s">
        <v>1099</v>
      </c>
    </row>
    <row r="21099">
      <c r="B21099" s="31"/>
      <c r="G21099" s="272" t="s">
        <v>1099</v>
      </c>
    </row>
    <row r="21100">
      <c r="B21100" s="31"/>
      <c r="G21100" s="272" t="s">
        <v>1099</v>
      </c>
    </row>
    <row r="21101">
      <c r="B21101" s="31"/>
      <c r="G21101" s="272" t="s">
        <v>1099</v>
      </c>
    </row>
    <row r="21102">
      <c r="B21102" s="31"/>
      <c r="G21102" s="272" t="s">
        <v>1099</v>
      </c>
    </row>
    <row r="21103">
      <c r="B21103" s="31"/>
      <c r="G21103" s="272" t="s">
        <v>1099</v>
      </c>
    </row>
    <row r="21104">
      <c r="B21104" s="31"/>
      <c r="G21104" s="272" t="s">
        <v>1099</v>
      </c>
    </row>
    <row r="21105">
      <c r="B21105" s="31"/>
      <c r="G21105" s="272" t="s">
        <v>1099</v>
      </c>
    </row>
    <row r="21106">
      <c r="B21106" s="31"/>
      <c r="G21106" s="272" t="s">
        <v>1099</v>
      </c>
    </row>
    <row r="21107">
      <c r="B21107" s="31"/>
      <c r="G21107" s="272" t="s">
        <v>1099</v>
      </c>
    </row>
    <row r="21108">
      <c r="B21108" s="31"/>
      <c r="G21108" s="272" t="s">
        <v>1099</v>
      </c>
    </row>
    <row r="21109">
      <c r="B21109" s="31"/>
      <c r="G21109" s="272" t="s">
        <v>1099</v>
      </c>
    </row>
    <row r="21110">
      <c r="B21110" s="31"/>
      <c r="G21110" s="272" t="s">
        <v>1099</v>
      </c>
    </row>
    <row r="21111">
      <c r="B21111" s="31"/>
      <c r="G21111" s="272" t="s">
        <v>1099</v>
      </c>
    </row>
    <row r="21112">
      <c r="B21112" s="31"/>
      <c r="G21112" s="272" t="s">
        <v>1099</v>
      </c>
    </row>
    <row r="21113">
      <c r="B21113" s="31"/>
      <c r="G21113" s="272" t="s">
        <v>1099</v>
      </c>
    </row>
    <row r="21114">
      <c r="B21114" s="31"/>
      <c r="G21114" s="272" t="s">
        <v>1099</v>
      </c>
    </row>
    <row r="21115">
      <c r="B21115" s="31"/>
      <c r="G21115" s="272" t="s">
        <v>1099</v>
      </c>
    </row>
    <row r="21116">
      <c r="B21116" s="31"/>
      <c r="G21116" s="272" t="s">
        <v>1099</v>
      </c>
    </row>
    <row r="21117">
      <c r="B21117" s="31"/>
      <c r="G21117" s="272" t="s">
        <v>1099</v>
      </c>
    </row>
    <row r="21118">
      <c r="B21118" s="31"/>
      <c r="G21118" s="272" t="s">
        <v>1099</v>
      </c>
    </row>
    <row r="21119">
      <c r="B21119" s="31"/>
      <c r="G21119" s="272" t="s">
        <v>1099</v>
      </c>
    </row>
    <row r="21120">
      <c r="B21120" s="31"/>
      <c r="G21120" s="272" t="s">
        <v>1099</v>
      </c>
    </row>
    <row r="21121">
      <c r="B21121" s="31"/>
      <c r="G21121" s="272" t="s">
        <v>1099</v>
      </c>
    </row>
    <row r="21122">
      <c r="B21122" s="31"/>
      <c r="G21122" s="272" t="s">
        <v>1099</v>
      </c>
    </row>
    <row r="21123">
      <c r="B21123" s="31"/>
      <c r="G21123" s="272" t="s">
        <v>1099</v>
      </c>
    </row>
    <row r="21124">
      <c r="B21124" s="31"/>
      <c r="G21124" s="272" t="s">
        <v>1099</v>
      </c>
    </row>
    <row r="21125">
      <c r="B21125" s="31"/>
      <c r="G21125" s="272" t="s">
        <v>1099</v>
      </c>
    </row>
    <row r="21126">
      <c r="B21126" s="31"/>
      <c r="G21126" s="272" t="s">
        <v>1099</v>
      </c>
    </row>
    <row r="21127">
      <c r="B21127" s="31"/>
      <c r="G21127" s="272" t="s">
        <v>1099</v>
      </c>
    </row>
    <row r="21128">
      <c r="B21128" s="31"/>
      <c r="G21128" s="272" t="s">
        <v>1099</v>
      </c>
    </row>
    <row r="21129">
      <c r="B21129" s="31"/>
      <c r="G21129" s="272" t="s">
        <v>1099</v>
      </c>
    </row>
    <row r="21130">
      <c r="B21130" s="31"/>
      <c r="G21130" s="272" t="s">
        <v>1099</v>
      </c>
    </row>
    <row r="21131">
      <c r="B21131" s="31"/>
      <c r="G21131" s="272" t="s">
        <v>1099</v>
      </c>
    </row>
    <row r="21132">
      <c r="B21132" s="31"/>
      <c r="G21132" s="272" t="s">
        <v>1099</v>
      </c>
    </row>
    <row r="21133">
      <c r="B21133" s="31"/>
      <c r="G21133" s="272" t="s">
        <v>1099</v>
      </c>
    </row>
    <row r="21134">
      <c r="B21134" s="31"/>
      <c r="G21134" s="272" t="s">
        <v>1099</v>
      </c>
    </row>
    <row r="21135">
      <c r="B21135" s="31"/>
      <c r="G21135" s="272" t="s">
        <v>1099</v>
      </c>
    </row>
    <row r="21136">
      <c r="B21136" s="31"/>
      <c r="G21136" s="272" t="s">
        <v>1099</v>
      </c>
    </row>
    <row r="21137">
      <c r="B21137" s="31"/>
      <c r="G21137" s="272" t="s">
        <v>1099</v>
      </c>
    </row>
    <row r="21138">
      <c r="B21138" s="31"/>
      <c r="G21138" s="272" t="s">
        <v>1099</v>
      </c>
    </row>
    <row r="21139">
      <c r="B21139" s="31"/>
      <c r="G21139" s="272" t="s">
        <v>1099</v>
      </c>
    </row>
    <row r="21140">
      <c r="B21140" s="31"/>
      <c r="G21140" s="272" t="s">
        <v>1099</v>
      </c>
    </row>
    <row r="21141">
      <c r="B21141" s="31"/>
      <c r="G21141" s="272" t="s">
        <v>1099</v>
      </c>
    </row>
    <row r="21142">
      <c r="B21142" s="31"/>
      <c r="G21142" s="272" t="s">
        <v>1099</v>
      </c>
    </row>
    <row r="21143">
      <c r="B21143" s="31"/>
      <c r="G21143" s="272" t="s">
        <v>1099</v>
      </c>
    </row>
    <row r="21144">
      <c r="B21144" s="31"/>
      <c r="G21144" s="272" t="s">
        <v>1099</v>
      </c>
    </row>
    <row r="21145">
      <c r="B21145" s="31"/>
      <c r="G21145" s="272" t="s">
        <v>1099</v>
      </c>
    </row>
    <row r="21146">
      <c r="B21146" s="31"/>
      <c r="G21146" s="272" t="s">
        <v>1099</v>
      </c>
    </row>
    <row r="21147">
      <c r="B21147" s="31"/>
      <c r="G21147" s="272" t="s">
        <v>1099</v>
      </c>
    </row>
    <row r="21148">
      <c r="B21148" s="31"/>
      <c r="G21148" s="272" t="s">
        <v>1099</v>
      </c>
    </row>
    <row r="21149">
      <c r="B21149" s="31"/>
      <c r="G21149" s="272" t="s">
        <v>1099</v>
      </c>
    </row>
    <row r="21150">
      <c r="B21150" s="31"/>
      <c r="G21150" s="272" t="s">
        <v>1099</v>
      </c>
    </row>
    <row r="21151">
      <c r="B21151" s="31"/>
      <c r="G21151" s="272" t="s">
        <v>1099</v>
      </c>
    </row>
    <row r="21152">
      <c r="B21152" s="31"/>
      <c r="G21152" s="272" t="s">
        <v>1099</v>
      </c>
    </row>
    <row r="21153">
      <c r="B21153" s="31"/>
      <c r="G21153" s="272" t="s">
        <v>1099</v>
      </c>
    </row>
    <row r="21154">
      <c r="B21154" s="31"/>
      <c r="G21154" s="272" t="s">
        <v>1099</v>
      </c>
    </row>
    <row r="21155">
      <c r="B21155" s="31"/>
      <c r="G21155" s="272" t="s">
        <v>1099</v>
      </c>
    </row>
    <row r="21156">
      <c r="B21156" s="31"/>
      <c r="G21156" s="272" t="s">
        <v>1099</v>
      </c>
    </row>
    <row r="21157">
      <c r="B21157" s="31"/>
      <c r="G21157" s="272" t="s">
        <v>1099</v>
      </c>
    </row>
    <row r="21158">
      <c r="B21158" s="31"/>
      <c r="G21158" s="272" t="s">
        <v>1099</v>
      </c>
    </row>
    <row r="21159">
      <c r="B21159" s="31"/>
      <c r="G21159" s="272" t="s">
        <v>1099</v>
      </c>
    </row>
    <row r="21160">
      <c r="B21160" s="31"/>
      <c r="G21160" s="272" t="s">
        <v>1099</v>
      </c>
    </row>
    <row r="21161">
      <c r="B21161" s="31"/>
      <c r="G21161" s="272" t="s">
        <v>1099</v>
      </c>
    </row>
    <row r="21162">
      <c r="B21162" s="31"/>
      <c r="G21162" s="272" t="s">
        <v>1099</v>
      </c>
    </row>
    <row r="21163">
      <c r="B21163" s="31"/>
      <c r="G21163" s="272" t="s">
        <v>1099</v>
      </c>
    </row>
    <row r="21164">
      <c r="B21164" s="31"/>
      <c r="G21164" s="272" t="s">
        <v>1099</v>
      </c>
    </row>
    <row r="21165">
      <c r="B21165" s="31"/>
      <c r="G21165" s="272" t="s">
        <v>1099</v>
      </c>
    </row>
    <row r="21166">
      <c r="B21166" s="31"/>
      <c r="G21166" s="272" t="s">
        <v>1099</v>
      </c>
    </row>
    <row r="21167">
      <c r="B21167" s="31"/>
      <c r="G21167" s="272" t="s">
        <v>1099</v>
      </c>
    </row>
    <row r="21168">
      <c r="B21168" s="31"/>
      <c r="G21168" s="272" t="s">
        <v>1099</v>
      </c>
    </row>
    <row r="21169">
      <c r="B21169" s="31"/>
      <c r="G21169" s="272" t="s">
        <v>1099</v>
      </c>
    </row>
    <row r="21170">
      <c r="B21170" s="31"/>
      <c r="G21170" s="272" t="s">
        <v>1099</v>
      </c>
    </row>
    <row r="21171">
      <c r="B21171" s="31"/>
      <c r="G21171" s="272" t="s">
        <v>1099</v>
      </c>
    </row>
    <row r="21172">
      <c r="B21172" s="31"/>
      <c r="G21172" s="272" t="s">
        <v>1099</v>
      </c>
    </row>
    <row r="21173">
      <c r="B21173" s="31"/>
      <c r="G21173" s="272" t="s">
        <v>1099</v>
      </c>
    </row>
    <row r="21174">
      <c r="B21174" s="31"/>
      <c r="G21174" s="272" t="s">
        <v>1099</v>
      </c>
    </row>
    <row r="21175">
      <c r="B21175" s="31"/>
      <c r="G21175" s="272" t="s">
        <v>1099</v>
      </c>
    </row>
    <row r="21176">
      <c r="B21176" s="31"/>
      <c r="G21176" s="272" t="s">
        <v>1099</v>
      </c>
    </row>
    <row r="21177">
      <c r="B21177" s="31"/>
      <c r="G21177" s="272" t="s">
        <v>1099</v>
      </c>
    </row>
    <row r="21178">
      <c r="B21178" s="31"/>
      <c r="G21178" s="272" t="s">
        <v>1099</v>
      </c>
    </row>
    <row r="21179">
      <c r="B21179" s="31"/>
      <c r="G21179" s="272" t="s">
        <v>1099</v>
      </c>
    </row>
    <row r="21180">
      <c r="B21180" s="31"/>
      <c r="G21180" s="272" t="s">
        <v>1099</v>
      </c>
    </row>
    <row r="21181">
      <c r="B21181" s="31"/>
      <c r="G21181" s="272" t="s">
        <v>1099</v>
      </c>
    </row>
    <row r="21182">
      <c r="B21182" s="31"/>
      <c r="G21182" s="272" t="s">
        <v>1099</v>
      </c>
    </row>
    <row r="21183">
      <c r="B21183" s="31"/>
      <c r="G21183" s="272" t="s">
        <v>1099</v>
      </c>
    </row>
    <row r="21184">
      <c r="B21184" s="31"/>
      <c r="G21184" s="272" t="s">
        <v>1099</v>
      </c>
    </row>
    <row r="21185">
      <c r="B21185" s="31"/>
      <c r="G21185" s="272" t="s">
        <v>1099</v>
      </c>
    </row>
    <row r="21186">
      <c r="B21186" s="31"/>
      <c r="G21186" s="272" t="s">
        <v>1099</v>
      </c>
    </row>
    <row r="21187">
      <c r="B21187" s="31"/>
      <c r="G21187" s="272" t="s">
        <v>1099</v>
      </c>
    </row>
    <row r="21188">
      <c r="B21188" s="31"/>
      <c r="G21188" s="272" t="s">
        <v>1099</v>
      </c>
    </row>
    <row r="21189">
      <c r="B21189" s="31"/>
      <c r="G21189" s="272" t="s">
        <v>1099</v>
      </c>
    </row>
    <row r="21190">
      <c r="B21190" s="31"/>
      <c r="G21190" s="272" t="s">
        <v>1099</v>
      </c>
    </row>
    <row r="21191">
      <c r="B21191" s="31"/>
      <c r="G21191" s="272" t="s">
        <v>1099</v>
      </c>
    </row>
    <row r="21192">
      <c r="B21192" s="31"/>
      <c r="G21192" s="272" t="s">
        <v>1099</v>
      </c>
    </row>
    <row r="21193">
      <c r="B21193" s="31"/>
      <c r="G21193" s="272" t="s">
        <v>1099</v>
      </c>
    </row>
    <row r="21194">
      <c r="B21194" s="31"/>
      <c r="G21194" s="272" t="s">
        <v>1099</v>
      </c>
    </row>
    <row r="21195">
      <c r="B21195" s="31"/>
      <c r="G21195" s="272" t="s">
        <v>1099</v>
      </c>
    </row>
    <row r="21196">
      <c r="B21196" s="31"/>
      <c r="G21196" s="272" t="s">
        <v>1099</v>
      </c>
    </row>
    <row r="21197">
      <c r="B21197" s="31"/>
      <c r="G21197" s="272" t="s">
        <v>1099</v>
      </c>
    </row>
    <row r="21198">
      <c r="B21198" s="31"/>
      <c r="G21198" s="272" t="s">
        <v>1099</v>
      </c>
    </row>
    <row r="21199">
      <c r="B21199" s="31"/>
      <c r="G21199" s="272" t="s">
        <v>1099</v>
      </c>
    </row>
    <row r="21200">
      <c r="B21200" s="31"/>
      <c r="G21200" s="272" t="s">
        <v>1099</v>
      </c>
    </row>
    <row r="21201">
      <c r="B21201" s="31"/>
      <c r="G21201" s="272" t="s">
        <v>1099</v>
      </c>
    </row>
    <row r="21202">
      <c r="B21202" s="31"/>
      <c r="G21202" s="272" t="s">
        <v>1099</v>
      </c>
    </row>
    <row r="21203">
      <c r="B21203" s="31"/>
      <c r="G21203" s="272" t="s">
        <v>1099</v>
      </c>
    </row>
    <row r="21204">
      <c r="B21204" s="31"/>
      <c r="G21204" s="272" t="s">
        <v>1099</v>
      </c>
    </row>
    <row r="21205">
      <c r="B21205" s="31"/>
      <c r="G21205" s="272" t="s">
        <v>1099</v>
      </c>
    </row>
    <row r="21206">
      <c r="B21206" s="31"/>
      <c r="G21206" s="272" t="s">
        <v>1099</v>
      </c>
    </row>
    <row r="21207">
      <c r="B21207" s="31"/>
      <c r="G21207" s="272" t="s">
        <v>1099</v>
      </c>
    </row>
    <row r="21208">
      <c r="B21208" s="31"/>
      <c r="G21208" s="272" t="s">
        <v>1099</v>
      </c>
    </row>
    <row r="21209">
      <c r="B21209" s="31"/>
      <c r="G21209" s="272" t="s">
        <v>1099</v>
      </c>
    </row>
    <row r="21210">
      <c r="B21210" s="31"/>
      <c r="G21210" s="272" t="s">
        <v>1099</v>
      </c>
    </row>
    <row r="21211">
      <c r="B21211" s="31"/>
      <c r="G21211" s="272" t="s">
        <v>1099</v>
      </c>
    </row>
    <row r="21212">
      <c r="B21212" s="31"/>
      <c r="G21212" s="272" t="s">
        <v>1099</v>
      </c>
    </row>
    <row r="21213">
      <c r="B21213" s="31"/>
      <c r="G21213" s="272" t="s">
        <v>1099</v>
      </c>
    </row>
    <row r="21214">
      <c r="B21214" s="31"/>
      <c r="G21214" s="272" t="s">
        <v>1099</v>
      </c>
    </row>
    <row r="21215">
      <c r="B21215" s="31"/>
      <c r="G21215" s="272" t="s">
        <v>1099</v>
      </c>
    </row>
    <row r="21216">
      <c r="B21216" s="31"/>
      <c r="G21216" s="272" t="s">
        <v>1099</v>
      </c>
    </row>
    <row r="21217">
      <c r="B21217" s="31"/>
      <c r="G21217" s="272" t="s">
        <v>1099</v>
      </c>
    </row>
    <row r="21218">
      <c r="B21218" s="31"/>
      <c r="G21218" s="272" t="s">
        <v>1099</v>
      </c>
    </row>
    <row r="21219">
      <c r="B21219" s="31"/>
      <c r="G21219" s="272" t="s">
        <v>1099</v>
      </c>
    </row>
    <row r="21220">
      <c r="B21220" s="31"/>
      <c r="G21220" s="272" t="s">
        <v>1099</v>
      </c>
    </row>
    <row r="21221">
      <c r="B21221" s="31"/>
      <c r="G21221" s="272" t="s">
        <v>1099</v>
      </c>
    </row>
    <row r="21222">
      <c r="B21222" s="31"/>
      <c r="G21222" s="272" t="s">
        <v>1099</v>
      </c>
    </row>
    <row r="21223">
      <c r="B21223" s="31"/>
      <c r="G21223" s="272" t="s">
        <v>1099</v>
      </c>
    </row>
    <row r="21224">
      <c r="B21224" s="31"/>
      <c r="G21224" s="272" t="s">
        <v>1099</v>
      </c>
    </row>
    <row r="21225">
      <c r="B21225" s="31"/>
      <c r="G21225" s="272" t="s">
        <v>1099</v>
      </c>
    </row>
    <row r="21226">
      <c r="B21226" s="31"/>
      <c r="G21226" s="272" t="s">
        <v>1099</v>
      </c>
    </row>
    <row r="21227">
      <c r="B21227" s="31"/>
      <c r="G21227" s="272" t="s">
        <v>1099</v>
      </c>
    </row>
    <row r="21228">
      <c r="B21228" s="31"/>
      <c r="G21228" s="272" t="s">
        <v>1099</v>
      </c>
    </row>
    <row r="21229">
      <c r="B21229" s="31"/>
      <c r="G21229" s="272" t="s">
        <v>1099</v>
      </c>
    </row>
    <row r="21230">
      <c r="B21230" s="31"/>
      <c r="G21230" s="272" t="s">
        <v>1099</v>
      </c>
    </row>
    <row r="21231">
      <c r="B21231" s="31"/>
      <c r="G21231" s="272" t="s">
        <v>1099</v>
      </c>
    </row>
    <row r="21232">
      <c r="B21232" s="31"/>
      <c r="G21232" s="272" t="s">
        <v>1099</v>
      </c>
    </row>
    <row r="21233">
      <c r="B21233" s="31"/>
      <c r="G21233" s="272" t="s">
        <v>1099</v>
      </c>
    </row>
    <row r="21234">
      <c r="B21234" s="31"/>
      <c r="G21234" s="272" t="s">
        <v>1099</v>
      </c>
    </row>
    <row r="21235">
      <c r="B21235" s="31"/>
      <c r="G21235" s="272" t="s">
        <v>1099</v>
      </c>
    </row>
    <row r="21236">
      <c r="B21236" s="31"/>
      <c r="G21236" s="272" t="s">
        <v>1099</v>
      </c>
    </row>
    <row r="21237">
      <c r="B21237" s="31"/>
      <c r="G21237" s="272" t="s">
        <v>1099</v>
      </c>
    </row>
    <row r="21238">
      <c r="B21238" s="31"/>
      <c r="G21238" s="272" t="s">
        <v>1099</v>
      </c>
    </row>
    <row r="21239">
      <c r="B21239" s="31"/>
      <c r="G21239" s="272" t="s">
        <v>1099</v>
      </c>
    </row>
    <row r="21240">
      <c r="B21240" s="31"/>
      <c r="G21240" s="272" t="s">
        <v>1099</v>
      </c>
    </row>
    <row r="21241">
      <c r="B21241" s="31"/>
      <c r="G21241" s="272" t="s">
        <v>1099</v>
      </c>
    </row>
    <row r="21242">
      <c r="B21242" s="31"/>
      <c r="G21242" s="272" t="s">
        <v>1099</v>
      </c>
    </row>
    <row r="21243">
      <c r="B21243" s="31"/>
      <c r="G21243" s="272" t="s">
        <v>1099</v>
      </c>
    </row>
    <row r="21244">
      <c r="B21244" s="31"/>
      <c r="G21244" s="272" t="s">
        <v>1099</v>
      </c>
    </row>
    <row r="21245">
      <c r="B21245" s="31"/>
      <c r="G21245" s="272" t="s">
        <v>1099</v>
      </c>
    </row>
    <row r="21246">
      <c r="B21246" s="31"/>
      <c r="G21246" s="272" t="s">
        <v>1099</v>
      </c>
    </row>
    <row r="21247">
      <c r="B21247" s="31"/>
      <c r="G21247" s="272" t="s">
        <v>1099</v>
      </c>
    </row>
    <row r="21248">
      <c r="B21248" s="31"/>
      <c r="G21248" s="272" t="s">
        <v>1099</v>
      </c>
    </row>
    <row r="21249">
      <c r="B21249" s="31"/>
      <c r="G21249" s="272" t="s">
        <v>1099</v>
      </c>
    </row>
    <row r="21250">
      <c r="B21250" s="31"/>
      <c r="G21250" s="272" t="s">
        <v>1099</v>
      </c>
    </row>
    <row r="21251">
      <c r="B21251" s="31"/>
      <c r="G21251" s="272" t="s">
        <v>1099</v>
      </c>
    </row>
    <row r="21252">
      <c r="B21252" s="31"/>
      <c r="G21252" s="272" t="s">
        <v>1099</v>
      </c>
    </row>
    <row r="21253">
      <c r="B21253" s="31"/>
      <c r="G21253" s="272" t="s">
        <v>1099</v>
      </c>
    </row>
    <row r="21254">
      <c r="B21254" s="31"/>
      <c r="G21254" s="272" t="s">
        <v>1099</v>
      </c>
    </row>
    <row r="21255">
      <c r="B21255" s="31"/>
      <c r="G21255" s="272" t="s">
        <v>1099</v>
      </c>
    </row>
    <row r="21256">
      <c r="B21256" s="31"/>
      <c r="G21256" s="272" t="s">
        <v>1099</v>
      </c>
    </row>
    <row r="21257">
      <c r="B21257" s="31"/>
      <c r="G21257" s="272" t="s">
        <v>1099</v>
      </c>
    </row>
    <row r="21258">
      <c r="B21258" s="31"/>
      <c r="G21258" s="272" t="s">
        <v>1099</v>
      </c>
    </row>
    <row r="21259">
      <c r="B21259" s="31"/>
      <c r="G21259" s="272" t="s">
        <v>1099</v>
      </c>
    </row>
    <row r="21260">
      <c r="B21260" s="31"/>
      <c r="G21260" s="272" t="s">
        <v>1099</v>
      </c>
    </row>
    <row r="21261">
      <c r="B21261" s="31"/>
      <c r="G21261" s="272" t="s">
        <v>1099</v>
      </c>
    </row>
    <row r="21262">
      <c r="B21262" s="31"/>
      <c r="G21262" s="272" t="s">
        <v>1099</v>
      </c>
    </row>
    <row r="21263">
      <c r="B21263" s="31"/>
      <c r="G21263" s="272" t="s">
        <v>1099</v>
      </c>
    </row>
    <row r="21264">
      <c r="B21264" s="31"/>
      <c r="G21264" s="272" t="s">
        <v>1099</v>
      </c>
    </row>
    <row r="21265">
      <c r="B21265" s="31"/>
      <c r="G21265" s="272" t="s">
        <v>1099</v>
      </c>
    </row>
    <row r="21266">
      <c r="B21266" s="31"/>
      <c r="G21266" s="272" t="s">
        <v>1099</v>
      </c>
    </row>
    <row r="21267">
      <c r="B21267" s="31"/>
      <c r="G21267" s="272" t="s">
        <v>1099</v>
      </c>
    </row>
    <row r="21268">
      <c r="B21268" s="31"/>
      <c r="G21268" s="272" t="s">
        <v>1099</v>
      </c>
    </row>
    <row r="21269">
      <c r="B21269" s="31"/>
      <c r="G21269" s="272" t="s">
        <v>1099</v>
      </c>
    </row>
    <row r="21270">
      <c r="B21270" s="31"/>
      <c r="G21270" s="272" t="s">
        <v>1099</v>
      </c>
    </row>
    <row r="21271">
      <c r="B21271" s="31"/>
      <c r="G21271" s="272" t="s">
        <v>1099</v>
      </c>
    </row>
    <row r="21272">
      <c r="B21272" s="31"/>
      <c r="G21272" s="272" t="s">
        <v>1099</v>
      </c>
    </row>
    <row r="21273">
      <c r="B21273" s="31"/>
      <c r="G21273" s="272" t="s">
        <v>1099</v>
      </c>
    </row>
    <row r="21274">
      <c r="B21274" s="31"/>
      <c r="G21274" s="272" t="s">
        <v>1099</v>
      </c>
    </row>
    <row r="21275">
      <c r="B21275" s="31"/>
      <c r="G21275" s="272" t="s">
        <v>1099</v>
      </c>
    </row>
    <row r="21276">
      <c r="B21276" s="31"/>
      <c r="G21276" s="272" t="s">
        <v>1099</v>
      </c>
    </row>
    <row r="21277">
      <c r="B21277" s="31"/>
      <c r="G21277" s="272" t="s">
        <v>1099</v>
      </c>
    </row>
    <row r="21278">
      <c r="B21278" s="31"/>
      <c r="G21278" s="272" t="s">
        <v>1099</v>
      </c>
    </row>
    <row r="21279">
      <c r="B21279" s="31"/>
      <c r="G21279" s="272" t="s">
        <v>1099</v>
      </c>
    </row>
    <row r="21280">
      <c r="B21280" s="31"/>
      <c r="G21280" s="272" t="s">
        <v>1099</v>
      </c>
    </row>
    <row r="21281">
      <c r="B21281" s="31"/>
      <c r="G21281" s="272" t="s">
        <v>1099</v>
      </c>
    </row>
    <row r="21282">
      <c r="B21282" s="31"/>
      <c r="G21282" s="272" t="s">
        <v>1099</v>
      </c>
    </row>
    <row r="21283">
      <c r="B21283" s="31"/>
      <c r="G21283" s="272" t="s">
        <v>1099</v>
      </c>
    </row>
    <row r="21284">
      <c r="B21284" s="31"/>
      <c r="G21284" s="272" t="s">
        <v>1099</v>
      </c>
    </row>
    <row r="21285">
      <c r="B21285" s="31"/>
      <c r="G21285" s="272" t="s">
        <v>1099</v>
      </c>
    </row>
    <row r="21286">
      <c r="B21286" s="31"/>
      <c r="G21286" s="272" t="s">
        <v>1099</v>
      </c>
    </row>
    <row r="21287">
      <c r="B21287" s="31"/>
      <c r="G21287" s="272" t="s">
        <v>1099</v>
      </c>
    </row>
    <row r="21288">
      <c r="B21288" s="31"/>
      <c r="G21288" s="272" t="s">
        <v>1099</v>
      </c>
    </row>
    <row r="21289">
      <c r="B21289" s="31"/>
      <c r="G21289" s="272" t="s">
        <v>1099</v>
      </c>
    </row>
    <row r="21290">
      <c r="B21290" s="31"/>
      <c r="G21290" s="272" t="s">
        <v>1099</v>
      </c>
    </row>
    <row r="21291">
      <c r="B21291" s="31"/>
      <c r="G21291" s="272" t="s">
        <v>1099</v>
      </c>
    </row>
    <row r="21292">
      <c r="B21292" s="31"/>
      <c r="G21292" s="272" t="s">
        <v>1099</v>
      </c>
    </row>
    <row r="21293">
      <c r="B21293" s="31"/>
      <c r="G21293" s="272" t="s">
        <v>1099</v>
      </c>
    </row>
    <row r="21294">
      <c r="B21294" s="31"/>
      <c r="G21294" s="272" t="s">
        <v>1099</v>
      </c>
    </row>
    <row r="21295">
      <c r="B21295" s="31"/>
      <c r="G21295" s="272" t="s">
        <v>1099</v>
      </c>
    </row>
    <row r="21296">
      <c r="B21296" s="31"/>
      <c r="G21296" s="272" t="s">
        <v>1099</v>
      </c>
    </row>
    <row r="21297">
      <c r="B21297" s="31"/>
      <c r="G21297" s="272" t="s">
        <v>1099</v>
      </c>
    </row>
    <row r="21298">
      <c r="B21298" s="31"/>
      <c r="G21298" s="272" t="s">
        <v>1099</v>
      </c>
    </row>
    <row r="21299">
      <c r="B21299" s="31"/>
      <c r="G21299" s="272" t="s">
        <v>1099</v>
      </c>
    </row>
    <row r="21300">
      <c r="B21300" s="31"/>
      <c r="G21300" s="272" t="s">
        <v>1099</v>
      </c>
    </row>
    <row r="21301">
      <c r="B21301" s="31"/>
      <c r="G21301" s="272" t="s">
        <v>1099</v>
      </c>
    </row>
    <row r="21302">
      <c r="B21302" s="31"/>
      <c r="G21302" s="272" t="s">
        <v>1099</v>
      </c>
    </row>
    <row r="21303">
      <c r="B21303" s="31"/>
      <c r="G21303" s="272" t="s">
        <v>1099</v>
      </c>
    </row>
    <row r="21304">
      <c r="B21304" s="31"/>
      <c r="G21304" s="272" t="s">
        <v>1099</v>
      </c>
    </row>
    <row r="21305">
      <c r="B21305" s="31"/>
      <c r="G21305" s="272" t="s">
        <v>1099</v>
      </c>
    </row>
    <row r="21306">
      <c r="B21306" s="31"/>
      <c r="G21306" s="272" t="s">
        <v>1099</v>
      </c>
    </row>
    <row r="21307">
      <c r="B21307" s="31"/>
      <c r="G21307" s="272" t="s">
        <v>1099</v>
      </c>
    </row>
    <row r="21308">
      <c r="B21308" s="31"/>
      <c r="G21308" s="272" t="s">
        <v>1099</v>
      </c>
    </row>
    <row r="21309">
      <c r="B21309" s="31"/>
      <c r="G21309" s="272" t="s">
        <v>1099</v>
      </c>
    </row>
    <row r="21310">
      <c r="B21310" s="31"/>
      <c r="G21310" s="272" t="s">
        <v>1099</v>
      </c>
    </row>
    <row r="21311">
      <c r="B21311" s="31"/>
      <c r="G21311" s="272" t="s">
        <v>1099</v>
      </c>
    </row>
    <row r="21312">
      <c r="B21312" s="31"/>
      <c r="G21312" s="272" t="s">
        <v>1099</v>
      </c>
    </row>
    <row r="21313">
      <c r="B21313" s="31"/>
      <c r="G21313" s="272" t="s">
        <v>1099</v>
      </c>
    </row>
    <row r="21314">
      <c r="B21314" s="31"/>
      <c r="G21314" s="272" t="s">
        <v>1099</v>
      </c>
    </row>
    <row r="21315">
      <c r="B21315" s="31"/>
      <c r="G21315" s="272" t="s">
        <v>1099</v>
      </c>
    </row>
    <row r="21316">
      <c r="B21316" s="31"/>
      <c r="G21316" s="272" t="s">
        <v>1099</v>
      </c>
    </row>
    <row r="21317">
      <c r="B21317" s="31"/>
      <c r="G21317" s="272" t="s">
        <v>1099</v>
      </c>
    </row>
    <row r="21318">
      <c r="B21318" s="31"/>
      <c r="G21318" s="272" t="s">
        <v>1099</v>
      </c>
    </row>
    <row r="21319">
      <c r="B21319" s="31"/>
      <c r="G21319" s="272" t="s">
        <v>1099</v>
      </c>
    </row>
    <row r="21320">
      <c r="B21320" s="31"/>
      <c r="G21320" s="272" t="s">
        <v>1099</v>
      </c>
    </row>
    <row r="21321">
      <c r="B21321" s="31"/>
      <c r="G21321" s="272" t="s">
        <v>1099</v>
      </c>
    </row>
    <row r="21322">
      <c r="B21322" s="31"/>
      <c r="G21322" s="272" t="s">
        <v>1099</v>
      </c>
    </row>
    <row r="21323">
      <c r="B21323" s="31"/>
      <c r="G21323" s="272" t="s">
        <v>1099</v>
      </c>
    </row>
    <row r="21324">
      <c r="B21324" s="31"/>
      <c r="G21324" s="272" t="s">
        <v>1099</v>
      </c>
    </row>
    <row r="21325">
      <c r="B21325" s="31"/>
      <c r="G21325" s="272" t="s">
        <v>1099</v>
      </c>
    </row>
    <row r="21326">
      <c r="B21326" s="31"/>
      <c r="G21326" s="272" t="s">
        <v>1099</v>
      </c>
    </row>
    <row r="21327">
      <c r="B21327" s="31"/>
      <c r="G21327" s="272" t="s">
        <v>1099</v>
      </c>
    </row>
    <row r="21328">
      <c r="B21328" s="31"/>
      <c r="G21328" s="272" t="s">
        <v>1099</v>
      </c>
    </row>
    <row r="21329">
      <c r="B21329" s="31"/>
      <c r="G21329" s="272" t="s">
        <v>1099</v>
      </c>
    </row>
    <row r="21330">
      <c r="B21330" s="31"/>
      <c r="G21330" s="272" t="s">
        <v>1099</v>
      </c>
    </row>
    <row r="21331">
      <c r="B21331" s="31"/>
      <c r="G21331" s="272" t="s">
        <v>1099</v>
      </c>
    </row>
    <row r="21332">
      <c r="B21332" s="31"/>
      <c r="G21332" s="272" t="s">
        <v>1099</v>
      </c>
    </row>
    <row r="21333">
      <c r="B21333" s="31"/>
      <c r="G21333" s="272" t="s">
        <v>1099</v>
      </c>
    </row>
    <row r="21334">
      <c r="B21334" s="31"/>
      <c r="G21334" s="272" t="s">
        <v>1099</v>
      </c>
    </row>
    <row r="21335">
      <c r="B21335" s="31"/>
      <c r="G21335" s="272" t="s">
        <v>1099</v>
      </c>
    </row>
    <row r="21336">
      <c r="B21336" s="31"/>
      <c r="G21336" s="272" t="s">
        <v>1099</v>
      </c>
    </row>
    <row r="21337">
      <c r="B21337" s="31"/>
      <c r="G21337" s="272" t="s">
        <v>1099</v>
      </c>
    </row>
    <row r="21338">
      <c r="B21338" s="31"/>
      <c r="G21338" s="272" t="s">
        <v>1099</v>
      </c>
    </row>
    <row r="21339">
      <c r="B21339" s="31"/>
      <c r="G21339" s="272" t="s">
        <v>1099</v>
      </c>
    </row>
    <row r="21340">
      <c r="B21340" s="31"/>
      <c r="G21340" s="272" t="s">
        <v>1099</v>
      </c>
    </row>
    <row r="21341">
      <c r="B21341" s="31"/>
      <c r="G21341" s="272" t="s">
        <v>1099</v>
      </c>
    </row>
    <row r="21342">
      <c r="B21342" s="31"/>
      <c r="G21342" s="272" t="s">
        <v>1099</v>
      </c>
    </row>
    <row r="21343">
      <c r="B21343" s="31"/>
      <c r="G21343" s="272" t="s">
        <v>1099</v>
      </c>
    </row>
    <row r="21344">
      <c r="B21344" s="31"/>
      <c r="G21344" s="272" t="s">
        <v>1099</v>
      </c>
    </row>
    <row r="21345">
      <c r="B21345" s="31"/>
      <c r="G21345" s="272" t="s">
        <v>1099</v>
      </c>
    </row>
    <row r="21346">
      <c r="B21346" s="31"/>
      <c r="G21346" s="272" t="s">
        <v>1099</v>
      </c>
    </row>
    <row r="21347">
      <c r="B21347" s="31"/>
      <c r="G21347" s="272" t="s">
        <v>1099</v>
      </c>
    </row>
    <row r="21348">
      <c r="B21348" s="31"/>
      <c r="G21348" s="272" t="s">
        <v>1099</v>
      </c>
    </row>
    <row r="21349">
      <c r="B21349" s="31"/>
      <c r="G21349" s="272" t="s">
        <v>1099</v>
      </c>
    </row>
    <row r="21350">
      <c r="B21350" s="31"/>
      <c r="G21350" s="272" t="s">
        <v>1099</v>
      </c>
    </row>
    <row r="21351">
      <c r="B21351" s="31"/>
      <c r="G21351" s="272" t="s">
        <v>1099</v>
      </c>
    </row>
    <row r="21352">
      <c r="B21352" s="31"/>
      <c r="G21352" s="272" t="s">
        <v>1099</v>
      </c>
    </row>
    <row r="21353">
      <c r="B21353" s="31"/>
      <c r="G21353" s="272" t="s">
        <v>1099</v>
      </c>
    </row>
    <row r="21354">
      <c r="B21354" s="31"/>
      <c r="G21354" s="272" t="s">
        <v>1099</v>
      </c>
    </row>
    <row r="21355">
      <c r="B21355" s="31"/>
      <c r="G21355" s="272" t="s">
        <v>1099</v>
      </c>
    </row>
    <row r="21356">
      <c r="B21356" s="31"/>
      <c r="G21356" s="272" t="s">
        <v>1099</v>
      </c>
    </row>
    <row r="21357">
      <c r="B21357" s="31"/>
      <c r="G21357" s="272" t="s">
        <v>1099</v>
      </c>
    </row>
    <row r="21358">
      <c r="B21358" s="31"/>
      <c r="G21358" s="272" t="s">
        <v>1099</v>
      </c>
    </row>
    <row r="21359">
      <c r="B21359" s="31"/>
      <c r="G21359" s="272" t="s">
        <v>1099</v>
      </c>
    </row>
    <row r="21360">
      <c r="B21360" s="31"/>
      <c r="G21360" s="272" t="s">
        <v>1099</v>
      </c>
    </row>
    <row r="21361">
      <c r="B21361" s="31"/>
      <c r="G21361" s="272" t="s">
        <v>1099</v>
      </c>
    </row>
    <row r="21362">
      <c r="B21362" s="31"/>
      <c r="G21362" s="272" t="s">
        <v>1099</v>
      </c>
    </row>
    <row r="21363">
      <c r="B21363" s="31"/>
      <c r="G21363" s="272" t="s">
        <v>1099</v>
      </c>
    </row>
    <row r="21364">
      <c r="B21364" s="31"/>
      <c r="G21364" s="272" t="s">
        <v>1099</v>
      </c>
    </row>
    <row r="21365">
      <c r="B21365" s="31"/>
      <c r="G21365" s="272" t="s">
        <v>1099</v>
      </c>
    </row>
    <row r="21366">
      <c r="B21366" s="31"/>
      <c r="G21366" s="272" t="s">
        <v>1099</v>
      </c>
    </row>
    <row r="21367">
      <c r="B21367" s="31"/>
      <c r="G21367" s="272" t="s">
        <v>1099</v>
      </c>
    </row>
    <row r="21368">
      <c r="B21368" s="31"/>
      <c r="G21368" s="272" t="s">
        <v>1099</v>
      </c>
    </row>
    <row r="21369">
      <c r="B21369" s="31"/>
      <c r="G21369" s="272" t="s">
        <v>1099</v>
      </c>
    </row>
    <row r="21370">
      <c r="B21370" s="31"/>
      <c r="G21370" s="272" t="s">
        <v>1099</v>
      </c>
    </row>
    <row r="21371">
      <c r="B21371" s="31"/>
      <c r="G21371" s="272" t="s">
        <v>1099</v>
      </c>
    </row>
    <row r="21372">
      <c r="B21372" s="31"/>
      <c r="G21372" s="272" t="s">
        <v>1099</v>
      </c>
    </row>
    <row r="21373">
      <c r="B21373" s="31"/>
      <c r="G21373" s="272" t="s">
        <v>1099</v>
      </c>
    </row>
    <row r="21374">
      <c r="B21374" s="31"/>
      <c r="G21374" s="272" t="s">
        <v>1099</v>
      </c>
    </row>
    <row r="21375">
      <c r="B21375" s="31"/>
      <c r="G21375" s="272" t="s">
        <v>1099</v>
      </c>
    </row>
    <row r="21376">
      <c r="B21376" s="31"/>
      <c r="G21376" s="272" t="s">
        <v>1099</v>
      </c>
    </row>
    <row r="21377">
      <c r="B21377" s="31"/>
      <c r="G21377" s="272" t="s">
        <v>1099</v>
      </c>
    </row>
    <row r="21378">
      <c r="B21378" s="31"/>
      <c r="G21378" s="272" t="s">
        <v>1099</v>
      </c>
    </row>
    <row r="21379">
      <c r="B21379" s="31"/>
      <c r="G21379" s="272" t="s">
        <v>1099</v>
      </c>
    </row>
    <row r="21380">
      <c r="B21380" s="31"/>
      <c r="G21380" s="272" t="s">
        <v>1099</v>
      </c>
    </row>
    <row r="21381">
      <c r="B21381" s="31"/>
      <c r="G21381" s="272" t="s">
        <v>1099</v>
      </c>
    </row>
    <row r="21382">
      <c r="B21382" s="31"/>
      <c r="G21382" s="272" t="s">
        <v>1099</v>
      </c>
    </row>
    <row r="21383">
      <c r="B21383" s="31"/>
      <c r="G21383" s="272" t="s">
        <v>1099</v>
      </c>
    </row>
    <row r="21384">
      <c r="B21384" s="31"/>
      <c r="G21384" s="272" t="s">
        <v>1099</v>
      </c>
    </row>
    <row r="21385">
      <c r="B21385" s="31"/>
      <c r="G21385" s="272" t="s">
        <v>1099</v>
      </c>
    </row>
    <row r="21386">
      <c r="B21386" s="31"/>
      <c r="G21386" s="272" t="s">
        <v>1099</v>
      </c>
    </row>
    <row r="21387">
      <c r="B21387" s="31"/>
      <c r="G21387" s="272" t="s">
        <v>1099</v>
      </c>
    </row>
    <row r="21388">
      <c r="B21388" s="31"/>
      <c r="G21388" s="272" t="s">
        <v>1099</v>
      </c>
    </row>
    <row r="21389">
      <c r="B21389" s="31"/>
      <c r="G21389" s="272" t="s">
        <v>1099</v>
      </c>
    </row>
    <row r="21390">
      <c r="B21390" s="31"/>
      <c r="G21390" s="272" t="s">
        <v>1099</v>
      </c>
    </row>
    <row r="21391">
      <c r="B21391" s="31"/>
      <c r="G21391" s="272" t="s">
        <v>1099</v>
      </c>
    </row>
    <row r="21392">
      <c r="B21392" s="31"/>
      <c r="G21392" s="272" t="s">
        <v>1099</v>
      </c>
    </row>
    <row r="21393">
      <c r="B21393" s="31"/>
      <c r="G21393" s="272" t="s">
        <v>1099</v>
      </c>
    </row>
    <row r="21394">
      <c r="B21394" s="31"/>
      <c r="G21394" s="272" t="s">
        <v>1099</v>
      </c>
    </row>
    <row r="21395">
      <c r="B21395" s="31"/>
      <c r="G21395" s="272" t="s">
        <v>1099</v>
      </c>
    </row>
    <row r="21396">
      <c r="B21396" s="31"/>
      <c r="G21396" s="272" t="s">
        <v>1099</v>
      </c>
    </row>
    <row r="21397">
      <c r="B21397" s="31"/>
      <c r="G21397" s="272" t="s">
        <v>1099</v>
      </c>
    </row>
    <row r="21398">
      <c r="B21398" s="31"/>
      <c r="G21398" s="272" t="s">
        <v>1099</v>
      </c>
    </row>
    <row r="21399">
      <c r="B21399" s="31"/>
      <c r="G21399" s="272" t="s">
        <v>1099</v>
      </c>
    </row>
    <row r="21400">
      <c r="B21400" s="31"/>
      <c r="G21400" s="272" t="s">
        <v>1099</v>
      </c>
    </row>
    <row r="21401">
      <c r="B21401" s="31"/>
      <c r="G21401" s="272" t="s">
        <v>1099</v>
      </c>
    </row>
    <row r="21402">
      <c r="B21402" s="31"/>
      <c r="G21402" s="272" t="s">
        <v>1099</v>
      </c>
    </row>
    <row r="21403">
      <c r="B21403" s="31"/>
      <c r="G21403" s="272" t="s">
        <v>1099</v>
      </c>
    </row>
    <row r="21404">
      <c r="B21404" s="31"/>
      <c r="G21404" s="272" t="s">
        <v>1099</v>
      </c>
    </row>
    <row r="21405">
      <c r="B21405" s="31"/>
      <c r="G21405" s="272" t="s">
        <v>1099</v>
      </c>
    </row>
    <row r="21406">
      <c r="B21406" s="31"/>
      <c r="G21406" s="272" t="s">
        <v>1099</v>
      </c>
    </row>
    <row r="21407">
      <c r="B21407" s="31"/>
      <c r="G21407" s="272" t="s">
        <v>1099</v>
      </c>
    </row>
    <row r="21408">
      <c r="B21408" s="31"/>
      <c r="G21408" s="272" t="s">
        <v>1099</v>
      </c>
    </row>
    <row r="21409">
      <c r="B21409" s="31"/>
      <c r="G21409" s="272" t="s">
        <v>1099</v>
      </c>
    </row>
    <row r="21410">
      <c r="B21410" s="31"/>
      <c r="G21410" s="272" t="s">
        <v>1099</v>
      </c>
    </row>
    <row r="21411">
      <c r="B21411" s="31"/>
      <c r="G21411" s="272" t="s">
        <v>1099</v>
      </c>
    </row>
    <row r="21412">
      <c r="B21412" s="31"/>
      <c r="G21412" s="272" t="s">
        <v>1099</v>
      </c>
    </row>
    <row r="21413">
      <c r="B21413" s="31"/>
      <c r="G21413" s="272" t="s">
        <v>1099</v>
      </c>
    </row>
    <row r="21414">
      <c r="B21414" s="31"/>
      <c r="G21414" s="272" t="s">
        <v>1099</v>
      </c>
    </row>
    <row r="21415">
      <c r="B21415" s="31"/>
      <c r="G21415" s="272" t="s">
        <v>1099</v>
      </c>
    </row>
    <row r="21416">
      <c r="B21416" s="31"/>
      <c r="G21416" s="272" t="s">
        <v>1099</v>
      </c>
    </row>
    <row r="21417">
      <c r="B21417" s="31"/>
      <c r="G21417" s="272" t="s">
        <v>1099</v>
      </c>
    </row>
    <row r="21418">
      <c r="B21418" s="31"/>
      <c r="G21418" s="272" t="s">
        <v>1099</v>
      </c>
    </row>
    <row r="21419">
      <c r="B21419" s="31"/>
      <c r="G21419" s="272" t="s">
        <v>1099</v>
      </c>
    </row>
    <row r="21420">
      <c r="B21420" s="31"/>
      <c r="G21420" s="272" t="s">
        <v>1099</v>
      </c>
    </row>
    <row r="21421">
      <c r="B21421" s="31"/>
      <c r="G21421" s="272" t="s">
        <v>1099</v>
      </c>
    </row>
    <row r="21422">
      <c r="B21422" s="31"/>
      <c r="G21422" s="272" t="s">
        <v>1099</v>
      </c>
    </row>
    <row r="21423">
      <c r="B21423" s="31"/>
      <c r="G21423" s="272" t="s">
        <v>1099</v>
      </c>
    </row>
    <row r="21424">
      <c r="B21424" s="31"/>
      <c r="G21424" s="272" t="s">
        <v>1099</v>
      </c>
    </row>
    <row r="21425">
      <c r="B21425" s="31"/>
      <c r="G21425" s="272" t="s">
        <v>1099</v>
      </c>
    </row>
    <row r="21426">
      <c r="B21426" s="31"/>
      <c r="G21426" s="272" t="s">
        <v>1099</v>
      </c>
    </row>
    <row r="21427">
      <c r="B21427" s="31"/>
      <c r="G21427" s="272" t="s">
        <v>1099</v>
      </c>
    </row>
    <row r="21428">
      <c r="B21428" s="31"/>
      <c r="G21428" s="272" t="s">
        <v>1099</v>
      </c>
    </row>
    <row r="21429">
      <c r="B21429" s="31"/>
      <c r="G21429" s="272" t="s">
        <v>1099</v>
      </c>
    </row>
    <row r="21430">
      <c r="B21430" s="31"/>
      <c r="G21430" s="272" t="s">
        <v>1099</v>
      </c>
    </row>
    <row r="21431">
      <c r="B21431" s="31"/>
      <c r="G21431" s="272" t="s">
        <v>1099</v>
      </c>
    </row>
    <row r="21432">
      <c r="B21432" s="31"/>
      <c r="G21432" s="272" t="s">
        <v>1099</v>
      </c>
    </row>
    <row r="21433">
      <c r="B21433" s="31"/>
      <c r="G21433" s="272" t="s">
        <v>1099</v>
      </c>
    </row>
    <row r="21434">
      <c r="B21434" s="31"/>
      <c r="G21434" s="272" t="s">
        <v>1099</v>
      </c>
    </row>
    <row r="21435">
      <c r="B21435" s="31"/>
      <c r="G21435" s="272" t="s">
        <v>1099</v>
      </c>
    </row>
    <row r="21436">
      <c r="B21436" s="31"/>
      <c r="G21436" s="272" t="s">
        <v>1099</v>
      </c>
    </row>
    <row r="21437">
      <c r="B21437" s="31"/>
      <c r="G21437" s="272" t="s">
        <v>1099</v>
      </c>
    </row>
    <row r="21438">
      <c r="B21438" s="31"/>
      <c r="G21438" s="272" t="s">
        <v>1099</v>
      </c>
    </row>
    <row r="21439">
      <c r="B21439" s="31"/>
      <c r="G21439" s="272" t="s">
        <v>1099</v>
      </c>
    </row>
    <row r="21440">
      <c r="B21440" s="31"/>
      <c r="G21440" s="272" t="s">
        <v>1099</v>
      </c>
    </row>
    <row r="21441">
      <c r="B21441" s="31"/>
      <c r="G21441" s="272" t="s">
        <v>1099</v>
      </c>
    </row>
    <row r="21442">
      <c r="B21442" s="31"/>
      <c r="G21442" s="272" t="s">
        <v>1099</v>
      </c>
    </row>
    <row r="21443">
      <c r="B21443" s="31"/>
      <c r="G21443" s="272" t="s">
        <v>1099</v>
      </c>
    </row>
    <row r="21444">
      <c r="B21444" s="31"/>
      <c r="G21444" s="272" t="s">
        <v>1099</v>
      </c>
    </row>
    <row r="21445">
      <c r="B21445" s="31"/>
      <c r="G21445" s="272" t="s">
        <v>1099</v>
      </c>
    </row>
    <row r="21446">
      <c r="B21446" s="31"/>
      <c r="G21446" s="272" t="s">
        <v>1099</v>
      </c>
    </row>
    <row r="21447">
      <c r="B21447" s="31"/>
      <c r="G21447" s="272" t="s">
        <v>1099</v>
      </c>
    </row>
    <row r="21448">
      <c r="B21448" s="31"/>
      <c r="G21448" s="272" t="s">
        <v>1099</v>
      </c>
    </row>
    <row r="21449">
      <c r="B21449" s="31"/>
      <c r="G21449" s="272" t="s">
        <v>1099</v>
      </c>
    </row>
    <row r="21450">
      <c r="B21450" s="31"/>
      <c r="G21450" s="272" t="s">
        <v>1099</v>
      </c>
    </row>
    <row r="21451">
      <c r="B21451" s="31"/>
      <c r="G21451" s="272" t="s">
        <v>1099</v>
      </c>
    </row>
    <row r="21452">
      <c r="B21452" s="31"/>
      <c r="G21452" s="272" t="s">
        <v>1099</v>
      </c>
    </row>
    <row r="21453">
      <c r="B21453" s="31"/>
      <c r="G21453" s="272" t="s">
        <v>1099</v>
      </c>
    </row>
    <row r="21454">
      <c r="B21454" s="31"/>
      <c r="G21454" s="272" t="s">
        <v>1099</v>
      </c>
    </row>
    <row r="21455">
      <c r="B21455" s="31"/>
      <c r="G21455" s="272" t="s">
        <v>1099</v>
      </c>
    </row>
    <row r="21456">
      <c r="B21456" s="31"/>
      <c r="G21456" s="272" t="s">
        <v>1099</v>
      </c>
    </row>
    <row r="21457">
      <c r="B21457" s="31"/>
      <c r="G21457" s="272" t="s">
        <v>1099</v>
      </c>
    </row>
    <row r="21458">
      <c r="B21458" s="31"/>
      <c r="G21458" s="272" t="s">
        <v>1099</v>
      </c>
    </row>
    <row r="21459">
      <c r="B21459" s="31"/>
      <c r="G21459" s="272" t="s">
        <v>1099</v>
      </c>
    </row>
    <row r="21460">
      <c r="B21460" s="31"/>
      <c r="G21460" s="272" t="s">
        <v>1099</v>
      </c>
    </row>
    <row r="21461">
      <c r="B21461" s="31"/>
      <c r="G21461" s="272" t="s">
        <v>1099</v>
      </c>
    </row>
    <row r="21462">
      <c r="B21462" s="31"/>
      <c r="G21462" s="272" t="s">
        <v>1099</v>
      </c>
    </row>
    <row r="21463">
      <c r="B21463" s="31"/>
      <c r="G21463" s="272" t="s">
        <v>1099</v>
      </c>
    </row>
    <row r="21464">
      <c r="B21464" s="31"/>
      <c r="G21464" s="272" t="s">
        <v>1099</v>
      </c>
    </row>
    <row r="21465">
      <c r="B21465" s="31"/>
      <c r="G21465" s="272" t="s">
        <v>1099</v>
      </c>
    </row>
    <row r="21466">
      <c r="B21466" s="31"/>
      <c r="G21466" s="272" t="s">
        <v>1099</v>
      </c>
    </row>
    <row r="21467">
      <c r="B21467" s="31"/>
      <c r="G21467" s="272" t="s">
        <v>1099</v>
      </c>
    </row>
    <row r="21468">
      <c r="B21468" s="31"/>
      <c r="G21468" s="272" t="s">
        <v>1099</v>
      </c>
    </row>
    <row r="21469">
      <c r="B21469" s="31"/>
      <c r="G21469" s="272" t="s">
        <v>1099</v>
      </c>
    </row>
    <row r="21470">
      <c r="B21470" s="31"/>
      <c r="G21470" s="272" t="s">
        <v>1099</v>
      </c>
    </row>
    <row r="21471">
      <c r="B21471" s="31"/>
      <c r="G21471" s="272" t="s">
        <v>1099</v>
      </c>
    </row>
    <row r="21472">
      <c r="B21472" s="31"/>
      <c r="G21472" s="272" t="s">
        <v>1099</v>
      </c>
    </row>
    <row r="21473">
      <c r="B21473" s="31"/>
      <c r="G21473" s="272" t="s">
        <v>1099</v>
      </c>
    </row>
    <row r="21474">
      <c r="B21474" s="31"/>
      <c r="G21474" s="272" t="s">
        <v>1099</v>
      </c>
    </row>
    <row r="21475">
      <c r="B21475" s="31"/>
      <c r="G21475" s="272" t="s">
        <v>1099</v>
      </c>
    </row>
    <row r="21476">
      <c r="B21476" s="31"/>
      <c r="G21476" s="272" t="s">
        <v>1099</v>
      </c>
    </row>
    <row r="21477">
      <c r="B21477" s="31"/>
      <c r="G21477" s="272" t="s">
        <v>1099</v>
      </c>
    </row>
    <row r="21478">
      <c r="B21478" s="31"/>
      <c r="G21478" s="272" t="s">
        <v>1099</v>
      </c>
    </row>
    <row r="21479">
      <c r="B21479" s="31"/>
      <c r="G21479" s="272" t="s">
        <v>1099</v>
      </c>
    </row>
    <row r="21480">
      <c r="B21480" s="31"/>
      <c r="G21480" s="272" t="s">
        <v>1099</v>
      </c>
    </row>
    <row r="21481">
      <c r="B21481" s="31"/>
      <c r="G21481" s="272" t="s">
        <v>1099</v>
      </c>
    </row>
    <row r="21482">
      <c r="B21482" s="31"/>
      <c r="G21482" s="272" t="s">
        <v>1099</v>
      </c>
    </row>
    <row r="21483">
      <c r="B21483" s="31"/>
      <c r="G21483" s="272" t="s">
        <v>1099</v>
      </c>
    </row>
    <row r="21484">
      <c r="B21484" s="31"/>
      <c r="G21484" s="272" t="s">
        <v>1099</v>
      </c>
    </row>
    <row r="21485">
      <c r="B21485" s="31"/>
      <c r="G21485" s="272" t="s">
        <v>1099</v>
      </c>
    </row>
    <row r="21486">
      <c r="B21486" s="31"/>
      <c r="G21486" s="272" t="s">
        <v>1099</v>
      </c>
    </row>
    <row r="21487">
      <c r="B21487" s="31"/>
      <c r="G21487" s="272" t="s">
        <v>1099</v>
      </c>
    </row>
    <row r="21488">
      <c r="B21488" s="31"/>
      <c r="G21488" s="272" t="s">
        <v>1099</v>
      </c>
    </row>
    <row r="21489">
      <c r="B21489" s="31"/>
      <c r="G21489" s="272" t="s">
        <v>1099</v>
      </c>
    </row>
    <row r="21490">
      <c r="B21490" s="31"/>
      <c r="G21490" s="272" t="s">
        <v>1099</v>
      </c>
    </row>
    <row r="21491">
      <c r="B21491" s="31"/>
      <c r="G21491" s="272" t="s">
        <v>1099</v>
      </c>
    </row>
    <row r="21492">
      <c r="B21492" s="31"/>
      <c r="G21492" s="272" t="s">
        <v>1099</v>
      </c>
    </row>
    <row r="21493">
      <c r="B21493" s="31"/>
      <c r="G21493" s="272" t="s">
        <v>1099</v>
      </c>
    </row>
    <row r="21494">
      <c r="B21494" s="31"/>
      <c r="G21494" s="272" t="s">
        <v>1099</v>
      </c>
    </row>
    <row r="21495">
      <c r="B21495" s="31"/>
      <c r="G21495" s="272" t="s">
        <v>1099</v>
      </c>
    </row>
    <row r="21496">
      <c r="B21496" s="31"/>
      <c r="G21496" s="272" t="s">
        <v>1099</v>
      </c>
    </row>
    <row r="21497">
      <c r="B21497" s="31"/>
      <c r="G21497" s="272" t="s">
        <v>1099</v>
      </c>
    </row>
    <row r="21498">
      <c r="B21498" s="31"/>
      <c r="G21498" s="272" t="s">
        <v>1099</v>
      </c>
    </row>
    <row r="21499">
      <c r="B21499" s="31"/>
      <c r="G21499" s="272" t="s">
        <v>1099</v>
      </c>
    </row>
    <row r="21500">
      <c r="B21500" s="31"/>
      <c r="G21500" s="272" t="s">
        <v>1099</v>
      </c>
    </row>
    <row r="21501">
      <c r="B21501" s="31"/>
      <c r="G21501" s="272" t="s">
        <v>1099</v>
      </c>
    </row>
    <row r="21502">
      <c r="B21502" s="31"/>
      <c r="G21502" s="272" t="s">
        <v>1099</v>
      </c>
    </row>
    <row r="21503">
      <c r="B21503" s="31"/>
      <c r="G21503" s="272" t="s">
        <v>1099</v>
      </c>
    </row>
    <row r="21504">
      <c r="B21504" s="31"/>
      <c r="G21504" s="272" t="s">
        <v>1099</v>
      </c>
    </row>
    <row r="21505">
      <c r="B21505" s="31"/>
      <c r="G21505" s="272" t="s">
        <v>1099</v>
      </c>
    </row>
    <row r="21506">
      <c r="B21506" s="31"/>
      <c r="G21506" s="272" t="s">
        <v>1099</v>
      </c>
    </row>
    <row r="21507">
      <c r="B21507" s="31"/>
      <c r="G21507" s="272" t="s">
        <v>1099</v>
      </c>
    </row>
    <row r="21508">
      <c r="B21508" s="31"/>
      <c r="G21508" s="272" t="s">
        <v>1099</v>
      </c>
    </row>
    <row r="21509">
      <c r="B21509" s="31"/>
      <c r="G21509" s="272" t="s">
        <v>1099</v>
      </c>
    </row>
    <row r="21510">
      <c r="B21510" s="31"/>
      <c r="G21510" s="272" t="s">
        <v>1099</v>
      </c>
    </row>
    <row r="21511">
      <c r="B21511" s="31"/>
      <c r="G21511" s="272" t="s">
        <v>1099</v>
      </c>
    </row>
    <row r="21512">
      <c r="B21512" s="31"/>
      <c r="G21512" s="272" t="s">
        <v>1099</v>
      </c>
    </row>
    <row r="21513">
      <c r="B21513" s="31"/>
      <c r="G21513" s="272" t="s">
        <v>1099</v>
      </c>
    </row>
    <row r="21514">
      <c r="B21514" s="31"/>
      <c r="G21514" s="272" t="s">
        <v>1099</v>
      </c>
    </row>
    <row r="21515">
      <c r="B21515" s="31"/>
      <c r="G21515" s="272" t="s">
        <v>1099</v>
      </c>
    </row>
    <row r="21516">
      <c r="B21516" s="31"/>
      <c r="G21516" s="272" t="s">
        <v>1099</v>
      </c>
    </row>
    <row r="21517">
      <c r="B21517" s="31"/>
      <c r="G21517" s="272" t="s">
        <v>1099</v>
      </c>
    </row>
    <row r="21518">
      <c r="B21518" s="31"/>
      <c r="G21518" s="272" t="s">
        <v>1099</v>
      </c>
    </row>
    <row r="21519">
      <c r="B21519" s="31"/>
      <c r="G21519" s="272" t="s">
        <v>1099</v>
      </c>
    </row>
    <row r="21520">
      <c r="B21520" s="31"/>
      <c r="G21520" s="272" t="s">
        <v>1099</v>
      </c>
    </row>
    <row r="21521">
      <c r="B21521" s="31"/>
      <c r="G21521" s="272" t="s">
        <v>1099</v>
      </c>
    </row>
    <row r="21522">
      <c r="B21522" s="31"/>
      <c r="G21522" s="272" t="s">
        <v>1099</v>
      </c>
    </row>
    <row r="21523">
      <c r="B21523" s="31"/>
      <c r="G21523" s="272" t="s">
        <v>1099</v>
      </c>
    </row>
    <row r="21524">
      <c r="B21524" s="31"/>
      <c r="G21524" s="272" t="s">
        <v>1099</v>
      </c>
    </row>
    <row r="21525">
      <c r="B21525" s="31"/>
      <c r="G21525" s="272" t="s">
        <v>1099</v>
      </c>
    </row>
    <row r="21526">
      <c r="B21526" s="31"/>
      <c r="G21526" s="272" t="s">
        <v>1099</v>
      </c>
    </row>
    <row r="21527">
      <c r="B21527" s="31"/>
      <c r="G21527" s="272" t="s">
        <v>1099</v>
      </c>
    </row>
    <row r="21528">
      <c r="B21528" s="31"/>
      <c r="G21528" s="272" t="s">
        <v>1099</v>
      </c>
    </row>
    <row r="21529">
      <c r="B21529" s="31"/>
      <c r="G21529" s="272" t="s">
        <v>1099</v>
      </c>
    </row>
    <row r="21530">
      <c r="B21530" s="31"/>
      <c r="G21530" s="272" t="s">
        <v>1099</v>
      </c>
    </row>
    <row r="21531">
      <c r="B21531" s="31"/>
      <c r="G21531" s="272" t="s">
        <v>1099</v>
      </c>
    </row>
    <row r="21532">
      <c r="B21532" s="31"/>
      <c r="G21532" s="272" t="s">
        <v>1099</v>
      </c>
    </row>
    <row r="21533">
      <c r="B21533" s="31"/>
      <c r="G21533" s="272" t="s">
        <v>1099</v>
      </c>
    </row>
    <row r="21534">
      <c r="B21534" s="31"/>
      <c r="G21534" s="272" t="s">
        <v>1099</v>
      </c>
    </row>
    <row r="21535">
      <c r="B21535" s="31"/>
      <c r="G21535" s="272" t="s">
        <v>1099</v>
      </c>
    </row>
    <row r="21536">
      <c r="B21536" s="31"/>
      <c r="G21536" s="272" t="s">
        <v>1099</v>
      </c>
    </row>
    <row r="21537">
      <c r="B21537" s="31"/>
      <c r="G21537" s="272" t="s">
        <v>1099</v>
      </c>
    </row>
    <row r="21538">
      <c r="B21538" s="31"/>
      <c r="G21538" s="272" t="s">
        <v>1099</v>
      </c>
    </row>
    <row r="21539">
      <c r="B21539" s="31"/>
      <c r="G21539" s="272" t="s">
        <v>1099</v>
      </c>
    </row>
    <row r="21540">
      <c r="B21540" s="31"/>
      <c r="G21540" s="272" t="s">
        <v>1099</v>
      </c>
    </row>
    <row r="21541">
      <c r="B21541" s="31"/>
      <c r="G21541" s="272" t="s">
        <v>1099</v>
      </c>
    </row>
    <row r="21542">
      <c r="B21542" s="31"/>
      <c r="G21542" s="272" t="s">
        <v>1099</v>
      </c>
    </row>
    <row r="21543">
      <c r="B21543" s="31"/>
      <c r="G21543" s="272" t="s">
        <v>1099</v>
      </c>
    </row>
    <row r="21544">
      <c r="B21544" s="31"/>
      <c r="G21544" s="272" t="s">
        <v>1099</v>
      </c>
    </row>
    <row r="21545">
      <c r="B21545" s="31"/>
      <c r="G21545" s="272" t="s">
        <v>1099</v>
      </c>
    </row>
    <row r="21546">
      <c r="B21546" s="31"/>
      <c r="G21546" s="272" t="s">
        <v>1099</v>
      </c>
    </row>
    <row r="21547">
      <c r="B21547" s="31"/>
      <c r="G21547" s="272" t="s">
        <v>1099</v>
      </c>
    </row>
    <row r="21548">
      <c r="B21548" s="31"/>
      <c r="G21548" s="272" t="s">
        <v>1099</v>
      </c>
    </row>
    <row r="21549">
      <c r="B21549" s="31"/>
      <c r="G21549" s="272" t="s">
        <v>1099</v>
      </c>
    </row>
    <row r="21550">
      <c r="B21550" s="31"/>
      <c r="G21550" s="272" t="s">
        <v>1099</v>
      </c>
    </row>
    <row r="21551">
      <c r="B21551" s="31"/>
      <c r="G21551" s="272" t="s">
        <v>1099</v>
      </c>
    </row>
    <row r="21552">
      <c r="B21552" s="31"/>
      <c r="G21552" s="272" t="s">
        <v>1099</v>
      </c>
    </row>
    <row r="21553">
      <c r="B21553" s="31"/>
      <c r="G21553" s="272" t="s">
        <v>1099</v>
      </c>
    </row>
    <row r="21554">
      <c r="B21554" s="31"/>
      <c r="G21554" s="272" t="s">
        <v>1099</v>
      </c>
    </row>
    <row r="21555">
      <c r="B21555" s="31"/>
      <c r="G21555" s="272" t="s">
        <v>1099</v>
      </c>
    </row>
    <row r="21556">
      <c r="B21556" s="31"/>
      <c r="G21556" s="272" t="s">
        <v>1099</v>
      </c>
    </row>
    <row r="21557">
      <c r="B21557" s="31"/>
      <c r="G21557" s="272" t="s">
        <v>1099</v>
      </c>
    </row>
    <row r="21558">
      <c r="B21558" s="31"/>
      <c r="G21558" s="272" t="s">
        <v>1099</v>
      </c>
    </row>
    <row r="21559">
      <c r="B21559" s="31"/>
      <c r="G21559" s="272" t="s">
        <v>1099</v>
      </c>
    </row>
    <row r="21560">
      <c r="B21560" s="31"/>
      <c r="G21560" s="272" t="s">
        <v>1099</v>
      </c>
    </row>
    <row r="21561">
      <c r="B21561" s="31"/>
      <c r="G21561" s="272" t="s">
        <v>1099</v>
      </c>
    </row>
    <row r="21562">
      <c r="B21562" s="31"/>
      <c r="G21562" s="272" t="s">
        <v>1099</v>
      </c>
    </row>
    <row r="21563">
      <c r="B21563" s="31"/>
      <c r="G21563" s="272" t="s">
        <v>1099</v>
      </c>
    </row>
    <row r="21564">
      <c r="B21564" s="31"/>
      <c r="G21564" s="272" t="s">
        <v>1099</v>
      </c>
    </row>
    <row r="21565">
      <c r="B21565" s="31"/>
      <c r="G21565" s="272" t="s">
        <v>1099</v>
      </c>
    </row>
    <row r="21566">
      <c r="B21566" s="31"/>
      <c r="G21566" s="272" t="s">
        <v>1099</v>
      </c>
    </row>
    <row r="21567">
      <c r="B21567" s="31"/>
      <c r="G21567" s="272" t="s">
        <v>1099</v>
      </c>
    </row>
    <row r="21568">
      <c r="B21568" s="31"/>
      <c r="G21568" s="272" t="s">
        <v>1099</v>
      </c>
    </row>
    <row r="21569">
      <c r="B21569" s="31"/>
      <c r="G21569" s="272" t="s">
        <v>1099</v>
      </c>
    </row>
    <row r="21570">
      <c r="B21570" s="31"/>
      <c r="G21570" s="272" t="s">
        <v>1099</v>
      </c>
    </row>
    <row r="21571">
      <c r="B21571" s="31"/>
      <c r="G21571" s="272" t="s">
        <v>1099</v>
      </c>
    </row>
    <row r="21572">
      <c r="B21572" s="31"/>
      <c r="G21572" s="272" t="s">
        <v>1099</v>
      </c>
    </row>
    <row r="21573">
      <c r="B21573" s="31"/>
      <c r="G21573" s="272" t="s">
        <v>1099</v>
      </c>
    </row>
    <row r="21574">
      <c r="B21574" s="31"/>
      <c r="G21574" s="272" t="s">
        <v>1099</v>
      </c>
    </row>
    <row r="21575">
      <c r="B21575" s="31"/>
      <c r="G21575" s="272" t="s">
        <v>1099</v>
      </c>
    </row>
    <row r="21576">
      <c r="B21576" s="31"/>
      <c r="G21576" s="272" t="s">
        <v>1099</v>
      </c>
    </row>
    <row r="21577">
      <c r="B21577" s="31"/>
      <c r="G21577" s="272" t="s">
        <v>1099</v>
      </c>
    </row>
    <row r="21578">
      <c r="B21578" s="31"/>
      <c r="G21578" s="272" t="s">
        <v>1099</v>
      </c>
    </row>
    <row r="21579">
      <c r="B21579" s="31"/>
      <c r="G21579" s="272" t="s">
        <v>1099</v>
      </c>
    </row>
    <row r="21580">
      <c r="B21580" s="31"/>
      <c r="G21580" s="272" t="s">
        <v>1099</v>
      </c>
    </row>
    <row r="21581">
      <c r="B21581" s="31"/>
      <c r="G21581" s="272" t="s">
        <v>1099</v>
      </c>
    </row>
    <row r="21582">
      <c r="B21582" s="31"/>
      <c r="G21582" s="272" t="s">
        <v>1099</v>
      </c>
    </row>
    <row r="21583">
      <c r="B21583" s="31"/>
      <c r="G21583" s="272" t="s">
        <v>1099</v>
      </c>
    </row>
    <row r="21584">
      <c r="B21584" s="31"/>
      <c r="G21584" s="272" t="s">
        <v>1099</v>
      </c>
    </row>
    <row r="21585">
      <c r="B21585" s="31"/>
      <c r="G21585" s="272" t="s">
        <v>1099</v>
      </c>
    </row>
    <row r="21586">
      <c r="B21586" s="31"/>
      <c r="G21586" s="272" t="s">
        <v>1099</v>
      </c>
    </row>
    <row r="21587">
      <c r="B21587" s="31"/>
      <c r="G21587" s="272" t="s">
        <v>1099</v>
      </c>
    </row>
    <row r="21588">
      <c r="B21588" s="31"/>
      <c r="G21588" s="272" t="s">
        <v>1099</v>
      </c>
    </row>
    <row r="21589">
      <c r="B21589" s="31"/>
      <c r="G21589" s="272" t="s">
        <v>1099</v>
      </c>
    </row>
    <row r="21590">
      <c r="B21590" s="31"/>
      <c r="G21590" s="272" t="s">
        <v>1099</v>
      </c>
    </row>
    <row r="21591">
      <c r="B21591" s="31"/>
      <c r="G21591" s="272" t="s">
        <v>1099</v>
      </c>
    </row>
    <row r="21592">
      <c r="B21592" s="31"/>
      <c r="G21592" s="272" t="s">
        <v>1099</v>
      </c>
    </row>
    <row r="21593">
      <c r="B21593" s="31"/>
      <c r="G21593" s="272" t="s">
        <v>1099</v>
      </c>
    </row>
    <row r="21594">
      <c r="B21594" s="31"/>
      <c r="G21594" s="272" t="s">
        <v>1099</v>
      </c>
    </row>
    <row r="21595">
      <c r="B21595" s="31"/>
      <c r="G21595" s="272" t="s">
        <v>1099</v>
      </c>
    </row>
    <row r="21596">
      <c r="B21596" s="31"/>
      <c r="G21596" s="272" t="s">
        <v>1099</v>
      </c>
    </row>
    <row r="21597">
      <c r="B21597" s="31"/>
      <c r="G21597" s="272" t="s">
        <v>1099</v>
      </c>
    </row>
    <row r="21598">
      <c r="B21598" s="31"/>
      <c r="G21598" s="272" t="s">
        <v>1099</v>
      </c>
    </row>
    <row r="21599">
      <c r="B21599" s="31"/>
      <c r="G21599" s="272" t="s">
        <v>1099</v>
      </c>
    </row>
    <row r="21600">
      <c r="B21600" s="31"/>
      <c r="G21600" s="272" t="s">
        <v>1099</v>
      </c>
    </row>
    <row r="21601">
      <c r="B21601" s="31"/>
      <c r="G21601" s="272" t="s">
        <v>1099</v>
      </c>
    </row>
    <row r="21602">
      <c r="B21602" s="31"/>
      <c r="G21602" s="272" t="s">
        <v>1099</v>
      </c>
    </row>
    <row r="21603">
      <c r="B21603" s="31"/>
      <c r="G21603" s="272" t="s">
        <v>1099</v>
      </c>
    </row>
    <row r="21604">
      <c r="B21604" s="31"/>
      <c r="G21604" s="272" t="s">
        <v>1099</v>
      </c>
    </row>
    <row r="21605">
      <c r="B21605" s="31"/>
      <c r="G21605" s="272" t="s">
        <v>1099</v>
      </c>
    </row>
    <row r="21606">
      <c r="B21606" s="31"/>
      <c r="G21606" s="272" t="s">
        <v>1099</v>
      </c>
    </row>
    <row r="21607">
      <c r="B21607" s="31"/>
      <c r="G21607" s="272" t="s">
        <v>1099</v>
      </c>
    </row>
    <row r="21608">
      <c r="B21608" s="31"/>
      <c r="G21608" s="272" t="s">
        <v>1099</v>
      </c>
    </row>
    <row r="21609">
      <c r="B21609" s="31"/>
      <c r="G21609" s="272" t="s">
        <v>1099</v>
      </c>
    </row>
    <row r="21610">
      <c r="B21610" s="31"/>
      <c r="G21610" s="272" t="s">
        <v>1099</v>
      </c>
    </row>
    <row r="21611">
      <c r="B21611" s="31"/>
      <c r="G21611" s="272" t="s">
        <v>1099</v>
      </c>
    </row>
    <row r="21612">
      <c r="B21612" s="31"/>
      <c r="G21612" s="272" t="s">
        <v>1099</v>
      </c>
    </row>
    <row r="21613">
      <c r="B21613" s="31"/>
      <c r="G21613" s="272" t="s">
        <v>1099</v>
      </c>
    </row>
    <row r="21614">
      <c r="B21614" s="31"/>
      <c r="G21614" s="272" t="s">
        <v>1099</v>
      </c>
    </row>
    <row r="21615">
      <c r="B21615" s="31"/>
      <c r="G21615" s="272" t="s">
        <v>1099</v>
      </c>
    </row>
    <row r="21616">
      <c r="B21616" s="31"/>
      <c r="G21616" s="272" t="s">
        <v>1099</v>
      </c>
    </row>
    <row r="21617">
      <c r="B21617" s="31"/>
      <c r="G21617" s="272" t="s">
        <v>1099</v>
      </c>
    </row>
    <row r="21618">
      <c r="B21618" s="31"/>
      <c r="G21618" s="272" t="s">
        <v>1099</v>
      </c>
    </row>
    <row r="21619">
      <c r="B21619" s="31"/>
      <c r="G21619" s="272" t="s">
        <v>1099</v>
      </c>
    </row>
    <row r="21620">
      <c r="B21620" s="31"/>
      <c r="G21620" s="272" t="s">
        <v>1099</v>
      </c>
    </row>
    <row r="21621">
      <c r="B21621" s="31"/>
      <c r="G21621" s="272" t="s">
        <v>1099</v>
      </c>
    </row>
    <row r="21622">
      <c r="B21622" s="31"/>
      <c r="G21622" s="272" t="s">
        <v>1099</v>
      </c>
    </row>
    <row r="21623">
      <c r="B21623" s="31"/>
      <c r="G21623" s="272" t="s">
        <v>1099</v>
      </c>
    </row>
    <row r="21624">
      <c r="B21624" s="31"/>
      <c r="G21624" s="272" t="s">
        <v>1099</v>
      </c>
    </row>
    <row r="21625">
      <c r="B21625" s="31"/>
      <c r="G21625" s="272" t="s">
        <v>1099</v>
      </c>
    </row>
    <row r="21626">
      <c r="B21626" s="31"/>
      <c r="G21626" s="272" t="s">
        <v>1099</v>
      </c>
    </row>
    <row r="21627">
      <c r="B21627" s="31"/>
      <c r="G21627" s="272" t="s">
        <v>1099</v>
      </c>
    </row>
    <row r="21628">
      <c r="B21628" s="31"/>
      <c r="G21628" s="272" t="s">
        <v>1099</v>
      </c>
    </row>
    <row r="21629">
      <c r="B21629" s="31"/>
      <c r="G21629" s="272" t="s">
        <v>1099</v>
      </c>
    </row>
    <row r="21630">
      <c r="B21630" s="31"/>
      <c r="G21630" s="272" t="s">
        <v>1099</v>
      </c>
    </row>
    <row r="21631">
      <c r="B21631" s="31"/>
      <c r="G21631" s="272" t="s">
        <v>1099</v>
      </c>
    </row>
    <row r="21632">
      <c r="B21632" s="31"/>
      <c r="G21632" s="272" t="s">
        <v>1099</v>
      </c>
    </row>
    <row r="21633">
      <c r="B21633" s="31"/>
      <c r="G21633" s="272" t="s">
        <v>1099</v>
      </c>
    </row>
    <row r="21634">
      <c r="B21634" s="31"/>
      <c r="G21634" s="272" t="s">
        <v>1099</v>
      </c>
    </row>
    <row r="21635">
      <c r="B21635" s="31"/>
      <c r="G21635" s="272" t="s">
        <v>1099</v>
      </c>
    </row>
    <row r="21636">
      <c r="B21636" s="31"/>
      <c r="G21636" s="272" t="s">
        <v>1099</v>
      </c>
    </row>
    <row r="21637">
      <c r="B21637" s="31"/>
      <c r="G21637" s="272" t="s">
        <v>1099</v>
      </c>
    </row>
    <row r="21638">
      <c r="B21638" s="31"/>
      <c r="G21638" s="272" t="s">
        <v>1099</v>
      </c>
    </row>
    <row r="21639">
      <c r="B21639" s="31"/>
      <c r="G21639" s="272" t="s">
        <v>1099</v>
      </c>
    </row>
    <row r="21640">
      <c r="B21640" s="31"/>
      <c r="G21640" s="272" t="s">
        <v>1099</v>
      </c>
    </row>
    <row r="21641">
      <c r="B21641" s="31"/>
      <c r="G21641" s="272" t="s">
        <v>1099</v>
      </c>
    </row>
    <row r="21642">
      <c r="B21642" s="31"/>
      <c r="G21642" s="272" t="s">
        <v>1099</v>
      </c>
    </row>
    <row r="21643">
      <c r="B21643" s="31"/>
      <c r="G21643" s="272" t="s">
        <v>1099</v>
      </c>
    </row>
    <row r="21644">
      <c r="B21644" s="31"/>
      <c r="G21644" s="272" t="s">
        <v>1099</v>
      </c>
    </row>
    <row r="21645">
      <c r="B21645" s="31"/>
      <c r="G21645" s="272" t="s">
        <v>1099</v>
      </c>
    </row>
    <row r="21646">
      <c r="B21646" s="31"/>
      <c r="G21646" s="272" t="s">
        <v>1099</v>
      </c>
    </row>
    <row r="21647">
      <c r="B21647" s="31"/>
      <c r="G21647" s="272" t="s">
        <v>1099</v>
      </c>
    </row>
    <row r="21648">
      <c r="B21648" s="31"/>
      <c r="G21648" s="272" t="s">
        <v>1099</v>
      </c>
    </row>
    <row r="21649">
      <c r="B21649" s="31"/>
      <c r="G21649" s="272" t="s">
        <v>1099</v>
      </c>
    </row>
    <row r="21650">
      <c r="B21650" s="31"/>
      <c r="G21650" s="272" t="s">
        <v>1099</v>
      </c>
    </row>
    <row r="21651">
      <c r="B21651" s="31"/>
      <c r="G21651" s="272" t="s">
        <v>1099</v>
      </c>
    </row>
    <row r="21652">
      <c r="B21652" s="31"/>
      <c r="G21652" s="272" t="s">
        <v>1099</v>
      </c>
    </row>
    <row r="21653">
      <c r="B21653" s="31"/>
      <c r="G21653" s="272" t="s">
        <v>1099</v>
      </c>
    </row>
    <row r="21654">
      <c r="B21654" s="31"/>
      <c r="G21654" s="272" t="s">
        <v>1099</v>
      </c>
    </row>
    <row r="21655">
      <c r="B21655" s="31"/>
      <c r="G21655" s="272" t="s">
        <v>1099</v>
      </c>
    </row>
    <row r="21656">
      <c r="B21656" s="31"/>
      <c r="G21656" s="272" t="s">
        <v>1099</v>
      </c>
    </row>
    <row r="21657">
      <c r="B21657" s="31"/>
      <c r="G21657" s="272" t="s">
        <v>1099</v>
      </c>
    </row>
    <row r="21658">
      <c r="B21658" s="31"/>
      <c r="G21658" s="272" t="s">
        <v>1099</v>
      </c>
    </row>
    <row r="21659">
      <c r="B21659" s="31"/>
      <c r="G21659" s="272" t="s">
        <v>1099</v>
      </c>
    </row>
    <row r="21660">
      <c r="B21660" s="31"/>
      <c r="G21660" s="272" t="s">
        <v>1099</v>
      </c>
    </row>
    <row r="21661">
      <c r="B21661" s="31"/>
      <c r="G21661" s="272" t="s">
        <v>1099</v>
      </c>
    </row>
    <row r="21662">
      <c r="B21662" s="31"/>
      <c r="G21662" s="272" t="s">
        <v>1099</v>
      </c>
    </row>
    <row r="21663">
      <c r="B21663" s="31"/>
      <c r="G21663" s="272" t="s">
        <v>1099</v>
      </c>
    </row>
    <row r="21664">
      <c r="B21664" s="31"/>
      <c r="G21664" s="272" t="s">
        <v>1099</v>
      </c>
    </row>
    <row r="21665">
      <c r="B21665" s="31"/>
      <c r="G21665" s="272" t="s">
        <v>1099</v>
      </c>
    </row>
    <row r="21666">
      <c r="B21666" s="31"/>
      <c r="G21666" s="272" t="s">
        <v>1099</v>
      </c>
    </row>
    <row r="21667">
      <c r="B21667" s="31"/>
      <c r="G21667" s="272" t="s">
        <v>1099</v>
      </c>
    </row>
    <row r="21668">
      <c r="B21668" s="31"/>
      <c r="G21668" s="272" t="s">
        <v>1099</v>
      </c>
    </row>
    <row r="21669">
      <c r="B21669" s="31"/>
      <c r="G21669" s="272" t="s">
        <v>1099</v>
      </c>
    </row>
    <row r="21670">
      <c r="B21670" s="31"/>
      <c r="G21670" s="272" t="s">
        <v>1099</v>
      </c>
    </row>
    <row r="21671">
      <c r="B21671" s="31"/>
      <c r="G21671" s="272" t="s">
        <v>1099</v>
      </c>
    </row>
    <row r="21672">
      <c r="B21672" s="31"/>
      <c r="G21672" s="272" t="s">
        <v>1099</v>
      </c>
    </row>
    <row r="21673">
      <c r="B21673" s="31"/>
      <c r="G21673" s="272" t="s">
        <v>1099</v>
      </c>
    </row>
    <row r="21674">
      <c r="B21674" s="31"/>
      <c r="G21674" s="272" t="s">
        <v>1099</v>
      </c>
    </row>
    <row r="21675">
      <c r="B21675" s="31"/>
      <c r="G21675" s="272" t="s">
        <v>1099</v>
      </c>
    </row>
    <row r="21676">
      <c r="B21676" s="31"/>
      <c r="G21676" s="272" t="s">
        <v>1099</v>
      </c>
    </row>
    <row r="21677">
      <c r="B21677" s="31"/>
      <c r="G21677" s="272" t="s">
        <v>1099</v>
      </c>
    </row>
    <row r="21678">
      <c r="B21678" s="31"/>
      <c r="G21678" s="272" t="s">
        <v>1099</v>
      </c>
    </row>
    <row r="21679">
      <c r="B21679" s="31"/>
      <c r="G21679" s="272" t="s">
        <v>1099</v>
      </c>
    </row>
    <row r="21680">
      <c r="B21680" s="31"/>
      <c r="G21680" s="272" t="s">
        <v>1099</v>
      </c>
    </row>
    <row r="21681">
      <c r="B21681" s="31"/>
      <c r="G21681" s="272" t="s">
        <v>1099</v>
      </c>
    </row>
    <row r="21682">
      <c r="B21682" s="31"/>
      <c r="G21682" s="272" t="s">
        <v>1099</v>
      </c>
    </row>
    <row r="21683">
      <c r="B21683" s="31"/>
      <c r="G21683" s="272" t="s">
        <v>1099</v>
      </c>
    </row>
    <row r="21684">
      <c r="B21684" s="31"/>
      <c r="G21684" s="272" t="s">
        <v>1099</v>
      </c>
    </row>
    <row r="21685">
      <c r="B21685" s="31"/>
      <c r="G21685" s="272" t="s">
        <v>1099</v>
      </c>
    </row>
    <row r="21686">
      <c r="B21686" s="31"/>
      <c r="G21686" s="272" t="s">
        <v>1099</v>
      </c>
    </row>
    <row r="21687">
      <c r="B21687" s="31"/>
      <c r="G21687" s="272" t="s">
        <v>1099</v>
      </c>
    </row>
    <row r="21688">
      <c r="B21688" s="31"/>
      <c r="G21688" s="272" t="s">
        <v>1099</v>
      </c>
    </row>
    <row r="21689">
      <c r="B21689" s="31"/>
      <c r="G21689" s="272" t="s">
        <v>1099</v>
      </c>
    </row>
    <row r="21690">
      <c r="B21690" s="31"/>
      <c r="G21690" s="272" t="s">
        <v>1099</v>
      </c>
    </row>
    <row r="21691">
      <c r="B21691" s="31"/>
      <c r="G21691" s="272" t="s">
        <v>1099</v>
      </c>
    </row>
    <row r="21692">
      <c r="B21692" s="31"/>
      <c r="G21692" s="272" t="s">
        <v>1099</v>
      </c>
    </row>
    <row r="21693">
      <c r="B21693" s="31"/>
      <c r="G21693" s="272" t="s">
        <v>1099</v>
      </c>
    </row>
    <row r="21694">
      <c r="B21694" s="31"/>
      <c r="G21694" s="272" t="s">
        <v>1099</v>
      </c>
    </row>
    <row r="21695">
      <c r="B21695" s="31"/>
      <c r="G21695" s="272" t="s">
        <v>1099</v>
      </c>
    </row>
    <row r="21696">
      <c r="B21696" s="31"/>
      <c r="G21696" s="272" t="s">
        <v>1099</v>
      </c>
    </row>
    <row r="21697">
      <c r="B21697" s="31"/>
      <c r="G21697" s="272" t="s">
        <v>1099</v>
      </c>
    </row>
    <row r="21698">
      <c r="B21698" s="31"/>
      <c r="G21698" s="272" t="s">
        <v>1099</v>
      </c>
    </row>
    <row r="21699">
      <c r="B21699" s="31"/>
      <c r="G21699" s="272" t="s">
        <v>1099</v>
      </c>
    </row>
    <row r="21700">
      <c r="B21700" s="31"/>
      <c r="G21700" s="272" t="s">
        <v>1099</v>
      </c>
    </row>
    <row r="21701">
      <c r="B21701" s="31"/>
      <c r="G21701" s="272" t="s">
        <v>1099</v>
      </c>
    </row>
    <row r="21702">
      <c r="B21702" s="31"/>
      <c r="G21702" s="272" t="s">
        <v>1099</v>
      </c>
    </row>
    <row r="21703">
      <c r="B21703" s="31"/>
      <c r="G21703" s="272" t="s">
        <v>1099</v>
      </c>
    </row>
    <row r="21704">
      <c r="B21704" s="31"/>
      <c r="G21704" s="272" t="s">
        <v>1099</v>
      </c>
    </row>
    <row r="21705">
      <c r="B21705" s="31"/>
      <c r="G21705" s="272" t="s">
        <v>1099</v>
      </c>
    </row>
    <row r="21706">
      <c r="B21706" s="31"/>
      <c r="G21706" s="272" t="s">
        <v>1099</v>
      </c>
    </row>
    <row r="21707">
      <c r="B21707" s="31"/>
      <c r="G21707" s="272" t="s">
        <v>1099</v>
      </c>
    </row>
    <row r="21708">
      <c r="B21708" s="31"/>
      <c r="G21708" s="272" t="s">
        <v>1099</v>
      </c>
    </row>
    <row r="21709">
      <c r="B21709" s="31"/>
      <c r="G21709" s="272" t="s">
        <v>1099</v>
      </c>
    </row>
    <row r="21710">
      <c r="B21710" s="31"/>
      <c r="G21710" s="272" t="s">
        <v>1099</v>
      </c>
    </row>
    <row r="21711">
      <c r="B21711" s="31"/>
      <c r="G21711" s="272" t="s">
        <v>1099</v>
      </c>
    </row>
    <row r="21712">
      <c r="B21712" s="31"/>
      <c r="G21712" s="272" t="s">
        <v>1099</v>
      </c>
    </row>
    <row r="21713">
      <c r="B21713" s="31"/>
      <c r="G21713" s="272" t="s">
        <v>1099</v>
      </c>
    </row>
    <row r="21714">
      <c r="B21714" s="31"/>
      <c r="G21714" s="272" t="s">
        <v>1099</v>
      </c>
    </row>
    <row r="21715">
      <c r="B21715" s="31"/>
      <c r="G21715" s="272" t="s">
        <v>1099</v>
      </c>
    </row>
    <row r="21716">
      <c r="B21716" s="31"/>
      <c r="G21716" s="272" t="s">
        <v>1099</v>
      </c>
    </row>
    <row r="21717">
      <c r="B21717" s="31"/>
      <c r="G21717" s="272" t="s">
        <v>1099</v>
      </c>
    </row>
    <row r="21718">
      <c r="B21718" s="31"/>
      <c r="G21718" s="272" t="s">
        <v>1099</v>
      </c>
    </row>
    <row r="21719">
      <c r="B21719" s="31"/>
      <c r="G21719" s="272" t="s">
        <v>1099</v>
      </c>
    </row>
    <row r="21720">
      <c r="B21720" s="31"/>
      <c r="G21720" s="272" t="s">
        <v>1099</v>
      </c>
    </row>
    <row r="21721">
      <c r="B21721" s="31"/>
      <c r="G21721" s="272" t="s">
        <v>1099</v>
      </c>
    </row>
    <row r="21722">
      <c r="B21722" s="31"/>
      <c r="G21722" s="272" t="s">
        <v>1099</v>
      </c>
    </row>
    <row r="21723">
      <c r="B21723" s="31"/>
      <c r="G21723" s="272" t="s">
        <v>1099</v>
      </c>
    </row>
    <row r="21724">
      <c r="B21724" s="31"/>
      <c r="G21724" s="272" t="s">
        <v>1099</v>
      </c>
    </row>
    <row r="21725">
      <c r="B21725" s="31"/>
      <c r="G21725" s="272" t="s">
        <v>1099</v>
      </c>
    </row>
    <row r="21726">
      <c r="B21726" s="31"/>
      <c r="G21726" s="272" t="s">
        <v>1099</v>
      </c>
    </row>
    <row r="21727">
      <c r="B21727" s="31"/>
      <c r="G21727" s="272" t="s">
        <v>1099</v>
      </c>
    </row>
    <row r="21728">
      <c r="B21728" s="31"/>
      <c r="G21728" s="272" t="s">
        <v>1099</v>
      </c>
    </row>
    <row r="21729">
      <c r="B21729" s="31"/>
      <c r="G21729" s="272" t="s">
        <v>1099</v>
      </c>
    </row>
    <row r="21730">
      <c r="B21730" s="31"/>
      <c r="G21730" s="272" t="s">
        <v>1099</v>
      </c>
    </row>
    <row r="21731">
      <c r="B21731" s="31"/>
      <c r="G21731" s="272" t="s">
        <v>1099</v>
      </c>
    </row>
    <row r="21732">
      <c r="B21732" s="31"/>
      <c r="G21732" s="272" t="s">
        <v>1099</v>
      </c>
    </row>
    <row r="21733">
      <c r="B21733" s="31"/>
      <c r="G21733" s="272" t="s">
        <v>1099</v>
      </c>
    </row>
    <row r="21734">
      <c r="B21734" s="31"/>
      <c r="G21734" s="272" t="s">
        <v>1099</v>
      </c>
    </row>
    <row r="21735">
      <c r="B21735" s="31"/>
      <c r="G21735" s="272" t="s">
        <v>1099</v>
      </c>
    </row>
    <row r="21736">
      <c r="B21736" s="31"/>
      <c r="G21736" s="272" t="s">
        <v>1099</v>
      </c>
    </row>
    <row r="21737">
      <c r="B21737" s="31"/>
      <c r="G21737" s="272" t="s">
        <v>1099</v>
      </c>
    </row>
    <row r="21738">
      <c r="B21738" s="31"/>
      <c r="G21738" s="272" t="s">
        <v>1099</v>
      </c>
    </row>
    <row r="21739">
      <c r="B21739" s="31"/>
      <c r="G21739" s="272" t="s">
        <v>1099</v>
      </c>
    </row>
    <row r="21740">
      <c r="B21740" s="31"/>
      <c r="G21740" s="272" t="s">
        <v>1099</v>
      </c>
    </row>
    <row r="21741">
      <c r="B21741" s="31"/>
      <c r="G21741" s="272" t="s">
        <v>1099</v>
      </c>
    </row>
    <row r="21742">
      <c r="B21742" s="31"/>
      <c r="G21742" s="272" t="s">
        <v>1099</v>
      </c>
    </row>
    <row r="21743">
      <c r="B21743" s="31"/>
      <c r="G21743" s="272" t="s">
        <v>1099</v>
      </c>
    </row>
    <row r="21744">
      <c r="B21744" s="31"/>
      <c r="G21744" s="272" t="s">
        <v>1099</v>
      </c>
    </row>
    <row r="21745">
      <c r="B21745" s="31"/>
      <c r="G21745" s="272" t="s">
        <v>1099</v>
      </c>
    </row>
    <row r="21746">
      <c r="B21746" s="31"/>
      <c r="G21746" s="272" t="s">
        <v>1099</v>
      </c>
    </row>
    <row r="21747">
      <c r="B21747" s="31"/>
      <c r="G21747" s="272" t="s">
        <v>1099</v>
      </c>
    </row>
    <row r="21748">
      <c r="B21748" s="31"/>
      <c r="G21748" s="272" t="s">
        <v>1099</v>
      </c>
    </row>
    <row r="21749">
      <c r="B21749" s="31"/>
      <c r="G21749" s="272" t="s">
        <v>1099</v>
      </c>
    </row>
    <row r="21750">
      <c r="B21750" s="31"/>
      <c r="G21750" s="272" t="s">
        <v>1099</v>
      </c>
    </row>
    <row r="21751">
      <c r="B21751" s="31"/>
      <c r="G21751" s="272" t="s">
        <v>1099</v>
      </c>
    </row>
    <row r="21752">
      <c r="B21752" s="31"/>
      <c r="G21752" s="272" t="s">
        <v>1099</v>
      </c>
    </row>
    <row r="21753">
      <c r="B21753" s="31"/>
      <c r="G21753" s="272" t="s">
        <v>1099</v>
      </c>
    </row>
    <row r="21754">
      <c r="B21754" s="31"/>
      <c r="G21754" s="272" t="s">
        <v>1099</v>
      </c>
    </row>
    <row r="21755">
      <c r="B21755" s="31"/>
      <c r="G21755" s="272" t="s">
        <v>1099</v>
      </c>
    </row>
    <row r="21756">
      <c r="B21756" s="31"/>
      <c r="G21756" s="272" t="s">
        <v>1099</v>
      </c>
    </row>
    <row r="21757">
      <c r="B21757" s="31"/>
      <c r="G21757" s="272" t="s">
        <v>1099</v>
      </c>
    </row>
    <row r="21758">
      <c r="B21758" s="31"/>
      <c r="G21758" s="272" t="s">
        <v>1099</v>
      </c>
    </row>
    <row r="21759">
      <c r="B21759" s="31"/>
      <c r="G21759" s="272" t="s">
        <v>1099</v>
      </c>
    </row>
    <row r="21760">
      <c r="B21760" s="31"/>
      <c r="G21760" s="272" t="s">
        <v>1099</v>
      </c>
    </row>
    <row r="21761">
      <c r="B21761" s="31"/>
      <c r="G21761" s="272" t="s">
        <v>1099</v>
      </c>
    </row>
    <row r="21762">
      <c r="B21762" s="31"/>
      <c r="G21762" s="272" t="s">
        <v>1099</v>
      </c>
    </row>
    <row r="21763">
      <c r="B21763" s="31"/>
      <c r="G21763" s="272" t="s">
        <v>1099</v>
      </c>
    </row>
    <row r="21764">
      <c r="B21764" s="31"/>
      <c r="G21764" s="272" t="s">
        <v>1099</v>
      </c>
    </row>
    <row r="21765">
      <c r="B21765" s="31"/>
      <c r="G21765" s="272" t="s">
        <v>1099</v>
      </c>
    </row>
    <row r="21766">
      <c r="B21766" s="31"/>
      <c r="G21766" s="272" t="s">
        <v>1099</v>
      </c>
    </row>
    <row r="21767">
      <c r="B21767" s="31"/>
      <c r="G21767" s="272" t="s">
        <v>1099</v>
      </c>
    </row>
    <row r="21768">
      <c r="B21768" s="31"/>
      <c r="G21768" s="272" t="s">
        <v>1099</v>
      </c>
    </row>
    <row r="21769">
      <c r="B21769" s="31"/>
      <c r="G21769" s="272" t="s">
        <v>1099</v>
      </c>
    </row>
    <row r="21770">
      <c r="B21770" s="31"/>
      <c r="G21770" s="272" t="s">
        <v>1099</v>
      </c>
    </row>
    <row r="21771">
      <c r="B21771" s="31"/>
      <c r="G21771" s="272" t="s">
        <v>1099</v>
      </c>
    </row>
    <row r="21772">
      <c r="B21772" s="31"/>
      <c r="G21772" s="272" t="s">
        <v>1099</v>
      </c>
    </row>
    <row r="21773">
      <c r="B21773" s="31"/>
      <c r="G21773" s="272" t="s">
        <v>1099</v>
      </c>
    </row>
    <row r="21774">
      <c r="B21774" s="31"/>
      <c r="G21774" s="272" t="s">
        <v>1099</v>
      </c>
    </row>
    <row r="21775">
      <c r="B21775" s="31"/>
      <c r="G21775" s="272" t="s">
        <v>1099</v>
      </c>
    </row>
    <row r="21776">
      <c r="B21776" s="31"/>
      <c r="G21776" s="272" t="s">
        <v>1099</v>
      </c>
    </row>
    <row r="21777">
      <c r="B21777" s="31"/>
      <c r="G21777" s="272" t="s">
        <v>1099</v>
      </c>
    </row>
    <row r="21778">
      <c r="B21778" s="31"/>
      <c r="G21778" s="272" t="s">
        <v>1099</v>
      </c>
    </row>
    <row r="21779">
      <c r="B21779" s="31"/>
      <c r="G21779" s="272" t="s">
        <v>1099</v>
      </c>
    </row>
    <row r="21780">
      <c r="B21780" s="31"/>
      <c r="G21780" s="272" t="s">
        <v>1099</v>
      </c>
    </row>
    <row r="21781">
      <c r="B21781" s="31"/>
      <c r="G21781" s="272" t="s">
        <v>1099</v>
      </c>
    </row>
    <row r="21782">
      <c r="B21782" s="31"/>
      <c r="G21782" s="272" t="s">
        <v>1099</v>
      </c>
    </row>
    <row r="21783">
      <c r="B21783" s="31"/>
      <c r="G21783" s="272" t="s">
        <v>1099</v>
      </c>
    </row>
    <row r="21784">
      <c r="B21784" s="31"/>
      <c r="G21784" s="272" t="s">
        <v>1099</v>
      </c>
    </row>
    <row r="21785">
      <c r="B21785" s="31"/>
      <c r="G21785" s="272" t="s">
        <v>1099</v>
      </c>
    </row>
    <row r="21786">
      <c r="B21786" s="31"/>
      <c r="G21786" s="272" t="s">
        <v>1099</v>
      </c>
    </row>
    <row r="21787">
      <c r="B21787" s="31"/>
      <c r="G21787" s="272" t="s">
        <v>1099</v>
      </c>
    </row>
    <row r="21788">
      <c r="B21788" s="31"/>
      <c r="G21788" s="272" t="s">
        <v>1099</v>
      </c>
    </row>
    <row r="21789">
      <c r="B21789" s="31"/>
      <c r="G21789" s="272" t="s">
        <v>1099</v>
      </c>
    </row>
    <row r="21790">
      <c r="B21790" s="31"/>
      <c r="G21790" s="272" t="s">
        <v>1099</v>
      </c>
    </row>
    <row r="21791">
      <c r="B21791" s="31"/>
      <c r="G21791" s="272" t="s">
        <v>1099</v>
      </c>
    </row>
    <row r="21792">
      <c r="B21792" s="31"/>
      <c r="G21792" s="272" t="s">
        <v>1099</v>
      </c>
    </row>
    <row r="21793">
      <c r="B21793" s="31"/>
      <c r="G21793" s="272" t="s">
        <v>1099</v>
      </c>
    </row>
    <row r="21794">
      <c r="B21794" s="31"/>
      <c r="G21794" s="272" t="s">
        <v>1099</v>
      </c>
    </row>
    <row r="21795">
      <c r="B21795" s="31"/>
      <c r="G21795" s="272" t="s">
        <v>1099</v>
      </c>
    </row>
    <row r="21796">
      <c r="B21796" s="31"/>
      <c r="G21796" s="272" t="s">
        <v>1099</v>
      </c>
    </row>
    <row r="21797">
      <c r="B21797" s="31"/>
      <c r="G21797" s="272" t="s">
        <v>1099</v>
      </c>
    </row>
    <row r="21798">
      <c r="B21798" s="31"/>
      <c r="G21798" s="272" t="s">
        <v>1099</v>
      </c>
    </row>
    <row r="21799">
      <c r="B21799" s="31"/>
      <c r="G21799" s="272" t="s">
        <v>1099</v>
      </c>
    </row>
    <row r="21800">
      <c r="B21800" s="31"/>
      <c r="G21800" s="272" t="s">
        <v>1099</v>
      </c>
    </row>
    <row r="21801">
      <c r="B21801" s="31"/>
      <c r="G21801" s="272" t="s">
        <v>1099</v>
      </c>
    </row>
    <row r="21802">
      <c r="B21802" s="31"/>
      <c r="G21802" s="272" t="s">
        <v>1099</v>
      </c>
    </row>
    <row r="21803">
      <c r="B21803" s="31"/>
      <c r="G21803" s="272" t="s">
        <v>1099</v>
      </c>
    </row>
    <row r="21804">
      <c r="B21804" s="31"/>
      <c r="G21804" s="272" t="s">
        <v>1099</v>
      </c>
    </row>
    <row r="21805">
      <c r="B21805" s="31"/>
      <c r="G21805" s="272" t="s">
        <v>1099</v>
      </c>
    </row>
    <row r="21806">
      <c r="B21806" s="31"/>
      <c r="G21806" s="272" t="s">
        <v>1099</v>
      </c>
    </row>
    <row r="21807">
      <c r="B21807" s="31"/>
      <c r="G21807" s="272" t="s">
        <v>1099</v>
      </c>
    </row>
    <row r="21808">
      <c r="B21808" s="31"/>
      <c r="G21808" s="272" t="s">
        <v>1099</v>
      </c>
    </row>
    <row r="21809">
      <c r="B21809" s="31"/>
      <c r="G21809" s="272" t="s">
        <v>1099</v>
      </c>
    </row>
    <row r="21810">
      <c r="B21810" s="31"/>
      <c r="G21810" s="272" t="s">
        <v>1099</v>
      </c>
    </row>
    <row r="21811">
      <c r="B21811" s="31"/>
      <c r="G21811" s="272" t="s">
        <v>1099</v>
      </c>
    </row>
    <row r="21812">
      <c r="B21812" s="31"/>
      <c r="G21812" s="272" t="s">
        <v>1099</v>
      </c>
    </row>
    <row r="21813">
      <c r="B21813" s="31"/>
      <c r="G21813" s="272" t="s">
        <v>1099</v>
      </c>
    </row>
    <row r="21814">
      <c r="B21814" s="31"/>
      <c r="G21814" s="272" t="s">
        <v>1099</v>
      </c>
    </row>
    <row r="21815">
      <c r="B21815" s="31"/>
      <c r="G21815" s="272" t="s">
        <v>1099</v>
      </c>
    </row>
    <row r="21816">
      <c r="B21816" s="31"/>
      <c r="G21816" s="272" t="s">
        <v>1099</v>
      </c>
    </row>
    <row r="21817">
      <c r="B21817" s="31"/>
      <c r="G21817" s="272" t="s">
        <v>1099</v>
      </c>
    </row>
    <row r="21818">
      <c r="B21818" s="31"/>
      <c r="G21818" s="272" t="s">
        <v>1099</v>
      </c>
    </row>
    <row r="21819">
      <c r="B21819" s="31"/>
      <c r="G21819" s="272" t="s">
        <v>1099</v>
      </c>
    </row>
    <row r="21820">
      <c r="B21820" s="31"/>
      <c r="G21820" s="272" t="s">
        <v>1099</v>
      </c>
    </row>
    <row r="21821">
      <c r="B21821" s="31"/>
      <c r="G21821" s="272" t="s">
        <v>1099</v>
      </c>
    </row>
    <row r="21822">
      <c r="B21822" s="31"/>
      <c r="G21822" s="272" t="s">
        <v>1099</v>
      </c>
    </row>
    <row r="21823">
      <c r="B21823" s="31"/>
      <c r="G21823" s="272" t="s">
        <v>1099</v>
      </c>
    </row>
    <row r="21824">
      <c r="B21824" s="31"/>
      <c r="G21824" s="272" t="s">
        <v>1099</v>
      </c>
    </row>
    <row r="21825">
      <c r="B21825" s="31"/>
      <c r="G21825" s="272" t="s">
        <v>1099</v>
      </c>
    </row>
    <row r="21826">
      <c r="B21826" s="31"/>
      <c r="G21826" s="272" t="s">
        <v>1099</v>
      </c>
    </row>
    <row r="21827">
      <c r="B21827" s="31"/>
      <c r="G21827" s="272" t="s">
        <v>1099</v>
      </c>
    </row>
    <row r="21828">
      <c r="B21828" s="31"/>
      <c r="G21828" s="272" t="s">
        <v>1099</v>
      </c>
    </row>
    <row r="21829">
      <c r="B21829" s="31"/>
      <c r="G21829" s="272" t="s">
        <v>1099</v>
      </c>
    </row>
    <row r="21830">
      <c r="B21830" s="31"/>
      <c r="G21830" s="272" t="s">
        <v>1099</v>
      </c>
    </row>
    <row r="21831">
      <c r="B21831" s="31"/>
      <c r="G21831" s="272" t="s">
        <v>1099</v>
      </c>
    </row>
    <row r="21832">
      <c r="B21832" s="31"/>
      <c r="G21832" s="272" t="s">
        <v>1099</v>
      </c>
    </row>
    <row r="21833">
      <c r="B21833" s="31"/>
      <c r="G21833" s="272" t="s">
        <v>1099</v>
      </c>
    </row>
    <row r="21834">
      <c r="B21834" s="31"/>
      <c r="G21834" s="272" t="s">
        <v>1099</v>
      </c>
    </row>
    <row r="21835">
      <c r="B21835" s="31"/>
      <c r="G21835" s="272" t="s">
        <v>1099</v>
      </c>
    </row>
    <row r="21836">
      <c r="B21836" s="31"/>
      <c r="G21836" s="272" t="s">
        <v>1099</v>
      </c>
    </row>
    <row r="21837">
      <c r="B21837" s="31"/>
      <c r="G21837" s="272" t="s">
        <v>1099</v>
      </c>
    </row>
    <row r="21838">
      <c r="B21838" s="31"/>
      <c r="G21838" s="272" t="s">
        <v>1099</v>
      </c>
    </row>
    <row r="21839">
      <c r="B21839" s="31"/>
      <c r="G21839" s="272" t="s">
        <v>1099</v>
      </c>
    </row>
    <row r="21840">
      <c r="B21840" s="31"/>
      <c r="G21840" s="272" t="s">
        <v>1099</v>
      </c>
    </row>
    <row r="21841">
      <c r="B21841" s="31"/>
      <c r="G21841" s="272" t="s">
        <v>1099</v>
      </c>
    </row>
    <row r="21842">
      <c r="B21842" s="31"/>
      <c r="G21842" s="272" t="s">
        <v>1099</v>
      </c>
    </row>
    <row r="21843">
      <c r="B21843" s="31"/>
      <c r="G21843" s="272" t="s">
        <v>1099</v>
      </c>
    </row>
    <row r="21844">
      <c r="B21844" s="31"/>
      <c r="G21844" s="272" t="s">
        <v>1099</v>
      </c>
    </row>
    <row r="21845">
      <c r="B21845" s="31"/>
      <c r="G21845" s="272" t="s">
        <v>1099</v>
      </c>
    </row>
    <row r="21846">
      <c r="B21846" s="31"/>
      <c r="G21846" s="272" t="s">
        <v>1099</v>
      </c>
    </row>
    <row r="21847">
      <c r="B21847" s="31"/>
      <c r="G21847" s="272" t="s">
        <v>1099</v>
      </c>
    </row>
    <row r="21848">
      <c r="B21848" s="31"/>
      <c r="G21848" s="272" t="s">
        <v>1099</v>
      </c>
    </row>
    <row r="21849">
      <c r="B21849" s="31"/>
      <c r="G21849" s="272" t="s">
        <v>1099</v>
      </c>
    </row>
    <row r="21850">
      <c r="B21850" s="31"/>
      <c r="G21850" s="272" t="s">
        <v>1099</v>
      </c>
    </row>
    <row r="21851">
      <c r="B21851" s="31"/>
      <c r="G21851" s="272" t="s">
        <v>1099</v>
      </c>
    </row>
    <row r="21852">
      <c r="B21852" s="31"/>
      <c r="G21852" s="272" t="s">
        <v>1099</v>
      </c>
    </row>
    <row r="21853">
      <c r="B21853" s="31"/>
      <c r="G21853" s="272" t="s">
        <v>1099</v>
      </c>
    </row>
    <row r="21854">
      <c r="B21854" s="31"/>
      <c r="G21854" s="272" t="s">
        <v>1099</v>
      </c>
    </row>
    <row r="21855">
      <c r="B21855" s="31"/>
      <c r="G21855" s="272" t="s">
        <v>1099</v>
      </c>
    </row>
    <row r="21856">
      <c r="B21856" s="31"/>
      <c r="G21856" s="272" t="s">
        <v>1099</v>
      </c>
    </row>
    <row r="21857">
      <c r="B21857" s="31"/>
      <c r="G21857" s="272" t="s">
        <v>1099</v>
      </c>
    </row>
    <row r="21858">
      <c r="B21858" s="31"/>
      <c r="G21858" s="272" t="s">
        <v>1099</v>
      </c>
    </row>
    <row r="21859">
      <c r="B21859" s="31"/>
      <c r="G21859" s="272" t="s">
        <v>1099</v>
      </c>
    </row>
    <row r="21860">
      <c r="B21860" s="31"/>
      <c r="G21860" s="272" t="s">
        <v>1099</v>
      </c>
    </row>
    <row r="21861">
      <c r="B21861" s="31"/>
      <c r="G21861" s="272" t="s">
        <v>1099</v>
      </c>
    </row>
    <row r="21862">
      <c r="B21862" s="31"/>
      <c r="G21862" s="272" t="s">
        <v>1099</v>
      </c>
    </row>
    <row r="21863">
      <c r="B21863" s="31"/>
      <c r="G21863" s="272" t="s">
        <v>1099</v>
      </c>
    </row>
    <row r="21864">
      <c r="B21864" s="31"/>
      <c r="G21864" s="272" t="s">
        <v>1099</v>
      </c>
    </row>
    <row r="21865">
      <c r="B21865" s="31"/>
      <c r="G21865" s="272" t="s">
        <v>1099</v>
      </c>
    </row>
    <row r="21866">
      <c r="B21866" s="31"/>
      <c r="G21866" s="272" t="s">
        <v>1099</v>
      </c>
    </row>
    <row r="21867">
      <c r="B21867" s="31"/>
      <c r="G21867" s="272" t="s">
        <v>1099</v>
      </c>
    </row>
    <row r="21868">
      <c r="B21868" s="31"/>
      <c r="G21868" s="272" t="s">
        <v>1099</v>
      </c>
    </row>
    <row r="21869">
      <c r="B21869" s="31"/>
      <c r="G21869" s="272" t="s">
        <v>1099</v>
      </c>
    </row>
    <row r="21870">
      <c r="B21870" s="31"/>
      <c r="G21870" s="272" t="s">
        <v>1099</v>
      </c>
    </row>
    <row r="21871">
      <c r="B21871" s="31"/>
      <c r="G21871" s="272" t="s">
        <v>1099</v>
      </c>
    </row>
    <row r="21872">
      <c r="B21872" s="31"/>
      <c r="G21872" s="272" t="s">
        <v>1099</v>
      </c>
    </row>
    <row r="21873">
      <c r="B21873" s="31"/>
      <c r="G21873" s="272" t="s">
        <v>1099</v>
      </c>
    </row>
    <row r="21874">
      <c r="B21874" s="31"/>
      <c r="G21874" s="272" t="s">
        <v>1099</v>
      </c>
    </row>
    <row r="21875">
      <c r="B21875" s="31"/>
      <c r="G21875" s="272" t="s">
        <v>1099</v>
      </c>
    </row>
    <row r="21876">
      <c r="B21876" s="31"/>
      <c r="G21876" s="272" t="s">
        <v>1099</v>
      </c>
    </row>
    <row r="21877">
      <c r="B21877" s="31"/>
      <c r="G21877" s="272" t="s">
        <v>1099</v>
      </c>
    </row>
    <row r="21878">
      <c r="B21878" s="31"/>
      <c r="G21878" s="272" t="s">
        <v>1099</v>
      </c>
    </row>
    <row r="21879">
      <c r="B21879" s="31"/>
      <c r="G21879" s="272" t="s">
        <v>1099</v>
      </c>
    </row>
    <row r="21880">
      <c r="B21880" s="31"/>
      <c r="G21880" s="272" t="s">
        <v>1099</v>
      </c>
    </row>
    <row r="21881">
      <c r="B21881" s="31"/>
      <c r="G21881" s="272" t="s">
        <v>1099</v>
      </c>
    </row>
    <row r="21882">
      <c r="B21882" s="31"/>
      <c r="G21882" s="272" t="s">
        <v>1099</v>
      </c>
    </row>
    <row r="21883">
      <c r="B21883" s="31"/>
      <c r="G21883" s="272" t="s">
        <v>1099</v>
      </c>
    </row>
    <row r="21884">
      <c r="B21884" s="31"/>
      <c r="G21884" s="272" t="s">
        <v>1099</v>
      </c>
    </row>
    <row r="21885">
      <c r="B21885" s="31"/>
      <c r="G21885" s="272" t="s">
        <v>1099</v>
      </c>
    </row>
    <row r="21886">
      <c r="B21886" s="31"/>
      <c r="G21886" s="272" t="s">
        <v>1099</v>
      </c>
    </row>
    <row r="21887">
      <c r="B21887" s="31"/>
      <c r="G21887" s="272" t="s">
        <v>1099</v>
      </c>
    </row>
    <row r="21888">
      <c r="B21888" s="31"/>
      <c r="G21888" s="272" t="s">
        <v>1099</v>
      </c>
    </row>
    <row r="21889">
      <c r="B21889" s="31"/>
      <c r="G21889" s="272" t="s">
        <v>1099</v>
      </c>
    </row>
    <row r="21890">
      <c r="B21890" s="31"/>
      <c r="G21890" s="272" t="s">
        <v>1099</v>
      </c>
    </row>
    <row r="21891">
      <c r="B21891" s="31"/>
      <c r="G21891" s="272" t="s">
        <v>1099</v>
      </c>
    </row>
    <row r="21892">
      <c r="B21892" s="31"/>
      <c r="G21892" s="272" t="s">
        <v>1099</v>
      </c>
    </row>
    <row r="21893">
      <c r="B21893" s="31"/>
      <c r="G21893" s="272" t="s">
        <v>1099</v>
      </c>
    </row>
    <row r="21894">
      <c r="B21894" s="31"/>
      <c r="G21894" s="272" t="s">
        <v>1099</v>
      </c>
    </row>
    <row r="21895">
      <c r="B21895" s="31"/>
      <c r="G21895" s="272" t="s">
        <v>1099</v>
      </c>
    </row>
    <row r="21896">
      <c r="B21896" s="31"/>
      <c r="G21896" s="272" t="s">
        <v>1099</v>
      </c>
    </row>
    <row r="21897">
      <c r="B21897" s="31"/>
      <c r="G21897" s="272" t="s">
        <v>1099</v>
      </c>
    </row>
    <row r="21898">
      <c r="B21898" s="31"/>
      <c r="G21898" s="272" t="s">
        <v>1099</v>
      </c>
    </row>
    <row r="21899">
      <c r="B21899" s="31"/>
      <c r="G21899" s="272" t="s">
        <v>1099</v>
      </c>
    </row>
    <row r="21900">
      <c r="B21900" s="31"/>
      <c r="G21900" s="272" t="s">
        <v>1099</v>
      </c>
    </row>
    <row r="21901">
      <c r="B21901" s="31"/>
      <c r="G21901" s="272" t="s">
        <v>1099</v>
      </c>
    </row>
    <row r="21902">
      <c r="B21902" s="31"/>
      <c r="G21902" s="272" t="s">
        <v>1099</v>
      </c>
    </row>
    <row r="21903">
      <c r="B21903" s="31"/>
      <c r="G21903" s="272" t="s">
        <v>1099</v>
      </c>
    </row>
    <row r="21904">
      <c r="B21904" s="31"/>
      <c r="G21904" s="272" t="s">
        <v>1099</v>
      </c>
    </row>
    <row r="21905">
      <c r="B21905" s="31"/>
      <c r="G21905" s="272" t="s">
        <v>1099</v>
      </c>
    </row>
    <row r="21906">
      <c r="B21906" s="31"/>
      <c r="G21906" s="272" t="s">
        <v>1099</v>
      </c>
    </row>
    <row r="21907">
      <c r="B21907" s="31"/>
      <c r="G21907" s="272" t="s">
        <v>1099</v>
      </c>
    </row>
    <row r="21908">
      <c r="B21908" s="31"/>
      <c r="G21908" s="272" t="s">
        <v>1099</v>
      </c>
    </row>
    <row r="21909">
      <c r="B21909" s="31"/>
      <c r="G21909" s="272" t="s">
        <v>1099</v>
      </c>
    </row>
    <row r="21910">
      <c r="B21910" s="31"/>
      <c r="G21910" s="272" t="s">
        <v>1099</v>
      </c>
    </row>
    <row r="21911">
      <c r="B21911" s="31"/>
      <c r="G21911" s="272" t="s">
        <v>1099</v>
      </c>
    </row>
    <row r="21912">
      <c r="B21912" s="31"/>
      <c r="G21912" s="272" t="s">
        <v>1099</v>
      </c>
    </row>
    <row r="21913">
      <c r="B21913" s="31"/>
      <c r="G21913" s="272" t="s">
        <v>1099</v>
      </c>
    </row>
    <row r="21914">
      <c r="B21914" s="31"/>
      <c r="G21914" s="272" t="s">
        <v>1099</v>
      </c>
    </row>
    <row r="21915">
      <c r="B21915" s="31"/>
      <c r="G21915" s="272" t="s">
        <v>1099</v>
      </c>
    </row>
    <row r="21916">
      <c r="B21916" s="31"/>
      <c r="G21916" s="272" t="s">
        <v>1099</v>
      </c>
    </row>
    <row r="21917">
      <c r="B21917" s="31"/>
      <c r="G21917" s="272" t="s">
        <v>1099</v>
      </c>
    </row>
    <row r="21918">
      <c r="B21918" s="31"/>
      <c r="G21918" s="272" t="s">
        <v>1099</v>
      </c>
    </row>
    <row r="21919">
      <c r="B21919" s="31"/>
      <c r="G21919" s="272" t="s">
        <v>1099</v>
      </c>
    </row>
    <row r="21920">
      <c r="B21920" s="31"/>
      <c r="G21920" s="272" t="s">
        <v>1099</v>
      </c>
    </row>
    <row r="21921">
      <c r="B21921" s="31"/>
      <c r="G21921" s="272" t="s">
        <v>1099</v>
      </c>
    </row>
    <row r="21922">
      <c r="B21922" s="31"/>
      <c r="G21922" s="272" t="s">
        <v>1099</v>
      </c>
    </row>
    <row r="21923">
      <c r="B21923" s="31"/>
      <c r="G21923" s="272" t="s">
        <v>1099</v>
      </c>
    </row>
    <row r="21924">
      <c r="B21924" s="31"/>
      <c r="G21924" s="272" t="s">
        <v>1099</v>
      </c>
    </row>
    <row r="21925">
      <c r="B21925" s="31"/>
      <c r="G21925" s="272" t="s">
        <v>1099</v>
      </c>
    </row>
    <row r="21926">
      <c r="B21926" s="31"/>
      <c r="G21926" s="272" t="s">
        <v>1099</v>
      </c>
    </row>
    <row r="21927">
      <c r="B21927" s="31"/>
      <c r="G21927" s="272" t="s">
        <v>1099</v>
      </c>
    </row>
    <row r="21928">
      <c r="B21928" s="31"/>
      <c r="G21928" s="272" t="s">
        <v>1099</v>
      </c>
    </row>
    <row r="21929">
      <c r="B21929" s="31"/>
      <c r="G21929" s="272" t="s">
        <v>1099</v>
      </c>
    </row>
    <row r="21930">
      <c r="B21930" s="31"/>
      <c r="G21930" s="272" t="s">
        <v>1099</v>
      </c>
    </row>
    <row r="21931">
      <c r="B21931" s="31"/>
      <c r="G21931" s="272" t="s">
        <v>1099</v>
      </c>
    </row>
    <row r="21932">
      <c r="B21932" s="31"/>
      <c r="G21932" s="272" t="s">
        <v>1099</v>
      </c>
    </row>
    <row r="21933">
      <c r="B21933" s="31"/>
      <c r="G21933" s="272" t="s">
        <v>1099</v>
      </c>
    </row>
    <row r="21934">
      <c r="B21934" s="31"/>
      <c r="G21934" s="272" t="s">
        <v>1099</v>
      </c>
    </row>
    <row r="21935">
      <c r="B21935" s="31"/>
      <c r="G21935" s="272" t="s">
        <v>1099</v>
      </c>
    </row>
    <row r="21936">
      <c r="B21936" s="31"/>
      <c r="G21936" s="272" t="s">
        <v>1099</v>
      </c>
    </row>
    <row r="21937">
      <c r="B21937" s="31"/>
      <c r="G21937" s="272" t="s">
        <v>1099</v>
      </c>
    </row>
    <row r="21938">
      <c r="B21938" s="31"/>
      <c r="G21938" s="272" t="s">
        <v>1099</v>
      </c>
    </row>
    <row r="21939">
      <c r="B21939" s="31"/>
      <c r="G21939" s="272" t="s">
        <v>1099</v>
      </c>
    </row>
    <row r="21940">
      <c r="B21940" s="31"/>
      <c r="G21940" s="272" t="s">
        <v>1099</v>
      </c>
    </row>
    <row r="21941">
      <c r="B21941" s="31"/>
      <c r="G21941" s="272" t="s">
        <v>1099</v>
      </c>
    </row>
    <row r="21942">
      <c r="B21942" s="31"/>
      <c r="G21942" s="272" t="s">
        <v>1099</v>
      </c>
    </row>
    <row r="21943">
      <c r="B21943" s="31"/>
      <c r="G21943" s="272" t="s">
        <v>1099</v>
      </c>
    </row>
    <row r="21944">
      <c r="B21944" s="31"/>
      <c r="G21944" s="272" t="s">
        <v>1099</v>
      </c>
    </row>
    <row r="21945">
      <c r="B21945" s="31"/>
      <c r="G21945" s="272" t="s">
        <v>1099</v>
      </c>
    </row>
    <row r="21946">
      <c r="B21946" s="31"/>
      <c r="G21946" s="272" t="s">
        <v>1099</v>
      </c>
    </row>
    <row r="21947">
      <c r="B21947" s="31"/>
      <c r="G21947" s="272" t="s">
        <v>1099</v>
      </c>
    </row>
    <row r="21948">
      <c r="B21948" s="31"/>
      <c r="G21948" s="272" t="s">
        <v>1099</v>
      </c>
    </row>
    <row r="21949">
      <c r="B21949" s="31"/>
      <c r="G21949" s="272" t="s">
        <v>1099</v>
      </c>
    </row>
    <row r="21950">
      <c r="B21950" s="31"/>
      <c r="G21950" s="272" t="s">
        <v>1099</v>
      </c>
    </row>
    <row r="21951">
      <c r="B21951" s="31"/>
      <c r="G21951" s="272" t="s">
        <v>1099</v>
      </c>
    </row>
    <row r="21952">
      <c r="B21952" s="31"/>
      <c r="G21952" s="272" t="s">
        <v>1099</v>
      </c>
    </row>
    <row r="21953">
      <c r="B21953" s="31"/>
      <c r="G21953" s="272" t="s">
        <v>1099</v>
      </c>
    </row>
    <row r="21954">
      <c r="B21954" s="31"/>
      <c r="G21954" s="272" t="s">
        <v>1099</v>
      </c>
    </row>
    <row r="21955">
      <c r="B21955" s="31"/>
      <c r="G21955" s="272" t="s">
        <v>1099</v>
      </c>
    </row>
    <row r="21956">
      <c r="B21956" s="31"/>
      <c r="G21956" s="272" t="s">
        <v>1099</v>
      </c>
    </row>
    <row r="21957">
      <c r="B21957" s="31"/>
      <c r="G21957" s="272" t="s">
        <v>1099</v>
      </c>
    </row>
    <row r="21958">
      <c r="B21958" s="31"/>
      <c r="G21958" s="272" t="s">
        <v>1099</v>
      </c>
    </row>
    <row r="21959">
      <c r="B21959" s="31"/>
      <c r="G21959" s="272" t="s">
        <v>1099</v>
      </c>
    </row>
    <row r="21960">
      <c r="B21960" s="31"/>
      <c r="G21960" s="272" t="s">
        <v>1099</v>
      </c>
    </row>
    <row r="21961">
      <c r="B21961" s="31"/>
      <c r="G21961" s="272" t="s">
        <v>1099</v>
      </c>
    </row>
    <row r="21962">
      <c r="B21962" s="31"/>
      <c r="G21962" s="272" t="s">
        <v>1099</v>
      </c>
    </row>
    <row r="21963">
      <c r="B21963" s="31"/>
      <c r="G21963" s="272" t="s">
        <v>1099</v>
      </c>
    </row>
    <row r="21964">
      <c r="B21964" s="31"/>
      <c r="G21964" s="272" t="s">
        <v>1099</v>
      </c>
    </row>
    <row r="21965">
      <c r="B21965" s="31"/>
      <c r="G21965" s="272" t="s">
        <v>1099</v>
      </c>
    </row>
    <row r="21966">
      <c r="B21966" s="31"/>
      <c r="G21966" s="272" t="s">
        <v>1099</v>
      </c>
    </row>
    <row r="21967">
      <c r="B21967" s="31"/>
      <c r="G21967" s="272" t="s">
        <v>1099</v>
      </c>
    </row>
    <row r="21968">
      <c r="B21968" s="31"/>
      <c r="G21968" s="272" t="s">
        <v>1099</v>
      </c>
    </row>
    <row r="21969">
      <c r="B21969" s="31"/>
      <c r="G21969" s="272" t="s">
        <v>1099</v>
      </c>
    </row>
    <row r="21970">
      <c r="B21970" s="31"/>
      <c r="G21970" s="272" t="s">
        <v>1099</v>
      </c>
    </row>
    <row r="21971">
      <c r="B21971" s="31"/>
      <c r="G21971" s="272" t="s">
        <v>1099</v>
      </c>
    </row>
    <row r="21972">
      <c r="B21972" s="31"/>
      <c r="G21972" s="272" t="s">
        <v>1099</v>
      </c>
    </row>
    <row r="21973">
      <c r="B21973" s="31"/>
      <c r="G21973" s="272" t="s">
        <v>1099</v>
      </c>
    </row>
    <row r="21974">
      <c r="B21974" s="31"/>
      <c r="G21974" s="272" t="s">
        <v>1099</v>
      </c>
    </row>
    <row r="21975">
      <c r="B21975" s="31"/>
      <c r="G21975" s="272" t="s">
        <v>1099</v>
      </c>
    </row>
    <row r="21976">
      <c r="B21976" s="31"/>
      <c r="G21976" s="272" t="s">
        <v>1099</v>
      </c>
    </row>
    <row r="21977">
      <c r="B21977" s="31"/>
      <c r="G21977" s="272" t="s">
        <v>1099</v>
      </c>
    </row>
    <row r="21978">
      <c r="B21978" s="31"/>
      <c r="G21978" s="272" t="s">
        <v>1099</v>
      </c>
    </row>
    <row r="21979">
      <c r="B21979" s="31"/>
      <c r="G21979" s="272" t="s">
        <v>1099</v>
      </c>
    </row>
    <row r="21980">
      <c r="B21980" s="31"/>
      <c r="G21980" s="272" t="s">
        <v>1099</v>
      </c>
    </row>
    <row r="21981">
      <c r="B21981" s="31"/>
      <c r="G21981" s="272" t="s">
        <v>1099</v>
      </c>
    </row>
    <row r="21982">
      <c r="B21982" s="31"/>
      <c r="G21982" s="272" t="s">
        <v>1099</v>
      </c>
    </row>
    <row r="21983">
      <c r="B21983" s="31"/>
      <c r="G21983" s="272" t="s">
        <v>1099</v>
      </c>
    </row>
    <row r="21984">
      <c r="B21984" s="31"/>
      <c r="G21984" s="272" t="s">
        <v>1099</v>
      </c>
    </row>
    <row r="21985">
      <c r="B21985" s="31"/>
      <c r="G21985" s="272" t="s">
        <v>1099</v>
      </c>
    </row>
    <row r="21986">
      <c r="B21986" s="31"/>
      <c r="G21986" s="272" t="s">
        <v>1099</v>
      </c>
    </row>
    <row r="21987">
      <c r="B21987" s="31"/>
      <c r="G21987" s="272" t="s">
        <v>1099</v>
      </c>
    </row>
    <row r="21988">
      <c r="B21988" s="31"/>
      <c r="G21988" s="272" t="s">
        <v>1099</v>
      </c>
    </row>
    <row r="21989">
      <c r="B21989" s="31"/>
      <c r="G21989" s="272" t="s">
        <v>1099</v>
      </c>
    </row>
    <row r="21990">
      <c r="B21990" s="31"/>
      <c r="G21990" s="272" t="s">
        <v>1099</v>
      </c>
    </row>
    <row r="21991">
      <c r="B21991" s="31"/>
      <c r="G21991" s="272" t="s">
        <v>1099</v>
      </c>
    </row>
    <row r="21992">
      <c r="B21992" s="31"/>
      <c r="G21992" s="272" t="s">
        <v>1099</v>
      </c>
    </row>
    <row r="21993">
      <c r="B21993" s="31"/>
      <c r="G21993" s="272" t="s">
        <v>1099</v>
      </c>
    </row>
    <row r="21994">
      <c r="B21994" s="31"/>
      <c r="G21994" s="272" t="s">
        <v>1099</v>
      </c>
    </row>
    <row r="21995">
      <c r="B21995" s="31"/>
      <c r="G21995" s="272" t="s">
        <v>1099</v>
      </c>
    </row>
    <row r="21996">
      <c r="B21996" s="31"/>
      <c r="G21996" s="272" t="s">
        <v>1099</v>
      </c>
    </row>
    <row r="21997">
      <c r="B21997" s="31"/>
      <c r="G21997" s="272" t="s">
        <v>1099</v>
      </c>
    </row>
    <row r="21998">
      <c r="B21998" s="31"/>
      <c r="G21998" s="272" t="s">
        <v>1099</v>
      </c>
    </row>
    <row r="21999">
      <c r="B21999" s="31"/>
      <c r="G21999" s="272" t="s">
        <v>1099</v>
      </c>
    </row>
    <row r="22000">
      <c r="B22000" s="31"/>
      <c r="G22000" s="272" t="s">
        <v>1099</v>
      </c>
    </row>
    <row r="22001">
      <c r="B22001" s="31"/>
      <c r="G22001" s="272" t="s">
        <v>1099</v>
      </c>
    </row>
    <row r="22002">
      <c r="B22002" s="31"/>
      <c r="G22002" s="272" t="s">
        <v>1099</v>
      </c>
    </row>
    <row r="22003">
      <c r="B22003" s="31"/>
      <c r="G22003" s="272" t="s">
        <v>1099</v>
      </c>
    </row>
    <row r="22004">
      <c r="B22004" s="31"/>
      <c r="G22004" s="272" t="s">
        <v>1099</v>
      </c>
    </row>
    <row r="22005">
      <c r="B22005" s="31"/>
      <c r="G22005" s="272" t="s">
        <v>1099</v>
      </c>
    </row>
    <row r="22006">
      <c r="B22006" s="31"/>
      <c r="G22006" s="272" t="s">
        <v>1099</v>
      </c>
    </row>
    <row r="22007">
      <c r="B22007" s="31"/>
      <c r="G22007" s="272" t="s">
        <v>1099</v>
      </c>
    </row>
    <row r="22008">
      <c r="B22008" s="31"/>
      <c r="G22008" s="272" t="s">
        <v>1099</v>
      </c>
    </row>
    <row r="22009">
      <c r="B22009" s="31"/>
      <c r="G22009" s="272" t="s">
        <v>1099</v>
      </c>
    </row>
    <row r="22010">
      <c r="B22010" s="31"/>
      <c r="G22010" s="272" t="s">
        <v>1099</v>
      </c>
    </row>
    <row r="22011">
      <c r="B22011" s="31"/>
      <c r="G22011" s="272" t="s">
        <v>1099</v>
      </c>
    </row>
    <row r="22012">
      <c r="B22012" s="31"/>
      <c r="G22012" s="272" t="s">
        <v>1099</v>
      </c>
    </row>
    <row r="22013">
      <c r="B22013" s="31"/>
      <c r="G22013" s="272" t="s">
        <v>1099</v>
      </c>
    </row>
    <row r="22014">
      <c r="B22014" s="31"/>
      <c r="G22014" s="272" t="s">
        <v>1099</v>
      </c>
    </row>
    <row r="22015">
      <c r="B22015" s="31"/>
      <c r="G22015" s="272" t="s">
        <v>1099</v>
      </c>
    </row>
    <row r="22016">
      <c r="B22016" s="31"/>
      <c r="G22016" s="272" t="s">
        <v>1099</v>
      </c>
    </row>
    <row r="22017">
      <c r="B22017" s="31"/>
      <c r="G22017" s="272" t="s">
        <v>1099</v>
      </c>
    </row>
    <row r="22018">
      <c r="B22018" s="31"/>
      <c r="G22018" s="272" t="s">
        <v>1099</v>
      </c>
    </row>
    <row r="22019">
      <c r="B22019" s="31"/>
      <c r="G22019" s="272" t="s">
        <v>1099</v>
      </c>
    </row>
    <row r="22020">
      <c r="B22020" s="31"/>
      <c r="G22020" s="272" t="s">
        <v>1099</v>
      </c>
    </row>
    <row r="22021">
      <c r="B22021" s="31"/>
      <c r="G22021" s="272" t="s">
        <v>1099</v>
      </c>
    </row>
    <row r="22022">
      <c r="B22022" s="31"/>
      <c r="G22022" s="272" t="s">
        <v>1099</v>
      </c>
    </row>
    <row r="22023">
      <c r="B22023" s="31"/>
      <c r="G22023" s="272" t="s">
        <v>1099</v>
      </c>
    </row>
    <row r="22024">
      <c r="B22024" s="31"/>
      <c r="G22024" s="272" t="s">
        <v>1099</v>
      </c>
    </row>
    <row r="22025">
      <c r="B22025" s="31"/>
      <c r="G22025" s="272" t="s">
        <v>1099</v>
      </c>
    </row>
    <row r="22026">
      <c r="B22026" s="31"/>
      <c r="G22026" s="272" t="s">
        <v>1099</v>
      </c>
    </row>
    <row r="22027">
      <c r="B22027" s="31"/>
      <c r="G22027" s="272" t="s">
        <v>1099</v>
      </c>
    </row>
    <row r="22028">
      <c r="B22028" s="31"/>
      <c r="G22028" s="272" t="s">
        <v>1099</v>
      </c>
    </row>
    <row r="22029">
      <c r="B22029" s="31"/>
      <c r="G22029" s="272" t="s">
        <v>1099</v>
      </c>
    </row>
    <row r="22030">
      <c r="B22030" s="31"/>
      <c r="G22030" s="272" t="s">
        <v>1099</v>
      </c>
    </row>
    <row r="22031">
      <c r="B22031" s="31"/>
      <c r="G22031" s="272" t="s">
        <v>1099</v>
      </c>
    </row>
    <row r="22032">
      <c r="B22032" s="31"/>
      <c r="G22032" s="272" t="s">
        <v>1099</v>
      </c>
    </row>
    <row r="22033">
      <c r="B22033" s="31"/>
      <c r="G22033" s="272" t="s">
        <v>1099</v>
      </c>
    </row>
    <row r="22034">
      <c r="B22034" s="31"/>
      <c r="G22034" s="272" t="s">
        <v>1099</v>
      </c>
    </row>
    <row r="22035">
      <c r="B22035" s="31"/>
      <c r="G22035" s="272" t="s">
        <v>1099</v>
      </c>
    </row>
    <row r="22036">
      <c r="B22036" s="31"/>
      <c r="G22036" s="272" t="s">
        <v>1099</v>
      </c>
    </row>
    <row r="22037">
      <c r="B22037" s="31"/>
      <c r="G22037" s="272" t="s">
        <v>1099</v>
      </c>
    </row>
    <row r="22038">
      <c r="B22038" s="31"/>
      <c r="G22038" s="272" t="s">
        <v>1099</v>
      </c>
    </row>
    <row r="22039">
      <c r="B22039" s="31"/>
      <c r="G22039" s="272" t="s">
        <v>1099</v>
      </c>
    </row>
    <row r="22040">
      <c r="B22040" s="31"/>
      <c r="G22040" s="272" t="s">
        <v>1099</v>
      </c>
    </row>
    <row r="22041">
      <c r="B22041" s="31"/>
      <c r="G22041" s="272" t="s">
        <v>1099</v>
      </c>
    </row>
    <row r="22042">
      <c r="B22042" s="31"/>
      <c r="G22042" s="272" t="s">
        <v>1099</v>
      </c>
    </row>
    <row r="22043">
      <c r="B22043" s="31"/>
      <c r="G22043" s="272" t="s">
        <v>1099</v>
      </c>
    </row>
    <row r="22044">
      <c r="B22044" s="31"/>
      <c r="G22044" s="272" t="s">
        <v>1099</v>
      </c>
    </row>
    <row r="22045">
      <c r="B22045" s="31"/>
      <c r="G22045" s="272" t="s">
        <v>1099</v>
      </c>
    </row>
    <row r="22046">
      <c r="B22046" s="31"/>
      <c r="G22046" s="272" t="s">
        <v>1099</v>
      </c>
    </row>
    <row r="22047">
      <c r="B22047" s="31"/>
      <c r="G22047" s="272" t="s">
        <v>1099</v>
      </c>
    </row>
    <row r="22048">
      <c r="B22048" s="31"/>
      <c r="G22048" s="272" t="s">
        <v>1099</v>
      </c>
    </row>
    <row r="22049">
      <c r="B22049" s="31"/>
      <c r="G22049" s="272" t="s">
        <v>1099</v>
      </c>
    </row>
    <row r="22050">
      <c r="B22050" s="31"/>
      <c r="G22050" s="272" t="s">
        <v>1099</v>
      </c>
    </row>
    <row r="22051">
      <c r="B22051" s="31"/>
      <c r="G22051" s="272" t="s">
        <v>1099</v>
      </c>
    </row>
    <row r="22052">
      <c r="B22052" s="31"/>
      <c r="G22052" s="272" t="s">
        <v>1099</v>
      </c>
    </row>
    <row r="22053">
      <c r="B22053" s="31"/>
      <c r="G22053" s="272" t="s">
        <v>1099</v>
      </c>
    </row>
    <row r="22054">
      <c r="B22054" s="31"/>
      <c r="G22054" s="272" t="s">
        <v>1099</v>
      </c>
    </row>
    <row r="22055">
      <c r="B22055" s="31"/>
      <c r="G22055" s="272" t="s">
        <v>1099</v>
      </c>
    </row>
    <row r="22056">
      <c r="B22056" s="31"/>
      <c r="G22056" s="272" t="s">
        <v>1099</v>
      </c>
    </row>
    <row r="22057">
      <c r="B22057" s="31"/>
      <c r="G22057" s="272" t="s">
        <v>1099</v>
      </c>
    </row>
    <row r="22058">
      <c r="B22058" s="31"/>
      <c r="G22058" s="272" t="s">
        <v>1099</v>
      </c>
    </row>
    <row r="22059">
      <c r="B22059" s="31"/>
      <c r="G22059" s="272" t="s">
        <v>1099</v>
      </c>
    </row>
    <row r="22060">
      <c r="B22060" s="31"/>
      <c r="G22060" s="272" t="s">
        <v>1099</v>
      </c>
    </row>
    <row r="22061">
      <c r="B22061" s="31"/>
      <c r="G22061" s="272" t="s">
        <v>1099</v>
      </c>
    </row>
    <row r="22062">
      <c r="B22062" s="31"/>
      <c r="G22062" s="272" t="s">
        <v>1099</v>
      </c>
    </row>
    <row r="22063">
      <c r="B22063" s="31"/>
      <c r="G22063" s="272" t="s">
        <v>1099</v>
      </c>
    </row>
    <row r="22064">
      <c r="B22064" s="31"/>
      <c r="G22064" s="272" t="s">
        <v>1099</v>
      </c>
    </row>
    <row r="22065">
      <c r="B22065" s="31"/>
      <c r="G22065" s="272" t="s">
        <v>1099</v>
      </c>
    </row>
    <row r="22066">
      <c r="B22066" s="31"/>
      <c r="G22066" s="272" t="s">
        <v>1099</v>
      </c>
    </row>
    <row r="22067">
      <c r="B22067" s="31"/>
      <c r="G22067" s="272" t="s">
        <v>1099</v>
      </c>
    </row>
    <row r="22068">
      <c r="B22068" s="31"/>
      <c r="G22068" s="272" t="s">
        <v>1099</v>
      </c>
    </row>
    <row r="22069">
      <c r="B22069" s="31"/>
      <c r="G22069" s="272" t="s">
        <v>1099</v>
      </c>
    </row>
    <row r="22070">
      <c r="B22070" s="31"/>
      <c r="G22070" s="272" t="s">
        <v>1099</v>
      </c>
    </row>
    <row r="22071">
      <c r="B22071" s="31"/>
      <c r="G22071" s="272" t="s">
        <v>1099</v>
      </c>
    </row>
    <row r="22072">
      <c r="B22072" s="31"/>
      <c r="G22072" s="272" t="s">
        <v>1099</v>
      </c>
    </row>
    <row r="22073">
      <c r="B22073" s="31"/>
      <c r="G22073" s="272" t="s">
        <v>1099</v>
      </c>
    </row>
    <row r="22074">
      <c r="B22074" s="31"/>
      <c r="G22074" s="272" t="s">
        <v>1099</v>
      </c>
    </row>
    <row r="22075">
      <c r="B22075" s="31"/>
      <c r="G22075" s="272" t="s">
        <v>1099</v>
      </c>
    </row>
    <row r="22076">
      <c r="B22076" s="31"/>
      <c r="G22076" s="272" t="s">
        <v>1099</v>
      </c>
    </row>
    <row r="22077">
      <c r="B22077" s="31"/>
      <c r="G22077" s="272" t="s">
        <v>1099</v>
      </c>
    </row>
    <row r="22078">
      <c r="B22078" s="31"/>
      <c r="G22078" s="272" t="s">
        <v>1099</v>
      </c>
    </row>
    <row r="22079">
      <c r="B22079" s="31"/>
      <c r="G22079" s="272" t="s">
        <v>1099</v>
      </c>
    </row>
    <row r="22080">
      <c r="B22080" s="31"/>
      <c r="G22080" s="272" t="s">
        <v>1099</v>
      </c>
    </row>
    <row r="22081">
      <c r="B22081" s="31"/>
      <c r="G22081" s="272" t="s">
        <v>1099</v>
      </c>
    </row>
    <row r="22082">
      <c r="B22082" s="31"/>
      <c r="G22082" s="272" t="s">
        <v>1099</v>
      </c>
    </row>
    <row r="22083">
      <c r="B22083" s="31"/>
      <c r="G22083" s="272" t="s">
        <v>1099</v>
      </c>
    </row>
    <row r="22084">
      <c r="B22084" s="31"/>
      <c r="G22084" s="272" t="s">
        <v>1099</v>
      </c>
    </row>
    <row r="22085">
      <c r="B22085" s="31"/>
      <c r="G22085" s="272" t="s">
        <v>1099</v>
      </c>
    </row>
    <row r="22086">
      <c r="B22086" s="31"/>
      <c r="G22086" s="272" t="s">
        <v>1099</v>
      </c>
    </row>
    <row r="22087">
      <c r="B22087" s="31"/>
      <c r="G22087" s="272" t="s">
        <v>1099</v>
      </c>
    </row>
    <row r="22088">
      <c r="B22088" s="31"/>
      <c r="G22088" s="272" t="s">
        <v>1099</v>
      </c>
    </row>
    <row r="22089">
      <c r="B22089" s="31"/>
      <c r="G22089" s="272" t="s">
        <v>1099</v>
      </c>
    </row>
    <row r="22090">
      <c r="B22090" s="31"/>
      <c r="G22090" s="272" t="s">
        <v>1099</v>
      </c>
    </row>
    <row r="22091">
      <c r="B22091" s="31"/>
      <c r="G22091" s="272" t="s">
        <v>1099</v>
      </c>
    </row>
    <row r="22092">
      <c r="B22092" s="31"/>
      <c r="G22092" s="272" t="s">
        <v>1099</v>
      </c>
    </row>
    <row r="22093">
      <c r="B22093" s="31"/>
      <c r="G22093" s="272" t="s">
        <v>1099</v>
      </c>
    </row>
    <row r="22094">
      <c r="B22094" s="31"/>
      <c r="G22094" s="272" t="s">
        <v>1099</v>
      </c>
    </row>
    <row r="22095">
      <c r="B22095" s="31"/>
      <c r="G22095" s="272" t="s">
        <v>1099</v>
      </c>
    </row>
    <row r="22096">
      <c r="B22096" s="31"/>
      <c r="G22096" s="272" t="s">
        <v>1099</v>
      </c>
    </row>
    <row r="22097">
      <c r="B22097" s="31"/>
      <c r="G22097" s="272" t="s">
        <v>1099</v>
      </c>
    </row>
    <row r="22098">
      <c r="B22098" s="31"/>
      <c r="G22098" s="272" t="s">
        <v>1099</v>
      </c>
    </row>
    <row r="22099">
      <c r="B22099" s="31"/>
      <c r="G22099" s="272" t="s">
        <v>1099</v>
      </c>
    </row>
    <row r="22100">
      <c r="B22100" s="31"/>
      <c r="G22100" s="272" t="s">
        <v>1099</v>
      </c>
    </row>
    <row r="22101">
      <c r="B22101" s="31"/>
      <c r="G22101" s="272" t="s">
        <v>1099</v>
      </c>
    </row>
    <row r="22102">
      <c r="B22102" s="31"/>
      <c r="G22102" s="272" t="s">
        <v>1099</v>
      </c>
    </row>
    <row r="22103">
      <c r="B22103" s="31"/>
      <c r="G22103" s="272" t="s">
        <v>1099</v>
      </c>
    </row>
    <row r="22104">
      <c r="B22104" s="31"/>
      <c r="G22104" s="272" t="s">
        <v>1099</v>
      </c>
    </row>
    <row r="22105">
      <c r="B22105" s="31"/>
      <c r="G22105" s="272" t="s">
        <v>1099</v>
      </c>
    </row>
    <row r="22106">
      <c r="B22106" s="31"/>
      <c r="G22106" s="272" t="s">
        <v>1099</v>
      </c>
    </row>
    <row r="22107">
      <c r="B22107" s="31"/>
      <c r="G22107" s="272" t="s">
        <v>1099</v>
      </c>
    </row>
    <row r="22108">
      <c r="B22108" s="31"/>
      <c r="G22108" s="272" t="s">
        <v>1099</v>
      </c>
    </row>
    <row r="22109">
      <c r="B22109" s="31"/>
      <c r="G22109" s="272" t="s">
        <v>1099</v>
      </c>
    </row>
    <row r="22110">
      <c r="B22110" s="31"/>
      <c r="G22110" s="272" t="s">
        <v>1099</v>
      </c>
    </row>
    <row r="22111">
      <c r="B22111" s="31"/>
      <c r="G22111" s="272" t="s">
        <v>1099</v>
      </c>
    </row>
    <row r="22112">
      <c r="B22112" s="31"/>
      <c r="G22112" s="272" t="s">
        <v>1099</v>
      </c>
    </row>
    <row r="22113">
      <c r="B22113" s="31"/>
      <c r="G22113" s="272" t="s">
        <v>1099</v>
      </c>
    </row>
    <row r="22114">
      <c r="B22114" s="31"/>
      <c r="G22114" s="272" t="s">
        <v>1099</v>
      </c>
    </row>
    <row r="22115">
      <c r="B22115" s="31"/>
      <c r="G22115" s="272" t="s">
        <v>1099</v>
      </c>
    </row>
    <row r="22116">
      <c r="B22116" s="31"/>
      <c r="G22116" s="272" t="s">
        <v>1099</v>
      </c>
    </row>
    <row r="22117">
      <c r="B22117" s="31"/>
      <c r="G22117" s="272" t="s">
        <v>1099</v>
      </c>
    </row>
    <row r="22118">
      <c r="B22118" s="31"/>
      <c r="G22118" s="272" t="s">
        <v>1099</v>
      </c>
    </row>
    <row r="22119">
      <c r="B22119" s="31"/>
      <c r="G22119" s="272" t="s">
        <v>1099</v>
      </c>
    </row>
    <row r="22120">
      <c r="B22120" s="31"/>
      <c r="G22120" s="272" t="s">
        <v>1099</v>
      </c>
    </row>
    <row r="22121">
      <c r="B22121" s="31"/>
      <c r="G22121" s="272" t="s">
        <v>1099</v>
      </c>
    </row>
    <row r="22122">
      <c r="B22122" s="31"/>
      <c r="G22122" s="272" t="s">
        <v>1099</v>
      </c>
    </row>
    <row r="22123">
      <c r="B22123" s="31"/>
      <c r="G22123" s="272" t="s">
        <v>1099</v>
      </c>
    </row>
    <row r="22124">
      <c r="B22124" s="31"/>
      <c r="G22124" s="272" t="s">
        <v>1099</v>
      </c>
    </row>
    <row r="22125">
      <c r="B22125" s="31"/>
      <c r="G22125" s="272" t="s">
        <v>1099</v>
      </c>
    </row>
    <row r="22126">
      <c r="B22126" s="31"/>
      <c r="G22126" s="272" t="s">
        <v>1099</v>
      </c>
    </row>
    <row r="22127">
      <c r="B22127" s="31"/>
      <c r="G22127" s="272" t="s">
        <v>1099</v>
      </c>
    </row>
    <row r="22128">
      <c r="B22128" s="31"/>
      <c r="G22128" s="272" t="s">
        <v>1099</v>
      </c>
    </row>
    <row r="22129">
      <c r="B22129" s="31"/>
      <c r="G22129" s="272" t="s">
        <v>1099</v>
      </c>
    </row>
    <row r="22130">
      <c r="B22130" s="31"/>
      <c r="G22130" s="272" t="s">
        <v>1099</v>
      </c>
    </row>
    <row r="22131">
      <c r="B22131" s="31"/>
      <c r="G22131" s="272" t="s">
        <v>1099</v>
      </c>
    </row>
    <row r="22132">
      <c r="B22132" s="31"/>
      <c r="G22132" s="272" t="s">
        <v>1099</v>
      </c>
    </row>
    <row r="22133">
      <c r="B22133" s="31"/>
      <c r="G22133" s="272" t="s">
        <v>1099</v>
      </c>
    </row>
    <row r="22134">
      <c r="B22134" s="31"/>
      <c r="G22134" s="272" t="s">
        <v>1099</v>
      </c>
    </row>
    <row r="22135">
      <c r="B22135" s="31"/>
      <c r="G22135" s="272" t="s">
        <v>1099</v>
      </c>
    </row>
    <row r="22136">
      <c r="B22136" s="31"/>
      <c r="G22136" s="272" t="s">
        <v>1099</v>
      </c>
    </row>
    <row r="22137">
      <c r="B22137" s="31"/>
      <c r="G22137" s="272" t="s">
        <v>1099</v>
      </c>
    </row>
    <row r="22138">
      <c r="B22138" s="31"/>
      <c r="G22138" s="272" t="s">
        <v>1099</v>
      </c>
    </row>
    <row r="22139">
      <c r="B22139" s="31"/>
      <c r="G22139" s="272" t="s">
        <v>1099</v>
      </c>
    </row>
    <row r="22140">
      <c r="B22140" s="31"/>
      <c r="G22140" s="272" t="s">
        <v>1099</v>
      </c>
    </row>
    <row r="22141">
      <c r="B22141" s="31"/>
      <c r="G22141" s="272" t="s">
        <v>1099</v>
      </c>
    </row>
    <row r="22142">
      <c r="B22142" s="31"/>
      <c r="G22142" s="272" t="s">
        <v>1099</v>
      </c>
    </row>
    <row r="22143">
      <c r="B22143" s="31"/>
      <c r="G22143" s="272" t="s">
        <v>1099</v>
      </c>
    </row>
    <row r="22144">
      <c r="B22144" s="31"/>
      <c r="G22144" s="272" t="s">
        <v>1099</v>
      </c>
    </row>
    <row r="22145">
      <c r="B22145" s="31"/>
      <c r="G22145" s="272" t="s">
        <v>1099</v>
      </c>
    </row>
    <row r="22146">
      <c r="B22146" s="31"/>
      <c r="G22146" s="272" t="s">
        <v>1099</v>
      </c>
    </row>
    <row r="22147">
      <c r="B22147" s="31"/>
      <c r="G22147" s="272" t="s">
        <v>1099</v>
      </c>
    </row>
    <row r="22148">
      <c r="B22148" s="31"/>
      <c r="G22148" s="272" t="s">
        <v>1099</v>
      </c>
    </row>
    <row r="22149">
      <c r="B22149" s="31"/>
      <c r="G22149" s="272" t="s">
        <v>1099</v>
      </c>
    </row>
    <row r="22150">
      <c r="B22150" s="31"/>
      <c r="G22150" s="272" t="s">
        <v>1099</v>
      </c>
    </row>
    <row r="22151">
      <c r="B22151" s="31"/>
      <c r="G22151" s="272" t="s">
        <v>1099</v>
      </c>
    </row>
    <row r="22152">
      <c r="B22152" s="31"/>
      <c r="G22152" s="272" t="s">
        <v>1099</v>
      </c>
    </row>
    <row r="22153">
      <c r="B22153" s="31"/>
      <c r="G22153" s="272" t="s">
        <v>1099</v>
      </c>
    </row>
    <row r="22154">
      <c r="B22154" s="31"/>
      <c r="G22154" s="272" t="s">
        <v>1099</v>
      </c>
    </row>
    <row r="22155">
      <c r="B22155" s="31"/>
      <c r="G22155" s="272" t="s">
        <v>1099</v>
      </c>
    </row>
    <row r="22156">
      <c r="B22156" s="31"/>
      <c r="G22156" s="272" t="s">
        <v>1099</v>
      </c>
    </row>
    <row r="22157">
      <c r="B22157" s="31"/>
      <c r="G22157" s="272" t="s">
        <v>1099</v>
      </c>
    </row>
    <row r="22158">
      <c r="B22158" s="31"/>
      <c r="G22158" s="272" t="s">
        <v>1099</v>
      </c>
    </row>
    <row r="22159">
      <c r="B22159" s="31"/>
      <c r="G22159" s="272" t="s">
        <v>1099</v>
      </c>
    </row>
    <row r="22160">
      <c r="B22160" s="31"/>
      <c r="G22160" s="272" t="s">
        <v>1099</v>
      </c>
    </row>
    <row r="22161">
      <c r="B22161" s="31"/>
      <c r="G22161" s="272" t="s">
        <v>1099</v>
      </c>
    </row>
    <row r="22162">
      <c r="B22162" s="31"/>
      <c r="G22162" s="272" t="s">
        <v>1099</v>
      </c>
    </row>
    <row r="22163">
      <c r="B22163" s="31"/>
      <c r="G22163" s="272" t="s">
        <v>1099</v>
      </c>
    </row>
    <row r="22164">
      <c r="B22164" s="31"/>
      <c r="G22164" s="272" t="s">
        <v>1099</v>
      </c>
    </row>
    <row r="22165">
      <c r="B22165" s="31"/>
      <c r="G22165" s="272" t="s">
        <v>1099</v>
      </c>
    </row>
    <row r="22166">
      <c r="B22166" s="31"/>
      <c r="G22166" s="272" t="s">
        <v>1099</v>
      </c>
    </row>
    <row r="22167">
      <c r="B22167" s="31"/>
      <c r="G22167" s="272" t="s">
        <v>1099</v>
      </c>
    </row>
    <row r="22168">
      <c r="B22168" s="31"/>
      <c r="G22168" s="272" t="s">
        <v>1099</v>
      </c>
    </row>
    <row r="22169">
      <c r="B22169" s="31"/>
      <c r="G22169" s="272" t="s">
        <v>1099</v>
      </c>
    </row>
    <row r="22170">
      <c r="B22170" s="31"/>
      <c r="G22170" s="272" t="s">
        <v>1099</v>
      </c>
    </row>
    <row r="22171">
      <c r="B22171" s="31"/>
      <c r="G22171" s="272" t="s">
        <v>1099</v>
      </c>
    </row>
    <row r="22172">
      <c r="B22172" s="31"/>
      <c r="G22172" s="272" t="s">
        <v>1099</v>
      </c>
    </row>
    <row r="22173">
      <c r="B22173" s="31"/>
      <c r="G22173" s="272" t="s">
        <v>1099</v>
      </c>
    </row>
    <row r="22174">
      <c r="B22174" s="31"/>
      <c r="G22174" s="272" t="s">
        <v>1099</v>
      </c>
    </row>
    <row r="22175">
      <c r="B22175" s="31"/>
      <c r="G22175" s="272" t="s">
        <v>1099</v>
      </c>
    </row>
    <row r="22176">
      <c r="B22176" s="31"/>
      <c r="G22176" s="272" t="s">
        <v>1099</v>
      </c>
    </row>
    <row r="22177">
      <c r="B22177" s="31"/>
      <c r="G22177" s="272" t="s">
        <v>1099</v>
      </c>
    </row>
    <row r="22178">
      <c r="B22178" s="31"/>
      <c r="G22178" s="272" t="s">
        <v>1099</v>
      </c>
    </row>
    <row r="22179">
      <c r="B22179" s="31"/>
      <c r="G22179" s="272" t="s">
        <v>1099</v>
      </c>
    </row>
    <row r="22180">
      <c r="B22180" s="31"/>
      <c r="G22180" s="272" t="s">
        <v>1099</v>
      </c>
    </row>
    <row r="22181">
      <c r="B22181" s="31"/>
      <c r="G22181" s="272" t="s">
        <v>1099</v>
      </c>
    </row>
    <row r="22182">
      <c r="B22182" s="31"/>
      <c r="G22182" s="272" t="s">
        <v>1099</v>
      </c>
    </row>
    <row r="22183">
      <c r="B22183" s="31"/>
      <c r="G22183" s="272" t="s">
        <v>1099</v>
      </c>
    </row>
    <row r="22184">
      <c r="B22184" s="31"/>
      <c r="G22184" s="272" t="s">
        <v>1099</v>
      </c>
    </row>
    <row r="22185">
      <c r="B22185" s="31"/>
      <c r="G22185" s="272" t="s">
        <v>1099</v>
      </c>
    </row>
    <row r="22186">
      <c r="B22186" s="31"/>
      <c r="G22186" s="272" t="s">
        <v>1099</v>
      </c>
    </row>
    <row r="22187">
      <c r="B22187" s="31"/>
      <c r="G22187" s="272" t="s">
        <v>1099</v>
      </c>
    </row>
    <row r="22188">
      <c r="B22188" s="31"/>
      <c r="G22188" s="272" t="s">
        <v>1099</v>
      </c>
    </row>
    <row r="22189">
      <c r="B22189" s="31"/>
      <c r="G22189" s="272" t="s">
        <v>1099</v>
      </c>
    </row>
    <row r="22190">
      <c r="B22190" s="31"/>
      <c r="G22190" s="272" t="s">
        <v>1099</v>
      </c>
    </row>
    <row r="22191">
      <c r="B22191" s="31"/>
      <c r="G22191" s="272" t="s">
        <v>1099</v>
      </c>
    </row>
    <row r="22192">
      <c r="B22192" s="31"/>
      <c r="G22192" s="272" t="s">
        <v>1099</v>
      </c>
    </row>
    <row r="22193">
      <c r="B22193" s="31"/>
      <c r="G22193" s="272" t="s">
        <v>1099</v>
      </c>
    </row>
    <row r="22194">
      <c r="B22194" s="31"/>
      <c r="G22194" s="272" t="s">
        <v>1099</v>
      </c>
    </row>
    <row r="22195">
      <c r="B22195" s="31"/>
      <c r="G22195" s="272" t="s">
        <v>1099</v>
      </c>
    </row>
    <row r="22196">
      <c r="B22196" s="31"/>
      <c r="G22196" s="272" t="s">
        <v>1099</v>
      </c>
    </row>
    <row r="22197">
      <c r="B22197" s="31"/>
      <c r="G22197" s="272" t="s">
        <v>1099</v>
      </c>
    </row>
    <row r="22198">
      <c r="B22198" s="31"/>
      <c r="G22198" s="272" t="s">
        <v>1099</v>
      </c>
    </row>
    <row r="22199">
      <c r="B22199" s="31"/>
      <c r="G22199" s="272" t="s">
        <v>1099</v>
      </c>
    </row>
    <row r="22200">
      <c r="B22200" s="31"/>
      <c r="G22200" s="272" t="s">
        <v>1099</v>
      </c>
    </row>
    <row r="22201">
      <c r="B22201" s="31"/>
      <c r="G22201" s="272" t="s">
        <v>1099</v>
      </c>
    </row>
    <row r="22202">
      <c r="B22202" s="31"/>
      <c r="G22202" s="272" t="s">
        <v>1099</v>
      </c>
    </row>
    <row r="22203">
      <c r="B22203" s="31"/>
      <c r="G22203" s="272" t="s">
        <v>1099</v>
      </c>
    </row>
    <row r="22204">
      <c r="B22204" s="31"/>
      <c r="G22204" s="272" t="s">
        <v>1099</v>
      </c>
    </row>
    <row r="22205">
      <c r="B22205" s="31"/>
      <c r="G22205" s="272" t="s">
        <v>1099</v>
      </c>
    </row>
    <row r="22206">
      <c r="B22206" s="31"/>
      <c r="G22206" s="272" t="s">
        <v>1099</v>
      </c>
    </row>
    <row r="22207">
      <c r="B22207" s="31"/>
      <c r="G22207" s="272" t="s">
        <v>1099</v>
      </c>
    </row>
    <row r="22208">
      <c r="B22208" s="31"/>
      <c r="G22208" s="272" t="s">
        <v>1099</v>
      </c>
    </row>
    <row r="22209">
      <c r="B22209" s="31"/>
      <c r="G22209" s="272" t="s">
        <v>1099</v>
      </c>
    </row>
    <row r="22210">
      <c r="B22210" s="31"/>
      <c r="G22210" s="272" t="s">
        <v>1099</v>
      </c>
    </row>
    <row r="22211">
      <c r="B22211" s="31"/>
      <c r="G22211" s="272" t="s">
        <v>1099</v>
      </c>
    </row>
    <row r="22212">
      <c r="B22212" s="31"/>
      <c r="G22212" s="272" t="s">
        <v>1099</v>
      </c>
    </row>
    <row r="22213">
      <c r="B22213" s="31"/>
      <c r="G22213" s="272" t="s">
        <v>1099</v>
      </c>
    </row>
    <row r="22214">
      <c r="B22214" s="31"/>
      <c r="G22214" s="272" t="s">
        <v>1099</v>
      </c>
    </row>
    <row r="22215">
      <c r="B22215" s="31"/>
      <c r="G22215" s="272" t="s">
        <v>1099</v>
      </c>
    </row>
    <row r="22216">
      <c r="B22216" s="31"/>
      <c r="G22216" s="272" t="s">
        <v>1099</v>
      </c>
    </row>
    <row r="22217">
      <c r="B22217" s="31"/>
      <c r="G22217" s="272" t="s">
        <v>1099</v>
      </c>
    </row>
    <row r="22218">
      <c r="B22218" s="31"/>
      <c r="G22218" s="272" t="s">
        <v>1099</v>
      </c>
    </row>
    <row r="22219">
      <c r="B22219" s="31"/>
      <c r="G22219" s="272" t="s">
        <v>1099</v>
      </c>
    </row>
    <row r="22220">
      <c r="B22220" s="31"/>
      <c r="G22220" s="272" t="s">
        <v>1099</v>
      </c>
    </row>
    <row r="22221">
      <c r="B22221" s="31"/>
      <c r="G22221" s="272" t="s">
        <v>1099</v>
      </c>
    </row>
    <row r="22222">
      <c r="B22222" s="31"/>
      <c r="G22222" s="272" t="s">
        <v>1099</v>
      </c>
    </row>
    <row r="22223">
      <c r="B22223" s="31"/>
      <c r="G22223" s="272" t="s">
        <v>1099</v>
      </c>
    </row>
    <row r="22224">
      <c r="B22224" s="31"/>
      <c r="G22224" s="272" t="s">
        <v>1099</v>
      </c>
    </row>
    <row r="22225">
      <c r="B22225" s="31"/>
      <c r="G22225" s="272" t="s">
        <v>1099</v>
      </c>
    </row>
    <row r="22226">
      <c r="B22226" s="31"/>
      <c r="G22226" s="272" t="s">
        <v>1099</v>
      </c>
    </row>
    <row r="22227">
      <c r="B22227" s="31"/>
      <c r="G22227" s="272" t="s">
        <v>1099</v>
      </c>
    </row>
    <row r="22228">
      <c r="B22228" s="31"/>
      <c r="G22228" s="272" t="s">
        <v>1099</v>
      </c>
    </row>
    <row r="22229">
      <c r="B22229" s="31"/>
      <c r="G22229" s="272" t="s">
        <v>1099</v>
      </c>
    </row>
    <row r="22230">
      <c r="B22230" s="31"/>
      <c r="G22230" s="272" t="s">
        <v>1099</v>
      </c>
    </row>
    <row r="22231">
      <c r="B22231" s="31"/>
      <c r="G22231" s="272" t="s">
        <v>1099</v>
      </c>
    </row>
    <row r="22232">
      <c r="B22232" s="31"/>
      <c r="G22232" s="272" t="s">
        <v>1099</v>
      </c>
    </row>
    <row r="22233">
      <c r="B22233" s="31"/>
      <c r="G22233" s="272" t="s">
        <v>1099</v>
      </c>
    </row>
    <row r="22234">
      <c r="B22234" s="31"/>
      <c r="G22234" s="272" t="s">
        <v>1099</v>
      </c>
    </row>
    <row r="22235">
      <c r="B22235" s="31"/>
      <c r="G22235" s="272" t="s">
        <v>1099</v>
      </c>
    </row>
    <row r="22236">
      <c r="B22236" s="31"/>
      <c r="G22236" s="272" t="s">
        <v>1099</v>
      </c>
    </row>
    <row r="22237">
      <c r="B22237" s="31"/>
      <c r="G22237" s="272" t="s">
        <v>1099</v>
      </c>
    </row>
    <row r="22238">
      <c r="B22238" s="31"/>
      <c r="G22238" s="272" t="s">
        <v>1099</v>
      </c>
    </row>
    <row r="22239">
      <c r="B22239" s="31"/>
      <c r="G22239" s="272" t="s">
        <v>1099</v>
      </c>
    </row>
    <row r="22240">
      <c r="B22240" s="31"/>
      <c r="G22240" s="272" t="s">
        <v>1099</v>
      </c>
    </row>
    <row r="22241">
      <c r="B22241" s="31"/>
      <c r="G22241" s="272" t="s">
        <v>1099</v>
      </c>
    </row>
    <row r="22242">
      <c r="B22242" s="31"/>
      <c r="G22242" s="272" t="s">
        <v>1099</v>
      </c>
    </row>
    <row r="22243">
      <c r="B22243" s="31"/>
      <c r="G22243" s="272" t="s">
        <v>1099</v>
      </c>
    </row>
    <row r="22244">
      <c r="B22244" s="31"/>
      <c r="G22244" s="272" t="s">
        <v>1099</v>
      </c>
    </row>
    <row r="22245">
      <c r="B22245" s="31"/>
      <c r="G22245" s="272" t="s">
        <v>1099</v>
      </c>
    </row>
    <row r="22246">
      <c r="B22246" s="31"/>
      <c r="G22246" s="272" t="s">
        <v>1099</v>
      </c>
    </row>
    <row r="22247">
      <c r="B22247" s="31"/>
      <c r="G22247" s="272" t="s">
        <v>1099</v>
      </c>
    </row>
    <row r="22248">
      <c r="B22248" s="31"/>
      <c r="G22248" s="272" t="s">
        <v>1099</v>
      </c>
    </row>
    <row r="22249">
      <c r="B22249" s="31"/>
      <c r="G22249" s="272" t="s">
        <v>1099</v>
      </c>
    </row>
    <row r="22250">
      <c r="B22250" s="31"/>
      <c r="G22250" s="272" t="s">
        <v>1099</v>
      </c>
    </row>
    <row r="22251">
      <c r="B22251" s="31"/>
      <c r="G22251" s="272" t="s">
        <v>1099</v>
      </c>
    </row>
    <row r="22252">
      <c r="B22252" s="31"/>
      <c r="G22252" s="272" t="s">
        <v>1099</v>
      </c>
    </row>
    <row r="22253">
      <c r="B22253" s="31"/>
      <c r="G22253" s="272" t="s">
        <v>1099</v>
      </c>
    </row>
    <row r="22254">
      <c r="B22254" s="31"/>
      <c r="G22254" s="272" t="s">
        <v>1099</v>
      </c>
    </row>
    <row r="22255">
      <c r="B22255" s="31"/>
      <c r="G22255" s="272" t="s">
        <v>1099</v>
      </c>
    </row>
    <row r="22256">
      <c r="B22256" s="31"/>
      <c r="G22256" s="272" t="s">
        <v>1099</v>
      </c>
    </row>
    <row r="22257">
      <c r="B22257" s="31"/>
      <c r="G22257" s="272" t="s">
        <v>1099</v>
      </c>
    </row>
    <row r="22258">
      <c r="B22258" s="31"/>
      <c r="G22258" s="272" t="s">
        <v>1099</v>
      </c>
    </row>
    <row r="22259">
      <c r="B22259" s="31"/>
      <c r="G22259" s="272" t="s">
        <v>1099</v>
      </c>
    </row>
    <row r="22260">
      <c r="B22260" s="31"/>
      <c r="G22260" s="272" t="s">
        <v>1099</v>
      </c>
    </row>
    <row r="22261">
      <c r="B22261" s="31"/>
      <c r="G22261" s="272" t="s">
        <v>1099</v>
      </c>
    </row>
    <row r="22262">
      <c r="B22262" s="31"/>
      <c r="G22262" s="272" t="s">
        <v>1099</v>
      </c>
    </row>
    <row r="22263">
      <c r="B22263" s="31"/>
      <c r="G22263" s="272" t="s">
        <v>1099</v>
      </c>
    </row>
    <row r="22264">
      <c r="B22264" s="31"/>
      <c r="G22264" s="272" t="s">
        <v>1099</v>
      </c>
    </row>
    <row r="22265">
      <c r="B22265" s="31"/>
      <c r="G22265" s="272" t="s">
        <v>1099</v>
      </c>
    </row>
    <row r="22266">
      <c r="B22266" s="31"/>
      <c r="G22266" s="272" t="s">
        <v>1099</v>
      </c>
    </row>
    <row r="22267">
      <c r="B22267" s="31"/>
      <c r="G22267" s="272" t="s">
        <v>1099</v>
      </c>
    </row>
    <row r="22268">
      <c r="B22268" s="31"/>
      <c r="G22268" s="272" t="s">
        <v>1099</v>
      </c>
    </row>
    <row r="22269">
      <c r="B22269" s="31"/>
      <c r="G22269" s="272" t="s">
        <v>1099</v>
      </c>
    </row>
    <row r="22270">
      <c r="B22270" s="31"/>
      <c r="G22270" s="272" t="s">
        <v>1099</v>
      </c>
    </row>
    <row r="22271">
      <c r="B22271" s="31"/>
      <c r="G22271" s="272" t="s">
        <v>1099</v>
      </c>
    </row>
    <row r="22272">
      <c r="B22272" s="31"/>
      <c r="G22272" s="272" t="s">
        <v>1099</v>
      </c>
    </row>
    <row r="22273">
      <c r="B22273" s="31"/>
      <c r="G22273" s="272" t="s">
        <v>1099</v>
      </c>
    </row>
    <row r="22274">
      <c r="B22274" s="31"/>
      <c r="G22274" s="272" t="s">
        <v>1099</v>
      </c>
    </row>
    <row r="22275">
      <c r="B22275" s="31"/>
      <c r="G22275" s="272" t="s">
        <v>1099</v>
      </c>
    </row>
    <row r="22276">
      <c r="B22276" s="31"/>
      <c r="G22276" s="272" t="s">
        <v>1099</v>
      </c>
    </row>
    <row r="22277">
      <c r="B22277" s="31"/>
      <c r="G22277" s="272" t="s">
        <v>1099</v>
      </c>
    </row>
    <row r="22278">
      <c r="B22278" s="31"/>
      <c r="G22278" s="272" t="s">
        <v>1099</v>
      </c>
    </row>
    <row r="22279">
      <c r="B22279" s="31"/>
      <c r="G22279" s="272" t="s">
        <v>1099</v>
      </c>
    </row>
    <row r="22280">
      <c r="B22280" s="31"/>
      <c r="G22280" s="272" t="s">
        <v>1099</v>
      </c>
    </row>
    <row r="22281">
      <c r="B22281" s="31"/>
      <c r="G22281" s="272" t="s">
        <v>1099</v>
      </c>
    </row>
    <row r="22282">
      <c r="B22282" s="31"/>
      <c r="G22282" s="272" t="s">
        <v>1099</v>
      </c>
    </row>
    <row r="22283">
      <c r="B22283" s="31"/>
      <c r="G22283" s="272" t="s">
        <v>1099</v>
      </c>
    </row>
    <row r="22284">
      <c r="B22284" s="31"/>
      <c r="G22284" s="272" t="s">
        <v>1099</v>
      </c>
    </row>
    <row r="22285">
      <c r="B22285" s="31"/>
      <c r="G22285" s="272" t="s">
        <v>1099</v>
      </c>
    </row>
    <row r="22286">
      <c r="B22286" s="31"/>
      <c r="G22286" s="272" t="s">
        <v>1099</v>
      </c>
    </row>
    <row r="22287">
      <c r="B22287" s="31"/>
      <c r="G22287" s="272" t="s">
        <v>1099</v>
      </c>
    </row>
    <row r="22288">
      <c r="B22288" s="31"/>
      <c r="G22288" s="272" t="s">
        <v>1099</v>
      </c>
    </row>
    <row r="22289">
      <c r="B22289" s="31"/>
      <c r="G22289" s="272" t="s">
        <v>1099</v>
      </c>
    </row>
    <row r="22290">
      <c r="B22290" s="31"/>
      <c r="G22290" s="272" t="s">
        <v>1099</v>
      </c>
    </row>
    <row r="22291">
      <c r="B22291" s="31"/>
      <c r="G22291" s="272" t="s">
        <v>1099</v>
      </c>
    </row>
    <row r="22292">
      <c r="B22292" s="31"/>
      <c r="G22292" s="272" t="s">
        <v>1099</v>
      </c>
    </row>
    <row r="22293">
      <c r="B22293" s="31"/>
      <c r="G22293" s="272" t="s">
        <v>1099</v>
      </c>
    </row>
    <row r="22294">
      <c r="B22294" s="31"/>
      <c r="G22294" s="272" t="s">
        <v>1099</v>
      </c>
    </row>
    <row r="22295">
      <c r="B22295" s="31"/>
      <c r="G22295" s="272" t="s">
        <v>1099</v>
      </c>
    </row>
    <row r="22296">
      <c r="B22296" s="31"/>
      <c r="G22296" s="272" t="s">
        <v>1099</v>
      </c>
    </row>
    <row r="22297">
      <c r="B22297" s="31"/>
      <c r="G22297" s="272" t="s">
        <v>1099</v>
      </c>
    </row>
    <row r="22298">
      <c r="B22298" s="31"/>
      <c r="G22298" s="272" t="s">
        <v>1099</v>
      </c>
    </row>
    <row r="22299">
      <c r="B22299" s="31"/>
      <c r="G22299" s="272" t="s">
        <v>1099</v>
      </c>
    </row>
    <row r="22300">
      <c r="B22300" s="31"/>
      <c r="G22300" s="272" t="s">
        <v>1099</v>
      </c>
    </row>
    <row r="22301">
      <c r="B22301" s="31"/>
      <c r="G22301" s="272" t="s">
        <v>1099</v>
      </c>
    </row>
    <row r="22302">
      <c r="B22302" s="31"/>
      <c r="G22302" s="272" t="s">
        <v>1099</v>
      </c>
    </row>
    <row r="22303">
      <c r="B22303" s="31"/>
      <c r="G22303" s="272" t="s">
        <v>1099</v>
      </c>
    </row>
    <row r="22304">
      <c r="B22304" s="31"/>
      <c r="G22304" s="272" t="s">
        <v>1099</v>
      </c>
    </row>
    <row r="22305">
      <c r="B22305" s="31"/>
      <c r="G22305" s="272" t="s">
        <v>1099</v>
      </c>
    </row>
    <row r="22306">
      <c r="B22306" s="31"/>
      <c r="G22306" s="272" t="s">
        <v>1099</v>
      </c>
    </row>
    <row r="22307">
      <c r="B22307" s="31"/>
      <c r="G22307" s="272" t="s">
        <v>1099</v>
      </c>
    </row>
    <row r="22308">
      <c r="B22308" s="31"/>
      <c r="G22308" s="272" t="s">
        <v>1099</v>
      </c>
    </row>
    <row r="22309">
      <c r="B22309" s="31"/>
      <c r="G22309" s="272" t="s">
        <v>1099</v>
      </c>
    </row>
    <row r="22310">
      <c r="B22310" s="31"/>
      <c r="G22310" s="272" t="s">
        <v>1099</v>
      </c>
    </row>
    <row r="22311">
      <c r="B22311" s="31"/>
      <c r="G22311" s="272" t="s">
        <v>1099</v>
      </c>
    </row>
    <row r="22312">
      <c r="B22312" s="31"/>
      <c r="G22312" s="272" t="s">
        <v>1099</v>
      </c>
    </row>
    <row r="22313">
      <c r="B22313" s="31"/>
      <c r="G22313" s="272" t="s">
        <v>1099</v>
      </c>
    </row>
    <row r="22314">
      <c r="B22314" s="31"/>
      <c r="G22314" s="272" t="s">
        <v>1099</v>
      </c>
    </row>
    <row r="22315">
      <c r="B22315" s="31"/>
      <c r="G22315" s="272" t="s">
        <v>1099</v>
      </c>
    </row>
    <row r="22316">
      <c r="B22316" s="31"/>
      <c r="G22316" s="272" t="s">
        <v>1099</v>
      </c>
    </row>
    <row r="22317">
      <c r="B22317" s="31"/>
      <c r="G22317" s="272" t="s">
        <v>1099</v>
      </c>
    </row>
    <row r="22318">
      <c r="B22318" s="31"/>
      <c r="G22318" s="272" t="s">
        <v>1099</v>
      </c>
    </row>
    <row r="22319">
      <c r="B22319" s="31"/>
      <c r="G22319" s="272" t="s">
        <v>1099</v>
      </c>
    </row>
    <row r="22320">
      <c r="B22320" s="31"/>
      <c r="G22320" s="272" t="s">
        <v>1099</v>
      </c>
    </row>
    <row r="22321">
      <c r="B22321" s="31"/>
      <c r="G22321" s="272" t="s">
        <v>1099</v>
      </c>
    </row>
    <row r="22322">
      <c r="B22322" s="31"/>
      <c r="G22322" s="272" t="s">
        <v>1099</v>
      </c>
    </row>
    <row r="22323">
      <c r="B22323" s="31"/>
      <c r="G22323" s="272" t="s">
        <v>1099</v>
      </c>
    </row>
    <row r="22324">
      <c r="B22324" s="31"/>
      <c r="G22324" s="272" t="s">
        <v>1099</v>
      </c>
    </row>
    <row r="22325">
      <c r="B22325" s="31"/>
      <c r="G22325" s="272" t="s">
        <v>1099</v>
      </c>
    </row>
    <row r="22326">
      <c r="B22326" s="31"/>
      <c r="G22326" s="272" t="s">
        <v>1099</v>
      </c>
    </row>
    <row r="22327">
      <c r="B22327" s="31"/>
      <c r="G22327" s="272" t="s">
        <v>1099</v>
      </c>
    </row>
    <row r="22328">
      <c r="B22328" s="31"/>
      <c r="G22328" s="272" t="s">
        <v>1099</v>
      </c>
    </row>
    <row r="22329">
      <c r="B22329" s="31"/>
      <c r="G22329" s="272" t="s">
        <v>1099</v>
      </c>
    </row>
    <row r="22330">
      <c r="B22330" s="31"/>
      <c r="G22330" s="272" t="s">
        <v>1099</v>
      </c>
    </row>
    <row r="22331">
      <c r="B22331" s="31"/>
      <c r="G22331" s="272" t="s">
        <v>1099</v>
      </c>
    </row>
    <row r="22332">
      <c r="B22332" s="31"/>
      <c r="G22332" s="272" t="s">
        <v>1099</v>
      </c>
    </row>
    <row r="22333">
      <c r="B22333" s="31"/>
      <c r="G22333" s="272" t="s">
        <v>1099</v>
      </c>
    </row>
    <row r="22334">
      <c r="B22334" s="31"/>
      <c r="G22334" s="272" t="s">
        <v>1099</v>
      </c>
    </row>
    <row r="22335">
      <c r="B22335" s="31"/>
      <c r="G22335" s="272" t="s">
        <v>1099</v>
      </c>
    </row>
    <row r="22336">
      <c r="B22336" s="31"/>
      <c r="G22336" s="272" t="s">
        <v>1099</v>
      </c>
    </row>
    <row r="22337">
      <c r="B22337" s="31"/>
      <c r="G22337" s="272" t="s">
        <v>1099</v>
      </c>
    </row>
    <row r="22338">
      <c r="B22338" s="31"/>
      <c r="G22338" s="272" t="s">
        <v>1099</v>
      </c>
    </row>
    <row r="22339">
      <c r="B22339" s="31"/>
      <c r="G22339" s="272" t="s">
        <v>1099</v>
      </c>
    </row>
    <row r="22340">
      <c r="B22340" s="31"/>
      <c r="G22340" s="272" t="s">
        <v>1099</v>
      </c>
    </row>
    <row r="22341">
      <c r="B22341" s="31"/>
      <c r="G22341" s="272" t="s">
        <v>1099</v>
      </c>
    </row>
    <row r="22342">
      <c r="B22342" s="31"/>
      <c r="G22342" s="272" t="s">
        <v>1099</v>
      </c>
    </row>
    <row r="22343">
      <c r="B22343" s="31"/>
      <c r="G22343" s="272" t="s">
        <v>1099</v>
      </c>
    </row>
    <row r="22344">
      <c r="B22344" s="31"/>
      <c r="G22344" s="272" t="s">
        <v>1099</v>
      </c>
    </row>
    <row r="22345">
      <c r="B22345" s="31"/>
      <c r="G22345" s="272" t="s">
        <v>1099</v>
      </c>
    </row>
    <row r="22346">
      <c r="B22346" s="31"/>
      <c r="G22346" s="272" t="s">
        <v>1099</v>
      </c>
    </row>
    <row r="22347">
      <c r="B22347" s="31"/>
      <c r="G22347" s="272" t="s">
        <v>1099</v>
      </c>
    </row>
    <row r="22348">
      <c r="B22348" s="31"/>
      <c r="G22348" s="272" t="s">
        <v>1099</v>
      </c>
    </row>
    <row r="22349">
      <c r="B22349" s="31"/>
      <c r="G22349" s="272" t="s">
        <v>1099</v>
      </c>
    </row>
    <row r="22350">
      <c r="B22350" s="31"/>
      <c r="G22350" s="272" t="s">
        <v>1099</v>
      </c>
    </row>
    <row r="22351">
      <c r="B22351" s="31"/>
      <c r="G22351" s="272" t="s">
        <v>1099</v>
      </c>
    </row>
    <row r="22352">
      <c r="B22352" s="31"/>
      <c r="G22352" s="272" t="s">
        <v>1099</v>
      </c>
    </row>
    <row r="22353">
      <c r="B22353" s="31"/>
      <c r="G22353" s="272" t="s">
        <v>1099</v>
      </c>
    </row>
    <row r="22354">
      <c r="B22354" s="31"/>
      <c r="G22354" s="272" t="s">
        <v>1099</v>
      </c>
    </row>
    <row r="22355">
      <c r="B22355" s="31"/>
      <c r="G22355" s="272" t="s">
        <v>1099</v>
      </c>
    </row>
    <row r="22356">
      <c r="B22356" s="31"/>
      <c r="G22356" s="272" t="s">
        <v>1099</v>
      </c>
    </row>
    <row r="22357">
      <c r="B22357" s="31"/>
      <c r="G22357" s="272" t="s">
        <v>1099</v>
      </c>
    </row>
    <row r="22358">
      <c r="B22358" s="31"/>
      <c r="G22358" s="272" t="s">
        <v>1099</v>
      </c>
    </row>
    <row r="22359">
      <c r="B22359" s="31"/>
      <c r="G22359" s="272" t="s">
        <v>1099</v>
      </c>
    </row>
    <row r="22360">
      <c r="B22360" s="31"/>
      <c r="G22360" s="272" t="s">
        <v>1099</v>
      </c>
    </row>
    <row r="22361">
      <c r="B22361" s="31"/>
      <c r="G22361" s="272" t="s">
        <v>1099</v>
      </c>
    </row>
    <row r="22362">
      <c r="B22362" s="31"/>
      <c r="G22362" s="272" t="s">
        <v>1099</v>
      </c>
    </row>
    <row r="22363">
      <c r="B22363" s="31"/>
      <c r="G22363" s="272" t="s">
        <v>1099</v>
      </c>
    </row>
    <row r="22364">
      <c r="B22364" s="31"/>
      <c r="G22364" s="272" t="s">
        <v>1099</v>
      </c>
    </row>
    <row r="22365">
      <c r="B22365" s="31"/>
      <c r="G22365" s="272" t="s">
        <v>1099</v>
      </c>
    </row>
    <row r="22366">
      <c r="B22366" s="31"/>
      <c r="G22366" s="272" t="s">
        <v>1099</v>
      </c>
    </row>
    <row r="22367">
      <c r="B22367" s="31"/>
      <c r="G22367" s="272" t="s">
        <v>1099</v>
      </c>
    </row>
    <row r="22368">
      <c r="B22368" s="31"/>
      <c r="G22368" s="272" t="s">
        <v>1099</v>
      </c>
    </row>
    <row r="22369">
      <c r="B22369" s="31"/>
      <c r="G22369" s="272" t="s">
        <v>1099</v>
      </c>
    </row>
    <row r="22370">
      <c r="B22370" s="31"/>
      <c r="G22370" s="272" t="s">
        <v>1099</v>
      </c>
    </row>
    <row r="22371">
      <c r="B22371" s="31"/>
      <c r="G22371" s="272" t="s">
        <v>1099</v>
      </c>
    </row>
    <row r="22372">
      <c r="B22372" s="31"/>
      <c r="G22372" s="272" t="s">
        <v>1099</v>
      </c>
    </row>
    <row r="22373">
      <c r="B22373" s="31"/>
      <c r="G22373" s="272" t="s">
        <v>1099</v>
      </c>
    </row>
    <row r="22374">
      <c r="B22374" s="31"/>
      <c r="G22374" s="272" t="s">
        <v>1099</v>
      </c>
    </row>
    <row r="22375">
      <c r="B22375" s="31"/>
      <c r="G22375" s="272" t="s">
        <v>1099</v>
      </c>
    </row>
    <row r="22376">
      <c r="B22376" s="31"/>
      <c r="G22376" s="272" t="s">
        <v>1099</v>
      </c>
    </row>
    <row r="22377">
      <c r="B22377" s="31"/>
      <c r="G22377" s="272" t="s">
        <v>1099</v>
      </c>
    </row>
    <row r="22378">
      <c r="B22378" s="31"/>
      <c r="G22378" s="272" t="s">
        <v>1099</v>
      </c>
    </row>
    <row r="22379">
      <c r="B22379" s="31"/>
      <c r="G22379" s="272" t="s">
        <v>1099</v>
      </c>
    </row>
    <row r="22380">
      <c r="B22380" s="31"/>
      <c r="G22380" s="272" t="s">
        <v>1099</v>
      </c>
    </row>
    <row r="22381">
      <c r="B22381" s="31"/>
      <c r="G22381" s="272" t="s">
        <v>1099</v>
      </c>
    </row>
    <row r="22382">
      <c r="B22382" s="31"/>
      <c r="G22382" s="272" t="s">
        <v>1099</v>
      </c>
    </row>
    <row r="22383">
      <c r="B22383" s="31"/>
      <c r="G22383" s="272" t="s">
        <v>1099</v>
      </c>
    </row>
    <row r="22384">
      <c r="B22384" s="31"/>
      <c r="G22384" s="272" t="s">
        <v>1099</v>
      </c>
    </row>
    <row r="22385">
      <c r="B22385" s="31"/>
      <c r="G22385" s="272" t="s">
        <v>1099</v>
      </c>
    </row>
    <row r="22386">
      <c r="B22386" s="31"/>
      <c r="G22386" s="272" t="s">
        <v>1099</v>
      </c>
    </row>
    <row r="22387">
      <c r="B22387" s="31"/>
      <c r="G22387" s="272" t="s">
        <v>1099</v>
      </c>
    </row>
    <row r="22388">
      <c r="B22388" s="31"/>
      <c r="G22388" s="272" t="s">
        <v>1099</v>
      </c>
    </row>
    <row r="22389">
      <c r="B22389" s="31"/>
      <c r="G22389" s="272" t="s">
        <v>1099</v>
      </c>
    </row>
    <row r="22390">
      <c r="B22390" s="31"/>
      <c r="G22390" s="272" t="s">
        <v>1099</v>
      </c>
    </row>
    <row r="22391">
      <c r="B22391" s="31"/>
      <c r="G22391" s="272" t="s">
        <v>1099</v>
      </c>
    </row>
    <row r="22392">
      <c r="B22392" s="31"/>
      <c r="G22392" s="272" t="s">
        <v>1099</v>
      </c>
    </row>
    <row r="22393">
      <c r="B22393" s="31"/>
      <c r="G22393" s="272" t="s">
        <v>1099</v>
      </c>
    </row>
    <row r="22394">
      <c r="B22394" s="31"/>
      <c r="G22394" s="272" t="s">
        <v>1099</v>
      </c>
    </row>
    <row r="22395">
      <c r="B22395" s="31"/>
      <c r="G22395" s="272" t="s">
        <v>1099</v>
      </c>
    </row>
    <row r="22396">
      <c r="B22396" s="31"/>
      <c r="G22396" s="272" t="s">
        <v>1099</v>
      </c>
    </row>
    <row r="22397">
      <c r="B22397" s="31"/>
      <c r="G22397" s="272" t="s">
        <v>1099</v>
      </c>
    </row>
    <row r="22398">
      <c r="B22398" s="31"/>
      <c r="G22398" s="272" t="s">
        <v>1099</v>
      </c>
    </row>
    <row r="22399">
      <c r="B22399" s="31"/>
      <c r="G22399" s="272" t="s">
        <v>1099</v>
      </c>
    </row>
    <row r="22400">
      <c r="B22400" s="31"/>
      <c r="G22400" s="272" t="s">
        <v>1099</v>
      </c>
    </row>
    <row r="22401">
      <c r="B22401" s="31"/>
      <c r="G22401" s="272" t="s">
        <v>1099</v>
      </c>
    </row>
    <row r="22402">
      <c r="B22402" s="31"/>
      <c r="G22402" s="272" t="s">
        <v>1099</v>
      </c>
    </row>
    <row r="22403">
      <c r="B22403" s="31"/>
      <c r="G22403" s="272" t="s">
        <v>1099</v>
      </c>
    </row>
    <row r="22404">
      <c r="B22404" s="31"/>
      <c r="G22404" s="272" t="s">
        <v>1099</v>
      </c>
    </row>
    <row r="22405">
      <c r="B22405" s="31"/>
      <c r="G22405" s="272" t="s">
        <v>1099</v>
      </c>
    </row>
    <row r="22406">
      <c r="B22406" s="31"/>
      <c r="G22406" s="272" t="s">
        <v>1099</v>
      </c>
    </row>
    <row r="22407">
      <c r="B22407" s="31"/>
      <c r="G22407" s="272" t="s">
        <v>1099</v>
      </c>
    </row>
    <row r="22408">
      <c r="B22408" s="31"/>
      <c r="G22408" s="272" t="s">
        <v>1099</v>
      </c>
    </row>
    <row r="22409">
      <c r="B22409" s="31"/>
      <c r="G22409" s="272" t="s">
        <v>1099</v>
      </c>
    </row>
    <row r="22410">
      <c r="B22410" s="31"/>
      <c r="G22410" s="272" t="s">
        <v>1099</v>
      </c>
    </row>
    <row r="22411">
      <c r="B22411" s="31"/>
      <c r="G22411" s="272" t="s">
        <v>1099</v>
      </c>
    </row>
    <row r="22412">
      <c r="B22412" s="31"/>
      <c r="G22412" s="272" t="s">
        <v>1099</v>
      </c>
    </row>
    <row r="22413">
      <c r="B22413" s="31"/>
      <c r="G22413" s="272" t="s">
        <v>1099</v>
      </c>
    </row>
    <row r="22414">
      <c r="B22414" s="31"/>
      <c r="G22414" s="272" t="s">
        <v>1099</v>
      </c>
    </row>
    <row r="22415">
      <c r="B22415" s="31"/>
      <c r="G22415" s="272" t="s">
        <v>1099</v>
      </c>
    </row>
    <row r="22416">
      <c r="B22416" s="31"/>
      <c r="G22416" s="272" t="s">
        <v>1099</v>
      </c>
    </row>
    <row r="22417">
      <c r="B22417" s="31"/>
      <c r="G22417" s="272" t="s">
        <v>1099</v>
      </c>
    </row>
    <row r="22418">
      <c r="B22418" s="31"/>
      <c r="G22418" s="272" t="s">
        <v>1099</v>
      </c>
    </row>
    <row r="22419">
      <c r="B22419" s="31"/>
      <c r="G22419" s="272" t="s">
        <v>1099</v>
      </c>
    </row>
    <row r="22420">
      <c r="B22420" s="31"/>
      <c r="G22420" s="272" t="s">
        <v>1099</v>
      </c>
    </row>
    <row r="22421">
      <c r="B22421" s="31"/>
      <c r="G22421" s="272" t="s">
        <v>1099</v>
      </c>
    </row>
    <row r="22422">
      <c r="B22422" s="31"/>
      <c r="G22422" s="272" t="s">
        <v>1099</v>
      </c>
    </row>
    <row r="22423">
      <c r="B22423" s="31"/>
      <c r="G22423" s="272" t="s">
        <v>1099</v>
      </c>
    </row>
    <row r="22424">
      <c r="B22424" s="31"/>
      <c r="G22424" s="272" t="s">
        <v>1099</v>
      </c>
    </row>
    <row r="22425">
      <c r="B22425" s="31"/>
      <c r="G22425" s="272" t="s">
        <v>1099</v>
      </c>
    </row>
    <row r="22426">
      <c r="B22426" s="31"/>
      <c r="G22426" s="272" t="s">
        <v>1099</v>
      </c>
    </row>
    <row r="22427">
      <c r="B22427" s="31"/>
      <c r="G22427" s="272" t="s">
        <v>1099</v>
      </c>
    </row>
    <row r="22428">
      <c r="B22428" s="31"/>
      <c r="G22428" s="272" t="s">
        <v>1099</v>
      </c>
    </row>
    <row r="22429">
      <c r="B22429" s="31"/>
      <c r="G22429" s="272" t="s">
        <v>1099</v>
      </c>
    </row>
    <row r="22430">
      <c r="B22430" s="31"/>
      <c r="G22430" s="272" t="s">
        <v>1099</v>
      </c>
    </row>
    <row r="22431">
      <c r="B22431" s="31"/>
      <c r="G22431" s="272" t="s">
        <v>1099</v>
      </c>
    </row>
    <row r="22432">
      <c r="B22432" s="31"/>
      <c r="G22432" s="272" t="s">
        <v>1099</v>
      </c>
    </row>
    <row r="22433">
      <c r="B22433" s="31"/>
      <c r="G22433" s="272" t="s">
        <v>1099</v>
      </c>
    </row>
    <row r="22434">
      <c r="B22434" s="31"/>
      <c r="G22434" s="272" t="s">
        <v>1099</v>
      </c>
    </row>
    <row r="22435">
      <c r="B22435" s="31"/>
      <c r="G22435" s="272" t="s">
        <v>1099</v>
      </c>
    </row>
    <row r="22436">
      <c r="B22436" s="31"/>
      <c r="G22436" s="272" t="s">
        <v>1099</v>
      </c>
    </row>
    <row r="22437">
      <c r="B22437" s="31"/>
      <c r="G22437" s="272" t="s">
        <v>1099</v>
      </c>
    </row>
    <row r="22438">
      <c r="B22438" s="31"/>
      <c r="G22438" s="272" t="s">
        <v>1099</v>
      </c>
    </row>
    <row r="22439">
      <c r="B22439" s="31"/>
      <c r="G22439" s="272" t="s">
        <v>1099</v>
      </c>
    </row>
    <row r="22440">
      <c r="B22440" s="31"/>
      <c r="G22440" s="272" t="s">
        <v>1099</v>
      </c>
    </row>
    <row r="22441">
      <c r="B22441" s="31"/>
      <c r="G22441" s="272" t="s">
        <v>1099</v>
      </c>
    </row>
    <row r="22442">
      <c r="B22442" s="31"/>
      <c r="G22442" s="272" t="s">
        <v>1099</v>
      </c>
    </row>
    <row r="22443">
      <c r="B22443" s="31"/>
      <c r="G22443" s="272" t="s">
        <v>1099</v>
      </c>
    </row>
    <row r="22444">
      <c r="B22444" s="31"/>
      <c r="G22444" s="272" t="s">
        <v>1099</v>
      </c>
    </row>
    <row r="22445">
      <c r="B22445" s="31"/>
      <c r="G22445" s="272" t="s">
        <v>1099</v>
      </c>
    </row>
    <row r="22446">
      <c r="B22446" s="31"/>
      <c r="G22446" s="272" t="s">
        <v>1099</v>
      </c>
    </row>
    <row r="22447">
      <c r="B22447" s="31"/>
      <c r="G22447" s="272" t="s">
        <v>1099</v>
      </c>
    </row>
    <row r="22448">
      <c r="B22448" s="31"/>
      <c r="G22448" s="272" t="s">
        <v>1099</v>
      </c>
    </row>
    <row r="22449">
      <c r="B22449" s="31"/>
      <c r="G22449" s="272" t="s">
        <v>1099</v>
      </c>
    </row>
    <row r="22450">
      <c r="B22450" s="31"/>
      <c r="G22450" s="272" t="s">
        <v>1099</v>
      </c>
    </row>
    <row r="22451">
      <c r="B22451" s="31"/>
      <c r="G22451" s="272" t="s">
        <v>1099</v>
      </c>
    </row>
    <row r="22452">
      <c r="B22452" s="31"/>
      <c r="G22452" s="272" t="s">
        <v>1099</v>
      </c>
    </row>
    <row r="22453">
      <c r="B22453" s="31"/>
      <c r="G22453" s="272" t="s">
        <v>1099</v>
      </c>
    </row>
    <row r="22454">
      <c r="B22454" s="31"/>
      <c r="G22454" s="272" t="s">
        <v>1099</v>
      </c>
    </row>
    <row r="22455">
      <c r="B22455" s="31"/>
      <c r="G22455" s="272" t="s">
        <v>1099</v>
      </c>
    </row>
    <row r="22456">
      <c r="B22456" s="31"/>
      <c r="G22456" s="272" t="s">
        <v>1099</v>
      </c>
    </row>
    <row r="22457">
      <c r="B22457" s="31"/>
      <c r="G22457" s="272" t="s">
        <v>1099</v>
      </c>
    </row>
    <row r="22458">
      <c r="B22458" s="31"/>
      <c r="G22458" s="272" t="s">
        <v>1099</v>
      </c>
    </row>
    <row r="22459">
      <c r="B22459" s="31"/>
      <c r="G22459" s="272" t="s">
        <v>1099</v>
      </c>
    </row>
    <row r="22460">
      <c r="B22460" s="31"/>
      <c r="G22460" s="272" t="s">
        <v>1099</v>
      </c>
    </row>
    <row r="22461">
      <c r="B22461" s="31"/>
      <c r="G22461" s="272" t="s">
        <v>1099</v>
      </c>
    </row>
    <row r="22462">
      <c r="B22462" s="31"/>
      <c r="G22462" s="272" t="s">
        <v>1099</v>
      </c>
    </row>
    <row r="22463">
      <c r="B22463" s="31"/>
      <c r="G22463" s="272" t="s">
        <v>1099</v>
      </c>
    </row>
    <row r="22464">
      <c r="B22464" s="31"/>
      <c r="G22464" s="272" t="s">
        <v>1099</v>
      </c>
    </row>
    <row r="22465">
      <c r="B22465" s="31"/>
      <c r="G22465" s="272" t="s">
        <v>1099</v>
      </c>
    </row>
    <row r="22466">
      <c r="B22466" s="31"/>
      <c r="G22466" s="272" t="s">
        <v>1099</v>
      </c>
    </row>
    <row r="22467">
      <c r="B22467" s="31"/>
      <c r="G22467" s="272" t="s">
        <v>1099</v>
      </c>
    </row>
    <row r="22468">
      <c r="B22468" s="31"/>
      <c r="G22468" s="272" t="s">
        <v>1099</v>
      </c>
    </row>
    <row r="22469">
      <c r="B22469" s="31"/>
      <c r="G22469" s="272" t="s">
        <v>1099</v>
      </c>
    </row>
    <row r="22470">
      <c r="B22470" s="31"/>
      <c r="G22470" s="272" t="s">
        <v>1099</v>
      </c>
    </row>
    <row r="22471">
      <c r="B22471" s="31"/>
      <c r="G22471" s="272" t="s">
        <v>1099</v>
      </c>
    </row>
    <row r="22472">
      <c r="B22472" s="31"/>
      <c r="G22472" s="272" t="s">
        <v>1099</v>
      </c>
    </row>
    <row r="22473">
      <c r="B22473" s="31"/>
      <c r="G22473" s="272" t="s">
        <v>1099</v>
      </c>
    </row>
    <row r="22474">
      <c r="B22474" s="31"/>
      <c r="G22474" s="272" t="s">
        <v>1099</v>
      </c>
    </row>
    <row r="22475">
      <c r="B22475" s="31"/>
      <c r="G22475" s="272" t="s">
        <v>1099</v>
      </c>
    </row>
    <row r="22476">
      <c r="B22476" s="31"/>
      <c r="G22476" s="272" t="s">
        <v>1099</v>
      </c>
    </row>
    <row r="22477">
      <c r="B22477" s="31"/>
      <c r="G22477" s="272" t="s">
        <v>1099</v>
      </c>
    </row>
    <row r="22478">
      <c r="B22478" s="31"/>
      <c r="G22478" s="272" t="s">
        <v>1099</v>
      </c>
    </row>
    <row r="22479">
      <c r="B22479" s="31"/>
      <c r="G22479" s="272" t="s">
        <v>1099</v>
      </c>
    </row>
    <row r="22480">
      <c r="B22480" s="31"/>
      <c r="G22480" s="272" t="s">
        <v>1099</v>
      </c>
    </row>
    <row r="22481">
      <c r="B22481" s="31"/>
      <c r="G22481" s="272" t="s">
        <v>1099</v>
      </c>
    </row>
    <row r="22482">
      <c r="B22482" s="31"/>
      <c r="G22482" s="272" t="s">
        <v>1099</v>
      </c>
    </row>
    <row r="22483">
      <c r="B22483" s="31"/>
      <c r="G22483" s="272" t="s">
        <v>1099</v>
      </c>
    </row>
    <row r="22484">
      <c r="B22484" s="31"/>
      <c r="G22484" s="272" t="s">
        <v>1099</v>
      </c>
    </row>
    <row r="22485">
      <c r="B22485" s="31"/>
      <c r="G22485" s="272" t="s">
        <v>1099</v>
      </c>
    </row>
    <row r="22486">
      <c r="B22486" s="31"/>
      <c r="G22486" s="272" t="s">
        <v>1099</v>
      </c>
    </row>
    <row r="22487">
      <c r="B22487" s="31"/>
      <c r="G22487" s="272" t="s">
        <v>1099</v>
      </c>
    </row>
    <row r="22488">
      <c r="B22488" s="31"/>
      <c r="G22488" s="272" t="s">
        <v>1099</v>
      </c>
    </row>
    <row r="22489">
      <c r="B22489" s="31"/>
      <c r="G22489" s="272" t="s">
        <v>1099</v>
      </c>
    </row>
    <row r="22490">
      <c r="B22490" s="31"/>
      <c r="G22490" s="272" t="s">
        <v>1099</v>
      </c>
    </row>
    <row r="22491">
      <c r="B22491" s="31"/>
      <c r="G22491" s="272" t="s">
        <v>1099</v>
      </c>
    </row>
    <row r="22492">
      <c r="B22492" s="31"/>
      <c r="G22492" s="272" t="s">
        <v>1099</v>
      </c>
    </row>
    <row r="22493">
      <c r="B22493" s="31"/>
      <c r="G22493" s="272" t="s">
        <v>1099</v>
      </c>
    </row>
    <row r="22494">
      <c r="B22494" s="31"/>
      <c r="G22494" s="272" t="s">
        <v>1099</v>
      </c>
    </row>
    <row r="22495">
      <c r="B22495" s="31"/>
      <c r="G22495" s="272" t="s">
        <v>1099</v>
      </c>
    </row>
    <row r="22496">
      <c r="B22496" s="31"/>
      <c r="G22496" s="272" t="s">
        <v>1099</v>
      </c>
    </row>
    <row r="22497">
      <c r="B22497" s="31"/>
      <c r="G22497" s="272" t="s">
        <v>1099</v>
      </c>
    </row>
    <row r="22498">
      <c r="B22498" s="31"/>
      <c r="G22498" s="272" t="s">
        <v>1099</v>
      </c>
    </row>
    <row r="22499">
      <c r="B22499" s="31"/>
      <c r="G22499" s="272" t="s">
        <v>1099</v>
      </c>
    </row>
    <row r="22500">
      <c r="B22500" s="31"/>
      <c r="G22500" s="272" t="s">
        <v>1099</v>
      </c>
    </row>
    <row r="22501">
      <c r="B22501" s="31"/>
      <c r="G22501" s="272" t="s">
        <v>1099</v>
      </c>
    </row>
    <row r="22502">
      <c r="B22502" s="31"/>
      <c r="G22502" s="272" t="s">
        <v>1099</v>
      </c>
    </row>
    <row r="22503">
      <c r="B22503" s="31"/>
      <c r="G22503" s="272" t="s">
        <v>1099</v>
      </c>
    </row>
    <row r="22504">
      <c r="B22504" s="31"/>
      <c r="G22504" s="272" t="s">
        <v>1099</v>
      </c>
    </row>
    <row r="22505">
      <c r="B22505" s="31"/>
      <c r="G22505" s="272" t="s">
        <v>1099</v>
      </c>
    </row>
    <row r="22506">
      <c r="B22506" s="31"/>
      <c r="G22506" s="272" t="s">
        <v>1099</v>
      </c>
    </row>
    <row r="22507">
      <c r="B22507" s="31"/>
      <c r="G22507" s="272" t="s">
        <v>1099</v>
      </c>
    </row>
    <row r="22508">
      <c r="B22508" s="31"/>
      <c r="G22508" s="272" t="s">
        <v>1099</v>
      </c>
    </row>
    <row r="22509">
      <c r="B22509" s="31"/>
      <c r="G22509" s="272" t="s">
        <v>1099</v>
      </c>
    </row>
    <row r="22510">
      <c r="B22510" s="31"/>
      <c r="G22510" s="272" t="s">
        <v>1099</v>
      </c>
    </row>
    <row r="22511">
      <c r="B22511" s="31"/>
      <c r="G22511" s="272" t="s">
        <v>1099</v>
      </c>
    </row>
    <row r="22512">
      <c r="B22512" s="31"/>
      <c r="G22512" s="272" t="s">
        <v>1099</v>
      </c>
    </row>
    <row r="22513">
      <c r="B22513" s="31"/>
      <c r="G22513" s="272" t="s">
        <v>1099</v>
      </c>
    </row>
    <row r="22514">
      <c r="B22514" s="31"/>
      <c r="G22514" s="272" t="s">
        <v>1099</v>
      </c>
    </row>
    <row r="22515">
      <c r="B22515" s="31"/>
      <c r="G22515" s="272" t="s">
        <v>1099</v>
      </c>
    </row>
    <row r="22516">
      <c r="B22516" s="31"/>
      <c r="G22516" s="272" t="s">
        <v>1099</v>
      </c>
    </row>
    <row r="22517">
      <c r="B22517" s="31"/>
      <c r="G22517" s="272" t="s">
        <v>1099</v>
      </c>
    </row>
    <row r="22518">
      <c r="B22518" s="31"/>
      <c r="G22518" s="272" t="s">
        <v>1099</v>
      </c>
    </row>
    <row r="22519">
      <c r="B22519" s="31"/>
      <c r="G22519" s="272" t="s">
        <v>1099</v>
      </c>
    </row>
    <row r="22520">
      <c r="B22520" s="31"/>
      <c r="G22520" s="272" t="s">
        <v>1099</v>
      </c>
    </row>
    <row r="22521">
      <c r="B22521" s="31"/>
      <c r="G22521" s="272" t="s">
        <v>1099</v>
      </c>
    </row>
    <row r="22522">
      <c r="B22522" s="31"/>
      <c r="G22522" s="272" t="s">
        <v>1099</v>
      </c>
    </row>
    <row r="22523">
      <c r="B22523" s="31"/>
      <c r="G22523" s="272" t="s">
        <v>1099</v>
      </c>
    </row>
    <row r="22524">
      <c r="B22524" s="31"/>
      <c r="G22524" s="272" t="s">
        <v>1099</v>
      </c>
    </row>
    <row r="22525">
      <c r="B22525" s="31"/>
      <c r="G22525" s="272" t="s">
        <v>1099</v>
      </c>
    </row>
    <row r="22526">
      <c r="B22526" s="31"/>
      <c r="G22526" s="272" t="s">
        <v>1099</v>
      </c>
    </row>
    <row r="22527">
      <c r="B22527" s="31"/>
      <c r="G22527" s="272" t="s">
        <v>1099</v>
      </c>
    </row>
    <row r="22528">
      <c r="B22528" s="31"/>
      <c r="G22528" s="272" t="s">
        <v>1099</v>
      </c>
    </row>
    <row r="22529">
      <c r="B22529" s="31"/>
      <c r="G22529" s="272" t="s">
        <v>1099</v>
      </c>
    </row>
    <row r="22530">
      <c r="B22530" s="31"/>
      <c r="G22530" s="272" t="s">
        <v>1099</v>
      </c>
    </row>
    <row r="22531">
      <c r="B22531" s="31"/>
      <c r="G22531" s="272" t="s">
        <v>1099</v>
      </c>
    </row>
    <row r="22532">
      <c r="B22532" s="31"/>
      <c r="G22532" s="272" t="s">
        <v>1099</v>
      </c>
    </row>
    <row r="22533">
      <c r="B22533" s="31"/>
      <c r="G22533" s="272" t="s">
        <v>1099</v>
      </c>
    </row>
    <row r="22534">
      <c r="B22534" s="31"/>
      <c r="G22534" s="272" t="s">
        <v>1099</v>
      </c>
    </row>
    <row r="22535">
      <c r="B22535" s="31"/>
      <c r="G22535" s="272" t="s">
        <v>1099</v>
      </c>
    </row>
    <row r="22536">
      <c r="B22536" s="31"/>
      <c r="G22536" s="272" t="s">
        <v>1099</v>
      </c>
    </row>
    <row r="22537">
      <c r="B22537" s="31"/>
      <c r="G22537" s="272" t="s">
        <v>1099</v>
      </c>
    </row>
    <row r="22538">
      <c r="B22538" s="31"/>
      <c r="G22538" s="272" t="s">
        <v>1099</v>
      </c>
    </row>
    <row r="22539">
      <c r="B22539" s="31"/>
      <c r="G22539" s="272" t="s">
        <v>1099</v>
      </c>
    </row>
    <row r="22540">
      <c r="B22540" s="31"/>
      <c r="G22540" s="272" t="s">
        <v>1099</v>
      </c>
    </row>
    <row r="22541">
      <c r="B22541" s="31"/>
      <c r="G22541" s="272" t="s">
        <v>1099</v>
      </c>
    </row>
    <row r="22542">
      <c r="B22542" s="31"/>
      <c r="G22542" s="272" t="s">
        <v>1099</v>
      </c>
    </row>
    <row r="22543">
      <c r="B22543" s="31"/>
      <c r="G22543" s="272" t="s">
        <v>1099</v>
      </c>
    </row>
    <row r="22544">
      <c r="B22544" s="31"/>
      <c r="G22544" s="272" t="s">
        <v>1099</v>
      </c>
    </row>
    <row r="22545">
      <c r="B22545" s="31"/>
      <c r="G22545" s="272" t="s">
        <v>1099</v>
      </c>
    </row>
    <row r="22546">
      <c r="B22546" s="31"/>
      <c r="G22546" s="272" t="s">
        <v>1099</v>
      </c>
    </row>
    <row r="22547">
      <c r="B22547" s="31"/>
      <c r="G22547" s="272" t="s">
        <v>1099</v>
      </c>
    </row>
    <row r="22548">
      <c r="B22548" s="31"/>
      <c r="G22548" s="272" t="s">
        <v>1099</v>
      </c>
    </row>
    <row r="22549">
      <c r="B22549" s="31"/>
      <c r="G22549" s="272" t="s">
        <v>1099</v>
      </c>
    </row>
    <row r="22550">
      <c r="B22550" s="31"/>
      <c r="G22550" s="272" t="s">
        <v>1099</v>
      </c>
    </row>
    <row r="22551">
      <c r="B22551" s="31"/>
      <c r="G22551" s="272" t="s">
        <v>1099</v>
      </c>
    </row>
    <row r="22552">
      <c r="B22552" s="31"/>
      <c r="G22552" s="272" t="s">
        <v>1099</v>
      </c>
    </row>
    <row r="22553">
      <c r="B22553" s="31"/>
      <c r="G22553" s="272" t="s">
        <v>1099</v>
      </c>
    </row>
    <row r="22554">
      <c r="B22554" s="31"/>
      <c r="G22554" s="272" t="s">
        <v>1099</v>
      </c>
    </row>
    <row r="22555">
      <c r="B22555" s="31"/>
      <c r="G22555" s="272" t="s">
        <v>1099</v>
      </c>
    </row>
    <row r="22556">
      <c r="B22556" s="31"/>
      <c r="G22556" s="272" t="s">
        <v>1099</v>
      </c>
    </row>
    <row r="22557">
      <c r="B22557" s="31"/>
      <c r="G22557" s="272" t="s">
        <v>1099</v>
      </c>
    </row>
    <row r="22558">
      <c r="B22558" s="31"/>
      <c r="G22558" s="272" t="s">
        <v>1099</v>
      </c>
    </row>
    <row r="22559">
      <c r="B22559" s="31"/>
      <c r="G22559" s="272" t="s">
        <v>1099</v>
      </c>
    </row>
    <row r="22560">
      <c r="B22560" s="31"/>
      <c r="G22560" s="272" t="s">
        <v>1099</v>
      </c>
    </row>
    <row r="22561">
      <c r="B22561" s="31"/>
      <c r="G22561" s="272" t="s">
        <v>1099</v>
      </c>
    </row>
    <row r="22562">
      <c r="B22562" s="31"/>
      <c r="G22562" s="272" t="s">
        <v>1099</v>
      </c>
    </row>
    <row r="22563">
      <c r="B22563" s="31"/>
      <c r="G22563" s="272" t="s">
        <v>1099</v>
      </c>
    </row>
    <row r="22564">
      <c r="B22564" s="31"/>
      <c r="G22564" s="272" t="s">
        <v>1099</v>
      </c>
    </row>
    <row r="22565">
      <c r="B22565" s="31"/>
      <c r="G22565" s="272" t="s">
        <v>1099</v>
      </c>
    </row>
    <row r="22566">
      <c r="B22566" s="31"/>
      <c r="G22566" s="272" t="s">
        <v>1099</v>
      </c>
    </row>
    <row r="22567">
      <c r="B22567" s="31"/>
      <c r="G22567" s="272" t="s">
        <v>1099</v>
      </c>
    </row>
    <row r="22568">
      <c r="B22568" s="31"/>
      <c r="G22568" s="272" t="s">
        <v>1099</v>
      </c>
    </row>
    <row r="22569">
      <c r="B22569" s="31"/>
      <c r="G22569" s="272" t="s">
        <v>1099</v>
      </c>
    </row>
    <row r="22570">
      <c r="B22570" s="31"/>
      <c r="G22570" s="272" t="s">
        <v>1099</v>
      </c>
    </row>
    <row r="22571">
      <c r="B22571" s="31"/>
      <c r="G22571" s="272" t="s">
        <v>1099</v>
      </c>
    </row>
    <row r="22572">
      <c r="B22572" s="31"/>
      <c r="G22572" s="272" t="s">
        <v>1099</v>
      </c>
    </row>
    <row r="22573">
      <c r="B22573" s="31"/>
      <c r="G22573" s="272" t="s">
        <v>1099</v>
      </c>
    </row>
    <row r="22574">
      <c r="B22574" s="31"/>
      <c r="G22574" s="272" t="s">
        <v>1099</v>
      </c>
    </row>
    <row r="22575">
      <c r="B22575" s="31"/>
      <c r="G22575" s="272" t="s">
        <v>1099</v>
      </c>
    </row>
    <row r="22576">
      <c r="B22576" s="31"/>
      <c r="G22576" s="272" t="s">
        <v>1099</v>
      </c>
    </row>
    <row r="22577">
      <c r="B22577" s="31"/>
      <c r="G22577" s="272" t="s">
        <v>1099</v>
      </c>
    </row>
    <row r="22578">
      <c r="B22578" s="31"/>
      <c r="G22578" s="272" t="s">
        <v>1099</v>
      </c>
    </row>
    <row r="22579">
      <c r="B22579" s="31"/>
      <c r="G22579" s="272" t="s">
        <v>1099</v>
      </c>
    </row>
    <row r="22580">
      <c r="B22580" s="31"/>
      <c r="G22580" s="272" t="s">
        <v>1099</v>
      </c>
    </row>
    <row r="22581">
      <c r="B22581" s="31"/>
      <c r="G22581" s="272" t="s">
        <v>1099</v>
      </c>
    </row>
    <row r="22582">
      <c r="B22582" s="31"/>
      <c r="G22582" s="272" t="s">
        <v>1099</v>
      </c>
    </row>
    <row r="22583">
      <c r="B22583" s="31"/>
      <c r="G22583" s="272" t="s">
        <v>1099</v>
      </c>
    </row>
    <row r="22584">
      <c r="B22584" s="31"/>
      <c r="G22584" s="272" t="s">
        <v>1099</v>
      </c>
    </row>
    <row r="22585">
      <c r="B22585" s="31"/>
      <c r="G22585" s="272" t="s">
        <v>1099</v>
      </c>
    </row>
    <row r="22586">
      <c r="B22586" s="31"/>
      <c r="G22586" s="272" t="s">
        <v>1099</v>
      </c>
    </row>
    <row r="22587">
      <c r="B22587" s="31"/>
      <c r="G22587" s="272" t="s">
        <v>1099</v>
      </c>
    </row>
    <row r="22588">
      <c r="B22588" s="31"/>
      <c r="G22588" s="272" t="s">
        <v>1099</v>
      </c>
    </row>
    <row r="22589">
      <c r="B22589" s="31"/>
      <c r="G22589" s="272" t="s">
        <v>1099</v>
      </c>
    </row>
    <row r="22590">
      <c r="B22590" s="31"/>
      <c r="G22590" s="272" t="s">
        <v>1099</v>
      </c>
    </row>
    <row r="22591">
      <c r="B22591" s="31"/>
      <c r="G22591" s="272" t="s">
        <v>1099</v>
      </c>
    </row>
    <row r="22592">
      <c r="B22592" s="31"/>
      <c r="G22592" s="272" t="s">
        <v>1099</v>
      </c>
    </row>
    <row r="22593">
      <c r="B22593" s="31"/>
      <c r="G22593" s="272" t="s">
        <v>1099</v>
      </c>
    </row>
    <row r="22594">
      <c r="B22594" s="31"/>
      <c r="G22594" s="272" t="s">
        <v>1099</v>
      </c>
    </row>
    <row r="22595">
      <c r="B22595" s="31"/>
      <c r="G22595" s="272" t="s">
        <v>1099</v>
      </c>
    </row>
    <row r="22596">
      <c r="B22596" s="31"/>
      <c r="G22596" s="272" t="s">
        <v>1099</v>
      </c>
    </row>
    <row r="22597">
      <c r="B22597" s="31"/>
      <c r="G22597" s="272" t="s">
        <v>1099</v>
      </c>
    </row>
    <row r="22598">
      <c r="B22598" s="31"/>
      <c r="G22598" s="272" t="s">
        <v>1099</v>
      </c>
    </row>
    <row r="22599">
      <c r="B22599" s="31"/>
      <c r="G22599" s="272" t="s">
        <v>1099</v>
      </c>
    </row>
    <row r="22600">
      <c r="B22600" s="31"/>
      <c r="G22600" s="272" t="s">
        <v>1099</v>
      </c>
    </row>
    <row r="22601">
      <c r="B22601" s="31"/>
      <c r="G22601" s="272" t="s">
        <v>1099</v>
      </c>
    </row>
    <row r="22602">
      <c r="B22602" s="31"/>
      <c r="G22602" s="272" t="s">
        <v>1099</v>
      </c>
    </row>
    <row r="22603">
      <c r="B22603" s="31"/>
      <c r="G22603" s="272" t="s">
        <v>1099</v>
      </c>
    </row>
    <row r="22604">
      <c r="B22604" s="31"/>
      <c r="G22604" s="272" t="s">
        <v>1099</v>
      </c>
    </row>
    <row r="22605">
      <c r="B22605" s="31"/>
      <c r="G22605" s="272" t="s">
        <v>1099</v>
      </c>
    </row>
    <row r="22606">
      <c r="B22606" s="31"/>
      <c r="G22606" s="272" t="s">
        <v>1099</v>
      </c>
    </row>
    <row r="22607">
      <c r="B22607" s="31"/>
      <c r="G22607" s="272" t="s">
        <v>1099</v>
      </c>
    </row>
    <row r="22608">
      <c r="B22608" s="31"/>
      <c r="G22608" s="272" t="s">
        <v>1099</v>
      </c>
    </row>
    <row r="22609">
      <c r="B22609" s="31"/>
      <c r="G22609" s="272" t="s">
        <v>1099</v>
      </c>
    </row>
    <row r="22610">
      <c r="B22610" s="31"/>
      <c r="G22610" s="272" t="s">
        <v>1099</v>
      </c>
    </row>
    <row r="22611">
      <c r="B22611" s="31"/>
      <c r="G22611" s="272" t="s">
        <v>1099</v>
      </c>
    </row>
    <row r="22612">
      <c r="B22612" s="31"/>
      <c r="G22612" s="272" t="s">
        <v>1099</v>
      </c>
    </row>
    <row r="22613">
      <c r="B22613" s="31"/>
      <c r="G22613" s="272" t="s">
        <v>1099</v>
      </c>
    </row>
    <row r="22614">
      <c r="B22614" s="31"/>
      <c r="G22614" s="272" t="s">
        <v>1099</v>
      </c>
    </row>
    <row r="22615">
      <c r="B22615" s="31"/>
      <c r="G22615" s="272" t="s">
        <v>1099</v>
      </c>
    </row>
    <row r="22616">
      <c r="B22616" s="31"/>
      <c r="G22616" s="272" t="s">
        <v>1099</v>
      </c>
    </row>
    <row r="22617">
      <c r="B22617" s="31"/>
      <c r="G22617" s="272" t="s">
        <v>1099</v>
      </c>
    </row>
    <row r="22618">
      <c r="B22618" s="31"/>
      <c r="G22618" s="272" t="s">
        <v>1099</v>
      </c>
    </row>
    <row r="22619">
      <c r="B22619" s="31"/>
      <c r="G22619" s="272" t="s">
        <v>1099</v>
      </c>
    </row>
    <row r="22620">
      <c r="B22620" s="31"/>
      <c r="G22620" s="272" t="s">
        <v>1099</v>
      </c>
    </row>
    <row r="22621">
      <c r="B22621" s="31"/>
      <c r="G22621" s="272" t="s">
        <v>1099</v>
      </c>
    </row>
    <row r="22622">
      <c r="B22622" s="31"/>
      <c r="G22622" s="272" t="s">
        <v>1099</v>
      </c>
    </row>
    <row r="22623">
      <c r="B22623" s="31"/>
      <c r="G22623" s="272" t="s">
        <v>1099</v>
      </c>
    </row>
    <row r="22624">
      <c r="B22624" s="31"/>
      <c r="G22624" s="272" t="s">
        <v>1099</v>
      </c>
    </row>
    <row r="22625">
      <c r="B22625" s="31"/>
      <c r="G22625" s="272" t="s">
        <v>1099</v>
      </c>
    </row>
    <row r="22626">
      <c r="B22626" s="31"/>
      <c r="G22626" s="272" t="s">
        <v>1099</v>
      </c>
    </row>
    <row r="22627">
      <c r="B22627" s="31"/>
      <c r="G22627" s="272" t="s">
        <v>1099</v>
      </c>
    </row>
    <row r="22628">
      <c r="B22628" s="31"/>
      <c r="G22628" s="272" t="s">
        <v>1099</v>
      </c>
    </row>
    <row r="22629">
      <c r="B22629" s="31"/>
      <c r="G22629" s="272" t="s">
        <v>1099</v>
      </c>
    </row>
    <row r="22630">
      <c r="B22630" s="31"/>
      <c r="G22630" s="272" t="s">
        <v>1099</v>
      </c>
    </row>
    <row r="22631">
      <c r="B22631" s="31"/>
      <c r="G22631" s="272" t="s">
        <v>1099</v>
      </c>
    </row>
    <row r="22632">
      <c r="B22632" s="31"/>
      <c r="G22632" s="272" t="s">
        <v>1099</v>
      </c>
    </row>
    <row r="22633">
      <c r="B22633" s="31"/>
      <c r="G22633" s="272" t="s">
        <v>1099</v>
      </c>
    </row>
    <row r="22634">
      <c r="B22634" s="31"/>
      <c r="G22634" s="272" t="s">
        <v>1099</v>
      </c>
    </row>
    <row r="22635">
      <c r="B22635" s="31"/>
      <c r="G22635" s="272" t="s">
        <v>1099</v>
      </c>
    </row>
    <row r="22636">
      <c r="B22636" s="31"/>
      <c r="G22636" s="272" t="s">
        <v>1099</v>
      </c>
    </row>
    <row r="22637">
      <c r="B22637" s="31"/>
      <c r="G22637" s="272" t="s">
        <v>1099</v>
      </c>
    </row>
    <row r="22638">
      <c r="B22638" s="31"/>
      <c r="G22638" s="272" t="s">
        <v>1099</v>
      </c>
    </row>
    <row r="22639">
      <c r="B22639" s="31"/>
      <c r="G22639" s="272" t="s">
        <v>1099</v>
      </c>
    </row>
    <row r="22640">
      <c r="B22640" s="31"/>
      <c r="G22640" s="272" t="s">
        <v>1099</v>
      </c>
    </row>
    <row r="22641">
      <c r="B22641" s="31"/>
      <c r="G22641" s="272" t="s">
        <v>1099</v>
      </c>
    </row>
    <row r="22642">
      <c r="B22642" s="31"/>
      <c r="G22642" s="272" t="s">
        <v>1099</v>
      </c>
    </row>
    <row r="22643">
      <c r="B22643" s="31"/>
      <c r="G22643" s="272" t="s">
        <v>1099</v>
      </c>
    </row>
    <row r="22644">
      <c r="B22644" s="31"/>
      <c r="G22644" s="272" t="s">
        <v>1099</v>
      </c>
    </row>
    <row r="22645">
      <c r="B22645" s="31"/>
      <c r="G22645" s="272" t="s">
        <v>1099</v>
      </c>
    </row>
    <row r="22646">
      <c r="B22646" s="31"/>
      <c r="G22646" s="272" t="s">
        <v>1099</v>
      </c>
    </row>
    <row r="22647">
      <c r="B22647" s="31"/>
      <c r="G22647" s="272" t="s">
        <v>1099</v>
      </c>
    </row>
    <row r="22648">
      <c r="B22648" s="31"/>
      <c r="G22648" s="272" t="s">
        <v>1099</v>
      </c>
    </row>
    <row r="22649">
      <c r="B22649" s="31"/>
      <c r="G22649" s="272" t="s">
        <v>1099</v>
      </c>
    </row>
    <row r="22650">
      <c r="B22650" s="31"/>
      <c r="G22650" s="272" t="s">
        <v>1099</v>
      </c>
    </row>
    <row r="22651">
      <c r="B22651" s="31"/>
      <c r="G22651" s="272" t="s">
        <v>1099</v>
      </c>
    </row>
    <row r="22652">
      <c r="B22652" s="31"/>
      <c r="G22652" s="272" t="s">
        <v>1099</v>
      </c>
    </row>
    <row r="22653">
      <c r="B22653" s="31"/>
      <c r="G22653" s="272" t="s">
        <v>1099</v>
      </c>
    </row>
    <row r="22654">
      <c r="B22654" s="31"/>
      <c r="G22654" s="272" t="s">
        <v>1099</v>
      </c>
    </row>
    <row r="22655">
      <c r="B22655" s="31"/>
      <c r="G22655" s="272" t="s">
        <v>1099</v>
      </c>
    </row>
    <row r="22656">
      <c r="B22656" s="31"/>
      <c r="G22656" s="272" t="s">
        <v>1099</v>
      </c>
    </row>
    <row r="22657">
      <c r="B22657" s="31"/>
      <c r="G22657" s="272" t="s">
        <v>1099</v>
      </c>
    </row>
    <row r="22658">
      <c r="B22658" s="31"/>
      <c r="G22658" s="272" t="s">
        <v>1099</v>
      </c>
    </row>
    <row r="22659">
      <c r="B22659" s="31"/>
      <c r="G22659" s="272" t="s">
        <v>1099</v>
      </c>
    </row>
    <row r="22660">
      <c r="B22660" s="31"/>
      <c r="G22660" s="272" t="s">
        <v>1099</v>
      </c>
    </row>
    <row r="22661">
      <c r="B22661" s="31"/>
      <c r="G22661" s="272" t="s">
        <v>1099</v>
      </c>
    </row>
    <row r="22662">
      <c r="B22662" s="31"/>
      <c r="G22662" s="272" t="s">
        <v>1099</v>
      </c>
    </row>
    <row r="22663">
      <c r="B22663" s="31"/>
      <c r="G22663" s="272" t="s">
        <v>1099</v>
      </c>
    </row>
    <row r="22664">
      <c r="B22664" s="31"/>
      <c r="G22664" s="272" t="s">
        <v>1099</v>
      </c>
    </row>
    <row r="22665">
      <c r="B22665" s="31"/>
      <c r="G22665" s="272" t="s">
        <v>1099</v>
      </c>
    </row>
    <row r="22666">
      <c r="B22666" s="31"/>
      <c r="G22666" s="272" t="s">
        <v>1099</v>
      </c>
    </row>
    <row r="22667">
      <c r="B22667" s="31"/>
      <c r="G22667" s="272" t="s">
        <v>1099</v>
      </c>
    </row>
    <row r="22668">
      <c r="B22668" s="31"/>
      <c r="G22668" s="272" t="s">
        <v>1099</v>
      </c>
    </row>
    <row r="22669">
      <c r="B22669" s="31"/>
      <c r="G22669" s="272" t="s">
        <v>1099</v>
      </c>
    </row>
    <row r="22670">
      <c r="B22670" s="31"/>
      <c r="G22670" s="272" t="s">
        <v>1099</v>
      </c>
    </row>
    <row r="22671">
      <c r="B22671" s="31"/>
      <c r="G22671" s="272" t="s">
        <v>1099</v>
      </c>
    </row>
    <row r="22672">
      <c r="B22672" s="31"/>
      <c r="G22672" s="272" t="s">
        <v>1099</v>
      </c>
    </row>
    <row r="22673">
      <c r="B22673" s="31"/>
      <c r="G22673" s="272" t="s">
        <v>1099</v>
      </c>
    </row>
    <row r="22674">
      <c r="B22674" s="31"/>
      <c r="G22674" s="272" t="s">
        <v>1099</v>
      </c>
    </row>
    <row r="22675">
      <c r="B22675" s="31"/>
      <c r="G22675" s="272" t="s">
        <v>1099</v>
      </c>
    </row>
    <row r="22676">
      <c r="B22676" s="31"/>
      <c r="G22676" s="272" t="s">
        <v>1099</v>
      </c>
    </row>
    <row r="22677">
      <c r="B22677" s="31"/>
      <c r="G22677" s="272" t="s">
        <v>1099</v>
      </c>
    </row>
    <row r="22678">
      <c r="B22678" s="31"/>
      <c r="G22678" s="272" t="s">
        <v>1099</v>
      </c>
    </row>
    <row r="22679">
      <c r="B22679" s="31"/>
      <c r="G22679" s="272" t="s">
        <v>1099</v>
      </c>
    </row>
    <row r="22680">
      <c r="B22680" s="31"/>
      <c r="G22680" s="272" t="s">
        <v>1099</v>
      </c>
    </row>
    <row r="22681">
      <c r="B22681" s="31"/>
      <c r="G22681" s="272" t="s">
        <v>1099</v>
      </c>
    </row>
    <row r="22682">
      <c r="B22682" s="31"/>
      <c r="G22682" s="272" t="s">
        <v>1099</v>
      </c>
    </row>
    <row r="22683">
      <c r="B22683" s="31"/>
      <c r="G22683" s="272" t="s">
        <v>1099</v>
      </c>
    </row>
    <row r="22684">
      <c r="B22684" s="31"/>
      <c r="G22684" s="272" t="s">
        <v>1099</v>
      </c>
    </row>
    <row r="22685">
      <c r="B22685" s="31"/>
      <c r="G22685" s="272" t="s">
        <v>1099</v>
      </c>
    </row>
    <row r="22686">
      <c r="B22686" s="31"/>
      <c r="G22686" s="272" t="s">
        <v>1099</v>
      </c>
    </row>
    <row r="22687">
      <c r="B22687" s="31"/>
      <c r="G22687" s="272" t="s">
        <v>1099</v>
      </c>
    </row>
    <row r="22688">
      <c r="B22688" s="31"/>
      <c r="G22688" s="272" t="s">
        <v>1099</v>
      </c>
    </row>
    <row r="22689">
      <c r="B22689" s="31"/>
      <c r="G22689" s="272" t="s">
        <v>1099</v>
      </c>
    </row>
    <row r="22690">
      <c r="B22690" s="31"/>
      <c r="G22690" s="272" t="s">
        <v>1099</v>
      </c>
    </row>
    <row r="22691">
      <c r="B22691" s="31"/>
      <c r="G22691" s="272" t="s">
        <v>1099</v>
      </c>
    </row>
    <row r="22692">
      <c r="B22692" s="31"/>
      <c r="G22692" s="272" t="s">
        <v>1099</v>
      </c>
    </row>
    <row r="22693">
      <c r="B22693" s="31"/>
      <c r="G22693" s="272" t="s">
        <v>1099</v>
      </c>
    </row>
    <row r="22694">
      <c r="B22694" s="31"/>
      <c r="G22694" s="272" t="s">
        <v>1099</v>
      </c>
    </row>
    <row r="22695">
      <c r="B22695" s="31"/>
      <c r="G22695" s="272" t="s">
        <v>1099</v>
      </c>
    </row>
    <row r="22696">
      <c r="B22696" s="31"/>
      <c r="G22696" s="272" t="s">
        <v>1099</v>
      </c>
    </row>
    <row r="22697">
      <c r="B22697" s="31"/>
      <c r="G22697" s="272" t="s">
        <v>1099</v>
      </c>
    </row>
    <row r="22698">
      <c r="B22698" s="31"/>
      <c r="G22698" s="272" t="s">
        <v>1099</v>
      </c>
    </row>
    <row r="22699">
      <c r="B22699" s="31"/>
      <c r="G22699" s="272" t="s">
        <v>1099</v>
      </c>
    </row>
    <row r="22700">
      <c r="B22700" s="31"/>
      <c r="G22700" s="272" t="s">
        <v>1099</v>
      </c>
    </row>
    <row r="22701">
      <c r="B22701" s="31"/>
      <c r="G22701" s="272" t="s">
        <v>1099</v>
      </c>
    </row>
    <row r="22702">
      <c r="B22702" s="31"/>
      <c r="G22702" s="272" t="s">
        <v>1099</v>
      </c>
    </row>
    <row r="22703">
      <c r="B22703" s="31"/>
      <c r="G22703" s="272" t="s">
        <v>1099</v>
      </c>
    </row>
    <row r="22704">
      <c r="B22704" s="31"/>
      <c r="G22704" s="272" t="s">
        <v>1099</v>
      </c>
    </row>
    <row r="22705">
      <c r="B22705" s="31"/>
      <c r="G22705" s="272" t="s">
        <v>1099</v>
      </c>
    </row>
    <row r="22706">
      <c r="B22706" s="31"/>
      <c r="G22706" s="272" t="s">
        <v>1099</v>
      </c>
    </row>
    <row r="22707">
      <c r="B22707" s="31"/>
      <c r="G22707" s="272" t="s">
        <v>1099</v>
      </c>
    </row>
    <row r="22708">
      <c r="B22708" s="31"/>
      <c r="G22708" s="272" t="s">
        <v>1099</v>
      </c>
    </row>
    <row r="22709">
      <c r="B22709" s="31"/>
      <c r="G22709" s="272" t="s">
        <v>1099</v>
      </c>
    </row>
    <row r="22710">
      <c r="B22710" s="31"/>
      <c r="G22710" s="272" t="s">
        <v>1099</v>
      </c>
    </row>
    <row r="22711">
      <c r="B22711" s="31"/>
      <c r="G22711" s="272" t="s">
        <v>1099</v>
      </c>
    </row>
    <row r="22712">
      <c r="B22712" s="31"/>
      <c r="G22712" s="272" t="s">
        <v>1099</v>
      </c>
    </row>
    <row r="22713">
      <c r="B22713" s="31"/>
      <c r="G22713" s="272" t="s">
        <v>1099</v>
      </c>
    </row>
    <row r="22714">
      <c r="B22714" s="31"/>
      <c r="G22714" s="272" t="s">
        <v>1099</v>
      </c>
    </row>
    <row r="22715">
      <c r="B22715" s="31"/>
      <c r="G22715" s="272" t="s">
        <v>1099</v>
      </c>
    </row>
    <row r="22716">
      <c r="B22716" s="31"/>
      <c r="G22716" s="272" t="s">
        <v>1099</v>
      </c>
    </row>
    <row r="22717">
      <c r="B22717" s="31"/>
      <c r="G22717" s="272" t="s">
        <v>1099</v>
      </c>
    </row>
    <row r="22718">
      <c r="B22718" s="31"/>
      <c r="G22718" s="272" t="s">
        <v>1099</v>
      </c>
    </row>
    <row r="22719">
      <c r="B22719" s="31"/>
      <c r="G22719" s="272" t="s">
        <v>1099</v>
      </c>
    </row>
    <row r="22720">
      <c r="B22720" s="31"/>
      <c r="G22720" s="272" t="s">
        <v>1099</v>
      </c>
    </row>
    <row r="22721">
      <c r="B22721" s="31"/>
      <c r="G22721" s="272" t="s">
        <v>1099</v>
      </c>
    </row>
    <row r="22722">
      <c r="B22722" s="31"/>
      <c r="G22722" s="272" t="s">
        <v>1099</v>
      </c>
    </row>
    <row r="22723">
      <c r="B22723" s="31"/>
      <c r="G22723" s="272" t="s">
        <v>1099</v>
      </c>
    </row>
    <row r="22724">
      <c r="B22724" s="31"/>
      <c r="G22724" s="272" t="s">
        <v>1099</v>
      </c>
    </row>
    <row r="22725">
      <c r="B22725" s="31"/>
      <c r="G22725" s="272" t="s">
        <v>1099</v>
      </c>
    </row>
    <row r="22726">
      <c r="B22726" s="31"/>
      <c r="G22726" s="272" t="s">
        <v>1099</v>
      </c>
    </row>
    <row r="22727">
      <c r="B22727" s="31"/>
      <c r="G22727" s="272" t="s">
        <v>1099</v>
      </c>
    </row>
    <row r="22728">
      <c r="B22728" s="31"/>
      <c r="G22728" s="272" t="s">
        <v>1099</v>
      </c>
    </row>
    <row r="22729">
      <c r="B22729" s="31"/>
      <c r="G22729" s="272" t="s">
        <v>1099</v>
      </c>
    </row>
    <row r="22730">
      <c r="B22730" s="31"/>
      <c r="G22730" s="272" t="s">
        <v>1099</v>
      </c>
    </row>
    <row r="22731">
      <c r="B22731" s="31"/>
      <c r="G22731" s="272" t="s">
        <v>1099</v>
      </c>
    </row>
    <row r="22732">
      <c r="B22732" s="31"/>
      <c r="G22732" s="272" t="s">
        <v>1099</v>
      </c>
    </row>
    <row r="22733">
      <c r="B22733" s="31"/>
      <c r="G22733" s="272" t="s">
        <v>1099</v>
      </c>
    </row>
    <row r="22734">
      <c r="B22734" s="31"/>
      <c r="G22734" s="272" t="s">
        <v>1099</v>
      </c>
    </row>
    <row r="22735">
      <c r="B22735" s="31"/>
      <c r="G22735" s="272" t="s">
        <v>1099</v>
      </c>
    </row>
    <row r="22736">
      <c r="B22736" s="31"/>
      <c r="G22736" s="272" t="s">
        <v>1099</v>
      </c>
    </row>
    <row r="22737">
      <c r="B22737" s="31"/>
      <c r="G22737" s="272" t="s">
        <v>1099</v>
      </c>
    </row>
    <row r="22738">
      <c r="B22738" s="31"/>
      <c r="G22738" s="272" t="s">
        <v>1099</v>
      </c>
    </row>
    <row r="22739">
      <c r="B22739" s="31"/>
      <c r="G22739" s="272" t="s">
        <v>1099</v>
      </c>
    </row>
    <row r="22740">
      <c r="B22740" s="31"/>
      <c r="G22740" s="272" t="s">
        <v>1099</v>
      </c>
    </row>
    <row r="22741">
      <c r="B22741" s="31"/>
      <c r="G22741" s="272" t="s">
        <v>1099</v>
      </c>
    </row>
    <row r="22742">
      <c r="B22742" s="31"/>
      <c r="G22742" s="272" t="s">
        <v>1099</v>
      </c>
    </row>
    <row r="22743">
      <c r="B22743" s="31"/>
      <c r="G22743" s="272" t="s">
        <v>1099</v>
      </c>
    </row>
    <row r="22744">
      <c r="B22744" s="31"/>
      <c r="G22744" s="272" t="s">
        <v>1099</v>
      </c>
    </row>
    <row r="22745">
      <c r="B22745" s="31"/>
      <c r="G22745" s="272" t="s">
        <v>1099</v>
      </c>
    </row>
    <row r="22746">
      <c r="B22746" s="31"/>
      <c r="G22746" s="272" t="s">
        <v>1099</v>
      </c>
    </row>
    <row r="22747">
      <c r="B22747" s="31"/>
      <c r="G22747" s="272" t="s">
        <v>1099</v>
      </c>
    </row>
    <row r="22748">
      <c r="B22748" s="31"/>
      <c r="G22748" s="272" t="s">
        <v>1099</v>
      </c>
    </row>
    <row r="22749">
      <c r="B22749" s="31"/>
      <c r="G22749" s="272" t="s">
        <v>1099</v>
      </c>
    </row>
    <row r="22750">
      <c r="B22750" s="31"/>
      <c r="G22750" s="272" t="s">
        <v>1099</v>
      </c>
    </row>
    <row r="22751">
      <c r="B22751" s="31"/>
      <c r="G22751" s="272" t="s">
        <v>1099</v>
      </c>
    </row>
    <row r="22752">
      <c r="B22752" s="31"/>
      <c r="G22752" s="272" t="s">
        <v>1099</v>
      </c>
    </row>
    <row r="22753">
      <c r="B22753" s="31"/>
      <c r="G22753" s="272" t="s">
        <v>1099</v>
      </c>
    </row>
    <row r="22754">
      <c r="B22754" s="31"/>
      <c r="G22754" s="272" t="s">
        <v>1099</v>
      </c>
    </row>
    <row r="22755">
      <c r="B22755" s="31"/>
      <c r="G22755" s="272" t="s">
        <v>1099</v>
      </c>
    </row>
    <row r="22756">
      <c r="B22756" s="31"/>
      <c r="G22756" s="272" t="s">
        <v>1099</v>
      </c>
    </row>
    <row r="22757">
      <c r="B22757" s="31"/>
      <c r="G22757" s="272" t="s">
        <v>1099</v>
      </c>
    </row>
    <row r="22758">
      <c r="B22758" s="31"/>
      <c r="G22758" s="272" t="s">
        <v>1099</v>
      </c>
    </row>
    <row r="22759">
      <c r="B22759" s="31"/>
      <c r="G22759" s="272" t="s">
        <v>1099</v>
      </c>
    </row>
    <row r="22760">
      <c r="B22760" s="31"/>
      <c r="G22760" s="272" t="s">
        <v>1099</v>
      </c>
    </row>
    <row r="22761">
      <c r="B22761" s="31"/>
      <c r="G22761" s="272" t="s">
        <v>1099</v>
      </c>
    </row>
    <row r="22762">
      <c r="B22762" s="31"/>
      <c r="G22762" s="272" t="s">
        <v>1099</v>
      </c>
    </row>
    <row r="22763">
      <c r="B22763" s="31"/>
      <c r="G22763" s="272" t="s">
        <v>1099</v>
      </c>
    </row>
    <row r="22764">
      <c r="B22764" s="31"/>
      <c r="G22764" s="272" t="s">
        <v>1099</v>
      </c>
    </row>
    <row r="22765">
      <c r="B22765" s="31"/>
      <c r="G22765" s="272" t="s">
        <v>1099</v>
      </c>
    </row>
    <row r="22766">
      <c r="B22766" s="31"/>
      <c r="G22766" s="272" t="s">
        <v>1099</v>
      </c>
    </row>
    <row r="22767">
      <c r="B22767" s="31"/>
      <c r="G22767" s="272" t="s">
        <v>1099</v>
      </c>
    </row>
    <row r="22768">
      <c r="B22768" s="31"/>
      <c r="G22768" s="272" t="s">
        <v>1099</v>
      </c>
    </row>
    <row r="22769">
      <c r="B22769" s="31"/>
      <c r="G22769" s="272" t="s">
        <v>1099</v>
      </c>
    </row>
    <row r="22770">
      <c r="B22770" s="31"/>
      <c r="G22770" s="272" t="s">
        <v>1099</v>
      </c>
    </row>
    <row r="22771">
      <c r="B22771" s="31"/>
      <c r="G22771" s="272" t="s">
        <v>1099</v>
      </c>
    </row>
    <row r="22772">
      <c r="B22772" s="31"/>
      <c r="G22772" s="272" t="s">
        <v>1099</v>
      </c>
    </row>
    <row r="22773">
      <c r="B22773" s="31"/>
      <c r="G22773" s="272" t="s">
        <v>1099</v>
      </c>
    </row>
    <row r="22774">
      <c r="B22774" s="31"/>
      <c r="G22774" s="272" t="s">
        <v>1099</v>
      </c>
    </row>
    <row r="22775">
      <c r="B22775" s="31"/>
      <c r="G22775" s="272" t="s">
        <v>1099</v>
      </c>
    </row>
    <row r="22776">
      <c r="B22776" s="31"/>
      <c r="G22776" s="272" t="s">
        <v>1099</v>
      </c>
    </row>
    <row r="22777">
      <c r="B22777" s="31"/>
      <c r="G22777" s="272" t="s">
        <v>1099</v>
      </c>
    </row>
    <row r="22778">
      <c r="B22778" s="31"/>
      <c r="G22778" s="272" t="s">
        <v>1099</v>
      </c>
    </row>
    <row r="22779">
      <c r="B22779" s="31"/>
      <c r="G22779" s="272" t="s">
        <v>1099</v>
      </c>
    </row>
    <row r="22780">
      <c r="B22780" s="31"/>
      <c r="G22780" s="272" t="s">
        <v>1099</v>
      </c>
    </row>
    <row r="22781">
      <c r="B22781" s="31"/>
      <c r="G22781" s="272" t="s">
        <v>1099</v>
      </c>
    </row>
    <row r="22782">
      <c r="B22782" s="31"/>
      <c r="G22782" s="272" t="s">
        <v>1099</v>
      </c>
    </row>
    <row r="22783">
      <c r="B22783" s="31"/>
      <c r="G22783" s="272" t="s">
        <v>1099</v>
      </c>
    </row>
    <row r="22784">
      <c r="B22784" s="31"/>
      <c r="G22784" s="272" t="s">
        <v>1099</v>
      </c>
    </row>
    <row r="22785">
      <c r="B22785" s="31"/>
      <c r="G22785" s="272" t="s">
        <v>1099</v>
      </c>
    </row>
    <row r="22786">
      <c r="B22786" s="31"/>
      <c r="G22786" s="272" t="s">
        <v>1099</v>
      </c>
    </row>
    <row r="22787">
      <c r="B22787" s="31"/>
      <c r="G22787" s="272" t="s">
        <v>1099</v>
      </c>
    </row>
    <row r="22788">
      <c r="B22788" s="31"/>
      <c r="G22788" s="272" t="s">
        <v>1099</v>
      </c>
    </row>
    <row r="22789">
      <c r="B22789" s="31"/>
      <c r="G22789" s="272" t="s">
        <v>1099</v>
      </c>
    </row>
    <row r="22790">
      <c r="B22790" s="31"/>
      <c r="G22790" s="272" t="s">
        <v>1099</v>
      </c>
    </row>
    <row r="22791">
      <c r="B22791" s="31"/>
      <c r="G22791" s="272" t="s">
        <v>1099</v>
      </c>
    </row>
    <row r="22792">
      <c r="B22792" s="31"/>
      <c r="G22792" s="272" t="s">
        <v>1099</v>
      </c>
    </row>
    <row r="22793">
      <c r="B22793" s="31"/>
      <c r="G22793" s="272" t="s">
        <v>1099</v>
      </c>
    </row>
    <row r="22794">
      <c r="B22794" s="31"/>
      <c r="G22794" s="272" t="s">
        <v>1099</v>
      </c>
    </row>
    <row r="22795">
      <c r="B22795" s="31"/>
      <c r="G22795" s="272" t="s">
        <v>1099</v>
      </c>
    </row>
    <row r="22796">
      <c r="B22796" s="31"/>
      <c r="G22796" s="272" t="s">
        <v>1099</v>
      </c>
    </row>
    <row r="22797">
      <c r="B22797" s="31"/>
      <c r="G22797" s="272" t="s">
        <v>1099</v>
      </c>
    </row>
    <row r="22798">
      <c r="B22798" s="31"/>
      <c r="G22798" s="272" t="s">
        <v>1099</v>
      </c>
    </row>
    <row r="22799">
      <c r="B22799" s="31"/>
      <c r="G22799" s="272" t="s">
        <v>1099</v>
      </c>
    </row>
    <row r="22800">
      <c r="B22800" s="31"/>
      <c r="G22800" s="272" t="s">
        <v>1099</v>
      </c>
    </row>
    <row r="22801">
      <c r="B22801" s="31"/>
      <c r="G22801" s="272" t="s">
        <v>1099</v>
      </c>
    </row>
    <row r="22802">
      <c r="B22802" s="31"/>
      <c r="G22802" s="272" t="s">
        <v>1099</v>
      </c>
    </row>
    <row r="22803">
      <c r="B22803" s="31"/>
      <c r="G22803" s="272" t="s">
        <v>1099</v>
      </c>
    </row>
    <row r="22804">
      <c r="B22804" s="31"/>
      <c r="G22804" s="272" t="s">
        <v>1099</v>
      </c>
    </row>
    <row r="22805">
      <c r="B22805" s="31"/>
      <c r="G22805" s="272" t="s">
        <v>1099</v>
      </c>
    </row>
    <row r="22806">
      <c r="B22806" s="31"/>
      <c r="G22806" s="272" t="s">
        <v>1099</v>
      </c>
    </row>
    <row r="22807">
      <c r="B22807" s="31"/>
      <c r="G22807" s="272" t="s">
        <v>1099</v>
      </c>
    </row>
    <row r="22808">
      <c r="B22808" s="31"/>
      <c r="G22808" s="272" t="s">
        <v>1099</v>
      </c>
    </row>
    <row r="22809">
      <c r="B22809" s="31"/>
      <c r="G22809" s="272" t="s">
        <v>1099</v>
      </c>
    </row>
    <row r="22810">
      <c r="B22810" s="31"/>
      <c r="G22810" s="272" t="s">
        <v>1099</v>
      </c>
    </row>
    <row r="22811">
      <c r="B22811" s="31"/>
      <c r="G22811" s="272" t="s">
        <v>1099</v>
      </c>
    </row>
    <row r="22812">
      <c r="B22812" s="31"/>
      <c r="G22812" s="272" t="s">
        <v>1099</v>
      </c>
    </row>
    <row r="22813">
      <c r="B22813" s="31"/>
      <c r="G22813" s="272" t="s">
        <v>1099</v>
      </c>
    </row>
    <row r="22814">
      <c r="B22814" s="31"/>
      <c r="G22814" s="272" t="s">
        <v>1099</v>
      </c>
    </row>
    <row r="22815">
      <c r="B22815" s="31"/>
      <c r="G22815" s="272" t="s">
        <v>1099</v>
      </c>
    </row>
    <row r="22816">
      <c r="B22816" s="31"/>
      <c r="G22816" s="272" t="s">
        <v>1099</v>
      </c>
    </row>
    <row r="22817">
      <c r="B22817" s="31"/>
      <c r="G22817" s="272" t="s">
        <v>1099</v>
      </c>
    </row>
    <row r="22818">
      <c r="B22818" s="31"/>
      <c r="G22818" s="272" t="s">
        <v>1099</v>
      </c>
    </row>
    <row r="22819">
      <c r="B22819" s="31"/>
      <c r="G22819" s="272" t="s">
        <v>1099</v>
      </c>
    </row>
    <row r="22820">
      <c r="B22820" s="31"/>
      <c r="G22820" s="272" t="s">
        <v>1099</v>
      </c>
    </row>
    <row r="22821">
      <c r="B22821" s="31"/>
      <c r="G22821" s="272" t="s">
        <v>1099</v>
      </c>
    </row>
    <row r="22822">
      <c r="B22822" s="31"/>
      <c r="G22822" s="272" t="s">
        <v>1099</v>
      </c>
    </row>
    <row r="22823">
      <c r="B22823" s="31"/>
      <c r="G22823" s="272" t="s">
        <v>1099</v>
      </c>
    </row>
    <row r="22824">
      <c r="B22824" s="31"/>
      <c r="G22824" s="272" t="s">
        <v>1099</v>
      </c>
    </row>
    <row r="22825">
      <c r="B22825" s="31"/>
      <c r="G22825" s="272" t="s">
        <v>1099</v>
      </c>
    </row>
    <row r="22826">
      <c r="B22826" s="31"/>
      <c r="G22826" s="272" t="s">
        <v>1099</v>
      </c>
    </row>
    <row r="22827">
      <c r="B22827" s="31"/>
      <c r="G22827" s="272" t="s">
        <v>1099</v>
      </c>
    </row>
    <row r="22828">
      <c r="B22828" s="31"/>
      <c r="G22828" s="272" t="s">
        <v>1099</v>
      </c>
    </row>
    <row r="22829">
      <c r="B22829" s="31"/>
      <c r="G22829" s="272" t="s">
        <v>1099</v>
      </c>
    </row>
    <row r="22830">
      <c r="B22830" s="31"/>
      <c r="G22830" s="272" t="s">
        <v>1099</v>
      </c>
    </row>
    <row r="22831">
      <c r="B22831" s="31"/>
      <c r="G22831" s="272" t="s">
        <v>1099</v>
      </c>
    </row>
    <row r="22832">
      <c r="B22832" s="31"/>
      <c r="G22832" s="272" t="s">
        <v>1099</v>
      </c>
    </row>
    <row r="22833">
      <c r="B22833" s="31"/>
      <c r="G22833" s="272" t="s">
        <v>1099</v>
      </c>
    </row>
    <row r="22834">
      <c r="B22834" s="31"/>
      <c r="G22834" s="272" t="s">
        <v>1099</v>
      </c>
    </row>
    <row r="22835">
      <c r="B22835" s="31"/>
      <c r="G22835" s="272" t="s">
        <v>1099</v>
      </c>
    </row>
    <row r="22836">
      <c r="B22836" s="31"/>
      <c r="G22836" s="272" t="s">
        <v>1099</v>
      </c>
    </row>
    <row r="22837">
      <c r="B22837" s="31"/>
      <c r="G22837" s="272" t="s">
        <v>1099</v>
      </c>
    </row>
    <row r="22838">
      <c r="B22838" s="31"/>
      <c r="G22838" s="272" t="s">
        <v>1099</v>
      </c>
    </row>
    <row r="22839">
      <c r="B22839" s="31"/>
      <c r="G22839" s="272" t="s">
        <v>1099</v>
      </c>
    </row>
    <row r="22840">
      <c r="B22840" s="31"/>
      <c r="G22840" s="272" t="s">
        <v>1099</v>
      </c>
    </row>
    <row r="22841">
      <c r="B22841" s="31"/>
      <c r="G22841" s="272" t="s">
        <v>1099</v>
      </c>
    </row>
    <row r="22842">
      <c r="B22842" s="31"/>
      <c r="G22842" s="272" t="s">
        <v>1099</v>
      </c>
    </row>
    <row r="22843">
      <c r="B22843" s="31"/>
      <c r="G22843" s="272" t="s">
        <v>1099</v>
      </c>
    </row>
    <row r="22844">
      <c r="B22844" s="31"/>
      <c r="G22844" s="272" t="s">
        <v>1099</v>
      </c>
    </row>
    <row r="22845">
      <c r="B22845" s="31"/>
      <c r="G22845" s="272" t="s">
        <v>1099</v>
      </c>
    </row>
    <row r="22846">
      <c r="B22846" s="31"/>
      <c r="G22846" s="272" t="s">
        <v>1099</v>
      </c>
    </row>
    <row r="22847">
      <c r="B22847" s="31"/>
      <c r="G22847" s="272" t="s">
        <v>1099</v>
      </c>
    </row>
    <row r="22848">
      <c r="B22848" s="31"/>
      <c r="G22848" s="272" t="s">
        <v>1099</v>
      </c>
    </row>
    <row r="22849">
      <c r="B22849" s="31"/>
      <c r="G22849" s="272" t="s">
        <v>1099</v>
      </c>
    </row>
    <row r="22850">
      <c r="B22850" s="31"/>
      <c r="G22850" s="272" t="s">
        <v>1099</v>
      </c>
    </row>
    <row r="22851">
      <c r="B22851" s="31"/>
      <c r="G22851" s="272" t="s">
        <v>1099</v>
      </c>
    </row>
    <row r="22852">
      <c r="B22852" s="31"/>
      <c r="G22852" s="272" t="s">
        <v>1099</v>
      </c>
    </row>
    <row r="22853">
      <c r="B22853" s="31"/>
      <c r="G22853" s="272" t="s">
        <v>1099</v>
      </c>
    </row>
    <row r="22854">
      <c r="B22854" s="31"/>
      <c r="G22854" s="272" t="s">
        <v>1099</v>
      </c>
    </row>
    <row r="22855">
      <c r="B22855" s="31"/>
      <c r="G22855" s="272" t="s">
        <v>1099</v>
      </c>
    </row>
    <row r="22856">
      <c r="B22856" s="31"/>
      <c r="G22856" s="272" t="s">
        <v>1099</v>
      </c>
    </row>
    <row r="22857">
      <c r="B22857" s="31"/>
      <c r="G22857" s="272" t="s">
        <v>1099</v>
      </c>
    </row>
    <row r="22858">
      <c r="B22858" s="31"/>
      <c r="G22858" s="272" t="s">
        <v>1099</v>
      </c>
    </row>
    <row r="22859">
      <c r="B22859" s="31"/>
      <c r="G22859" s="272" t="s">
        <v>1099</v>
      </c>
    </row>
    <row r="22860">
      <c r="B22860" s="31"/>
      <c r="G22860" s="272" t="s">
        <v>1099</v>
      </c>
    </row>
    <row r="22861">
      <c r="B22861" s="31"/>
      <c r="G22861" s="272" t="s">
        <v>1099</v>
      </c>
    </row>
    <row r="22862">
      <c r="B22862" s="31"/>
      <c r="G22862" s="272" t="s">
        <v>1099</v>
      </c>
    </row>
    <row r="22863">
      <c r="B22863" s="31"/>
      <c r="G22863" s="272" t="s">
        <v>1099</v>
      </c>
    </row>
    <row r="22864">
      <c r="B22864" s="31"/>
      <c r="G22864" s="272" t="s">
        <v>1099</v>
      </c>
    </row>
    <row r="22865">
      <c r="B22865" s="31"/>
      <c r="G22865" s="272" t="s">
        <v>1099</v>
      </c>
    </row>
    <row r="22866">
      <c r="B22866" s="31"/>
      <c r="G22866" s="272" t="s">
        <v>1099</v>
      </c>
    </row>
    <row r="22867">
      <c r="B22867" s="31"/>
      <c r="G22867" s="272" t="s">
        <v>1099</v>
      </c>
    </row>
    <row r="22868">
      <c r="B22868" s="31"/>
      <c r="G22868" s="272" t="s">
        <v>1099</v>
      </c>
    </row>
    <row r="22869">
      <c r="B22869" s="31"/>
      <c r="G22869" s="272" t="s">
        <v>1099</v>
      </c>
    </row>
    <row r="22870">
      <c r="B22870" s="31"/>
      <c r="G22870" s="272" t="s">
        <v>1099</v>
      </c>
    </row>
    <row r="22871">
      <c r="B22871" s="31"/>
      <c r="G22871" s="272" t="s">
        <v>1099</v>
      </c>
    </row>
    <row r="22872">
      <c r="B22872" s="31"/>
      <c r="G22872" s="272" t="s">
        <v>1099</v>
      </c>
    </row>
    <row r="22873">
      <c r="B22873" s="31"/>
      <c r="G22873" s="272" t="s">
        <v>1099</v>
      </c>
    </row>
    <row r="22874">
      <c r="B22874" s="31"/>
      <c r="G22874" s="272" t="s">
        <v>1099</v>
      </c>
    </row>
    <row r="22875">
      <c r="B22875" s="31"/>
      <c r="G22875" s="272" t="s">
        <v>1099</v>
      </c>
    </row>
    <row r="22876">
      <c r="B22876" s="31"/>
      <c r="G22876" s="272" t="s">
        <v>1099</v>
      </c>
    </row>
    <row r="22877">
      <c r="B22877" s="31"/>
      <c r="G22877" s="272" t="s">
        <v>1099</v>
      </c>
    </row>
    <row r="22878">
      <c r="B22878" s="31"/>
      <c r="G22878" s="272" t="s">
        <v>1099</v>
      </c>
    </row>
    <row r="22879">
      <c r="B22879" s="31"/>
      <c r="G22879" s="272" t="s">
        <v>1099</v>
      </c>
    </row>
    <row r="22880">
      <c r="B22880" s="31"/>
      <c r="G22880" s="272" t="s">
        <v>1099</v>
      </c>
    </row>
    <row r="22881">
      <c r="B22881" s="31"/>
      <c r="G22881" s="272" t="s">
        <v>1099</v>
      </c>
    </row>
    <row r="22882">
      <c r="B22882" s="31"/>
      <c r="G22882" s="272" t="s">
        <v>1099</v>
      </c>
    </row>
    <row r="22883">
      <c r="B22883" s="31"/>
      <c r="G22883" s="272" t="s">
        <v>1099</v>
      </c>
    </row>
    <row r="22884">
      <c r="B22884" s="31"/>
      <c r="G22884" s="272" t="s">
        <v>1099</v>
      </c>
    </row>
    <row r="22885">
      <c r="B22885" s="31"/>
      <c r="G22885" s="272" t="s">
        <v>1099</v>
      </c>
    </row>
    <row r="22886">
      <c r="B22886" s="31"/>
      <c r="G22886" s="272" t="s">
        <v>1099</v>
      </c>
    </row>
    <row r="22887">
      <c r="B22887" s="31"/>
      <c r="G22887" s="272" t="s">
        <v>1099</v>
      </c>
    </row>
    <row r="22888">
      <c r="B22888" s="31"/>
      <c r="G22888" s="272" t="s">
        <v>1099</v>
      </c>
    </row>
    <row r="22889">
      <c r="B22889" s="31"/>
      <c r="G22889" s="272" t="s">
        <v>1099</v>
      </c>
    </row>
    <row r="22890">
      <c r="B22890" s="31"/>
      <c r="G22890" s="272" t="s">
        <v>1099</v>
      </c>
    </row>
    <row r="22891">
      <c r="B22891" s="31"/>
      <c r="G22891" s="272" t="s">
        <v>1099</v>
      </c>
    </row>
    <row r="22892">
      <c r="B22892" s="31"/>
      <c r="G22892" s="272" t="s">
        <v>1099</v>
      </c>
    </row>
    <row r="22893">
      <c r="B22893" s="31"/>
      <c r="G22893" s="272" t="s">
        <v>1099</v>
      </c>
    </row>
    <row r="22894">
      <c r="B22894" s="31"/>
      <c r="G22894" s="272" t="s">
        <v>1099</v>
      </c>
    </row>
    <row r="22895">
      <c r="B22895" s="31"/>
      <c r="G22895" s="272" t="s">
        <v>1099</v>
      </c>
    </row>
    <row r="22896">
      <c r="B22896" s="31"/>
      <c r="G22896" s="272" t="s">
        <v>1099</v>
      </c>
    </row>
    <row r="22897">
      <c r="B22897" s="31"/>
      <c r="G22897" s="272" t="s">
        <v>1099</v>
      </c>
    </row>
    <row r="22898">
      <c r="B22898" s="31"/>
      <c r="G22898" s="272" t="s">
        <v>1099</v>
      </c>
    </row>
    <row r="22899">
      <c r="B22899" s="31"/>
      <c r="G22899" s="272" t="s">
        <v>1099</v>
      </c>
    </row>
    <row r="22900">
      <c r="B22900" s="31"/>
      <c r="G22900" s="272" t="s">
        <v>1099</v>
      </c>
    </row>
    <row r="22901">
      <c r="B22901" s="31"/>
      <c r="G22901" s="272" t="s">
        <v>1099</v>
      </c>
    </row>
    <row r="22902">
      <c r="B22902" s="31"/>
      <c r="G22902" s="272" t="s">
        <v>1099</v>
      </c>
    </row>
    <row r="22903">
      <c r="B22903" s="31"/>
      <c r="G22903" s="272" t="s">
        <v>1099</v>
      </c>
    </row>
    <row r="22904">
      <c r="B22904" s="31"/>
      <c r="G22904" s="272" t="s">
        <v>1099</v>
      </c>
    </row>
    <row r="22905">
      <c r="B22905" s="31"/>
      <c r="G22905" s="272" t="s">
        <v>1099</v>
      </c>
    </row>
    <row r="22906">
      <c r="B22906" s="31"/>
      <c r="G22906" s="272" t="s">
        <v>1099</v>
      </c>
    </row>
    <row r="22907">
      <c r="B22907" s="31"/>
      <c r="G22907" s="272" t="s">
        <v>1099</v>
      </c>
    </row>
    <row r="22908">
      <c r="B22908" s="31"/>
      <c r="G22908" s="272" t="s">
        <v>1099</v>
      </c>
    </row>
    <row r="22909">
      <c r="B22909" s="31"/>
      <c r="G22909" s="272" t="s">
        <v>1099</v>
      </c>
    </row>
    <row r="22910">
      <c r="B22910" s="31"/>
      <c r="G22910" s="272" t="s">
        <v>1099</v>
      </c>
    </row>
    <row r="22911">
      <c r="B22911" s="31"/>
      <c r="G22911" s="272" t="s">
        <v>1099</v>
      </c>
    </row>
    <row r="22912">
      <c r="B22912" s="31"/>
      <c r="G22912" s="272" t="s">
        <v>1099</v>
      </c>
    </row>
    <row r="22913">
      <c r="B22913" s="31"/>
      <c r="G22913" s="272" t="s">
        <v>1099</v>
      </c>
    </row>
    <row r="22914">
      <c r="B22914" s="31"/>
      <c r="G22914" s="272" t="s">
        <v>1099</v>
      </c>
    </row>
    <row r="22915">
      <c r="B22915" s="31"/>
      <c r="G22915" s="272" t="s">
        <v>1099</v>
      </c>
    </row>
    <row r="22916">
      <c r="B22916" s="31"/>
      <c r="G22916" s="272" t="s">
        <v>1099</v>
      </c>
    </row>
    <row r="22917">
      <c r="B22917" s="31"/>
      <c r="G22917" s="272" t="s">
        <v>1099</v>
      </c>
    </row>
    <row r="22918">
      <c r="B22918" s="31"/>
      <c r="G22918" s="272" t="s">
        <v>1099</v>
      </c>
    </row>
    <row r="22919">
      <c r="B22919" s="31"/>
      <c r="G22919" s="272" t="s">
        <v>1099</v>
      </c>
    </row>
    <row r="22920">
      <c r="B22920" s="31"/>
      <c r="G22920" s="272" t="s">
        <v>1099</v>
      </c>
    </row>
    <row r="22921">
      <c r="B22921" s="31"/>
      <c r="G22921" s="272" t="s">
        <v>1099</v>
      </c>
    </row>
    <row r="22922">
      <c r="B22922" s="31"/>
      <c r="G22922" s="272" t="s">
        <v>1099</v>
      </c>
    </row>
    <row r="22923">
      <c r="B22923" s="31"/>
      <c r="G22923" s="272" t="s">
        <v>1099</v>
      </c>
    </row>
    <row r="22924">
      <c r="B22924" s="31"/>
      <c r="G22924" s="272" t="s">
        <v>1099</v>
      </c>
    </row>
    <row r="22925">
      <c r="B22925" s="31"/>
      <c r="G22925" s="272" t="s">
        <v>1099</v>
      </c>
    </row>
    <row r="22926">
      <c r="B22926" s="31"/>
      <c r="G22926" s="272" t="s">
        <v>1099</v>
      </c>
    </row>
    <row r="22927">
      <c r="B22927" s="31"/>
      <c r="G22927" s="272" t="s">
        <v>1099</v>
      </c>
    </row>
    <row r="22928">
      <c r="B22928" s="31"/>
      <c r="G22928" s="272" t="s">
        <v>1099</v>
      </c>
    </row>
    <row r="22929">
      <c r="B22929" s="31"/>
      <c r="G22929" s="272" t="s">
        <v>1099</v>
      </c>
    </row>
    <row r="22930">
      <c r="B22930" s="31"/>
      <c r="G22930" s="272" t="s">
        <v>1099</v>
      </c>
    </row>
    <row r="22931">
      <c r="B22931" s="31"/>
      <c r="G22931" s="272" t="s">
        <v>1099</v>
      </c>
    </row>
    <row r="22932">
      <c r="B22932" s="31"/>
      <c r="G22932" s="272" t="s">
        <v>1099</v>
      </c>
    </row>
    <row r="22933">
      <c r="B22933" s="31"/>
      <c r="G22933" s="272" t="s">
        <v>1099</v>
      </c>
    </row>
    <row r="22934">
      <c r="B22934" s="31"/>
      <c r="G22934" s="272" t="s">
        <v>1099</v>
      </c>
    </row>
    <row r="22935">
      <c r="B22935" s="31"/>
      <c r="G22935" s="272" t="s">
        <v>1099</v>
      </c>
    </row>
    <row r="22936">
      <c r="B22936" s="31"/>
      <c r="G22936" s="272" t="s">
        <v>1099</v>
      </c>
    </row>
    <row r="22937">
      <c r="B22937" s="31"/>
      <c r="G22937" s="272" t="s">
        <v>1099</v>
      </c>
    </row>
    <row r="22938">
      <c r="B22938" s="31"/>
      <c r="G22938" s="272" t="s">
        <v>1099</v>
      </c>
    </row>
    <row r="22939">
      <c r="B22939" s="31"/>
      <c r="G22939" s="272" t="s">
        <v>1099</v>
      </c>
    </row>
    <row r="22940">
      <c r="B22940" s="31"/>
      <c r="G22940" s="272" t="s">
        <v>1099</v>
      </c>
    </row>
    <row r="22941">
      <c r="B22941" s="31"/>
      <c r="G22941" s="272" t="s">
        <v>1099</v>
      </c>
    </row>
    <row r="22942">
      <c r="B22942" s="31"/>
      <c r="G22942" s="272" t="s">
        <v>1099</v>
      </c>
    </row>
    <row r="22943">
      <c r="B22943" s="31"/>
      <c r="G22943" s="272" t="s">
        <v>1099</v>
      </c>
    </row>
    <row r="22944">
      <c r="B22944" s="31"/>
      <c r="G22944" s="272" t="s">
        <v>1099</v>
      </c>
    </row>
    <row r="22945">
      <c r="B22945" s="31"/>
      <c r="G22945" s="272" t="s">
        <v>1099</v>
      </c>
    </row>
    <row r="22946">
      <c r="B22946" s="31"/>
      <c r="G22946" s="272" t="s">
        <v>1099</v>
      </c>
    </row>
    <row r="22947">
      <c r="B22947" s="31"/>
      <c r="G22947" s="272" t="s">
        <v>1099</v>
      </c>
    </row>
    <row r="22948">
      <c r="B22948" s="31"/>
      <c r="G22948" s="272" t="s">
        <v>1099</v>
      </c>
    </row>
    <row r="22949">
      <c r="B22949" s="31"/>
      <c r="G22949" s="272" t="s">
        <v>1099</v>
      </c>
    </row>
    <row r="22950">
      <c r="B22950" s="31"/>
      <c r="G22950" s="272" t="s">
        <v>1099</v>
      </c>
    </row>
    <row r="22951">
      <c r="B22951" s="31"/>
      <c r="G22951" s="272" t="s">
        <v>1099</v>
      </c>
    </row>
    <row r="22952">
      <c r="B22952" s="31"/>
      <c r="G22952" s="272" t="s">
        <v>1099</v>
      </c>
    </row>
    <row r="22953">
      <c r="B22953" s="31"/>
      <c r="G22953" s="272" t="s">
        <v>1099</v>
      </c>
    </row>
    <row r="22954">
      <c r="B22954" s="31"/>
      <c r="G22954" s="272" t="s">
        <v>1099</v>
      </c>
    </row>
    <row r="22955">
      <c r="B22955" s="31"/>
      <c r="G22955" s="272" t="s">
        <v>1099</v>
      </c>
    </row>
    <row r="22956">
      <c r="B22956" s="31"/>
      <c r="G22956" s="272" t="s">
        <v>1099</v>
      </c>
    </row>
    <row r="22957">
      <c r="B22957" s="31"/>
      <c r="G22957" s="272" t="s">
        <v>1099</v>
      </c>
    </row>
    <row r="22958">
      <c r="B22958" s="31"/>
      <c r="G22958" s="272" t="s">
        <v>1099</v>
      </c>
    </row>
    <row r="22959">
      <c r="B22959" s="31"/>
      <c r="G22959" s="272" t="s">
        <v>1099</v>
      </c>
    </row>
    <row r="22960">
      <c r="B22960" s="31"/>
      <c r="G22960" s="272" t="s">
        <v>1099</v>
      </c>
    </row>
    <row r="22961">
      <c r="B22961" s="31"/>
      <c r="G22961" s="272" t="s">
        <v>1099</v>
      </c>
    </row>
    <row r="22962">
      <c r="B22962" s="31"/>
      <c r="G22962" s="272" t="s">
        <v>1099</v>
      </c>
    </row>
    <row r="22963">
      <c r="B22963" s="31"/>
      <c r="G22963" s="272" t="s">
        <v>1099</v>
      </c>
    </row>
    <row r="22964">
      <c r="B22964" s="31"/>
      <c r="G22964" s="272" t="s">
        <v>1099</v>
      </c>
    </row>
    <row r="22965">
      <c r="B22965" s="31"/>
      <c r="G22965" s="272" t="s">
        <v>1099</v>
      </c>
    </row>
    <row r="22966">
      <c r="B22966" s="31"/>
      <c r="G22966" s="272" t="s">
        <v>1099</v>
      </c>
    </row>
    <row r="22967">
      <c r="B22967" s="31"/>
      <c r="G22967" s="272" t="s">
        <v>1099</v>
      </c>
    </row>
    <row r="22968">
      <c r="B22968" s="31"/>
      <c r="G22968" s="272" t="s">
        <v>1099</v>
      </c>
    </row>
    <row r="22969">
      <c r="B22969" s="31"/>
      <c r="G22969" s="272" t="s">
        <v>1099</v>
      </c>
    </row>
    <row r="22970">
      <c r="B22970" s="31"/>
      <c r="G22970" s="272" t="s">
        <v>1099</v>
      </c>
    </row>
    <row r="22971">
      <c r="B22971" s="31"/>
      <c r="G22971" s="272" t="s">
        <v>1099</v>
      </c>
    </row>
    <row r="22972">
      <c r="B22972" s="31"/>
      <c r="G22972" s="272" t="s">
        <v>1099</v>
      </c>
    </row>
    <row r="22973">
      <c r="B22973" s="31"/>
      <c r="G22973" s="272" t="s">
        <v>1099</v>
      </c>
    </row>
    <row r="22974">
      <c r="B22974" s="31"/>
      <c r="G22974" s="272" t="s">
        <v>1099</v>
      </c>
    </row>
    <row r="22975">
      <c r="B22975" s="31"/>
      <c r="G22975" s="272" t="s">
        <v>1099</v>
      </c>
    </row>
    <row r="22976">
      <c r="B22976" s="31"/>
      <c r="G22976" s="272" t="s">
        <v>1099</v>
      </c>
    </row>
    <row r="22977">
      <c r="B22977" s="31"/>
      <c r="G22977" s="272" t="s">
        <v>1099</v>
      </c>
    </row>
    <row r="22978">
      <c r="B22978" s="31"/>
      <c r="G22978" s="272" t="s">
        <v>1099</v>
      </c>
    </row>
    <row r="22979">
      <c r="B22979" s="31"/>
      <c r="G22979" s="272" t="s">
        <v>1099</v>
      </c>
    </row>
    <row r="22980">
      <c r="B22980" s="31"/>
      <c r="G22980" s="272" t="s">
        <v>1099</v>
      </c>
    </row>
    <row r="22981">
      <c r="B22981" s="31"/>
      <c r="G22981" s="272" t="s">
        <v>1099</v>
      </c>
    </row>
    <row r="22982">
      <c r="B22982" s="31"/>
      <c r="G22982" s="272" t="s">
        <v>1099</v>
      </c>
    </row>
    <row r="22983">
      <c r="B22983" s="31"/>
      <c r="G22983" s="272" t="s">
        <v>1099</v>
      </c>
    </row>
    <row r="22984">
      <c r="B22984" s="31"/>
      <c r="G22984" s="272" t="s">
        <v>1099</v>
      </c>
    </row>
    <row r="22985">
      <c r="B22985" s="31"/>
      <c r="G22985" s="272" t="s">
        <v>1099</v>
      </c>
    </row>
    <row r="22986">
      <c r="B22986" s="31"/>
      <c r="G22986" s="272" t="s">
        <v>1099</v>
      </c>
    </row>
    <row r="22987">
      <c r="B22987" s="31"/>
      <c r="G22987" s="272" t="s">
        <v>1099</v>
      </c>
    </row>
    <row r="22988">
      <c r="B22988" s="31"/>
      <c r="G22988" s="272" t="s">
        <v>1099</v>
      </c>
    </row>
    <row r="22989">
      <c r="B22989" s="31"/>
      <c r="G22989" s="272" t="s">
        <v>1099</v>
      </c>
    </row>
    <row r="22990">
      <c r="B22990" s="31"/>
      <c r="G22990" s="272" t="s">
        <v>1099</v>
      </c>
    </row>
    <row r="22991">
      <c r="B22991" s="31"/>
      <c r="G22991" s="272" t="s">
        <v>1099</v>
      </c>
    </row>
    <row r="22992">
      <c r="B22992" s="31"/>
      <c r="G22992" s="272" t="s">
        <v>1099</v>
      </c>
    </row>
    <row r="22993">
      <c r="B22993" s="31"/>
      <c r="G22993" s="272" t="s">
        <v>1099</v>
      </c>
    </row>
    <row r="22994">
      <c r="B22994" s="31"/>
      <c r="G22994" s="272" t="s">
        <v>1099</v>
      </c>
    </row>
    <row r="22995">
      <c r="B22995" s="31"/>
      <c r="G22995" s="272" t="s">
        <v>1099</v>
      </c>
    </row>
    <row r="22996">
      <c r="B22996" s="31"/>
      <c r="G22996" s="272" t="s">
        <v>1099</v>
      </c>
    </row>
    <row r="22997">
      <c r="B22997" s="31"/>
      <c r="G22997" s="272" t="s">
        <v>1099</v>
      </c>
    </row>
    <row r="22998">
      <c r="B22998" s="31"/>
      <c r="G22998" s="272" t="s">
        <v>1099</v>
      </c>
    </row>
    <row r="22999">
      <c r="B22999" s="31"/>
      <c r="G22999" s="272" t="s">
        <v>1099</v>
      </c>
    </row>
    <row r="23000">
      <c r="B23000" s="31"/>
      <c r="G23000" s="272" t="s">
        <v>1099</v>
      </c>
    </row>
    <row r="23001">
      <c r="B23001" s="31"/>
      <c r="G23001" s="272" t="s">
        <v>1099</v>
      </c>
    </row>
    <row r="23002">
      <c r="B23002" s="31"/>
      <c r="G23002" s="272" t="s">
        <v>1099</v>
      </c>
    </row>
    <row r="23003">
      <c r="B23003" s="31"/>
      <c r="G23003" s="272" t="s">
        <v>1099</v>
      </c>
    </row>
    <row r="23004">
      <c r="B23004" s="31"/>
      <c r="G23004" s="272" t="s">
        <v>1099</v>
      </c>
    </row>
    <row r="23005">
      <c r="B23005" s="31"/>
      <c r="G23005" s="272" t="s">
        <v>1099</v>
      </c>
    </row>
    <row r="23006">
      <c r="B23006" s="31"/>
      <c r="G23006" s="272" t="s">
        <v>1099</v>
      </c>
    </row>
    <row r="23007">
      <c r="B23007" s="31"/>
      <c r="G23007" s="272" t="s">
        <v>1099</v>
      </c>
    </row>
    <row r="23008">
      <c r="B23008" s="31"/>
      <c r="G23008" s="272" t="s">
        <v>1099</v>
      </c>
    </row>
    <row r="23009">
      <c r="B23009" s="31"/>
      <c r="G23009" s="272" t="s">
        <v>1099</v>
      </c>
    </row>
    <row r="23010">
      <c r="B23010" s="31"/>
      <c r="G23010" s="272" t="s">
        <v>1099</v>
      </c>
    </row>
    <row r="23011">
      <c r="B23011" s="31"/>
      <c r="G23011" s="272" t="s">
        <v>1099</v>
      </c>
    </row>
    <row r="23012">
      <c r="B23012" s="31"/>
      <c r="G23012" s="272" t="s">
        <v>1099</v>
      </c>
    </row>
    <row r="23013">
      <c r="B23013" s="31"/>
      <c r="G23013" s="272" t="s">
        <v>1099</v>
      </c>
    </row>
    <row r="23014">
      <c r="B23014" s="31"/>
      <c r="G23014" s="272" t="s">
        <v>1099</v>
      </c>
    </row>
    <row r="23015">
      <c r="B23015" s="31"/>
      <c r="G23015" s="272" t="s">
        <v>1099</v>
      </c>
    </row>
    <row r="23016">
      <c r="B23016" s="31"/>
      <c r="G23016" s="272" t="s">
        <v>1099</v>
      </c>
    </row>
    <row r="23017">
      <c r="B23017" s="31"/>
      <c r="G23017" s="272" t="s">
        <v>1099</v>
      </c>
    </row>
    <row r="23018">
      <c r="B23018" s="31"/>
      <c r="G23018" s="272" t="s">
        <v>1099</v>
      </c>
    </row>
    <row r="23019">
      <c r="B23019" s="31"/>
      <c r="G23019" s="272" t="s">
        <v>1099</v>
      </c>
    </row>
    <row r="23020">
      <c r="B23020" s="31"/>
      <c r="G23020" s="272" t="s">
        <v>1099</v>
      </c>
    </row>
    <row r="23021">
      <c r="B23021" s="31"/>
      <c r="G23021" s="272" t="s">
        <v>1099</v>
      </c>
    </row>
    <row r="23022">
      <c r="B23022" s="31"/>
      <c r="G23022" s="272" t="s">
        <v>1099</v>
      </c>
    </row>
    <row r="23023">
      <c r="B23023" s="31"/>
      <c r="G23023" s="272" t="s">
        <v>1099</v>
      </c>
    </row>
    <row r="23024">
      <c r="B23024" s="31"/>
      <c r="G23024" s="272" t="s">
        <v>1099</v>
      </c>
    </row>
    <row r="23025">
      <c r="B23025" s="31"/>
      <c r="G23025" s="272" t="s">
        <v>1099</v>
      </c>
    </row>
    <row r="23026">
      <c r="B23026" s="31"/>
      <c r="G23026" s="272" t="s">
        <v>1099</v>
      </c>
    </row>
    <row r="23027">
      <c r="B23027" s="31"/>
      <c r="G23027" s="272" t="s">
        <v>1099</v>
      </c>
    </row>
    <row r="23028">
      <c r="B23028" s="31"/>
      <c r="G23028" s="272" t="s">
        <v>1099</v>
      </c>
    </row>
    <row r="23029">
      <c r="B23029" s="31"/>
      <c r="G23029" s="272" t="s">
        <v>1099</v>
      </c>
    </row>
    <row r="23030">
      <c r="B23030" s="31"/>
      <c r="G23030" s="272" t="s">
        <v>1099</v>
      </c>
    </row>
    <row r="23031">
      <c r="B23031" s="31"/>
      <c r="G23031" s="272" t="s">
        <v>1099</v>
      </c>
    </row>
    <row r="23032">
      <c r="B23032" s="31"/>
      <c r="G23032" s="272" t="s">
        <v>1099</v>
      </c>
    </row>
    <row r="23033">
      <c r="B23033" s="31"/>
      <c r="G23033" s="272" t="s">
        <v>1099</v>
      </c>
    </row>
    <row r="23034">
      <c r="B23034" s="31"/>
      <c r="G23034" s="272" t="s">
        <v>1099</v>
      </c>
    </row>
    <row r="23035">
      <c r="B23035" s="31"/>
      <c r="G23035" s="272" t="s">
        <v>1099</v>
      </c>
    </row>
    <row r="23036">
      <c r="B23036" s="31"/>
      <c r="G23036" s="272" t="s">
        <v>1099</v>
      </c>
    </row>
    <row r="23037">
      <c r="B23037" s="31"/>
      <c r="G23037" s="272" t="s">
        <v>1099</v>
      </c>
    </row>
    <row r="23038">
      <c r="B23038" s="31"/>
      <c r="G23038" s="272" t="s">
        <v>1099</v>
      </c>
    </row>
    <row r="23039">
      <c r="B23039" s="31"/>
      <c r="G23039" s="272" t="s">
        <v>1099</v>
      </c>
    </row>
    <row r="23040">
      <c r="B23040" s="31"/>
      <c r="G23040" s="272" t="s">
        <v>1099</v>
      </c>
    </row>
    <row r="23041">
      <c r="B23041" s="31"/>
      <c r="G23041" s="272" t="s">
        <v>1099</v>
      </c>
    </row>
    <row r="23042">
      <c r="B23042" s="31"/>
      <c r="G23042" s="272" t="s">
        <v>1099</v>
      </c>
    </row>
    <row r="23043">
      <c r="B23043" s="31"/>
      <c r="G23043" s="272" t="s">
        <v>1099</v>
      </c>
    </row>
    <row r="23044">
      <c r="B23044" s="31"/>
      <c r="G23044" s="272" t="s">
        <v>1099</v>
      </c>
    </row>
    <row r="23045">
      <c r="B23045" s="31"/>
      <c r="G23045" s="272" t="s">
        <v>1099</v>
      </c>
    </row>
    <row r="23046">
      <c r="B23046" s="31"/>
      <c r="G23046" s="272" t="s">
        <v>1099</v>
      </c>
    </row>
    <row r="23047">
      <c r="B23047" s="31"/>
      <c r="G23047" s="272" t="s">
        <v>1099</v>
      </c>
    </row>
    <row r="23048">
      <c r="B23048" s="31"/>
      <c r="G23048" s="272" t="s">
        <v>1099</v>
      </c>
    </row>
    <row r="23049">
      <c r="B23049" s="31"/>
      <c r="G23049" s="272" t="s">
        <v>1099</v>
      </c>
    </row>
    <row r="23050">
      <c r="B23050" s="31"/>
      <c r="G23050" s="272" t="s">
        <v>1099</v>
      </c>
    </row>
    <row r="23051">
      <c r="B23051" s="31"/>
      <c r="G23051" s="272" t="s">
        <v>1099</v>
      </c>
    </row>
    <row r="23052">
      <c r="B23052" s="31"/>
      <c r="G23052" s="272" t="s">
        <v>1099</v>
      </c>
    </row>
    <row r="23053">
      <c r="B23053" s="31"/>
      <c r="G23053" s="272" t="s">
        <v>1099</v>
      </c>
    </row>
    <row r="23054">
      <c r="B23054" s="31"/>
      <c r="G23054" s="272" t="s">
        <v>1099</v>
      </c>
    </row>
    <row r="23055">
      <c r="B23055" s="31"/>
      <c r="G23055" s="272" t="s">
        <v>1099</v>
      </c>
    </row>
    <row r="23056">
      <c r="B23056" s="31"/>
      <c r="G23056" s="272" t="s">
        <v>1099</v>
      </c>
    </row>
    <row r="23057">
      <c r="B23057" s="31"/>
      <c r="G23057" s="272" t="s">
        <v>1099</v>
      </c>
    </row>
    <row r="23058">
      <c r="B23058" s="31"/>
      <c r="G23058" s="272" t="s">
        <v>1099</v>
      </c>
    </row>
    <row r="23059">
      <c r="B23059" s="31"/>
      <c r="G23059" s="272" t="s">
        <v>1099</v>
      </c>
    </row>
    <row r="23060">
      <c r="B23060" s="31"/>
      <c r="G23060" s="272" t="s">
        <v>1099</v>
      </c>
    </row>
    <row r="23061">
      <c r="B23061" s="31"/>
      <c r="G23061" s="272" t="s">
        <v>1099</v>
      </c>
    </row>
    <row r="23062">
      <c r="B23062" s="31"/>
      <c r="G23062" s="272" t="s">
        <v>1099</v>
      </c>
    </row>
    <row r="23063">
      <c r="B23063" s="31"/>
      <c r="G23063" s="272" t="s">
        <v>1099</v>
      </c>
    </row>
    <row r="23064">
      <c r="B23064" s="31"/>
      <c r="G23064" s="272" t="s">
        <v>1099</v>
      </c>
    </row>
    <row r="23065">
      <c r="B23065" s="31"/>
      <c r="G23065" s="272" t="s">
        <v>1099</v>
      </c>
    </row>
    <row r="23066">
      <c r="B23066" s="31"/>
      <c r="G23066" s="272" t="s">
        <v>1099</v>
      </c>
    </row>
    <row r="23067">
      <c r="B23067" s="31"/>
      <c r="G23067" s="272" t="s">
        <v>1099</v>
      </c>
    </row>
    <row r="23068">
      <c r="B23068" s="31"/>
      <c r="G23068" s="272" t="s">
        <v>1099</v>
      </c>
    </row>
    <row r="23069">
      <c r="B23069" s="31"/>
      <c r="G23069" s="272" t="s">
        <v>1099</v>
      </c>
    </row>
    <row r="23070">
      <c r="B23070" s="31"/>
      <c r="G23070" s="272" t="s">
        <v>1099</v>
      </c>
    </row>
    <row r="23071">
      <c r="B23071" s="31"/>
      <c r="G23071" s="272" t="s">
        <v>1099</v>
      </c>
    </row>
    <row r="23072">
      <c r="B23072" s="31"/>
      <c r="G23072" s="272" t="s">
        <v>1099</v>
      </c>
    </row>
    <row r="23073">
      <c r="B23073" s="31"/>
      <c r="G23073" s="272" t="s">
        <v>1099</v>
      </c>
    </row>
    <row r="23074">
      <c r="B23074" s="31"/>
      <c r="G23074" s="272" t="s">
        <v>1099</v>
      </c>
    </row>
    <row r="23075">
      <c r="B23075" s="31"/>
      <c r="G23075" s="272" t="s">
        <v>1099</v>
      </c>
    </row>
    <row r="23076">
      <c r="B23076" s="31"/>
      <c r="G23076" s="272" t="s">
        <v>1099</v>
      </c>
    </row>
    <row r="23077">
      <c r="B23077" s="31"/>
      <c r="G23077" s="272" t="s">
        <v>1099</v>
      </c>
    </row>
    <row r="23078">
      <c r="B23078" s="31"/>
      <c r="G23078" s="272" t="s">
        <v>1099</v>
      </c>
    </row>
    <row r="23079">
      <c r="B23079" s="31"/>
      <c r="G23079" s="272" t="s">
        <v>1099</v>
      </c>
    </row>
    <row r="23080">
      <c r="B23080" s="31"/>
      <c r="G23080" s="272" t="s">
        <v>1099</v>
      </c>
    </row>
    <row r="23081">
      <c r="B23081" s="31"/>
      <c r="G23081" s="272" t="s">
        <v>1099</v>
      </c>
    </row>
    <row r="23082">
      <c r="B23082" s="31"/>
      <c r="G23082" s="272" t="s">
        <v>1099</v>
      </c>
    </row>
    <row r="23083">
      <c r="B23083" s="31"/>
      <c r="G23083" s="272" t="s">
        <v>1099</v>
      </c>
    </row>
    <row r="23084">
      <c r="B23084" s="31"/>
      <c r="G23084" s="272" t="s">
        <v>1099</v>
      </c>
    </row>
    <row r="23085">
      <c r="B23085" s="31"/>
      <c r="G23085" s="272" t="s">
        <v>1099</v>
      </c>
    </row>
    <row r="23086">
      <c r="B23086" s="31"/>
      <c r="G23086" s="272" t="s">
        <v>1099</v>
      </c>
    </row>
    <row r="23087">
      <c r="B23087" s="31"/>
      <c r="G23087" s="272" t="s">
        <v>1099</v>
      </c>
    </row>
    <row r="23088">
      <c r="B23088" s="31"/>
      <c r="G23088" s="272" t="s">
        <v>1099</v>
      </c>
    </row>
    <row r="23089">
      <c r="B23089" s="31"/>
      <c r="G23089" s="272" t="s">
        <v>1099</v>
      </c>
    </row>
    <row r="23090">
      <c r="B23090" s="31"/>
      <c r="G23090" s="272" t="s">
        <v>1099</v>
      </c>
    </row>
    <row r="23091">
      <c r="B23091" s="31"/>
      <c r="G23091" s="272" t="s">
        <v>1099</v>
      </c>
    </row>
    <row r="23092">
      <c r="B23092" s="31"/>
      <c r="G23092" s="272" t="s">
        <v>1099</v>
      </c>
    </row>
    <row r="23093">
      <c r="B23093" s="31"/>
      <c r="G23093" s="272" t="s">
        <v>1099</v>
      </c>
    </row>
    <row r="23094">
      <c r="B23094" s="31"/>
      <c r="G23094" s="272" t="s">
        <v>1099</v>
      </c>
    </row>
    <row r="23095">
      <c r="B23095" s="31"/>
      <c r="G23095" s="272" t="s">
        <v>1099</v>
      </c>
    </row>
    <row r="23096">
      <c r="B23096" s="31"/>
      <c r="G23096" s="272" t="s">
        <v>1099</v>
      </c>
    </row>
    <row r="23097">
      <c r="B23097" s="31"/>
      <c r="G23097" s="272" t="s">
        <v>1099</v>
      </c>
    </row>
    <row r="23098">
      <c r="B23098" s="31"/>
      <c r="G23098" s="272" t="s">
        <v>1099</v>
      </c>
    </row>
    <row r="23099">
      <c r="B23099" s="31"/>
      <c r="G23099" s="272" t="s">
        <v>1099</v>
      </c>
    </row>
    <row r="23100">
      <c r="B23100" s="31"/>
      <c r="G23100" s="272" t="s">
        <v>1099</v>
      </c>
    </row>
    <row r="23101">
      <c r="B23101" s="31"/>
      <c r="G23101" s="272" t="s">
        <v>1099</v>
      </c>
    </row>
    <row r="23102">
      <c r="B23102" s="31"/>
      <c r="G23102" s="272" t="s">
        <v>1099</v>
      </c>
    </row>
    <row r="23103">
      <c r="B23103" s="31"/>
      <c r="G23103" s="272" t="s">
        <v>1099</v>
      </c>
    </row>
    <row r="23104">
      <c r="B23104" s="31"/>
      <c r="G23104" s="272" t="s">
        <v>1099</v>
      </c>
    </row>
    <row r="23105">
      <c r="B23105" s="31"/>
      <c r="G23105" s="272" t="s">
        <v>1099</v>
      </c>
    </row>
    <row r="23106">
      <c r="B23106" s="31"/>
      <c r="G23106" s="272" t="s">
        <v>1099</v>
      </c>
    </row>
    <row r="23107">
      <c r="B23107" s="31"/>
      <c r="G23107" s="272" t="s">
        <v>1099</v>
      </c>
    </row>
    <row r="23108">
      <c r="B23108" s="31"/>
      <c r="G23108" s="272" t="s">
        <v>1099</v>
      </c>
    </row>
    <row r="23109">
      <c r="B23109" s="31"/>
      <c r="G23109" s="272" t="s">
        <v>1099</v>
      </c>
    </row>
    <row r="23110">
      <c r="B23110" s="31"/>
      <c r="G23110" s="272" t="s">
        <v>1099</v>
      </c>
    </row>
    <row r="23111">
      <c r="B23111" s="31"/>
      <c r="G23111" s="272" t="s">
        <v>1099</v>
      </c>
    </row>
    <row r="23112">
      <c r="B23112" s="31"/>
      <c r="G23112" s="272" t="s">
        <v>1099</v>
      </c>
    </row>
    <row r="23113">
      <c r="B23113" s="31"/>
      <c r="G23113" s="272" t="s">
        <v>1099</v>
      </c>
    </row>
    <row r="23114">
      <c r="B23114" s="31"/>
      <c r="G23114" s="272" t="s">
        <v>1099</v>
      </c>
    </row>
    <row r="23115">
      <c r="B23115" s="31"/>
      <c r="G23115" s="272" t="s">
        <v>1099</v>
      </c>
    </row>
    <row r="23116">
      <c r="B23116" s="31"/>
      <c r="G23116" s="272" t="s">
        <v>1099</v>
      </c>
    </row>
    <row r="23117">
      <c r="B23117" s="31"/>
      <c r="G23117" s="272" t="s">
        <v>1099</v>
      </c>
    </row>
    <row r="23118">
      <c r="B23118" s="31"/>
      <c r="G23118" s="272" t="s">
        <v>1099</v>
      </c>
    </row>
    <row r="23119">
      <c r="B23119" s="31"/>
      <c r="G23119" s="272" t="s">
        <v>1099</v>
      </c>
    </row>
    <row r="23120">
      <c r="B23120" s="31"/>
      <c r="G23120" s="272" t="s">
        <v>1099</v>
      </c>
    </row>
    <row r="23121">
      <c r="B23121" s="31"/>
      <c r="G23121" s="272" t="s">
        <v>1099</v>
      </c>
    </row>
    <row r="23122">
      <c r="B23122" s="31"/>
      <c r="G23122" s="272" t="s">
        <v>1099</v>
      </c>
    </row>
    <row r="23123">
      <c r="B23123" s="31"/>
      <c r="G23123" s="272" t="s">
        <v>1099</v>
      </c>
    </row>
    <row r="23124">
      <c r="B23124" s="31"/>
      <c r="G23124" s="272" t="s">
        <v>1099</v>
      </c>
    </row>
    <row r="23125">
      <c r="B23125" s="31"/>
      <c r="G23125" s="272" t="s">
        <v>1099</v>
      </c>
    </row>
    <row r="23126">
      <c r="B23126" s="31"/>
      <c r="G23126" s="272" t="s">
        <v>1099</v>
      </c>
    </row>
    <row r="23127">
      <c r="B23127" s="31"/>
      <c r="G23127" s="272" t="s">
        <v>1099</v>
      </c>
    </row>
    <row r="23128">
      <c r="B23128" s="31"/>
      <c r="G23128" s="272" t="s">
        <v>1099</v>
      </c>
    </row>
    <row r="23129">
      <c r="B23129" s="31"/>
      <c r="G23129" s="272" t="s">
        <v>1099</v>
      </c>
    </row>
    <row r="23130">
      <c r="B23130" s="31"/>
      <c r="G23130" s="272" t="s">
        <v>1099</v>
      </c>
    </row>
    <row r="23131">
      <c r="B23131" s="31"/>
      <c r="G23131" s="272" t="s">
        <v>1099</v>
      </c>
    </row>
    <row r="23132">
      <c r="B23132" s="31"/>
      <c r="G23132" s="272" t="s">
        <v>1099</v>
      </c>
    </row>
    <row r="23133">
      <c r="B23133" s="31"/>
      <c r="G23133" s="272" t="s">
        <v>1099</v>
      </c>
    </row>
    <row r="23134">
      <c r="B23134" s="31"/>
      <c r="G23134" s="272" t="s">
        <v>1099</v>
      </c>
    </row>
    <row r="23135">
      <c r="B23135" s="31"/>
      <c r="G23135" s="272" t="s">
        <v>1099</v>
      </c>
    </row>
    <row r="23136">
      <c r="B23136" s="31"/>
      <c r="G23136" s="272" t="s">
        <v>1099</v>
      </c>
    </row>
    <row r="23137">
      <c r="B23137" s="31"/>
      <c r="G23137" s="272" t="s">
        <v>1099</v>
      </c>
    </row>
    <row r="23138">
      <c r="B23138" s="31"/>
      <c r="G23138" s="272" t="s">
        <v>1099</v>
      </c>
    </row>
    <row r="23139">
      <c r="B23139" s="31"/>
      <c r="G23139" s="272" t="s">
        <v>1099</v>
      </c>
    </row>
    <row r="23140">
      <c r="B23140" s="31"/>
      <c r="G23140" s="272" t="s">
        <v>1099</v>
      </c>
    </row>
    <row r="23141">
      <c r="B23141" s="31"/>
      <c r="G23141" s="272" t="s">
        <v>1099</v>
      </c>
    </row>
    <row r="23142">
      <c r="B23142" s="31"/>
      <c r="G23142" s="272" t="s">
        <v>1099</v>
      </c>
    </row>
    <row r="23143">
      <c r="B23143" s="31"/>
      <c r="G23143" s="272" t="s">
        <v>1099</v>
      </c>
    </row>
    <row r="23144">
      <c r="B23144" s="31"/>
      <c r="G23144" s="272" t="s">
        <v>1099</v>
      </c>
    </row>
    <row r="23145">
      <c r="B23145" s="31"/>
      <c r="G23145" s="272" t="s">
        <v>1099</v>
      </c>
    </row>
    <row r="23146">
      <c r="B23146" s="31"/>
      <c r="G23146" s="272" t="s">
        <v>1099</v>
      </c>
    </row>
    <row r="23147">
      <c r="B23147" s="31"/>
      <c r="G23147" s="272" t="s">
        <v>1099</v>
      </c>
    </row>
    <row r="23148">
      <c r="B23148" s="31"/>
      <c r="G23148" s="272" t="s">
        <v>1099</v>
      </c>
    </row>
    <row r="23149">
      <c r="B23149" s="31"/>
      <c r="G23149" s="272" t="s">
        <v>1099</v>
      </c>
    </row>
    <row r="23150">
      <c r="B23150" s="31"/>
      <c r="G23150" s="272" t="s">
        <v>1099</v>
      </c>
    </row>
    <row r="23151">
      <c r="B23151" s="31"/>
      <c r="G23151" s="272" t="s">
        <v>1099</v>
      </c>
    </row>
    <row r="23152">
      <c r="B23152" s="31"/>
      <c r="G23152" s="272" t="s">
        <v>1099</v>
      </c>
    </row>
    <row r="23153">
      <c r="B23153" s="31"/>
      <c r="G23153" s="272" t="s">
        <v>1099</v>
      </c>
    </row>
    <row r="23154">
      <c r="B23154" s="31"/>
      <c r="G23154" s="272" t="s">
        <v>1099</v>
      </c>
    </row>
    <row r="23155">
      <c r="B23155" s="31"/>
      <c r="G23155" s="272" t="s">
        <v>1099</v>
      </c>
    </row>
    <row r="23156">
      <c r="B23156" s="31"/>
      <c r="G23156" s="272" t="s">
        <v>1099</v>
      </c>
    </row>
    <row r="23157">
      <c r="B23157" s="31"/>
      <c r="G23157" s="272" t="s">
        <v>1099</v>
      </c>
    </row>
    <row r="23158">
      <c r="B23158" s="31"/>
      <c r="G23158" s="272" t="s">
        <v>1099</v>
      </c>
    </row>
    <row r="23159">
      <c r="B23159" s="31"/>
      <c r="G23159" s="272" t="s">
        <v>1099</v>
      </c>
    </row>
    <row r="23160">
      <c r="B23160" s="31"/>
      <c r="G23160" s="272" t="s">
        <v>1099</v>
      </c>
    </row>
    <row r="23161">
      <c r="B23161" s="31"/>
      <c r="G23161" s="272" t="s">
        <v>1099</v>
      </c>
    </row>
    <row r="23162">
      <c r="B23162" s="31"/>
      <c r="G23162" s="272" t="s">
        <v>1099</v>
      </c>
    </row>
    <row r="23163">
      <c r="B23163" s="31"/>
      <c r="G23163" s="272" t="s">
        <v>1099</v>
      </c>
    </row>
    <row r="23164">
      <c r="B23164" s="31"/>
      <c r="G23164" s="272" t="s">
        <v>1099</v>
      </c>
    </row>
    <row r="23165">
      <c r="B23165" s="31"/>
      <c r="G23165" s="272" t="s">
        <v>1099</v>
      </c>
    </row>
    <row r="23166">
      <c r="B23166" s="31"/>
      <c r="G23166" s="272" t="s">
        <v>1099</v>
      </c>
    </row>
    <row r="23167">
      <c r="B23167" s="31"/>
      <c r="G23167" s="272" t="s">
        <v>1099</v>
      </c>
    </row>
    <row r="23168">
      <c r="B23168" s="31"/>
      <c r="G23168" s="272" t="s">
        <v>1099</v>
      </c>
    </row>
    <row r="23169">
      <c r="B23169" s="31"/>
      <c r="G23169" s="272" t="s">
        <v>1099</v>
      </c>
    </row>
    <row r="23170">
      <c r="B23170" s="31"/>
      <c r="G23170" s="272" t="s">
        <v>1099</v>
      </c>
    </row>
    <row r="23171">
      <c r="B23171" s="31"/>
      <c r="G23171" s="272" t="s">
        <v>1099</v>
      </c>
    </row>
    <row r="23172">
      <c r="B23172" s="31"/>
      <c r="G23172" s="272" t="s">
        <v>1099</v>
      </c>
    </row>
    <row r="23173">
      <c r="B23173" s="31"/>
      <c r="G23173" s="272" t="s">
        <v>1099</v>
      </c>
    </row>
    <row r="23174">
      <c r="B23174" s="31"/>
      <c r="G23174" s="272" t="s">
        <v>1099</v>
      </c>
    </row>
    <row r="23175">
      <c r="B23175" s="31"/>
      <c r="G23175" s="272" t="s">
        <v>1099</v>
      </c>
    </row>
    <row r="23176">
      <c r="B23176" s="31"/>
      <c r="G23176" s="272" t="s">
        <v>1099</v>
      </c>
    </row>
    <row r="23177">
      <c r="B23177" s="31"/>
      <c r="G23177" s="272" t="s">
        <v>1099</v>
      </c>
    </row>
    <row r="23178">
      <c r="B23178" s="31"/>
      <c r="G23178" s="272" t="s">
        <v>1099</v>
      </c>
    </row>
    <row r="23179">
      <c r="B23179" s="31"/>
      <c r="G23179" s="272" t="s">
        <v>1099</v>
      </c>
    </row>
    <row r="23180">
      <c r="B23180" s="31"/>
      <c r="G23180" s="272" t="s">
        <v>1099</v>
      </c>
    </row>
    <row r="23181">
      <c r="B23181" s="31"/>
      <c r="G23181" s="272" t="s">
        <v>1099</v>
      </c>
    </row>
    <row r="23182">
      <c r="B23182" s="31"/>
      <c r="G23182" s="272" t="s">
        <v>1099</v>
      </c>
    </row>
    <row r="23183">
      <c r="B23183" s="31"/>
      <c r="G23183" s="272" t="s">
        <v>1099</v>
      </c>
    </row>
    <row r="23184">
      <c r="B23184" s="31"/>
      <c r="G23184" s="272" t="s">
        <v>1099</v>
      </c>
    </row>
    <row r="23185">
      <c r="B23185" s="31"/>
      <c r="G23185" s="272" t="s">
        <v>1099</v>
      </c>
    </row>
    <row r="23186">
      <c r="B23186" s="31"/>
      <c r="G23186" s="272" t="s">
        <v>1099</v>
      </c>
    </row>
    <row r="23187">
      <c r="B23187" s="31"/>
      <c r="G23187" s="272" t="s">
        <v>1099</v>
      </c>
    </row>
    <row r="23188">
      <c r="B23188" s="31"/>
      <c r="G23188" s="272" t="s">
        <v>1099</v>
      </c>
    </row>
    <row r="23189">
      <c r="B23189" s="31"/>
      <c r="G23189" s="272" t="s">
        <v>1099</v>
      </c>
    </row>
    <row r="23190">
      <c r="B23190" s="31"/>
      <c r="G23190" s="272" t="s">
        <v>1099</v>
      </c>
    </row>
    <row r="23191">
      <c r="B23191" s="31"/>
      <c r="G23191" s="272" t="s">
        <v>1099</v>
      </c>
    </row>
    <row r="23192">
      <c r="B23192" s="31"/>
      <c r="G23192" s="272" t="s">
        <v>1099</v>
      </c>
    </row>
    <row r="23193">
      <c r="B23193" s="31"/>
      <c r="G23193" s="272" t="s">
        <v>1099</v>
      </c>
    </row>
    <row r="23194">
      <c r="B23194" s="31"/>
      <c r="G23194" s="272" t="s">
        <v>1099</v>
      </c>
    </row>
    <row r="23195">
      <c r="B23195" s="31"/>
      <c r="G23195" s="272" t="s">
        <v>1099</v>
      </c>
    </row>
    <row r="23196">
      <c r="B23196" s="31"/>
      <c r="G23196" s="272" t="s">
        <v>1099</v>
      </c>
    </row>
    <row r="23197">
      <c r="B23197" s="31"/>
      <c r="G23197" s="272" t="s">
        <v>1099</v>
      </c>
    </row>
    <row r="23198">
      <c r="B23198" s="31"/>
      <c r="G23198" s="272" t="s">
        <v>1099</v>
      </c>
    </row>
    <row r="23199">
      <c r="B23199" s="31"/>
      <c r="G23199" s="272" t="s">
        <v>1099</v>
      </c>
    </row>
    <row r="23200">
      <c r="B23200" s="31"/>
      <c r="G23200" s="272" t="s">
        <v>1099</v>
      </c>
    </row>
    <row r="23201">
      <c r="B23201" s="31"/>
      <c r="G23201" s="272" t="s">
        <v>1099</v>
      </c>
    </row>
    <row r="23202">
      <c r="B23202" s="31"/>
      <c r="G23202" s="272" t="s">
        <v>1099</v>
      </c>
    </row>
    <row r="23203">
      <c r="B23203" s="31"/>
      <c r="G23203" s="272" t="s">
        <v>1099</v>
      </c>
    </row>
    <row r="23204">
      <c r="B23204" s="31"/>
      <c r="G23204" s="272" t="s">
        <v>1099</v>
      </c>
    </row>
    <row r="23205">
      <c r="B23205" s="31"/>
      <c r="G23205" s="272" t="s">
        <v>1099</v>
      </c>
    </row>
    <row r="23206">
      <c r="B23206" s="31"/>
      <c r="G23206" s="272" t="s">
        <v>1099</v>
      </c>
    </row>
    <row r="23207">
      <c r="B23207" s="31"/>
      <c r="G23207" s="272" t="s">
        <v>1099</v>
      </c>
    </row>
    <row r="23208">
      <c r="B23208" s="31"/>
      <c r="G23208" s="272" t="s">
        <v>1099</v>
      </c>
    </row>
    <row r="23209">
      <c r="B23209" s="31"/>
      <c r="G23209" s="272" t="s">
        <v>1099</v>
      </c>
    </row>
    <row r="23210">
      <c r="B23210" s="31"/>
      <c r="G23210" s="272" t="s">
        <v>1099</v>
      </c>
    </row>
    <row r="23211">
      <c r="B23211" s="31"/>
      <c r="G23211" s="272" t="s">
        <v>1099</v>
      </c>
    </row>
    <row r="23212">
      <c r="B23212" s="31"/>
      <c r="G23212" s="272" t="s">
        <v>1099</v>
      </c>
    </row>
    <row r="23213">
      <c r="B23213" s="31"/>
      <c r="G23213" s="272" t="s">
        <v>1099</v>
      </c>
    </row>
    <row r="23214">
      <c r="B23214" s="31"/>
      <c r="G23214" s="272" t="s">
        <v>1099</v>
      </c>
    </row>
    <row r="23215">
      <c r="B23215" s="31"/>
      <c r="G23215" s="272" t="s">
        <v>1099</v>
      </c>
    </row>
    <row r="23216">
      <c r="B23216" s="31"/>
      <c r="G23216" s="272" t="s">
        <v>1099</v>
      </c>
    </row>
    <row r="23217">
      <c r="B23217" s="31"/>
      <c r="G23217" s="272" t="s">
        <v>1099</v>
      </c>
    </row>
    <row r="23218">
      <c r="B23218" s="31"/>
      <c r="G23218" s="272" t="s">
        <v>1099</v>
      </c>
    </row>
    <row r="23219">
      <c r="B23219" s="31"/>
      <c r="G23219" s="272" t="s">
        <v>1099</v>
      </c>
    </row>
    <row r="23220">
      <c r="B23220" s="31"/>
      <c r="G23220" s="272" t="s">
        <v>1099</v>
      </c>
    </row>
    <row r="23221">
      <c r="B23221" s="31"/>
      <c r="G23221" s="272" t="s">
        <v>1099</v>
      </c>
    </row>
    <row r="23222">
      <c r="B23222" s="31"/>
      <c r="G23222" s="272" t="s">
        <v>1099</v>
      </c>
    </row>
    <row r="23223">
      <c r="B23223" s="31"/>
      <c r="G23223" s="272" t="s">
        <v>1099</v>
      </c>
    </row>
    <row r="23224">
      <c r="B23224" s="31"/>
      <c r="G23224" s="272" t="s">
        <v>1099</v>
      </c>
    </row>
    <row r="23225">
      <c r="B23225" s="31"/>
      <c r="G23225" s="272" t="s">
        <v>1099</v>
      </c>
    </row>
    <row r="23226">
      <c r="B23226" s="31"/>
      <c r="G23226" s="272" t="s">
        <v>1099</v>
      </c>
    </row>
    <row r="23227">
      <c r="B23227" s="31"/>
      <c r="G23227" s="272" t="s">
        <v>1099</v>
      </c>
    </row>
    <row r="23228">
      <c r="B23228" s="31"/>
      <c r="G23228" s="272" t="s">
        <v>1099</v>
      </c>
    </row>
    <row r="23229">
      <c r="B23229" s="31"/>
      <c r="G23229" s="272" t="s">
        <v>1099</v>
      </c>
    </row>
    <row r="23230">
      <c r="B23230" s="31"/>
      <c r="G23230" s="272" t="s">
        <v>1099</v>
      </c>
    </row>
    <row r="23231">
      <c r="B23231" s="31"/>
      <c r="G23231" s="272" t="s">
        <v>1099</v>
      </c>
    </row>
    <row r="23232">
      <c r="B23232" s="31"/>
      <c r="G23232" s="272" t="s">
        <v>1099</v>
      </c>
    </row>
    <row r="23233">
      <c r="B23233" s="31"/>
      <c r="G23233" s="272" t="s">
        <v>1099</v>
      </c>
    </row>
    <row r="23234">
      <c r="B23234" s="31"/>
      <c r="G23234" s="272" t="s">
        <v>1099</v>
      </c>
    </row>
    <row r="23235">
      <c r="B23235" s="31"/>
      <c r="G23235" s="272" t="s">
        <v>1099</v>
      </c>
    </row>
    <row r="23236">
      <c r="B23236" s="31"/>
      <c r="G23236" s="272" t="s">
        <v>1099</v>
      </c>
    </row>
    <row r="23237">
      <c r="B23237" s="31"/>
      <c r="G23237" s="272" t="s">
        <v>1099</v>
      </c>
    </row>
    <row r="23238">
      <c r="B23238" s="31"/>
      <c r="G23238" s="272" t="s">
        <v>1099</v>
      </c>
    </row>
    <row r="23239">
      <c r="B23239" s="31"/>
      <c r="G23239" s="272" t="s">
        <v>1099</v>
      </c>
    </row>
    <row r="23240">
      <c r="B23240" s="31"/>
      <c r="G23240" s="272" t="s">
        <v>1099</v>
      </c>
    </row>
    <row r="23241">
      <c r="B23241" s="31"/>
      <c r="G23241" s="272" t="s">
        <v>1099</v>
      </c>
    </row>
    <row r="23242">
      <c r="B23242" s="31"/>
      <c r="G23242" s="272" t="s">
        <v>1099</v>
      </c>
    </row>
    <row r="23243">
      <c r="B23243" s="31"/>
      <c r="G23243" s="272" t="s">
        <v>1099</v>
      </c>
    </row>
    <row r="23244">
      <c r="B23244" s="31"/>
      <c r="G23244" s="272" t="s">
        <v>1099</v>
      </c>
    </row>
    <row r="23245">
      <c r="B23245" s="31"/>
      <c r="G23245" s="272" t="s">
        <v>1099</v>
      </c>
    </row>
    <row r="23246">
      <c r="B23246" s="31"/>
      <c r="G23246" s="272" t="s">
        <v>1099</v>
      </c>
    </row>
    <row r="23247">
      <c r="B23247" s="31"/>
      <c r="G23247" s="272" t="s">
        <v>1099</v>
      </c>
    </row>
    <row r="23248">
      <c r="B23248" s="31"/>
      <c r="G23248" s="272" t="s">
        <v>1099</v>
      </c>
    </row>
    <row r="23249">
      <c r="B23249" s="31"/>
      <c r="G23249" s="272" t="s">
        <v>1099</v>
      </c>
    </row>
    <row r="23250">
      <c r="B23250" s="31"/>
      <c r="G23250" s="272" t="s">
        <v>1099</v>
      </c>
    </row>
    <row r="23251">
      <c r="B23251" s="31"/>
      <c r="G23251" s="272" t="s">
        <v>1099</v>
      </c>
    </row>
    <row r="23252">
      <c r="B23252" s="31"/>
      <c r="G23252" s="272" t="s">
        <v>1099</v>
      </c>
    </row>
    <row r="23253">
      <c r="B23253" s="31"/>
      <c r="G23253" s="272" t="s">
        <v>1099</v>
      </c>
    </row>
    <row r="23254">
      <c r="B23254" s="31"/>
      <c r="G23254" s="272" t="s">
        <v>1099</v>
      </c>
    </row>
    <row r="23255">
      <c r="B23255" s="31"/>
      <c r="G23255" s="272" t="s">
        <v>1099</v>
      </c>
    </row>
    <row r="23256">
      <c r="B23256" s="31"/>
      <c r="G23256" s="272" t="s">
        <v>1099</v>
      </c>
    </row>
    <row r="23257">
      <c r="B23257" s="31"/>
      <c r="G23257" s="272" t="s">
        <v>1099</v>
      </c>
    </row>
    <row r="23258">
      <c r="B23258" s="31"/>
      <c r="G23258" s="272" t="s">
        <v>1099</v>
      </c>
    </row>
    <row r="23259">
      <c r="B23259" s="31"/>
      <c r="G23259" s="272" t="s">
        <v>1099</v>
      </c>
    </row>
    <row r="23260">
      <c r="B23260" s="31"/>
      <c r="G23260" s="272" t="s">
        <v>1099</v>
      </c>
    </row>
    <row r="23261">
      <c r="B23261" s="31"/>
      <c r="G23261" s="272" t="s">
        <v>1099</v>
      </c>
    </row>
    <row r="23262">
      <c r="B23262" s="31"/>
      <c r="G23262" s="272" t="s">
        <v>1099</v>
      </c>
    </row>
    <row r="23263">
      <c r="B23263" s="31"/>
      <c r="G23263" s="272" t="s">
        <v>1099</v>
      </c>
    </row>
    <row r="23264">
      <c r="B23264" s="31"/>
      <c r="G23264" s="272" t="s">
        <v>1099</v>
      </c>
    </row>
    <row r="23265">
      <c r="B23265" s="31"/>
      <c r="G23265" s="272" t="s">
        <v>1099</v>
      </c>
    </row>
    <row r="23266">
      <c r="B23266" s="31"/>
      <c r="G23266" s="272" t="s">
        <v>1099</v>
      </c>
    </row>
    <row r="23267">
      <c r="B23267" s="31"/>
      <c r="G23267" s="272" t="s">
        <v>1099</v>
      </c>
    </row>
    <row r="23268">
      <c r="B23268" s="31"/>
      <c r="G23268" s="272" t="s">
        <v>1099</v>
      </c>
    </row>
    <row r="23269">
      <c r="B23269" s="31"/>
      <c r="G23269" s="272" t="s">
        <v>1099</v>
      </c>
    </row>
    <row r="23270">
      <c r="B23270" s="31"/>
      <c r="G23270" s="272" t="s">
        <v>1099</v>
      </c>
    </row>
    <row r="23271">
      <c r="B23271" s="31"/>
      <c r="G23271" s="272" t="s">
        <v>1099</v>
      </c>
    </row>
    <row r="23272">
      <c r="B23272" s="31"/>
      <c r="G23272" s="272" t="s">
        <v>1099</v>
      </c>
    </row>
    <row r="23273">
      <c r="B23273" s="31"/>
      <c r="G23273" s="272" t="s">
        <v>1099</v>
      </c>
    </row>
    <row r="23274">
      <c r="B23274" s="31"/>
      <c r="G23274" s="272" t="s">
        <v>1099</v>
      </c>
    </row>
    <row r="23275">
      <c r="B23275" s="31"/>
      <c r="G23275" s="272" t="s">
        <v>1099</v>
      </c>
    </row>
    <row r="23276">
      <c r="B23276" s="31"/>
      <c r="G23276" s="272" t="s">
        <v>1099</v>
      </c>
    </row>
    <row r="23277">
      <c r="B23277" s="31"/>
      <c r="G23277" s="272" t="s">
        <v>1099</v>
      </c>
    </row>
    <row r="23278">
      <c r="B23278" s="31"/>
      <c r="G23278" s="272" t="s">
        <v>1099</v>
      </c>
    </row>
    <row r="23279">
      <c r="B23279" s="31"/>
      <c r="G23279" s="272" t="s">
        <v>1099</v>
      </c>
    </row>
    <row r="23280">
      <c r="B23280" s="31"/>
      <c r="G23280" s="272" t="s">
        <v>1099</v>
      </c>
    </row>
    <row r="23281">
      <c r="B23281" s="31"/>
      <c r="G23281" s="272" t="s">
        <v>1099</v>
      </c>
    </row>
    <row r="23282">
      <c r="B23282" s="31"/>
      <c r="G23282" s="272" t="s">
        <v>1099</v>
      </c>
    </row>
    <row r="23283">
      <c r="B23283" s="31"/>
      <c r="G23283" s="272" t="s">
        <v>1099</v>
      </c>
    </row>
    <row r="23284">
      <c r="B23284" s="31"/>
      <c r="G23284" s="272" t="s">
        <v>1099</v>
      </c>
    </row>
    <row r="23285">
      <c r="B23285" s="31"/>
      <c r="G23285" s="272" t="s">
        <v>1099</v>
      </c>
    </row>
    <row r="23286">
      <c r="B23286" s="31"/>
      <c r="G23286" s="272" t="s">
        <v>1099</v>
      </c>
    </row>
    <row r="23287">
      <c r="B23287" s="31"/>
      <c r="G23287" s="272" t="s">
        <v>1099</v>
      </c>
    </row>
    <row r="23288">
      <c r="B23288" s="31"/>
      <c r="G23288" s="272" t="s">
        <v>1099</v>
      </c>
    </row>
    <row r="23289">
      <c r="B23289" s="31"/>
      <c r="G23289" s="272" t="s">
        <v>1099</v>
      </c>
    </row>
    <row r="23290">
      <c r="B23290" s="31"/>
      <c r="G23290" s="272" t="s">
        <v>1099</v>
      </c>
    </row>
    <row r="23291">
      <c r="B23291" s="31"/>
      <c r="G23291" s="272" t="s">
        <v>1099</v>
      </c>
    </row>
    <row r="23292">
      <c r="B23292" s="31"/>
      <c r="G23292" s="272" t="s">
        <v>1099</v>
      </c>
    </row>
    <row r="23293">
      <c r="B23293" s="31"/>
      <c r="G23293" s="272" t="s">
        <v>1099</v>
      </c>
    </row>
    <row r="23294">
      <c r="B23294" s="31"/>
      <c r="G23294" s="272" t="s">
        <v>1099</v>
      </c>
    </row>
    <row r="23295">
      <c r="B23295" s="31"/>
      <c r="G23295" s="272" t="s">
        <v>1099</v>
      </c>
    </row>
    <row r="23296">
      <c r="B23296" s="31"/>
      <c r="G23296" s="272" t="s">
        <v>1099</v>
      </c>
    </row>
    <row r="23297">
      <c r="B23297" s="31"/>
      <c r="G23297" s="272" t="s">
        <v>1099</v>
      </c>
    </row>
    <row r="23298">
      <c r="B23298" s="31"/>
      <c r="G23298" s="272" t="s">
        <v>1099</v>
      </c>
    </row>
    <row r="23299">
      <c r="B23299" s="31"/>
      <c r="G23299" s="272" t="s">
        <v>1099</v>
      </c>
    </row>
    <row r="23300">
      <c r="B23300" s="31"/>
      <c r="G23300" s="272" t="s">
        <v>1099</v>
      </c>
    </row>
    <row r="23301">
      <c r="B23301" s="31"/>
      <c r="G23301" s="272" t="s">
        <v>1099</v>
      </c>
    </row>
    <row r="23302">
      <c r="B23302" s="31"/>
      <c r="G23302" s="272" t="s">
        <v>1099</v>
      </c>
    </row>
    <row r="23303">
      <c r="B23303" s="31"/>
      <c r="G23303" s="272" t="s">
        <v>1099</v>
      </c>
    </row>
    <row r="23304">
      <c r="B23304" s="31"/>
      <c r="G23304" s="272" t="s">
        <v>1099</v>
      </c>
    </row>
    <row r="23305">
      <c r="B23305" s="31"/>
      <c r="G23305" s="272" t="s">
        <v>1099</v>
      </c>
    </row>
    <row r="23306">
      <c r="B23306" s="31"/>
      <c r="G23306" s="272" t="s">
        <v>1099</v>
      </c>
    </row>
    <row r="23307">
      <c r="B23307" s="31"/>
      <c r="G23307" s="272" t="s">
        <v>1099</v>
      </c>
    </row>
    <row r="23308">
      <c r="B23308" s="31"/>
      <c r="G23308" s="272" t="s">
        <v>1099</v>
      </c>
    </row>
    <row r="23309">
      <c r="B23309" s="31"/>
      <c r="G23309" s="272" t="s">
        <v>1099</v>
      </c>
    </row>
    <row r="23310">
      <c r="B23310" s="31"/>
      <c r="G23310" s="272" t="s">
        <v>1099</v>
      </c>
    </row>
    <row r="23311">
      <c r="B23311" s="31"/>
      <c r="G23311" s="272" t="s">
        <v>1099</v>
      </c>
    </row>
    <row r="23312">
      <c r="B23312" s="31"/>
      <c r="G23312" s="272" t="s">
        <v>1099</v>
      </c>
    </row>
    <row r="23313">
      <c r="B23313" s="31"/>
      <c r="G23313" s="272" t="s">
        <v>1099</v>
      </c>
    </row>
    <row r="23314">
      <c r="B23314" s="31"/>
      <c r="G23314" s="272" t="s">
        <v>1099</v>
      </c>
    </row>
    <row r="23315">
      <c r="B23315" s="31"/>
      <c r="G23315" s="272" t="s">
        <v>1099</v>
      </c>
    </row>
    <row r="23316">
      <c r="B23316" s="31"/>
      <c r="G23316" s="272" t="s">
        <v>1099</v>
      </c>
    </row>
    <row r="23317">
      <c r="B23317" s="31"/>
      <c r="G23317" s="272" t="s">
        <v>1099</v>
      </c>
    </row>
    <row r="23318">
      <c r="B23318" s="31"/>
      <c r="G23318" s="272" t="s">
        <v>1099</v>
      </c>
    </row>
    <row r="23319">
      <c r="B23319" s="31"/>
      <c r="G23319" s="272" t="s">
        <v>1099</v>
      </c>
    </row>
    <row r="23320">
      <c r="B23320" s="31"/>
      <c r="G23320" s="272" t="s">
        <v>1099</v>
      </c>
    </row>
    <row r="23321">
      <c r="B23321" s="31"/>
      <c r="G23321" s="272" t="s">
        <v>1099</v>
      </c>
    </row>
    <row r="23322">
      <c r="B23322" s="31"/>
      <c r="G23322" s="272" t="s">
        <v>1099</v>
      </c>
    </row>
    <row r="23323">
      <c r="B23323" s="31"/>
      <c r="G23323" s="272" t="s">
        <v>1099</v>
      </c>
    </row>
    <row r="23324">
      <c r="B23324" s="31"/>
      <c r="G23324" s="272" t="s">
        <v>1099</v>
      </c>
    </row>
    <row r="23325">
      <c r="B23325" s="31"/>
      <c r="G23325" s="272" t="s">
        <v>1099</v>
      </c>
    </row>
    <row r="23326">
      <c r="B23326" s="31"/>
      <c r="G23326" s="272" t="s">
        <v>1099</v>
      </c>
    </row>
    <row r="23327">
      <c r="B23327" s="31"/>
      <c r="G23327" s="272" t="s">
        <v>1099</v>
      </c>
    </row>
    <row r="23328">
      <c r="B23328" s="31"/>
      <c r="G23328" s="272" t="s">
        <v>1099</v>
      </c>
    </row>
    <row r="23329">
      <c r="B23329" s="31"/>
      <c r="G23329" s="272" t="s">
        <v>1099</v>
      </c>
    </row>
    <row r="23330">
      <c r="B23330" s="31"/>
      <c r="G23330" s="272" t="s">
        <v>1099</v>
      </c>
    </row>
    <row r="23331">
      <c r="B23331" s="31"/>
      <c r="G23331" s="272" t="s">
        <v>1099</v>
      </c>
    </row>
    <row r="23332">
      <c r="B23332" s="31"/>
      <c r="G23332" s="272" t="s">
        <v>1099</v>
      </c>
    </row>
    <row r="23333">
      <c r="B23333" s="31"/>
      <c r="G23333" s="272" t="s">
        <v>1099</v>
      </c>
    </row>
    <row r="23334">
      <c r="B23334" s="31"/>
      <c r="G23334" s="272" t="s">
        <v>1099</v>
      </c>
    </row>
    <row r="23335">
      <c r="B23335" s="31"/>
      <c r="G23335" s="272" t="s">
        <v>1099</v>
      </c>
    </row>
    <row r="23336">
      <c r="B23336" s="31"/>
      <c r="G23336" s="272" t="s">
        <v>1099</v>
      </c>
    </row>
    <row r="23337">
      <c r="B23337" s="31"/>
      <c r="G23337" s="272" t="s">
        <v>1099</v>
      </c>
    </row>
    <row r="23338">
      <c r="B23338" s="31"/>
      <c r="G23338" s="272" t="s">
        <v>1099</v>
      </c>
    </row>
    <row r="23339">
      <c r="B23339" s="31"/>
      <c r="G23339" s="272" t="s">
        <v>1099</v>
      </c>
    </row>
    <row r="23340">
      <c r="B23340" s="31"/>
      <c r="G23340" s="272" t="s">
        <v>1099</v>
      </c>
    </row>
    <row r="23341">
      <c r="B23341" s="31"/>
      <c r="G23341" s="272" t="s">
        <v>1099</v>
      </c>
    </row>
    <row r="23342">
      <c r="B23342" s="31"/>
      <c r="G23342" s="272" t="s">
        <v>1099</v>
      </c>
    </row>
    <row r="23343">
      <c r="B23343" s="31"/>
      <c r="G23343" s="272" t="s">
        <v>1099</v>
      </c>
    </row>
    <row r="23344">
      <c r="B23344" s="31"/>
      <c r="G23344" s="272" t="s">
        <v>1099</v>
      </c>
    </row>
    <row r="23345">
      <c r="B23345" s="31"/>
      <c r="G23345" s="272" t="s">
        <v>1099</v>
      </c>
    </row>
    <row r="23346">
      <c r="B23346" s="31"/>
      <c r="G23346" s="272" t="s">
        <v>1099</v>
      </c>
    </row>
    <row r="23347">
      <c r="B23347" s="31"/>
      <c r="G23347" s="272" t="s">
        <v>1099</v>
      </c>
    </row>
    <row r="23348">
      <c r="B23348" s="31"/>
      <c r="G23348" s="272" t="s">
        <v>1099</v>
      </c>
    </row>
    <row r="23349">
      <c r="B23349" s="31"/>
      <c r="G23349" s="272" t="s">
        <v>1099</v>
      </c>
    </row>
    <row r="23350">
      <c r="B23350" s="31"/>
      <c r="G23350" s="272" t="s">
        <v>1099</v>
      </c>
    </row>
    <row r="23351">
      <c r="B23351" s="31"/>
      <c r="G23351" s="272" t="s">
        <v>1099</v>
      </c>
    </row>
    <row r="23352">
      <c r="B23352" s="31"/>
      <c r="G23352" s="272" t="s">
        <v>1099</v>
      </c>
    </row>
    <row r="23353">
      <c r="B23353" s="31"/>
      <c r="G23353" s="272" t="s">
        <v>1099</v>
      </c>
    </row>
    <row r="23354">
      <c r="B23354" s="31"/>
      <c r="G23354" s="272" t="s">
        <v>1099</v>
      </c>
    </row>
    <row r="23355">
      <c r="B23355" s="31"/>
      <c r="G23355" s="272" t="s">
        <v>1099</v>
      </c>
    </row>
    <row r="23356">
      <c r="B23356" s="31"/>
      <c r="G23356" s="272" t="s">
        <v>1099</v>
      </c>
    </row>
    <row r="23357">
      <c r="B23357" s="31"/>
      <c r="G23357" s="272" t="s">
        <v>1099</v>
      </c>
    </row>
    <row r="23358">
      <c r="B23358" s="31"/>
      <c r="G23358" s="272" t="s">
        <v>1099</v>
      </c>
    </row>
    <row r="23359">
      <c r="B23359" s="31"/>
      <c r="G23359" s="272" t="s">
        <v>1099</v>
      </c>
    </row>
    <row r="23360">
      <c r="B23360" s="31"/>
      <c r="G23360" s="272" t="s">
        <v>1099</v>
      </c>
    </row>
    <row r="23361">
      <c r="B23361" s="31"/>
      <c r="G23361" s="272" t="s">
        <v>1099</v>
      </c>
    </row>
    <row r="23362">
      <c r="B23362" s="31"/>
      <c r="G23362" s="272" t="s">
        <v>1099</v>
      </c>
    </row>
    <row r="23363">
      <c r="B23363" s="31"/>
      <c r="G23363" s="272" t="s">
        <v>1099</v>
      </c>
    </row>
    <row r="23364">
      <c r="B23364" s="31"/>
      <c r="G23364" s="272" t="s">
        <v>1099</v>
      </c>
    </row>
    <row r="23365">
      <c r="B23365" s="31"/>
      <c r="G23365" s="272" t="s">
        <v>1099</v>
      </c>
    </row>
    <row r="23366">
      <c r="B23366" s="31"/>
      <c r="G23366" s="272" t="s">
        <v>1099</v>
      </c>
    </row>
    <row r="23367">
      <c r="B23367" s="31"/>
      <c r="G23367" s="272" t="s">
        <v>1099</v>
      </c>
    </row>
    <row r="23368">
      <c r="B23368" s="31"/>
      <c r="G23368" s="272" t="s">
        <v>1099</v>
      </c>
    </row>
    <row r="23369">
      <c r="B23369" s="31"/>
      <c r="G23369" s="272" t="s">
        <v>1099</v>
      </c>
    </row>
    <row r="23370">
      <c r="B23370" s="31"/>
      <c r="G23370" s="272" t="s">
        <v>1099</v>
      </c>
    </row>
    <row r="23371">
      <c r="B23371" s="31"/>
      <c r="G23371" s="272" t="s">
        <v>1099</v>
      </c>
    </row>
    <row r="23372">
      <c r="B23372" s="31"/>
      <c r="G23372" s="272" t="s">
        <v>1099</v>
      </c>
    </row>
    <row r="23373">
      <c r="B23373" s="31"/>
      <c r="G23373" s="272" t="s">
        <v>1099</v>
      </c>
    </row>
    <row r="23374">
      <c r="B23374" s="31"/>
      <c r="G23374" s="272" t="s">
        <v>1099</v>
      </c>
    </row>
    <row r="23375">
      <c r="B23375" s="31"/>
      <c r="G23375" s="272" t="s">
        <v>1099</v>
      </c>
    </row>
    <row r="23376">
      <c r="B23376" s="31"/>
      <c r="G23376" s="272" t="s">
        <v>1099</v>
      </c>
    </row>
    <row r="23377">
      <c r="B23377" s="31"/>
      <c r="G23377" s="272" t="s">
        <v>1099</v>
      </c>
    </row>
    <row r="23378">
      <c r="B23378" s="31"/>
      <c r="G23378" s="272" t="s">
        <v>1099</v>
      </c>
    </row>
    <row r="23379">
      <c r="B23379" s="31"/>
      <c r="G23379" s="272" t="s">
        <v>1099</v>
      </c>
    </row>
    <row r="23380">
      <c r="B23380" s="31"/>
      <c r="G23380" s="272" t="s">
        <v>1099</v>
      </c>
    </row>
    <row r="23381">
      <c r="B23381" s="31"/>
      <c r="G23381" s="272" t="s">
        <v>1099</v>
      </c>
    </row>
    <row r="23382">
      <c r="B23382" s="31"/>
      <c r="G23382" s="272" t="s">
        <v>1099</v>
      </c>
    </row>
    <row r="23383">
      <c r="B23383" s="31"/>
      <c r="G23383" s="272" t="s">
        <v>1099</v>
      </c>
    </row>
    <row r="23384">
      <c r="B23384" s="31"/>
      <c r="G23384" s="272" t="s">
        <v>1099</v>
      </c>
    </row>
    <row r="23385">
      <c r="B23385" s="31"/>
      <c r="G23385" s="272" t="s">
        <v>1099</v>
      </c>
    </row>
    <row r="23386">
      <c r="B23386" s="31"/>
      <c r="G23386" s="272" t="s">
        <v>1099</v>
      </c>
    </row>
    <row r="23387">
      <c r="B23387" s="31"/>
      <c r="G23387" s="272" t="s">
        <v>1099</v>
      </c>
    </row>
    <row r="23388">
      <c r="B23388" s="31"/>
      <c r="G23388" s="272" t="s">
        <v>1099</v>
      </c>
    </row>
    <row r="23389">
      <c r="B23389" s="31"/>
      <c r="G23389" s="272" t="s">
        <v>1099</v>
      </c>
    </row>
    <row r="23390">
      <c r="B23390" s="31"/>
      <c r="G23390" s="272" t="s">
        <v>1099</v>
      </c>
    </row>
    <row r="23391">
      <c r="B23391" s="31"/>
      <c r="G23391" s="272" t="s">
        <v>1099</v>
      </c>
    </row>
    <row r="23392">
      <c r="B23392" s="31"/>
      <c r="G23392" s="272" t="s">
        <v>1099</v>
      </c>
    </row>
    <row r="23393">
      <c r="B23393" s="31"/>
      <c r="G23393" s="272" t="s">
        <v>1099</v>
      </c>
    </row>
    <row r="23394">
      <c r="B23394" s="31"/>
      <c r="G23394" s="272" t="s">
        <v>1099</v>
      </c>
    </row>
    <row r="23395">
      <c r="B23395" s="31"/>
      <c r="G23395" s="272" t="s">
        <v>1099</v>
      </c>
    </row>
    <row r="23396">
      <c r="B23396" s="31"/>
      <c r="G23396" s="272" t="s">
        <v>1099</v>
      </c>
    </row>
    <row r="23397">
      <c r="B23397" s="31"/>
      <c r="G23397" s="272" t="s">
        <v>1099</v>
      </c>
    </row>
    <row r="23398">
      <c r="B23398" s="31"/>
      <c r="G23398" s="272" t="s">
        <v>1099</v>
      </c>
    </row>
    <row r="23399">
      <c r="B23399" s="31"/>
      <c r="G23399" s="272" t="s">
        <v>1099</v>
      </c>
    </row>
    <row r="23400">
      <c r="B23400" s="31"/>
      <c r="G23400" s="272" t="s">
        <v>1099</v>
      </c>
    </row>
    <row r="23401">
      <c r="B23401" s="31"/>
      <c r="G23401" s="272" t="s">
        <v>1099</v>
      </c>
    </row>
    <row r="23402">
      <c r="B23402" s="31"/>
      <c r="G23402" s="272" t="s">
        <v>1099</v>
      </c>
    </row>
    <row r="23403">
      <c r="B23403" s="31"/>
      <c r="G23403" s="272" t="s">
        <v>1099</v>
      </c>
    </row>
    <row r="23404">
      <c r="B23404" s="31"/>
      <c r="G23404" s="272" t="s">
        <v>1099</v>
      </c>
    </row>
    <row r="23405">
      <c r="B23405" s="31"/>
      <c r="G23405" s="272" t="s">
        <v>1099</v>
      </c>
    </row>
    <row r="23406">
      <c r="B23406" s="31"/>
      <c r="G23406" s="272" t="s">
        <v>1099</v>
      </c>
    </row>
    <row r="23407">
      <c r="B23407" s="31"/>
      <c r="G23407" s="272" t="s">
        <v>1099</v>
      </c>
    </row>
    <row r="23408">
      <c r="B23408" s="31"/>
      <c r="G23408" s="272" t="s">
        <v>1099</v>
      </c>
    </row>
    <row r="23409">
      <c r="B23409" s="31"/>
      <c r="G23409" s="272" t="s">
        <v>1099</v>
      </c>
    </row>
    <row r="23410">
      <c r="B23410" s="31"/>
      <c r="G23410" s="272" t="s">
        <v>1099</v>
      </c>
    </row>
    <row r="23411">
      <c r="B23411" s="31"/>
      <c r="G23411" s="272" t="s">
        <v>1099</v>
      </c>
    </row>
    <row r="23412">
      <c r="B23412" s="31"/>
      <c r="G23412" s="272" t="s">
        <v>1099</v>
      </c>
    </row>
    <row r="23413">
      <c r="B23413" s="31"/>
      <c r="G23413" s="272" t="s">
        <v>1099</v>
      </c>
    </row>
    <row r="23414">
      <c r="B23414" s="31"/>
      <c r="G23414" s="272" t="s">
        <v>1099</v>
      </c>
    </row>
    <row r="23415">
      <c r="B23415" s="31"/>
      <c r="G23415" s="272" t="s">
        <v>1099</v>
      </c>
    </row>
    <row r="23416">
      <c r="B23416" s="31"/>
      <c r="G23416" s="272" t="s">
        <v>1099</v>
      </c>
    </row>
    <row r="23417">
      <c r="B23417" s="31"/>
      <c r="G23417" s="272" t="s">
        <v>1099</v>
      </c>
    </row>
    <row r="23418">
      <c r="B23418" s="31"/>
      <c r="G23418" s="272" t="s">
        <v>1099</v>
      </c>
    </row>
    <row r="23419">
      <c r="B23419" s="31"/>
      <c r="G23419" s="272" t="s">
        <v>1099</v>
      </c>
    </row>
    <row r="23420">
      <c r="B23420" s="31"/>
      <c r="G23420" s="272" t="s">
        <v>1099</v>
      </c>
    </row>
    <row r="23421">
      <c r="B23421" s="31"/>
      <c r="G23421" s="272" t="s">
        <v>1099</v>
      </c>
    </row>
    <row r="23422">
      <c r="B23422" s="31"/>
      <c r="G23422" s="272" t="s">
        <v>1099</v>
      </c>
    </row>
    <row r="23423">
      <c r="B23423" s="31"/>
      <c r="G23423" s="272" t="s">
        <v>1099</v>
      </c>
    </row>
    <row r="23424">
      <c r="B23424" s="31"/>
      <c r="G23424" s="272" t="s">
        <v>1099</v>
      </c>
    </row>
    <row r="23425">
      <c r="B23425" s="31"/>
      <c r="G23425" s="272" t="s">
        <v>1099</v>
      </c>
    </row>
    <row r="23426">
      <c r="B23426" s="31"/>
      <c r="G23426" s="272" t="s">
        <v>1099</v>
      </c>
    </row>
    <row r="23427">
      <c r="B23427" s="31"/>
      <c r="G23427" s="272" t="s">
        <v>1099</v>
      </c>
    </row>
    <row r="23428">
      <c r="B23428" s="31"/>
      <c r="G23428" s="272" t="s">
        <v>1099</v>
      </c>
    </row>
    <row r="23429">
      <c r="B23429" s="31"/>
      <c r="G23429" s="272" t="s">
        <v>1099</v>
      </c>
    </row>
    <row r="23430">
      <c r="B23430" s="31"/>
      <c r="G23430" s="272" t="s">
        <v>1099</v>
      </c>
    </row>
    <row r="23431">
      <c r="B23431" s="31"/>
      <c r="G23431" s="272" t="s">
        <v>1099</v>
      </c>
    </row>
    <row r="23432">
      <c r="B23432" s="31"/>
      <c r="G23432" s="272" t="s">
        <v>1099</v>
      </c>
    </row>
    <row r="23433">
      <c r="B23433" s="31"/>
      <c r="G23433" s="272" t="s">
        <v>1099</v>
      </c>
    </row>
    <row r="23434">
      <c r="B23434" s="31"/>
      <c r="G23434" s="272" t="s">
        <v>1099</v>
      </c>
    </row>
    <row r="23435">
      <c r="B23435" s="31"/>
      <c r="G23435" s="272" t="s">
        <v>1099</v>
      </c>
    </row>
    <row r="23436">
      <c r="B23436" s="31"/>
      <c r="G23436" s="272" t="s">
        <v>1099</v>
      </c>
    </row>
    <row r="23437">
      <c r="B23437" s="31"/>
      <c r="G23437" s="272" t="s">
        <v>1099</v>
      </c>
    </row>
    <row r="23438">
      <c r="B23438" s="31"/>
      <c r="G23438" s="272" t="s">
        <v>1099</v>
      </c>
    </row>
    <row r="23439">
      <c r="B23439" s="31"/>
      <c r="G23439" s="272" t="s">
        <v>1099</v>
      </c>
    </row>
    <row r="23440">
      <c r="B23440" s="31"/>
      <c r="G23440" s="272" t="s">
        <v>1099</v>
      </c>
    </row>
    <row r="23441">
      <c r="B23441" s="31"/>
      <c r="G23441" s="272" t="s">
        <v>1099</v>
      </c>
    </row>
    <row r="23442">
      <c r="B23442" s="31"/>
      <c r="G23442" s="272" t="s">
        <v>1099</v>
      </c>
    </row>
    <row r="23443">
      <c r="B23443" s="31"/>
      <c r="G23443" s="272" t="s">
        <v>1099</v>
      </c>
    </row>
    <row r="23444">
      <c r="B23444" s="31"/>
      <c r="G23444" s="272" t="s">
        <v>1099</v>
      </c>
    </row>
    <row r="23445">
      <c r="B23445" s="31"/>
      <c r="G23445" s="272" t="s">
        <v>1099</v>
      </c>
    </row>
    <row r="23446">
      <c r="B23446" s="31"/>
      <c r="G23446" s="272" t="s">
        <v>1099</v>
      </c>
    </row>
    <row r="23447">
      <c r="B23447" s="31"/>
      <c r="G23447" s="272" t="s">
        <v>1099</v>
      </c>
    </row>
    <row r="23448">
      <c r="B23448" s="31"/>
      <c r="G23448" s="272" t="s">
        <v>1099</v>
      </c>
    </row>
    <row r="23449">
      <c r="B23449" s="31"/>
      <c r="G23449" s="272" t="s">
        <v>1099</v>
      </c>
    </row>
    <row r="23450">
      <c r="B23450" s="31"/>
      <c r="G23450" s="272" t="s">
        <v>1099</v>
      </c>
    </row>
    <row r="23451">
      <c r="B23451" s="31"/>
      <c r="G23451" s="272" t="s">
        <v>1099</v>
      </c>
    </row>
    <row r="23452">
      <c r="B23452" s="31"/>
      <c r="G23452" s="272" t="s">
        <v>1099</v>
      </c>
    </row>
    <row r="23453">
      <c r="B23453" s="31"/>
      <c r="G23453" s="272" t="s">
        <v>1099</v>
      </c>
    </row>
    <row r="23454">
      <c r="B23454" s="31"/>
      <c r="G23454" s="272" t="s">
        <v>1099</v>
      </c>
    </row>
    <row r="23455">
      <c r="B23455" s="31"/>
      <c r="G23455" s="272" t="s">
        <v>1099</v>
      </c>
    </row>
    <row r="23456">
      <c r="B23456" s="31"/>
      <c r="G23456" s="272" t="s">
        <v>1099</v>
      </c>
    </row>
    <row r="23457">
      <c r="B23457" s="31"/>
      <c r="G23457" s="272" t="s">
        <v>1099</v>
      </c>
    </row>
    <row r="23458">
      <c r="B23458" s="31"/>
      <c r="G23458" s="272" t="s">
        <v>1099</v>
      </c>
    </row>
    <row r="23459">
      <c r="B23459" s="31"/>
      <c r="G23459" s="272" t="s">
        <v>1099</v>
      </c>
    </row>
    <row r="23460">
      <c r="B23460" s="31"/>
      <c r="G23460" s="272" t="s">
        <v>1099</v>
      </c>
    </row>
    <row r="23461">
      <c r="B23461" s="31"/>
      <c r="G23461" s="272" t="s">
        <v>1099</v>
      </c>
    </row>
    <row r="23462">
      <c r="B23462" s="31"/>
      <c r="G23462" s="272" t="s">
        <v>1099</v>
      </c>
    </row>
    <row r="23463">
      <c r="B23463" s="31"/>
      <c r="G23463" s="272" t="s">
        <v>1099</v>
      </c>
    </row>
    <row r="23464">
      <c r="B23464" s="31"/>
      <c r="G23464" s="272" t="s">
        <v>1099</v>
      </c>
    </row>
    <row r="23465">
      <c r="B23465" s="31"/>
      <c r="G23465" s="272" t="s">
        <v>1099</v>
      </c>
    </row>
    <row r="23466">
      <c r="B23466" s="31"/>
      <c r="G23466" s="272" t="s">
        <v>1099</v>
      </c>
    </row>
    <row r="23467">
      <c r="B23467" s="31"/>
      <c r="G23467" s="272" t="s">
        <v>1099</v>
      </c>
    </row>
    <row r="23468">
      <c r="B23468" s="31"/>
      <c r="G23468" s="272" t="s">
        <v>1099</v>
      </c>
    </row>
    <row r="23469">
      <c r="B23469" s="31"/>
      <c r="G23469" s="272" t="s">
        <v>1099</v>
      </c>
    </row>
    <row r="23470">
      <c r="B23470" s="31"/>
      <c r="G23470" s="272" t="s">
        <v>1099</v>
      </c>
    </row>
    <row r="23471">
      <c r="B23471" s="31"/>
      <c r="G23471" s="272" t="s">
        <v>1099</v>
      </c>
    </row>
    <row r="23472">
      <c r="B23472" s="31"/>
      <c r="G23472" s="272" t="s">
        <v>1099</v>
      </c>
    </row>
    <row r="23473">
      <c r="B23473" s="31"/>
      <c r="G23473" s="272" t="s">
        <v>1099</v>
      </c>
    </row>
    <row r="23474">
      <c r="B23474" s="31"/>
      <c r="G23474" s="272" t="s">
        <v>1099</v>
      </c>
    </row>
    <row r="23475">
      <c r="B23475" s="31"/>
      <c r="G23475" s="272" t="s">
        <v>1099</v>
      </c>
    </row>
    <row r="23476">
      <c r="B23476" s="31"/>
      <c r="G23476" s="272" t="s">
        <v>1099</v>
      </c>
    </row>
    <row r="23477">
      <c r="B23477" s="31"/>
      <c r="G23477" s="272" t="s">
        <v>1099</v>
      </c>
    </row>
    <row r="23478">
      <c r="B23478" s="31"/>
      <c r="G23478" s="272" t="s">
        <v>1099</v>
      </c>
    </row>
    <row r="23479">
      <c r="B23479" s="31"/>
      <c r="G23479" s="272" t="s">
        <v>1099</v>
      </c>
    </row>
    <row r="23480">
      <c r="B23480" s="31"/>
      <c r="G23480" s="272" t="s">
        <v>1099</v>
      </c>
    </row>
    <row r="23481">
      <c r="B23481" s="31"/>
      <c r="G23481" s="272" t="s">
        <v>1099</v>
      </c>
    </row>
    <row r="23482">
      <c r="B23482" s="31"/>
      <c r="G23482" s="272" t="s">
        <v>1099</v>
      </c>
    </row>
    <row r="23483">
      <c r="B23483" s="31"/>
      <c r="G23483" s="272" t="s">
        <v>1099</v>
      </c>
    </row>
    <row r="23484">
      <c r="B23484" s="31"/>
      <c r="G23484" s="272" t="s">
        <v>1099</v>
      </c>
    </row>
    <row r="23485">
      <c r="B23485" s="31"/>
      <c r="G23485" s="272" t="s">
        <v>1099</v>
      </c>
    </row>
    <row r="23486">
      <c r="B23486" s="31"/>
      <c r="G23486" s="272" t="s">
        <v>1099</v>
      </c>
    </row>
    <row r="23487">
      <c r="B23487" s="31"/>
      <c r="G23487" s="272" t="s">
        <v>1099</v>
      </c>
    </row>
    <row r="23488">
      <c r="B23488" s="31"/>
      <c r="G23488" s="272" t="s">
        <v>1099</v>
      </c>
    </row>
    <row r="23489">
      <c r="B23489" s="31"/>
      <c r="G23489" s="272" t="s">
        <v>1099</v>
      </c>
    </row>
    <row r="23490">
      <c r="B23490" s="31"/>
      <c r="G23490" s="272" t="s">
        <v>1099</v>
      </c>
    </row>
    <row r="23491">
      <c r="B23491" s="31"/>
      <c r="G23491" s="272" t="s">
        <v>1099</v>
      </c>
    </row>
    <row r="23492">
      <c r="B23492" s="31"/>
      <c r="G23492" s="272" t="s">
        <v>1099</v>
      </c>
    </row>
    <row r="23493">
      <c r="B23493" s="31"/>
      <c r="G23493" s="272" t="s">
        <v>1099</v>
      </c>
    </row>
    <row r="23494">
      <c r="B23494" s="31"/>
      <c r="G23494" s="272" t="s">
        <v>1099</v>
      </c>
    </row>
    <row r="23495">
      <c r="B23495" s="31"/>
      <c r="G23495" s="272" t="s">
        <v>1099</v>
      </c>
    </row>
    <row r="23496">
      <c r="B23496" s="31"/>
      <c r="G23496" s="272" t="s">
        <v>1099</v>
      </c>
    </row>
    <row r="23497">
      <c r="B23497" s="31"/>
      <c r="G23497" s="272" t="s">
        <v>1099</v>
      </c>
    </row>
    <row r="23498">
      <c r="B23498" s="31"/>
      <c r="G23498" s="272" t="s">
        <v>1099</v>
      </c>
    </row>
    <row r="23499">
      <c r="B23499" s="31"/>
      <c r="G23499" s="272" t="s">
        <v>1099</v>
      </c>
    </row>
    <row r="23500">
      <c r="B23500" s="31"/>
      <c r="G23500" s="272" t="s">
        <v>1099</v>
      </c>
    </row>
    <row r="23501">
      <c r="B23501" s="31"/>
      <c r="G23501" s="272" t="s">
        <v>1099</v>
      </c>
    </row>
    <row r="23502">
      <c r="B23502" s="31"/>
      <c r="G23502" s="272" t="s">
        <v>1099</v>
      </c>
    </row>
    <row r="23503">
      <c r="B23503" s="31"/>
      <c r="G23503" s="272" t="s">
        <v>1099</v>
      </c>
    </row>
    <row r="23504">
      <c r="B23504" s="31"/>
      <c r="G23504" s="272" t="s">
        <v>1099</v>
      </c>
    </row>
    <row r="23505">
      <c r="B23505" s="31"/>
      <c r="G23505" s="272" t="s">
        <v>1099</v>
      </c>
    </row>
    <row r="23506">
      <c r="B23506" s="31"/>
      <c r="G23506" s="272" t="s">
        <v>1099</v>
      </c>
    </row>
    <row r="23507">
      <c r="B23507" s="31"/>
      <c r="G23507" s="272" t="s">
        <v>1099</v>
      </c>
    </row>
    <row r="23508">
      <c r="B23508" s="31"/>
      <c r="G23508" s="272" t="s">
        <v>1099</v>
      </c>
    </row>
    <row r="23509">
      <c r="B23509" s="31"/>
      <c r="G23509" s="272" t="s">
        <v>1099</v>
      </c>
    </row>
    <row r="23510">
      <c r="B23510" s="31"/>
      <c r="G23510" s="272" t="s">
        <v>1099</v>
      </c>
    </row>
    <row r="23511">
      <c r="B23511" s="31"/>
      <c r="G23511" s="272" t="s">
        <v>1099</v>
      </c>
    </row>
    <row r="23512">
      <c r="B23512" s="31"/>
      <c r="G23512" s="272" t="s">
        <v>1099</v>
      </c>
    </row>
    <row r="23513">
      <c r="B23513" s="31"/>
      <c r="G23513" s="272" t="s">
        <v>1099</v>
      </c>
    </row>
    <row r="23514">
      <c r="B23514" s="31"/>
      <c r="G23514" s="272" t="s">
        <v>1099</v>
      </c>
    </row>
    <row r="23515">
      <c r="B23515" s="31"/>
      <c r="G23515" s="272" t="s">
        <v>1099</v>
      </c>
    </row>
    <row r="23516">
      <c r="B23516" s="31"/>
      <c r="G23516" s="272" t="s">
        <v>1099</v>
      </c>
    </row>
    <row r="23517">
      <c r="B23517" s="31"/>
      <c r="G23517" s="272" t="s">
        <v>1099</v>
      </c>
    </row>
    <row r="23518">
      <c r="B23518" s="31"/>
      <c r="G23518" s="272" t="s">
        <v>1099</v>
      </c>
    </row>
    <row r="23519">
      <c r="B23519" s="31"/>
      <c r="G23519" s="272" t="s">
        <v>1099</v>
      </c>
    </row>
    <row r="23520">
      <c r="B23520" s="31"/>
      <c r="G23520" s="272" t="s">
        <v>1099</v>
      </c>
    </row>
    <row r="23521">
      <c r="B23521" s="31"/>
      <c r="G23521" s="272" t="s">
        <v>1099</v>
      </c>
    </row>
    <row r="23522">
      <c r="B23522" s="31"/>
      <c r="G23522" s="272" t="s">
        <v>1099</v>
      </c>
    </row>
    <row r="23523">
      <c r="B23523" s="31"/>
      <c r="G23523" s="272" t="s">
        <v>1099</v>
      </c>
    </row>
    <row r="23524">
      <c r="B23524" s="31"/>
      <c r="G23524" s="272" t="s">
        <v>1099</v>
      </c>
    </row>
    <row r="23525">
      <c r="B23525" s="31"/>
      <c r="G23525" s="272" t="s">
        <v>1099</v>
      </c>
    </row>
    <row r="23526">
      <c r="B23526" s="31"/>
      <c r="G23526" s="272" t="s">
        <v>1099</v>
      </c>
    </row>
    <row r="23527">
      <c r="B23527" s="31"/>
      <c r="G23527" s="272" t="s">
        <v>1099</v>
      </c>
    </row>
    <row r="23528">
      <c r="B23528" s="31"/>
      <c r="G23528" s="272" t="s">
        <v>1099</v>
      </c>
    </row>
    <row r="23529">
      <c r="B23529" s="31"/>
      <c r="G23529" s="272" t="s">
        <v>1099</v>
      </c>
    </row>
    <row r="23530">
      <c r="B23530" s="31"/>
      <c r="G23530" s="272" t="s">
        <v>1099</v>
      </c>
    </row>
    <row r="23531">
      <c r="B23531" s="31"/>
      <c r="G23531" s="272" t="s">
        <v>1099</v>
      </c>
    </row>
    <row r="23532">
      <c r="B23532" s="31"/>
      <c r="G23532" s="272" t="s">
        <v>1099</v>
      </c>
    </row>
    <row r="23533">
      <c r="B23533" s="31"/>
      <c r="G23533" s="272" t="s">
        <v>1099</v>
      </c>
    </row>
    <row r="23534">
      <c r="B23534" s="31"/>
      <c r="G23534" s="272" t="s">
        <v>1099</v>
      </c>
    </row>
    <row r="23535">
      <c r="B23535" s="31"/>
      <c r="G23535" s="272" t="s">
        <v>1099</v>
      </c>
    </row>
    <row r="23536">
      <c r="B23536" s="31"/>
      <c r="G23536" s="272" t="s">
        <v>1099</v>
      </c>
    </row>
    <row r="23537">
      <c r="B23537" s="31"/>
      <c r="G23537" s="272" t="s">
        <v>1099</v>
      </c>
    </row>
    <row r="23538">
      <c r="B23538" s="31"/>
      <c r="G23538" s="272" t="s">
        <v>1099</v>
      </c>
    </row>
    <row r="23539">
      <c r="B23539" s="31"/>
      <c r="G23539" s="272" t="s">
        <v>1099</v>
      </c>
    </row>
    <row r="23540">
      <c r="B23540" s="31"/>
      <c r="G23540" s="272" t="s">
        <v>1099</v>
      </c>
    </row>
    <row r="23541">
      <c r="B23541" s="31"/>
      <c r="G23541" s="272" t="s">
        <v>1099</v>
      </c>
    </row>
    <row r="23542">
      <c r="B23542" s="31"/>
      <c r="G23542" s="272" t="s">
        <v>1099</v>
      </c>
    </row>
    <row r="23543">
      <c r="B23543" s="31"/>
      <c r="G23543" s="272" t="s">
        <v>1099</v>
      </c>
    </row>
    <row r="23544">
      <c r="B23544" s="31"/>
      <c r="G23544" s="272" t="s">
        <v>1099</v>
      </c>
    </row>
    <row r="23545">
      <c r="B23545" s="31"/>
      <c r="G23545" s="272" t="s">
        <v>1099</v>
      </c>
    </row>
    <row r="23546">
      <c r="B23546" s="31"/>
      <c r="G23546" s="272" t="s">
        <v>1099</v>
      </c>
    </row>
    <row r="23547">
      <c r="B23547" s="31"/>
      <c r="G23547" s="272" t="s">
        <v>1099</v>
      </c>
    </row>
    <row r="23548">
      <c r="B23548" s="31"/>
      <c r="G23548" s="272" t="s">
        <v>1099</v>
      </c>
    </row>
    <row r="23549">
      <c r="B23549" s="31"/>
      <c r="G23549" s="272" t="s">
        <v>1099</v>
      </c>
    </row>
    <row r="23550">
      <c r="B23550" s="31"/>
      <c r="G23550" s="272" t="s">
        <v>1099</v>
      </c>
    </row>
    <row r="23551">
      <c r="B23551" s="31"/>
      <c r="G23551" s="272" t="s">
        <v>1099</v>
      </c>
    </row>
    <row r="23552">
      <c r="B23552" s="31"/>
      <c r="G23552" s="272" t="s">
        <v>1099</v>
      </c>
    </row>
    <row r="23553">
      <c r="B23553" s="31"/>
      <c r="G23553" s="272" t="s">
        <v>1099</v>
      </c>
    </row>
    <row r="23554">
      <c r="B23554" s="31"/>
      <c r="G23554" s="272" t="s">
        <v>1099</v>
      </c>
    </row>
    <row r="23555">
      <c r="B23555" s="31"/>
      <c r="G23555" s="272" t="s">
        <v>1099</v>
      </c>
    </row>
    <row r="23556">
      <c r="B23556" s="31"/>
      <c r="G23556" s="272" t="s">
        <v>1099</v>
      </c>
    </row>
    <row r="23557">
      <c r="B23557" s="31"/>
      <c r="G23557" s="272" t="s">
        <v>1099</v>
      </c>
    </row>
    <row r="23558">
      <c r="B23558" s="31"/>
      <c r="G23558" s="272" t="s">
        <v>1099</v>
      </c>
    </row>
    <row r="23559">
      <c r="B23559" s="31"/>
      <c r="G23559" s="272" t="s">
        <v>1099</v>
      </c>
    </row>
    <row r="23560">
      <c r="B23560" s="31"/>
      <c r="G23560" s="272" t="s">
        <v>1099</v>
      </c>
    </row>
    <row r="23561">
      <c r="B23561" s="31"/>
      <c r="G23561" s="272" t="s">
        <v>1099</v>
      </c>
    </row>
    <row r="23562">
      <c r="B23562" s="31"/>
      <c r="G23562" s="272" t="s">
        <v>1099</v>
      </c>
    </row>
    <row r="23563">
      <c r="B23563" s="31"/>
      <c r="G23563" s="272" t="s">
        <v>1099</v>
      </c>
    </row>
    <row r="23564">
      <c r="B23564" s="31"/>
      <c r="G23564" s="272" t="s">
        <v>1099</v>
      </c>
    </row>
    <row r="23565">
      <c r="B23565" s="31"/>
      <c r="G23565" s="272" t="s">
        <v>1099</v>
      </c>
    </row>
    <row r="23566">
      <c r="B23566" s="31"/>
      <c r="G23566" s="272" t="s">
        <v>1099</v>
      </c>
    </row>
    <row r="23567">
      <c r="B23567" s="31"/>
      <c r="G23567" s="272" t="s">
        <v>1099</v>
      </c>
    </row>
    <row r="23568">
      <c r="B23568" s="31"/>
      <c r="G23568" s="272" t="s">
        <v>1099</v>
      </c>
    </row>
    <row r="23569">
      <c r="B23569" s="31"/>
      <c r="G23569" s="272" t="s">
        <v>1099</v>
      </c>
    </row>
    <row r="23570">
      <c r="B23570" s="31"/>
      <c r="G23570" s="272" t="s">
        <v>1099</v>
      </c>
    </row>
    <row r="23571">
      <c r="B23571" s="31"/>
      <c r="G23571" s="272" t="s">
        <v>1099</v>
      </c>
    </row>
    <row r="23572">
      <c r="B23572" s="31"/>
      <c r="G23572" s="272" t="s">
        <v>1099</v>
      </c>
    </row>
    <row r="23573">
      <c r="B23573" s="31"/>
      <c r="G23573" s="272" t="s">
        <v>1099</v>
      </c>
    </row>
    <row r="23574">
      <c r="B23574" s="31"/>
      <c r="G23574" s="272" t="s">
        <v>1099</v>
      </c>
    </row>
    <row r="23575">
      <c r="B23575" s="31"/>
      <c r="G23575" s="272" t="s">
        <v>1099</v>
      </c>
    </row>
    <row r="23576">
      <c r="B23576" s="31"/>
      <c r="G23576" s="272" t="s">
        <v>1099</v>
      </c>
    </row>
    <row r="23577">
      <c r="B23577" s="31"/>
      <c r="G23577" s="272" t="s">
        <v>1099</v>
      </c>
    </row>
    <row r="23578">
      <c r="B23578" s="31"/>
      <c r="G23578" s="272" t="s">
        <v>1099</v>
      </c>
    </row>
    <row r="23579">
      <c r="B23579" s="31"/>
      <c r="G23579" s="272" t="s">
        <v>1099</v>
      </c>
    </row>
    <row r="23580">
      <c r="B23580" s="31"/>
      <c r="G23580" s="272" t="s">
        <v>1099</v>
      </c>
    </row>
    <row r="23581">
      <c r="B23581" s="31"/>
      <c r="G23581" s="272" t="s">
        <v>1099</v>
      </c>
    </row>
    <row r="23582">
      <c r="B23582" s="31"/>
      <c r="G23582" s="272" t="s">
        <v>1099</v>
      </c>
    </row>
    <row r="23583">
      <c r="B23583" s="31"/>
      <c r="G23583" s="272" t="s">
        <v>1099</v>
      </c>
    </row>
    <row r="23584">
      <c r="B23584" s="31"/>
      <c r="G23584" s="272" t="s">
        <v>1099</v>
      </c>
    </row>
    <row r="23585">
      <c r="B23585" s="31"/>
      <c r="G23585" s="272" t="s">
        <v>1099</v>
      </c>
    </row>
    <row r="23586">
      <c r="B23586" s="31"/>
      <c r="G23586" s="272" t="s">
        <v>1099</v>
      </c>
    </row>
    <row r="23587">
      <c r="B23587" s="31"/>
      <c r="G23587" s="272" t="s">
        <v>1099</v>
      </c>
    </row>
    <row r="23588">
      <c r="B23588" s="31"/>
      <c r="G23588" s="272" t="s">
        <v>1099</v>
      </c>
    </row>
    <row r="23589">
      <c r="B23589" s="31"/>
      <c r="G23589" s="272" t="s">
        <v>1099</v>
      </c>
    </row>
    <row r="23590">
      <c r="B23590" s="31"/>
      <c r="G23590" s="272" t="s">
        <v>1099</v>
      </c>
    </row>
    <row r="23591">
      <c r="B23591" s="31"/>
      <c r="G23591" s="272" t="s">
        <v>1099</v>
      </c>
    </row>
    <row r="23592">
      <c r="B23592" s="31"/>
      <c r="G23592" s="272" t="s">
        <v>1099</v>
      </c>
    </row>
    <row r="23593">
      <c r="B23593" s="31"/>
      <c r="G23593" s="272" t="s">
        <v>1099</v>
      </c>
    </row>
    <row r="23594">
      <c r="B23594" s="31"/>
      <c r="G23594" s="272" t="s">
        <v>1099</v>
      </c>
    </row>
    <row r="23595">
      <c r="B23595" s="31"/>
      <c r="G23595" s="272" t="s">
        <v>1099</v>
      </c>
    </row>
    <row r="23596">
      <c r="B23596" s="31"/>
      <c r="G23596" s="272" t="s">
        <v>1099</v>
      </c>
    </row>
    <row r="23597">
      <c r="B23597" s="31"/>
      <c r="G23597" s="272" t="s">
        <v>1099</v>
      </c>
    </row>
    <row r="23598">
      <c r="B23598" s="31"/>
      <c r="G23598" s="272" t="s">
        <v>1099</v>
      </c>
    </row>
    <row r="23599">
      <c r="B23599" s="31"/>
      <c r="G23599" s="272" t="s">
        <v>1099</v>
      </c>
    </row>
    <row r="23600">
      <c r="B23600" s="31"/>
      <c r="G23600" s="272" t="s">
        <v>1099</v>
      </c>
    </row>
    <row r="23601">
      <c r="B23601" s="31"/>
      <c r="G23601" s="272" t="s">
        <v>1099</v>
      </c>
    </row>
    <row r="23602">
      <c r="B23602" s="31"/>
      <c r="G23602" s="272" t="s">
        <v>1099</v>
      </c>
    </row>
    <row r="23603">
      <c r="B23603" s="31"/>
      <c r="G23603" s="272" t="s">
        <v>1099</v>
      </c>
    </row>
    <row r="23604">
      <c r="B23604" s="31"/>
      <c r="G23604" s="272" t="s">
        <v>1099</v>
      </c>
    </row>
    <row r="23605">
      <c r="B23605" s="31"/>
      <c r="G23605" s="272" t="s">
        <v>1099</v>
      </c>
    </row>
    <row r="23606">
      <c r="B23606" s="31"/>
      <c r="G23606" s="272" t="s">
        <v>1099</v>
      </c>
    </row>
    <row r="23607">
      <c r="B23607" s="31"/>
      <c r="G23607" s="272" t="s">
        <v>1099</v>
      </c>
    </row>
    <row r="23608">
      <c r="B23608" s="31"/>
      <c r="G23608" s="272" t="s">
        <v>1099</v>
      </c>
    </row>
    <row r="23609">
      <c r="B23609" s="31"/>
      <c r="G23609" s="272" t="s">
        <v>1099</v>
      </c>
    </row>
    <row r="23610">
      <c r="B23610" s="31"/>
      <c r="G23610" s="272" t="s">
        <v>1099</v>
      </c>
    </row>
    <row r="23611">
      <c r="B23611" s="31"/>
      <c r="G23611" s="272" t="s">
        <v>1099</v>
      </c>
    </row>
    <row r="23612">
      <c r="B23612" s="31"/>
      <c r="G23612" s="272" t="s">
        <v>1099</v>
      </c>
    </row>
    <row r="23613">
      <c r="B23613" s="31"/>
      <c r="G23613" s="272" t="s">
        <v>1099</v>
      </c>
    </row>
    <row r="23614">
      <c r="B23614" s="31"/>
      <c r="G23614" s="272" t="s">
        <v>1099</v>
      </c>
    </row>
    <row r="23615">
      <c r="B23615" s="31"/>
      <c r="G23615" s="272" t="s">
        <v>1099</v>
      </c>
    </row>
    <row r="23616">
      <c r="B23616" s="31"/>
      <c r="G23616" s="272" t="s">
        <v>1099</v>
      </c>
    </row>
    <row r="23617">
      <c r="B23617" s="31"/>
      <c r="G23617" s="272" t="s">
        <v>1099</v>
      </c>
    </row>
    <row r="23618">
      <c r="B23618" s="31"/>
      <c r="G23618" s="272" t="s">
        <v>1099</v>
      </c>
    </row>
    <row r="23619">
      <c r="B23619" s="31"/>
      <c r="G23619" s="272" t="s">
        <v>1099</v>
      </c>
    </row>
    <row r="23620">
      <c r="B23620" s="31"/>
      <c r="G23620" s="272" t="s">
        <v>1099</v>
      </c>
    </row>
    <row r="23621">
      <c r="B23621" s="31"/>
      <c r="G23621" s="272" t="s">
        <v>1099</v>
      </c>
    </row>
    <row r="23622">
      <c r="B23622" s="31"/>
      <c r="G23622" s="272" t="s">
        <v>1099</v>
      </c>
    </row>
    <row r="23623">
      <c r="B23623" s="31"/>
      <c r="G23623" s="272" t="s">
        <v>1099</v>
      </c>
    </row>
    <row r="23624">
      <c r="B23624" s="31"/>
      <c r="G23624" s="272" t="s">
        <v>1099</v>
      </c>
    </row>
    <row r="23625">
      <c r="B23625" s="31"/>
      <c r="G23625" s="272" t="s">
        <v>1099</v>
      </c>
    </row>
    <row r="23626">
      <c r="B23626" s="31"/>
      <c r="G23626" s="272" t="s">
        <v>1099</v>
      </c>
    </row>
    <row r="23627">
      <c r="B23627" s="31"/>
      <c r="G23627" s="272" t="s">
        <v>1099</v>
      </c>
    </row>
    <row r="23628">
      <c r="B23628" s="31"/>
      <c r="G23628" s="272" t="s">
        <v>1099</v>
      </c>
    </row>
    <row r="23629">
      <c r="B23629" s="31"/>
      <c r="G23629" s="272" t="s">
        <v>1099</v>
      </c>
    </row>
    <row r="23630">
      <c r="B23630" s="31"/>
      <c r="G23630" s="272" t="s">
        <v>1099</v>
      </c>
    </row>
    <row r="23631">
      <c r="B23631" s="31"/>
      <c r="G23631" s="272" t="s">
        <v>1099</v>
      </c>
    </row>
    <row r="23632">
      <c r="B23632" s="31"/>
      <c r="G23632" s="272" t="s">
        <v>1099</v>
      </c>
    </row>
    <row r="23633">
      <c r="B23633" s="31"/>
      <c r="G23633" s="272" t="s">
        <v>1099</v>
      </c>
    </row>
    <row r="23634">
      <c r="B23634" s="31"/>
      <c r="G23634" s="272" t="s">
        <v>1099</v>
      </c>
    </row>
    <row r="23635">
      <c r="B23635" s="31"/>
      <c r="G23635" s="272" t="s">
        <v>1099</v>
      </c>
    </row>
    <row r="23636">
      <c r="B23636" s="31"/>
      <c r="G23636" s="272" t="s">
        <v>1099</v>
      </c>
    </row>
    <row r="23637">
      <c r="B23637" s="31"/>
      <c r="G23637" s="272" t="s">
        <v>1099</v>
      </c>
    </row>
    <row r="23638">
      <c r="B23638" s="31"/>
      <c r="G23638" s="272" t="s">
        <v>1099</v>
      </c>
    </row>
    <row r="23639">
      <c r="B23639" s="31"/>
      <c r="G23639" s="272" t="s">
        <v>1099</v>
      </c>
    </row>
    <row r="23640">
      <c r="B23640" s="31"/>
      <c r="G23640" s="272" t="s">
        <v>1099</v>
      </c>
    </row>
    <row r="23641">
      <c r="B23641" s="31"/>
      <c r="G23641" s="272" t="s">
        <v>1099</v>
      </c>
    </row>
    <row r="23642">
      <c r="B23642" s="31"/>
      <c r="G23642" s="272" t="s">
        <v>1099</v>
      </c>
    </row>
    <row r="23643">
      <c r="B23643" s="31"/>
      <c r="G23643" s="272" t="s">
        <v>1099</v>
      </c>
    </row>
    <row r="23644">
      <c r="B23644" s="31"/>
      <c r="G23644" s="272" t="s">
        <v>1099</v>
      </c>
    </row>
    <row r="23645">
      <c r="B23645" s="31"/>
      <c r="G23645" s="272" t="s">
        <v>1099</v>
      </c>
    </row>
    <row r="23646">
      <c r="B23646" s="31"/>
      <c r="G23646" s="272" t="s">
        <v>1099</v>
      </c>
    </row>
    <row r="23647">
      <c r="B23647" s="31"/>
      <c r="G23647" s="272" t="s">
        <v>1099</v>
      </c>
    </row>
    <row r="23648">
      <c r="B23648" s="31"/>
      <c r="G23648" s="272" t="s">
        <v>1099</v>
      </c>
    </row>
    <row r="23649">
      <c r="B23649" s="31"/>
      <c r="G23649" s="272" t="s">
        <v>1099</v>
      </c>
    </row>
    <row r="23650">
      <c r="B23650" s="31"/>
      <c r="G23650" s="272" t="s">
        <v>1099</v>
      </c>
    </row>
    <row r="23651">
      <c r="B23651" s="31"/>
      <c r="G23651" s="272" t="s">
        <v>1099</v>
      </c>
    </row>
    <row r="23652">
      <c r="B23652" s="31"/>
      <c r="G23652" s="272" t="s">
        <v>1099</v>
      </c>
    </row>
    <row r="23653">
      <c r="B23653" s="31"/>
      <c r="G23653" s="272" t="s">
        <v>1099</v>
      </c>
    </row>
    <row r="23654">
      <c r="B23654" s="31"/>
      <c r="G23654" s="272" t="s">
        <v>1099</v>
      </c>
    </row>
    <row r="23655">
      <c r="B23655" s="31"/>
      <c r="G23655" s="272" t="s">
        <v>1099</v>
      </c>
    </row>
    <row r="23656">
      <c r="B23656" s="31"/>
      <c r="G23656" s="272" t="s">
        <v>1099</v>
      </c>
    </row>
    <row r="23657">
      <c r="B23657" s="31"/>
      <c r="G23657" s="272" t="s">
        <v>1099</v>
      </c>
    </row>
    <row r="23658">
      <c r="B23658" s="31"/>
      <c r="G23658" s="272" t="s">
        <v>1099</v>
      </c>
    </row>
    <row r="23659">
      <c r="B23659" s="31"/>
      <c r="G23659" s="272" t="s">
        <v>1099</v>
      </c>
    </row>
    <row r="23660">
      <c r="B23660" s="31"/>
      <c r="G23660" s="272" t="s">
        <v>1099</v>
      </c>
    </row>
    <row r="23661">
      <c r="B23661" s="31"/>
      <c r="G23661" s="272" t="s">
        <v>1099</v>
      </c>
    </row>
    <row r="23662">
      <c r="B23662" s="31"/>
      <c r="G23662" s="272" t="s">
        <v>1099</v>
      </c>
    </row>
    <row r="23663">
      <c r="B23663" s="31"/>
      <c r="G23663" s="272" t="s">
        <v>1099</v>
      </c>
    </row>
    <row r="23664">
      <c r="B23664" s="31"/>
      <c r="G23664" s="272" t="s">
        <v>1099</v>
      </c>
    </row>
    <row r="23665">
      <c r="B23665" s="31"/>
      <c r="G23665" s="272" t="s">
        <v>1099</v>
      </c>
    </row>
    <row r="23666">
      <c r="B23666" s="31"/>
      <c r="G23666" s="272" t="s">
        <v>1099</v>
      </c>
    </row>
    <row r="23667">
      <c r="B23667" s="31"/>
      <c r="G23667" s="272" t="s">
        <v>1099</v>
      </c>
    </row>
    <row r="23668">
      <c r="B23668" s="31"/>
      <c r="G23668" s="272" t="s">
        <v>1099</v>
      </c>
    </row>
    <row r="23669">
      <c r="B23669" s="31"/>
      <c r="G23669" s="272" t="s">
        <v>1099</v>
      </c>
    </row>
    <row r="23670">
      <c r="B23670" s="31"/>
      <c r="G23670" s="272" t="s">
        <v>1099</v>
      </c>
    </row>
    <row r="23671">
      <c r="B23671" s="31"/>
      <c r="G23671" s="272" t="s">
        <v>1099</v>
      </c>
    </row>
    <row r="23672">
      <c r="B23672" s="31"/>
      <c r="G23672" s="272" t="s">
        <v>1099</v>
      </c>
    </row>
    <row r="23673">
      <c r="B23673" s="31"/>
      <c r="G23673" s="272" t="s">
        <v>1099</v>
      </c>
    </row>
    <row r="23674">
      <c r="B23674" s="31"/>
      <c r="G23674" s="272" t="s">
        <v>1099</v>
      </c>
    </row>
    <row r="23675">
      <c r="B23675" s="31"/>
      <c r="G23675" s="272" t="s">
        <v>1099</v>
      </c>
    </row>
    <row r="23676">
      <c r="B23676" s="31"/>
      <c r="G23676" s="272" t="s">
        <v>1099</v>
      </c>
    </row>
    <row r="23677">
      <c r="B23677" s="31"/>
      <c r="G23677" s="272" t="s">
        <v>1099</v>
      </c>
    </row>
    <row r="23678">
      <c r="B23678" s="31"/>
      <c r="G23678" s="272" t="s">
        <v>1099</v>
      </c>
    </row>
    <row r="23679">
      <c r="B23679" s="31"/>
      <c r="G23679" s="272" t="s">
        <v>1099</v>
      </c>
    </row>
    <row r="23680">
      <c r="B23680" s="31"/>
      <c r="G23680" s="272" t="s">
        <v>1099</v>
      </c>
    </row>
    <row r="23681">
      <c r="B23681" s="31"/>
      <c r="G23681" s="272" t="s">
        <v>1099</v>
      </c>
    </row>
    <row r="23682">
      <c r="B23682" s="31"/>
      <c r="G23682" s="272" t="s">
        <v>1099</v>
      </c>
    </row>
    <row r="23683">
      <c r="B23683" s="31"/>
      <c r="G23683" s="272" t="s">
        <v>1099</v>
      </c>
    </row>
    <row r="23684">
      <c r="B23684" s="31"/>
      <c r="G23684" s="272" t="s">
        <v>1099</v>
      </c>
    </row>
    <row r="23685">
      <c r="B23685" s="31"/>
      <c r="G23685" s="272" t="s">
        <v>1099</v>
      </c>
    </row>
    <row r="23686">
      <c r="B23686" s="31"/>
      <c r="G23686" s="272" t="s">
        <v>1099</v>
      </c>
    </row>
    <row r="23687">
      <c r="B23687" s="31"/>
      <c r="G23687" s="272" t="s">
        <v>1099</v>
      </c>
    </row>
    <row r="23688">
      <c r="B23688" s="31"/>
      <c r="G23688" s="272" t="s">
        <v>1099</v>
      </c>
    </row>
    <row r="23689">
      <c r="B23689" s="31"/>
      <c r="G23689" s="272" t="s">
        <v>1099</v>
      </c>
    </row>
    <row r="23690">
      <c r="B23690" s="31"/>
      <c r="G23690" s="272" t="s">
        <v>1099</v>
      </c>
    </row>
    <row r="23691">
      <c r="B23691" s="31"/>
      <c r="G23691" s="272" t="s">
        <v>1099</v>
      </c>
    </row>
    <row r="23692">
      <c r="B23692" s="31"/>
      <c r="G23692" s="272" t="s">
        <v>1099</v>
      </c>
    </row>
    <row r="23693">
      <c r="B23693" s="31"/>
      <c r="G23693" s="272" t="s">
        <v>1099</v>
      </c>
    </row>
    <row r="23694">
      <c r="B23694" s="31"/>
      <c r="G23694" s="272" t="s">
        <v>1099</v>
      </c>
    </row>
    <row r="23695">
      <c r="B23695" s="31"/>
      <c r="G23695" s="272" t="s">
        <v>1099</v>
      </c>
    </row>
    <row r="23696">
      <c r="B23696" s="31"/>
      <c r="G23696" s="272" t="s">
        <v>1099</v>
      </c>
    </row>
    <row r="23697">
      <c r="B23697" s="31"/>
      <c r="G23697" s="272" t="s">
        <v>1099</v>
      </c>
    </row>
    <row r="23698">
      <c r="B23698" s="31"/>
      <c r="G23698" s="272" t="s">
        <v>1099</v>
      </c>
    </row>
    <row r="23699">
      <c r="B23699" s="31"/>
      <c r="G23699" s="272" t="s">
        <v>1099</v>
      </c>
    </row>
    <row r="23700">
      <c r="B23700" s="31"/>
      <c r="G23700" s="272" t="s">
        <v>1099</v>
      </c>
    </row>
    <row r="23701">
      <c r="B23701" s="31"/>
      <c r="G23701" s="272" t="s">
        <v>1099</v>
      </c>
    </row>
    <row r="23702">
      <c r="B23702" s="31"/>
      <c r="G23702" s="272" t="s">
        <v>1099</v>
      </c>
    </row>
    <row r="23703">
      <c r="B23703" s="31"/>
      <c r="G23703" s="272" t="s">
        <v>1099</v>
      </c>
    </row>
    <row r="23704">
      <c r="B23704" s="31"/>
      <c r="G23704" s="272" t="s">
        <v>1099</v>
      </c>
    </row>
    <row r="23705">
      <c r="B23705" s="31"/>
      <c r="G23705" s="272" t="s">
        <v>1099</v>
      </c>
    </row>
    <row r="23706">
      <c r="B23706" s="31"/>
      <c r="G23706" s="272" t="s">
        <v>1099</v>
      </c>
    </row>
    <row r="23707">
      <c r="B23707" s="31"/>
      <c r="G23707" s="272" t="s">
        <v>1099</v>
      </c>
    </row>
    <row r="23708">
      <c r="B23708" s="31"/>
      <c r="G23708" s="272" t="s">
        <v>1099</v>
      </c>
    </row>
    <row r="23709">
      <c r="B23709" s="31"/>
      <c r="G23709" s="272" t="s">
        <v>1099</v>
      </c>
    </row>
    <row r="23710">
      <c r="B23710" s="31"/>
      <c r="G23710" s="272" t="s">
        <v>1099</v>
      </c>
    </row>
    <row r="23711">
      <c r="B23711" s="31"/>
      <c r="G23711" s="272" t="s">
        <v>1099</v>
      </c>
    </row>
    <row r="23712">
      <c r="B23712" s="31"/>
      <c r="G23712" s="272" t="s">
        <v>1099</v>
      </c>
    </row>
    <row r="23713">
      <c r="B23713" s="31"/>
      <c r="G23713" s="272" t="s">
        <v>1099</v>
      </c>
    </row>
    <row r="23714">
      <c r="B23714" s="31"/>
      <c r="G23714" s="272" t="s">
        <v>1099</v>
      </c>
    </row>
    <row r="23715">
      <c r="B23715" s="31"/>
      <c r="G23715" s="272" t="s">
        <v>1099</v>
      </c>
    </row>
    <row r="23716">
      <c r="B23716" s="31"/>
      <c r="G23716" s="272" t="s">
        <v>1099</v>
      </c>
    </row>
    <row r="23717">
      <c r="B23717" s="31"/>
      <c r="G23717" s="272" t="s">
        <v>1099</v>
      </c>
    </row>
    <row r="23718">
      <c r="B23718" s="31"/>
      <c r="G23718" s="272" t="s">
        <v>1099</v>
      </c>
    </row>
    <row r="23719">
      <c r="B23719" s="31"/>
      <c r="G23719" s="272" t="s">
        <v>1099</v>
      </c>
    </row>
    <row r="23720">
      <c r="B23720" s="31"/>
      <c r="G23720" s="272" t="s">
        <v>1099</v>
      </c>
    </row>
    <row r="23721">
      <c r="B23721" s="31"/>
      <c r="G23721" s="272" t="s">
        <v>1099</v>
      </c>
    </row>
    <row r="23722">
      <c r="B23722" s="31"/>
      <c r="G23722" s="272" t="s">
        <v>1099</v>
      </c>
    </row>
    <row r="23723">
      <c r="B23723" s="31"/>
      <c r="G23723" s="272" t="s">
        <v>1099</v>
      </c>
    </row>
    <row r="23724">
      <c r="B23724" s="31"/>
      <c r="G23724" s="272" t="s">
        <v>1099</v>
      </c>
    </row>
    <row r="23725">
      <c r="B23725" s="31"/>
      <c r="G23725" s="272" t="s">
        <v>1099</v>
      </c>
    </row>
    <row r="23726">
      <c r="B23726" s="31"/>
      <c r="G23726" s="272" t="s">
        <v>1099</v>
      </c>
    </row>
    <row r="23727">
      <c r="B23727" s="31"/>
      <c r="G23727" s="272" t="s">
        <v>1099</v>
      </c>
    </row>
    <row r="23728">
      <c r="B23728" s="31"/>
      <c r="G23728" s="272" t="s">
        <v>1099</v>
      </c>
    </row>
    <row r="23729">
      <c r="B23729" s="31"/>
      <c r="G23729" s="272" t="s">
        <v>1099</v>
      </c>
    </row>
    <row r="23730">
      <c r="B23730" s="31"/>
      <c r="G23730" s="272" t="s">
        <v>1099</v>
      </c>
    </row>
    <row r="23731">
      <c r="B23731" s="31"/>
      <c r="G23731" s="272" t="s">
        <v>1099</v>
      </c>
    </row>
    <row r="23732">
      <c r="B23732" s="31"/>
      <c r="G23732" s="272" t="s">
        <v>1099</v>
      </c>
    </row>
    <row r="23733">
      <c r="B23733" s="31"/>
      <c r="G23733" s="272" t="s">
        <v>1099</v>
      </c>
    </row>
    <row r="23734">
      <c r="B23734" s="31"/>
      <c r="G23734" s="272" t="s">
        <v>1099</v>
      </c>
    </row>
    <row r="23735">
      <c r="B23735" s="31"/>
      <c r="G23735" s="272" t="s">
        <v>1099</v>
      </c>
    </row>
    <row r="23736">
      <c r="B23736" s="31"/>
      <c r="G23736" s="272" t="s">
        <v>1099</v>
      </c>
    </row>
    <row r="23737">
      <c r="B23737" s="31"/>
      <c r="G23737" s="272" t="s">
        <v>1099</v>
      </c>
    </row>
    <row r="23738">
      <c r="B23738" s="31"/>
      <c r="G23738" s="272" t="s">
        <v>1099</v>
      </c>
    </row>
    <row r="23739">
      <c r="B23739" s="31"/>
      <c r="G23739" s="272" t="s">
        <v>1099</v>
      </c>
    </row>
    <row r="23740">
      <c r="B23740" s="31"/>
      <c r="G23740" s="272" t="s">
        <v>1099</v>
      </c>
    </row>
    <row r="23741">
      <c r="B23741" s="31"/>
      <c r="G23741" s="272" t="s">
        <v>1099</v>
      </c>
    </row>
    <row r="23742">
      <c r="B23742" s="31"/>
      <c r="G23742" s="272" t="s">
        <v>1099</v>
      </c>
    </row>
    <row r="23743">
      <c r="B23743" s="31"/>
      <c r="G23743" s="272" t="s">
        <v>1099</v>
      </c>
    </row>
    <row r="23744">
      <c r="B23744" s="31"/>
      <c r="G23744" s="272" t="s">
        <v>1099</v>
      </c>
    </row>
    <row r="23745">
      <c r="B23745" s="31"/>
      <c r="G23745" s="272" t="s">
        <v>1099</v>
      </c>
    </row>
    <row r="23746">
      <c r="B23746" s="31"/>
      <c r="G23746" s="272" t="s">
        <v>1099</v>
      </c>
    </row>
    <row r="23747">
      <c r="B23747" s="31"/>
      <c r="G23747" s="272" t="s">
        <v>1099</v>
      </c>
    </row>
    <row r="23748">
      <c r="B23748" s="31"/>
      <c r="G23748" s="272" t="s">
        <v>1099</v>
      </c>
    </row>
    <row r="23749">
      <c r="B23749" s="31"/>
      <c r="G23749" s="272" t="s">
        <v>1099</v>
      </c>
    </row>
    <row r="23750">
      <c r="B23750" s="31"/>
      <c r="G23750" s="272" t="s">
        <v>1099</v>
      </c>
    </row>
    <row r="23751">
      <c r="B23751" s="31"/>
      <c r="G23751" s="272" t="s">
        <v>1099</v>
      </c>
    </row>
    <row r="23752">
      <c r="B23752" s="31"/>
      <c r="G23752" s="272" t="s">
        <v>1099</v>
      </c>
    </row>
    <row r="23753">
      <c r="B23753" s="31"/>
      <c r="G23753" s="272" t="s">
        <v>1099</v>
      </c>
    </row>
    <row r="23754">
      <c r="B23754" s="31"/>
      <c r="G23754" s="272" t="s">
        <v>1099</v>
      </c>
    </row>
    <row r="23755">
      <c r="B23755" s="31"/>
      <c r="G23755" s="272" t="s">
        <v>1099</v>
      </c>
    </row>
    <row r="23756">
      <c r="B23756" s="31"/>
      <c r="G23756" s="272" t="s">
        <v>1099</v>
      </c>
    </row>
    <row r="23757">
      <c r="B23757" s="31"/>
      <c r="G23757" s="272" t="s">
        <v>1099</v>
      </c>
    </row>
    <row r="23758">
      <c r="B23758" s="31"/>
      <c r="G23758" s="272" t="s">
        <v>1099</v>
      </c>
    </row>
    <row r="23759">
      <c r="B23759" s="31"/>
      <c r="G23759" s="272" t="s">
        <v>1099</v>
      </c>
    </row>
    <row r="23760">
      <c r="B23760" s="31"/>
      <c r="G23760" s="272" t="s">
        <v>1099</v>
      </c>
    </row>
    <row r="23761">
      <c r="B23761" s="31"/>
      <c r="G23761" s="272" t="s">
        <v>1099</v>
      </c>
    </row>
    <row r="23762">
      <c r="B23762" s="31"/>
      <c r="G23762" s="272" t="s">
        <v>1099</v>
      </c>
    </row>
    <row r="23763">
      <c r="B23763" s="31"/>
      <c r="G23763" s="272" t="s">
        <v>1099</v>
      </c>
    </row>
    <row r="23764">
      <c r="B23764" s="31"/>
      <c r="G23764" s="272" t="s">
        <v>1099</v>
      </c>
    </row>
    <row r="23765">
      <c r="B23765" s="31"/>
      <c r="G23765" s="272" t="s">
        <v>1099</v>
      </c>
    </row>
    <row r="23766">
      <c r="B23766" s="31"/>
      <c r="G23766" s="272" t="s">
        <v>1099</v>
      </c>
    </row>
    <row r="23767">
      <c r="B23767" s="31"/>
      <c r="G23767" s="272" t="s">
        <v>1099</v>
      </c>
    </row>
    <row r="23768">
      <c r="B23768" s="31"/>
      <c r="G23768" s="272" t="s">
        <v>1099</v>
      </c>
    </row>
    <row r="23769">
      <c r="B23769" s="31"/>
      <c r="G23769" s="272" t="s">
        <v>1099</v>
      </c>
    </row>
    <row r="23770">
      <c r="B23770" s="31"/>
      <c r="G23770" s="272" t="s">
        <v>1099</v>
      </c>
    </row>
    <row r="23771">
      <c r="B23771" s="31"/>
      <c r="G23771" s="272" t="s">
        <v>1099</v>
      </c>
    </row>
    <row r="23772">
      <c r="B23772" s="31"/>
      <c r="G23772" s="272" t="s">
        <v>1099</v>
      </c>
    </row>
    <row r="23773">
      <c r="B23773" s="31"/>
      <c r="G23773" s="272" t="s">
        <v>1099</v>
      </c>
    </row>
    <row r="23774">
      <c r="B23774" s="31"/>
      <c r="G23774" s="272" t="s">
        <v>1099</v>
      </c>
    </row>
    <row r="23775">
      <c r="B23775" s="31"/>
      <c r="G23775" s="272" t="s">
        <v>1099</v>
      </c>
    </row>
    <row r="23776">
      <c r="B23776" s="31"/>
      <c r="G23776" s="272" t="s">
        <v>1099</v>
      </c>
    </row>
    <row r="23777">
      <c r="B23777" s="31"/>
      <c r="G23777" s="272" t="s">
        <v>1099</v>
      </c>
    </row>
    <row r="23778">
      <c r="B23778" s="31"/>
      <c r="G23778" s="272" t="s">
        <v>1099</v>
      </c>
    </row>
    <row r="23779">
      <c r="B23779" s="31"/>
      <c r="G23779" s="272" t="s">
        <v>1099</v>
      </c>
    </row>
    <row r="23780">
      <c r="B23780" s="31"/>
      <c r="G23780" s="272" t="s">
        <v>1099</v>
      </c>
    </row>
    <row r="23781">
      <c r="B23781" s="31"/>
      <c r="G23781" s="272" t="s">
        <v>1099</v>
      </c>
    </row>
    <row r="23782">
      <c r="B23782" s="31"/>
      <c r="G23782" s="272" t="s">
        <v>1099</v>
      </c>
    </row>
    <row r="23783">
      <c r="B23783" s="31"/>
      <c r="G23783" s="272" t="s">
        <v>1099</v>
      </c>
    </row>
    <row r="23784">
      <c r="B23784" s="31"/>
      <c r="G23784" s="272" t="s">
        <v>1099</v>
      </c>
    </row>
    <row r="23785">
      <c r="B23785" s="31"/>
      <c r="G23785" s="272" t="s">
        <v>1099</v>
      </c>
    </row>
    <row r="23786">
      <c r="B23786" s="31"/>
      <c r="G23786" s="272" t="s">
        <v>1099</v>
      </c>
    </row>
    <row r="23787">
      <c r="B23787" s="31"/>
      <c r="G23787" s="272" t="s">
        <v>1099</v>
      </c>
    </row>
    <row r="23788">
      <c r="B23788" s="31"/>
      <c r="G23788" s="272" t="s">
        <v>1099</v>
      </c>
    </row>
    <row r="23789">
      <c r="B23789" s="31"/>
      <c r="G23789" s="272" t="s">
        <v>1099</v>
      </c>
    </row>
    <row r="23790">
      <c r="B23790" s="31"/>
      <c r="G23790" s="272" t="s">
        <v>1099</v>
      </c>
    </row>
    <row r="23791">
      <c r="B23791" s="31"/>
      <c r="G23791" s="272" t="s">
        <v>1099</v>
      </c>
    </row>
    <row r="23792">
      <c r="B23792" s="31"/>
      <c r="G23792" s="272" t="s">
        <v>1099</v>
      </c>
    </row>
    <row r="23793">
      <c r="B23793" s="31"/>
      <c r="G23793" s="272" t="s">
        <v>1099</v>
      </c>
    </row>
    <row r="23794">
      <c r="B23794" s="31"/>
      <c r="G23794" s="272" t="s">
        <v>1099</v>
      </c>
    </row>
    <row r="23795">
      <c r="B23795" s="31"/>
      <c r="G23795" s="272" t="s">
        <v>1099</v>
      </c>
    </row>
    <row r="23796">
      <c r="B23796" s="31"/>
      <c r="G23796" s="272" t="s">
        <v>1099</v>
      </c>
    </row>
    <row r="23797">
      <c r="B23797" s="31"/>
      <c r="G23797" s="272" t="s">
        <v>1099</v>
      </c>
    </row>
    <row r="23798">
      <c r="B23798" s="31"/>
      <c r="G23798" s="272" t="s">
        <v>1099</v>
      </c>
    </row>
    <row r="23799">
      <c r="B23799" s="31"/>
      <c r="G23799" s="272" t="s">
        <v>1099</v>
      </c>
    </row>
    <row r="23800">
      <c r="B23800" s="31"/>
      <c r="G23800" s="272" t="s">
        <v>1099</v>
      </c>
    </row>
    <row r="23801">
      <c r="B23801" s="31"/>
      <c r="G23801" s="272" t="s">
        <v>1099</v>
      </c>
    </row>
    <row r="23802">
      <c r="B23802" s="31"/>
      <c r="G23802" s="272" t="s">
        <v>1099</v>
      </c>
    </row>
    <row r="23803">
      <c r="B23803" s="31"/>
      <c r="G23803" s="272" t="s">
        <v>1099</v>
      </c>
    </row>
    <row r="23804">
      <c r="B23804" s="31"/>
      <c r="G23804" s="272" t="s">
        <v>1099</v>
      </c>
    </row>
    <row r="23805">
      <c r="B23805" s="31"/>
      <c r="G23805" s="272" t="s">
        <v>1099</v>
      </c>
    </row>
    <row r="23806">
      <c r="B23806" s="31"/>
      <c r="G23806" s="272" t="s">
        <v>1099</v>
      </c>
    </row>
    <row r="23807">
      <c r="B23807" s="31"/>
      <c r="G23807" s="272" t="s">
        <v>1099</v>
      </c>
    </row>
    <row r="23808">
      <c r="B23808" s="31"/>
      <c r="G23808" s="272" t="s">
        <v>1099</v>
      </c>
    </row>
    <row r="23809">
      <c r="B23809" s="31"/>
      <c r="G23809" s="272" t="s">
        <v>1099</v>
      </c>
    </row>
    <row r="23810">
      <c r="B23810" s="31"/>
      <c r="G23810" s="272" t="s">
        <v>1099</v>
      </c>
    </row>
    <row r="23811">
      <c r="B23811" s="31"/>
      <c r="G23811" s="272" t="s">
        <v>1099</v>
      </c>
    </row>
    <row r="23812">
      <c r="B23812" s="31"/>
      <c r="G23812" s="272" t="s">
        <v>1099</v>
      </c>
    </row>
    <row r="23813">
      <c r="B23813" s="31"/>
      <c r="G23813" s="272" t="s">
        <v>1099</v>
      </c>
    </row>
    <row r="23814">
      <c r="B23814" s="31"/>
      <c r="G23814" s="272" t="s">
        <v>1099</v>
      </c>
    </row>
    <row r="23815">
      <c r="B23815" s="31"/>
      <c r="G23815" s="272" t="s">
        <v>1099</v>
      </c>
    </row>
    <row r="23816">
      <c r="B23816" s="31"/>
      <c r="G23816" s="272" t="s">
        <v>1099</v>
      </c>
    </row>
    <row r="23817">
      <c r="B23817" s="31"/>
      <c r="G23817" s="272" t="s">
        <v>1099</v>
      </c>
    </row>
    <row r="23818">
      <c r="B23818" s="31"/>
      <c r="G23818" s="272" t="s">
        <v>1099</v>
      </c>
    </row>
    <row r="23819">
      <c r="B23819" s="31"/>
      <c r="G23819" s="272" t="s">
        <v>1099</v>
      </c>
    </row>
    <row r="23820">
      <c r="B23820" s="31"/>
      <c r="G23820" s="272" t="s">
        <v>1099</v>
      </c>
    </row>
    <row r="23821">
      <c r="B23821" s="31"/>
      <c r="G23821" s="272" t="s">
        <v>1099</v>
      </c>
    </row>
    <row r="23822">
      <c r="B23822" s="31"/>
      <c r="G23822" s="272" t="s">
        <v>1099</v>
      </c>
    </row>
    <row r="23823">
      <c r="B23823" s="31"/>
      <c r="G23823" s="272" t="s">
        <v>1099</v>
      </c>
    </row>
    <row r="23824">
      <c r="B23824" s="31"/>
      <c r="G23824" s="272" t="s">
        <v>1099</v>
      </c>
    </row>
    <row r="23825">
      <c r="B23825" s="31"/>
      <c r="G23825" s="272" t="s">
        <v>1099</v>
      </c>
    </row>
    <row r="23826">
      <c r="B23826" s="31"/>
      <c r="G23826" s="272" t="s">
        <v>1099</v>
      </c>
    </row>
    <row r="23827">
      <c r="B23827" s="31"/>
      <c r="G23827" s="272" t="s">
        <v>1099</v>
      </c>
    </row>
    <row r="23828">
      <c r="B23828" s="31"/>
      <c r="G23828" s="272" t="s">
        <v>1099</v>
      </c>
    </row>
    <row r="23829">
      <c r="B23829" s="31"/>
      <c r="G23829" s="272" t="s">
        <v>1099</v>
      </c>
    </row>
    <row r="23830">
      <c r="B23830" s="31"/>
      <c r="G23830" s="272" t="s">
        <v>1099</v>
      </c>
    </row>
    <row r="23831">
      <c r="B23831" s="31"/>
      <c r="G23831" s="272" t="s">
        <v>1099</v>
      </c>
    </row>
    <row r="23832">
      <c r="B23832" s="31"/>
      <c r="G23832" s="272" t="s">
        <v>1099</v>
      </c>
    </row>
    <row r="23833">
      <c r="B23833" s="31"/>
      <c r="G23833" s="272" t="s">
        <v>1099</v>
      </c>
    </row>
    <row r="23834">
      <c r="B23834" s="31"/>
      <c r="G23834" s="272" t="s">
        <v>1099</v>
      </c>
    </row>
    <row r="23835">
      <c r="B23835" s="31"/>
      <c r="G23835" s="272" t="s">
        <v>1099</v>
      </c>
    </row>
    <row r="23836">
      <c r="B23836" s="31"/>
      <c r="G23836" s="272" t="s">
        <v>1099</v>
      </c>
    </row>
    <row r="23837">
      <c r="B23837" s="31"/>
      <c r="G23837" s="272" t="s">
        <v>1099</v>
      </c>
    </row>
    <row r="23838">
      <c r="B23838" s="31"/>
      <c r="G23838" s="272" t="s">
        <v>1099</v>
      </c>
    </row>
    <row r="23839">
      <c r="B23839" s="31"/>
      <c r="G23839" s="272" t="s">
        <v>1099</v>
      </c>
    </row>
    <row r="23840">
      <c r="B23840" s="31"/>
      <c r="G23840" s="272" t="s">
        <v>1099</v>
      </c>
    </row>
    <row r="23841">
      <c r="B23841" s="31"/>
      <c r="G23841" s="272" t="s">
        <v>1099</v>
      </c>
    </row>
    <row r="23842">
      <c r="B23842" s="31"/>
      <c r="G23842" s="272" t="s">
        <v>1099</v>
      </c>
    </row>
    <row r="23843">
      <c r="B23843" s="31"/>
      <c r="G23843" s="272" t="s">
        <v>1099</v>
      </c>
    </row>
    <row r="23844">
      <c r="B23844" s="31"/>
      <c r="G23844" s="272" t="s">
        <v>1099</v>
      </c>
    </row>
    <row r="23845">
      <c r="B23845" s="31"/>
      <c r="G23845" s="272" t="s">
        <v>1099</v>
      </c>
    </row>
    <row r="23846">
      <c r="B23846" s="31"/>
      <c r="G23846" s="272" t="s">
        <v>1099</v>
      </c>
    </row>
    <row r="23847">
      <c r="B23847" s="31"/>
      <c r="G23847" s="272" t="s">
        <v>1099</v>
      </c>
    </row>
    <row r="23848">
      <c r="B23848" s="31"/>
      <c r="G23848" s="272" t="s">
        <v>1099</v>
      </c>
    </row>
    <row r="23849">
      <c r="B23849" s="31"/>
      <c r="G23849" s="272" t="s">
        <v>1099</v>
      </c>
    </row>
    <row r="23850">
      <c r="B23850" s="31"/>
      <c r="G23850" s="272" t="s">
        <v>1099</v>
      </c>
    </row>
    <row r="23851">
      <c r="B23851" s="31"/>
      <c r="G23851" s="272" t="s">
        <v>1099</v>
      </c>
    </row>
    <row r="23852">
      <c r="B23852" s="31"/>
      <c r="G23852" s="272" t="s">
        <v>1099</v>
      </c>
    </row>
    <row r="23853">
      <c r="B23853" s="31"/>
      <c r="G23853" s="272" t="s">
        <v>1099</v>
      </c>
    </row>
    <row r="23854">
      <c r="B23854" s="31"/>
      <c r="G23854" s="272" t="s">
        <v>1099</v>
      </c>
    </row>
    <row r="23855">
      <c r="B23855" s="31"/>
      <c r="G23855" s="272" t="s">
        <v>1099</v>
      </c>
    </row>
    <row r="23856">
      <c r="B23856" s="31"/>
      <c r="G23856" s="272" t="s">
        <v>1099</v>
      </c>
    </row>
    <row r="23857">
      <c r="B23857" s="31"/>
      <c r="G23857" s="272" t="s">
        <v>1099</v>
      </c>
    </row>
    <row r="23858">
      <c r="B23858" s="31"/>
      <c r="G23858" s="272" t="s">
        <v>1099</v>
      </c>
    </row>
    <row r="23859">
      <c r="B23859" s="31"/>
      <c r="G23859" s="272" t="s">
        <v>1099</v>
      </c>
    </row>
    <row r="23860">
      <c r="B23860" s="31"/>
      <c r="G23860" s="272" t="s">
        <v>1099</v>
      </c>
    </row>
    <row r="23861">
      <c r="B23861" s="31"/>
      <c r="G23861" s="272" t="s">
        <v>1099</v>
      </c>
    </row>
    <row r="23862">
      <c r="B23862" s="31"/>
      <c r="G23862" s="272" t="s">
        <v>1099</v>
      </c>
    </row>
    <row r="23863">
      <c r="B23863" s="31"/>
      <c r="G23863" s="272" t="s">
        <v>1099</v>
      </c>
    </row>
    <row r="23864">
      <c r="B23864" s="31"/>
      <c r="G23864" s="272" t="s">
        <v>1099</v>
      </c>
    </row>
    <row r="23865">
      <c r="B23865" s="31"/>
      <c r="G23865" s="272" t="s">
        <v>1099</v>
      </c>
    </row>
    <row r="23866">
      <c r="B23866" s="31"/>
      <c r="G23866" s="272" t="s">
        <v>1099</v>
      </c>
    </row>
    <row r="23867">
      <c r="B23867" s="31"/>
      <c r="G23867" s="272" t="s">
        <v>1099</v>
      </c>
    </row>
    <row r="23868">
      <c r="B23868" s="31"/>
      <c r="G23868" s="272" t="s">
        <v>1099</v>
      </c>
    </row>
    <row r="23869">
      <c r="B23869" s="31"/>
      <c r="G23869" s="272" t="s">
        <v>1099</v>
      </c>
    </row>
    <row r="23870">
      <c r="B23870" s="31"/>
      <c r="G23870" s="272" t="s">
        <v>1099</v>
      </c>
    </row>
    <row r="23871">
      <c r="B23871" s="31"/>
      <c r="G23871" s="272" t="s">
        <v>1099</v>
      </c>
    </row>
    <row r="23872">
      <c r="B23872" s="31"/>
      <c r="G23872" s="272" t="s">
        <v>1099</v>
      </c>
    </row>
    <row r="23873">
      <c r="B23873" s="31"/>
      <c r="G23873" s="272" t="s">
        <v>1099</v>
      </c>
    </row>
    <row r="23874">
      <c r="B23874" s="31"/>
      <c r="G23874" s="272" t="s">
        <v>1099</v>
      </c>
    </row>
    <row r="23875">
      <c r="B23875" s="31"/>
      <c r="G23875" s="272" t="s">
        <v>1099</v>
      </c>
    </row>
    <row r="23876">
      <c r="B23876" s="31"/>
      <c r="G23876" s="272" t="s">
        <v>1099</v>
      </c>
    </row>
    <row r="23877">
      <c r="B23877" s="31"/>
      <c r="G23877" s="272" t="s">
        <v>1099</v>
      </c>
    </row>
    <row r="23878">
      <c r="B23878" s="31"/>
      <c r="G23878" s="272" t="s">
        <v>1099</v>
      </c>
    </row>
    <row r="23879">
      <c r="B23879" s="31"/>
      <c r="G23879" s="272" t="s">
        <v>1099</v>
      </c>
    </row>
    <row r="23880">
      <c r="B23880" s="31"/>
      <c r="G23880" s="272" t="s">
        <v>1099</v>
      </c>
    </row>
    <row r="23881">
      <c r="B23881" s="31"/>
      <c r="G23881" s="272" t="s">
        <v>1099</v>
      </c>
    </row>
    <row r="23882">
      <c r="B23882" s="31"/>
      <c r="G23882" s="272" t="s">
        <v>1099</v>
      </c>
    </row>
    <row r="23883">
      <c r="B23883" s="31"/>
      <c r="G23883" s="272" t="s">
        <v>1099</v>
      </c>
    </row>
    <row r="23884">
      <c r="B23884" s="31"/>
      <c r="G23884" s="272" t="s">
        <v>1099</v>
      </c>
    </row>
    <row r="23885">
      <c r="B23885" s="31"/>
      <c r="G23885" s="272" t="s">
        <v>1099</v>
      </c>
    </row>
    <row r="23886">
      <c r="B23886" s="31"/>
      <c r="G23886" s="272" t="s">
        <v>1099</v>
      </c>
    </row>
    <row r="23887">
      <c r="B23887" s="31"/>
      <c r="G23887" s="272" t="s">
        <v>1099</v>
      </c>
    </row>
    <row r="23888">
      <c r="B23888" s="31"/>
      <c r="G23888" s="272" t="s">
        <v>1099</v>
      </c>
    </row>
    <row r="23889">
      <c r="B23889" s="31"/>
      <c r="G23889" s="272" t="s">
        <v>1099</v>
      </c>
    </row>
    <row r="23890">
      <c r="B23890" s="31"/>
      <c r="G23890" s="272" t="s">
        <v>1099</v>
      </c>
    </row>
    <row r="23891">
      <c r="B23891" s="31"/>
      <c r="G23891" s="272" t="s">
        <v>1099</v>
      </c>
    </row>
    <row r="23892">
      <c r="B23892" s="31"/>
      <c r="G23892" s="272" t="s">
        <v>1099</v>
      </c>
    </row>
    <row r="23893">
      <c r="B23893" s="31"/>
      <c r="G23893" s="272" t="s">
        <v>1099</v>
      </c>
    </row>
    <row r="23894">
      <c r="B23894" s="31"/>
      <c r="G23894" s="272" t="s">
        <v>1099</v>
      </c>
    </row>
    <row r="23895">
      <c r="B23895" s="31"/>
      <c r="G23895" s="272" t="s">
        <v>1099</v>
      </c>
    </row>
    <row r="23896">
      <c r="B23896" s="31"/>
      <c r="G23896" s="272" t="s">
        <v>1099</v>
      </c>
    </row>
    <row r="23897">
      <c r="B23897" s="31"/>
      <c r="G23897" s="272" t="s">
        <v>1099</v>
      </c>
    </row>
    <row r="23898">
      <c r="B23898" s="31"/>
      <c r="G23898" s="272" t="s">
        <v>1099</v>
      </c>
    </row>
    <row r="23899">
      <c r="B23899" s="31"/>
      <c r="G23899" s="272" t="s">
        <v>1099</v>
      </c>
    </row>
    <row r="23900">
      <c r="B23900" s="31"/>
      <c r="G23900" s="272" t="s">
        <v>1099</v>
      </c>
    </row>
    <row r="23901">
      <c r="B23901" s="31"/>
      <c r="G23901" s="272" t="s">
        <v>1099</v>
      </c>
    </row>
    <row r="23902">
      <c r="B23902" s="31"/>
      <c r="G23902" s="272" t="s">
        <v>1099</v>
      </c>
    </row>
    <row r="23903">
      <c r="B23903" s="31"/>
      <c r="G23903" s="272" t="s">
        <v>1099</v>
      </c>
    </row>
    <row r="23904">
      <c r="B23904" s="31"/>
      <c r="G23904" s="272" t="s">
        <v>1099</v>
      </c>
    </row>
    <row r="23905">
      <c r="B23905" s="31"/>
      <c r="G23905" s="272" t="s">
        <v>1099</v>
      </c>
    </row>
    <row r="23906">
      <c r="B23906" s="31"/>
      <c r="G23906" s="272" t="s">
        <v>1099</v>
      </c>
    </row>
    <row r="23907">
      <c r="B23907" s="31"/>
      <c r="G23907" s="272" t="s">
        <v>1099</v>
      </c>
    </row>
    <row r="23908">
      <c r="B23908" s="31"/>
      <c r="G23908" s="272" t="s">
        <v>1099</v>
      </c>
    </row>
    <row r="23909">
      <c r="B23909" s="31"/>
      <c r="G23909" s="272" t="s">
        <v>1099</v>
      </c>
    </row>
    <row r="23910">
      <c r="B23910" s="31"/>
      <c r="G23910" s="272" t="s">
        <v>1099</v>
      </c>
    </row>
    <row r="23911">
      <c r="B23911" s="31"/>
      <c r="G23911" s="272" t="s">
        <v>1099</v>
      </c>
    </row>
    <row r="23912">
      <c r="B23912" s="31"/>
      <c r="G23912" s="272" t="s">
        <v>1099</v>
      </c>
    </row>
    <row r="23913">
      <c r="B23913" s="31"/>
      <c r="G23913" s="272" t="s">
        <v>1099</v>
      </c>
    </row>
    <row r="23914">
      <c r="B23914" s="31"/>
      <c r="G23914" s="272" t="s">
        <v>1099</v>
      </c>
    </row>
    <row r="23915">
      <c r="B23915" s="31"/>
      <c r="G23915" s="272" t="s">
        <v>1099</v>
      </c>
    </row>
    <row r="23916">
      <c r="B23916" s="31"/>
      <c r="G23916" s="272" t="s">
        <v>1099</v>
      </c>
    </row>
    <row r="23917">
      <c r="B23917" s="31"/>
      <c r="G23917" s="272" t="s">
        <v>1099</v>
      </c>
    </row>
    <row r="23918">
      <c r="B23918" s="31"/>
      <c r="G23918" s="272" t="s">
        <v>1099</v>
      </c>
    </row>
    <row r="23919">
      <c r="B23919" s="31"/>
      <c r="G23919" s="272" t="s">
        <v>1099</v>
      </c>
    </row>
    <row r="23920">
      <c r="B23920" s="31"/>
      <c r="G23920" s="272" t="s">
        <v>1099</v>
      </c>
    </row>
    <row r="23921">
      <c r="B23921" s="31"/>
      <c r="G23921" s="272" t="s">
        <v>1099</v>
      </c>
    </row>
    <row r="23922">
      <c r="B23922" s="31"/>
      <c r="G23922" s="272" t="s">
        <v>1099</v>
      </c>
    </row>
    <row r="23923">
      <c r="B23923" s="31"/>
      <c r="G23923" s="272" t="s">
        <v>1099</v>
      </c>
    </row>
    <row r="23924">
      <c r="B23924" s="31"/>
      <c r="G23924" s="272" t="s">
        <v>1099</v>
      </c>
    </row>
    <row r="23925">
      <c r="B23925" s="31"/>
      <c r="G23925" s="272" t="s">
        <v>1099</v>
      </c>
    </row>
    <row r="23926">
      <c r="B23926" s="31"/>
      <c r="G23926" s="272" t="s">
        <v>1099</v>
      </c>
    </row>
    <row r="23927">
      <c r="B23927" s="31"/>
      <c r="G23927" s="272" t="s">
        <v>1099</v>
      </c>
    </row>
    <row r="23928">
      <c r="B23928" s="31"/>
      <c r="G23928" s="272" t="s">
        <v>1099</v>
      </c>
    </row>
    <row r="23929">
      <c r="B23929" s="31"/>
      <c r="G23929" s="272" t="s">
        <v>1099</v>
      </c>
    </row>
    <row r="23930">
      <c r="B23930" s="31"/>
      <c r="G23930" s="272" t="s">
        <v>1099</v>
      </c>
    </row>
    <row r="23931">
      <c r="B23931" s="31"/>
      <c r="G23931" s="272" t="s">
        <v>1099</v>
      </c>
    </row>
    <row r="23932">
      <c r="B23932" s="31"/>
      <c r="G23932" s="272" t="s">
        <v>1099</v>
      </c>
    </row>
    <row r="23933">
      <c r="B23933" s="31"/>
      <c r="G23933" s="272" t="s">
        <v>1099</v>
      </c>
    </row>
    <row r="23934">
      <c r="B23934" s="31"/>
      <c r="G23934" s="272" t="s">
        <v>1099</v>
      </c>
    </row>
    <row r="23935">
      <c r="B23935" s="31"/>
      <c r="G23935" s="272" t="s">
        <v>1099</v>
      </c>
    </row>
    <row r="23936">
      <c r="B23936" s="31"/>
      <c r="G23936" s="272" t="s">
        <v>1099</v>
      </c>
    </row>
    <row r="23937">
      <c r="B23937" s="31"/>
      <c r="G23937" s="272" t="s">
        <v>1099</v>
      </c>
    </row>
    <row r="23938">
      <c r="B23938" s="31"/>
      <c r="G23938" s="272" t="s">
        <v>1099</v>
      </c>
    </row>
    <row r="23939">
      <c r="B23939" s="31"/>
      <c r="G23939" s="272" t="s">
        <v>1099</v>
      </c>
    </row>
    <row r="23940">
      <c r="B23940" s="31"/>
      <c r="G23940" s="272" t="s">
        <v>1099</v>
      </c>
    </row>
    <row r="23941">
      <c r="B23941" s="31"/>
      <c r="G23941" s="272" t="s">
        <v>1099</v>
      </c>
    </row>
    <row r="23942">
      <c r="B23942" s="31"/>
      <c r="G23942" s="272" t="s">
        <v>1099</v>
      </c>
    </row>
    <row r="23943">
      <c r="B23943" s="31"/>
      <c r="G23943" s="272" t="s">
        <v>1099</v>
      </c>
    </row>
    <row r="23944">
      <c r="B23944" s="31"/>
      <c r="G23944" s="272" t="s">
        <v>1099</v>
      </c>
    </row>
    <row r="23945">
      <c r="B23945" s="31"/>
      <c r="G23945" s="272" t="s">
        <v>1099</v>
      </c>
    </row>
    <row r="23946">
      <c r="B23946" s="31"/>
      <c r="G23946" s="272" t="s">
        <v>1099</v>
      </c>
    </row>
    <row r="23947">
      <c r="B23947" s="31"/>
      <c r="G23947" s="272" t="s">
        <v>1099</v>
      </c>
    </row>
    <row r="23948">
      <c r="B23948" s="31"/>
      <c r="G23948" s="272" t="s">
        <v>1099</v>
      </c>
    </row>
    <row r="23949">
      <c r="B23949" s="31"/>
      <c r="G23949" s="272" t="s">
        <v>1099</v>
      </c>
    </row>
    <row r="23950">
      <c r="B23950" s="31"/>
      <c r="G23950" s="272" t="s">
        <v>1099</v>
      </c>
    </row>
    <row r="23951">
      <c r="B23951" s="31"/>
      <c r="G23951" s="272" t="s">
        <v>1099</v>
      </c>
    </row>
    <row r="23952">
      <c r="B23952" s="31"/>
      <c r="G23952" s="272" t="s">
        <v>1099</v>
      </c>
    </row>
    <row r="23953">
      <c r="B23953" s="31"/>
      <c r="G23953" s="272" t="s">
        <v>1099</v>
      </c>
    </row>
    <row r="23954">
      <c r="B23954" s="31"/>
      <c r="G23954" s="272" t="s">
        <v>1099</v>
      </c>
    </row>
    <row r="23955">
      <c r="B23955" s="31"/>
      <c r="G23955" s="272" t="s">
        <v>1099</v>
      </c>
    </row>
    <row r="23956">
      <c r="B23956" s="31"/>
      <c r="G23956" s="272" t="s">
        <v>1099</v>
      </c>
    </row>
    <row r="23957">
      <c r="B23957" s="31"/>
      <c r="G23957" s="272" t="s">
        <v>1099</v>
      </c>
    </row>
    <row r="23958">
      <c r="B23958" s="31"/>
      <c r="G23958" s="272" t="s">
        <v>1099</v>
      </c>
    </row>
    <row r="23959">
      <c r="B23959" s="31"/>
      <c r="G23959" s="272" t="s">
        <v>1099</v>
      </c>
    </row>
    <row r="23960">
      <c r="B23960" s="31"/>
      <c r="G23960" s="272" t="s">
        <v>1099</v>
      </c>
    </row>
    <row r="23961">
      <c r="B23961" s="31"/>
      <c r="G23961" s="272" t="s">
        <v>1099</v>
      </c>
    </row>
    <row r="23962">
      <c r="B23962" s="31"/>
      <c r="G23962" s="272" t="s">
        <v>1099</v>
      </c>
    </row>
    <row r="23963">
      <c r="B23963" s="31"/>
      <c r="G23963" s="272" t="s">
        <v>1099</v>
      </c>
    </row>
    <row r="23964">
      <c r="B23964" s="31"/>
      <c r="G23964" s="272" t="s">
        <v>1099</v>
      </c>
    </row>
    <row r="23965">
      <c r="B23965" s="31"/>
      <c r="G23965" s="272" t="s">
        <v>1099</v>
      </c>
    </row>
    <row r="23966">
      <c r="B23966" s="31"/>
      <c r="G23966" s="272" t="s">
        <v>1099</v>
      </c>
    </row>
    <row r="23967">
      <c r="B23967" s="31"/>
      <c r="G23967" s="272" t="s">
        <v>1099</v>
      </c>
    </row>
    <row r="23968">
      <c r="B23968" s="31"/>
      <c r="G23968" s="272" t="s">
        <v>1099</v>
      </c>
    </row>
    <row r="23969">
      <c r="B23969" s="31"/>
      <c r="G23969" s="272" t="s">
        <v>1099</v>
      </c>
    </row>
    <row r="23970">
      <c r="B23970" s="31"/>
      <c r="G23970" s="272" t="s">
        <v>1099</v>
      </c>
    </row>
    <row r="23971">
      <c r="B23971" s="31"/>
      <c r="G23971" s="272" t="s">
        <v>1099</v>
      </c>
    </row>
    <row r="23972">
      <c r="B23972" s="31"/>
      <c r="G23972" s="272" t="s">
        <v>1099</v>
      </c>
    </row>
    <row r="23973">
      <c r="B23973" s="31"/>
      <c r="G23973" s="272" t="s">
        <v>1099</v>
      </c>
    </row>
    <row r="23974">
      <c r="B23974" s="31"/>
      <c r="G23974" s="272" t="s">
        <v>1099</v>
      </c>
    </row>
    <row r="23975">
      <c r="B23975" s="31"/>
      <c r="G23975" s="272" t="s">
        <v>1099</v>
      </c>
    </row>
    <row r="23976">
      <c r="B23976" s="31"/>
      <c r="G23976" s="272" t="s">
        <v>1099</v>
      </c>
    </row>
    <row r="23977">
      <c r="B23977" s="31"/>
      <c r="G23977" s="272" t="s">
        <v>1099</v>
      </c>
    </row>
    <row r="23978">
      <c r="B23978" s="31"/>
      <c r="G23978" s="272" t="s">
        <v>1099</v>
      </c>
    </row>
    <row r="23979">
      <c r="B23979" s="31"/>
      <c r="G23979" s="272" t="s">
        <v>1099</v>
      </c>
    </row>
    <row r="23980">
      <c r="B23980" s="31"/>
      <c r="G23980" s="272" t="s">
        <v>1099</v>
      </c>
    </row>
    <row r="23981">
      <c r="B23981" s="31"/>
      <c r="G23981" s="272" t="s">
        <v>1099</v>
      </c>
    </row>
    <row r="23982">
      <c r="B23982" s="31"/>
      <c r="G23982" s="272" t="s">
        <v>1099</v>
      </c>
    </row>
    <row r="23983">
      <c r="B23983" s="31"/>
      <c r="G23983" s="272" t="s">
        <v>1099</v>
      </c>
    </row>
    <row r="23984">
      <c r="B23984" s="31"/>
      <c r="G23984" s="272" t="s">
        <v>1099</v>
      </c>
    </row>
    <row r="23985">
      <c r="B23985" s="31"/>
      <c r="G23985" s="272" t="s">
        <v>1099</v>
      </c>
    </row>
    <row r="23986">
      <c r="B23986" s="31"/>
      <c r="G23986" s="272" t="s">
        <v>1099</v>
      </c>
    </row>
    <row r="23987">
      <c r="B23987" s="31"/>
      <c r="G23987" s="272" t="s">
        <v>1099</v>
      </c>
    </row>
    <row r="23988">
      <c r="B23988" s="31"/>
      <c r="G23988" s="272" t="s">
        <v>1099</v>
      </c>
    </row>
    <row r="23989">
      <c r="B23989" s="31"/>
      <c r="G23989" s="272" t="s">
        <v>1099</v>
      </c>
    </row>
    <row r="23990">
      <c r="B23990" s="31"/>
      <c r="G23990" s="272" t="s">
        <v>1099</v>
      </c>
    </row>
    <row r="23991">
      <c r="B23991" s="31"/>
      <c r="G23991" s="272" t="s">
        <v>1099</v>
      </c>
    </row>
    <row r="23992">
      <c r="B23992" s="31"/>
      <c r="G23992" s="272" t="s">
        <v>1099</v>
      </c>
    </row>
    <row r="23993">
      <c r="B23993" s="31"/>
      <c r="G23993" s="272" t="s">
        <v>1099</v>
      </c>
    </row>
    <row r="23994">
      <c r="B23994" s="31"/>
      <c r="G23994" s="272" t="s">
        <v>1099</v>
      </c>
    </row>
    <row r="23995">
      <c r="B23995" s="31"/>
      <c r="G23995" s="272" t="s">
        <v>1099</v>
      </c>
    </row>
    <row r="23996">
      <c r="B23996" s="31"/>
      <c r="G23996" s="272" t="s">
        <v>1099</v>
      </c>
    </row>
    <row r="23997">
      <c r="B23997" s="31"/>
      <c r="G23997" s="272" t="s">
        <v>1099</v>
      </c>
    </row>
    <row r="23998">
      <c r="B23998" s="31"/>
      <c r="G23998" s="272" t="s">
        <v>1099</v>
      </c>
    </row>
    <row r="23999">
      <c r="B23999" s="31"/>
      <c r="G23999" s="272" t="s">
        <v>1099</v>
      </c>
    </row>
    <row r="24000">
      <c r="B24000" s="31"/>
      <c r="G24000" s="272" t="s">
        <v>1099</v>
      </c>
    </row>
    <row r="24001">
      <c r="B24001" s="31"/>
      <c r="G24001" s="272" t="s">
        <v>1099</v>
      </c>
    </row>
    <row r="24002">
      <c r="B24002" s="31"/>
      <c r="G24002" s="272" t="s">
        <v>1099</v>
      </c>
    </row>
    <row r="24003">
      <c r="B24003" s="31"/>
      <c r="G24003" s="272" t="s">
        <v>1099</v>
      </c>
    </row>
    <row r="24004">
      <c r="B24004" s="31"/>
      <c r="G24004" s="272" t="s">
        <v>1099</v>
      </c>
    </row>
    <row r="24005">
      <c r="B24005" s="31"/>
      <c r="G24005" s="272" t="s">
        <v>1099</v>
      </c>
    </row>
    <row r="24006">
      <c r="B24006" s="31"/>
      <c r="G24006" s="272" t="s">
        <v>1099</v>
      </c>
    </row>
    <row r="24007">
      <c r="B24007" s="31"/>
      <c r="G24007" s="272" t="s">
        <v>1099</v>
      </c>
    </row>
    <row r="24008">
      <c r="B24008" s="31"/>
      <c r="G24008" s="272" t="s">
        <v>1099</v>
      </c>
    </row>
    <row r="24009">
      <c r="B24009" s="31"/>
      <c r="G24009" s="272" t="s">
        <v>1099</v>
      </c>
    </row>
    <row r="24010">
      <c r="B24010" s="31"/>
      <c r="G24010" s="272" t="s">
        <v>1099</v>
      </c>
    </row>
    <row r="24011">
      <c r="B24011" s="31"/>
      <c r="G24011" s="272" t="s">
        <v>1099</v>
      </c>
    </row>
    <row r="24012">
      <c r="B24012" s="31"/>
      <c r="G24012" s="272" t="s">
        <v>1099</v>
      </c>
    </row>
    <row r="24013">
      <c r="B24013" s="31"/>
      <c r="G24013" s="272" t="s">
        <v>1099</v>
      </c>
    </row>
    <row r="24014">
      <c r="B24014" s="31"/>
      <c r="G24014" s="272" t="s">
        <v>1099</v>
      </c>
    </row>
    <row r="24015">
      <c r="B24015" s="31"/>
      <c r="G24015" s="272" t="s">
        <v>1099</v>
      </c>
    </row>
    <row r="24016">
      <c r="B24016" s="31"/>
      <c r="G24016" s="272" t="s">
        <v>1099</v>
      </c>
    </row>
    <row r="24017">
      <c r="B24017" s="31"/>
      <c r="G24017" s="272" t="s">
        <v>1099</v>
      </c>
    </row>
    <row r="24018">
      <c r="B24018" s="31"/>
      <c r="G24018" s="272" t="s">
        <v>1099</v>
      </c>
    </row>
    <row r="24019">
      <c r="B24019" s="31"/>
      <c r="G24019" s="272" t="s">
        <v>1099</v>
      </c>
    </row>
    <row r="24020">
      <c r="B24020" s="31"/>
      <c r="G24020" s="272" t="s">
        <v>1099</v>
      </c>
    </row>
    <row r="24021">
      <c r="B24021" s="31"/>
      <c r="G24021" s="272" t="s">
        <v>1099</v>
      </c>
    </row>
    <row r="24022">
      <c r="B24022" s="31"/>
      <c r="G24022" s="272" t="s">
        <v>1099</v>
      </c>
    </row>
    <row r="24023">
      <c r="B24023" s="31"/>
      <c r="G24023" s="272" t="s">
        <v>1099</v>
      </c>
    </row>
    <row r="24024">
      <c r="B24024" s="31"/>
      <c r="G24024" s="272" t="s">
        <v>1099</v>
      </c>
    </row>
    <row r="24025">
      <c r="B24025" s="31"/>
      <c r="G24025" s="272" t="s">
        <v>1099</v>
      </c>
    </row>
    <row r="24026">
      <c r="B24026" s="31"/>
      <c r="G24026" s="272" t="s">
        <v>1099</v>
      </c>
    </row>
    <row r="24027">
      <c r="B24027" s="31"/>
      <c r="G24027" s="272" t="s">
        <v>1099</v>
      </c>
    </row>
    <row r="24028">
      <c r="B24028" s="31"/>
      <c r="G24028" s="272" t="s">
        <v>1099</v>
      </c>
    </row>
    <row r="24029">
      <c r="B24029" s="31"/>
      <c r="G24029" s="272" t="s">
        <v>1099</v>
      </c>
    </row>
    <row r="24030">
      <c r="B24030" s="31"/>
      <c r="G24030" s="272" t="s">
        <v>1099</v>
      </c>
    </row>
    <row r="24031">
      <c r="B24031" s="31"/>
      <c r="G24031" s="272" t="s">
        <v>1099</v>
      </c>
    </row>
    <row r="24032">
      <c r="B24032" s="31"/>
      <c r="G24032" s="272" t="s">
        <v>1099</v>
      </c>
    </row>
    <row r="24033">
      <c r="B24033" s="31"/>
      <c r="G24033" s="272" t="s">
        <v>1099</v>
      </c>
    </row>
    <row r="24034">
      <c r="B24034" s="31"/>
      <c r="G24034" s="272" t="s">
        <v>1099</v>
      </c>
    </row>
    <row r="24035">
      <c r="B24035" s="31"/>
      <c r="G24035" s="272" t="s">
        <v>1099</v>
      </c>
    </row>
    <row r="24036">
      <c r="B24036" s="31"/>
      <c r="G24036" s="272" t="s">
        <v>1099</v>
      </c>
    </row>
    <row r="24037">
      <c r="B24037" s="31"/>
      <c r="G24037" s="272" t="s">
        <v>1099</v>
      </c>
    </row>
    <row r="24038">
      <c r="B24038" s="31"/>
      <c r="G24038" s="272" t="s">
        <v>1099</v>
      </c>
    </row>
    <row r="24039">
      <c r="B24039" s="31"/>
      <c r="G24039" s="272" t="s">
        <v>1099</v>
      </c>
    </row>
    <row r="24040">
      <c r="B24040" s="31"/>
      <c r="G24040" s="272" t="s">
        <v>1099</v>
      </c>
    </row>
    <row r="24041">
      <c r="B24041" s="31"/>
      <c r="G24041" s="272" t="s">
        <v>1099</v>
      </c>
    </row>
    <row r="24042">
      <c r="B24042" s="31"/>
      <c r="G24042" s="272" t="s">
        <v>1099</v>
      </c>
    </row>
    <row r="24043">
      <c r="B24043" s="31"/>
      <c r="G24043" s="272" t="s">
        <v>1099</v>
      </c>
    </row>
    <row r="24044">
      <c r="B24044" s="31"/>
      <c r="G24044" s="272" t="s">
        <v>1099</v>
      </c>
    </row>
    <row r="24045">
      <c r="B24045" s="31"/>
      <c r="G24045" s="272" t="s">
        <v>1099</v>
      </c>
    </row>
    <row r="24046">
      <c r="B24046" s="31"/>
      <c r="G24046" s="272" t="s">
        <v>1099</v>
      </c>
    </row>
    <row r="24047">
      <c r="B24047" s="31"/>
      <c r="G24047" s="272" t="s">
        <v>1099</v>
      </c>
    </row>
    <row r="24048">
      <c r="B24048" s="31"/>
      <c r="G24048" s="272" t="s">
        <v>1099</v>
      </c>
    </row>
    <row r="24049">
      <c r="B24049" s="31"/>
      <c r="G24049" s="272" t="s">
        <v>1099</v>
      </c>
    </row>
    <row r="24050">
      <c r="B24050" s="31"/>
      <c r="G24050" s="272" t="s">
        <v>1099</v>
      </c>
    </row>
    <row r="24051">
      <c r="B24051" s="31"/>
      <c r="G24051" s="272" t="s">
        <v>1099</v>
      </c>
    </row>
    <row r="24052">
      <c r="B24052" s="31"/>
      <c r="G24052" s="272" t="s">
        <v>1099</v>
      </c>
    </row>
    <row r="24053">
      <c r="B24053" s="31"/>
      <c r="G24053" s="272" t="s">
        <v>1099</v>
      </c>
    </row>
    <row r="24054">
      <c r="B24054" s="31"/>
      <c r="G24054" s="272" t="s">
        <v>1099</v>
      </c>
    </row>
    <row r="24055">
      <c r="B24055" s="31"/>
      <c r="G24055" s="272" t="s">
        <v>1099</v>
      </c>
    </row>
    <row r="24056">
      <c r="B24056" s="31"/>
      <c r="G24056" s="272" t="s">
        <v>1099</v>
      </c>
    </row>
    <row r="24057">
      <c r="B24057" s="31"/>
      <c r="G24057" s="272" t="s">
        <v>1099</v>
      </c>
    </row>
    <row r="24058">
      <c r="B24058" s="31"/>
      <c r="G24058" s="272" t="s">
        <v>1099</v>
      </c>
    </row>
    <row r="24059">
      <c r="B24059" s="31"/>
      <c r="G24059" s="272" t="s">
        <v>1099</v>
      </c>
    </row>
    <row r="24060">
      <c r="B24060" s="31"/>
      <c r="G24060" s="272" t="s">
        <v>1099</v>
      </c>
    </row>
    <row r="24061">
      <c r="B24061" s="31"/>
      <c r="G24061" s="272" t="s">
        <v>1099</v>
      </c>
    </row>
    <row r="24062">
      <c r="B24062" s="31"/>
      <c r="G24062" s="272" t="s">
        <v>1099</v>
      </c>
    </row>
    <row r="24063">
      <c r="B24063" s="31"/>
      <c r="G24063" s="272" t="s">
        <v>1099</v>
      </c>
    </row>
    <row r="24064">
      <c r="B24064" s="31"/>
      <c r="G24064" s="272" t="s">
        <v>1099</v>
      </c>
    </row>
    <row r="24065">
      <c r="B24065" s="31"/>
      <c r="G24065" s="272" t="s">
        <v>1099</v>
      </c>
    </row>
    <row r="24066">
      <c r="B24066" s="31"/>
      <c r="G24066" s="272" t="s">
        <v>1099</v>
      </c>
    </row>
    <row r="24067">
      <c r="B24067" s="31"/>
      <c r="G24067" s="272" t="s">
        <v>1099</v>
      </c>
    </row>
    <row r="24068">
      <c r="B24068" s="31"/>
      <c r="G24068" s="272" t="s">
        <v>1099</v>
      </c>
    </row>
    <row r="24069">
      <c r="B24069" s="31"/>
      <c r="G24069" s="272" t="s">
        <v>1099</v>
      </c>
    </row>
    <row r="24070">
      <c r="B24070" s="31"/>
      <c r="G24070" s="272" t="s">
        <v>1099</v>
      </c>
    </row>
    <row r="24071">
      <c r="B24071" s="31"/>
      <c r="G24071" s="272" t="s">
        <v>1099</v>
      </c>
    </row>
    <row r="24072">
      <c r="B24072" s="31"/>
      <c r="G24072" s="272" t="s">
        <v>1099</v>
      </c>
    </row>
    <row r="24073">
      <c r="B24073" s="31"/>
      <c r="G24073" s="272" t="s">
        <v>1099</v>
      </c>
    </row>
    <row r="24074">
      <c r="B24074" s="31"/>
      <c r="G24074" s="272" t="s">
        <v>1099</v>
      </c>
    </row>
    <row r="24075">
      <c r="B24075" s="31"/>
      <c r="G24075" s="272" t="s">
        <v>1099</v>
      </c>
    </row>
    <row r="24076">
      <c r="B24076" s="31"/>
      <c r="G24076" s="272" t="s">
        <v>1099</v>
      </c>
    </row>
    <row r="24077">
      <c r="B24077" s="31"/>
      <c r="G24077" s="272" t="s">
        <v>1099</v>
      </c>
    </row>
    <row r="24078">
      <c r="B24078" s="31"/>
      <c r="G24078" s="272" t="s">
        <v>1099</v>
      </c>
    </row>
    <row r="24079">
      <c r="B24079" s="31"/>
      <c r="G24079" s="272" t="s">
        <v>1099</v>
      </c>
    </row>
    <row r="24080">
      <c r="B24080" s="31"/>
      <c r="G24080" s="272" t="s">
        <v>1099</v>
      </c>
    </row>
    <row r="24081">
      <c r="B24081" s="31"/>
      <c r="G24081" s="272" t="s">
        <v>1099</v>
      </c>
    </row>
    <row r="24082">
      <c r="B24082" s="31"/>
      <c r="G24082" s="272" t="s">
        <v>1099</v>
      </c>
    </row>
    <row r="24083">
      <c r="B24083" s="31"/>
      <c r="G24083" s="272" t="s">
        <v>1099</v>
      </c>
    </row>
    <row r="24084">
      <c r="B24084" s="31"/>
      <c r="G24084" s="272" t="s">
        <v>1099</v>
      </c>
    </row>
    <row r="24085">
      <c r="B24085" s="31"/>
      <c r="G24085" s="272" t="s">
        <v>1099</v>
      </c>
    </row>
    <row r="24086">
      <c r="B24086" s="31"/>
      <c r="G24086" s="272" t="s">
        <v>1099</v>
      </c>
    </row>
    <row r="24087">
      <c r="B24087" s="31"/>
      <c r="G24087" s="272" t="s">
        <v>1099</v>
      </c>
    </row>
    <row r="24088">
      <c r="B24088" s="31"/>
      <c r="G24088" s="272" t="s">
        <v>1099</v>
      </c>
    </row>
    <row r="24089">
      <c r="B24089" s="31"/>
      <c r="G24089" s="272" t="s">
        <v>1099</v>
      </c>
    </row>
    <row r="24090">
      <c r="B24090" s="31"/>
      <c r="G24090" s="272" t="s">
        <v>1099</v>
      </c>
    </row>
    <row r="24091">
      <c r="B24091" s="31"/>
      <c r="G24091" s="272" t="s">
        <v>1099</v>
      </c>
    </row>
    <row r="24092">
      <c r="B24092" s="31"/>
      <c r="G24092" s="272" t="s">
        <v>1099</v>
      </c>
    </row>
    <row r="24093">
      <c r="B24093" s="31"/>
      <c r="G24093" s="272" t="s">
        <v>1099</v>
      </c>
    </row>
    <row r="24094">
      <c r="B24094" s="31"/>
      <c r="G24094" s="272" t="s">
        <v>1099</v>
      </c>
    </row>
    <row r="24095">
      <c r="B24095" s="31"/>
      <c r="G24095" s="272" t="s">
        <v>1099</v>
      </c>
    </row>
    <row r="24096">
      <c r="B24096" s="31"/>
      <c r="G24096" s="272" t="s">
        <v>1099</v>
      </c>
    </row>
    <row r="24097">
      <c r="B24097" s="31"/>
      <c r="G24097" s="272" t="s">
        <v>1099</v>
      </c>
    </row>
    <row r="24098">
      <c r="B24098" s="31"/>
      <c r="G24098" s="272" t="s">
        <v>1099</v>
      </c>
    </row>
    <row r="24099">
      <c r="B24099" s="31"/>
      <c r="G24099" s="272" t="s">
        <v>1099</v>
      </c>
    </row>
    <row r="24100">
      <c r="B24100" s="31"/>
      <c r="G24100" s="272" t="s">
        <v>1099</v>
      </c>
    </row>
    <row r="24101">
      <c r="B24101" s="31"/>
      <c r="G24101" s="272" t="s">
        <v>1099</v>
      </c>
    </row>
    <row r="24102">
      <c r="B24102" s="31"/>
      <c r="G24102" s="272" t="s">
        <v>1099</v>
      </c>
    </row>
    <row r="24103">
      <c r="B24103" s="31"/>
      <c r="G24103" s="272" t="s">
        <v>1099</v>
      </c>
    </row>
    <row r="24104">
      <c r="B24104" s="31"/>
      <c r="G24104" s="272" t="s">
        <v>1099</v>
      </c>
    </row>
    <row r="24105">
      <c r="B24105" s="31"/>
      <c r="G24105" s="272" t="s">
        <v>1099</v>
      </c>
    </row>
    <row r="24106">
      <c r="B24106" s="31"/>
      <c r="G24106" s="272" t="s">
        <v>1099</v>
      </c>
    </row>
    <row r="24107">
      <c r="B24107" s="31"/>
      <c r="G24107" s="272" t="s">
        <v>1099</v>
      </c>
    </row>
    <row r="24108">
      <c r="B24108" s="31"/>
      <c r="G24108" s="272" t="s">
        <v>1099</v>
      </c>
    </row>
    <row r="24109">
      <c r="B24109" s="31"/>
      <c r="G24109" s="272" t="s">
        <v>1099</v>
      </c>
    </row>
    <row r="24110">
      <c r="B24110" s="31"/>
      <c r="G24110" s="272" t="s">
        <v>1099</v>
      </c>
    </row>
    <row r="24111">
      <c r="B24111" s="31"/>
      <c r="G24111" s="272" t="s">
        <v>1099</v>
      </c>
    </row>
    <row r="24112">
      <c r="B24112" s="31"/>
      <c r="G24112" s="272" t="s">
        <v>1099</v>
      </c>
    </row>
    <row r="24113">
      <c r="B24113" s="31"/>
      <c r="G24113" s="272" t="s">
        <v>1099</v>
      </c>
    </row>
    <row r="24114">
      <c r="B24114" s="31"/>
      <c r="G24114" s="272" t="s">
        <v>1099</v>
      </c>
    </row>
    <row r="24115">
      <c r="B24115" s="31"/>
      <c r="G24115" s="272" t="s">
        <v>1099</v>
      </c>
    </row>
    <row r="24116">
      <c r="B24116" s="31"/>
      <c r="G24116" s="272" t="s">
        <v>1099</v>
      </c>
    </row>
    <row r="24117">
      <c r="B24117" s="31"/>
      <c r="G24117" s="272" t="s">
        <v>1099</v>
      </c>
    </row>
    <row r="24118">
      <c r="B24118" s="31"/>
      <c r="G24118" s="272" t="s">
        <v>1099</v>
      </c>
    </row>
    <row r="24119">
      <c r="B24119" s="31"/>
      <c r="G24119" s="272" t="s">
        <v>1099</v>
      </c>
    </row>
    <row r="24120">
      <c r="B24120" s="31"/>
      <c r="G24120" s="272" t="s">
        <v>1099</v>
      </c>
    </row>
    <row r="24121">
      <c r="B24121" s="31"/>
      <c r="G24121" s="272" t="s">
        <v>1099</v>
      </c>
    </row>
    <row r="24122">
      <c r="B24122" s="31"/>
      <c r="G24122" s="272" t="s">
        <v>1099</v>
      </c>
    </row>
    <row r="24123">
      <c r="B24123" s="31"/>
      <c r="G24123" s="272" t="s">
        <v>1099</v>
      </c>
    </row>
    <row r="24124">
      <c r="B24124" s="31"/>
      <c r="G24124" s="272" t="s">
        <v>1099</v>
      </c>
    </row>
    <row r="24125">
      <c r="B24125" s="31"/>
      <c r="G24125" s="272" t="s">
        <v>1099</v>
      </c>
    </row>
    <row r="24126">
      <c r="B24126" s="31"/>
      <c r="G24126" s="272" t="s">
        <v>1099</v>
      </c>
    </row>
    <row r="24127">
      <c r="B24127" s="31"/>
      <c r="G24127" s="272" t="s">
        <v>1099</v>
      </c>
    </row>
    <row r="24128">
      <c r="B24128" s="31"/>
      <c r="G24128" s="272" t="s">
        <v>1099</v>
      </c>
    </row>
    <row r="24129">
      <c r="B24129" s="31"/>
      <c r="G24129" s="272" t="s">
        <v>1099</v>
      </c>
    </row>
    <row r="24130">
      <c r="B24130" s="31"/>
      <c r="G24130" s="272" t="s">
        <v>1099</v>
      </c>
    </row>
    <row r="24131">
      <c r="B24131" s="31"/>
      <c r="G24131" s="272" t="s">
        <v>1099</v>
      </c>
    </row>
    <row r="24132">
      <c r="B24132" s="31"/>
      <c r="G24132" s="272" t="s">
        <v>1099</v>
      </c>
    </row>
    <row r="24133">
      <c r="B24133" s="31"/>
      <c r="G24133" s="272" t="s">
        <v>1099</v>
      </c>
    </row>
    <row r="24134">
      <c r="B24134" s="31"/>
      <c r="G24134" s="272" t="s">
        <v>1099</v>
      </c>
    </row>
    <row r="24135">
      <c r="B24135" s="31"/>
      <c r="G24135" s="272" t="s">
        <v>1099</v>
      </c>
    </row>
    <row r="24136">
      <c r="B24136" s="31"/>
      <c r="G24136" s="272" t="s">
        <v>1099</v>
      </c>
    </row>
    <row r="24137">
      <c r="B24137" s="31"/>
      <c r="G24137" s="272" t="s">
        <v>1099</v>
      </c>
    </row>
    <row r="24138">
      <c r="B24138" s="31"/>
      <c r="G24138" s="272" t="s">
        <v>1099</v>
      </c>
    </row>
    <row r="24139">
      <c r="B24139" s="31"/>
      <c r="G24139" s="272" t="s">
        <v>1099</v>
      </c>
    </row>
    <row r="24140">
      <c r="B24140" s="31"/>
      <c r="G24140" s="272" t="s">
        <v>1099</v>
      </c>
    </row>
    <row r="24141">
      <c r="B24141" s="31"/>
      <c r="G24141" s="272" t="s">
        <v>1099</v>
      </c>
    </row>
    <row r="24142">
      <c r="B24142" s="31"/>
      <c r="G24142" s="272" t="s">
        <v>1099</v>
      </c>
    </row>
    <row r="24143">
      <c r="B24143" s="31"/>
      <c r="G24143" s="272" t="s">
        <v>1099</v>
      </c>
    </row>
    <row r="24144">
      <c r="B24144" s="31"/>
      <c r="G24144" s="272" t="s">
        <v>1099</v>
      </c>
    </row>
    <row r="24145">
      <c r="B24145" s="31"/>
      <c r="G24145" s="272" t="s">
        <v>1099</v>
      </c>
    </row>
    <row r="24146">
      <c r="B24146" s="31"/>
      <c r="G24146" s="272" t="s">
        <v>1099</v>
      </c>
    </row>
    <row r="24147">
      <c r="B24147" s="31"/>
      <c r="G24147" s="272" t="s">
        <v>1099</v>
      </c>
    </row>
    <row r="24148">
      <c r="B24148" s="31"/>
      <c r="G24148" s="272" t="s">
        <v>1099</v>
      </c>
    </row>
    <row r="24149">
      <c r="B24149" s="31"/>
      <c r="G24149" s="272" t="s">
        <v>1099</v>
      </c>
    </row>
    <row r="24150">
      <c r="B24150" s="31"/>
      <c r="G24150" s="272" t="s">
        <v>1099</v>
      </c>
    </row>
    <row r="24151">
      <c r="B24151" s="31"/>
      <c r="G24151" s="272" t="s">
        <v>1099</v>
      </c>
    </row>
    <row r="24152">
      <c r="B24152" s="31"/>
      <c r="G24152" s="272" t="s">
        <v>1099</v>
      </c>
    </row>
    <row r="24153">
      <c r="B24153" s="31"/>
      <c r="G24153" s="272" t="s">
        <v>1099</v>
      </c>
    </row>
    <row r="24154">
      <c r="B24154" s="31"/>
      <c r="G24154" s="272" t="s">
        <v>1099</v>
      </c>
    </row>
    <row r="24155">
      <c r="B24155" s="31"/>
      <c r="G24155" s="272" t="s">
        <v>1099</v>
      </c>
    </row>
    <row r="24156">
      <c r="B24156" s="31"/>
      <c r="G24156" s="272" t="s">
        <v>1099</v>
      </c>
    </row>
    <row r="24157">
      <c r="B24157" s="31"/>
      <c r="G24157" s="272" t="s">
        <v>1099</v>
      </c>
    </row>
    <row r="24158">
      <c r="B24158" s="31"/>
      <c r="G24158" s="272" t="s">
        <v>1099</v>
      </c>
    </row>
    <row r="24159">
      <c r="B24159" s="31"/>
      <c r="G24159" s="272" t="s">
        <v>1099</v>
      </c>
    </row>
    <row r="24160">
      <c r="B24160" s="31"/>
      <c r="G24160" s="272" t="s">
        <v>1099</v>
      </c>
    </row>
    <row r="24161">
      <c r="B24161" s="31"/>
      <c r="G24161" s="272" t="s">
        <v>1099</v>
      </c>
    </row>
    <row r="24162">
      <c r="B24162" s="31"/>
      <c r="G24162" s="272" t="s">
        <v>1099</v>
      </c>
    </row>
    <row r="24163">
      <c r="B24163" s="31"/>
      <c r="G24163" s="272" t="s">
        <v>1099</v>
      </c>
    </row>
    <row r="24164">
      <c r="B24164" s="31"/>
      <c r="G24164" s="272" t="s">
        <v>1099</v>
      </c>
    </row>
    <row r="24165">
      <c r="B24165" s="31"/>
      <c r="G24165" s="272" t="s">
        <v>1099</v>
      </c>
    </row>
    <row r="24166">
      <c r="B24166" s="31"/>
      <c r="G24166" s="272" t="s">
        <v>1099</v>
      </c>
    </row>
    <row r="24167">
      <c r="B24167" s="31"/>
      <c r="G24167" s="272" t="s">
        <v>1099</v>
      </c>
    </row>
    <row r="24168">
      <c r="B24168" s="31"/>
      <c r="G24168" s="272" t="s">
        <v>1099</v>
      </c>
    </row>
    <row r="24169">
      <c r="B24169" s="31"/>
      <c r="G24169" s="272" t="s">
        <v>1099</v>
      </c>
    </row>
    <row r="24170">
      <c r="B24170" s="31"/>
      <c r="G24170" s="272" t="s">
        <v>1099</v>
      </c>
    </row>
    <row r="24171">
      <c r="B24171" s="31"/>
      <c r="G24171" s="272" t="s">
        <v>1099</v>
      </c>
    </row>
    <row r="24172">
      <c r="B24172" s="31"/>
      <c r="G24172" s="272" t="s">
        <v>1099</v>
      </c>
    </row>
    <row r="24173">
      <c r="B24173" s="31"/>
      <c r="G24173" s="272" t="s">
        <v>1099</v>
      </c>
    </row>
    <row r="24174">
      <c r="B24174" s="31"/>
      <c r="G24174" s="272" t="s">
        <v>1099</v>
      </c>
    </row>
    <row r="24175">
      <c r="B24175" s="31"/>
      <c r="G24175" s="272" t="s">
        <v>1099</v>
      </c>
    </row>
    <row r="24176">
      <c r="B24176" s="31"/>
      <c r="G24176" s="272" t="s">
        <v>1099</v>
      </c>
    </row>
    <row r="24177">
      <c r="B24177" s="31"/>
      <c r="G24177" s="272" t="s">
        <v>1099</v>
      </c>
    </row>
    <row r="24178">
      <c r="B24178" s="31"/>
      <c r="G24178" s="272" t="s">
        <v>1099</v>
      </c>
    </row>
    <row r="24179">
      <c r="B24179" s="31"/>
      <c r="G24179" s="272" t="s">
        <v>1099</v>
      </c>
    </row>
    <row r="24180">
      <c r="B24180" s="31"/>
      <c r="G24180" s="272" t="s">
        <v>1099</v>
      </c>
    </row>
    <row r="24181">
      <c r="B24181" s="31"/>
      <c r="G24181" s="272" t="s">
        <v>1099</v>
      </c>
    </row>
    <row r="24182">
      <c r="B24182" s="31"/>
      <c r="G24182" s="272" t="s">
        <v>1099</v>
      </c>
    </row>
    <row r="24183">
      <c r="B24183" s="31"/>
      <c r="G24183" s="272" t="s">
        <v>1099</v>
      </c>
    </row>
    <row r="24184">
      <c r="B24184" s="31"/>
      <c r="G24184" s="272" t="s">
        <v>1099</v>
      </c>
    </row>
    <row r="24185">
      <c r="B24185" s="31"/>
      <c r="G24185" s="272" t="s">
        <v>1099</v>
      </c>
    </row>
    <row r="24186">
      <c r="B24186" s="31"/>
      <c r="G24186" s="272" t="s">
        <v>1099</v>
      </c>
    </row>
    <row r="24187">
      <c r="B24187" s="31"/>
      <c r="G24187" s="272" t="s">
        <v>1099</v>
      </c>
    </row>
    <row r="24188">
      <c r="B24188" s="31"/>
      <c r="G24188" s="272" t="s">
        <v>1099</v>
      </c>
    </row>
    <row r="24189">
      <c r="B24189" s="31"/>
      <c r="G24189" s="272" t="s">
        <v>1099</v>
      </c>
    </row>
    <row r="24190">
      <c r="B24190" s="31"/>
      <c r="G24190" s="272" t="s">
        <v>1099</v>
      </c>
    </row>
    <row r="24191">
      <c r="B24191" s="31"/>
      <c r="G24191" s="272" t="s">
        <v>1099</v>
      </c>
    </row>
    <row r="24192">
      <c r="B24192" s="31"/>
      <c r="G24192" s="272" t="s">
        <v>1099</v>
      </c>
    </row>
    <row r="24193">
      <c r="B24193" s="31"/>
      <c r="G24193" s="272" t="s">
        <v>1099</v>
      </c>
    </row>
    <row r="24194">
      <c r="B24194" s="31"/>
      <c r="G24194" s="272" t="s">
        <v>1099</v>
      </c>
    </row>
    <row r="24195">
      <c r="B24195" s="31"/>
      <c r="G24195" s="272" t="s">
        <v>1099</v>
      </c>
    </row>
    <row r="24196">
      <c r="B24196" s="31"/>
      <c r="G24196" s="272" t="s">
        <v>1099</v>
      </c>
    </row>
    <row r="24197">
      <c r="B24197" s="31"/>
      <c r="G24197" s="272" t="s">
        <v>1099</v>
      </c>
    </row>
    <row r="24198">
      <c r="B24198" s="31"/>
      <c r="G24198" s="272" t="s">
        <v>1099</v>
      </c>
    </row>
    <row r="24199">
      <c r="B24199" s="31"/>
      <c r="G24199" s="272" t="s">
        <v>1099</v>
      </c>
    </row>
    <row r="24200">
      <c r="B24200" s="31"/>
      <c r="G24200" s="272" t="s">
        <v>1099</v>
      </c>
    </row>
    <row r="24201">
      <c r="B24201" s="31"/>
      <c r="G24201" s="272" t="s">
        <v>1099</v>
      </c>
    </row>
    <row r="24202">
      <c r="B24202" s="31"/>
      <c r="G24202" s="272" t="s">
        <v>1099</v>
      </c>
    </row>
    <row r="24203">
      <c r="B24203" s="31"/>
      <c r="G24203" s="272" t="s">
        <v>1099</v>
      </c>
    </row>
    <row r="24204">
      <c r="B24204" s="31"/>
      <c r="G24204" s="272" t="s">
        <v>1099</v>
      </c>
    </row>
    <row r="24205">
      <c r="B24205" s="31"/>
      <c r="G24205" s="272" t="s">
        <v>1099</v>
      </c>
    </row>
    <row r="24206">
      <c r="B24206" s="31"/>
      <c r="G24206" s="272" t="s">
        <v>1099</v>
      </c>
    </row>
    <row r="24207">
      <c r="B24207" s="31"/>
      <c r="G24207" s="272" t="s">
        <v>1099</v>
      </c>
    </row>
    <row r="24208">
      <c r="B24208" s="31"/>
      <c r="G24208" s="272" t="s">
        <v>1099</v>
      </c>
    </row>
    <row r="24209">
      <c r="B24209" s="31"/>
      <c r="G24209" s="272" t="s">
        <v>1099</v>
      </c>
    </row>
    <row r="24210">
      <c r="B24210" s="31"/>
      <c r="G24210" s="272" t="s">
        <v>1099</v>
      </c>
    </row>
    <row r="24211">
      <c r="B24211" s="31"/>
      <c r="G24211" s="272" t="s">
        <v>1099</v>
      </c>
    </row>
    <row r="24212">
      <c r="B24212" s="31"/>
      <c r="G24212" s="272" t="s">
        <v>1099</v>
      </c>
    </row>
    <row r="24213">
      <c r="B24213" s="31"/>
      <c r="G24213" s="272" t="s">
        <v>1099</v>
      </c>
    </row>
    <row r="24214">
      <c r="B24214" s="31"/>
      <c r="G24214" s="272" t="s">
        <v>1099</v>
      </c>
    </row>
    <row r="24215">
      <c r="B24215" s="31"/>
      <c r="G24215" s="272" t="s">
        <v>1099</v>
      </c>
    </row>
    <row r="24216">
      <c r="B24216" s="31"/>
      <c r="G24216" s="272" t="s">
        <v>1099</v>
      </c>
    </row>
    <row r="24217">
      <c r="B24217" s="31"/>
      <c r="G24217" s="272" t="s">
        <v>1099</v>
      </c>
    </row>
    <row r="24218">
      <c r="B24218" s="31"/>
      <c r="G24218" s="272" t="s">
        <v>1099</v>
      </c>
    </row>
    <row r="24219">
      <c r="B24219" s="31"/>
      <c r="G24219" s="272" t="s">
        <v>1099</v>
      </c>
    </row>
    <row r="24220">
      <c r="B24220" s="31"/>
      <c r="G24220" s="272" t="s">
        <v>1099</v>
      </c>
    </row>
    <row r="24221">
      <c r="B24221" s="31"/>
      <c r="G24221" s="272" t="s">
        <v>1099</v>
      </c>
    </row>
    <row r="24222">
      <c r="B24222" s="31"/>
      <c r="G24222" s="272" t="s">
        <v>1099</v>
      </c>
    </row>
    <row r="24223">
      <c r="B24223" s="31"/>
      <c r="G24223" s="272" t="s">
        <v>1099</v>
      </c>
    </row>
    <row r="24224">
      <c r="B24224" s="31"/>
      <c r="G24224" s="272" t="s">
        <v>1099</v>
      </c>
    </row>
    <row r="24225">
      <c r="B24225" s="31"/>
      <c r="G24225" s="272" t="s">
        <v>1099</v>
      </c>
    </row>
    <row r="24226">
      <c r="B24226" s="31"/>
      <c r="G24226" s="272" t="s">
        <v>1099</v>
      </c>
    </row>
    <row r="24227">
      <c r="B24227" s="31"/>
      <c r="G24227" s="272" t="s">
        <v>1099</v>
      </c>
    </row>
    <row r="24228">
      <c r="B24228" s="31"/>
      <c r="G24228" s="272" t="s">
        <v>1099</v>
      </c>
    </row>
    <row r="24229">
      <c r="B24229" s="31"/>
      <c r="G24229" s="272" t="s">
        <v>1099</v>
      </c>
    </row>
    <row r="24230">
      <c r="B24230" s="31"/>
      <c r="G24230" s="272" t="s">
        <v>1099</v>
      </c>
    </row>
    <row r="24231">
      <c r="B24231" s="31"/>
      <c r="G24231" s="272" t="s">
        <v>1099</v>
      </c>
    </row>
    <row r="24232">
      <c r="B24232" s="31"/>
      <c r="G24232" s="272" t="s">
        <v>1099</v>
      </c>
    </row>
    <row r="24233">
      <c r="B24233" s="31"/>
      <c r="G24233" s="272" t="s">
        <v>1099</v>
      </c>
    </row>
    <row r="24234">
      <c r="B24234" s="31"/>
      <c r="G24234" s="272" t="s">
        <v>1099</v>
      </c>
    </row>
    <row r="24235">
      <c r="B24235" s="31"/>
      <c r="G24235" s="272" t="s">
        <v>1099</v>
      </c>
    </row>
    <row r="24236">
      <c r="B24236" s="31"/>
      <c r="G24236" s="272" t="s">
        <v>1099</v>
      </c>
    </row>
    <row r="24237">
      <c r="B24237" s="31"/>
      <c r="G24237" s="272" t="s">
        <v>1099</v>
      </c>
    </row>
    <row r="24238">
      <c r="B24238" s="31"/>
      <c r="G24238" s="272" t="s">
        <v>1099</v>
      </c>
    </row>
    <row r="24239">
      <c r="B24239" s="31"/>
      <c r="G24239" s="272" t="s">
        <v>1099</v>
      </c>
    </row>
    <row r="24240">
      <c r="B24240" s="31"/>
      <c r="G24240" s="272" t="s">
        <v>1099</v>
      </c>
    </row>
    <row r="24241">
      <c r="B24241" s="31"/>
      <c r="G24241" s="272" t="s">
        <v>1099</v>
      </c>
    </row>
    <row r="24242">
      <c r="B24242" s="31"/>
      <c r="G24242" s="272" t="s">
        <v>1099</v>
      </c>
    </row>
    <row r="24243">
      <c r="B24243" s="31"/>
      <c r="G24243" s="272" t="s">
        <v>1099</v>
      </c>
    </row>
    <row r="24244">
      <c r="B24244" s="31"/>
      <c r="G24244" s="272" t="s">
        <v>1099</v>
      </c>
    </row>
    <row r="24245">
      <c r="B24245" s="31"/>
      <c r="G24245" s="272" t="s">
        <v>1099</v>
      </c>
    </row>
    <row r="24246">
      <c r="B24246" s="31"/>
      <c r="G24246" s="272" t="s">
        <v>1099</v>
      </c>
    </row>
    <row r="24247">
      <c r="B24247" s="31"/>
      <c r="G24247" s="272" t="s">
        <v>1099</v>
      </c>
    </row>
    <row r="24248">
      <c r="B24248" s="31"/>
      <c r="G24248" s="272" t="s">
        <v>1099</v>
      </c>
    </row>
    <row r="24249">
      <c r="B24249" s="31"/>
      <c r="G24249" s="272" t="s">
        <v>1099</v>
      </c>
    </row>
    <row r="24250">
      <c r="B24250" s="31"/>
      <c r="G24250" s="272" t="s">
        <v>1099</v>
      </c>
    </row>
    <row r="24251">
      <c r="B24251" s="31"/>
      <c r="G24251" s="272" t="s">
        <v>1099</v>
      </c>
    </row>
    <row r="24252">
      <c r="B24252" s="31"/>
      <c r="G24252" s="272" t="s">
        <v>1099</v>
      </c>
    </row>
    <row r="24253">
      <c r="B24253" s="31"/>
      <c r="G24253" s="272" t="s">
        <v>1099</v>
      </c>
    </row>
    <row r="24254">
      <c r="B24254" s="31"/>
      <c r="G24254" s="272" t="s">
        <v>1099</v>
      </c>
    </row>
    <row r="24255">
      <c r="B24255" s="31"/>
      <c r="G24255" s="272" t="s">
        <v>1099</v>
      </c>
    </row>
    <row r="24256">
      <c r="B24256" s="31"/>
      <c r="G24256" s="272" t="s">
        <v>1099</v>
      </c>
    </row>
    <row r="24257">
      <c r="B24257" s="31"/>
      <c r="G24257" s="272" t="s">
        <v>1099</v>
      </c>
    </row>
    <row r="24258">
      <c r="B24258" s="31"/>
      <c r="G24258" s="272" t="s">
        <v>1099</v>
      </c>
    </row>
    <row r="24259">
      <c r="B24259" s="31"/>
      <c r="G24259" s="272" t="s">
        <v>1099</v>
      </c>
    </row>
    <row r="24260">
      <c r="B24260" s="31"/>
      <c r="G24260" s="272" t="s">
        <v>1099</v>
      </c>
    </row>
    <row r="24261">
      <c r="B24261" s="31"/>
      <c r="G24261" s="272" t="s">
        <v>1099</v>
      </c>
    </row>
    <row r="24262">
      <c r="B24262" s="31"/>
      <c r="G24262" s="272" t="s">
        <v>1099</v>
      </c>
    </row>
    <row r="24263">
      <c r="B24263" s="31"/>
      <c r="G24263" s="272" t="s">
        <v>1099</v>
      </c>
    </row>
    <row r="24264">
      <c r="B24264" s="31"/>
      <c r="G24264" s="272" t="s">
        <v>1099</v>
      </c>
    </row>
    <row r="24265">
      <c r="B24265" s="31"/>
      <c r="G24265" s="272" t="s">
        <v>1099</v>
      </c>
    </row>
    <row r="24266">
      <c r="B24266" s="31"/>
      <c r="G24266" s="272" t="s">
        <v>1099</v>
      </c>
    </row>
    <row r="24267">
      <c r="B24267" s="31"/>
      <c r="G24267" s="272" t="s">
        <v>1099</v>
      </c>
    </row>
    <row r="24268">
      <c r="B24268" s="31"/>
      <c r="G24268" s="272" t="s">
        <v>1099</v>
      </c>
    </row>
    <row r="24269">
      <c r="B24269" s="31"/>
      <c r="G24269" s="272" t="s">
        <v>1099</v>
      </c>
    </row>
    <row r="24270">
      <c r="B24270" s="31"/>
      <c r="G24270" s="272" t="s">
        <v>1099</v>
      </c>
    </row>
    <row r="24271">
      <c r="B24271" s="31"/>
      <c r="G24271" s="272" t="s">
        <v>1099</v>
      </c>
    </row>
    <row r="24272">
      <c r="B24272" s="31"/>
      <c r="G24272" s="272" t="s">
        <v>1099</v>
      </c>
    </row>
    <row r="24273">
      <c r="B24273" s="31"/>
      <c r="G24273" s="272" t="s">
        <v>1099</v>
      </c>
    </row>
    <row r="24274">
      <c r="B24274" s="31"/>
      <c r="G24274" s="272" t="s">
        <v>1099</v>
      </c>
    </row>
    <row r="24275">
      <c r="B24275" s="31"/>
      <c r="G24275" s="272" t="s">
        <v>1099</v>
      </c>
    </row>
    <row r="24276">
      <c r="B24276" s="31"/>
      <c r="G24276" s="272" t="s">
        <v>1099</v>
      </c>
    </row>
    <row r="24277">
      <c r="B24277" s="31"/>
      <c r="G24277" s="272" t="s">
        <v>1099</v>
      </c>
    </row>
    <row r="24278">
      <c r="B24278" s="31"/>
      <c r="G24278" s="272" t="s">
        <v>1099</v>
      </c>
    </row>
    <row r="24279">
      <c r="B24279" s="31"/>
      <c r="G24279" s="272" t="s">
        <v>1099</v>
      </c>
    </row>
    <row r="24280">
      <c r="B24280" s="31"/>
      <c r="G24280" s="272" t="s">
        <v>1099</v>
      </c>
    </row>
    <row r="24281">
      <c r="B24281" s="31"/>
      <c r="G24281" s="272" t="s">
        <v>1099</v>
      </c>
    </row>
    <row r="24282">
      <c r="B24282" s="31"/>
      <c r="G24282" s="272" t="s">
        <v>1099</v>
      </c>
    </row>
    <row r="24283">
      <c r="B24283" s="31"/>
      <c r="G24283" s="272" t="s">
        <v>1099</v>
      </c>
    </row>
    <row r="24284">
      <c r="B24284" s="31"/>
      <c r="G24284" s="272" t="s">
        <v>1099</v>
      </c>
    </row>
    <row r="24285">
      <c r="B24285" s="31"/>
      <c r="G24285" s="272" t="s">
        <v>1099</v>
      </c>
    </row>
    <row r="24286">
      <c r="B24286" s="31"/>
      <c r="G24286" s="272" t="s">
        <v>1099</v>
      </c>
    </row>
    <row r="24287">
      <c r="B24287" s="31"/>
      <c r="G24287" s="272" t="s">
        <v>1099</v>
      </c>
    </row>
    <row r="24288">
      <c r="B24288" s="31"/>
      <c r="G24288" s="272" t="s">
        <v>1099</v>
      </c>
    </row>
    <row r="24289">
      <c r="B24289" s="31"/>
      <c r="G24289" s="272" t="s">
        <v>1099</v>
      </c>
    </row>
    <row r="24290">
      <c r="B24290" s="31"/>
      <c r="G24290" s="272" t="s">
        <v>1099</v>
      </c>
    </row>
    <row r="24291">
      <c r="B24291" s="31"/>
      <c r="G24291" s="272" t="s">
        <v>1099</v>
      </c>
    </row>
    <row r="24292">
      <c r="B24292" s="31"/>
      <c r="G24292" s="272" t="s">
        <v>1099</v>
      </c>
    </row>
    <row r="24293">
      <c r="B24293" s="31"/>
      <c r="G24293" s="272" t="s">
        <v>1099</v>
      </c>
    </row>
    <row r="24294">
      <c r="B24294" s="31"/>
      <c r="G24294" s="272" t="s">
        <v>1099</v>
      </c>
    </row>
    <row r="24295">
      <c r="B24295" s="31"/>
      <c r="G24295" s="272" t="s">
        <v>1099</v>
      </c>
    </row>
    <row r="24296">
      <c r="B24296" s="31"/>
      <c r="G24296" s="272" t="s">
        <v>1099</v>
      </c>
    </row>
    <row r="24297">
      <c r="B24297" s="31"/>
      <c r="G24297" s="272" t="s">
        <v>1099</v>
      </c>
    </row>
    <row r="24298">
      <c r="B24298" s="31"/>
      <c r="G24298" s="272" t="s">
        <v>1099</v>
      </c>
    </row>
    <row r="24299">
      <c r="B24299" s="31"/>
      <c r="G24299" s="272" t="s">
        <v>1099</v>
      </c>
    </row>
    <row r="24300">
      <c r="B24300" s="31"/>
      <c r="G24300" s="272" t="s">
        <v>1099</v>
      </c>
    </row>
    <row r="24301">
      <c r="B24301" s="31"/>
      <c r="G24301" s="272" t="s">
        <v>1099</v>
      </c>
    </row>
    <row r="24302">
      <c r="B24302" s="31"/>
      <c r="G24302" s="272" t="s">
        <v>1099</v>
      </c>
    </row>
    <row r="24303">
      <c r="B24303" s="31"/>
      <c r="G24303" s="272" t="s">
        <v>1099</v>
      </c>
    </row>
    <row r="24304">
      <c r="B24304" s="31"/>
      <c r="G24304" s="272" t="s">
        <v>1099</v>
      </c>
    </row>
    <row r="24305">
      <c r="B24305" s="31"/>
      <c r="G24305" s="272" t="s">
        <v>1099</v>
      </c>
    </row>
    <row r="24306">
      <c r="B24306" s="31"/>
      <c r="G24306" s="272" t="s">
        <v>1099</v>
      </c>
    </row>
    <row r="24307">
      <c r="B24307" s="31"/>
      <c r="G24307" s="272" t="s">
        <v>1099</v>
      </c>
    </row>
    <row r="24308">
      <c r="B24308" s="31"/>
      <c r="G24308" s="272" t="s">
        <v>1099</v>
      </c>
    </row>
    <row r="24309">
      <c r="B24309" s="31"/>
      <c r="G24309" s="272" t="s">
        <v>1099</v>
      </c>
    </row>
    <row r="24310">
      <c r="B24310" s="31"/>
      <c r="G24310" s="272" t="s">
        <v>1099</v>
      </c>
    </row>
    <row r="24311">
      <c r="B24311" s="31"/>
      <c r="G24311" s="272" t="s">
        <v>1099</v>
      </c>
    </row>
    <row r="24312">
      <c r="B24312" s="31"/>
      <c r="G24312" s="272" t="s">
        <v>1099</v>
      </c>
    </row>
    <row r="24313">
      <c r="B24313" s="31"/>
      <c r="G24313" s="272" t="s">
        <v>1099</v>
      </c>
    </row>
    <row r="24314">
      <c r="B24314" s="31"/>
      <c r="G24314" s="272" t="s">
        <v>1099</v>
      </c>
    </row>
    <row r="24315">
      <c r="B24315" s="31"/>
      <c r="G24315" s="272" t="s">
        <v>1099</v>
      </c>
    </row>
    <row r="24316">
      <c r="B24316" s="31"/>
      <c r="G24316" s="272" t="s">
        <v>1099</v>
      </c>
    </row>
    <row r="24317">
      <c r="B24317" s="31"/>
      <c r="G24317" s="272" t="s">
        <v>1099</v>
      </c>
    </row>
    <row r="24318">
      <c r="B24318" s="31"/>
      <c r="G24318" s="272" t="s">
        <v>1099</v>
      </c>
    </row>
    <row r="24319">
      <c r="B24319" s="31"/>
      <c r="G24319" s="272" t="s">
        <v>1099</v>
      </c>
    </row>
    <row r="24320">
      <c r="B24320" s="31"/>
      <c r="G24320" s="272" t="s">
        <v>1099</v>
      </c>
    </row>
    <row r="24321">
      <c r="B24321" s="31"/>
      <c r="G24321" s="272" t="s">
        <v>1099</v>
      </c>
    </row>
    <row r="24322">
      <c r="B24322" s="31"/>
      <c r="G24322" s="272" t="s">
        <v>1099</v>
      </c>
    </row>
    <row r="24323">
      <c r="B24323" s="31"/>
      <c r="G24323" s="272" t="s">
        <v>1099</v>
      </c>
    </row>
    <row r="24324">
      <c r="B24324" s="31"/>
      <c r="G24324" s="272" t="s">
        <v>1099</v>
      </c>
    </row>
    <row r="24325">
      <c r="B24325" s="31"/>
      <c r="G24325" s="272" t="s">
        <v>1099</v>
      </c>
    </row>
    <row r="24326">
      <c r="B24326" s="31"/>
      <c r="G24326" s="272" t="s">
        <v>1099</v>
      </c>
    </row>
    <row r="24327">
      <c r="B24327" s="31"/>
      <c r="G24327" s="272" t="s">
        <v>1099</v>
      </c>
    </row>
    <row r="24328">
      <c r="B24328" s="31"/>
      <c r="G24328" s="272" t="s">
        <v>1099</v>
      </c>
    </row>
    <row r="24329">
      <c r="B24329" s="31"/>
      <c r="G24329" s="272" t="s">
        <v>1099</v>
      </c>
    </row>
    <row r="24330">
      <c r="B24330" s="31"/>
      <c r="G24330" s="272" t="s">
        <v>1099</v>
      </c>
    </row>
    <row r="24331">
      <c r="B24331" s="31"/>
      <c r="G24331" s="272" t="s">
        <v>1099</v>
      </c>
    </row>
    <row r="24332">
      <c r="B24332" s="31"/>
      <c r="G24332" s="272" t="s">
        <v>1099</v>
      </c>
    </row>
    <row r="24333">
      <c r="B24333" s="31"/>
      <c r="G24333" s="272" t="s">
        <v>1099</v>
      </c>
    </row>
    <row r="24334">
      <c r="B24334" s="31"/>
      <c r="G24334" s="272" t="s">
        <v>1099</v>
      </c>
    </row>
    <row r="24335">
      <c r="B24335" s="31"/>
      <c r="G24335" s="272" t="s">
        <v>1099</v>
      </c>
    </row>
    <row r="24336">
      <c r="B24336" s="31"/>
      <c r="G24336" s="272" t="s">
        <v>1099</v>
      </c>
    </row>
    <row r="24337">
      <c r="B24337" s="31"/>
      <c r="G24337" s="272" t="s">
        <v>1099</v>
      </c>
    </row>
    <row r="24338">
      <c r="B24338" s="31"/>
      <c r="G24338" s="272" t="s">
        <v>1099</v>
      </c>
    </row>
    <row r="24339">
      <c r="B24339" s="31"/>
      <c r="G24339" s="272" t="s">
        <v>1099</v>
      </c>
    </row>
    <row r="24340">
      <c r="B24340" s="31"/>
      <c r="G24340" s="272" t="s">
        <v>1099</v>
      </c>
    </row>
    <row r="24341">
      <c r="B24341" s="31"/>
      <c r="G24341" s="272" t="s">
        <v>1099</v>
      </c>
    </row>
    <row r="24342">
      <c r="B24342" s="31"/>
      <c r="G24342" s="272" t="s">
        <v>1099</v>
      </c>
    </row>
    <row r="24343">
      <c r="B24343" s="31"/>
      <c r="G24343" s="272" t="s">
        <v>1099</v>
      </c>
    </row>
    <row r="24344">
      <c r="B24344" s="31"/>
      <c r="G24344" s="272" t="s">
        <v>1099</v>
      </c>
    </row>
    <row r="24345">
      <c r="B24345" s="31"/>
      <c r="G24345" s="272" t="s">
        <v>1099</v>
      </c>
    </row>
    <row r="24346">
      <c r="B24346" s="31"/>
      <c r="G24346" s="272" t="s">
        <v>1099</v>
      </c>
    </row>
    <row r="24347">
      <c r="B24347" s="31"/>
      <c r="G24347" s="272" t="s">
        <v>1099</v>
      </c>
    </row>
    <row r="24348">
      <c r="B24348" s="31"/>
      <c r="G24348" s="272" t="s">
        <v>1099</v>
      </c>
    </row>
    <row r="24349">
      <c r="B24349" s="31"/>
      <c r="G24349" s="272" t="s">
        <v>1099</v>
      </c>
    </row>
    <row r="24350">
      <c r="B24350" s="31"/>
      <c r="G24350" s="272" t="s">
        <v>1099</v>
      </c>
    </row>
    <row r="24351">
      <c r="B24351" s="31"/>
      <c r="G24351" s="272" t="s">
        <v>1099</v>
      </c>
    </row>
    <row r="24352">
      <c r="B24352" s="31"/>
      <c r="G24352" s="272" t="s">
        <v>1099</v>
      </c>
    </row>
    <row r="24353">
      <c r="B24353" s="31"/>
      <c r="G24353" s="272" t="s">
        <v>1099</v>
      </c>
    </row>
    <row r="24354">
      <c r="B24354" s="31"/>
      <c r="G24354" s="272" t="s">
        <v>1099</v>
      </c>
    </row>
    <row r="24355">
      <c r="B24355" s="31"/>
      <c r="G24355" s="272" t="s">
        <v>1099</v>
      </c>
    </row>
    <row r="24356">
      <c r="B24356" s="31"/>
      <c r="G24356" s="272" t="s">
        <v>1099</v>
      </c>
    </row>
    <row r="24357">
      <c r="B24357" s="31"/>
      <c r="G24357" s="272" t="s">
        <v>1099</v>
      </c>
    </row>
    <row r="24358">
      <c r="B24358" s="31"/>
      <c r="G24358" s="272" t="s">
        <v>1099</v>
      </c>
    </row>
    <row r="24359">
      <c r="B24359" s="31"/>
      <c r="G24359" s="272" t="s">
        <v>1099</v>
      </c>
    </row>
    <row r="24360">
      <c r="B24360" s="31"/>
      <c r="G24360" s="272" t="s">
        <v>1099</v>
      </c>
    </row>
    <row r="24361">
      <c r="B24361" s="31"/>
      <c r="G24361" s="272" t="s">
        <v>1099</v>
      </c>
    </row>
    <row r="24362">
      <c r="B24362" s="31"/>
      <c r="G24362" s="272" t="s">
        <v>1099</v>
      </c>
    </row>
    <row r="24363">
      <c r="B24363" s="31"/>
      <c r="G24363" s="272" t="s">
        <v>1099</v>
      </c>
    </row>
    <row r="24364">
      <c r="B24364" s="31"/>
      <c r="G24364" s="272" t="s">
        <v>1099</v>
      </c>
    </row>
    <row r="24365">
      <c r="B24365" s="31"/>
      <c r="G24365" s="272" t="s">
        <v>1099</v>
      </c>
    </row>
    <row r="24366">
      <c r="B24366" s="31"/>
      <c r="G24366" s="272" t="s">
        <v>1099</v>
      </c>
    </row>
    <row r="24367">
      <c r="B24367" s="31"/>
      <c r="G24367" s="272" t="s">
        <v>1099</v>
      </c>
    </row>
    <row r="24368">
      <c r="B24368" s="31"/>
      <c r="G24368" s="272" t="s">
        <v>1099</v>
      </c>
    </row>
    <row r="24369">
      <c r="B24369" s="31"/>
      <c r="G24369" s="272" t="s">
        <v>1099</v>
      </c>
    </row>
    <row r="24370">
      <c r="B24370" s="31"/>
      <c r="G24370" s="272" t="s">
        <v>1099</v>
      </c>
    </row>
    <row r="24371">
      <c r="B24371" s="31"/>
      <c r="G24371" s="272" t="s">
        <v>1099</v>
      </c>
    </row>
    <row r="24372">
      <c r="B24372" s="31"/>
      <c r="G24372" s="272" t="s">
        <v>1099</v>
      </c>
    </row>
    <row r="24373">
      <c r="B24373" s="31"/>
      <c r="G24373" s="272" t="s">
        <v>1099</v>
      </c>
    </row>
    <row r="24374">
      <c r="B24374" s="31"/>
      <c r="G24374" s="272" t="s">
        <v>1099</v>
      </c>
    </row>
    <row r="24375">
      <c r="B24375" s="31"/>
      <c r="G24375" s="272" t="s">
        <v>1099</v>
      </c>
    </row>
    <row r="24376">
      <c r="B24376" s="31"/>
      <c r="G24376" s="272" t="s">
        <v>1099</v>
      </c>
    </row>
    <row r="24377">
      <c r="B24377" s="31"/>
      <c r="G24377" s="272" t="s">
        <v>1099</v>
      </c>
    </row>
    <row r="24378">
      <c r="B24378" s="31"/>
      <c r="G24378" s="272" t="s">
        <v>1099</v>
      </c>
    </row>
    <row r="24379">
      <c r="B24379" s="31"/>
      <c r="G24379" s="272" t="s">
        <v>1099</v>
      </c>
    </row>
    <row r="24380">
      <c r="B24380" s="31"/>
      <c r="G24380" s="272" t="s">
        <v>1099</v>
      </c>
    </row>
    <row r="24381">
      <c r="B24381" s="31"/>
      <c r="G24381" s="272" t="s">
        <v>1099</v>
      </c>
    </row>
    <row r="24382">
      <c r="B24382" s="31"/>
      <c r="G24382" s="272" t="s">
        <v>1099</v>
      </c>
    </row>
    <row r="24383">
      <c r="B24383" s="31"/>
      <c r="G24383" s="272" t="s">
        <v>1099</v>
      </c>
    </row>
    <row r="24384">
      <c r="B24384" s="31"/>
      <c r="G24384" s="272" t="s">
        <v>1099</v>
      </c>
    </row>
    <row r="24385">
      <c r="B24385" s="31"/>
      <c r="G24385" s="272" t="s">
        <v>1099</v>
      </c>
    </row>
    <row r="24386">
      <c r="B24386" s="31"/>
      <c r="G24386" s="272" t="s">
        <v>1099</v>
      </c>
    </row>
    <row r="24387">
      <c r="B24387" s="31"/>
      <c r="G24387" s="272" t="s">
        <v>1099</v>
      </c>
    </row>
    <row r="24388">
      <c r="B24388" s="31"/>
      <c r="G24388" s="272" t="s">
        <v>1099</v>
      </c>
    </row>
    <row r="24389">
      <c r="B24389" s="31"/>
      <c r="G24389" s="272" t="s">
        <v>1099</v>
      </c>
    </row>
    <row r="24390">
      <c r="B24390" s="31"/>
      <c r="G24390" s="272" t="s">
        <v>1099</v>
      </c>
    </row>
    <row r="24391">
      <c r="B24391" s="31"/>
      <c r="G24391" s="272" t="s">
        <v>1099</v>
      </c>
    </row>
    <row r="24392">
      <c r="B24392" s="31"/>
      <c r="G24392" s="272" t="s">
        <v>1099</v>
      </c>
    </row>
    <row r="24393">
      <c r="B24393" s="31"/>
      <c r="G24393" s="272" t="s">
        <v>1099</v>
      </c>
    </row>
    <row r="24394">
      <c r="B24394" s="31"/>
      <c r="G24394" s="272" t="s">
        <v>1099</v>
      </c>
    </row>
    <row r="24395">
      <c r="B24395" s="31"/>
      <c r="G24395" s="272" t="s">
        <v>1099</v>
      </c>
    </row>
    <row r="24396">
      <c r="B24396" s="31"/>
      <c r="G24396" s="272" t="s">
        <v>1099</v>
      </c>
    </row>
    <row r="24397">
      <c r="B24397" s="31"/>
      <c r="G24397" s="272" t="s">
        <v>1099</v>
      </c>
    </row>
    <row r="24398">
      <c r="B24398" s="31"/>
      <c r="G24398" s="272" t="s">
        <v>1099</v>
      </c>
    </row>
    <row r="24399">
      <c r="B24399" s="31"/>
      <c r="G24399" s="272" t="s">
        <v>1099</v>
      </c>
    </row>
    <row r="24400">
      <c r="B24400" s="31"/>
      <c r="G24400" s="272" t="s">
        <v>1099</v>
      </c>
    </row>
    <row r="24401">
      <c r="B24401" s="31"/>
      <c r="G24401" s="272" t="s">
        <v>1099</v>
      </c>
    </row>
    <row r="24402">
      <c r="B24402" s="31"/>
      <c r="G24402" s="272" t="s">
        <v>1099</v>
      </c>
    </row>
    <row r="24403">
      <c r="B24403" s="31"/>
      <c r="G24403" s="272" t="s">
        <v>1099</v>
      </c>
    </row>
    <row r="24404">
      <c r="B24404" s="31"/>
      <c r="G24404" s="272" t="s">
        <v>1099</v>
      </c>
    </row>
    <row r="24405">
      <c r="B24405" s="31"/>
      <c r="G24405" s="272" t="s">
        <v>1099</v>
      </c>
    </row>
    <row r="24406">
      <c r="B24406" s="31"/>
      <c r="G24406" s="272" t="s">
        <v>1099</v>
      </c>
    </row>
    <row r="24407">
      <c r="B24407" s="31"/>
      <c r="G24407" s="272" t="s">
        <v>1099</v>
      </c>
    </row>
    <row r="24408">
      <c r="B24408" s="31"/>
      <c r="G24408" s="272" t="s">
        <v>1099</v>
      </c>
    </row>
    <row r="24409">
      <c r="B24409" s="31"/>
      <c r="G24409" s="272" t="s">
        <v>1099</v>
      </c>
    </row>
    <row r="24410">
      <c r="B24410" s="31"/>
      <c r="G24410" s="272" t="s">
        <v>1099</v>
      </c>
    </row>
    <row r="24411">
      <c r="B24411" s="31"/>
      <c r="G24411" s="272" t="s">
        <v>1099</v>
      </c>
    </row>
    <row r="24412">
      <c r="B24412" s="31"/>
      <c r="G24412" s="272" t="s">
        <v>1099</v>
      </c>
    </row>
    <row r="24413">
      <c r="B24413" s="31"/>
      <c r="G24413" s="272" t="s">
        <v>1099</v>
      </c>
    </row>
    <row r="24414">
      <c r="B24414" s="31"/>
      <c r="G24414" s="272" t="s">
        <v>1099</v>
      </c>
    </row>
    <row r="24415">
      <c r="B24415" s="31"/>
      <c r="G24415" s="272" t="s">
        <v>1099</v>
      </c>
    </row>
    <row r="24416">
      <c r="B24416" s="31"/>
      <c r="G24416" s="272" t="s">
        <v>1099</v>
      </c>
    </row>
    <row r="24417">
      <c r="B24417" s="31"/>
      <c r="G24417" s="272" t="s">
        <v>1099</v>
      </c>
    </row>
    <row r="24418">
      <c r="B24418" s="31"/>
      <c r="G24418" s="272" t="s">
        <v>1099</v>
      </c>
    </row>
    <row r="24419">
      <c r="B24419" s="31"/>
      <c r="G24419" s="272" t="s">
        <v>1099</v>
      </c>
    </row>
    <row r="24420">
      <c r="B24420" s="31"/>
      <c r="G24420" s="272" t="s">
        <v>1099</v>
      </c>
    </row>
    <row r="24421">
      <c r="B24421" s="31"/>
      <c r="G24421" s="272" t="s">
        <v>1099</v>
      </c>
    </row>
    <row r="24422">
      <c r="B24422" s="31"/>
      <c r="G24422" s="272" t="s">
        <v>1099</v>
      </c>
    </row>
    <row r="24423">
      <c r="B24423" s="31"/>
      <c r="G24423" s="272" t="s">
        <v>1099</v>
      </c>
    </row>
    <row r="24424">
      <c r="B24424" s="31"/>
      <c r="G24424" s="272" t="s">
        <v>1099</v>
      </c>
    </row>
    <row r="24425">
      <c r="B24425" s="31"/>
      <c r="G24425" s="272" t="s">
        <v>1099</v>
      </c>
    </row>
    <row r="24426">
      <c r="B24426" s="31"/>
      <c r="G24426" s="272" t="s">
        <v>1099</v>
      </c>
    </row>
    <row r="24427">
      <c r="B24427" s="31"/>
      <c r="G24427" s="272" t="s">
        <v>1099</v>
      </c>
    </row>
    <row r="24428">
      <c r="B24428" s="31"/>
      <c r="G24428" s="272" t="s">
        <v>1099</v>
      </c>
    </row>
    <row r="24429">
      <c r="B24429" s="31"/>
      <c r="G24429" s="272" t="s">
        <v>1099</v>
      </c>
    </row>
    <row r="24430">
      <c r="B24430" s="31"/>
      <c r="G24430" s="272" t="s">
        <v>1099</v>
      </c>
    </row>
    <row r="24431">
      <c r="B24431" s="31"/>
      <c r="G24431" s="272" t="s">
        <v>1099</v>
      </c>
    </row>
    <row r="24432">
      <c r="B24432" s="31"/>
      <c r="G24432" s="272" t="s">
        <v>1099</v>
      </c>
    </row>
    <row r="24433">
      <c r="B24433" s="31"/>
      <c r="G24433" s="272" t="s">
        <v>1099</v>
      </c>
    </row>
    <row r="24434">
      <c r="B24434" s="31"/>
      <c r="G24434" s="272" t="s">
        <v>1099</v>
      </c>
    </row>
    <row r="24435">
      <c r="B24435" s="31"/>
      <c r="G24435" s="272" t="s">
        <v>1099</v>
      </c>
    </row>
    <row r="24436">
      <c r="B24436" s="31"/>
      <c r="G24436" s="272" t="s">
        <v>1099</v>
      </c>
    </row>
    <row r="24437">
      <c r="B24437" s="31"/>
      <c r="G24437" s="272" t="s">
        <v>1099</v>
      </c>
    </row>
    <row r="24438">
      <c r="B24438" s="31"/>
      <c r="G24438" s="272" t="s">
        <v>1099</v>
      </c>
    </row>
    <row r="24439">
      <c r="B24439" s="31"/>
      <c r="G24439" s="272" t="s">
        <v>1099</v>
      </c>
    </row>
    <row r="24440">
      <c r="B24440" s="31"/>
      <c r="G24440" s="272" t="s">
        <v>1099</v>
      </c>
    </row>
    <row r="24441">
      <c r="B24441" s="31"/>
      <c r="G24441" s="272" t="s">
        <v>1099</v>
      </c>
    </row>
    <row r="24442">
      <c r="B24442" s="31"/>
      <c r="G24442" s="272" t="s">
        <v>1099</v>
      </c>
    </row>
    <row r="24443">
      <c r="B24443" s="31"/>
      <c r="G24443" s="272" t="s">
        <v>1099</v>
      </c>
    </row>
    <row r="24444">
      <c r="B24444" s="31"/>
      <c r="G24444" s="272" t="s">
        <v>1099</v>
      </c>
    </row>
    <row r="24445">
      <c r="B24445" s="31"/>
      <c r="G24445" s="272" t="s">
        <v>1099</v>
      </c>
    </row>
    <row r="24446">
      <c r="B24446" s="31"/>
      <c r="G24446" s="272" t="s">
        <v>1099</v>
      </c>
    </row>
    <row r="24447">
      <c r="B24447" s="31"/>
      <c r="G24447" s="272" t="s">
        <v>1099</v>
      </c>
    </row>
    <row r="24448">
      <c r="B24448" s="31"/>
      <c r="G24448" s="272" t="s">
        <v>1099</v>
      </c>
    </row>
    <row r="24449">
      <c r="B24449" s="31"/>
      <c r="G24449" s="272" t="s">
        <v>1099</v>
      </c>
    </row>
    <row r="24450">
      <c r="B24450" s="31"/>
      <c r="G24450" s="272" t="s">
        <v>1099</v>
      </c>
    </row>
    <row r="24451">
      <c r="B24451" s="31"/>
      <c r="G24451" s="272" t="s">
        <v>1099</v>
      </c>
    </row>
    <row r="24452">
      <c r="B24452" s="31"/>
      <c r="G24452" s="272" t="s">
        <v>1099</v>
      </c>
    </row>
    <row r="24453">
      <c r="B24453" s="31"/>
      <c r="G24453" s="272" t="s">
        <v>1099</v>
      </c>
    </row>
    <row r="24454">
      <c r="B24454" s="31"/>
      <c r="G24454" s="272" t="s">
        <v>1099</v>
      </c>
    </row>
    <row r="24455">
      <c r="B24455" s="31"/>
      <c r="G24455" s="272" t="s">
        <v>1099</v>
      </c>
    </row>
    <row r="24456">
      <c r="B24456" s="31"/>
      <c r="G24456" s="272" t="s">
        <v>1099</v>
      </c>
    </row>
    <row r="24457">
      <c r="B24457" s="31"/>
      <c r="G24457" s="272" t="s">
        <v>1099</v>
      </c>
    </row>
    <row r="24458">
      <c r="B24458" s="31"/>
      <c r="G24458" s="272" t="s">
        <v>1099</v>
      </c>
    </row>
    <row r="24459">
      <c r="B24459" s="31"/>
      <c r="G24459" s="272" t="s">
        <v>1099</v>
      </c>
    </row>
    <row r="24460">
      <c r="B24460" s="31"/>
      <c r="G24460" s="272" t="s">
        <v>1099</v>
      </c>
    </row>
    <row r="24461">
      <c r="B24461" s="31"/>
      <c r="G24461" s="272" t="s">
        <v>1099</v>
      </c>
    </row>
    <row r="24462">
      <c r="B24462" s="31"/>
      <c r="G24462" s="272" t="s">
        <v>1099</v>
      </c>
    </row>
    <row r="24463">
      <c r="B24463" s="31"/>
      <c r="G24463" s="272" t="s">
        <v>1099</v>
      </c>
    </row>
    <row r="24464">
      <c r="B24464" s="31"/>
      <c r="G24464" s="272" t="s">
        <v>1099</v>
      </c>
    </row>
    <row r="24465">
      <c r="B24465" s="31"/>
      <c r="G24465" s="272" t="s">
        <v>1099</v>
      </c>
    </row>
    <row r="24466">
      <c r="B24466" s="31"/>
      <c r="G24466" s="272" t="s">
        <v>1099</v>
      </c>
    </row>
    <row r="24467">
      <c r="B24467" s="31"/>
      <c r="G24467" s="272" t="s">
        <v>1099</v>
      </c>
    </row>
    <row r="24468">
      <c r="B24468" s="31"/>
      <c r="G24468" s="272" t="s">
        <v>1099</v>
      </c>
    </row>
    <row r="24469">
      <c r="B24469" s="31"/>
      <c r="G24469" s="272" t="s">
        <v>1099</v>
      </c>
    </row>
    <row r="24470">
      <c r="B24470" s="31"/>
      <c r="G24470" s="272" t="s">
        <v>1099</v>
      </c>
    </row>
    <row r="24471">
      <c r="B24471" s="31"/>
      <c r="G24471" s="272" t="s">
        <v>1099</v>
      </c>
    </row>
    <row r="24472">
      <c r="B24472" s="31"/>
      <c r="G24472" s="272" t="s">
        <v>1099</v>
      </c>
    </row>
    <row r="24473">
      <c r="B24473" s="31"/>
      <c r="G24473" s="272" t="s">
        <v>1099</v>
      </c>
    </row>
    <row r="24474">
      <c r="B24474" s="31"/>
      <c r="G24474" s="272" t="s">
        <v>1099</v>
      </c>
    </row>
    <row r="24475">
      <c r="B24475" s="31"/>
      <c r="G24475" s="272" t="s">
        <v>1099</v>
      </c>
    </row>
    <row r="24476">
      <c r="B24476" s="31"/>
      <c r="G24476" s="272" t="s">
        <v>1099</v>
      </c>
    </row>
    <row r="24477">
      <c r="B24477" s="31"/>
      <c r="G24477" s="272" t="s">
        <v>1099</v>
      </c>
    </row>
    <row r="24478">
      <c r="B24478" s="31"/>
      <c r="G24478" s="272" t="s">
        <v>1099</v>
      </c>
    </row>
    <row r="24479">
      <c r="B24479" s="31"/>
      <c r="G24479" s="272" t="s">
        <v>1099</v>
      </c>
    </row>
    <row r="24480">
      <c r="B24480" s="31"/>
      <c r="G24480" s="272" t="s">
        <v>1099</v>
      </c>
    </row>
    <row r="24481">
      <c r="B24481" s="31"/>
      <c r="G24481" s="272" t="s">
        <v>1099</v>
      </c>
    </row>
    <row r="24482">
      <c r="B24482" s="31"/>
      <c r="G24482" s="272" t="s">
        <v>1099</v>
      </c>
    </row>
    <row r="24483">
      <c r="B24483" s="31"/>
      <c r="G24483" s="272" t="s">
        <v>1099</v>
      </c>
    </row>
    <row r="24484">
      <c r="B24484" s="31"/>
      <c r="G24484" s="272" t="s">
        <v>1099</v>
      </c>
    </row>
    <row r="24485">
      <c r="B24485" s="31"/>
      <c r="G24485" s="272" t="s">
        <v>1099</v>
      </c>
    </row>
    <row r="24486">
      <c r="B24486" s="31"/>
      <c r="G24486" s="272" t="s">
        <v>1099</v>
      </c>
    </row>
    <row r="24487">
      <c r="B24487" s="31"/>
      <c r="G24487" s="272" t="s">
        <v>1099</v>
      </c>
    </row>
    <row r="24488">
      <c r="B24488" s="31"/>
      <c r="G24488" s="272" t="s">
        <v>1099</v>
      </c>
    </row>
    <row r="24489">
      <c r="B24489" s="31"/>
      <c r="G24489" s="272" t="s">
        <v>1099</v>
      </c>
    </row>
    <row r="24490">
      <c r="B24490" s="31"/>
      <c r="G24490" s="272" t="s">
        <v>1099</v>
      </c>
    </row>
    <row r="24491">
      <c r="B24491" s="31"/>
      <c r="G24491" s="272" t="s">
        <v>1099</v>
      </c>
    </row>
    <row r="24492">
      <c r="B24492" s="31"/>
      <c r="G24492" s="272" t="s">
        <v>1099</v>
      </c>
    </row>
    <row r="24493">
      <c r="B24493" s="31"/>
      <c r="G24493" s="272" t="s">
        <v>1099</v>
      </c>
    </row>
    <row r="24494">
      <c r="B24494" s="31"/>
      <c r="G24494" s="272" t="s">
        <v>1099</v>
      </c>
    </row>
    <row r="24495">
      <c r="B24495" s="31"/>
      <c r="G24495" s="272" t="s">
        <v>1099</v>
      </c>
    </row>
    <row r="24496">
      <c r="B24496" s="31"/>
      <c r="G24496" s="272" t="s">
        <v>1099</v>
      </c>
    </row>
    <row r="24497">
      <c r="B24497" s="31"/>
      <c r="G24497" s="272" t="s">
        <v>1099</v>
      </c>
    </row>
    <row r="24498">
      <c r="B24498" s="31"/>
      <c r="G24498" s="272" t="s">
        <v>1099</v>
      </c>
    </row>
    <row r="24499">
      <c r="B24499" s="31"/>
      <c r="G24499" s="272" t="s">
        <v>1099</v>
      </c>
    </row>
    <row r="24500">
      <c r="B24500" s="31"/>
      <c r="G24500" s="272" t="s">
        <v>1099</v>
      </c>
    </row>
    <row r="24501">
      <c r="B24501" s="31"/>
      <c r="G24501" s="272" t="s">
        <v>1099</v>
      </c>
    </row>
    <row r="24502">
      <c r="B24502" s="31"/>
      <c r="G24502" s="272" t="s">
        <v>1099</v>
      </c>
    </row>
    <row r="24503">
      <c r="B24503" s="31"/>
      <c r="G24503" s="272" t="s">
        <v>1099</v>
      </c>
    </row>
    <row r="24504">
      <c r="B24504" s="31"/>
      <c r="G24504" s="272" t="s">
        <v>1099</v>
      </c>
    </row>
    <row r="24505">
      <c r="B24505" s="31"/>
      <c r="G24505" s="272" t="s">
        <v>1099</v>
      </c>
    </row>
    <row r="24506">
      <c r="B24506" s="31"/>
      <c r="G24506" s="272" t="s">
        <v>1099</v>
      </c>
    </row>
    <row r="24507">
      <c r="B24507" s="31"/>
      <c r="G24507" s="272" t="s">
        <v>1099</v>
      </c>
    </row>
    <row r="24508">
      <c r="B24508" s="31"/>
      <c r="G24508" s="272" t="s">
        <v>1099</v>
      </c>
    </row>
    <row r="24509">
      <c r="B24509" s="31"/>
      <c r="G24509" s="272" t="s">
        <v>1099</v>
      </c>
    </row>
    <row r="24510">
      <c r="B24510" s="31"/>
      <c r="G24510" s="272" t="s">
        <v>1099</v>
      </c>
    </row>
    <row r="24511">
      <c r="B24511" s="31"/>
      <c r="G24511" s="272" t="s">
        <v>1099</v>
      </c>
    </row>
    <row r="24512">
      <c r="B24512" s="31"/>
      <c r="G24512" s="272" t="s">
        <v>1099</v>
      </c>
    </row>
    <row r="24513">
      <c r="B24513" s="31"/>
      <c r="G24513" s="272" t="s">
        <v>1099</v>
      </c>
    </row>
    <row r="24514">
      <c r="B24514" s="31"/>
      <c r="G24514" s="272" t="s">
        <v>1099</v>
      </c>
    </row>
    <row r="24515">
      <c r="B24515" s="31"/>
      <c r="G24515" s="272" t="s">
        <v>1099</v>
      </c>
    </row>
    <row r="24516">
      <c r="B24516" s="31"/>
      <c r="G24516" s="272" t="s">
        <v>1099</v>
      </c>
    </row>
    <row r="24517">
      <c r="B24517" s="31"/>
      <c r="G24517" s="272" t="s">
        <v>1099</v>
      </c>
    </row>
    <row r="24518">
      <c r="B24518" s="31"/>
      <c r="G24518" s="272" t="s">
        <v>1099</v>
      </c>
    </row>
    <row r="24519">
      <c r="B24519" s="31"/>
      <c r="G24519" s="272" t="s">
        <v>1099</v>
      </c>
    </row>
    <row r="24520">
      <c r="B24520" s="31"/>
      <c r="G24520" s="272" t="s">
        <v>1099</v>
      </c>
    </row>
    <row r="24521">
      <c r="B24521" s="31"/>
      <c r="G24521" s="272" t="s">
        <v>1099</v>
      </c>
    </row>
    <row r="24522">
      <c r="B24522" s="31"/>
      <c r="G24522" s="272" t="s">
        <v>1099</v>
      </c>
    </row>
    <row r="24523">
      <c r="B24523" s="31"/>
      <c r="G24523" s="272" t="s">
        <v>1099</v>
      </c>
    </row>
    <row r="24524">
      <c r="B24524" s="31"/>
      <c r="G24524" s="272" t="s">
        <v>1099</v>
      </c>
    </row>
    <row r="24525">
      <c r="B24525" s="31"/>
      <c r="G24525" s="272" t="s">
        <v>1099</v>
      </c>
    </row>
    <row r="24526">
      <c r="B24526" s="31"/>
      <c r="G24526" s="272" t="s">
        <v>1099</v>
      </c>
    </row>
    <row r="24527">
      <c r="B24527" s="31"/>
      <c r="G24527" s="272" t="s">
        <v>1099</v>
      </c>
    </row>
    <row r="24528">
      <c r="B24528" s="31"/>
      <c r="G24528" s="272" t="s">
        <v>1099</v>
      </c>
    </row>
    <row r="24529">
      <c r="B24529" s="31"/>
      <c r="G24529" s="272" t="s">
        <v>1099</v>
      </c>
    </row>
    <row r="24530">
      <c r="B24530" s="31"/>
      <c r="G24530" s="272" t="s">
        <v>1099</v>
      </c>
    </row>
    <row r="24531">
      <c r="B24531" s="31"/>
      <c r="G24531" s="272" t="s">
        <v>1099</v>
      </c>
    </row>
    <row r="24532">
      <c r="B24532" s="31"/>
      <c r="G24532" s="272" t="s">
        <v>1099</v>
      </c>
    </row>
    <row r="24533">
      <c r="B24533" s="31"/>
      <c r="G24533" s="272" t="s">
        <v>1099</v>
      </c>
    </row>
    <row r="24534">
      <c r="B24534" s="31"/>
      <c r="G24534" s="272" t="s">
        <v>1099</v>
      </c>
    </row>
    <row r="24535">
      <c r="B24535" s="31"/>
      <c r="G24535" s="272" t="s">
        <v>1099</v>
      </c>
    </row>
    <row r="24536">
      <c r="B24536" s="31"/>
      <c r="G24536" s="272" t="s">
        <v>1099</v>
      </c>
    </row>
    <row r="24537">
      <c r="B24537" s="31"/>
      <c r="G24537" s="272" t="s">
        <v>1099</v>
      </c>
    </row>
    <row r="24538">
      <c r="B24538" s="31"/>
      <c r="G24538" s="272" t="s">
        <v>1099</v>
      </c>
    </row>
    <row r="24539">
      <c r="B24539" s="31"/>
      <c r="G24539" s="272" t="s">
        <v>1099</v>
      </c>
    </row>
    <row r="24540">
      <c r="B24540" s="31"/>
      <c r="G24540" s="272" t="s">
        <v>1099</v>
      </c>
    </row>
    <row r="24541">
      <c r="B24541" s="31"/>
      <c r="G24541" s="272" t="s">
        <v>1099</v>
      </c>
    </row>
    <row r="24542">
      <c r="B24542" s="31"/>
      <c r="G24542" s="272" t="s">
        <v>1099</v>
      </c>
    </row>
    <row r="24543">
      <c r="B24543" s="31"/>
      <c r="G24543" s="272" t="s">
        <v>1099</v>
      </c>
    </row>
    <row r="24544">
      <c r="B24544" s="31"/>
      <c r="G24544" s="272" t="s">
        <v>1099</v>
      </c>
    </row>
    <row r="24545">
      <c r="B24545" s="31"/>
      <c r="G24545" s="272" t="s">
        <v>1099</v>
      </c>
    </row>
    <row r="24546">
      <c r="B24546" s="31"/>
      <c r="G24546" s="272" t="s">
        <v>1099</v>
      </c>
    </row>
    <row r="24547">
      <c r="B24547" s="31"/>
      <c r="G24547" s="272" t="s">
        <v>1099</v>
      </c>
    </row>
    <row r="24548">
      <c r="B24548" s="31"/>
      <c r="G24548" s="272" t="s">
        <v>1099</v>
      </c>
    </row>
    <row r="24549">
      <c r="B24549" s="31"/>
      <c r="G24549" s="272" t="s">
        <v>1099</v>
      </c>
    </row>
    <row r="24550">
      <c r="B24550" s="31"/>
      <c r="G24550" s="272" t="s">
        <v>1099</v>
      </c>
    </row>
    <row r="24551">
      <c r="B24551" s="31"/>
      <c r="G24551" s="272" t="s">
        <v>1099</v>
      </c>
    </row>
    <row r="24552">
      <c r="B24552" s="31"/>
      <c r="G24552" s="272" t="s">
        <v>1099</v>
      </c>
    </row>
    <row r="24553">
      <c r="B24553" s="31"/>
      <c r="G24553" s="272" t="s">
        <v>1099</v>
      </c>
    </row>
    <row r="24554">
      <c r="B24554" s="31"/>
      <c r="G24554" s="272" t="s">
        <v>1099</v>
      </c>
    </row>
    <row r="24555">
      <c r="B24555" s="31"/>
      <c r="G24555" s="272" t="s">
        <v>1099</v>
      </c>
    </row>
    <row r="24556">
      <c r="B24556" s="31"/>
      <c r="G24556" s="272" t="s">
        <v>1099</v>
      </c>
    </row>
    <row r="24557">
      <c r="B24557" s="31"/>
      <c r="G24557" s="272" t="s">
        <v>1099</v>
      </c>
    </row>
    <row r="24558">
      <c r="B24558" s="31"/>
      <c r="G24558" s="272" t="s">
        <v>1099</v>
      </c>
    </row>
    <row r="24559">
      <c r="B24559" s="31"/>
      <c r="G24559" s="272" t="s">
        <v>1099</v>
      </c>
    </row>
    <row r="24560">
      <c r="B24560" s="31"/>
      <c r="G24560" s="272" t="s">
        <v>1099</v>
      </c>
    </row>
    <row r="24561">
      <c r="B24561" s="31"/>
      <c r="G24561" s="272" t="s">
        <v>1099</v>
      </c>
    </row>
    <row r="24562">
      <c r="B24562" s="31"/>
      <c r="G24562" s="272" t="s">
        <v>1099</v>
      </c>
    </row>
    <row r="24563">
      <c r="B24563" s="31"/>
      <c r="G24563" s="272" t="s">
        <v>1099</v>
      </c>
    </row>
    <row r="24564">
      <c r="B24564" s="31"/>
      <c r="G24564" s="272" t="s">
        <v>1099</v>
      </c>
    </row>
    <row r="24565">
      <c r="B24565" s="31"/>
      <c r="G24565" s="272" t="s">
        <v>1099</v>
      </c>
    </row>
    <row r="24566">
      <c r="B24566" s="31"/>
      <c r="G24566" s="272" t="s">
        <v>1099</v>
      </c>
    </row>
    <row r="24567">
      <c r="B24567" s="31"/>
      <c r="G24567" s="272" t="s">
        <v>1099</v>
      </c>
    </row>
    <row r="24568">
      <c r="B24568" s="31"/>
      <c r="G24568" s="272" t="s">
        <v>1099</v>
      </c>
    </row>
    <row r="24569">
      <c r="B24569" s="31"/>
      <c r="G24569" s="272" t="s">
        <v>1099</v>
      </c>
    </row>
    <row r="24570">
      <c r="B24570" s="31"/>
      <c r="G24570" s="272" t="s">
        <v>1099</v>
      </c>
    </row>
    <row r="24571">
      <c r="B24571" s="31"/>
      <c r="G24571" s="272" t="s">
        <v>1099</v>
      </c>
    </row>
    <row r="24572">
      <c r="B24572" s="31"/>
      <c r="G24572" s="272" t="s">
        <v>1099</v>
      </c>
    </row>
    <row r="24573">
      <c r="B24573" s="31"/>
      <c r="G24573" s="272" t="s">
        <v>1099</v>
      </c>
    </row>
    <row r="24574">
      <c r="B24574" s="31"/>
      <c r="G24574" s="272" t="s">
        <v>1099</v>
      </c>
    </row>
    <row r="24575">
      <c r="B24575" s="31"/>
      <c r="G24575" s="272" t="s">
        <v>1099</v>
      </c>
    </row>
    <row r="24576">
      <c r="B24576" s="31"/>
      <c r="G24576" s="272" t="s">
        <v>1099</v>
      </c>
    </row>
    <row r="24577">
      <c r="B24577" s="31"/>
      <c r="G24577" s="272" t="s">
        <v>1099</v>
      </c>
    </row>
    <row r="24578">
      <c r="B24578" s="31"/>
      <c r="G24578" s="272" t="s">
        <v>1099</v>
      </c>
    </row>
    <row r="24579">
      <c r="B24579" s="31"/>
      <c r="G24579" s="272" t="s">
        <v>1099</v>
      </c>
    </row>
    <row r="24580">
      <c r="B24580" s="31"/>
      <c r="G24580" s="272" t="s">
        <v>1099</v>
      </c>
    </row>
    <row r="24581">
      <c r="B24581" s="31"/>
      <c r="G24581" s="272" t="s">
        <v>1099</v>
      </c>
    </row>
    <row r="24582">
      <c r="B24582" s="31"/>
      <c r="G24582" s="272" t="s">
        <v>1099</v>
      </c>
    </row>
    <row r="24583">
      <c r="B24583" s="31"/>
      <c r="G24583" s="272" t="s">
        <v>1099</v>
      </c>
    </row>
    <row r="24584">
      <c r="B24584" s="31"/>
      <c r="G24584" s="272" t="s">
        <v>1099</v>
      </c>
    </row>
    <row r="24585">
      <c r="B24585" s="31"/>
      <c r="G24585" s="272" t="s">
        <v>1099</v>
      </c>
    </row>
    <row r="24586">
      <c r="B24586" s="31"/>
      <c r="G24586" s="272" t="s">
        <v>1099</v>
      </c>
    </row>
    <row r="24587">
      <c r="B24587" s="31"/>
      <c r="G24587" s="272" t="s">
        <v>1099</v>
      </c>
    </row>
    <row r="24588">
      <c r="B24588" s="31"/>
      <c r="G24588" s="272" t="s">
        <v>1099</v>
      </c>
    </row>
    <row r="24589">
      <c r="B24589" s="31"/>
      <c r="G24589" s="272" t="s">
        <v>1099</v>
      </c>
    </row>
    <row r="24590">
      <c r="B24590" s="31"/>
      <c r="G24590" s="272" t="s">
        <v>1099</v>
      </c>
    </row>
    <row r="24591">
      <c r="B24591" s="31"/>
      <c r="G24591" s="272" t="s">
        <v>1099</v>
      </c>
    </row>
    <row r="24592">
      <c r="B24592" s="31"/>
      <c r="G24592" s="272" t="s">
        <v>1099</v>
      </c>
    </row>
    <row r="24593">
      <c r="B24593" s="31"/>
      <c r="G24593" s="272" t="s">
        <v>1099</v>
      </c>
    </row>
    <row r="24594">
      <c r="B24594" s="31"/>
      <c r="G24594" s="272" t="s">
        <v>1099</v>
      </c>
    </row>
    <row r="24595">
      <c r="B24595" s="31"/>
      <c r="G24595" s="272" t="s">
        <v>1099</v>
      </c>
    </row>
    <row r="24596">
      <c r="B24596" s="31"/>
      <c r="G24596" s="272" t="s">
        <v>1099</v>
      </c>
    </row>
    <row r="24597">
      <c r="B24597" s="31"/>
      <c r="G24597" s="272" t="s">
        <v>1099</v>
      </c>
    </row>
    <row r="24598">
      <c r="B24598" s="31"/>
      <c r="G24598" s="272" t="s">
        <v>1099</v>
      </c>
    </row>
    <row r="24599">
      <c r="B24599" s="31"/>
      <c r="G24599" s="272" t="s">
        <v>1099</v>
      </c>
    </row>
    <row r="24600">
      <c r="B24600" s="31"/>
      <c r="G24600" s="272" t="s">
        <v>1099</v>
      </c>
    </row>
    <row r="24601">
      <c r="B24601" s="31"/>
      <c r="G24601" s="272" t="s">
        <v>1099</v>
      </c>
    </row>
    <row r="24602">
      <c r="B24602" s="31"/>
      <c r="G24602" s="272" t="s">
        <v>1099</v>
      </c>
    </row>
    <row r="24603">
      <c r="B24603" s="31"/>
      <c r="G24603" s="272" t="s">
        <v>1099</v>
      </c>
    </row>
    <row r="24604">
      <c r="B24604" s="31"/>
      <c r="G24604" s="272" t="s">
        <v>1099</v>
      </c>
    </row>
    <row r="24605">
      <c r="B24605" s="31"/>
      <c r="G24605" s="272" t="s">
        <v>1099</v>
      </c>
    </row>
    <row r="24606">
      <c r="B24606" s="31"/>
      <c r="G24606" s="272" t="s">
        <v>1099</v>
      </c>
    </row>
    <row r="24607">
      <c r="B24607" s="31"/>
      <c r="G24607" s="272" t="s">
        <v>1099</v>
      </c>
    </row>
    <row r="24608">
      <c r="B24608" s="31"/>
      <c r="G24608" s="272" t="s">
        <v>1099</v>
      </c>
    </row>
    <row r="24609">
      <c r="B24609" s="31"/>
      <c r="G24609" s="272" t="s">
        <v>1099</v>
      </c>
    </row>
    <row r="24610">
      <c r="B24610" s="31"/>
      <c r="G24610" s="272" t="s">
        <v>1099</v>
      </c>
    </row>
    <row r="24611">
      <c r="B24611" s="31"/>
      <c r="G24611" s="272" t="s">
        <v>1099</v>
      </c>
    </row>
    <row r="24612">
      <c r="B24612" s="31"/>
      <c r="G24612" s="272" t="s">
        <v>1099</v>
      </c>
    </row>
    <row r="24613">
      <c r="B24613" s="31"/>
      <c r="G24613" s="272" t="s">
        <v>1099</v>
      </c>
    </row>
    <row r="24614">
      <c r="B24614" s="31"/>
      <c r="G24614" s="272" t="s">
        <v>1099</v>
      </c>
    </row>
    <row r="24615">
      <c r="B24615" s="31"/>
      <c r="G24615" s="272" t="s">
        <v>1099</v>
      </c>
    </row>
    <row r="24616">
      <c r="B24616" s="31"/>
      <c r="G24616" s="272" t="s">
        <v>1099</v>
      </c>
    </row>
    <row r="24617">
      <c r="B24617" s="31"/>
      <c r="G24617" s="272" t="s">
        <v>1099</v>
      </c>
    </row>
    <row r="24618">
      <c r="B24618" s="31"/>
      <c r="G24618" s="272" t="s">
        <v>1099</v>
      </c>
    </row>
    <row r="24619">
      <c r="B24619" s="31"/>
      <c r="G24619" s="272" t="s">
        <v>1099</v>
      </c>
    </row>
    <row r="24620">
      <c r="B24620" s="31"/>
      <c r="G24620" s="272" t="s">
        <v>1099</v>
      </c>
    </row>
    <row r="24621">
      <c r="B24621" s="31"/>
      <c r="G24621" s="272" t="s">
        <v>1099</v>
      </c>
    </row>
    <row r="24622">
      <c r="B24622" s="31"/>
      <c r="G24622" s="272" t="s">
        <v>1099</v>
      </c>
    </row>
    <row r="24623">
      <c r="B24623" s="31"/>
      <c r="G24623" s="272" t="s">
        <v>1099</v>
      </c>
    </row>
    <row r="24624">
      <c r="B24624" s="31"/>
      <c r="G24624" s="272" t="s">
        <v>1099</v>
      </c>
    </row>
    <row r="24625">
      <c r="B24625" s="31"/>
      <c r="G24625" s="272" t="s">
        <v>1099</v>
      </c>
    </row>
    <row r="24626">
      <c r="B24626" s="31"/>
      <c r="G24626" s="272" t="s">
        <v>1099</v>
      </c>
    </row>
    <row r="24627">
      <c r="B24627" s="31"/>
      <c r="G24627" s="272" t="s">
        <v>1099</v>
      </c>
    </row>
    <row r="24628">
      <c r="B24628" s="31"/>
      <c r="G24628" s="272" t="s">
        <v>1099</v>
      </c>
    </row>
    <row r="24629">
      <c r="B24629" s="31"/>
      <c r="G24629" s="272" t="s">
        <v>1099</v>
      </c>
    </row>
    <row r="24630">
      <c r="B24630" s="31"/>
      <c r="G24630" s="272" t="s">
        <v>1099</v>
      </c>
    </row>
    <row r="24631">
      <c r="B24631" s="31"/>
      <c r="G24631" s="272" t="s">
        <v>1099</v>
      </c>
    </row>
    <row r="24632">
      <c r="B24632" s="31"/>
      <c r="G24632" s="272" t="s">
        <v>1099</v>
      </c>
    </row>
    <row r="24633">
      <c r="B24633" s="31"/>
      <c r="G24633" s="272" t="s">
        <v>1099</v>
      </c>
    </row>
    <row r="24634">
      <c r="B24634" s="31"/>
      <c r="G24634" s="272" t="s">
        <v>1099</v>
      </c>
    </row>
    <row r="24635">
      <c r="B24635" s="31"/>
      <c r="G24635" s="272" t="s">
        <v>1099</v>
      </c>
    </row>
    <row r="24636">
      <c r="B24636" s="31"/>
      <c r="G24636" s="272" t="s">
        <v>1099</v>
      </c>
    </row>
    <row r="24637">
      <c r="B24637" s="31"/>
      <c r="G24637" s="272" t="s">
        <v>1099</v>
      </c>
    </row>
    <row r="24638">
      <c r="B24638" s="31"/>
      <c r="G24638" s="272" t="s">
        <v>1099</v>
      </c>
    </row>
    <row r="24639">
      <c r="B24639" s="31"/>
      <c r="G24639" s="272" t="s">
        <v>1099</v>
      </c>
    </row>
    <row r="24640">
      <c r="B24640" s="31"/>
      <c r="G24640" s="272" t="s">
        <v>1099</v>
      </c>
    </row>
    <row r="24641">
      <c r="B24641" s="31"/>
      <c r="G24641" s="272" t="s">
        <v>1099</v>
      </c>
    </row>
    <row r="24642">
      <c r="B24642" s="31"/>
      <c r="G24642" s="272" t="s">
        <v>1099</v>
      </c>
    </row>
    <row r="24643">
      <c r="B24643" s="31"/>
      <c r="G24643" s="272" t="s">
        <v>1099</v>
      </c>
    </row>
    <row r="24644">
      <c r="B24644" s="31"/>
      <c r="G24644" s="272" t="s">
        <v>1099</v>
      </c>
    </row>
    <row r="24645">
      <c r="B24645" s="31"/>
      <c r="G24645" s="272" t="s">
        <v>1099</v>
      </c>
    </row>
    <row r="24646">
      <c r="B24646" s="31"/>
      <c r="G24646" s="272" t="s">
        <v>1099</v>
      </c>
    </row>
    <row r="24647">
      <c r="B24647" s="31"/>
      <c r="G24647" s="272" t="s">
        <v>1099</v>
      </c>
    </row>
    <row r="24648">
      <c r="B24648" s="31"/>
      <c r="G24648" s="272" t="s">
        <v>1099</v>
      </c>
    </row>
    <row r="24649">
      <c r="B24649" s="31"/>
      <c r="G24649" s="272" t="s">
        <v>1099</v>
      </c>
    </row>
    <row r="24650">
      <c r="B24650" s="31"/>
      <c r="G24650" s="272" t="s">
        <v>1099</v>
      </c>
    </row>
    <row r="24651">
      <c r="B24651" s="31"/>
      <c r="G24651" s="272" t="s">
        <v>1099</v>
      </c>
    </row>
    <row r="24652">
      <c r="B24652" s="31"/>
      <c r="G24652" s="272" t="s">
        <v>1099</v>
      </c>
    </row>
    <row r="24653">
      <c r="B24653" s="31"/>
      <c r="G24653" s="272" t="s">
        <v>1099</v>
      </c>
    </row>
    <row r="24654">
      <c r="B24654" s="31"/>
      <c r="G24654" s="272" t="s">
        <v>1099</v>
      </c>
    </row>
    <row r="24655">
      <c r="B24655" s="31"/>
      <c r="G24655" s="272" t="s">
        <v>1099</v>
      </c>
    </row>
    <row r="24656">
      <c r="B24656" s="31"/>
      <c r="G24656" s="272" t="s">
        <v>1099</v>
      </c>
    </row>
    <row r="24657">
      <c r="B24657" s="31"/>
      <c r="G24657" s="272" t="s">
        <v>1099</v>
      </c>
    </row>
    <row r="24658">
      <c r="B24658" s="31"/>
      <c r="G24658" s="272" t="s">
        <v>1099</v>
      </c>
    </row>
    <row r="24659">
      <c r="B24659" s="31"/>
      <c r="G24659" s="272" t="s">
        <v>1099</v>
      </c>
    </row>
    <row r="24660">
      <c r="B24660" s="31"/>
      <c r="G24660" s="272" t="s">
        <v>1099</v>
      </c>
    </row>
    <row r="24661">
      <c r="B24661" s="31"/>
      <c r="G24661" s="272" t="s">
        <v>1099</v>
      </c>
    </row>
    <row r="24662">
      <c r="B24662" s="31"/>
      <c r="G24662" s="272" t="s">
        <v>1099</v>
      </c>
    </row>
    <row r="24663">
      <c r="B24663" s="31"/>
      <c r="G24663" s="272" t="s">
        <v>1099</v>
      </c>
    </row>
    <row r="24664">
      <c r="B24664" s="31"/>
      <c r="G24664" s="272" t="s">
        <v>1099</v>
      </c>
    </row>
    <row r="24665">
      <c r="B24665" s="31"/>
      <c r="G24665" s="272" t="s">
        <v>1099</v>
      </c>
    </row>
    <row r="24666">
      <c r="B24666" s="31"/>
      <c r="G24666" s="272" t="s">
        <v>1099</v>
      </c>
    </row>
    <row r="24667">
      <c r="B24667" s="31"/>
      <c r="G24667" s="272" t="s">
        <v>1099</v>
      </c>
    </row>
    <row r="24668">
      <c r="B24668" s="31"/>
      <c r="G24668" s="272" t="s">
        <v>1099</v>
      </c>
    </row>
    <row r="24669">
      <c r="B24669" s="31"/>
      <c r="G24669" s="272" t="s">
        <v>1099</v>
      </c>
    </row>
    <row r="24670">
      <c r="B24670" s="31"/>
      <c r="G24670" s="272" t="s">
        <v>1099</v>
      </c>
    </row>
    <row r="24671">
      <c r="B24671" s="31"/>
      <c r="G24671" s="272" t="s">
        <v>1099</v>
      </c>
    </row>
    <row r="24672">
      <c r="B24672" s="31"/>
      <c r="G24672" s="272" t="s">
        <v>1099</v>
      </c>
    </row>
    <row r="24673">
      <c r="B24673" s="31"/>
      <c r="G24673" s="272" t="s">
        <v>1099</v>
      </c>
    </row>
    <row r="24674">
      <c r="B24674" s="31"/>
      <c r="G24674" s="272" t="s">
        <v>1099</v>
      </c>
    </row>
    <row r="24675">
      <c r="B24675" s="31"/>
      <c r="G24675" s="272" t="s">
        <v>1099</v>
      </c>
    </row>
    <row r="24676">
      <c r="B24676" s="31"/>
      <c r="G24676" s="272" t="s">
        <v>1099</v>
      </c>
    </row>
    <row r="24677">
      <c r="B24677" s="31"/>
      <c r="G24677" s="272" t="s">
        <v>1099</v>
      </c>
    </row>
    <row r="24678">
      <c r="B24678" s="31"/>
      <c r="G24678" s="272" t="s">
        <v>1099</v>
      </c>
    </row>
    <row r="24679">
      <c r="B24679" s="31"/>
      <c r="G24679" s="272" t="s">
        <v>1099</v>
      </c>
    </row>
    <row r="24680">
      <c r="B24680" s="31"/>
      <c r="G24680" s="272" t="s">
        <v>1099</v>
      </c>
    </row>
    <row r="24681">
      <c r="B24681" s="31"/>
      <c r="G24681" s="272" t="s">
        <v>1099</v>
      </c>
    </row>
    <row r="24682">
      <c r="B24682" s="31"/>
      <c r="G24682" s="272" t="s">
        <v>1099</v>
      </c>
    </row>
    <row r="24683">
      <c r="B24683" s="31"/>
      <c r="G24683" s="272" t="s">
        <v>1099</v>
      </c>
    </row>
    <row r="24684">
      <c r="B24684" s="31"/>
      <c r="G24684" s="272" t="s">
        <v>1099</v>
      </c>
    </row>
    <row r="24685">
      <c r="B24685" s="31"/>
      <c r="G24685" s="272" t="s">
        <v>1099</v>
      </c>
    </row>
    <row r="24686">
      <c r="B24686" s="31"/>
      <c r="G24686" s="272" t="s">
        <v>1099</v>
      </c>
    </row>
    <row r="24687">
      <c r="B24687" s="31"/>
      <c r="G24687" s="272" t="s">
        <v>1099</v>
      </c>
    </row>
    <row r="24688">
      <c r="B24688" s="31"/>
      <c r="G24688" s="272" t="s">
        <v>1099</v>
      </c>
    </row>
    <row r="24689">
      <c r="B24689" s="31"/>
      <c r="G24689" s="272" t="s">
        <v>1099</v>
      </c>
    </row>
    <row r="24690">
      <c r="B24690" s="31"/>
      <c r="G24690" s="272" t="s">
        <v>1099</v>
      </c>
    </row>
    <row r="24691">
      <c r="B24691" s="31"/>
      <c r="G24691" s="272" t="s">
        <v>1099</v>
      </c>
    </row>
    <row r="24692">
      <c r="B24692" s="31"/>
      <c r="G24692" s="272" t="s">
        <v>1099</v>
      </c>
    </row>
    <row r="24693">
      <c r="B24693" s="31"/>
      <c r="G24693" s="272" t="s">
        <v>1099</v>
      </c>
    </row>
    <row r="24694">
      <c r="B24694" s="31"/>
      <c r="G24694" s="272" t="s">
        <v>1099</v>
      </c>
    </row>
    <row r="24695">
      <c r="B24695" s="31"/>
      <c r="G24695" s="272" t="s">
        <v>1099</v>
      </c>
    </row>
    <row r="24696">
      <c r="B24696" s="31"/>
      <c r="G24696" s="272" t="s">
        <v>1099</v>
      </c>
    </row>
    <row r="24697">
      <c r="B24697" s="31"/>
      <c r="G24697" s="272" t="s">
        <v>1099</v>
      </c>
    </row>
    <row r="24698">
      <c r="B24698" s="31"/>
      <c r="G24698" s="272" t="s">
        <v>1099</v>
      </c>
    </row>
    <row r="24699">
      <c r="B24699" s="31"/>
      <c r="G24699" s="272" t="s">
        <v>1099</v>
      </c>
    </row>
    <row r="24700">
      <c r="B24700" s="31"/>
      <c r="G24700" s="272" t="s">
        <v>1099</v>
      </c>
    </row>
    <row r="24701">
      <c r="B24701" s="31"/>
      <c r="G24701" s="272" t="s">
        <v>1099</v>
      </c>
    </row>
    <row r="24702">
      <c r="B24702" s="31"/>
      <c r="G24702" s="272" t="s">
        <v>1099</v>
      </c>
    </row>
    <row r="24703">
      <c r="B24703" s="31"/>
      <c r="G24703" s="272" t="s">
        <v>1099</v>
      </c>
    </row>
    <row r="24704">
      <c r="B24704" s="31"/>
      <c r="G24704" s="272" t="s">
        <v>1099</v>
      </c>
    </row>
    <row r="24705">
      <c r="B24705" s="31"/>
      <c r="G24705" s="272" t="s">
        <v>1099</v>
      </c>
    </row>
    <row r="24706">
      <c r="B24706" s="31"/>
      <c r="G24706" s="272" t="s">
        <v>1099</v>
      </c>
    </row>
    <row r="24707">
      <c r="B24707" s="31"/>
      <c r="G24707" s="272" t="s">
        <v>1099</v>
      </c>
    </row>
    <row r="24708">
      <c r="B24708" s="31"/>
      <c r="G24708" s="272" t="s">
        <v>1099</v>
      </c>
    </row>
    <row r="24709">
      <c r="B24709" s="31"/>
      <c r="G24709" s="272" t="s">
        <v>1099</v>
      </c>
    </row>
    <row r="24710">
      <c r="B24710" s="31"/>
      <c r="G24710" s="272" t="s">
        <v>1099</v>
      </c>
    </row>
    <row r="24711">
      <c r="B24711" s="31"/>
      <c r="G24711" s="272" t="s">
        <v>1099</v>
      </c>
    </row>
    <row r="24712">
      <c r="B24712" s="31"/>
      <c r="G24712" s="272" t="s">
        <v>1099</v>
      </c>
    </row>
    <row r="24713">
      <c r="B24713" s="31"/>
      <c r="G24713" s="272" t="s">
        <v>1099</v>
      </c>
    </row>
    <row r="24714">
      <c r="B24714" s="31"/>
      <c r="G24714" s="272" t="s">
        <v>1099</v>
      </c>
    </row>
    <row r="24715">
      <c r="B24715" s="31"/>
      <c r="G24715" s="272" t="s">
        <v>1099</v>
      </c>
    </row>
    <row r="24716">
      <c r="B24716" s="31"/>
      <c r="G24716" s="272" t="s">
        <v>1099</v>
      </c>
    </row>
    <row r="24717">
      <c r="B24717" s="31"/>
      <c r="G24717" s="272" t="s">
        <v>1099</v>
      </c>
    </row>
    <row r="24718">
      <c r="B24718" s="31"/>
      <c r="G24718" s="272" t="s">
        <v>1099</v>
      </c>
    </row>
    <row r="24719">
      <c r="B24719" s="31"/>
      <c r="G24719" s="272" t="s">
        <v>1099</v>
      </c>
    </row>
    <row r="24720">
      <c r="B24720" s="31"/>
      <c r="G24720" s="272" t="s">
        <v>1099</v>
      </c>
    </row>
    <row r="24721">
      <c r="B24721" s="31"/>
      <c r="G24721" s="272" t="s">
        <v>1099</v>
      </c>
    </row>
    <row r="24722">
      <c r="B24722" s="31"/>
      <c r="G24722" s="272" t="s">
        <v>1099</v>
      </c>
    </row>
    <row r="24723">
      <c r="B24723" s="31"/>
      <c r="G24723" s="272" t="s">
        <v>1099</v>
      </c>
    </row>
    <row r="24724">
      <c r="B24724" s="31"/>
      <c r="G24724" s="272" t="s">
        <v>1099</v>
      </c>
    </row>
    <row r="24725">
      <c r="B24725" s="31"/>
      <c r="G24725" s="272" t="s">
        <v>1099</v>
      </c>
    </row>
    <row r="24726">
      <c r="B24726" s="31"/>
      <c r="G24726" s="272" t="s">
        <v>1099</v>
      </c>
    </row>
    <row r="24727">
      <c r="B24727" s="31"/>
      <c r="G24727" s="272" t="s">
        <v>1099</v>
      </c>
    </row>
    <row r="24728">
      <c r="B24728" s="31"/>
      <c r="G24728" s="272" t="s">
        <v>1099</v>
      </c>
    </row>
    <row r="24729">
      <c r="B24729" s="31"/>
      <c r="G24729" s="272" t="s">
        <v>1099</v>
      </c>
    </row>
    <row r="24730">
      <c r="B24730" s="31"/>
      <c r="G24730" s="272" t="s">
        <v>1099</v>
      </c>
    </row>
    <row r="24731">
      <c r="B24731" s="31"/>
      <c r="G24731" s="272" t="s">
        <v>1099</v>
      </c>
    </row>
    <row r="24732">
      <c r="B24732" s="31"/>
      <c r="G24732" s="272" t="s">
        <v>1099</v>
      </c>
    </row>
    <row r="24733">
      <c r="B24733" s="31"/>
      <c r="G24733" s="272" t="s">
        <v>1099</v>
      </c>
    </row>
    <row r="24734">
      <c r="B24734" s="31"/>
      <c r="G24734" s="272" t="s">
        <v>1099</v>
      </c>
    </row>
    <row r="24735">
      <c r="B24735" s="31"/>
      <c r="G24735" s="272" t="s">
        <v>1099</v>
      </c>
    </row>
    <row r="24736">
      <c r="B24736" s="31"/>
      <c r="G24736" s="272" t="s">
        <v>1099</v>
      </c>
    </row>
    <row r="24737">
      <c r="B24737" s="31"/>
      <c r="G24737" s="272" t="s">
        <v>1099</v>
      </c>
    </row>
    <row r="24738">
      <c r="B24738" s="31"/>
      <c r="G24738" s="272" t="s">
        <v>1099</v>
      </c>
    </row>
    <row r="24739">
      <c r="B24739" s="31"/>
      <c r="G24739" s="272" t="s">
        <v>1099</v>
      </c>
    </row>
    <row r="24740">
      <c r="B24740" s="31"/>
      <c r="G24740" s="272" t="s">
        <v>1099</v>
      </c>
    </row>
    <row r="24741">
      <c r="B24741" s="31"/>
      <c r="G24741" s="272" t="s">
        <v>1099</v>
      </c>
    </row>
    <row r="24742">
      <c r="B24742" s="31"/>
      <c r="G24742" s="272" t="s">
        <v>1099</v>
      </c>
    </row>
    <row r="24743">
      <c r="B24743" s="31"/>
      <c r="G24743" s="272" t="s">
        <v>1099</v>
      </c>
    </row>
    <row r="24744">
      <c r="B24744" s="31"/>
      <c r="G24744" s="272" t="s">
        <v>1099</v>
      </c>
    </row>
    <row r="24745">
      <c r="B24745" s="31"/>
      <c r="G24745" s="272" t="s">
        <v>1099</v>
      </c>
    </row>
    <row r="24746">
      <c r="B24746" s="31"/>
      <c r="G24746" s="272" t="s">
        <v>1099</v>
      </c>
    </row>
    <row r="24747">
      <c r="B24747" s="31"/>
      <c r="G24747" s="272" t="s">
        <v>1099</v>
      </c>
    </row>
    <row r="24748">
      <c r="B24748" s="31"/>
      <c r="G24748" s="272" t="s">
        <v>1099</v>
      </c>
    </row>
    <row r="24749">
      <c r="B24749" s="31"/>
      <c r="G24749" s="272" t="s">
        <v>1099</v>
      </c>
    </row>
    <row r="24750">
      <c r="B24750" s="31"/>
      <c r="G24750" s="272" t="s">
        <v>1099</v>
      </c>
    </row>
    <row r="24751">
      <c r="B24751" s="31"/>
      <c r="G24751" s="272" t="s">
        <v>1099</v>
      </c>
    </row>
    <row r="24752">
      <c r="B24752" s="31"/>
      <c r="G24752" s="272" t="s">
        <v>1099</v>
      </c>
    </row>
    <row r="24753">
      <c r="B24753" s="31"/>
      <c r="G24753" s="272" t="s">
        <v>1099</v>
      </c>
    </row>
    <row r="24754">
      <c r="B24754" s="31"/>
      <c r="G24754" s="272" t="s">
        <v>1099</v>
      </c>
    </row>
    <row r="24755">
      <c r="B24755" s="31"/>
      <c r="G24755" s="272" t="s">
        <v>1099</v>
      </c>
    </row>
    <row r="24756">
      <c r="B24756" s="31"/>
      <c r="G24756" s="272" t="s">
        <v>1099</v>
      </c>
    </row>
    <row r="24757">
      <c r="B24757" s="31"/>
      <c r="G24757" s="272" t="s">
        <v>1099</v>
      </c>
    </row>
    <row r="24758">
      <c r="B24758" s="31"/>
      <c r="G24758" s="272" t="s">
        <v>1099</v>
      </c>
    </row>
    <row r="24759">
      <c r="B24759" s="31"/>
      <c r="G24759" s="272" t="s">
        <v>1099</v>
      </c>
    </row>
    <row r="24760">
      <c r="B24760" s="31"/>
      <c r="G24760" s="272" t="s">
        <v>1099</v>
      </c>
    </row>
    <row r="24761">
      <c r="B24761" s="31"/>
      <c r="G24761" s="272" t="s">
        <v>1099</v>
      </c>
    </row>
    <row r="24762">
      <c r="B24762" s="31"/>
      <c r="G24762" s="272" t="s">
        <v>1099</v>
      </c>
    </row>
    <row r="24763">
      <c r="B24763" s="31"/>
      <c r="G24763" s="272" t="s">
        <v>1099</v>
      </c>
    </row>
    <row r="24764">
      <c r="B24764" s="31"/>
      <c r="G24764" s="272" t="s">
        <v>1099</v>
      </c>
    </row>
    <row r="24765">
      <c r="B24765" s="31"/>
      <c r="G24765" s="272" t="s">
        <v>1099</v>
      </c>
    </row>
    <row r="24766">
      <c r="B24766" s="31"/>
      <c r="G24766" s="272" t="s">
        <v>1099</v>
      </c>
    </row>
    <row r="24767">
      <c r="B24767" s="31"/>
      <c r="G24767" s="272" t="s">
        <v>1099</v>
      </c>
    </row>
    <row r="24768">
      <c r="B24768" s="31"/>
      <c r="G24768" s="272" t="s">
        <v>1099</v>
      </c>
    </row>
    <row r="24769">
      <c r="B24769" s="31"/>
      <c r="G24769" s="272" t="s">
        <v>1099</v>
      </c>
    </row>
    <row r="24770">
      <c r="B24770" s="31"/>
      <c r="G24770" s="272" t="s">
        <v>1099</v>
      </c>
    </row>
    <row r="24771">
      <c r="B24771" s="31"/>
      <c r="G24771" s="272" t="s">
        <v>1099</v>
      </c>
    </row>
    <row r="24772">
      <c r="B24772" s="31"/>
      <c r="G24772" s="272" t="s">
        <v>1099</v>
      </c>
    </row>
    <row r="24773">
      <c r="B24773" s="31"/>
      <c r="G24773" s="272" t="s">
        <v>1099</v>
      </c>
    </row>
    <row r="24774">
      <c r="B24774" s="31"/>
      <c r="G24774" s="272" t="s">
        <v>1099</v>
      </c>
    </row>
    <row r="24775">
      <c r="B24775" s="31"/>
      <c r="G24775" s="272" t="s">
        <v>1099</v>
      </c>
    </row>
    <row r="24776">
      <c r="B24776" s="31"/>
      <c r="G24776" s="272" t="s">
        <v>1099</v>
      </c>
    </row>
    <row r="24777">
      <c r="B24777" s="31"/>
      <c r="G24777" s="272" t="s">
        <v>1099</v>
      </c>
    </row>
    <row r="24778">
      <c r="B24778" s="31"/>
      <c r="G24778" s="272" t="s">
        <v>1099</v>
      </c>
    </row>
    <row r="24779">
      <c r="B24779" s="31"/>
      <c r="G24779" s="272" t="s">
        <v>1099</v>
      </c>
    </row>
    <row r="24780">
      <c r="B24780" s="31"/>
      <c r="G24780" s="272" t="s">
        <v>1099</v>
      </c>
    </row>
    <row r="24781">
      <c r="B24781" s="31"/>
      <c r="G24781" s="272" t="s">
        <v>1099</v>
      </c>
    </row>
    <row r="24782">
      <c r="B24782" s="31"/>
      <c r="G24782" s="272" t="s">
        <v>1099</v>
      </c>
    </row>
    <row r="24783">
      <c r="B24783" s="31"/>
      <c r="G24783" s="272" t="s">
        <v>1099</v>
      </c>
    </row>
    <row r="24784">
      <c r="B24784" s="31"/>
      <c r="G24784" s="272" t="s">
        <v>1099</v>
      </c>
    </row>
    <row r="24785">
      <c r="B24785" s="31"/>
      <c r="G24785" s="272" t="s">
        <v>1099</v>
      </c>
    </row>
    <row r="24786">
      <c r="B24786" s="31"/>
      <c r="G24786" s="272" t="s">
        <v>1099</v>
      </c>
    </row>
    <row r="24787">
      <c r="B24787" s="31"/>
      <c r="G24787" s="272" t="s">
        <v>1099</v>
      </c>
    </row>
    <row r="24788">
      <c r="B24788" s="31"/>
      <c r="G24788" s="272" t="s">
        <v>1099</v>
      </c>
    </row>
    <row r="24789">
      <c r="B24789" s="31"/>
      <c r="G24789" s="272" t="s">
        <v>1099</v>
      </c>
    </row>
    <row r="24790">
      <c r="B24790" s="31"/>
      <c r="G24790" s="272" t="s">
        <v>1099</v>
      </c>
    </row>
    <row r="24791">
      <c r="B24791" s="31"/>
      <c r="G24791" s="272" t="s">
        <v>1099</v>
      </c>
    </row>
    <row r="24792">
      <c r="B24792" s="31"/>
      <c r="G24792" s="272" t="s">
        <v>1099</v>
      </c>
    </row>
    <row r="24793">
      <c r="B24793" s="31"/>
      <c r="G24793" s="272" t="s">
        <v>1099</v>
      </c>
    </row>
    <row r="24794">
      <c r="B24794" s="31"/>
      <c r="G24794" s="272" t="s">
        <v>1099</v>
      </c>
    </row>
    <row r="24795">
      <c r="B24795" s="31"/>
      <c r="G24795" s="272" t="s">
        <v>1099</v>
      </c>
    </row>
    <row r="24796">
      <c r="B24796" s="31"/>
      <c r="G24796" s="272" t="s">
        <v>1099</v>
      </c>
    </row>
    <row r="24797">
      <c r="B24797" s="31"/>
      <c r="G24797" s="272" t="s">
        <v>1099</v>
      </c>
    </row>
    <row r="24798">
      <c r="B24798" s="31"/>
      <c r="G24798" s="272" t="s">
        <v>1099</v>
      </c>
    </row>
    <row r="24799">
      <c r="B24799" s="31"/>
      <c r="G24799" s="272" t="s">
        <v>1099</v>
      </c>
    </row>
    <row r="24800">
      <c r="B24800" s="31"/>
      <c r="G24800" s="272" t="s">
        <v>1099</v>
      </c>
    </row>
    <row r="24801">
      <c r="B24801" s="31"/>
      <c r="G24801" s="272" t="s">
        <v>1099</v>
      </c>
    </row>
    <row r="24802">
      <c r="B24802" s="31"/>
      <c r="G24802" s="272" t="s">
        <v>1099</v>
      </c>
    </row>
    <row r="24803">
      <c r="B24803" s="31"/>
      <c r="G24803" s="272" t="s">
        <v>1099</v>
      </c>
    </row>
    <row r="24804">
      <c r="B24804" s="31"/>
      <c r="G24804" s="272" t="s">
        <v>1099</v>
      </c>
    </row>
    <row r="24805">
      <c r="B24805" s="31"/>
      <c r="G24805" s="272" t="s">
        <v>1099</v>
      </c>
    </row>
    <row r="24806">
      <c r="B24806" s="31"/>
      <c r="G24806" s="272" t="s">
        <v>1099</v>
      </c>
    </row>
    <row r="24807">
      <c r="B24807" s="31"/>
      <c r="G24807" s="272" t="s">
        <v>1099</v>
      </c>
    </row>
    <row r="24808">
      <c r="B24808" s="31"/>
      <c r="G24808" s="272" t="s">
        <v>1099</v>
      </c>
    </row>
    <row r="24809">
      <c r="B24809" s="31"/>
      <c r="G24809" s="272" t="s">
        <v>1099</v>
      </c>
    </row>
    <row r="24810">
      <c r="B24810" s="31"/>
      <c r="G24810" s="272" t="s">
        <v>1099</v>
      </c>
    </row>
    <row r="24811">
      <c r="B24811" s="31"/>
      <c r="G24811" s="272" t="s">
        <v>1099</v>
      </c>
    </row>
    <row r="24812">
      <c r="B24812" s="31"/>
      <c r="G24812" s="272" t="s">
        <v>1099</v>
      </c>
    </row>
    <row r="24813">
      <c r="B24813" s="31"/>
      <c r="G24813" s="272" t="s">
        <v>1099</v>
      </c>
    </row>
    <row r="24814">
      <c r="B24814" s="31"/>
      <c r="G24814" s="272" t="s">
        <v>1099</v>
      </c>
    </row>
    <row r="24815">
      <c r="B24815" s="31"/>
      <c r="G24815" s="272" t="s">
        <v>1099</v>
      </c>
    </row>
    <row r="24816">
      <c r="B24816" s="31"/>
      <c r="G24816" s="272" t="s">
        <v>1099</v>
      </c>
    </row>
    <row r="24817">
      <c r="B24817" s="31"/>
      <c r="G24817" s="272" t="s">
        <v>1099</v>
      </c>
    </row>
    <row r="24818">
      <c r="B24818" s="31"/>
      <c r="G24818" s="272" t="s">
        <v>1099</v>
      </c>
    </row>
    <row r="24819">
      <c r="B24819" s="31"/>
      <c r="G24819" s="272" t="s">
        <v>1099</v>
      </c>
    </row>
    <row r="24820">
      <c r="B24820" s="31"/>
      <c r="G24820" s="272" t="s">
        <v>1099</v>
      </c>
    </row>
    <row r="24821">
      <c r="B24821" s="31"/>
      <c r="G24821" s="272" t="s">
        <v>1099</v>
      </c>
    </row>
    <row r="24822">
      <c r="B24822" s="31"/>
      <c r="G24822" s="272" t="s">
        <v>1099</v>
      </c>
    </row>
    <row r="24823">
      <c r="B24823" s="31"/>
      <c r="G24823" s="272" t="s">
        <v>1099</v>
      </c>
    </row>
    <row r="24824">
      <c r="B24824" s="31"/>
      <c r="G24824" s="272" t="s">
        <v>1099</v>
      </c>
    </row>
    <row r="24825">
      <c r="B24825" s="31"/>
      <c r="G24825" s="272" t="s">
        <v>1099</v>
      </c>
    </row>
    <row r="24826">
      <c r="B24826" s="31"/>
      <c r="G24826" s="272" t="s">
        <v>1099</v>
      </c>
    </row>
    <row r="24827">
      <c r="B24827" s="31"/>
      <c r="G24827" s="272" t="s">
        <v>1099</v>
      </c>
    </row>
    <row r="24828">
      <c r="B24828" s="31"/>
      <c r="G24828" s="272" t="s">
        <v>1099</v>
      </c>
    </row>
    <row r="24829">
      <c r="B24829" s="31"/>
      <c r="G24829" s="272" t="s">
        <v>1099</v>
      </c>
    </row>
    <row r="24830">
      <c r="B24830" s="31"/>
      <c r="G24830" s="272" t="s">
        <v>1099</v>
      </c>
    </row>
    <row r="24831">
      <c r="B24831" s="31"/>
      <c r="G24831" s="272" t="s">
        <v>1099</v>
      </c>
    </row>
    <row r="24832">
      <c r="B24832" s="31"/>
      <c r="G24832" s="272" t="s">
        <v>1099</v>
      </c>
    </row>
    <row r="24833">
      <c r="B24833" s="31"/>
      <c r="G24833" s="272" t="s">
        <v>1099</v>
      </c>
    </row>
    <row r="24834">
      <c r="B24834" s="31"/>
      <c r="G24834" s="272" t="s">
        <v>1099</v>
      </c>
    </row>
    <row r="24835">
      <c r="B24835" s="31"/>
      <c r="G24835" s="272" t="s">
        <v>1099</v>
      </c>
    </row>
    <row r="24836">
      <c r="B24836" s="31"/>
      <c r="G24836" s="272" t="s">
        <v>1099</v>
      </c>
    </row>
    <row r="24837">
      <c r="B24837" s="31"/>
      <c r="G24837" s="272" t="s">
        <v>1099</v>
      </c>
    </row>
    <row r="24838">
      <c r="B24838" s="31"/>
      <c r="G24838" s="272" t="s">
        <v>1099</v>
      </c>
    </row>
    <row r="24839">
      <c r="B24839" s="31"/>
      <c r="G24839" s="272" t="s">
        <v>1099</v>
      </c>
    </row>
    <row r="24840">
      <c r="B24840" s="31"/>
      <c r="G24840" s="272" t="s">
        <v>1099</v>
      </c>
    </row>
    <row r="24841">
      <c r="B24841" s="31"/>
      <c r="G24841" s="272" t="s">
        <v>1099</v>
      </c>
    </row>
    <row r="24842">
      <c r="B24842" s="31"/>
      <c r="G24842" s="272" t="s">
        <v>1099</v>
      </c>
    </row>
    <row r="24843">
      <c r="B24843" s="31"/>
      <c r="G24843" s="272" t="s">
        <v>1099</v>
      </c>
    </row>
    <row r="24844">
      <c r="B24844" s="31"/>
      <c r="G24844" s="272" t="s">
        <v>1099</v>
      </c>
    </row>
    <row r="24845">
      <c r="B24845" s="31"/>
      <c r="G24845" s="272" t="s">
        <v>1099</v>
      </c>
    </row>
    <row r="24846">
      <c r="B24846" s="31"/>
      <c r="G24846" s="272" t="s">
        <v>1099</v>
      </c>
    </row>
    <row r="24847">
      <c r="B24847" s="31"/>
      <c r="G24847" s="272" t="s">
        <v>1099</v>
      </c>
    </row>
    <row r="24848">
      <c r="B24848" s="31"/>
      <c r="G24848" s="272" t="s">
        <v>1099</v>
      </c>
    </row>
    <row r="24849">
      <c r="B24849" s="31"/>
      <c r="G24849" s="272" t="s">
        <v>1099</v>
      </c>
    </row>
    <row r="24850">
      <c r="B24850" s="31"/>
      <c r="G24850" s="272" t="s">
        <v>1099</v>
      </c>
    </row>
    <row r="24851">
      <c r="B24851" s="31"/>
      <c r="G24851" s="272" t="s">
        <v>1099</v>
      </c>
    </row>
    <row r="24852">
      <c r="B24852" s="31"/>
      <c r="G24852" s="272" t="s">
        <v>1099</v>
      </c>
    </row>
    <row r="24853">
      <c r="B24853" s="31"/>
      <c r="G24853" s="272" t="s">
        <v>1099</v>
      </c>
    </row>
    <row r="24854">
      <c r="B24854" s="31"/>
      <c r="G24854" s="272" t="s">
        <v>1099</v>
      </c>
    </row>
    <row r="24855">
      <c r="B24855" s="31"/>
      <c r="G24855" s="272" t="s">
        <v>1099</v>
      </c>
    </row>
    <row r="24856">
      <c r="B24856" s="31"/>
      <c r="G24856" s="272" t="s">
        <v>1099</v>
      </c>
    </row>
    <row r="24857">
      <c r="B24857" s="31"/>
      <c r="G24857" s="272" t="s">
        <v>1099</v>
      </c>
    </row>
    <row r="24858">
      <c r="B24858" s="31"/>
      <c r="G24858" s="272" t="s">
        <v>1099</v>
      </c>
    </row>
    <row r="24859">
      <c r="B24859" s="31"/>
      <c r="G24859" s="272" t="s">
        <v>1099</v>
      </c>
    </row>
    <row r="24860">
      <c r="B24860" s="31"/>
      <c r="G24860" s="272" t="s">
        <v>1099</v>
      </c>
    </row>
    <row r="24861">
      <c r="B24861" s="31"/>
      <c r="G24861" s="272" t="s">
        <v>1099</v>
      </c>
    </row>
    <row r="24862">
      <c r="B24862" s="31"/>
      <c r="G24862" s="272" t="s">
        <v>1099</v>
      </c>
    </row>
    <row r="24863">
      <c r="B24863" s="31"/>
      <c r="G24863" s="272" t="s">
        <v>1099</v>
      </c>
    </row>
    <row r="24864">
      <c r="B24864" s="31"/>
      <c r="G24864" s="272" t="s">
        <v>1099</v>
      </c>
    </row>
    <row r="24865">
      <c r="B24865" s="31"/>
      <c r="G24865" s="272" t="s">
        <v>1099</v>
      </c>
    </row>
    <row r="24866">
      <c r="B24866" s="31"/>
      <c r="G24866" s="272" t="s">
        <v>1099</v>
      </c>
    </row>
    <row r="24867">
      <c r="B24867" s="31"/>
      <c r="G24867" s="272" t="s">
        <v>1099</v>
      </c>
    </row>
    <row r="24868">
      <c r="B24868" s="31"/>
      <c r="G24868" s="272" t="s">
        <v>1099</v>
      </c>
    </row>
    <row r="24869">
      <c r="B24869" s="31"/>
      <c r="G24869" s="272" t="s">
        <v>1099</v>
      </c>
    </row>
    <row r="24870">
      <c r="B24870" s="31"/>
      <c r="G24870" s="272" t="s">
        <v>1099</v>
      </c>
    </row>
    <row r="24871">
      <c r="B24871" s="31"/>
      <c r="G24871" s="272" t="s">
        <v>1099</v>
      </c>
    </row>
    <row r="24872">
      <c r="B24872" s="31"/>
      <c r="G24872" s="272" t="s">
        <v>1099</v>
      </c>
    </row>
    <row r="24873">
      <c r="B24873" s="31"/>
      <c r="G24873" s="272" t="s">
        <v>1099</v>
      </c>
    </row>
    <row r="24874">
      <c r="B24874" s="31"/>
      <c r="G24874" s="272" t="s">
        <v>1099</v>
      </c>
    </row>
    <row r="24875">
      <c r="B24875" s="31"/>
      <c r="G24875" s="272" t="s">
        <v>1099</v>
      </c>
    </row>
    <row r="24876">
      <c r="B24876" s="31"/>
      <c r="G24876" s="272" t="s">
        <v>1099</v>
      </c>
    </row>
    <row r="24877">
      <c r="B24877" s="31"/>
      <c r="G24877" s="272" t="s">
        <v>1099</v>
      </c>
    </row>
    <row r="24878">
      <c r="B24878" s="31"/>
      <c r="G24878" s="272" t="s">
        <v>1099</v>
      </c>
    </row>
    <row r="24879">
      <c r="B24879" s="31"/>
      <c r="G24879" s="272" t="s">
        <v>1099</v>
      </c>
    </row>
    <row r="24880">
      <c r="B24880" s="31"/>
      <c r="G24880" s="272" t="s">
        <v>1099</v>
      </c>
    </row>
    <row r="24881">
      <c r="B24881" s="31"/>
      <c r="G24881" s="272" t="s">
        <v>1099</v>
      </c>
    </row>
    <row r="24882">
      <c r="B24882" s="31"/>
      <c r="G24882" s="272" t="s">
        <v>1099</v>
      </c>
    </row>
    <row r="24883">
      <c r="B24883" s="31"/>
      <c r="G24883" s="272" t="s">
        <v>1099</v>
      </c>
    </row>
    <row r="24884">
      <c r="B24884" s="31"/>
      <c r="G24884" s="272" t="s">
        <v>1099</v>
      </c>
    </row>
    <row r="24885">
      <c r="B24885" s="31"/>
      <c r="G24885" s="272" t="s">
        <v>1099</v>
      </c>
    </row>
    <row r="24886">
      <c r="B24886" s="31"/>
      <c r="G24886" s="272" t="s">
        <v>1099</v>
      </c>
    </row>
    <row r="24887">
      <c r="B24887" s="31"/>
      <c r="G24887" s="272" t="s">
        <v>1099</v>
      </c>
    </row>
    <row r="24888">
      <c r="B24888" s="31"/>
      <c r="G24888" s="272" t="s">
        <v>1099</v>
      </c>
    </row>
    <row r="24889">
      <c r="B24889" s="31"/>
      <c r="G24889" s="272" t="s">
        <v>1099</v>
      </c>
    </row>
    <row r="24890">
      <c r="B24890" s="31"/>
      <c r="G24890" s="272" t="s">
        <v>1099</v>
      </c>
    </row>
    <row r="24891">
      <c r="B24891" s="31"/>
      <c r="G24891" s="272" t="s">
        <v>1099</v>
      </c>
    </row>
    <row r="24892">
      <c r="B24892" s="31"/>
      <c r="G24892" s="272" t="s">
        <v>1099</v>
      </c>
    </row>
    <row r="24893">
      <c r="B24893" s="31"/>
      <c r="G24893" s="272" t="s">
        <v>1099</v>
      </c>
    </row>
    <row r="24894">
      <c r="B24894" s="31"/>
      <c r="G24894" s="272" t="s">
        <v>1099</v>
      </c>
    </row>
    <row r="24895">
      <c r="B24895" s="31"/>
      <c r="G24895" s="272" t="s">
        <v>1099</v>
      </c>
    </row>
    <row r="24896">
      <c r="B24896" s="31"/>
      <c r="G24896" s="272" t="s">
        <v>1099</v>
      </c>
    </row>
    <row r="24897">
      <c r="B24897" s="31"/>
      <c r="G24897" s="272" t="s">
        <v>1099</v>
      </c>
    </row>
    <row r="24898">
      <c r="B24898" s="31"/>
      <c r="G24898" s="272" t="s">
        <v>1099</v>
      </c>
    </row>
    <row r="24899">
      <c r="B24899" s="31"/>
      <c r="G24899" s="272" t="s">
        <v>1099</v>
      </c>
    </row>
    <row r="24900">
      <c r="B24900" s="31"/>
      <c r="G24900" s="272" t="s">
        <v>1099</v>
      </c>
    </row>
    <row r="24901">
      <c r="B24901" s="31"/>
      <c r="G24901" s="272" t="s">
        <v>1099</v>
      </c>
    </row>
    <row r="24902">
      <c r="B24902" s="31"/>
      <c r="G24902" s="272" t="s">
        <v>1099</v>
      </c>
    </row>
    <row r="24903">
      <c r="B24903" s="31"/>
      <c r="G24903" s="272" t="s">
        <v>1099</v>
      </c>
    </row>
    <row r="24904">
      <c r="B24904" s="31"/>
      <c r="G24904" s="272" t="s">
        <v>1099</v>
      </c>
    </row>
    <row r="24905">
      <c r="B24905" s="31"/>
      <c r="G24905" s="272" t="s">
        <v>1099</v>
      </c>
    </row>
    <row r="24906">
      <c r="B24906" s="31"/>
      <c r="G24906" s="272" t="s">
        <v>1099</v>
      </c>
    </row>
    <row r="24907">
      <c r="B24907" s="31"/>
      <c r="G24907" s="272" t="s">
        <v>1099</v>
      </c>
    </row>
    <row r="24908">
      <c r="B24908" s="31"/>
      <c r="G24908" s="272" t="s">
        <v>1099</v>
      </c>
    </row>
    <row r="24909">
      <c r="B24909" s="31"/>
      <c r="G24909" s="272" t="s">
        <v>1099</v>
      </c>
    </row>
    <row r="24910">
      <c r="B24910" s="31"/>
      <c r="G24910" s="272" t="s">
        <v>1099</v>
      </c>
    </row>
    <row r="24911">
      <c r="B24911" s="31"/>
      <c r="G24911" s="272" t="s">
        <v>1099</v>
      </c>
    </row>
    <row r="24912">
      <c r="B24912" s="31"/>
      <c r="G24912" s="272" t="s">
        <v>1099</v>
      </c>
    </row>
    <row r="24913">
      <c r="B24913" s="31"/>
      <c r="G24913" s="272" t="s">
        <v>1099</v>
      </c>
    </row>
    <row r="24914">
      <c r="B24914" s="31"/>
      <c r="G24914" s="272" t="s">
        <v>1099</v>
      </c>
    </row>
    <row r="24915">
      <c r="B24915" s="31"/>
      <c r="G24915" s="272" t="s">
        <v>1099</v>
      </c>
    </row>
    <row r="24916">
      <c r="B24916" s="31"/>
      <c r="G24916" s="272" t="s">
        <v>1099</v>
      </c>
    </row>
    <row r="24917">
      <c r="B24917" s="31"/>
      <c r="G24917" s="272" t="s">
        <v>1099</v>
      </c>
    </row>
    <row r="24918">
      <c r="B24918" s="31"/>
      <c r="G24918" s="272" t="s">
        <v>1099</v>
      </c>
    </row>
    <row r="24919">
      <c r="B24919" s="31"/>
      <c r="G24919" s="272" t="s">
        <v>1099</v>
      </c>
    </row>
    <row r="24920">
      <c r="B24920" s="31"/>
      <c r="G24920" s="272" t="s">
        <v>1099</v>
      </c>
    </row>
    <row r="24921">
      <c r="B24921" s="31"/>
      <c r="G24921" s="272" t="s">
        <v>1099</v>
      </c>
    </row>
    <row r="24922">
      <c r="B24922" s="31"/>
      <c r="G24922" s="272" t="s">
        <v>1099</v>
      </c>
    </row>
    <row r="24923">
      <c r="B24923" s="31"/>
      <c r="G24923" s="272" t="s">
        <v>1099</v>
      </c>
    </row>
    <row r="24924">
      <c r="B24924" s="31"/>
      <c r="G24924" s="272" t="s">
        <v>1099</v>
      </c>
    </row>
    <row r="24925">
      <c r="B24925" s="31"/>
      <c r="G24925" s="272" t="s">
        <v>1099</v>
      </c>
    </row>
    <row r="24926">
      <c r="B24926" s="31"/>
      <c r="G24926" s="272" t="s">
        <v>1099</v>
      </c>
    </row>
    <row r="24927">
      <c r="B24927" s="31"/>
      <c r="G24927" s="272" t="s">
        <v>1099</v>
      </c>
    </row>
    <row r="24928">
      <c r="B24928" s="31"/>
      <c r="G24928" s="272" t="s">
        <v>1099</v>
      </c>
    </row>
    <row r="24929">
      <c r="B24929" s="31"/>
      <c r="G24929" s="272" t="s">
        <v>1099</v>
      </c>
    </row>
    <row r="24930">
      <c r="B24930" s="31"/>
      <c r="G24930" s="272" t="s">
        <v>1099</v>
      </c>
    </row>
    <row r="24931">
      <c r="B24931" s="31"/>
      <c r="G24931" s="272" t="s">
        <v>1099</v>
      </c>
    </row>
    <row r="24932">
      <c r="B24932" s="31"/>
      <c r="G24932" s="272" t="s">
        <v>1099</v>
      </c>
    </row>
    <row r="24933">
      <c r="B24933" s="31"/>
      <c r="G24933" s="272" t="s">
        <v>1099</v>
      </c>
    </row>
    <row r="24934">
      <c r="B24934" s="31"/>
      <c r="G24934" s="272" t="s">
        <v>1099</v>
      </c>
    </row>
    <row r="24935">
      <c r="B24935" s="31"/>
      <c r="G24935" s="272" t="s">
        <v>1099</v>
      </c>
    </row>
    <row r="24936">
      <c r="B24936" s="31"/>
      <c r="G24936" s="272" t="s">
        <v>1099</v>
      </c>
    </row>
    <row r="24937">
      <c r="B24937" s="31"/>
      <c r="G24937" s="272" t="s">
        <v>1099</v>
      </c>
    </row>
    <row r="24938">
      <c r="B24938" s="31"/>
      <c r="G24938" s="272" t="s">
        <v>1099</v>
      </c>
    </row>
    <row r="24939">
      <c r="B24939" s="31"/>
      <c r="G24939" s="272" t="s">
        <v>1099</v>
      </c>
    </row>
    <row r="24940">
      <c r="B24940" s="31"/>
      <c r="G24940" s="272" t="s">
        <v>1099</v>
      </c>
    </row>
    <row r="24941">
      <c r="B24941" s="31"/>
      <c r="G24941" s="272" t="s">
        <v>1099</v>
      </c>
    </row>
    <row r="24942">
      <c r="B24942" s="31"/>
      <c r="G24942" s="272" t="s">
        <v>1099</v>
      </c>
    </row>
    <row r="24943">
      <c r="B24943" s="31"/>
      <c r="G24943" s="272" t="s">
        <v>1099</v>
      </c>
    </row>
    <row r="24944">
      <c r="B24944" s="31"/>
      <c r="G24944" s="272" t="s">
        <v>1099</v>
      </c>
    </row>
    <row r="24945">
      <c r="B24945" s="31"/>
      <c r="G24945" s="272" t="s">
        <v>1099</v>
      </c>
    </row>
    <row r="24946">
      <c r="B24946" s="31"/>
      <c r="G24946" s="272" t="s">
        <v>1099</v>
      </c>
    </row>
    <row r="24947">
      <c r="B24947" s="31"/>
      <c r="G24947" s="272" t="s">
        <v>1099</v>
      </c>
    </row>
    <row r="24948">
      <c r="B24948" s="31"/>
      <c r="G24948" s="272" t="s">
        <v>1099</v>
      </c>
    </row>
    <row r="24949">
      <c r="B24949" s="31"/>
      <c r="G24949" s="272" t="s">
        <v>1099</v>
      </c>
    </row>
    <row r="24950">
      <c r="B24950" s="31"/>
      <c r="G24950" s="272" t="s">
        <v>1099</v>
      </c>
    </row>
    <row r="24951">
      <c r="B24951" s="31"/>
      <c r="G24951" s="272" t="s">
        <v>1099</v>
      </c>
    </row>
    <row r="24952">
      <c r="B24952" s="31"/>
      <c r="G24952" s="272" t="s">
        <v>1099</v>
      </c>
    </row>
    <row r="24953">
      <c r="B24953" s="31"/>
      <c r="G24953" s="272" t="s">
        <v>1099</v>
      </c>
    </row>
    <row r="24954">
      <c r="B24954" s="31"/>
      <c r="G24954" s="272" t="s">
        <v>1099</v>
      </c>
    </row>
    <row r="24955">
      <c r="B24955" s="31"/>
      <c r="G24955" s="272" t="s">
        <v>1099</v>
      </c>
    </row>
    <row r="24956">
      <c r="B24956" s="31"/>
      <c r="G24956" s="272" t="s">
        <v>1099</v>
      </c>
    </row>
    <row r="24957">
      <c r="B24957" s="31"/>
      <c r="G24957" s="272" t="s">
        <v>1099</v>
      </c>
    </row>
    <row r="24958">
      <c r="B24958" s="31"/>
      <c r="G24958" s="272" t="s">
        <v>1099</v>
      </c>
    </row>
    <row r="24959">
      <c r="B24959" s="31"/>
      <c r="G24959" s="272" t="s">
        <v>1099</v>
      </c>
    </row>
    <row r="24960">
      <c r="B24960" s="31"/>
      <c r="G24960" s="272" t="s">
        <v>1099</v>
      </c>
    </row>
    <row r="24961">
      <c r="B24961" s="31"/>
      <c r="G24961" s="272" t="s">
        <v>1099</v>
      </c>
    </row>
    <row r="24962">
      <c r="B24962" s="31"/>
      <c r="G24962" s="272" t="s">
        <v>1099</v>
      </c>
    </row>
    <row r="24963">
      <c r="B24963" s="31"/>
      <c r="G24963" s="272" t="s">
        <v>1099</v>
      </c>
    </row>
    <row r="24964">
      <c r="B24964" s="31"/>
      <c r="G24964" s="272" t="s">
        <v>1099</v>
      </c>
    </row>
    <row r="24965">
      <c r="B24965" s="31"/>
      <c r="G24965" s="272" t="s">
        <v>1099</v>
      </c>
    </row>
    <row r="24966">
      <c r="B24966" s="31"/>
      <c r="G24966" s="272" t="s">
        <v>1099</v>
      </c>
    </row>
    <row r="24967">
      <c r="B24967" s="31"/>
      <c r="G24967" s="272" t="s">
        <v>1099</v>
      </c>
    </row>
    <row r="24968">
      <c r="B24968" s="31"/>
      <c r="G24968" s="272" t="s">
        <v>1099</v>
      </c>
    </row>
    <row r="24969">
      <c r="B24969" s="31"/>
      <c r="G24969" s="272" t="s">
        <v>1099</v>
      </c>
    </row>
    <row r="24970">
      <c r="B24970" s="31"/>
      <c r="G24970" s="272" t="s">
        <v>1099</v>
      </c>
    </row>
    <row r="24971">
      <c r="B24971" s="31"/>
      <c r="G24971" s="272" t="s">
        <v>1099</v>
      </c>
    </row>
    <row r="24972">
      <c r="B24972" s="31"/>
      <c r="G24972" s="272" t="s">
        <v>1099</v>
      </c>
    </row>
    <row r="24973">
      <c r="B24973" s="31"/>
      <c r="G24973" s="272" t="s">
        <v>1099</v>
      </c>
    </row>
    <row r="24974">
      <c r="B24974" s="31"/>
      <c r="G24974" s="272" t="s">
        <v>1099</v>
      </c>
    </row>
    <row r="24975">
      <c r="B24975" s="31"/>
      <c r="G24975" s="272" t="s">
        <v>1099</v>
      </c>
    </row>
    <row r="24976">
      <c r="B24976" s="31"/>
      <c r="G24976" s="272" t="s">
        <v>1099</v>
      </c>
    </row>
    <row r="24977">
      <c r="B24977" s="31"/>
      <c r="G24977" s="272" t="s">
        <v>1099</v>
      </c>
    </row>
    <row r="24978">
      <c r="B24978" s="31"/>
      <c r="G24978" s="272" t="s">
        <v>1099</v>
      </c>
    </row>
    <row r="24979">
      <c r="B24979" s="31"/>
      <c r="G24979" s="272" t="s">
        <v>1099</v>
      </c>
    </row>
    <row r="24980">
      <c r="B24980" s="31"/>
      <c r="G24980" s="272" t="s">
        <v>1099</v>
      </c>
    </row>
    <row r="24981">
      <c r="B24981" s="31"/>
      <c r="G24981" s="272" t="s">
        <v>1099</v>
      </c>
    </row>
    <row r="24982">
      <c r="B24982" s="31"/>
      <c r="G24982" s="272" t="s">
        <v>1099</v>
      </c>
    </row>
    <row r="24983">
      <c r="B24983" s="31"/>
      <c r="G24983" s="272" t="s">
        <v>1099</v>
      </c>
    </row>
    <row r="24984">
      <c r="B24984" s="31"/>
      <c r="G24984" s="272" t="s">
        <v>1099</v>
      </c>
    </row>
    <row r="24985">
      <c r="B24985" s="31"/>
      <c r="G24985" s="272" t="s">
        <v>1099</v>
      </c>
    </row>
    <row r="24986">
      <c r="B24986" s="31"/>
      <c r="G24986" s="272" t="s">
        <v>1099</v>
      </c>
    </row>
    <row r="24987">
      <c r="B24987" s="31"/>
      <c r="G24987" s="272" t="s">
        <v>1099</v>
      </c>
    </row>
    <row r="24988">
      <c r="B24988" s="31"/>
      <c r="G24988" s="272" t="s">
        <v>1099</v>
      </c>
    </row>
    <row r="24989">
      <c r="B24989" s="31"/>
      <c r="G24989" s="272" t="s">
        <v>1099</v>
      </c>
    </row>
    <row r="24990">
      <c r="B24990" s="31"/>
      <c r="G24990" s="272" t="s">
        <v>1099</v>
      </c>
    </row>
    <row r="24991">
      <c r="B24991" s="31"/>
      <c r="G24991" s="272" t="s">
        <v>1099</v>
      </c>
    </row>
    <row r="24992">
      <c r="B24992" s="31"/>
      <c r="G24992" s="272" t="s">
        <v>1099</v>
      </c>
    </row>
    <row r="24993">
      <c r="B24993" s="31"/>
      <c r="G24993" s="272" t="s">
        <v>1099</v>
      </c>
    </row>
    <row r="24994">
      <c r="B24994" s="31"/>
      <c r="G24994" s="272" t="s">
        <v>1099</v>
      </c>
    </row>
    <row r="24995">
      <c r="B24995" s="31"/>
      <c r="G24995" s="272" t="s">
        <v>1099</v>
      </c>
    </row>
    <row r="24996">
      <c r="B24996" s="31"/>
      <c r="G24996" s="272" t="s">
        <v>1099</v>
      </c>
    </row>
    <row r="24997">
      <c r="B24997" s="31"/>
      <c r="G24997" s="272" t="s">
        <v>1099</v>
      </c>
    </row>
    <row r="24998">
      <c r="B24998" s="31"/>
      <c r="G24998" s="272" t="s">
        <v>1099</v>
      </c>
    </row>
    <row r="24999">
      <c r="B24999" s="31"/>
      <c r="G24999" s="272" t="s">
        <v>1099</v>
      </c>
    </row>
    <row r="25000">
      <c r="B25000" s="31"/>
      <c r="G25000" s="272" t="s">
        <v>1099</v>
      </c>
    </row>
    <row r="25001">
      <c r="B25001" s="31"/>
      <c r="G25001" s="272" t="s">
        <v>1099</v>
      </c>
    </row>
    <row r="25002">
      <c r="B25002" s="31"/>
      <c r="G25002" s="272" t="s">
        <v>1099</v>
      </c>
    </row>
    <row r="25003">
      <c r="B25003" s="31"/>
      <c r="G25003" s="272" t="s">
        <v>1099</v>
      </c>
    </row>
    <row r="25004">
      <c r="B25004" s="31"/>
      <c r="G25004" s="272" t="s">
        <v>1099</v>
      </c>
    </row>
    <row r="25005">
      <c r="B25005" s="31"/>
      <c r="G25005" s="272" t="s">
        <v>1099</v>
      </c>
    </row>
    <row r="25006">
      <c r="B25006" s="31"/>
      <c r="G25006" s="272" t="s">
        <v>1099</v>
      </c>
    </row>
    <row r="25007">
      <c r="B25007" s="31"/>
      <c r="G25007" s="272" t="s">
        <v>1099</v>
      </c>
    </row>
    <row r="25008">
      <c r="B25008" s="31"/>
      <c r="G25008" s="272" t="s">
        <v>1099</v>
      </c>
    </row>
    <row r="25009">
      <c r="B25009" s="31"/>
      <c r="G25009" s="272" t="s">
        <v>1099</v>
      </c>
    </row>
    <row r="25010">
      <c r="B25010" s="31"/>
      <c r="G25010" s="272" t="s">
        <v>1099</v>
      </c>
    </row>
    <row r="25011">
      <c r="B25011" s="31"/>
      <c r="G25011" s="272" t="s">
        <v>1099</v>
      </c>
    </row>
    <row r="25012">
      <c r="B25012" s="31"/>
      <c r="G25012" s="272" t="s">
        <v>1099</v>
      </c>
    </row>
    <row r="25013">
      <c r="B25013" s="31"/>
      <c r="G25013" s="272" t="s">
        <v>1099</v>
      </c>
    </row>
    <row r="25014">
      <c r="B25014" s="31"/>
      <c r="G25014" s="272" t="s">
        <v>1099</v>
      </c>
    </row>
    <row r="25015">
      <c r="B25015" s="31"/>
      <c r="G25015" s="272" t="s">
        <v>1099</v>
      </c>
    </row>
    <row r="25016">
      <c r="B25016" s="31"/>
      <c r="G25016" s="272" t="s">
        <v>1099</v>
      </c>
    </row>
    <row r="25017">
      <c r="B25017" s="31"/>
      <c r="G25017" s="272" t="s">
        <v>1099</v>
      </c>
    </row>
    <row r="25018">
      <c r="B25018" s="31"/>
      <c r="G25018" s="272" t="s">
        <v>1099</v>
      </c>
    </row>
    <row r="25019">
      <c r="B25019" s="31"/>
      <c r="G25019" s="272" t="s">
        <v>1099</v>
      </c>
    </row>
    <row r="25020">
      <c r="B25020" s="31"/>
      <c r="G25020" s="272" t="s">
        <v>1099</v>
      </c>
    </row>
    <row r="25021">
      <c r="B25021" s="31"/>
      <c r="G25021" s="272" t="s">
        <v>1099</v>
      </c>
    </row>
    <row r="25022">
      <c r="B25022" s="31"/>
      <c r="G25022" s="272" t="s">
        <v>1099</v>
      </c>
    </row>
    <row r="25023">
      <c r="B25023" s="31"/>
      <c r="G25023" s="272" t="s">
        <v>1099</v>
      </c>
    </row>
    <row r="25024">
      <c r="B25024" s="31"/>
      <c r="G25024" s="272" t="s">
        <v>1099</v>
      </c>
    </row>
    <row r="25025">
      <c r="B25025" s="31"/>
      <c r="G25025" s="272" t="s">
        <v>1099</v>
      </c>
    </row>
    <row r="25026">
      <c r="B25026" s="31"/>
      <c r="G25026" s="272" t="s">
        <v>1099</v>
      </c>
    </row>
    <row r="25027">
      <c r="B25027" s="31"/>
      <c r="G25027" s="272" t="s">
        <v>1099</v>
      </c>
    </row>
    <row r="25028">
      <c r="B25028" s="31"/>
      <c r="G25028" s="272" t="s">
        <v>1099</v>
      </c>
    </row>
    <row r="25029">
      <c r="B25029" s="31"/>
      <c r="G25029" s="272" t="s">
        <v>1099</v>
      </c>
    </row>
    <row r="25030">
      <c r="B25030" s="31"/>
      <c r="G25030" s="272" t="s">
        <v>1099</v>
      </c>
    </row>
    <row r="25031">
      <c r="B25031" s="31"/>
      <c r="G25031" s="272" t="s">
        <v>1099</v>
      </c>
    </row>
    <row r="25032">
      <c r="B25032" s="31"/>
      <c r="G25032" s="272" t="s">
        <v>1099</v>
      </c>
    </row>
    <row r="25033">
      <c r="B25033" s="31"/>
      <c r="G25033" s="272" t="s">
        <v>1099</v>
      </c>
    </row>
    <row r="25034">
      <c r="B25034" s="31"/>
      <c r="G25034" s="272" t="s">
        <v>1099</v>
      </c>
    </row>
    <row r="25035">
      <c r="B25035" s="31"/>
      <c r="G25035" s="272" t="s">
        <v>1099</v>
      </c>
    </row>
    <row r="25036">
      <c r="B25036" s="31"/>
      <c r="G25036" s="272" t="s">
        <v>1099</v>
      </c>
    </row>
    <row r="25037">
      <c r="B25037" s="31"/>
      <c r="G25037" s="272" t="s">
        <v>1099</v>
      </c>
    </row>
    <row r="25038">
      <c r="B25038" s="31"/>
      <c r="G25038" s="272" t="s">
        <v>1099</v>
      </c>
    </row>
    <row r="25039">
      <c r="B25039" s="31"/>
      <c r="G25039" s="272" t="s">
        <v>1099</v>
      </c>
    </row>
    <row r="25040">
      <c r="B25040" s="31"/>
      <c r="G25040" s="272" t="s">
        <v>1099</v>
      </c>
    </row>
    <row r="25041">
      <c r="B25041" s="31"/>
      <c r="G25041" s="272" t="s">
        <v>1099</v>
      </c>
    </row>
    <row r="25042">
      <c r="B25042" s="31"/>
      <c r="G25042" s="272" t="s">
        <v>1099</v>
      </c>
    </row>
    <row r="25043">
      <c r="B25043" s="31"/>
      <c r="G25043" s="272" t="s">
        <v>1099</v>
      </c>
    </row>
    <row r="25044">
      <c r="B25044" s="31"/>
      <c r="G25044" s="272" t="s">
        <v>1099</v>
      </c>
    </row>
    <row r="25045">
      <c r="B25045" s="31"/>
      <c r="G25045" s="272" t="s">
        <v>1099</v>
      </c>
    </row>
    <row r="25046">
      <c r="B25046" s="31"/>
      <c r="G25046" s="272" t="s">
        <v>1099</v>
      </c>
    </row>
    <row r="25047">
      <c r="B25047" s="31"/>
      <c r="G25047" s="272" t="s">
        <v>1099</v>
      </c>
    </row>
    <row r="25048">
      <c r="B25048" s="31"/>
      <c r="G25048" s="272" t="s">
        <v>1099</v>
      </c>
    </row>
    <row r="25049">
      <c r="B25049" s="31"/>
      <c r="G25049" s="272" t="s">
        <v>1099</v>
      </c>
    </row>
    <row r="25050">
      <c r="B25050" s="31"/>
      <c r="G25050" s="272" t="s">
        <v>1099</v>
      </c>
    </row>
    <row r="25051">
      <c r="B25051" s="31"/>
      <c r="G25051" s="272" t="s">
        <v>1099</v>
      </c>
    </row>
    <row r="25052">
      <c r="B25052" s="31"/>
      <c r="G25052" s="272" t="s">
        <v>1099</v>
      </c>
    </row>
    <row r="25053">
      <c r="B25053" s="31"/>
      <c r="G25053" s="272" t="s">
        <v>1099</v>
      </c>
    </row>
    <row r="25054">
      <c r="B25054" s="31"/>
      <c r="G25054" s="272" t="s">
        <v>1099</v>
      </c>
    </row>
    <row r="25055">
      <c r="B25055" s="31"/>
      <c r="G25055" s="272" t="s">
        <v>1099</v>
      </c>
    </row>
    <row r="25056">
      <c r="B25056" s="31"/>
      <c r="G25056" s="272" t="s">
        <v>1099</v>
      </c>
    </row>
    <row r="25057">
      <c r="B25057" s="31"/>
      <c r="G25057" s="272" t="s">
        <v>1099</v>
      </c>
    </row>
    <row r="25058">
      <c r="B25058" s="31"/>
      <c r="G25058" s="272" t="s">
        <v>1099</v>
      </c>
    </row>
    <row r="25059">
      <c r="B25059" s="31"/>
      <c r="G25059" s="272" t="s">
        <v>1099</v>
      </c>
    </row>
    <row r="25060">
      <c r="B25060" s="31"/>
      <c r="G25060" s="272" t="s">
        <v>1099</v>
      </c>
    </row>
    <row r="25061">
      <c r="B25061" s="31"/>
      <c r="G25061" s="272" t="s">
        <v>1099</v>
      </c>
    </row>
    <row r="25062">
      <c r="B25062" s="31"/>
      <c r="G25062" s="272" t="s">
        <v>1099</v>
      </c>
    </row>
    <row r="25063">
      <c r="B25063" s="31"/>
      <c r="G25063" s="272" t="s">
        <v>1099</v>
      </c>
    </row>
    <row r="25064">
      <c r="B25064" s="31"/>
      <c r="G25064" s="272" t="s">
        <v>1099</v>
      </c>
    </row>
    <row r="25065">
      <c r="B25065" s="31"/>
      <c r="G25065" s="272" t="s">
        <v>1099</v>
      </c>
    </row>
    <row r="25066">
      <c r="B25066" s="31"/>
      <c r="G25066" s="272" t="s">
        <v>1099</v>
      </c>
    </row>
    <row r="25067">
      <c r="B25067" s="31"/>
      <c r="G25067" s="272" t="s">
        <v>1099</v>
      </c>
    </row>
    <row r="25068">
      <c r="B25068" s="31"/>
      <c r="G25068" s="272" t="s">
        <v>1099</v>
      </c>
    </row>
    <row r="25069">
      <c r="B25069" s="31"/>
      <c r="G25069" s="272" t="s">
        <v>1099</v>
      </c>
    </row>
    <row r="25070">
      <c r="B25070" s="31"/>
      <c r="G25070" s="272" t="s">
        <v>1099</v>
      </c>
    </row>
    <row r="25071">
      <c r="B25071" s="31"/>
      <c r="G25071" s="272" t="s">
        <v>1099</v>
      </c>
    </row>
    <row r="25072">
      <c r="B25072" s="31"/>
      <c r="G25072" s="272" t="s">
        <v>1099</v>
      </c>
    </row>
    <row r="25073">
      <c r="B25073" s="31"/>
      <c r="G25073" s="272" t="s">
        <v>1099</v>
      </c>
    </row>
    <row r="25074">
      <c r="B25074" s="31"/>
      <c r="G25074" s="272" t="s">
        <v>1099</v>
      </c>
    </row>
    <row r="25075">
      <c r="B25075" s="31"/>
      <c r="G25075" s="272" t="s">
        <v>1099</v>
      </c>
    </row>
    <row r="25076">
      <c r="B25076" s="31"/>
      <c r="G25076" s="272" t="s">
        <v>1099</v>
      </c>
    </row>
    <row r="25077">
      <c r="B25077" s="31"/>
      <c r="G25077" s="272" t="s">
        <v>1099</v>
      </c>
    </row>
    <row r="25078">
      <c r="B25078" s="31"/>
      <c r="G25078" s="272" t="s">
        <v>1099</v>
      </c>
    </row>
    <row r="25079">
      <c r="B25079" s="31"/>
      <c r="G25079" s="272" t="s">
        <v>1099</v>
      </c>
    </row>
    <row r="25080">
      <c r="B25080" s="31"/>
      <c r="G25080" s="272" t="s">
        <v>1099</v>
      </c>
    </row>
    <row r="25081">
      <c r="B25081" s="31"/>
      <c r="G25081" s="272" t="s">
        <v>1099</v>
      </c>
    </row>
    <row r="25082">
      <c r="B25082" s="31"/>
      <c r="G25082" s="272" t="s">
        <v>1099</v>
      </c>
    </row>
    <row r="25083">
      <c r="B25083" s="31"/>
      <c r="G25083" s="272" t="s">
        <v>1099</v>
      </c>
    </row>
    <row r="25084">
      <c r="B25084" s="31"/>
      <c r="G25084" s="272" t="s">
        <v>1099</v>
      </c>
    </row>
    <row r="25085">
      <c r="B25085" s="31"/>
      <c r="G25085" s="272" t="s">
        <v>1099</v>
      </c>
    </row>
    <row r="25086">
      <c r="B25086" s="31"/>
      <c r="G25086" s="272" t="s">
        <v>1099</v>
      </c>
    </row>
    <row r="25087">
      <c r="B25087" s="31"/>
      <c r="G25087" s="272" t="s">
        <v>1099</v>
      </c>
    </row>
    <row r="25088">
      <c r="B25088" s="31"/>
      <c r="G25088" s="272" t="s">
        <v>1099</v>
      </c>
    </row>
    <row r="25089">
      <c r="B25089" s="31"/>
      <c r="G25089" s="272" t="s">
        <v>1099</v>
      </c>
    </row>
    <row r="25090">
      <c r="B25090" s="31"/>
      <c r="G25090" s="272" t="s">
        <v>1099</v>
      </c>
    </row>
    <row r="25091">
      <c r="B25091" s="31"/>
      <c r="G25091" s="272" t="s">
        <v>1099</v>
      </c>
    </row>
    <row r="25092">
      <c r="B25092" s="31"/>
      <c r="G25092" s="272" t="s">
        <v>1099</v>
      </c>
    </row>
    <row r="25093">
      <c r="B25093" s="31"/>
      <c r="G25093" s="272" t="s">
        <v>1099</v>
      </c>
    </row>
    <row r="25094">
      <c r="B25094" s="31"/>
      <c r="G25094" s="272" t="s">
        <v>1099</v>
      </c>
    </row>
    <row r="25095">
      <c r="B25095" s="31"/>
      <c r="G25095" s="272" t="s">
        <v>1099</v>
      </c>
    </row>
    <row r="25096">
      <c r="B25096" s="31"/>
      <c r="G25096" s="272" t="s">
        <v>1099</v>
      </c>
    </row>
    <row r="25097">
      <c r="B25097" s="31"/>
      <c r="G25097" s="272" t="s">
        <v>1099</v>
      </c>
    </row>
    <row r="25098">
      <c r="B25098" s="31"/>
      <c r="G25098" s="272" t="s">
        <v>1099</v>
      </c>
    </row>
    <row r="25099">
      <c r="B25099" s="31"/>
      <c r="G25099" s="272" t="s">
        <v>1099</v>
      </c>
    </row>
    <row r="25100">
      <c r="B25100" s="31"/>
      <c r="G25100" s="272" t="s">
        <v>1099</v>
      </c>
    </row>
    <row r="25101">
      <c r="B25101" s="31"/>
      <c r="G25101" s="272" t="s">
        <v>1099</v>
      </c>
    </row>
    <row r="25102">
      <c r="B25102" s="31"/>
      <c r="G25102" s="272" t="s">
        <v>1099</v>
      </c>
    </row>
    <row r="25103">
      <c r="B25103" s="31"/>
      <c r="G25103" s="272" t="s">
        <v>1099</v>
      </c>
    </row>
    <row r="25104">
      <c r="B25104" s="31"/>
      <c r="G25104" s="272" t="s">
        <v>1099</v>
      </c>
    </row>
    <row r="25105">
      <c r="B25105" s="31"/>
      <c r="G25105" s="272" t="s">
        <v>1099</v>
      </c>
    </row>
    <row r="25106">
      <c r="B25106" s="31"/>
      <c r="G25106" s="272" t="s">
        <v>1099</v>
      </c>
    </row>
    <row r="25107">
      <c r="B25107" s="31"/>
      <c r="G25107" s="272" t="s">
        <v>1099</v>
      </c>
    </row>
    <row r="25108">
      <c r="B25108" s="31"/>
      <c r="G25108" s="272" t="s">
        <v>1099</v>
      </c>
    </row>
    <row r="25109">
      <c r="B25109" s="31"/>
      <c r="G25109" s="272" t="s">
        <v>1099</v>
      </c>
    </row>
    <row r="25110">
      <c r="B25110" s="31"/>
      <c r="G25110" s="272" t="s">
        <v>1099</v>
      </c>
    </row>
    <row r="25111">
      <c r="B25111" s="31"/>
      <c r="G25111" s="272" t="s">
        <v>1099</v>
      </c>
    </row>
    <row r="25112">
      <c r="B25112" s="31"/>
      <c r="G25112" s="272" t="s">
        <v>1099</v>
      </c>
    </row>
    <row r="25113">
      <c r="B25113" s="31"/>
      <c r="G25113" s="272" t="s">
        <v>1099</v>
      </c>
    </row>
    <row r="25114">
      <c r="B25114" s="31"/>
      <c r="G25114" s="272" t="s">
        <v>1099</v>
      </c>
    </row>
    <row r="25115">
      <c r="B25115" s="31"/>
      <c r="G25115" s="272" t="s">
        <v>1099</v>
      </c>
    </row>
    <row r="25116">
      <c r="B25116" s="31"/>
      <c r="G25116" s="272" t="s">
        <v>1099</v>
      </c>
    </row>
    <row r="25117">
      <c r="B25117" s="31"/>
      <c r="G25117" s="272" t="s">
        <v>1099</v>
      </c>
    </row>
    <row r="25118">
      <c r="B25118" s="31"/>
      <c r="G25118" s="272" t="s">
        <v>1099</v>
      </c>
    </row>
    <row r="25119">
      <c r="B25119" s="31"/>
      <c r="G25119" s="272" t="s">
        <v>1099</v>
      </c>
    </row>
    <row r="25120">
      <c r="B25120" s="31"/>
      <c r="G25120" s="272" t="s">
        <v>1099</v>
      </c>
    </row>
    <row r="25121">
      <c r="B25121" s="31"/>
      <c r="G25121" s="272" t="s">
        <v>1099</v>
      </c>
    </row>
    <row r="25122">
      <c r="B25122" s="31"/>
      <c r="G25122" s="272" t="s">
        <v>1099</v>
      </c>
    </row>
    <row r="25123">
      <c r="B25123" s="31"/>
      <c r="G25123" s="272" t="s">
        <v>1099</v>
      </c>
    </row>
    <row r="25124">
      <c r="B25124" s="31"/>
      <c r="G25124" s="272" t="s">
        <v>1099</v>
      </c>
    </row>
    <row r="25125">
      <c r="B25125" s="31"/>
      <c r="G25125" s="272" t="s">
        <v>1099</v>
      </c>
    </row>
    <row r="25126">
      <c r="B25126" s="31"/>
      <c r="G25126" s="272" t="s">
        <v>1099</v>
      </c>
    </row>
    <row r="25127">
      <c r="B25127" s="31"/>
      <c r="G25127" s="272" t="s">
        <v>1099</v>
      </c>
    </row>
    <row r="25128">
      <c r="B25128" s="31"/>
      <c r="G25128" s="272" t="s">
        <v>1099</v>
      </c>
    </row>
    <row r="25129">
      <c r="B25129" s="31"/>
      <c r="G25129" s="272" t="s">
        <v>1099</v>
      </c>
    </row>
    <row r="25130">
      <c r="B25130" s="31"/>
      <c r="G25130" s="272" t="s">
        <v>1099</v>
      </c>
    </row>
    <row r="25131">
      <c r="B25131" s="31"/>
      <c r="G25131" s="272" t="s">
        <v>1099</v>
      </c>
    </row>
    <row r="25132">
      <c r="B25132" s="31"/>
      <c r="G25132" s="272" t="s">
        <v>1099</v>
      </c>
    </row>
    <row r="25133">
      <c r="B25133" s="31"/>
      <c r="G25133" s="272" t="s">
        <v>1099</v>
      </c>
    </row>
    <row r="25134">
      <c r="B25134" s="31"/>
      <c r="G25134" s="272" t="s">
        <v>1099</v>
      </c>
    </row>
    <row r="25135">
      <c r="B25135" s="31"/>
      <c r="G25135" s="272" t="s">
        <v>1099</v>
      </c>
    </row>
    <row r="25136">
      <c r="B25136" s="31"/>
      <c r="G25136" s="272" t="s">
        <v>1099</v>
      </c>
    </row>
    <row r="25137">
      <c r="B25137" s="31"/>
      <c r="G25137" s="272" t="s">
        <v>1099</v>
      </c>
    </row>
    <row r="25138">
      <c r="B25138" s="31"/>
      <c r="G25138" s="272" t="s">
        <v>1099</v>
      </c>
    </row>
    <row r="25139">
      <c r="B25139" s="31"/>
      <c r="G25139" s="272" t="s">
        <v>1099</v>
      </c>
    </row>
    <row r="25140">
      <c r="B25140" s="31"/>
      <c r="G25140" s="272" t="s">
        <v>1099</v>
      </c>
    </row>
    <row r="25141">
      <c r="B25141" s="31"/>
      <c r="G25141" s="272" t="s">
        <v>1099</v>
      </c>
    </row>
    <row r="25142">
      <c r="B25142" s="31"/>
      <c r="G25142" s="272" t="s">
        <v>1099</v>
      </c>
    </row>
    <row r="25143">
      <c r="B25143" s="31"/>
      <c r="G25143" s="272" t="s">
        <v>1099</v>
      </c>
    </row>
    <row r="25144">
      <c r="B25144" s="31"/>
      <c r="G25144" s="272" t="s">
        <v>1099</v>
      </c>
    </row>
    <row r="25145">
      <c r="B25145" s="31"/>
      <c r="G25145" s="272" t="s">
        <v>1099</v>
      </c>
    </row>
    <row r="25146">
      <c r="B25146" s="31"/>
      <c r="G25146" s="272" t="s">
        <v>1099</v>
      </c>
    </row>
    <row r="25147">
      <c r="B25147" s="31"/>
      <c r="G25147" s="272" t="s">
        <v>1099</v>
      </c>
    </row>
    <row r="25148">
      <c r="B25148" s="31"/>
      <c r="G25148" s="272" t="s">
        <v>1099</v>
      </c>
    </row>
    <row r="25149">
      <c r="B25149" s="31"/>
      <c r="G25149" s="272" t="s">
        <v>1099</v>
      </c>
    </row>
    <row r="25150">
      <c r="B25150" s="31"/>
      <c r="G25150" s="272" t="s">
        <v>1099</v>
      </c>
    </row>
    <row r="25151">
      <c r="B25151" s="31"/>
      <c r="G25151" s="272" t="s">
        <v>1099</v>
      </c>
    </row>
    <row r="25152">
      <c r="B25152" s="31"/>
      <c r="G25152" s="272" t="s">
        <v>1099</v>
      </c>
    </row>
    <row r="25153">
      <c r="B25153" s="31"/>
      <c r="G25153" s="272" t="s">
        <v>1099</v>
      </c>
    </row>
    <row r="25154">
      <c r="B25154" s="31"/>
      <c r="G25154" s="272" t="s">
        <v>1099</v>
      </c>
    </row>
    <row r="25155">
      <c r="B25155" s="31"/>
      <c r="G25155" s="272" t="s">
        <v>1099</v>
      </c>
    </row>
    <row r="25156">
      <c r="B25156" s="31"/>
      <c r="G25156" s="272" t="s">
        <v>1099</v>
      </c>
    </row>
    <row r="25157">
      <c r="B25157" s="31"/>
      <c r="G25157" s="272" t="s">
        <v>1099</v>
      </c>
    </row>
    <row r="25158">
      <c r="B25158" s="31"/>
      <c r="G25158" s="272" t="s">
        <v>1099</v>
      </c>
    </row>
    <row r="25159">
      <c r="B25159" s="31"/>
      <c r="G25159" s="272" t="s">
        <v>1099</v>
      </c>
    </row>
    <row r="25160">
      <c r="B25160" s="31"/>
      <c r="G25160" s="272" t="s">
        <v>1099</v>
      </c>
    </row>
    <row r="25161">
      <c r="B25161" s="31"/>
      <c r="G25161" s="272" t="s">
        <v>1099</v>
      </c>
    </row>
    <row r="25162">
      <c r="B25162" s="31"/>
      <c r="G25162" s="272" t="s">
        <v>1099</v>
      </c>
    </row>
    <row r="25163">
      <c r="B25163" s="31"/>
      <c r="G25163" s="272" t="s">
        <v>1099</v>
      </c>
    </row>
    <row r="25164">
      <c r="B25164" s="31"/>
      <c r="G25164" s="272" t="s">
        <v>1099</v>
      </c>
    </row>
    <row r="25165">
      <c r="B25165" s="31"/>
      <c r="G25165" s="272" t="s">
        <v>1099</v>
      </c>
    </row>
    <row r="25166">
      <c r="B25166" s="31"/>
      <c r="G25166" s="272" t="s">
        <v>1099</v>
      </c>
    </row>
    <row r="25167">
      <c r="B25167" s="31"/>
      <c r="G25167" s="272" t="s">
        <v>1099</v>
      </c>
    </row>
    <row r="25168">
      <c r="B25168" s="31"/>
      <c r="G25168" s="272" t="s">
        <v>1099</v>
      </c>
    </row>
    <row r="25169">
      <c r="B25169" s="31"/>
      <c r="G25169" s="272" t="s">
        <v>1099</v>
      </c>
    </row>
    <row r="25170">
      <c r="B25170" s="31"/>
      <c r="G25170" s="272" t="s">
        <v>1099</v>
      </c>
    </row>
    <row r="25171">
      <c r="B25171" s="31"/>
      <c r="G25171" s="272" t="s">
        <v>1099</v>
      </c>
    </row>
    <row r="25172">
      <c r="B25172" s="31"/>
      <c r="G25172" s="272" t="s">
        <v>1099</v>
      </c>
    </row>
    <row r="25173">
      <c r="B25173" s="31"/>
      <c r="G25173" s="272" t="s">
        <v>1099</v>
      </c>
    </row>
    <row r="25174">
      <c r="B25174" s="31"/>
      <c r="G25174" s="272" t="s">
        <v>1099</v>
      </c>
    </row>
    <row r="25175">
      <c r="B25175" s="31"/>
      <c r="G25175" s="272" t="s">
        <v>1099</v>
      </c>
    </row>
    <row r="25176">
      <c r="B25176" s="31"/>
      <c r="G25176" s="272" t="s">
        <v>1099</v>
      </c>
    </row>
    <row r="25177">
      <c r="B25177" s="31"/>
      <c r="G25177" s="272" t="s">
        <v>1099</v>
      </c>
    </row>
    <row r="25178">
      <c r="B25178" s="31"/>
      <c r="G25178" s="272" t="s">
        <v>1099</v>
      </c>
    </row>
    <row r="25179">
      <c r="B25179" s="31"/>
      <c r="G25179" s="272" t="s">
        <v>1099</v>
      </c>
    </row>
    <row r="25180">
      <c r="B25180" s="31"/>
      <c r="G25180" s="272" t="s">
        <v>1099</v>
      </c>
    </row>
    <row r="25181">
      <c r="B25181" s="31"/>
      <c r="G25181" s="272" t="s">
        <v>1099</v>
      </c>
    </row>
    <row r="25182">
      <c r="B25182" s="31"/>
      <c r="G25182" s="272" t="s">
        <v>1099</v>
      </c>
    </row>
    <row r="25183">
      <c r="B25183" s="31"/>
      <c r="G25183" s="272" t="s">
        <v>1099</v>
      </c>
    </row>
    <row r="25184">
      <c r="B25184" s="31"/>
      <c r="G25184" s="272" t="s">
        <v>1099</v>
      </c>
    </row>
    <row r="25185">
      <c r="B25185" s="31"/>
      <c r="G25185" s="272" t="s">
        <v>1099</v>
      </c>
    </row>
    <row r="25186">
      <c r="B25186" s="31"/>
      <c r="G25186" s="272" t="s">
        <v>1099</v>
      </c>
    </row>
    <row r="25187">
      <c r="B25187" s="31"/>
      <c r="G25187" s="272" t="s">
        <v>1099</v>
      </c>
    </row>
    <row r="25188">
      <c r="B25188" s="31"/>
      <c r="G25188" s="272" t="s">
        <v>1099</v>
      </c>
    </row>
    <row r="25189">
      <c r="B25189" s="31"/>
      <c r="G25189" s="272" t="s">
        <v>1099</v>
      </c>
    </row>
    <row r="25190">
      <c r="B25190" s="31"/>
      <c r="G25190" s="272" t="s">
        <v>1099</v>
      </c>
    </row>
    <row r="25191">
      <c r="B25191" s="31"/>
      <c r="G25191" s="272" t="s">
        <v>1099</v>
      </c>
    </row>
    <row r="25192">
      <c r="B25192" s="31"/>
      <c r="G25192" s="272" t="s">
        <v>1099</v>
      </c>
    </row>
    <row r="25193">
      <c r="B25193" s="31"/>
      <c r="G25193" s="272" t="s">
        <v>1099</v>
      </c>
    </row>
    <row r="25194">
      <c r="B25194" s="31"/>
      <c r="G25194" s="272" t="s">
        <v>1099</v>
      </c>
    </row>
    <row r="25195">
      <c r="B25195" s="31"/>
      <c r="G25195" s="272" t="s">
        <v>1099</v>
      </c>
    </row>
    <row r="25196">
      <c r="B25196" s="31"/>
      <c r="G25196" s="272" t="s">
        <v>1099</v>
      </c>
    </row>
    <row r="25197">
      <c r="B25197" s="31"/>
      <c r="G25197" s="272" t="s">
        <v>1099</v>
      </c>
    </row>
    <row r="25198">
      <c r="B25198" s="31"/>
      <c r="G25198" s="272" t="s">
        <v>1099</v>
      </c>
    </row>
    <row r="25199">
      <c r="B25199" s="31"/>
      <c r="G25199" s="272" t="s">
        <v>1099</v>
      </c>
    </row>
    <row r="25200">
      <c r="B25200" s="31"/>
      <c r="G25200" s="272" t="s">
        <v>1099</v>
      </c>
    </row>
    <row r="25201">
      <c r="B25201" s="31"/>
      <c r="G25201" s="272" t="s">
        <v>1099</v>
      </c>
    </row>
    <row r="25202">
      <c r="B25202" s="31"/>
      <c r="G25202" s="272" t="s">
        <v>1099</v>
      </c>
    </row>
    <row r="25203">
      <c r="B25203" s="31"/>
      <c r="G25203" s="272" t="s">
        <v>1099</v>
      </c>
    </row>
    <row r="25204">
      <c r="B25204" s="31"/>
      <c r="G25204" s="272" t="s">
        <v>1099</v>
      </c>
    </row>
    <row r="25205">
      <c r="B25205" s="31"/>
      <c r="G25205" s="272" t="s">
        <v>1099</v>
      </c>
    </row>
    <row r="25206">
      <c r="B25206" s="31"/>
      <c r="G25206" s="272" t="s">
        <v>1099</v>
      </c>
    </row>
    <row r="25207">
      <c r="B25207" s="31"/>
      <c r="G25207" s="272" t="s">
        <v>1099</v>
      </c>
    </row>
    <row r="25208">
      <c r="B25208" s="31"/>
      <c r="G25208" s="272" t="s">
        <v>1099</v>
      </c>
    </row>
    <row r="25209">
      <c r="B25209" s="31"/>
      <c r="G25209" s="272" t="s">
        <v>1099</v>
      </c>
    </row>
    <row r="25210">
      <c r="B25210" s="31"/>
      <c r="G25210" s="272" t="s">
        <v>1099</v>
      </c>
    </row>
    <row r="25211">
      <c r="B25211" s="31"/>
      <c r="G25211" s="272" t="s">
        <v>1099</v>
      </c>
    </row>
    <row r="25212">
      <c r="B25212" s="31"/>
      <c r="G25212" s="272" t="s">
        <v>1099</v>
      </c>
    </row>
    <row r="25213">
      <c r="B25213" s="31"/>
      <c r="G25213" s="272" t="s">
        <v>1099</v>
      </c>
    </row>
    <row r="25214">
      <c r="B25214" s="31"/>
      <c r="G25214" s="272" t="s">
        <v>1099</v>
      </c>
    </row>
    <row r="25215">
      <c r="B25215" s="31"/>
      <c r="G25215" s="272" t="s">
        <v>1099</v>
      </c>
    </row>
    <row r="25216">
      <c r="B25216" s="31"/>
      <c r="G25216" s="272" t="s">
        <v>1099</v>
      </c>
    </row>
    <row r="25217">
      <c r="B25217" s="31"/>
      <c r="G25217" s="272" t="s">
        <v>1099</v>
      </c>
    </row>
    <row r="25218">
      <c r="B25218" s="31"/>
      <c r="G25218" s="272" t="s">
        <v>1099</v>
      </c>
    </row>
    <row r="25219">
      <c r="B25219" s="31"/>
      <c r="G25219" s="272" t="s">
        <v>1099</v>
      </c>
    </row>
    <row r="25220">
      <c r="B25220" s="31"/>
      <c r="G25220" s="272" t="s">
        <v>1099</v>
      </c>
    </row>
    <row r="25221">
      <c r="B25221" s="31"/>
      <c r="G25221" s="272" t="s">
        <v>1099</v>
      </c>
    </row>
    <row r="25222">
      <c r="B25222" s="31"/>
      <c r="G25222" s="272" t="s">
        <v>1099</v>
      </c>
    </row>
    <row r="25223">
      <c r="B25223" s="31"/>
      <c r="G25223" s="272" t="s">
        <v>1099</v>
      </c>
    </row>
    <row r="25224">
      <c r="B25224" s="31"/>
      <c r="G25224" s="272" t="s">
        <v>1099</v>
      </c>
    </row>
    <row r="25225">
      <c r="B25225" s="31"/>
      <c r="G25225" s="272" t="s">
        <v>1099</v>
      </c>
    </row>
    <row r="25226">
      <c r="B25226" s="31"/>
      <c r="G25226" s="272" t="s">
        <v>1099</v>
      </c>
    </row>
    <row r="25227">
      <c r="B25227" s="31"/>
      <c r="G25227" s="272" t="s">
        <v>1099</v>
      </c>
    </row>
    <row r="25228">
      <c r="B25228" s="31"/>
      <c r="G25228" s="272" t="s">
        <v>1099</v>
      </c>
    </row>
    <row r="25229">
      <c r="B25229" s="31"/>
      <c r="G25229" s="272" t="s">
        <v>1099</v>
      </c>
    </row>
    <row r="25230">
      <c r="B25230" s="31"/>
      <c r="G25230" s="272" t="s">
        <v>1099</v>
      </c>
    </row>
    <row r="25231">
      <c r="B25231" s="31"/>
      <c r="G25231" s="272" t="s">
        <v>1099</v>
      </c>
    </row>
    <row r="25232">
      <c r="B25232" s="31"/>
      <c r="G25232" s="272" t="s">
        <v>1099</v>
      </c>
    </row>
    <row r="25233">
      <c r="B25233" s="31"/>
      <c r="G25233" s="272" t="s">
        <v>1099</v>
      </c>
    </row>
    <row r="25234">
      <c r="B25234" s="31"/>
      <c r="G25234" s="272" t="s">
        <v>1099</v>
      </c>
    </row>
    <row r="25235">
      <c r="B25235" s="31"/>
      <c r="G25235" s="272" t="s">
        <v>1099</v>
      </c>
    </row>
    <row r="25236">
      <c r="B25236" s="31"/>
      <c r="G25236" s="272" t="s">
        <v>1099</v>
      </c>
    </row>
    <row r="25237">
      <c r="B25237" s="31"/>
      <c r="G25237" s="272" t="s">
        <v>1099</v>
      </c>
    </row>
    <row r="25238">
      <c r="B25238" s="31"/>
      <c r="G25238" s="272" t="s">
        <v>1099</v>
      </c>
    </row>
    <row r="25239">
      <c r="B25239" s="31"/>
      <c r="G25239" s="272" t="s">
        <v>1099</v>
      </c>
    </row>
    <row r="25240">
      <c r="B25240" s="31"/>
      <c r="G25240" s="272" t="s">
        <v>1099</v>
      </c>
    </row>
    <row r="25241">
      <c r="B25241" s="31"/>
      <c r="G25241" s="272" t="s">
        <v>1099</v>
      </c>
    </row>
    <row r="25242">
      <c r="B25242" s="31"/>
      <c r="G25242" s="272" t="s">
        <v>1099</v>
      </c>
    </row>
    <row r="25243">
      <c r="B25243" s="31"/>
      <c r="G25243" s="272" t="s">
        <v>1099</v>
      </c>
    </row>
    <row r="25244">
      <c r="B25244" s="31"/>
      <c r="G25244" s="272" t="s">
        <v>1099</v>
      </c>
    </row>
    <row r="25245">
      <c r="B25245" s="31"/>
      <c r="G25245" s="272" t="s">
        <v>1099</v>
      </c>
    </row>
    <row r="25246">
      <c r="B25246" s="31"/>
      <c r="G25246" s="272" t="s">
        <v>1099</v>
      </c>
    </row>
    <row r="25247">
      <c r="B25247" s="31"/>
      <c r="G25247" s="272" t="s">
        <v>1099</v>
      </c>
    </row>
    <row r="25248">
      <c r="B25248" s="31"/>
      <c r="G25248" s="272" t="s">
        <v>1099</v>
      </c>
    </row>
    <row r="25249">
      <c r="B25249" s="31"/>
      <c r="G25249" s="272" t="s">
        <v>1099</v>
      </c>
    </row>
    <row r="25250">
      <c r="B25250" s="31"/>
      <c r="G25250" s="272" t="s">
        <v>1099</v>
      </c>
    </row>
    <row r="25251">
      <c r="B25251" s="31"/>
      <c r="G25251" s="272" t="s">
        <v>1099</v>
      </c>
    </row>
    <row r="25252">
      <c r="B25252" s="31"/>
      <c r="G25252" s="272" t="s">
        <v>1099</v>
      </c>
    </row>
    <row r="25253">
      <c r="B25253" s="31"/>
      <c r="G25253" s="272" t="s">
        <v>1099</v>
      </c>
    </row>
    <row r="25254">
      <c r="B25254" s="31"/>
      <c r="G25254" s="272" t="s">
        <v>1099</v>
      </c>
    </row>
    <row r="25255">
      <c r="B25255" s="31"/>
      <c r="G25255" s="272" t="s">
        <v>1099</v>
      </c>
    </row>
    <row r="25256">
      <c r="B25256" s="31"/>
      <c r="G25256" s="272" t="s">
        <v>1099</v>
      </c>
    </row>
    <row r="25257">
      <c r="B25257" s="31"/>
      <c r="G25257" s="272" t="s">
        <v>1099</v>
      </c>
    </row>
    <row r="25258">
      <c r="B25258" s="31"/>
      <c r="G25258" s="272" t="s">
        <v>1099</v>
      </c>
    </row>
    <row r="25259">
      <c r="B25259" s="31"/>
      <c r="G25259" s="272" t="s">
        <v>1099</v>
      </c>
    </row>
    <row r="25260">
      <c r="B25260" s="31"/>
      <c r="G25260" s="272" t="s">
        <v>1099</v>
      </c>
    </row>
    <row r="25261">
      <c r="B25261" s="31"/>
      <c r="G25261" s="272" t="s">
        <v>1099</v>
      </c>
    </row>
    <row r="25262">
      <c r="B25262" s="31"/>
      <c r="G25262" s="272" t="s">
        <v>1099</v>
      </c>
    </row>
    <row r="25263">
      <c r="B25263" s="31"/>
      <c r="G25263" s="272" t="s">
        <v>1099</v>
      </c>
    </row>
    <row r="25264">
      <c r="B25264" s="31"/>
      <c r="G25264" s="272" t="s">
        <v>1099</v>
      </c>
    </row>
    <row r="25265">
      <c r="B25265" s="31"/>
      <c r="G25265" s="272" t="s">
        <v>1099</v>
      </c>
    </row>
    <row r="25266">
      <c r="B25266" s="31"/>
      <c r="G25266" s="272" t="s">
        <v>1099</v>
      </c>
    </row>
    <row r="25267">
      <c r="B25267" s="31"/>
      <c r="G25267" s="272" t="s">
        <v>1099</v>
      </c>
    </row>
    <row r="25268">
      <c r="B25268" s="31"/>
      <c r="G25268" s="272" t="s">
        <v>1099</v>
      </c>
    </row>
    <row r="25269">
      <c r="B25269" s="31"/>
      <c r="G25269" s="272" t="s">
        <v>1099</v>
      </c>
    </row>
    <row r="25270">
      <c r="B25270" s="31"/>
      <c r="G25270" s="272" t="s">
        <v>1099</v>
      </c>
    </row>
    <row r="25271">
      <c r="B25271" s="31"/>
      <c r="G25271" s="272" t="s">
        <v>1099</v>
      </c>
    </row>
    <row r="25272">
      <c r="B25272" s="31"/>
      <c r="G25272" s="272" t="s">
        <v>1099</v>
      </c>
    </row>
    <row r="25273">
      <c r="B25273" s="31"/>
      <c r="G25273" s="272" t="s">
        <v>1099</v>
      </c>
    </row>
    <row r="25274">
      <c r="B25274" s="31"/>
      <c r="G25274" s="272" t="s">
        <v>1099</v>
      </c>
    </row>
    <row r="25275">
      <c r="B25275" s="31"/>
      <c r="G25275" s="272" t="s">
        <v>1099</v>
      </c>
    </row>
    <row r="25276">
      <c r="B25276" s="31"/>
      <c r="G25276" s="272" t="s">
        <v>1099</v>
      </c>
    </row>
    <row r="25277">
      <c r="B25277" s="31"/>
      <c r="G25277" s="272" t="s">
        <v>1099</v>
      </c>
    </row>
    <row r="25278">
      <c r="B25278" s="31"/>
      <c r="G25278" s="272" t="s">
        <v>1099</v>
      </c>
    </row>
    <row r="25279">
      <c r="B25279" s="31"/>
      <c r="G25279" s="272" t="s">
        <v>1099</v>
      </c>
    </row>
    <row r="25280">
      <c r="B25280" s="31"/>
      <c r="G25280" s="272" t="s">
        <v>1099</v>
      </c>
    </row>
    <row r="25281">
      <c r="B25281" s="31"/>
      <c r="G25281" s="272" t="s">
        <v>1099</v>
      </c>
    </row>
    <row r="25282">
      <c r="B25282" s="31"/>
      <c r="G25282" s="272" t="s">
        <v>1099</v>
      </c>
    </row>
    <row r="25283">
      <c r="B25283" s="31"/>
      <c r="G25283" s="272" t="s">
        <v>1099</v>
      </c>
    </row>
    <row r="25284">
      <c r="B25284" s="31"/>
      <c r="G25284" s="272" t="s">
        <v>1099</v>
      </c>
    </row>
    <row r="25285">
      <c r="B25285" s="31"/>
      <c r="G25285" s="272" t="s">
        <v>1099</v>
      </c>
    </row>
    <row r="25286">
      <c r="B25286" s="31"/>
      <c r="G25286" s="272" t="s">
        <v>1099</v>
      </c>
    </row>
    <row r="25287">
      <c r="B25287" s="31"/>
      <c r="G25287" s="272" t="s">
        <v>1099</v>
      </c>
    </row>
    <row r="25288">
      <c r="B25288" s="31"/>
      <c r="G25288" s="272" t="s">
        <v>1099</v>
      </c>
    </row>
    <row r="25289">
      <c r="B25289" s="31"/>
      <c r="G25289" s="272" t="s">
        <v>1099</v>
      </c>
    </row>
    <row r="25290">
      <c r="B25290" s="31"/>
      <c r="G25290" s="272" t="s">
        <v>1099</v>
      </c>
    </row>
    <row r="25291">
      <c r="B25291" s="31"/>
      <c r="G25291" s="272" t="s">
        <v>1099</v>
      </c>
    </row>
    <row r="25292">
      <c r="B25292" s="31"/>
      <c r="G25292" s="272" t="s">
        <v>1099</v>
      </c>
    </row>
    <row r="25293">
      <c r="B25293" s="31"/>
      <c r="G25293" s="272" t="s">
        <v>1099</v>
      </c>
    </row>
    <row r="25294">
      <c r="B25294" s="31"/>
      <c r="G25294" s="272" t="s">
        <v>1099</v>
      </c>
    </row>
    <row r="25295">
      <c r="B25295" s="31"/>
      <c r="G25295" s="272" t="s">
        <v>1099</v>
      </c>
    </row>
    <row r="25296">
      <c r="B25296" s="31"/>
      <c r="G25296" s="272" t="s">
        <v>1099</v>
      </c>
    </row>
    <row r="25297">
      <c r="B25297" s="31"/>
      <c r="G25297" s="272" t="s">
        <v>1099</v>
      </c>
    </row>
    <row r="25298">
      <c r="B25298" s="31"/>
      <c r="G25298" s="272" t="s">
        <v>1099</v>
      </c>
    </row>
    <row r="25299">
      <c r="B25299" s="31"/>
      <c r="G25299" s="272" t="s">
        <v>1099</v>
      </c>
    </row>
    <row r="25300">
      <c r="B25300" s="31"/>
      <c r="G25300" s="272" t="s">
        <v>1099</v>
      </c>
    </row>
    <row r="25301">
      <c r="B25301" s="31"/>
      <c r="G25301" s="272" t="s">
        <v>1099</v>
      </c>
    </row>
    <row r="25302">
      <c r="B25302" s="31"/>
      <c r="G25302" s="272" t="s">
        <v>1099</v>
      </c>
    </row>
    <row r="25303">
      <c r="B25303" s="31"/>
      <c r="G25303" s="272" t="s">
        <v>1099</v>
      </c>
    </row>
    <row r="25304">
      <c r="B25304" s="31"/>
      <c r="G25304" s="272" t="s">
        <v>1099</v>
      </c>
    </row>
    <row r="25305">
      <c r="B25305" s="31"/>
      <c r="G25305" s="272" t="s">
        <v>1099</v>
      </c>
    </row>
    <row r="25306">
      <c r="B25306" s="31"/>
      <c r="G25306" s="272" t="s">
        <v>1099</v>
      </c>
    </row>
    <row r="25307">
      <c r="B25307" s="31"/>
      <c r="G25307" s="272" t="s">
        <v>1099</v>
      </c>
    </row>
    <row r="25308">
      <c r="B25308" s="31"/>
      <c r="G25308" s="272" t="s">
        <v>1099</v>
      </c>
    </row>
    <row r="25309">
      <c r="B25309" s="31"/>
      <c r="G25309" s="272" t="s">
        <v>1099</v>
      </c>
    </row>
    <row r="25310">
      <c r="B25310" s="31"/>
      <c r="G25310" s="272" t="s">
        <v>1099</v>
      </c>
    </row>
    <row r="25311">
      <c r="B25311" s="31"/>
      <c r="G25311" s="272" t="s">
        <v>1099</v>
      </c>
    </row>
    <row r="25312">
      <c r="B25312" s="31"/>
      <c r="G25312" s="272" t="s">
        <v>1099</v>
      </c>
    </row>
    <row r="25313">
      <c r="B25313" s="31"/>
      <c r="G25313" s="272" t="s">
        <v>1099</v>
      </c>
    </row>
    <row r="25314">
      <c r="B25314" s="31"/>
      <c r="G25314" s="272" t="s">
        <v>1099</v>
      </c>
    </row>
    <row r="25315">
      <c r="B25315" s="31"/>
      <c r="G25315" s="272" t="s">
        <v>1099</v>
      </c>
    </row>
    <row r="25316">
      <c r="B25316" s="31"/>
      <c r="G25316" s="272" t="s">
        <v>1099</v>
      </c>
    </row>
    <row r="25317">
      <c r="B25317" s="31"/>
      <c r="G25317" s="272" t="s">
        <v>1099</v>
      </c>
    </row>
    <row r="25318">
      <c r="B25318" s="31"/>
      <c r="G25318" s="272" t="s">
        <v>1099</v>
      </c>
    </row>
    <row r="25319">
      <c r="B25319" s="31"/>
      <c r="G25319" s="272" t="s">
        <v>1099</v>
      </c>
    </row>
    <row r="25320">
      <c r="B25320" s="31"/>
      <c r="G25320" s="272" t="s">
        <v>1099</v>
      </c>
    </row>
    <row r="25321">
      <c r="B25321" s="31"/>
      <c r="G25321" s="272" t="s">
        <v>1099</v>
      </c>
    </row>
    <row r="25322">
      <c r="B25322" s="31"/>
      <c r="G25322" s="272" t="s">
        <v>1099</v>
      </c>
    </row>
    <row r="25323">
      <c r="B25323" s="31"/>
      <c r="G25323" s="272" t="s">
        <v>1099</v>
      </c>
    </row>
    <row r="25324">
      <c r="B25324" s="31"/>
      <c r="G25324" s="272" t="s">
        <v>1099</v>
      </c>
    </row>
    <row r="25325">
      <c r="B25325" s="31"/>
      <c r="G25325" s="272" t="s">
        <v>1099</v>
      </c>
    </row>
    <row r="25326">
      <c r="B25326" s="31"/>
      <c r="G25326" s="272" t="s">
        <v>1099</v>
      </c>
    </row>
    <row r="25327">
      <c r="B25327" s="31"/>
      <c r="G25327" s="272" t="s">
        <v>1099</v>
      </c>
    </row>
    <row r="25328">
      <c r="B25328" s="31"/>
      <c r="G25328" s="272" t="s">
        <v>1099</v>
      </c>
    </row>
    <row r="25329">
      <c r="B25329" s="31"/>
      <c r="G25329" s="272" t="s">
        <v>1099</v>
      </c>
    </row>
    <row r="25330">
      <c r="B25330" s="31"/>
      <c r="G25330" s="272" t="s">
        <v>1099</v>
      </c>
    </row>
    <row r="25331">
      <c r="B25331" s="31"/>
      <c r="G25331" s="272" t="s">
        <v>1099</v>
      </c>
    </row>
    <row r="25332">
      <c r="B25332" s="31"/>
      <c r="G25332" s="272" t="s">
        <v>1099</v>
      </c>
    </row>
    <row r="25333">
      <c r="B25333" s="31"/>
      <c r="G25333" s="272" t="s">
        <v>1099</v>
      </c>
    </row>
    <row r="25334">
      <c r="B25334" s="31"/>
      <c r="G25334" s="272" t="s">
        <v>1099</v>
      </c>
    </row>
    <row r="25335">
      <c r="B25335" s="31"/>
      <c r="G25335" s="272" t="s">
        <v>1099</v>
      </c>
    </row>
    <row r="25336">
      <c r="B25336" s="31"/>
      <c r="G25336" s="272" t="s">
        <v>1099</v>
      </c>
    </row>
    <row r="25337">
      <c r="B25337" s="31"/>
      <c r="G25337" s="272" t="s">
        <v>1099</v>
      </c>
    </row>
    <row r="25338">
      <c r="B25338" s="31"/>
      <c r="G25338" s="272" t="s">
        <v>1099</v>
      </c>
    </row>
    <row r="25339">
      <c r="B25339" s="31"/>
      <c r="G25339" s="272" t="s">
        <v>1099</v>
      </c>
    </row>
    <row r="25340">
      <c r="B25340" s="31"/>
      <c r="G25340" s="272" t="s">
        <v>1099</v>
      </c>
    </row>
    <row r="25341">
      <c r="B25341" s="31"/>
      <c r="G25341" s="272" t="s">
        <v>1099</v>
      </c>
    </row>
    <row r="25342">
      <c r="B25342" s="31"/>
      <c r="G25342" s="272" t="s">
        <v>1099</v>
      </c>
    </row>
    <row r="25343">
      <c r="B25343" s="31"/>
      <c r="G25343" s="272" t="s">
        <v>1099</v>
      </c>
    </row>
    <row r="25344">
      <c r="B25344" s="31"/>
      <c r="G25344" s="272" t="s">
        <v>1099</v>
      </c>
    </row>
    <row r="25345">
      <c r="B25345" s="31"/>
      <c r="G25345" s="272" t="s">
        <v>1099</v>
      </c>
    </row>
    <row r="25346">
      <c r="B25346" s="31"/>
      <c r="G25346" s="272" t="s">
        <v>1099</v>
      </c>
    </row>
    <row r="25347">
      <c r="B25347" s="31"/>
      <c r="G25347" s="272" t="s">
        <v>1099</v>
      </c>
    </row>
    <row r="25348">
      <c r="B25348" s="31"/>
      <c r="G25348" s="272" t="s">
        <v>1099</v>
      </c>
    </row>
    <row r="25349">
      <c r="B25349" s="31"/>
      <c r="G25349" s="272" t="s">
        <v>1099</v>
      </c>
    </row>
    <row r="25350">
      <c r="B25350" s="31"/>
      <c r="G25350" s="272" t="s">
        <v>1099</v>
      </c>
    </row>
    <row r="25351">
      <c r="B25351" s="31"/>
      <c r="G25351" s="272" t="s">
        <v>1099</v>
      </c>
    </row>
    <row r="25352">
      <c r="B25352" s="31"/>
      <c r="G25352" s="272" t="s">
        <v>1099</v>
      </c>
    </row>
    <row r="25353">
      <c r="B25353" s="31"/>
      <c r="G25353" s="272" t="s">
        <v>1099</v>
      </c>
    </row>
    <row r="25354">
      <c r="B25354" s="31"/>
      <c r="G25354" s="272" t="s">
        <v>1099</v>
      </c>
    </row>
    <row r="25355">
      <c r="B25355" s="31"/>
      <c r="G25355" s="272" t="s">
        <v>1099</v>
      </c>
    </row>
    <row r="25356">
      <c r="B25356" s="31"/>
      <c r="G25356" s="272" t="s">
        <v>1099</v>
      </c>
    </row>
    <row r="25357">
      <c r="B25357" s="31"/>
      <c r="G25357" s="272" t="s">
        <v>1099</v>
      </c>
    </row>
    <row r="25358">
      <c r="B25358" s="31"/>
      <c r="G25358" s="272" t="s">
        <v>1099</v>
      </c>
    </row>
    <row r="25359">
      <c r="B25359" s="31"/>
      <c r="G25359" s="272" t="s">
        <v>1099</v>
      </c>
    </row>
    <row r="25360">
      <c r="B25360" s="31"/>
      <c r="G25360" s="272" t="s">
        <v>1099</v>
      </c>
    </row>
    <row r="25361">
      <c r="B25361" s="31"/>
      <c r="G25361" s="272" t="s">
        <v>1099</v>
      </c>
    </row>
    <row r="25362">
      <c r="B25362" s="31"/>
      <c r="G25362" s="272" t="s">
        <v>1099</v>
      </c>
    </row>
    <row r="25363">
      <c r="B25363" s="31"/>
      <c r="G25363" s="272" t="s">
        <v>1099</v>
      </c>
    </row>
    <row r="25364">
      <c r="B25364" s="31"/>
      <c r="G25364" s="272" t="s">
        <v>1099</v>
      </c>
    </row>
    <row r="25365">
      <c r="B25365" s="31"/>
      <c r="G25365" s="272" t="s">
        <v>1099</v>
      </c>
    </row>
    <row r="25366">
      <c r="B25366" s="31"/>
      <c r="G25366" s="272" t="s">
        <v>1099</v>
      </c>
    </row>
    <row r="25367">
      <c r="B25367" s="31"/>
      <c r="G25367" s="272" t="s">
        <v>1099</v>
      </c>
    </row>
    <row r="25368">
      <c r="B25368" s="31"/>
      <c r="G25368" s="272" t="s">
        <v>1099</v>
      </c>
    </row>
    <row r="25369">
      <c r="B25369" s="31"/>
      <c r="G25369" s="272" t="s">
        <v>1099</v>
      </c>
    </row>
    <row r="25370">
      <c r="B25370" s="31"/>
      <c r="G25370" s="272" t="s">
        <v>1099</v>
      </c>
    </row>
    <row r="25371">
      <c r="B25371" s="31"/>
      <c r="G25371" s="272" t="s">
        <v>1099</v>
      </c>
    </row>
    <row r="25372">
      <c r="B25372" s="31"/>
      <c r="G25372" s="272" t="s">
        <v>1099</v>
      </c>
    </row>
    <row r="25373">
      <c r="B25373" s="31"/>
      <c r="G25373" s="272" t="s">
        <v>1099</v>
      </c>
    </row>
    <row r="25374">
      <c r="B25374" s="31"/>
      <c r="G25374" s="272" t="s">
        <v>1099</v>
      </c>
    </row>
    <row r="25375">
      <c r="B25375" s="31"/>
      <c r="G25375" s="272" t="s">
        <v>1099</v>
      </c>
    </row>
    <row r="25376">
      <c r="B25376" s="31"/>
      <c r="G25376" s="272" t="s">
        <v>1099</v>
      </c>
    </row>
    <row r="25377">
      <c r="B25377" s="31"/>
      <c r="G25377" s="272" t="s">
        <v>1099</v>
      </c>
    </row>
    <row r="25378">
      <c r="B25378" s="31"/>
      <c r="G25378" s="272" t="s">
        <v>1099</v>
      </c>
    </row>
    <row r="25379">
      <c r="B25379" s="31"/>
      <c r="G25379" s="272" t="s">
        <v>1099</v>
      </c>
    </row>
    <row r="25380">
      <c r="B25380" s="31"/>
      <c r="G25380" s="272" t="s">
        <v>1099</v>
      </c>
    </row>
    <row r="25381">
      <c r="B25381" s="31"/>
      <c r="G25381" s="272" t="s">
        <v>1099</v>
      </c>
    </row>
    <row r="25382">
      <c r="B25382" s="31"/>
      <c r="G25382" s="272" t="s">
        <v>1099</v>
      </c>
    </row>
    <row r="25383">
      <c r="B25383" s="31"/>
      <c r="G25383" s="272" t="s">
        <v>1099</v>
      </c>
    </row>
    <row r="25384">
      <c r="B25384" s="31"/>
      <c r="G25384" s="272" t="s">
        <v>1099</v>
      </c>
    </row>
    <row r="25385">
      <c r="B25385" s="31"/>
      <c r="G25385" s="272" t="s">
        <v>1099</v>
      </c>
    </row>
    <row r="25386">
      <c r="B25386" s="31"/>
      <c r="G25386" s="272" t="s">
        <v>1099</v>
      </c>
    </row>
    <row r="25387">
      <c r="B25387" s="31"/>
      <c r="G25387" s="272" t="s">
        <v>1099</v>
      </c>
    </row>
    <row r="25388">
      <c r="B25388" s="31"/>
      <c r="G25388" s="272" t="s">
        <v>1099</v>
      </c>
    </row>
    <row r="25389">
      <c r="B25389" s="31"/>
      <c r="G25389" s="272" t="s">
        <v>1099</v>
      </c>
    </row>
    <row r="25390">
      <c r="B25390" s="31"/>
      <c r="G25390" s="272" t="s">
        <v>1099</v>
      </c>
    </row>
    <row r="25391">
      <c r="B25391" s="31"/>
      <c r="G25391" s="272" t="s">
        <v>1099</v>
      </c>
    </row>
    <row r="25392">
      <c r="B25392" s="31"/>
      <c r="G25392" s="272" t="s">
        <v>1099</v>
      </c>
    </row>
    <row r="25393">
      <c r="B25393" s="31"/>
      <c r="G25393" s="272" t="s">
        <v>1099</v>
      </c>
    </row>
    <row r="25394">
      <c r="B25394" s="31"/>
      <c r="G25394" s="272" t="s">
        <v>1099</v>
      </c>
    </row>
    <row r="25395">
      <c r="B25395" s="31"/>
      <c r="G25395" s="272" t="s">
        <v>1099</v>
      </c>
    </row>
    <row r="25396">
      <c r="B25396" s="31"/>
      <c r="G25396" s="272" t="s">
        <v>1099</v>
      </c>
    </row>
    <row r="25397">
      <c r="B25397" s="31"/>
      <c r="G25397" s="272" t="s">
        <v>1099</v>
      </c>
    </row>
    <row r="25398">
      <c r="B25398" s="31"/>
      <c r="G25398" s="272" t="s">
        <v>1099</v>
      </c>
    </row>
    <row r="25399">
      <c r="B25399" s="31"/>
      <c r="G25399" s="272" t="s">
        <v>1099</v>
      </c>
    </row>
    <row r="25400">
      <c r="B25400" s="31"/>
      <c r="G25400" s="272" t="s">
        <v>1099</v>
      </c>
    </row>
    <row r="25401">
      <c r="B25401" s="31"/>
      <c r="G25401" s="272" t="s">
        <v>1099</v>
      </c>
    </row>
    <row r="25402">
      <c r="B25402" s="31"/>
      <c r="G25402" s="272" t="s">
        <v>1099</v>
      </c>
    </row>
    <row r="25403">
      <c r="B25403" s="31"/>
      <c r="G25403" s="272" t="s">
        <v>1099</v>
      </c>
    </row>
    <row r="25404">
      <c r="B25404" s="31"/>
      <c r="G25404" s="272" t="s">
        <v>1099</v>
      </c>
    </row>
    <row r="25405">
      <c r="B25405" s="31"/>
      <c r="G25405" s="272" t="s">
        <v>1099</v>
      </c>
    </row>
    <row r="25406">
      <c r="B25406" s="31"/>
      <c r="G25406" s="272" t="s">
        <v>1099</v>
      </c>
    </row>
    <row r="25407">
      <c r="B25407" s="31"/>
      <c r="G25407" s="272" t="s">
        <v>1099</v>
      </c>
    </row>
    <row r="25408">
      <c r="B25408" s="31"/>
      <c r="G25408" s="272" t="s">
        <v>1099</v>
      </c>
    </row>
    <row r="25409">
      <c r="B25409" s="31"/>
      <c r="G25409" s="272" t="s">
        <v>1099</v>
      </c>
    </row>
    <row r="25410">
      <c r="B25410" s="31"/>
      <c r="G25410" s="272" t="s">
        <v>1099</v>
      </c>
    </row>
    <row r="25411">
      <c r="B25411" s="31"/>
      <c r="G25411" s="272" t="s">
        <v>1099</v>
      </c>
    </row>
    <row r="25412">
      <c r="B25412" s="31"/>
      <c r="G25412" s="272" t="s">
        <v>1099</v>
      </c>
    </row>
    <row r="25413">
      <c r="B25413" s="31"/>
      <c r="G25413" s="272" t="s">
        <v>1099</v>
      </c>
    </row>
    <row r="25414">
      <c r="B25414" s="31"/>
      <c r="G25414" s="272" t="s">
        <v>1099</v>
      </c>
    </row>
    <row r="25415">
      <c r="B25415" s="31"/>
      <c r="G25415" s="272" t="s">
        <v>1099</v>
      </c>
    </row>
    <row r="25416">
      <c r="B25416" s="31"/>
      <c r="G25416" s="272" t="s">
        <v>1099</v>
      </c>
    </row>
    <row r="25417">
      <c r="B25417" s="31"/>
      <c r="G25417" s="272" t="s">
        <v>1099</v>
      </c>
    </row>
    <row r="25418">
      <c r="B25418" s="31"/>
      <c r="G25418" s="272" t="s">
        <v>1099</v>
      </c>
    </row>
    <row r="25419">
      <c r="B25419" s="31"/>
      <c r="G25419" s="272" t="s">
        <v>1099</v>
      </c>
    </row>
    <row r="25420">
      <c r="B25420" s="31"/>
      <c r="G25420" s="272" t="s">
        <v>1099</v>
      </c>
    </row>
    <row r="25421">
      <c r="B25421" s="31"/>
      <c r="G25421" s="272" t="s">
        <v>1099</v>
      </c>
    </row>
    <row r="25422">
      <c r="B25422" s="31"/>
      <c r="G25422" s="272" t="s">
        <v>1099</v>
      </c>
    </row>
    <row r="25423">
      <c r="B25423" s="31"/>
      <c r="G25423" s="272" t="s">
        <v>1099</v>
      </c>
    </row>
    <row r="25424">
      <c r="B25424" s="31"/>
      <c r="G25424" s="272" t="s">
        <v>1099</v>
      </c>
    </row>
    <row r="25425">
      <c r="B25425" s="31"/>
      <c r="G25425" s="272" t="s">
        <v>1099</v>
      </c>
    </row>
    <row r="25426">
      <c r="B25426" s="31"/>
      <c r="G25426" s="272" t="s">
        <v>1099</v>
      </c>
    </row>
    <row r="25427">
      <c r="B25427" s="31"/>
      <c r="G25427" s="272" t="s">
        <v>1099</v>
      </c>
    </row>
    <row r="25428">
      <c r="B25428" s="31"/>
      <c r="G25428" s="272" t="s">
        <v>1099</v>
      </c>
    </row>
    <row r="25429">
      <c r="B25429" s="31"/>
      <c r="G25429" s="272" t="s">
        <v>1099</v>
      </c>
    </row>
    <row r="25430">
      <c r="B25430" s="31"/>
      <c r="G25430" s="272" t="s">
        <v>1099</v>
      </c>
    </row>
    <row r="25431">
      <c r="B25431" s="31"/>
      <c r="G25431" s="272" t="s">
        <v>1099</v>
      </c>
    </row>
    <row r="25432">
      <c r="B25432" s="31"/>
      <c r="G25432" s="272" t="s">
        <v>1099</v>
      </c>
    </row>
    <row r="25433">
      <c r="B25433" s="31"/>
      <c r="G25433" s="272" t="s">
        <v>1099</v>
      </c>
    </row>
    <row r="25434">
      <c r="B25434" s="31"/>
      <c r="G25434" s="272" t="s">
        <v>1099</v>
      </c>
    </row>
    <row r="25435">
      <c r="B25435" s="31"/>
      <c r="G25435" s="272" t="s">
        <v>1099</v>
      </c>
    </row>
    <row r="25436">
      <c r="B25436" s="31"/>
      <c r="G25436" s="272" t="s">
        <v>1099</v>
      </c>
    </row>
    <row r="25437">
      <c r="B25437" s="31"/>
      <c r="G25437" s="272" t="s">
        <v>1099</v>
      </c>
    </row>
    <row r="25438">
      <c r="B25438" s="31"/>
      <c r="G25438" s="272" t="s">
        <v>1099</v>
      </c>
    </row>
    <row r="25439">
      <c r="B25439" s="31"/>
      <c r="G25439" s="272" t="s">
        <v>1099</v>
      </c>
    </row>
    <row r="25440">
      <c r="B25440" s="31"/>
      <c r="G25440" s="272" t="s">
        <v>1099</v>
      </c>
    </row>
    <row r="25441">
      <c r="B25441" s="31"/>
      <c r="G25441" s="272" t="s">
        <v>1099</v>
      </c>
    </row>
    <row r="25442">
      <c r="B25442" s="31"/>
      <c r="G25442" s="272" t="s">
        <v>1099</v>
      </c>
    </row>
    <row r="25443">
      <c r="B25443" s="31"/>
      <c r="G25443" s="272" t="s">
        <v>1099</v>
      </c>
    </row>
    <row r="25444">
      <c r="B25444" s="31"/>
      <c r="G25444" s="272" t="s">
        <v>1099</v>
      </c>
    </row>
    <row r="25445">
      <c r="B25445" s="31"/>
      <c r="G25445" s="272" t="s">
        <v>1099</v>
      </c>
    </row>
    <row r="25446">
      <c r="B25446" s="31"/>
      <c r="G25446" s="272" t="s">
        <v>1099</v>
      </c>
    </row>
    <row r="25447">
      <c r="B25447" s="31"/>
      <c r="G25447" s="272" t="s">
        <v>1099</v>
      </c>
    </row>
    <row r="25448">
      <c r="B25448" s="31"/>
      <c r="G25448" s="272" t="s">
        <v>1099</v>
      </c>
    </row>
    <row r="25449">
      <c r="B25449" s="31"/>
      <c r="G25449" s="272" t="s">
        <v>1099</v>
      </c>
    </row>
    <row r="25450">
      <c r="B25450" s="31"/>
      <c r="G25450" s="272" t="s">
        <v>1099</v>
      </c>
    </row>
    <row r="25451">
      <c r="B25451" s="31"/>
      <c r="G25451" s="272" t="s">
        <v>1099</v>
      </c>
    </row>
    <row r="25452">
      <c r="B25452" s="31"/>
      <c r="G25452" s="272" t="s">
        <v>1099</v>
      </c>
    </row>
    <row r="25453">
      <c r="B25453" s="31"/>
      <c r="G25453" s="272" t="s">
        <v>1099</v>
      </c>
    </row>
    <row r="25454">
      <c r="B25454" s="31"/>
      <c r="G25454" s="272" t="s">
        <v>1099</v>
      </c>
    </row>
    <row r="25455">
      <c r="B25455" s="31"/>
      <c r="G25455" s="272" t="s">
        <v>1099</v>
      </c>
    </row>
    <row r="25456">
      <c r="B25456" s="31"/>
      <c r="G25456" s="272" t="s">
        <v>1099</v>
      </c>
    </row>
    <row r="25457">
      <c r="B25457" s="31"/>
      <c r="G25457" s="272" t="s">
        <v>1099</v>
      </c>
    </row>
    <row r="25458">
      <c r="B25458" s="31"/>
      <c r="G25458" s="272" t="s">
        <v>1099</v>
      </c>
    </row>
    <row r="25459">
      <c r="B25459" s="31"/>
      <c r="G25459" s="272" t="s">
        <v>1099</v>
      </c>
    </row>
    <row r="25460">
      <c r="B25460" s="31"/>
      <c r="G25460" s="272" t="s">
        <v>1099</v>
      </c>
    </row>
    <row r="25461">
      <c r="B25461" s="31"/>
      <c r="G25461" s="272" t="s">
        <v>1099</v>
      </c>
    </row>
    <row r="25462">
      <c r="B25462" s="31"/>
      <c r="G25462" s="272" t="s">
        <v>1099</v>
      </c>
    </row>
    <row r="25463">
      <c r="B25463" s="31"/>
      <c r="G25463" s="272" t="s">
        <v>1099</v>
      </c>
    </row>
    <row r="25464">
      <c r="B25464" s="31"/>
      <c r="G25464" s="272" t="s">
        <v>1099</v>
      </c>
    </row>
    <row r="25465">
      <c r="B25465" s="31"/>
      <c r="G25465" s="272" t="s">
        <v>1099</v>
      </c>
    </row>
    <row r="25466">
      <c r="B25466" s="31"/>
      <c r="G25466" s="272" t="s">
        <v>1099</v>
      </c>
    </row>
    <row r="25467">
      <c r="B25467" s="31"/>
      <c r="G25467" s="272" t="s">
        <v>1099</v>
      </c>
    </row>
    <row r="25468">
      <c r="B25468" s="31"/>
      <c r="G25468" s="272" t="s">
        <v>1099</v>
      </c>
    </row>
    <row r="25469">
      <c r="B25469" s="31"/>
      <c r="G25469" s="272" t="s">
        <v>1099</v>
      </c>
    </row>
    <row r="25470">
      <c r="B25470" s="31"/>
      <c r="G25470" s="272" t="s">
        <v>1099</v>
      </c>
    </row>
    <row r="25471">
      <c r="B25471" s="31"/>
      <c r="G25471" s="272" t="s">
        <v>1099</v>
      </c>
    </row>
    <row r="25472">
      <c r="B25472" s="31"/>
      <c r="G25472" s="272" t="s">
        <v>1099</v>
      </c>
    </row>
    <row r="25473">
      <c r="B25473" s="31"/>
      <c r="G25473" s="272" t="s">
        <v>1099</v>
      </c>
    </row>
    <row r="25474">
      <c r="B25474" s="31"/>
      <c r="G25474" s="272" t="s">
        <v>1099</v>
      </c>
    </row>
    <row r="25475">
      <c r="B25475" s="31"/>
      <c r="G25475" s="272" t="s">
        <v>1099</v>
      </c>
    </row>
    <row r="25476">
      <c r="B25476" s="31"/>
      <c r="G25476" s="272" t="s">
        <v>1099</v>
      </c>
    </row>
    <row r="25477">
      <c r="B25477" s="31"/>
      <c r="G25477" s="272" t="s">
        <v>1099</v>
      </c>
    </row>
    <row r="25478">
      <c r="B25478" s="31"/>
      <c r="G25478" s="272" t="s">
        <v>1099</v>
      </c>
    </row>
    <row r="25479">
      <c r="B25479" s="31"/>
      <c r="G25479" s="272" t="s">
        <v>1099</v>
      </c>
    </row>
    <row r="25480">
      <c r="B25480" s="31"/>
      <c r="G25480" s="272" t="s">
        <v>1099</v>
      </c>
    </row>
    <row r="25481">
      <c r="B25481" s="31"/>
      <c r="G25481" s="272" t="s">
        <v>1099</v>
      </c>
    </row>
    <row r="25482">
      <c r="B25482" s="31"/>
      <c r="G25482" s="272" t="s">
        <v>1099</v>
      </c>
    </row>
    <row r="25483">
      <c r="B25483" s="31"/>
      <c r="G25483" s="272" t="s">
        <v>1099</v>
      </c>
    </row>
    <row r="25484">
      <c r="B25484" s="31"/>
      <c r="G25484" s="272" t="s">
        <v>1099</v>
      </c>
    </row>
    <row r="25485">
      <c r="B25485" s="31"/>
      <c r="G25485" s="272" t="s">
        <v>1099</v>
      </c>
    </row>
    <row r="25486">
      <c r="B25486" s="31"/>
      <c r="G25486" s="272" t="s">
        <v>1099</v>
      </c>
    </row>
    <row r="25487">
      <c r="B25487" s="31"/>
      <c r="G25487" s="272" t="s">
        <v>1099</v>
      </c>
    </row>
    <row r="25488">
      <c r="B25488" s="31"/>
      <c r="G25488" s="272" t="s">
        <v>1099</v>
      </c>
    </row>
    <row r="25489">
      <c r="B25489" s="31"/>
      <c r="G25489" s="272" t="s">
        <v>1099</v>
      </c>
    </row>
    <row r="25490">
      <c r="B25490" s="31"/>
      <c r="G25490" s="272" t="s">
        <v>1099</v>
      </c>
    </row>
    <row r="25491">
      <c r="B25491" s="31"/>
      <c r="G25491" s="272" t="s">
        <v>1099</v>
      </c>
    </row>
    <row r="25492">
      <c r="B25492" s="31"/>
      <c r="G25492" s="272" t="s">
        <v>1099</v>
      </c>
    </row>
    <row r="25493">
      <c r="B25493" s="31"/>
      <c r="G25493" s="272" t="s">
        <v>1099</v>
      </c>
    </row>
    <row r="25494">
      <c r="B25494" s="31"/>
      <c r="G25494" s="272" t="s">
        <v>1099</v>
      </c>
    </row>
    <row r="25495">
      <c r="B25495" s="31"/>
      <c r="G25495" s="272" t="s">
        <v>1099</v>
      </c>
    </row>
    <row r="25496">
      <c r="B25496" s="31"/>
      <c r="G25496" s="272" t="s">
        <v>1099</v>
      </c>
    </row>
    <row r="25497">
      <c r="B25497" s="31"/>
      <c r="G25497" s="272" t="s">
        <v>1099</v>
      </c>
    </row>
    <row r="25498">
      <c r="B25498" s="31"/>
      <c r="G25498" s="272" t="s">
        <v>1099</v>
      </c>
    </row>
    <row r="25499">
      <c r="B25499" s="31"/>
      <c r="G25499" s="272" t="s">
        <v>1099</v>
      </c>
    </row>
    <row r="25500">
      <c r="B25500" s="31"/>
      <c r="G25500" s="272" t="s">
        <v>1099</v>
      </c>
    </row>
    <row r="25501">
      <c r="B25501" s="31"/>
      <c r="G25501" s="272" t="s">
        <v>1099</v>
      </c>
    </row>
    <row r="25502">
      <c r="B25502" s="31"/>
      <c r="G25502" s="272" t="s">
        <v>1099</v>
      </c>
    </row>
    <row r="25503">
      <c r="B25503" s="31"/>
      <c r="G25503" s="272" t="s">
        <v>1099</v>
      </c>
    </row>
    <row r="25504">
      <c r="B25504" s="31"/>
      <c r="G25504" s="272" t="s">
        <v>1099</v>
      </c>
    </row>
    <row r="25505">
      <c r="B25505" s="31"/>
      <c r="G25505" s="272" t="s">
        <v>1099</v>
      </c>
    </row>
    <row r="25506">
      <c r="B25506" s="31"/>
      <c r="G25506" s="272" t="s">
        <v>1099</v>
      </c>
    </row>
    <row r="25507">
      <c r="B25507" s="31"/>
      <c r="G25507" s="272" t="s">
        <v>1099</v>
      </c>
    </row>
    <row r="25508">
      <c r="B25508" s="31"/>
      <c r="G25508" s="272" t="s">
        <v>1099</v>
      </c>
    </row>
    <row r="25509">
      <c r="B25509" s="31"/>
      <c r="G25509" s="272" t="s">
        <v>1099</v>
      </c>
    </row>
    <row r="25510">
      <c r="B25510" s="31"/>
      <c r="G25510" s="272" t="s">
        <v>1099</v>
      </c>
    </row>
    <row r="25511">
      <c r="B25511" s="31"/>
      <c r="G25511" s="272" t="s">
        <v>1099</v>
      </c>
    </row>
    <row r="25512">
      <c r="B25512" s="31"/>
      <c r="G25512" s="272" t="s">
        <v>1099</v>
      </c>
    </row>
    <row r="25513">
      <c r="B25513" s="31"/>
      <c r="G25513" s="272" t="s">
        <v>1099</v>
      </c>
    </row>
    <row r="25514">
      <c r="B25514" s="31"/>
      <c r="G25514" s="272" t="s">
        <v>1099</v>
      </c>
    </row>
    <row r="25515">
      <c r="B25515" s="31"/>
      <c r="G25515" s="272" t="s">
        <v>1099</v>
      </c>
    </row>
    <row r="25516">
      <c r="B25516" s="31"/>
      <c r="G25516" s="272" t="s">
        <v>1099</v>
      </c>
    </row>
    <row r="25517">
      <c r="B25517" s="31"/>
      <c r="G25517" s="272" t="s">
        <v>1099</v>
      </c>
    </row>
    <row r="25518">
      <c r="B25518" s="31"/>
      <c r="G25518" s="272" t="s">
        <v>1099</v>
      </c>
    </row>
    <row r="25519">
      <c r="B25519" s="31"/>
      <c r="G25519" s="272" t="s">
        <v>1099</v>
      </c>
    </row>
    <row r="25520">
      <c r="B25520" s="31"/>
      <c r="G25520" s="272" t="s">
        <v>1099</v>
      </c>
    </row>
    <row r="25521">
      <c r="B25521" s="31"/>
      <c r="G25521" s="272" t="s">
        <v>1099</v>
      </c>
    </row>
    <row r="25522">
      <c r="B25522" s="31"/>
      <c r="G25522" s="272" t="s">
        <v>1099</v>
      </c>
    </row>
    <row r="25523">
      <c r="B25523" s="31"/>
      <c r="G25523" s="272" t="s">
        <v>1099</v>
      </c>
    </row>
    <row r="25524">
      <c r="B25524" s="31"/>
      <c r="G25524" s="272" t="s">
        <v>1099</v>
      </c>
    </row>
    <row r="25525">
      <c r="B25525" s="31"/>
      <c r="G25525" s="272" t="s">
        <v>1099</v>
      </c>
    </row>
    <row r="25526">
      <c r="B25526" s="31"/>
      <c r="G25526" s="272" t="s">
        <v>1099</v>
      </c>
    </row>
    <row r="25527">
      <c r="B25527" s="31"/>
      <c r="G25527" s="272" t="s">
        <v>1099</v>
      </c>
    </row>
    <row r="25528">
      <c r="B25528" s="31"/>
      <c r="G25528" s="272" t="s">
        <v>1099</v>
      </c>
    </row>
    <row r="25529">
      <c r="B25529" s="31"/>
      <c r="G25529" s="272" t="s">
        <v>1099</v>
      </c>
    </row>
    <row r="25530">
      <c r="B25530" s="31"/>
      <c r="G25530" s="272" t="s">
        <v>1099</v>
      </c>
    </row>
    <row r="25531">
      <c r="B25531" s="31"/>
      <c r="G25531" s="272" t="s">
        <v>1099</v>
      </c>
    </row>
    <row r="25532">
      <c r="B25532" s="31"/>
      <c r="G25532" s="272" t="s">
        <v>1099</v>
      </c>
    </row>
    <row r="25533">
      <c r="B25533" s="31"/>
      <c r="G25533" s="272" t="s">
        <v>1099</v>
      </c>
    </row>
    <row r="25534">
      <c r="B25534" s="31"/>
      <c r="G25534" s="272" t="s">
        <v>1099</v>
      </c>
    </row>
    <row r="25535">
      <c r="B25535" s="31"/>
      <c r="G25535" s="272" t="s">
        <v>1099</v>
      </c>
    </row>
    <row r="25536">
      <c r="B25536" s="31"/>
      <c r="G25536" s="272" t="s">
        <v>1099</v>
      </c>
    </row>
    <row r="25537">
      <c r="B25537" s="31"/>
      <c r="G25537" s="272" t="s">
        <v>1099</v>
      </c>
    </row>
    <row r="25538">
      <c r="B25538" s="31"/>
      <c r="G25538" s="272" t="s">
        <v>1099</v>
      </c>
    </row>
    <row r="25539">
      <c r="B25539" s="31"/>
      <c r="G25539" s="272" t="s">
        <v>1099</v>
      </c>
    </row>
    <row r="25540">
      <c r="B25540" s="31"/>
      <c r="G25540" s="272" t="s">
        <v>1099</v>
      </c>
    </row>
    <row r="25541">
      <c r="B25541" s="31"/>
      <c r="G25541" s="272" t="s">
        <v>1099</v>
      </c>
    </row>
    <row r="25542">
      <c r="B25542" s="31"/>
      <c r="G25542" s="272" t="s">
        <v>1099</v>
      </c>
    </row>
    <row r="25543">
      <c r="B25543" s="31"/>
      <c r="G25543" s="272" t="s">
        <v>1099</v>
      </c>
    </row>
    <row r="25544">
      <c r="B25544" s="31"/>
      <c r="G25544" s="272" t="s">
        <v>1099</v>
      </c>
    </row>
    <row r="25545">
      <c r="B25545" s="31"/>
      <c r="G25545" s="272" t="s">
        <v>1099</v>
      </c>
    </row>
    <row r="25546">
      <c r="B25546" s="31"/>
      <c r="G25546" s="272" t="s">
        <v>1099</v>
      </c>
    </row>
    <row r="25547">
      <c r="B25547" s="31"/>
      <c r="G25547" s="272" t="s">
        <v>1099</v>
      </c>
    </row>
    <row r="25548">
      <c r="B25548" s="31"/>
      <c r="G25548" s="272" t="s">
        <v>1099</v>
      </c>
    </row>
    <row r="25549">
      <c r="B25549" s="31"/>
      <c r="G25549" s="272" t="s">
        <v>1099</v>
      </c>
    </row>
    <row r="25550">
      <c r="B25550" s="31"/>
      <c r="G25550" s="272" t="s">
        <v>1099</v>
      </c>
    </row>
    <row r="25551">
      <c r="B25551" s="31"/>
      <c r="G25551" s="272" t="s">
        <v>1099</v>
      </c>
    </row>
    <row r="25552">
      <c r="B25552" s="31"/>
      <c r="G25552" s="272" t="s">
        <v>1099</v>
      </c>
    </row>
    <row r="25553">
      <c r="B25553" s="31"/>
      <c r="G25553" s="272" t="s">
        <v>1099</v>
      </c>
    </row>
    <row r="25554">
      <c r="B25554" s="31"/>
      <c r="G25554" s="272" t="s">
        <v>1099</v>
      </c>
    </row>
    <row r="25555">
      <c r="B25555" s="31"/>
      <c r="G25555" s="272" t="s">
        <v>1099</v>
      </c>
    </row>
    <row r="25556">
      <c r="B25556" s="31"/>
      <c r="G25556" s="272" t="s">
        <v>1099</v>
      </c>
    </row>
    <row r="25557">
      <c r="B25557" s="31"/>
      <c r="G25557" s="272" t="s">
        <v>1099</v>
      </c>
    </row>
    <row r="25558">
      <c r="B25558" s="31"/>
      <c r="G25558" s="272" t="s">
        <v>1099</v>
      </c>
    </row>
    <row r="25559">
      <c r="B25559" s="31"/>
      <c r="G25559" s="272" t="s">
        <v>1099</v>
      </c>
    </row>
    <row r="25560">
      <c r="B25560" s="31"/>
      <c r="G25560" s="272" t="s">
        <v>1099</v>
      </c>
    </row>
    <row r="25561">
      <c r="B25561" s="31"/>
      <c r="G25561" s="272" t="s">
        <v>1099</v>
      </c>
    </row>
    <row r="25562">
      <c r="B25562" s="31"/>
      <c r="G25562" s="272" t="s">
        <v>1099</v>
      </c>
    </row>
    <row r="25563">
      <c r="B25563" s="31"/>
      <c r="G25563" s="272" t="s">
        <v>1099</v>
      </c>
    </row>
    <row r="25564">
      <c r="B25564" s="31"/>
      <c r="G25564" s="272" t="s">
        <v>1099</v>
      </c>
    </row>
    <row r="25565">
      <c r="B25565" s="31"/>
      <c r="G25565" s="272" t="s">
        <v>1099</v>
      </c>
    </row>
    <row r="25566">
      <c r="B25566" s="31"/>
      <c r="G25566" s="272" t="s">
        <v>1099</v>
      </c>
    </row>
    <row r="25567">
      <c r="B25567" s="31"/>
      <c r="G25567" s="272" t="s">
        <v>1099</v>
      </c>
    </row>
    <row r="25568">
      <c r="B25568" s="31"/>
      <c r="G25568" s="272" t="s">
        <v>1099</v>
      </c>
    </row>
    <row r="25569">
      <c r="B25569" s="31"/>
      <c r="G25569" s="272" t="s">
        <v>1099</v>
      </c>
    </row>
    <row r="25570">
      <c r="B25570" s="31"/>
      <c r="G25570" s="272" t="s">
        <v>1099</v>
      </c>
    </row>
    <row r="25571">
      <c r="B25571" s="31"/>
      <c r="G25571" s="272" t="s">
        <v>1099</v>
      </c>
    </row>
    <row r="25572">
      <c r="B25572" s="31"/>
      <c r="G25572" s="272" t="s">
        <v>1099</v>
      </c>
    </row>
    <row r="25573">
      <c r="B25573" s="31"/>
      <c r="G25573" s="272" t="s">
        <v>1099</v>
      </c>
    </row>
    <row r="25574">
      <c r="B25574" s="31"/>
      <c r="G25574" s="272" t="s">
        <v>1099</v>
      </c>
    </row>
    <row r="25575">
      <c r="B25575" s="31"/>
      <c r="G25575" s="272" t="s">
        <v>1099</v>
      </c>
    </row>
    <row r="25576">
      <c r="B25576" s="31"/>
      <c r="G25576" s="272" t="s">
        <v>1099</v>
      </c>
    </row>
    <row r="25577">
      <c r="B25577" s="31"/>
      <c r="G25577" s="272" t="s">
        <v>1099</v>
      </c>
    </row>
    <row r="25578">
      <c r="B25578" s="31"/>
      <c r="G25578" s="272" t="s">
        <v>1099</v>
      </c>
    </row>
    <row r="25579">
      <c r="B25579" s="31"/>
      <c r="G25579" s="272" t="s">
        <v>1099</v>
      </c>
    </row>
    <row r="25580">
      <c r="B25580" s="31"/>
      <c r="G25580" s="272" t="s">
        <v>1099</v>
      </c>
    </row>
    <row r="25581">
      <c r="B25581" s="31"/>
      <c r="G25581" s="272" t="s">
        <v>1099</v>
      </c>
    </row>
    <row r="25582">
      <c r="B25582" s="31"/>
      <c r="G25582" s="272" t="s">
        <v>1099</v>
      </c>
    </row>
    <row r="25583">
      <c r="B25583" s="31"/>
      <c r="G25583" s="272" t="s">
        <v>1099</v>
      </c>
    </row>
    <row r="25584">
      <c r="B25584" s="31"/>
      <c r="G25584" s="272" t="s">
        <v>1099</v>
      </c>
    </row>
    <row r="25585">
      <c r="B25585" s="31"/>
      <c r="G25585" s="272" t="s">
        <v>1099</v>
      </c>
    </row>
    <row r="25586">
      <c r="B25586" s="31"/>
      <c r="G25586" s="272" t="s">
        <v>1099</v>
      </c>
    </row>
    <row r="25587">
      <c r="B25587" s="31"/>
      <c r="G25587" s="272" t="s">
        <v>1099</v>
      </c>
    </row>
    <row r="25588">
      <c r="B25588" s="31"/>
      <c r="G25588" s="272" t="s">
        <v>1099</v>
      </c>
    </row>
    <row r="25589">
      <c r="B25589" s="31"/>
      <c r="G25589" s="272" t="s">
        <v>1099</v>
      </c>
    </row>
    <row r="25590">
      <c r="B25590" s="31"/>
      <c r="G25590" s="272" t="s">
        <v>1099</v>
      </c>
    </row>
    <row r="25591">
      <c r="B25591" s="31"/>
      <c r="G25591" s="272" t="s">
        <v>1099</v>
      </c>
    </row>
    <row r="25592">
      <c r="B25592" s="31"/>
      <c r="G25592" s="272" t="s">
        <v>1099</v>
      </c>
    </row>
    <row r="25593">
      <c r="B25593" s="31"/>
      <c r="G25593" s="272" t="s">
        <v>1099</v>
      </c>
    </row>
    <row r="25594">
      <c r="B25594" s="31"/>
      <c r="G25594" s="272" t="s">
        <v>1099</v>
      </c>
    </row>
    <row r="25595">
      <c r="B25595" s="31"/>
      <c r="G25595" s="272" t="s">
        <v>1099</v>
      </c>
    </row>
    <row r="25596">
      <c r="B25596" s="31"/>
      <c r="G25596" s="272" t="s">
        <v>1099</v>
      </c>
    </row>
    <row r="25597">
      <c r="B25597" s="31"/>
      <c r="G25597" s="272" t="s">
        <v>1099</v>
      </c>
    </row>
    <row r="25598">
      <c r="B25598" s="31"/>
      <c r="G25598" s="272" t="s">
        <v>1099</v>
      </c>
    </row>
    <row r="25599">
      <c r="B25599" s="31"/>
      <c r="G25599" s="272" t="s">
        <v>1099</v>
      </c>
    </row>
    <row r="25600">
      <c r="B25600" s="31"/>
      <c r="G25600" s="272" t="s">
        <v>1099</v>
      </c>
    </row>
    <row r="25601">
      <c r="B25601" s="31"/>
      <c r="G25601" s="272" t="s">
        <v>1099</v>
      </c>
    </row>
    <row r="25602">
      <c r="B25602" s="31"/>
      <c r="G25602" s="272" t="s">
        <v>1099</v>
      </c>
    </row>
    <row r="25603">
      <c r="B25603" s="31"/>
      <c r="G25603" s="272" t="s">
        <v>1099</v>
      </c>
    </row>
    <row r="25604">
      <c r="B25604" s="31"/>
      <c r="G25604" s="272" t="s">
        <v>1099</v>
      </c>
    </row>
    <row r="25605">
      <c r="B25605" s="31"/>
      <c r="G25605" s="272" t="s">
        <v>1099</v>
      </c>
    </row>
    <row r="25606">
      <c r="B25606" s="31"/>
      <c r="G25606" s="272" t="s">
        <v>1099</v>
      </c>
    </row>
    <row r="25607">
      <c r="B25607" s="31"/>
      <c r="G25607" s="272" t="s">
        <v>1099</v>
      </c>
    </row>
    <row r="25608">
      <c r="B25608" s="31"/>
      <c r="G25608" s="272" t="s">
        <v>1099</v>
      </c>
    </row>
    <row r="25609">
      <c r="B25609" s="31"/>
      <c r="G25609" s="272" t="s">
        <v>1099</v>
      </c>
    </row>
    <row r="25610">
      <c r="B25610" s="31"/>
      <c r="G25610" s="272" t="s">
        <v>1099</v>
      </c>
    </row>
    <row r="25611">
      <c r="B25611" s="31"/>
      <c r="G25611" s="272" t="s">
        <v>1099</v>
      </c>
    </row>
    <row r="25612">
      <c r="B25612" s="31"/>
      <c r="G25612" s="272" t="s">
        <v>1099</v>
      </c>
    </row>
    <row r="25613">
      <c r="B25613" s="31"/>
      <c r="G25613" s="272" t="s">
        <v>1099</v>
      </c>
    </row>
    <row r="25614">
      <c r="B25614" s="31"/>
      <c r="G25614" s="272" t="s">
        <v>1099</v>
      </c>
    </row>
    <row r="25615">
      <c r="B25615" s="31"/>
      <c r="G25615" s="272" t="s">
        <v>1099</v>
      </c>
    </row>
    <row r="25616">
      <c r="B25616" s="31"/>
      <c r="G25616" s="272" t="s">
        <v>1099</v>
      </c>
    </row>
    <row r="25617">
      <c r="B25617" s="31"/>
      <c r="G25617" s="272" t="s">
        <v>1099</v>
      </c>
    </row>
    <row r="25618">
      <c r="B25618" s="31"/>
      <c r="G25618" s="272" t="s">
        <v>1099</v>
      </c>
    </row>
    <row r="25619">
      <c r="B25619" s="31"/>
      <c r="G25619" s="272" t="s">
        <v>1099</v>
      </c>
    </row>
    <row r="25620">
      <c r="B25620" s="31"/>
      <c r="G25620" s="272" t="s">
        <v>1099</v>
      </c>
    </row>
    <row r="25621">
      <c r="B25621" s="31"/>
      <c r="G25621" s="272" t="s">
        <v>1099</v>
      </c>
    </row>
    <row r="25622">
      <c r="B25622" s="31"/>
      <c r="G25622" s="272" t="s">
        <v>1099</v>
      </c>
    </row>
    <row r="25623">
      <c r="B25623" s="31"/>
      <c r="G25623" s="272" t="s">
        <v>1099</v>
      </c>
    </row>
    <row r="25624">
      <c r="B25624" s="31"/>
      <c r="G25624" s="272" t="s">
        <v>1099</v>
      </c>
    </row>
    <row r="25625">
      <c r="B25625" s="31"/>
      <c r="G25625" s="272" t="s">
        <v>1099</v>
      </c>
    </row>
    <row r="25626">
      <c r="B25626" s="31"/>
      <c r="G25626" s="272" t="s">
        <v>1099</v>
      </c>
    </row>
    <row r="25627">
      <c r="B25627" s="31"/>
      <c r="G25627" s="272" t="s">
        <v>1099</v>
      </c>
    </row>
    <row r="25628">
      <c r="B25628" s="31"/>
      <c r="G25628" s="272" t="s">
        <v>1099</v>
      </c>
    </row>
    <row r="25629">
      <c r="B25629" s="31"/>
      <c r="G25629" s="272" t="s">
        <v>1099</v>
      </c>
    </row>
    <row r="25630">
      <c r="B25630" s="31"/>
      <c r="G25630" s="272" t="s">
        <v>1099</v>
      </c>
    </row>
    <row r="25631">
      <c r="B25631" s="31"/>
      <c r="G25631" s="272" t="s">
        <v>1099</v>
      </c>
    </row>
    <row r="25632">
      <c r="B25632" s="31"/>
      <c r="G25632" s="272" t="s">
        <v>1099</v>
      </c>
    </row>
    <row r="25633">
      <c r="B25633" s="31"/>
      <c r="G25633" s="272" t="s">
        <v>1099</v>
      </c>
    </row>
    <row r="25634">
      <c r="B25634" s="31"/>
      <c r="G25634" s="272" t="s">
        <v>1099</v>
      </c>
    </row>
    <row r="25635">
      <c r="B25635" s="31"/>
      <c r="G25635" s="272" t="s">
        <v>1099</v>
      </c>
    </row>
    <row r="25636">
      <c r="B25636" s="31"/>
      <c r="G25636" s="272" t="s">
        <v>1099</v>
      </c>
    </row>
    <row r="25637">
      <c r="B25637" s="31"/>
      <c r="G25637" s="272" t="s">
        <v>1099</v>
      </c>
    </row>
    <row r="25638">
      <c r="B25638" s="31"/>
      <c r="G25638" s="272" t="s">
        <v>1099</v>
      </c>
    </row>
    <row r="25639">
      <c r="B25639" s="31"/>
      <c r="G25639" s="272" t="s">
        <v>1099</v>
      </c>
    </row>
    <row r="25640">
      <c r="B25640" s="31"/>
      <c r="G25640" s="272" t="s">
        <v>1099</v>
      </c>
    </row>
    <row r="25641">
      <c r="B25641" s="31"/>
      <c r="G25641" s="272" t="s">
        <v>1099</v>
      </c>
    </row>
    <row r="25642">
      <c r="B25642" s="31"/>
      <c r="G25642" s="272" t="s">
        <v>1099</v>
      </c>
    </row>
    <row r="25643">
      <c r="B25643" s="31"/>
      <c r="G25643" s="272" t="s">
        <v>1099</v>
      </c>
    </row>
    <row r="25644">
      <c r="B25644" s="31"/>
      <c r="G25644" s="272" t="s">
        <v>1099</v>
      </c>
    </row>
    <row r="25645">
      <c r="B25645" s="31"/>
      <c r="G25645" s="272" t="s">
        <v>1099</v>
      </c>
    </row>
    <row r="25646">
      <c r="B25646" s="31"/>
      <c r="G25646" s="272" t="s">
        <v>1099</v>
      </c>
    </row>
    <row r="25647">
      <c r="B25647" s="31"/>
      <c r="G25647" s="272" t="s">
        <v>1099</v>
      </c>
    </row>
    <row r="25648">
      <c r="B25648" s="31"/>
      <c r="G25648" s="272" t="s">
        <v>1099</v>
      </c>
    </row>
    <row r="25649">
      <c r="B25649" s="31"/>
      <c r="G25649" s="272" t="s">
        <v>1099</v>
      </c>
    </row>
    <row r="25650">
      <c r="B25650" s="31"/>
      <c r="G25650" s="272" t="s">
        <v>1099</v>
      </c>
    </row>
    <row r="25651">
      <c r="B25651" s="31"/>
      <c r="G25651" s="272" t="s">
        <v>1099</v>
      </c>
    </row>
    <row r="25652">
      <c r="B25652" s="31"/>
      <c r="G25652" s="272" t="s">
        <v>1099</v>
      </c>
    </row>
    <row r="25653">
      <c r="B25653" s="31"/>
      <c r="G25653" s="272" t="s">
        <v>1099</v>
      </c>
    </row>
    <row r="25654">
      <c r="B25654" s="31"/>
      <c r="G25654" s="272" t="s">
        <v>1099</v>
      </c>
    </row>
    <row r="25655">
      <c r="B25655" s="31"/>
      <c r="G25655" s="272" t="s">
        <v>1099</v>
      </c>
    </row>
    <row r="25656">
      <c r="B25656" s="31"/>
      <c r="G25656" s="272" t="s">
        <v>1099</v>
      </c>
    </row>
    <row r="25657">
      <c r="B25657" s="31"/>
      <c r="G25657" s="272" t="s">
        <v>1099</v>
      </c>
    </row>
    <row r="25658">
      <c r="B25658" s="31"/>
      <c r="G25658" s="272" t="s">
        <v>1099</v>
      </c>
    </row>
    <row r="25659">
      <c r="B25659" s="31"/>
      <c r="G25659" s="272" t="s">
        <v>1099</v>
      </c>
    </row>
    <row r="25660">
      <c r="B25660" s="31"/>
      <c r="G25660" s="272" t="s">
        <v>1099</v>
      </c>
    </row>
    <row r="25661">
      <c r="B25661" s="31"/>
      <c r="G25661" s="272" t="s">
        <v>1099</v>
      </c>
    </row>
    <row r="25662">
      <c r="B25662" s="31"/>
      <c r="G25662" s="272" t="s">
        <v>1099</v>
      </c>
    </row>
    <row r="25663">
      <c r="B25663" s="31"/>
      <c r="G25663" s="272" t="s">
        <v>1099</v>
      </c>
    </row>
    <row r="25664">
      <c r="B25664" s="31"/>
      <c r="G25664" s="272" t="s">
        <v>1099</v>
      </c>
    </row>
    <row r="25665">
      <c r="B25665" s="31"/>
      <c r="G25665" s="272" t="s">
        <v>1099</v>
      </c>
    </row>
    <row r="25666">
      <c r="B25666" s="31"/>
      <c r="G25666" s="272" t="s">
        <v>1099</v>
      </c>
    </row>
    <row r="25667">
      <c r="B25667" s="31"/>
      <c r="G25667" s="272" t="s">
        <v>1099</v>
      </c>
    </row>
    <row r="25668">
      <c r="B25668" s="31"/>
      <c r="G25668" s="272" t="s">
        <v>1099</v>
      </c>
    </row>
    <row r="25669">
      <c r="B25669" s="31"/>
      <c r="G25669" s="272" t="s">
        <v>1099</v>
      </c>
    </row>
    <row r="25670">
      <c r="B25670" s="31"/>
      <c r="G25670" s="272" t="s">
        <v>1099</v>
      </c>
    </row>
    <row r="25671">
      <c r="B25671" s="31"/>
      <c r="G25671" s="272" t="s">
        <v>1099</v>
      </c>
    </row>
    <row r="25672">
      <c r="B25672" s="31"/>
      <c r="G25672" s="272" t="s">
        <v>1099</v>
      </c>
    </row>
    <row r="25673">
      <c r="B25673" s="31"/>
      <c r="G25673" s="272" t="s">
        <v>1099</v>
      </c>
    </row>
    <row r="25674">
      <c r="B25674" s="31"/>
      <c r="G25674" s="272" t="s">
        <v>1099</v>
      </c>
    </row>
    <row r="25675">
      <c r="B25675" s="31"/>
      <c r="G25675" s="272" t="s">
        <v>1099</v>
      </c>
    </row>
    <row r="25676">
      <c r="B25676" s="31"/>
      <c r="G25676" s="272" t="s">
        <v>1099</v>
      </c>
    </row>
    <row r="25677">
      <c r="B25677" s="31"/>
      <c r="G25677" s="272" t="s">
        <v>1099</v>
      </c>
    </row>
    <row r="25678">
      <c r="B25678" s="31"/>
      <c r="G25678" s="272" t="s">
        <v>1099</v>
      </c>
    </row>
    <row r="25679">
      <c r="B25679" s="31"/>
      <c r="G25679" s="272" t="s">
        <v>1099</v>
      </c>
    </row>
    <row r="25680">
      <c r="B25680" s="31"/>
      <c r="G25680" s="272" t="s">
        <v>1099</v>
      </c>
    </row>
    <row r="25681">
      <c r="B25681" s="31"/>
      <c r="G25681" s="272" t="s">
        <v>1099</v>
      </c>
    </row>
    <row r="25682">
      <c r="B25682" s="31"/>
      <c r="G25682" s="272" t="s">
        <v>1099</v>
      </c>
    </row>
    <row r="25683">
      <c r="B25683" s="31"/>
      <c r="G25683" s="272" t="s">
        <v>1099</v>
      </c>
    </row>
    <row r="25684">
      <c r="B25684" s="31"/>
      <c r="G25684" s="272" t="s">
        <v>1099</v>
      </c>
    </row>
    <row r="25685">
      <c r="B25685" s="31"/>
      <c r="G25685" s="272" t="s">
        <v>1099</v>
      </c>
    </row>
    <row r="25686">
      <c r="B25686" s="31"/>
      <c r="G25686" s="272" t="s">
        <v>1099</v>
      </c>
    </row>
    <row r="25687">
      <c r="B25687" s="31"/>
      <c r="G25687" s="272" t="s">
        <v>1099</v>
      </c>
    </row>
    <row r="25688">
      <c r="B25688" s="31"/>
      <c r="G25688" s="272" t="s">
        <v>1099</v>
      </c>
    </row>
    <row r="25689">
      <c r="B25689" s="31"/>
      <c r="G25689" s="272" t="s">
        <v>1099</v>
      </c>
    </row>
    <row r="25690">
      <c r="B25690" s="31"/>
      <c r="G25690" s="272" t="s">
        <v>1099</v>
      </c>
    </row>
    <row r="25691">
      <c r="B25691" s="31"/>
      <c r="G25691" s="272" t="s">
        <v>1099</v>
      </c>
    </row>
    <row r="25692">
      <c r="B25692" s="31"/>
      <c r="G25692" s="272" t="s">
        <v>1099</v>
      </c>
    </row>
    <row r="25693">
      <c r="B25693" s="31"/>
      <c r="G25693" s="272" t="s">
        <v>1099</v>
      </c>
    </row>
    <row r="25694">
      <c r="B25694" s="31"/>
      <c r="G25694" s="272" t="s">
        <v>1099</v>
      </c>
    </row>
    <row r="25695">
      <c r="B25695" s="31"/>
      <c r="G25695" s="272" t="s">
        <v>1099</v>
      </c>
    </row>
    <row r="25696">
      <c r="B25696" s="31"/>
      <c r="G25696" s="272" t="s">
        <v>1099</v>
      </c>
    </row>
    <row r="25697">
      <c r="B25697" s="31"/>
      <c r="G25697" s="272" t="s">
        <v>1099</v>
      </c>
    </row>
    <row r="25698">
      <c r="B25698" s="31"/>
      <c r="G25698" s="272" t="s">
        <v>1099</v>
      </c>
    </row>
    <row r="25699">
      <c r="B25699" s="31"/>
      <c r="G25699" s="272" t="s">
        <v>1099</v>
      </c>
    </row>
    <row r="25700">
      <c r="B25700" s="31"/>
      <c r="G25700" s="272" t="s">
        <v>1099</v>
      </c>
    </row>
    <row r="25701">
      <c r="B25701" s="31"/>
      <c r="G25701" s="272" t="s">
        <v>1099</v>
      </c>
    </row>
    <row r="25702">
      <c r="B25702" s="31"/>
      <c r="G25702" s="272" t="s">
        <v>1099</v>
      </c>
    </row>
    <row r="25703">
      <c r="B25703" s="31"/>
      <c r="G25703" s="272" t="s">
        <v>1099</v>
      </c>
    </row>
    <row r="25704">
      <c r="B25704" s="31"/>
      <c r="G25704" s="272" t="s">
        <v>1099</v>
      </c>
    </row>
    <row r="25705">
      <c r="B25705" s="31"/>
      <c r="G25705" s="272" t="s">
        <v>1099</v>
      </c>
    </row>
    <row r="25706">
      <c r="B25706" s="31"/>
      <c r="G25706" s="272" t="s">
        <v>1099</v>
      </c>
    </row>
    <row r="25707">
      <c r="B25707" s="31"/>
      <c r="G25707" s="272" t="s">
        <v>1099</v>
      </c>
    </row>
    <row r="25708">
      <c r="B25708" s="31"/>
      <c r="G25708" s="272" t="s">
        <v>1099</v>
      </c>
    </row>
    <row r="25709">
      <c r="B25709" s="31"/>
      <c r="G25709" s="272" t="s">
        <v>1099</v>
      </c>
    </row>
    <row r="25710">
      <c r="B25710" s="31"/>
      <c r="G25710" s="272" t="s">
        <v>1099</v>
      </c>
    </row>
    <row r="25711">
      <c r="B25711" s="31"/>
      <c r="G25711" s="272" t="s">
        <v>1099</v>
      </c>
    </row>
    <row r="25712">
      <c r="B25712" s="31"/>
      <c r="G25712" s="272" t="s">
        <v>1099</v>
      </c>
    </row>
    <row r="25713">
      <c r="B25713" s="31"/>
      <c r="G25713" s="272" t="s">
        <v>1099</v>
      </c>
    </row>
    <row r="25714">
      <c r="B25714" s="31"/>
      <c r="G25714" s="272" t="s">
        <v>1099</v>
      </c>
    </row>
    <row r="25715">
      <c r="B25715" s="31"/>
      <c r="G25715" s="272" t="s">
        <v>1099</v>
      </c>
    </row>
    <row r="25716">
      <c r="B25716" s="31"/>
      <c r="G25716" s="272" t="s">
        <v>1099</v>
      </c>
    </row>
    <row r="25717">
      <c r="B25717" s="31"/>
      <c r="G25717" s="272" t="s">
        <v>1099</v>
      </c>
    </row>
    <row r="25718">
      <c r="B25718" s="31"/>
      <c r="G25718" s="272" t="s">
        <v>1099</v>
      </c>
    </row>
    <row r="25719">
      <c r="B25719" s="31"/>
      <c r="G25719" s="272" t="s">
        <v>1099</v>
      </c>
    </row>
    <row r="25720">
      <c r="B25720" s="31"/>
      <c r="G25720" s="272" t="s">
        <v>1099</v>
      </c>
    </row>
    <row r="25721">
      <c r="B25721" s="31"/>
      <c r="G25721" s="272" t="s">
        <v>1099</v>
      </c>
    </row>
    <row r="25722">
      <c r="B25722" s="31"/>
      <c r="G25722" s="272" t="s">
        <v>1099</v>
      </c>
    </row>
    <row r="25723">
      <c r="B25723" s="31"/>
      <c r="G25723" s="272" t="s">
        <v>1099</v>
      </c>
    </row>
    <row r="25724">
      <c r="B25724" s="31"/>
      <c r="G25724" s="272" t="s">
        <v>1099</v>
      </c>
    </row>
    <row r="25725">
      <c r="B25725" s="31"/>
      <c r="G25725" s="272" t="s">
        <v>1099</v>
      </c>
    </row>
    <row r="25726">
      <c r="B25726" s="31"/>
      <c r="G25726" s="272" t="s">
        <v>1099</v>
      </c>
    </row>
    <row r="25727">
      <c r="B25727" s="31"/>
      <c r="G25727" s="272" t="s">
        <v>1099</v>
      </c>
    </row>
    <row r="25728">
      <c r="B25728" s="31"/>
      <c r="G25728" s="272" t="s">
        <v>1099</v>
      </c>
    </row>
    <row r="25729">
      <c r="B25729" s="31"/>
      <c r="G25729" s="272" t="s">
        <v>1099</v>
      </c>
    </row>
    <row r="25730">
      <c r="B25730" s="31"/>
      <c r="G25730" s="272" t="s">
        <v>1099</v>
      </c>
    </row>
    <row r="25731">
      <c r="B25731" s="31"/>
      <c r="G25731" s="272" t="s">
        <v>1099</v>
      </c>
    </row>
    <row r="25732">
      <c r="B25732" s="31"/>
      <c r="G25732" s="272" t="s">
        <v>1099</v>
      </c>
    </row>
    <row r="25733">
      <c r="B25733" s="31"/>
      <c r="G25733" s="272" t="s">
        <v>1099</v>
      </c>
    </row>
    <row r="25734">
      <c r="B25734" s="31"/>
      <c r="G25734" s="272" t="s">
        <v>1099</v>
      </c>
    </row>
    <row r="25735">
      <c r="B25735" s="31"/>
      <c r="G25735" s="272" t="s">
        <v>1099</v>
      </c>
    </row>
    <row r="25736">
      <c r="B25736" s="31"/>
      <c r="G25736" s="272" t="s">
        <v>1099</v>
      </c>
    </row>
    <row r="25737">
      <c r="B25737" s="31"/>
      <c r="G25737" s="272" t="s">
        <v>1099</v>
      </c>
    </row>
    <row r="25738">
      <c r="B25738" s="31"/>
      <c r="G25738" s="272" t="s">
        <v>1099</v>
      </c>
    </row>
    <row r="25739">
      <c r="B25739" s="31"/>
      <c r="G25739" s="272" t="s">
        <v>1099</v>
      </c>
    </row>
    <row r="25740">
      <c r="B25740" s="31"/>
      <c r="G25740" s="272" t="s">
        <v>1099</v>
      </c>
    </row>
    <row r="25741">
      <c r="B25741" s="31"/>
      <c r="G25741" s="272" t="s">
        <v>1099</v>
      </c>
    </row>
    <row r="25742">
      <c r="B25742" s="31"/>
      <c r="G25742" s="272" t="s">
        <v>1099</v>
      </c>
    </row>
    <row r="25743">
      <c r="B25743" s="31"/>
      <c r="G25743" s="272" t="s">
        <v>1099</v>
      </c>
    </row>
    <row r="25744">
      <c r="B25744" s="31"/>
      <c r="G25744" s="272" t="s">
        <v>1099</v>
      </c>
    </row>
    <row r="25745">
      <c r="B25745" s="31"/>
      <c r="G25745" s="272" t="s">
        <v>1099</v>
      </c>
    </row>
    <row r="25746">
      <c r="B25746" s="31"/>
      <c r="G25746" s="272" t="s">
        <v>1099</v>
      </c>
    </row>
    <row r="25747">
      <c r="B25747" s="31"/>
      <c r="G25747" s="272" t="s">
        <v>1099</v>
      </c>
    </row>
    <row r="25748">
      <c r="B25748" s="31"/>
      <c r="G25748" s="272" t="s">
        <v>1099</v>
      </c>
    </row>
    <row r="25749">
      <c r="B25749" s="31"/>
      <c r="G25749" s="272" t="s">
        <v>1099</v>
      </c>
    </row>
    <row r="25750">
      <c r="B25750" s="31"/>
      <c r="G25750" s="272" t="s">
        <v>1099</v>
      </c>
    </row>
    <row r="25751">
      <c r="B25751" s="31"/>
      <c r="G25751" s="272" t="s">
        <v>1099</v>
      </c>
    </row>
    <row r="25752">
      <c r="B25752" s="31"/>
      <c r="G25752" s="272" t="s">
        <v>1099</v>
      </c>
    </row>
    <row r="25753">
      <c r="B25753" s="31"/>
      <c r="G25753" s="272" t="s">
        <v>1099</v>
      </c>
    </row>
    <row r="25754">
      <c r="B25754" s="31"/>
      <c r="G25754" s="272" t="s">
        <v>1099</v>
      </c>
    </row>
    <row r="25755">
      <c r="B25755" s="31"/>
      <c r="G25755" s="272" t="s">
        <v>1099</v>
      </c>
    </row>
    <row r="25756">
      <c r="B25756" s="31"/>
      <c r="G25756" s="272" t="s">
        <v>1099</v>
      </c>
    </row>
    <row r="25757">
      <c r="B25757" s="31"/>
      <c r="G25757" s="272" t="s">
        <v>1099</v>
      </c>
    </row>
    <row r="25758">
      <c r="B25758" s="31"/>
      <c r="G25758" s="272" t="s">
        <v>1099</v>
      </c>
    </row>
    <row r="25759">
      <c r="B25759" s="31"/>
      <c r="G25759" s="272" t="s">
        <v>1099</v>
      </c>
    </row>
    <row r="25760">
      <c r="B25760" s="31"/>
      <c r="G25760" s="272" t="s">
        <v>1099</v>
      </c>
    </row>
    <row r="25761">
      <c r="B25761" s="31"/>
      <c r="G25761" s="272" t="s">
        <v>1099</v>
      </c>
    </row>
    <row r="25762">
      <c r="B25762" s="31"/>
      <c r="G25762" s="272" t="s">
        <v>1099</v>
      </c>
    </row>
    <row r="25763">
      <c r="B25763" s="31"/>
      <c r="G25763" s="272" t="s">
        <v>1099</v>
      </c>
    </row>
    <row r="25764">
      <c r="B25764" s="31"/>
      <c r="G25764" s="272" t="s">
        <v>1099</v>
      </c>
    </row>
    <row r="25765">
      <c r="B25765" s="31"/>
      <c r="G25765" s="272" t="s">
        <v>1099</v>
      </c>
    </row>
    <row r="25766">
      <c r="B25766" s="31"/>
      <c r="G25766" s="272" t="s">
        <v>1099</v>
      </c>
    </row>
    <row r="25767">
      <c r="B25767" s="31"/>
      <c r="G25767" s="272" t="s">
        <v>1099</v>
      </c>
    </row>
    <row r="25768">
      <c r="B25768" s="31"/>
      <c r="G25768" s="272" t="s">
        <v>1099</v>
      </c>
    </row>
    <row r="25769">
      <c r="B25769" s="31"/>
      <c r="G25769" s="272" t="s">
        <v>1099</v>
      </c>
    </row>
    <row r="25770">
      <c r="B25770" s="31"/>
      <c r="G25770" s="272" t="s">
        <v>1099</v>
      </c>
    </row>
    <row r="25771">
      <c r="B25771" s="31"/>
      <c r="G25771" s="272" t="s">
        <v>1099</v>
      </c>
    </row>
    <row r="25772">
      <c r="B25772" s="31"/>
      <c r="G25772" s="272" t="s">
        <v>1099</v>
      </c>
    </row>
    <row r="25773">
      <c r="B25773" s="31"/>
      <c r="G25773" s="272" t="s">
        <v>1099</v>
      </c>
    </row>
    <row r="25774">
      <c r="B25774" s="31"/>
      <c r="G25774" s="272" t="s">
        <v>1099</v>
      </c>
    </row>
    <row r="25775">
      <c r="B25775" s="31"/>
      <c r="G25775" s="272" t="s">
        <v>1099</v>
      </c>
    </row>
    <row r="25776">
      <c r="B25776" s="31"/>
      <c r="G25776" s="272" t="s">
        <v>1099</v>
      </c>
    </row>
    <row r="25777">
      <c r="B25777" s="31"/>
      <c r="G25777" s="272" t="s">
        <v>1099</v>
      </c>
    </row>
    <row r="25778">
      <c r="B25778" s="31"/>
      <c r="G25778" s="272" t="s">
        <v>1099</v>
      </c>
    </row>
    <row r="25779">
      <c r="B25779" s="31"/>
      <c r="G25779" s="272" t="s">
        <v>1099</v>
      </c>
    </row>
    <row r="25780">
      <c r="B25780" s="31"/>
      <c r="G25780" s="272" t="s">
        <v>1099</v>
      </c>
    </row>
    <row r="25781">
      <c r="B25781" s="31"/>
      <c r="G25781" s="272" t="s">
        <v>1099</v>
      </c>
    </row>
    <row r="25782">
      <c r="B25782" s="31"/>
      <c r="G25782" s="272" t="s">
        <v>1099</v>
      </c>
    </row>
    <row r="25783">
      <c r="B25783" s="31"/>
      <c r="G25783" s="272" t="s">
        <v>1099</v>
      </c>
    </row>
    <row r="25784">
      <c r="B25784" s="31"/>
      <c r="G25784" s="272" t="s">
        <v>1099</v>
      </c>
    </row>
    <row r="25785">
      <c r="B25785" s="31"/>
      <c r="G25785" s="272" t="s">
        <v>1099</v>
      </c>
    </row>
    <row r="25786">
      <c r="B25786" s="31"/>
      <c r="G25786" s="272" t="s">
        <v>1099</v>
      </c>
    </row>
    <row r="25787">
      <c r="B25787" s="31"/>
      <c r="G25787" s="272" t="s">
        <v>1099</v>
      </c>
    </row>
    <row r="25788">
      <c r="B25788" s="31"/>
      <c r="G25788" s="272" t="s">
        <v>1099</v>
      </c>
    </row>
    <row r="25789">
      <c r="B25789" s="31"/>
      <c r="G25789" s="272" t="s">
        <v>1099</v>
      </c>
    </row>
    <row r="25790">
      <c r="B25790" s="31"/>
      <c r="G25790" s="272" t="s">
        <v>1099</v>
      </c>
    </row>
    <row r="25791">
      <c r="B25791" s="31"/>
      <c r="G25791" s="272" t="s">
        <v>1099</v>
      </c>
    </row>
    <row r="25792">
      <c r="B25792" s="31"/>
      <c r="G25792" s="272" t="s">
        <v>1099</v>
      </c>
    </row>
    <row r="25793">
      <c r="B25793" s="31"/>
      <c r="G25793" s="272" t="s">
        <v>1099</v>
      </c>
    </row>
    <row r="25794">
      <c r="B25794" s="31"/>
      <c r="G25794" s="272" t="s">
        <v>1099</v>
      </c>
    </row>
    <row r="25795">
      <c r="B25795" s="31"/>
      <c r="G25795" s="272" t="s">
        <v>1099</v>
      </c>
    </row>
    <row r="25796">
      <c r="B25796" s="31"/>
      <c r="G25796" s="272" t="s">
        <v>1099</v>
      </c>
    </row>
    <row r="25797">
      <c r="B25797" s="31"/>
      <c r="G25797" s="272" t="s">
        <v>1099</v>
      </c>
    </row>
    <row r="25798">
      <c r="B25798" s="31"/>
      <c r="G25798" s="272" t="s">
        <v>1099</v>
      </c>
    </row>
    <row r="25799">
      <c r="B25799" s="31"/>
      <c r="G25799" s="272" t="s">
        <v>1099</v>
      </c>
    </row>
    <row r="25800">
      <c r="B25800" s="31"/>
      <c r="G25800" s="272" t="s">
        <v>1099</v>
      </c>
    </row>
    <row r="25801">
      <c r="B25801" s="31"/>
      <c r="G25801" s="272" t="s">
        <v>1099</v>
      </c>
    </row>
    <row r="25802">
      <c r="B25802" s="31"/>
      <c r="G25802" s="272" t="s">
        <v>1099</v>
      </c>
    </row>
    <row r="25803">
      <c r="B25803" s="31"/>
      <c r="G25803" s="272" t="s">
        <v>1099</v>
      </c>
    </row>
    <row r="25804">
      <c r="B25804" s="31"/>
      <c r="G25804" s="272" t="s">
        <v>1099</v>
      </c>
    </row>
    <row r="25805">
      <c r="B25805" s="31"/>
      <c r="G25805" s="272" t="s">
        <v>1099</v>
      </c>
    </row>
    <row r="25806">
      <c r="B25806" s="31"/>
      <c r="G25806" s="272" t="s">
        <v>1099</v>
      </c>
    </row>
    <row r="25807">
      <c r="B25807" s="31"/>
      <c r="G25807" s="272" t="s">
        <v>1099</v>
      </c>
    </row>
    <row r="25808">
      <c r="B25808" s="31"/>
      <c r="G25808" s="272" t="s">
        <v>1099</v>
      </c>
    </row>
    <row r="25809">
      <c r="B25809" s="31"/>
      <c r="G25809" s="272" t="s">
        <v>1099</v>
      </c>
    </row>
    <row r="25810">
      <c r="B25810" s="31"/>
      <c r="G25810" s="272" t="s">
        <v>1099</v>
      </c>
    </row>
    <row r="25811">
      <c r="B25811" s="31"/>
      <c r="G25811" s="272" t="s">
        <v>1099</v>
      </c>
    </row>
    <row r="25812">
      <c r="B25812" s="31"/>
      <c r="G25812" s="272" t="s">
        <v>1099</v>
      </c>
    </row>
    <row r="25813">
      <c r="B25813" s="31"/>
      <c r="G25813" s="272" t="s">
        <v>1099</v>
      </c>
    </row>
    <row r="25814">
      <c r="B25814" s="31"/>
      <c r="G25814" s="272" t="s">
        <v>1099</v>
      </c>
    </row>
    <row r="25815">
      <c r="B25815" s="31"/>
      <c r="G25815" s="272" t="s">
        <v>1099</v>
      </c>
    </row>
    <row r="25816">
      <c r="B25816" s="31"/>
      <c r="G25816" s="272" t="s">
        <v>1099</v>
      </c>
    </row>
    <row r="25817">
      <c r="B25817" s="31"/>
      <c r="G25817" s="272" t="s">
        <v>1099</v>
      </c>
    </row>
    <row r="25818">
      <c r="B25818" s="31"/>
      <c r="G25818" s="272" t="s">
        <v>1099</v>
      </c>
    </row>
    <row r="25819">
      <c r="B25819" s="31"/>
      <c r="G25819" s="272" t="s">
        <v>1099</v>
      </c>
    </row>
    <row r="25820">
      <c r="B25820" s="31"/>
      <c r="G25820" s="272" t="s">
        <v>1099</v>
      </c>
    </row>
    <row r="25821">
      <c r="B25821" s="31"/>
      <c r="G25821" s="272" t="s">
        <v>1099</v>
      </c>
    </row>
    <row r="25822">
      <c r="B25822" s="31"/>
      <c r="G25822" s="272" t="s">
        <v>1099</v>
      </c>
    </row>
    <row r="25823">
      <c r="B25823" s="31"/>
      <c r="G25823" s="272" t="s">
        <v>1099</v>
      </c>
    </row>
    <row r="25824">
      <c r="B25824" s="31"/>
      <c r="G25824" s="272" t="s">
        <v>1099</v>
      </c>
    </row>
    <row r="25825">
      <c r="B25825" s="31"/>
      <c r="G25825" s="272" t="s">
        <v>1099</v>
      </c>
    </row>
    <row r="25826">
      <c r="B25826" s="31"/>
      <c r="G25826" s="272" t="s">
        <v>1099</v>
      </c>
    </row>
    <row r="25827">
      <c r="B25827" s="31"/>
      <c r="G25827" s="272" t="s">
        <v>1099</v>
      </c>
    </row>
    <row r="25828">
      <c r="B25828" s="31"/>
      <c r="G25828" s="272" t="s">
        <v>1099</v>
      </c>
    </row>
    <row r="25829">
      <c r="B25829" s="31"/>
      <c r="G25829" s="272" t="s">
        <v>1099</v>
      </c>
    </row>
    <row r="25830">
      <c r="B25830" s="31"/>
      <c r="G25830" s="272" t="s">
        <v>1099</v>
      </c>
    </row>
    <row r="25831">
      <c r="B25831" s="31"/>
      <c r="G25831" s="272" t="s">
        <v>1099</v>
      </c>
    </row>
    <row r="25832">
      <c r="B25832" s="31"/>
      <c r="G25832" s="272" t="s">
        <v>1099</v>
      </c>
    </row>
    <row r="25833">
      <c r="B25833" s="31"/>
      <c r="G25833" s="272" t="s">
        <v>1099</v>
      </c>
    </row>
    <row r="25834">
      <c r="B25834" s="31"/>
      <c r="G25834" s="272" t="s">
        <v>1099</v>
      </c>
    </row>
    <row r="25835">
      <c r="B25835" s="31"/>
      <c r="G25835" s="272" t="s">
        <v>1099</v>
      </c>
    </row>
    <row r="25836">
      <c r="B25836" s="31"/>
      <c r="G25836" s="272" t="s">
        <v>1099</v>
      </c>
    </row>
    <row r="25837">
      <c r="B25837" s="31"/>
      <c r="G25837" s="272" t="s">
        <v>1099</v>
      </c>
    </row>
    <row r="25838">
      <c r="B25838" s="31"/>
      <c r="G25838" s="272" t="s">
        <v>1099</v>
      </c>
    </row>
    <row r="25839">
      <c r="B25839" s="31"/>
      <c r="G25839" s="272" t="s">
        <v>1099</v>
      </c>
    </row>
    <row r="25840">
      <c r="B25840" s="31"/>
      <c r="G25840" s="272" t="s">
        <v>1099</v>
      </c>
    </row>
    <row r="25841">
      <c r="B25841" s="31"/>
      <c r="G25841" s="272" t="s">
        <v>1099</v>
      </c>
    </row>
    <row r="25842">
      <c r="B25842" s="31"/>
      <c r="G25842" s="272" t="s">
        <v>1099</v>
      </c>
    </row>
    <row r="25843">
      <c r="B25843" s="31"/>
      <c r="G25843" s="272" t="s">
        <v>1099</v>
      </c>
    </row>
    <row r="25844">
      <c r="B25844" s="31"/>
      <c r="G25844" s="272" t="s">
        <v>1099</v>
      </c>
    </row>
    <row r="25845">
      <c r="B25845" s="31"/>
      <c r="G25845" s="272" t="s">
        <v>1099</v>
      </c>
    </row>
    <row r="25846">
      <c r="B25846" s="31"/>
      <c r="G25846" s="272" t="s">
        <v>1099</v>
      </c>
    </row>
    <row r="25847">
      <c r="B25847" s="31"/>
      <c r="G25847" s="272" t="s">
        <v>1099</v>
      </c>
    </row>
    <row r="25848">
      <c r="B25848" s="31"/>
      <c r="G25848" s="272" t="s">
        <v>1099</v>
      </c>
    </row>
    <row r="25849">
      <c r="B25849" s="31"/>
      <c r="G25849" s="272" t="s">
        <v>1099</v>
      </c>
    </row>
    <row r="25850">
      <c r="B25850" s="31"/>
      <c r="G25850" s="272" t="s">
        <v>1099</v>
      </c>
    </row>
    <row r="25851">
      <c r="B25851" s="31"/>
      <c r="G25851" s="272" t="s">
        <v>1099</v>
      </c>
    </row>
    <row r="25852">
      <c r="B25852" s="31"/>
      <c r="G25852" s="272" t="s">
        <v>1099</v>
      </c>
    </row>
    <row r="25853">
      <c r="B25853" s="31"/>
      <c r="G25853" s="272" t="s">
        <v>1099</v>
      </c>
    </row>
    <row r="25854">
      <c r="B25854" s="31"/>
      <c r="G25854" s="272" t="s">
        <v>1099</v>
      </c>
    </row>
    <row r="25855">
      <c r="B25855" s="31"/>
      <c r="G25855" s="272" t="s">
        <v>1099</v>
      </c>
    </row>
    <row r="25856">
      <c r="B25856" s="31"/>
      <c r="G25856" s="272" t="s">
        <v>1099</v>
      </c>
    </row>
    <row r="25857">
      <c r="B25857" s="31"/>
      <c r="G25857" s="272" t="s">
        <v>1099</v>
      </c>
    </row>
    <row r="25858">
      <c r="B25858" s="31"/>
      <c r="G25858" s="272" t="s">
        <v>1099</v>
      </c>
    </row>
    <row r="25859">
      <c r="B25859" s="31"/>
      <c r="G25859" s="272" t="s">
        <v>1099</v>
      </c>
    </row>
    <row r="25860">
      <c r="B25860" s="31"/>
      <c r="G25860" s="272" t="s">
        <v>1099</v>
      </c>
    </row>
    <row r="25861">
      <c r="B25861" s="31"/>
      <c r="G25861" s="272" t="s">
        <v>1099</v>
      </c>
    </row>
    <row r="25862">
      <c r="B25862" s="31"/>
      <c r="G25862" s="272" t="s">
        <v>1099</v>
      </c>
    </row>
    <row r="25863">
      <c r="B25863" s="31"/>
      <c r="G25863" s="272" t="s">
        <v>1099</v>
      </c>
    </row>
    <row r="25864">
      <c r="B25864" s="31"/>
      <c r="G25864" s="272" t="s">
        <v>1099</v>
      </c>
    </row>
    <row r="25865">
      <c r="B25865" s="31"/>
      <c r="G25865" s="272" t="s">
        <v>1099</v>
      </c>
    </row>
    <row r="25866">
      <c r="B25866" s="31"/>
      <c r="G25866" s="272" t="s">
        <v>1099</v>
      </c>
    </row>
    <row r="25867">
      <c r="B25867" s="31"/>
      <c r="G25867" s="272" t="s">
        <v>1099</v>
      </c>
    </row>
    <row r="25868">
      <c r="B25868" s="31"/>
      <c r="G25868" s="272" t="s">
        <v>1099</v>
      </c>
    </row>
    <row r="25869">
      <c r="B25869" s="31"/>
      <c r="G25869" s="272" t="s">
        <v>1099</v>
      </c>
    </row>
    <row r="25870">
      <c r="B25870" s="31"/>
      <c r="G25870" s="272" t="s">
        <v>1099</v>
      </c>
    </row>
    <row r="25871">
      <c r="B25871" s="31"/>
      <c r="G25871" s="272" t="s">
        <v>1099</v>
      </c>
    </row>
    <row r="25872">
      <c r="B25872" s="31"/>
      <c r="G25872" s="272" t="s">
        <v>1099</v>
      </c>
    </row>
    <row r="25873">
      <c r="B25873" s="31"/>
      <c r="G25873" s="272" t="s">
        <v>1099</v>
      </c>
    </row>
    <row r="25874">
      <c r="B25874" s="31"/>
      <c r="G25874" s="272" t="s">
        <v>1099</v>
      </c>
    </row>
    <row r="25875">
      <c r="B25875" s="31"/>
      <c r="G25875" s="272" t="s">
        <v>1099</v>
      </c>
    </row>
    <row r="25876">
      <c r="B25876" s="31"/>
      <c r="G25876" s="272" t="s">
        <v>1099</v>
      </c>
    </row>
    <row r="25877">
      <c r="B25877" s="31"/>
      <c r="G25877" s="272" t="s">
        <v>1099</v>
      </c>
    </row>
    <row r="25878">
      <c r="B25878" s="31"/>
      <c r="G25878" s="272" t="s">
        <v>1099</v>
      </c>
    </row>
    <row r="25879">
      <c r="B25879" s="31"/>
      <c r="G25879" s="272" t="s">
        <v>1099</v>
      </c>
    </row>
    <row r="25880">
      <c r="B25880" s="31"/>
      <c r="G25880" s="272" t="s">
        <v>1099</v>
      </c>
    </row>
    <row r="25881">
      <c r="B25881" s="31"/>
      <c r="G25881" s="272" t="s">
        <v>1099</v>
      </c>
    </row>
    <row r="25882">
      <c r="B25882" s="31"/>
      <c r="G25882" s="272" t="s">
        <v>1099</v>
      </c>
    </row>
    <row r="25883">
      <c r="B25883" s="31"/>
      <c r="G25883" s="272" t="s">
        <v>1099</v>
      </c>
    </row>
    <row r="25884">
      <c r="B25884" s="31"/>
      <c r="G25884" s="272" t="s">
        <v>1099</v>
      </c>
    </row>
    <row r="25885">
      <c r="B25885" s="31"/>
      <c r="G25885" s="272" t="s">
        <v>1099</v>
      </c>
    </row>
    <row r="25886">
      <c r="B25886" s="31"/>
      <c r="G25886" s="272" t="s">
        <v>1099</v>
      </c>
    </row>
    <row r="25887">
      <c r="B25887" s="31"/>
      <c r="G25887" s="272" t="s">
        <v>1099</v>
      </c>
    </row>
    <row r="25888">
      <c r="B25888" s="31"/>
      <c r="G25888" s="272" t="s">
        <v>1099</v>
      </c>
    </row>
    <row r="25889">
      <c r="B25889" s="31"/>
      <c r="G25889" s="272" t="s">
        <v>1099</v>
      </c>
    </row>
    <row r="25890">
      <c r="B25890" s="31"/>
      <c r="G25890" s="272" t="s">
        <v>1099</v>
      </c>
    </row>
    <row r="25891">
      <c r="B25891" s="31"/>
      <c r="G25891" s="272" t="s">
        <v>1099</v>
      </c>
    </row>
    <row r="25892">
      <c r="B25892" s="31"/>
      <c r="G25892" s="272" t="s">
        <v>1099</v>
      </c>
    </row>
    <row r="25893">
      <c r="B25893" s="31"/>
      <c r="G25893" s="272" t="s">
        <v>1099</v>
      </c>
    </row>
    <row r="25894">
      <c r="B25894" s="31"/>
      <c r="G25894" s="272" t="s">
        <v>1099</v>
      </c>
    </row>
    <row r="25895">
      <c r="B25895" s="31"/>
      <c r="G25895" s="272" t="s">
        <v>1099</v>
      </c>
    </row>
    <row r="25896">
      <c r="B25896" s="31"/>
      <c r="G25896" s="272" t="s">
        <v>1099</v>
      </c>
    </row>
    <row r="25897">
      <c r="B25897" s="31"/>
      <c r="G25897" s="272" t="s">
        <v>1099</v>
      </c>
    </row>
    <row r="25898">
      <c r="B25898" s="31"/>
      <c r="G25898" s="272" t="s">
        <v>1099</v>
      </c>
    </row>
    <row r="25899">
      <c r="B25899" s="31"/>
      <c r="G25899" s="272" t="s">
        <v>1099</v>
      </c>
    </row>
    <row r="25900">
      <c r="B25900" s="31"/>
      <c r="G25900" s="272" t="s">
        <v>1099</v>
      </c>
    </row>
    <row r="25901">
      <c r="B25901" s="31"/>
      <c r="G25901" s="272" t="s">
        <v>1099</v>
      </c>
    </row>
    <row r="25902">
      <c r="B25902" s="31"/>
      <c r="G25902" s="272" t="s">
        <v>1099</v>
      </c>
    </row>
    <row r="25903">
      <c r="B25903" s="31"/>
      <c r="G25903" s="272" t="s">
        <v>1099</v>
      </c>
    </row>
    <row r="25904">
      <c r="B25904" s="31"/>
      <c r="G25904" s="272" t="s">
        <v>1099</v>
      </c>
    </row>
    <row r="25905">
      <c r="B25905" s="31"/>
      <c r="G25905" s="272" t="s">
        <v>1099</v>
      </c>
    </row>
    <row r="25906">
      <c r="B25906" s="31"/>
      <c r="G25906" s="272" t="s">
        <v>1099</v>
      </c>
    </row>
    <row r="25907">
      <c r="B25907" s="31"/>
      <c r="G25907" s="272" t="s">
        <v>1099</v>
      </c>
    </row>
    <row r="25908">
      <c r="B25908" s="31"/>
      <c r="G25908" s="272" t="s">
        <v>1099</v>
      </c>
    </row>
    <row r="25909">
      <c r="B25909" s="31"/>
      <c r="G25909" s="272" t="s">
        <v>1099</v>
      </c>
    </row>
    <row r="25910">
      <c r="B25910" s="31"/>
      <c r="G25910" s="272" t="s">
        <v>1099</v>
      </c>
    </row>
    <row r="25911">
      <c r="B25911" s="31"/>
      <c r="G25911" s="272" t="s">
        <v>1099</v>
      </c>
    </row>
    <row r="25912">
      <c r="B25912" s="31"/>
      <c r="G25912" s="272" t="s">
        <v>1099</v>
      </c>
    </row>
    <row r="25913">
      <c r="B25913" s="31"/>
      <c r="G25913" s="272" t="s">
        <v>1099</v>
      </c>
    </row>
    <row r="25914">
      <c r="B25914" s="31"/>
      <c r="G25914" s="272" t="s">
        <v>1099</v>
      </c>
    </row>
    <row r="25915">
      <c r="B25915" s="31"/>
      <c r="G25915" s="272" t="s">
        <v>1099</v>
      </c>
    </row>
    <row r="25916">
      <c r="B25916" s="31"/>
      <c r="G25916" s="272" t="s">
        <v>1099</v>
      </c>
    </row>
    <row r="25917">
      <c r="B25917" s="31"/>
      <c r="G25917" s="272" t="s">
        <v>1099</v>
      </c>
    </row>
    <row r="25918">
      <c r="B25918" s="31"/>
      <c r="G25918" s="272" t="s">
        <v>1099</v>
      </c>
    </row>
    <row r="25919">
      <c r="B25919" s="31"/>
      <c r="G25919" s="272" t="s">
        <v>1099</v>
      </c>
    </row>
    <row r="25920">
      <c r="B25920" s="31"/>
      <c r="G25920" s="272" t="s">
        <v>1099</v>
      </c>
    </row>
    <row r="25921">
      <c r="B25921" s="31"/>
      <c r="G25921" s="272" t="s">
        <v>1099</v>
      </c>
    </row>
    <row r="25922">
      <c r="B25922" s="31"/>
      <c r="G25922" s="272" t="s">
        <v>1099</v>
      </c>
    </row>
    <row r="25923">
      <c r="B25923" s="31"/>
      <c r="G25923" s="272" t="s">
        <v>1099</v>
      </c>
    </row>
    <row r="25924">
      <c r="B25924" s="31"/>
      <c r="G25924" s="272" t="s">
        <v>1099</v>
      </c>
    </row>
    <row r="25925">
      <c r="B25925" s="31"/>
      <c r="G25925" s="272" t="s">
        <v>1099</v>
      </c>
    </row>
    <row r="25926">
      <c r="B25926" s="31"/>
      <c r="G25926" s="272" t="s">
        <v>1099</v>
      </c>
    </row>
    <row r="25927">
      <c r="B25927" s="31"/>
      <c r="G25927" s="272" t="s">
        <v>1099</v>
      </c>
    </row>
    <row r="25928">
      <c r="B25928" s="31"/>
      <c r="G25928" s="272" t="s">
        <v>1099</v>
      </c>
    </row>
    <row r="25929">
      <c r="B25929" s="31"/>
      <c r="G25929" s="272" t="s">
        <v>1099</v>
      </c>
    </row>
    <row r="25930">
      <c r="B25930" s="31"/>
      <c r="G25930" s="272" t="s">
        <v>1099</v>
      </c>
    </row>
    <row r="25931">
      <c r="B25931" s="31"/>
      <c r="G25931" s="272" t="s">
        <v>1099</v>
      </c>
    </row>
    <row r="25932">
      <c r="B25932" s="31"/>
      <c r="G25932" s="272" t="s">
        <v>1099</v>
      </c>
    </row>
    <row r="25933">
      <c r="B25933" s="31"/>
      <c r="G25933" s="272" t="s">
        <v>1099</v>
      </c>
    </row>
    <row r="25934">
      <c r="B25934" s="31"/>
      <c r="G25934" s="272" t="s">
        <v>1099</v>
      </c>
    </row>
    <row r="25935">
      <c r="B25935" s="31"/>
      <c r="G25935" s="272" t="s">
        <v>1099</v>
      </c>
    </row>
    <row r="25936">
      <c r="B25936" s="31"/>
      <c r="G25936" s="272" t="s">
        <v>1099</v>
      </c>
    </row>
    <row r="25937">
      <c r="B25937" s="31"/>
      <c r="G25937" s="272" t="s">
        <v>1099</v>
      </c>
    </row>
    <row r="25938">
      <c r="B25938" s="31"/>
      <c r="G25938" s="272" t="s">
        <v>1099</v>
      </c>
    </row>
    <row r="25939">
      <c r="B25939" s="31"/>
      <c r="G25939" s="272" t="s">
        <v>1099</v>
      </c>
    </row>
    <row r="25940">
      <c r="B25940" s="31"/>
      <c r="G25940" s="272" t="s">
        <v>1099</v>
      </c>
    </row>
    <row r="25941">
      <c r="B25941" s="31"/>
      <c r="G25941" s="272" t="s">
        <v>1099</v>
      </c>
    </row>
    <row r="25942">
      <c r="B25942" s="31"/>
      <c r="G25942" s="272" t="s">
        <v>1099</v>
      </c>
    </row>
    <row r="25943">
      <c r="B25943" s="31"/>
      <c r="G25943" s="272" t="s">
        <v>1099</v>
      </c>
    </row>
    <row r="25944">
      <c r="B25944" s="31"/>
      <c r="G25944" s="272" t="s">
        <v>1099</v>
      </c>
    </row>
    <row r="25945">
      <c r="B25945" s="31"/>
      <c r="G25945" s="272" t="s">
        <v>1099</v>
      </c>
    </row>
    <row r="25946">
      <c r="B25946" s="31"/>
      <c r="G25946" s="272" t="s">
        <v>1099</v>
      </c>
    </row>
    <row r="25947">
      <c r="B25947" s="31"/>
      <c r="G25947" s="272" t="s">
        <v>1099</v>
      </c>
    </row>
    <row r="25948">
      <c r="B25948" s="31"/>
      <c r="G25948" s="272" t="s">
        <v>1099</v>
      </c>
    </row>
    <row r="25949">
      <c r="B25949" s="31"/>
      <c r="G25949" s="272" t="s">
        <v>1099</v>
      </c>
    </row>
    <row r="25950">
      <c r="B25950" s="31"/>
      <c r="G25950" s="272" t="s">
        <v>1099</v>
      </c>
    </row>
    <row r="25951">
      <c r="B25951" s="31"/>
      <c r="G25951" s="272" t="s">
        <v>1099</v>
      </c>
    </row>
    <row r="25952">
      <c r="B25952" s="31"/>
      <c r="G25952" s="272" t="s">
        <v>1099</v>
      </c>
    </row>
    <row r="25953">
      <c r="B25953" s="31"/>
      <c r="G25953" s="272" t="s">
        <v>1099</v>
      </c>
    </row>
    <row r="25954">
      <c r="B25954" s="31"/>
      <c r="G25954" s="272" t="s">
        <v>1099</v>
      </c>
    </row>
    <row r="25955">
      <c r="B25955" s="31"/>
      <c r="G25955" s="272" t="s">
        <v>1099</v>
      </c>
    </row>
    <row r="25956">
      <c r="B25956" s="31"/>
      <c r="G25956" s="272" t="s">
        <v>1099</v>
      </c>
    </row>
    <row r="25957">
      <c r="B25957" s="31"/>
      <c r="G25957" s="272" t="s">
        <v>1099</v>
      </c>
    </row>
    <row r="25958">
      <c r="B25958" s="31"/>
      <c r="G25958" s="272" t="s">
        <v>1099</v>
      </c>
    </row>
    <row r="25959">
      <c r="B25959" s="31"/>
      <c r="G25959" s="272" t="s">
        <v>1099</v>
      </c>
    </row>
    <row r="25960">
      <c r="B25960" s="31"/>
      <c r="G25960" s="272" t="s">
        <v>1099</v>
      </c>
    </row>
    <row r="25961">
      <c r="B25961" s="31"/>
      <c r="G25961" s="272" t="s">
        <v>1099</v>
      </c>
    </row>
    <row r="25962">
      <c r="B25962" s="31"/>
      <c r="G25962" s="272" t="s">
        <v>1099</v>
      </c>
    </row>
    <row r="25963">
      <c r="B25963" s="31"/>
      <c r="G25963" s="272" t="s">
        <v>1099</v>
      </c>
    </row>
    <row r="25964">
      <c r="B25964" s="31"/>
      <c r="G25964" s="272" t="s">
        <v>1099</v>
      </c>
    </row>
    <row r="25965">
      <c r="B25965" s="31"/>
      <c r="G25965" s="272" t="s">
        <v>1099</v>
      </c>
    </row>
    <row r="25966">
      <c r="B25966" s="31"/>
      <c r="G25966" s="272" t="s">
        <v>1099</v>
      </c>
    </row>
    <row r="25967">
      <c r="B25967" s="31"/>
      <c r="G25967" s="272" t="s">
        <v>1099</v>
      </c>
    </row>
    <row r="25968">
      <c r="B25968" s="31"/>
      <c r="G25968" s="272" t="s">
        <v>1099</v>
      </c>
    </row>
    <row r="25969">
      <c r="B25969" s="31"/>
      <c r="G25969" s="272" t="s">
        <v>1099</v>
      </c>
    </row>
    <row r="25970">
      <c r="B25970" s="31"/>
      <c r="G25970" s="272" t="s">
        <v>1099</v>
      </c>
    </row>
    <row r="25971">
      <c r="B25971" s="31"/>
      <c r="G25971" s="272" t="s">
        <v>1099</v>
      </c>
    </row>
    <row r="25972">
      <c r="B25972" s="31"/>
      <c r="G25972" s="272" t="s">
        <v>1099</v>
      </c>
    </row>
    <row r="25973">
      <c r="B25973" s="31"/>
      <c r="G25973" s="272" t="s">
        <v>1099</v>
      </c>
    </row>
    <row r="25974">
      <c r="B25974" s="31"/>
      <c r="G25974" s="272" t="s">
        <v>1099</v>
      </c>
    </row>
    <row r="25975">
      <c r="B25975" s="31"/>
      <c r="G25975" s="272" t="s">
        <v>1099</v>
      </c>
    </row>
    <row r="25976">
      <c r="B25976" s="31"/>
      <c r="G25976" s="272" t="s">
        <v>1099</v>
      </c>
    </row>
    <row r="25977">
      <c r="B25977" s="31"/>
      <c r="G25977" s="272" t="s">
        <v>1099</v>
      </c>
    </row>
    <row r="25978">
      <c r="B25978" s="31"/>
      <c r="G25978" s="272" t="s">
        <v>1099</v>
      </c>
    </row>
    <row r="25979">
      <c r="B25979" s="31"/>
      <c r="G25979" s="272" t="s">
        <v>1099</v>
      </c>
    </row>
    <row r="25980">
      <c r="B25980" s="31"/>
      <c r="G25980" s="272" t="s">
        <v>1099</v>
      </c>
    </row>
    <row r="25981">
      <c r="B25981" s="31"/>
      <c r="G25981" s="272" t="s">
        <v>1099</v>
      </c>
    </row>
    <row r="25982">
      <c r="B25982" s="31"/>
      <c r="G25982" s="272" t="s">
        <v>1099</v>
      </c>
    </row>
    <row r="25983">
      <c r="B25983" s="31"/>
      <c r="G25983" s="272" t="s">
        <v>1099</v>
      </c>
    </row>
    <row r="25984">
      <c r="B25984" s="31"/>
      <c r="G25984" s="272" t="s">
        <v>1099</v>
      </c>
    </row>
    <row r="25985">
      <c r="B25985" s="31"/>
      <c r="G25985" s="272" t="s">
        <v>1099</v>
      </c>
    </row>
    <row r="25986">
      <c r="B25986" s="31"/>
      <c r="G25986" s="272" t="s">
        <v>1099</v>
      </c>
    </row>
    <row r="25987">
      <c r="B25987" s="31"/>
      <c r="G25987" s="272" t="s">
        <v>1099</v>
      </c>
    </row>
    <row r="25988">
      <c r="B25988" s="31"/>
      <c r="G25988" s="272" t="s">
        <v>1099</v>
      </c>
    </row>
    <row r="25989">
      <c r="B25989" s="31"/>
      <c r="G25989" s="272" t="s">
        <v>1099</v>
      </c>
    </row>
    <row r="25990">
      <c r="B25990" s="31"/>
      <c r="G25990" s="272" t="s">
        <v>1099</v>
      </c>
    </row>
    <row r="25991">
      <c r="B25991" s="31"/>
      <c r="G25991" s="272" t="s">
        <v>1099</v>
      </c>
    </row>
    <row r="25992">
      <c r="B25992" s="31"/>
      <c r="G25992" s="272" t="s">
        <v>1099</v>
      </c>
    </row>
    <row r="25993">
      <c r="B25993" s="31"/>
      <c r="G25993" s="272" t="s">
        <v>1099</v>
      </c>
    </row>
    <row r="25994">
      <c r="B25994" s="31"/>
      <c r="G25994" s="272" t="s">
        <v>1099</v>
      </c>
    </row>
    <row r="25995">
      <c r="B25995" s="31"/>
      <c r="G25995" s="272" t="s">
        <v>1099</v>
      </c>
    </row>
    <row r="25996">
      <c r="B25996" s="31"/>
      <c r="G25996" s="272" t="s">
        <v>1099</v>
      </c>
    </row>
    <row r="25997">
      <c r="B25997" s="31"/>
      <c r="G25997" s="272" t="s">
        <v>1099</v>
      </c>
    </row>
    <row r="25998">
      <c r="B25998" s="31"/>
      <c r="G25998" s="272" t="s">
        <v>1099</v>
      </c>
    </row>
    <row r="25999">
      <c r="B25999" s="31"/>
      <c r="G25999" s="272" t="s">
        <v>1099</v>
      </c>
    </row>
    <row r="26000">
      <c r="B26000" s="31"/>
      <c r="G26000" s="272" t="s">
        <v>1099</v>
      </c>
    </row>
    <row r="26001">
      <c r="B26001" s="31"/>
      <c r="G26001" s="272" t="s">
        <v>1099</v>
      </c>
    </row>
    <row r="26002">
      <c r="B26002" s="31"/>
      <c r="G26002" s="272" t="s">
        <v>1099</v>
      </c>
    </row>
    <row r="26003">
      <c r="B26003" s="31"/>
      <c r="G26003" s="272" t="s">
        <v>1099</v>
      </c>
    </row>
    <row r="26004">
      <c r="B26004" s="31"/>
      <c r="G26004" s="272" t="s">
        <v>1099</v>
      </c>
    </row>
    <row r="26005">
      <c r="B26005" s="31"/>
      <c r="G26005" s="272" t="s">
        <v>1099</v>
      </c>
    </row>
    <row r="26006">
      <c r="B26006" s="31"/>
      <c r="G26006" s="272" t="s">
        <v>1099</v>
      </c>
    </row>
    <row r="26007">
      <c r="B26007" s="31"/>
      <c r="G26007" s="272" t="s">
        <v>1099</v>
      </c>
    </row>
    <row r="26008">
      <c r="B26008" s="31"/>
      <c r="G26008" s="272" t="s">
        <v>1099</v>
      </c>
    </row>
    <row r="26009">
      <c r="B26009" s="31"/>
      <c r="G26009" s="272" t="s">
        <v>1099</v>
      </c>
    </row>
    <row r="26010">
      <c r="B26010" s="31"/>
      <c r="G26010" s="272" t="s">
        <v>1099</v>
      </c>
    </row>
    <row r="26011">
      <c r="B26011" s="31"/>
      <c r="G26011" s="272" t="s">
        <v>1099</v>
      </c>
    </row>
    <row r="26012">
      <c r="B26012" s="31"/>
      <c r="G26012" s="272" t="s">
        <v>1099</v>
      </c>
    </row>
    <row r="26013">
      <c r="B26013" s="31"/>
      <c r="G26013" s="272" t="s">
        <v>1099</v>
      </c>
    </row>
    <row r="26014">
      <c r="B26014" s="31"/>
      <c r="G26014" s="272" t="s">
        <v>1099</v>
      </c>
    </row>
    <row r="26015">
      <c r="B26015" s="31"/>
      <c r="G26015" s="272" t="s">
        <v>1099</v>
      </c>
    </row>
    <row r="26016">
      <c r="B26016" s="31"/>
      <c r="G26016" s="272" t="s">
        <v>1099</v>
      </c>
    </row>
    <row r="26017">
      <c r="B26017" s="31"/>
      <c r="G26017" s="272" t="s">
        <v>1099</v>
      </c>
    </row>
    <row r="26018">
      <c r="B26018" s="31"/>
      <c r="G26018" s="272" t="s">
        <v>1099</v>
      </c>
    </row>
    <row r="26019">
      <c r="B26019" s="31"/>
      <c r="G26019" s="272" t="s">
        <v>1099</v>
      </c>
    </row>
    <row r="26020">
      <c r="B26020" s="31"/>
      <c r="G26020" s="272" t="s">
        <v>1099</v>
      </c>
    </row>
    <row r="26021">
      <c r="B26021" s="31"/>
      <c r="G26021" s="272" t="s">
        <v>1099</v>
      </c>
    </row>
    <row r="26022">
      <c r="B26022" s="31"/>
      <c r="G26022" s="272" t="s">
        <v>1099</v>
      </c>
    </row>
    <row r="26023">
      <c r="B26023" s="31"/>
      <c r="G26023" s="272" t="s">
        <v>1099</v>
      </c>
    </row>
    <row r="26024">
      <c r="B26024" s="31"/>
      <c r="G26024" s="272" t="s">
        <v>1099</v>
      </c>
    </row>
    <row r="26025">
      <c r="B26025" s="31"/>
      <c r="G26025" s="272" t="s">
        <v>1099</v>
      </c>
    </row>
    <row r="26026">
      <c r="B26026" s="31"/>
      <c r="G26026" s="272" t="s">
        <v>1099</v>
      </c>
    </row>
    <row r="26027">
      <c r="B26027" s="31"/>
      <c r="G26027" s="272" t="s">
        <v>1099</v>
      </c>
    </row>
    <row r="26028">
      <c r="B26028" s="31"/>
      <c r="G26028" s="272" t="s">
        <v>1099</v>
      </c>
    </row>
    <row r="26029">
      <c r="B26029" s="31"/>
      <c r="G26029" s="272" t="s">
        <v>1099</v>
      </c>
    </row>
    <row r="26030">
      <c r="B26030" s="31"/>
      <c r="G26030" s="272" t="s">
        <v>1099</v>
      </c>
    </row>
    <row r="26031">
      <c r="B26031" s="31"/>
      <c r="G26031" s="272" t="s">
        <v>1099</v>
      </c>
    </row>
    <row r="26032">
      <c r="B26032" s="31"/>
      <c r="G26032" s="272" t="s">
        <v>1099</v>
      </c>
    </row>
    <row r="26033">
      <c r="B26033" s="31"/>
      <c r="G26033" s="272" t="s">
        <v>1099</v>
      </c>
    </row>
    <row r="26034">
      <c r="B26034" s="31"/>
      <c r="G26034" s="272" t="s">
        <v>1099</v>
      </c>
    </row>
    <row r="26035">
      <c r="B26035" s="31"/>
      <c r="G26035" s="272" t="s">
        <v>1099</v>
      </c>
    </row>
    <row r="26036">
      <c r="B26036" s="31"/>
      <c r="G26036" s="272" t="s">
        <v>1099</v>
      </c>
    </row>
    <row r="26037">
      <c r="B26037" s="31"/>
      <c r="G26037" s="272" t="s">
        <v>1099</v>
      </c>
    </row>
    <row r="26038">
      <c r="B26038" s="31"/>
      <c r="G26038" s="272" t="s">
        <v>1099</v>
      </c>
    </row>
    <row r="26039">
      <c r="B26039" s="31"/>
      <c r="G26039" s="272" t="s">
        <v>1099</v>
      </c>
    </row>
    <row r="26040">
      <c r="B26040" s="31"/>
      <c r="G26040" s="272" t="s">
        <v>1099</v>
      </c>
    </row>
    <row r="26041">
      <c r="B26041" s="31"/>
      <c r="G26041" s="272" t="s">
        <v>1099</v>
      </c>
    </row>
    <row r="26042">
      <c r="B26042" s="31"/>
      <c r="G26042" s="272" t="s">
        <v>1099</v>
      </c>
    </row>
    <row r="26043">
      <c r="B26043" s="31"/>
      <c r="G26043" s="272" t="s">
        <v>1099</v>
      </c>
    </row>
    <row r="26044">
      <c r="B26044" s="31"/>
      <c r="G26044" s="272" t="s">
        <v>1099</v>
      </c>
    </row>
    <row r="26045">
      <c r="B26045" s="31"/>
      <c r="G26045" s="272" t="s">
        <v>1099</v>
      </c>
    </row>
    <row r="26046">
      <c r="B26046" s="31"/>
      <c r="G26046" s="272" t="s">
        <v>1099</v>
      </c>
    </row>
    <row r="26047">
      <c r="B26047" s="31"/>
      <c r="G26047" s="272" t="s">
        <v>1099</v>
      </c>
    </row>
    <row r="26048">
      <c r="B26048" s="31"/>
      <c r="G26048" s="272" t="s">
        <v>1099</v>
      </c>
    </row>
    <row r="26049">
      <c r="B26049" s="31"/>
      <c r="G26049" s="272" t="s">
        <v>1099</v>
      </c>
    </row>
    <row r="26050">
      <c r="B26050" s="31"/>
      <c r="G26050" s="272" t="s">
        <v>1099</v>
      </c>
    </row>
    <row r="26051">
      <c r="B26051" s="31"/>
      <c r="G26051" s="272" t="s">
        <v>1099</v>
      </c>
    </row>
    <row r="26052">
      <c r="B26052" s="31"/>
      <c r="G26052" s="272" t="s">
        <v>1099</v>
      </c>
    </row>
    <row r="26053">
      <c r="B26053" s="31"/>
      <c r="G26053" s="272" t="s">
        <v>1099</v>
      </c>
    </row>
    <row r="26054">
      <c r="B26054" s="31"/>
      <c r="G26054" s="272" t="s">
        <v>1099</v>
      </c>
    </row>
    <row r="26055">
      <c r="B26055" s="31"/>
      <c r="G26055" s="272" t="s">
        <v>1099</v>
      </c>
    </row>
    <row r="26056">
      <c r="B26056" s="31"/>
      <c r="G26056" s="272" t="s">
        <v>1099</v>
      </c>
    </row>
    <row r="26057">
      <c r="B26057" s="31"/>
      <c r="G26057" s="272" t="s">
        <v>1099</v>
      </c>
    </row>
    <row r="26058">
      <c r="B26058" s="31"/>
      <c r="G26058" s="272" t="s">
        <v>1099</v>
      </c>
    </row>
    <row r="26059">
      <c r="B26059" s="31"/>
      <c r="G26059" s="272" t="s">
        <v>1099</v>
      </c>
    </row>
    <row r="26060">
      <c r="B26060" s="31"/>
      <c r="G26060" s="272" t="s">
        <v>1099</v>
      </c>
    </row>
    <row r="26061">
      <c r="B26061" s="31"/>
      <c r="G26061" s="272" t="s">
        <v>1099</v>
      </c>
    </row>
    <row r="26062">
      <c r="B26062" s="31"/>
      <c r="G26062" s="272" t="s">
        <v>1099</v>
      </c>
    </row>
    <row r="26063">
      <c r="B26063" s="31"/>
      <c r="G26063" s="272" t="s">
        <v>1099</v>
      </c>
    </row>
    <row r="26064">
      <c r="B26064" s="31"/>
      <c r="G26064" s="272" t="s">
        <v>1099</v>
      </c>
    </row>
    <row r="26065">
      <c r="B26065" s="31"/>
      <c r="G26065" s="272" t="s">
        <v>1099</v>
      </c>
    </row>
    <row r="26066">
      <c r="B26066" s="31"/>
      <c r="G26066" s="272" t="s">
        <v>1099</v>
      </c>
    </row>
    <row r="26067">
      <c r="B26067" s="31"/>
      <c r="G26067" s="272" t="s">
        <v>1099</v>
      </c>
    </row>
    <row r="26068">
      <c r="B26068" s="31"/>
      <c r="G26068" s="272" t="s">
        <v>1099</v>
      </c>
    </row>
    <row r="26069">
      <c r="B26069" s="31"/>
      <c r="G26069" s="272" t="s">
        <v>1099</v>
      </c>
    </row>
    <row r="26070">
      <c r="B26070" s="31"/>
      <c r="G26070" s="272" t="s">
        <v>1099</v>
      </c>
    </row>
    <row r="26071">
      <c r="B26071" s="31"/>
      <c r="G26071" s="272" t="s">
        <v>1099</v>
      </c>
    </row>
    <row r="26072">
      <c r="B26072" s="31"/>
      <c r="G26072" s="272" t="s">
        <v>1099</v>
      </c>
    </row>
    <row r="26073">
      <c r="B26073" s="31"/>
      <c r="G26073" s="272" t="s">
        <v>1099</v>
      </c>
    </row>
    <row r="26074">
      <c r="B26074" s="31"/>
      <c r="G26074" s="272" t="s">
        <v>1099</v>
      </c>
    </row>
    <row r="26075">
      <c r="B26075" s="31"/>
      <c r="G26075" s="272" t="s">
        <v>1099</v>
      </c>
    </row>
    <row r="26076">
      <c r="B26076" s="31"/>
      <c r="G26076" s="272" t="s">
        <v>1099</v>
      </c>
    </row>
    <row r="26077">
      <c r="B26077" s="31"/>
      <c r="G26077" s="272" t="s">
        <v>1099</v>
      </c>
    </row>
    <row r="26078">
      <c r="B26078" s="31"/>
      <c r="G26078" s="272" t="s">
        <v>1099</v>
      </c>
    </row>
    <row r="26079">
      <c r="B26079" s="31"/>
      <c r="G26079" s="272" t="s">
        <v>1099</v>
      </c>
    </row>
    <row r="26080">
      <c r="B26080" s="31"/>
      <c r="G26080" s="272" t="s">
        <v>1099</v>
      </c>
    </row>
    <row r="26081">
      <c r="B26081" s="31"/>
      <c r="G26081" s="272" t="s">
        <v>1099</v>
      </c>
    </row>
    <row r="26082">
      <c r="B26082" s="31"/>
      <c r="G26082" s="272" t="s">
        <v>1099</v>
      </c>
    </row>
    <row r="26083">
      <c r="B26083" s="31"/>
      <c r="G26083" s="272" t="s">
        <v>1099</v>
      </c>
    </row>
    <row r="26084">
      <c r="B26084" s="31"/>
      <c r="G26084" s="272" t="s">
        <v>1099</v>
      </c>
    </row>
    <row r="26085">
      <c r="B26085" s="31"/>
      <c r="G26085" s="272" t="s">
        <v>1099</v>
      </c>
    </row>
    <row r="26086">
      <c r="B26086" s="31"/>
      <c r="G26086" s="272" t="s">
        <v>1099</v>
      </c>
    </row>
    <row r="26087">
      <c r="B26087" s="31"/>
      <c r="G26087" s="272" t="s">
        <v>1099</v>
      </c>
    </row>
    <row r="26088">
      <c r="B26088" s="31"/>
      <c r="G26088" s="272" t="s">
        <v>1099</v>
      </c>
    </row>
    <row r="26089">
      <c r="B26089" s="31"/>
      <c r="G26089" s="272" t="s">
        <v>1099</v>
      </c>
    </row>
    <row r="26090">
      <c r="B26090" s="31"/>
      <c r="G26090" s="272" t="s">
        <v>1099</v>
      </c>
    </row>
    <row r="26091">
      <c r="B26091" s="31"/>
      <c r="G26091" s="272" t="s">
        <v>1099</v>
      </c>
    </row>
    <row r="26092">
      <c r="B26092" s="31"/>
      <c r="G26092" s="272" t="s">
        <v>1099</v>
      </c>
    </row>
    <row r="26093">
      <c r="B26093" s="31"/>
      <c r="G26093" s="272" t="s">
        <v>1099</v>
      </c>
    </row>
    <row r="26094">
      <c r="B26094" s="31"/>
      <c r="G26094" s="272" t="s">
        <v>1099</v>
      </c>
    </row>
    <row r="26095">
      <c r="B26095" s="31"/>
      <c r="G26095" s="272" t="s">
        <v>1099</v>
      </c>
    </row>
    <row r="26096">
      <c r="B26096" s="31"/>
      <c r="G26096" s="272" t="s">
        <v>1099</v>
      </c>
    </row>
    <row r="26097">
      <c r="B26097" s="31"/>
      <c r="G26097" s="272" t="s">
        <v>1099</v>
      </c>
    </row>
    <row r="26098">
      <c r="B26098" s="31"/>
      <c r="G26098" s="272" t="s">
        <v>1099</v>
      </c>
    </row>
    <row r="26099">
      <c r="B26099" s="31"/>
      <c r="G26099" s="272" t="s">
        <v>1099</v>
      </c>
    </row>
    <row r="26100">
      <c r="B26100" s="31"/>
      <c r="G26100" s="272" t="s">
        <v>1099</v>
      </c>
    </row>
    <row r="26101">
      <c r="B26101" s="31"/>
      <c r="G26101" s="272" t="s">
        <v>1099</v>
      </c>
    </row>
    <row r="26102">
      <c r="B26102" s="31"/>
      <c r="G26102" s="272" t="s">
        <v>1099</v>
      </c>
    </row>
    <row r="26103">
      <c r="B26103" s="31"/>
      <c r="G26103" s="272" t="s">
        <v>1099</v>
      </c>
    </row>
    <row r="26104">
      <c r="B26104" s="31"/>
      <c r="G26104" s="272" t="s">
        <v>1099</v>
      </c>
    </row>
    <row r="26105">
      <c r="B26105" s="31"/>
      <c r="G26105" s="272" t="s">
        <v>1099</v>
      </c>
    </row>
    <row r="26106">
      <c r="B26106" s="31"/>
      <c r="G26106" s="272" t="s">
        <v>1099</v>
      </c>
    </row>
    <row r="26107">
      <c r="B26107" s="31"/>
      <c r="G26107" s="272" t="s">
        <v>1099</v>
      </c>
    </row>
    <row r="26108">
      <c r="B26108" s="31"/>
      <c r="G26108" s="272" t="s">
        <v>1099</v>
      </c>
    </row>
    <row r="26109">
      <c r="B26109" s="31"/>
      <c r="G26109" s="272" t="s">
        <v>1099</v>
      </c>
    </row>
    <row r="26110">
      <c r="B26110" s="31"/>
      <c r="G26110" s="272" t="s">
        <v>1099</v>
      </c>
    </row>
    <row r="26111">
      <c r="B26111" s="31"/>
      <c r="G26111" s="272" t="s">
        <v>1099</v>
      </c>
    </row>
    <row r="26112">
      <c r="B26112" s="31"/>
      <c r="G26112" s="272" t="s">
        <v>1099</v>
      </c>
    </row>
    <row r="26113">
      <c r="B26113" s="31"/>
      <c r="G26113" s="272" t="s">
        <v>1099</v>
      </c>
    </row>
    <row r="26114">
      <c r="B26114" s="31"/>
      <c r="G26114" s="272" t="s">
        <v>1099</v>
      </c>
    </row>
    <row r="26115">
      <c r="B26115" s="31"/>
      <c r="G26115" s="272" t="s">
        <v>1099</v>
      </c>
    </row>
    <row r="26116">
      <c r="B26116" s="31"/>
      <c r="G26116" s="272" t="s">
        <v>1099</v>
      </c>
    </row>
    <row r="26117">
      <c r="B26117" s="31"/>
      <c r="G26117" s="272" t="s">
        <v>1099</v>
      </c>
    </row>
    <row r="26118">
      <c r="B26118" s="31"/>
      <c r="G26118" s="272" t="s">
        <v>1099</v>
      </c>
    </row>
    <row r="26119">
      <c r="B26119" s="31"/>
      <c r="G26119" s="272" t="s">
        <v>1099</v>
      </c>
    </row>
    <row r="26120">
      <c r="B26120" s="31"/>
      <c r="G26120" s="272" t="s">
        <v>1099</v>
      </c>
    </row>
    <row r="26121">
      <c r="B26121" s="31"/>
      <c r="G26121" s="272" t="s">
        <v>1099</v>
      </c>
    </row>
    <row r="26122">
      <c r="B26122" s="31"/>
      <c r="G26122" s="272" t="s">
        <v>1099</v>
      </c>
    </row>
    <row r="26123">
      <c r="B26123" s="31"/>
      <c r="G26123" s="272" t="s">
        <v>1099</v>
      </c>
    </row>
    <row r="26124">
      <c r="B26124" s="31"/>
      <c r="G26124" s="272" t="s">
        <v>1099</v>
      </c>
    </row>
    <row r="26125">
      <c r="B26125" s="31"/>
      <c r="G26125" s="272" t="s">
        <v>1099</v>
      </c>
    </row>
    <row r="26126">
      <c r="B26126" s="31"/>
      <c r="G26126" s="272" t="s">
        <v>1099</v>
      </c>
    </row>
    <row r="26127">
      <c r="B26127" s="31"/>
      <c r="G26127" s="272" t="s">
        <v>1099</v>
      </c>
    </row>
    <row r="26128">
      <c r="B26128" s="31"/>
      <c r="G26128" s="272" t="s">
        <v>1099</v>
      </c>
    </row>
    <row r="26129">
      <c r="B26129" s="31"/>
      <c r="G26129" s="272" t="s">
        <v>1099</v>
      </c>
    </row>
    <row r="26130">
      <c r="B26130" s="31"/>
      <c r="G26130" s="272" t="s">
        <v>1099</v>
      </c>
    </row>
    <row r="26131">
      <c r="B26131" s="31"/>
      <c r="G26131" s="272" t="s">
        <v>1099</v>
      </c>
    </row>
    <row r="26132">
      <c r="B26132" s="31"/>
      <c r="G26132" s="272" t="s">
        <v>1099</v>
      </c>
    </row>
    <row r="26133">
      <c r="B26133" s="31"/>
      <c r="G26133" s="272" t="s">
        <v>1099</v>
      </c>
    </row>
    <row r="26134">
      <c r="B26134" s="31"/>
      <c r="G26134" s="272" t="s">
        <v>1099</v>
      </c>
    </row>
    <row r="26135">
      <c r="B26135" s="31"/>
      <c r="G26135" s="272" t="s">
        <v>1099</v>
      </c>
    </row>
    <row r="26136">
      <c r="B26136" s="31"/>
      <c r="G26136" s="272" t="s">
        <v>1099</v>
      </c>
    </row>
    <row r="26137">
      <c r="B26137" s="31"/>
      <c r="G26137" s="272" t="s">
        <v>1099</v>
      </c>
    </row>
    <row r="26138">
      <c r="B26138" s="31"/>
      <c r="G26138" s="272" t="s">
        <v>1099</v>
      </c>
    </row>
    <row r="26139">
      <c r="B26139" s="31"/>
      <c r="G26139" s="272" t="s">
        <v>1099</v>
      </c>
    </row>
    <row r="26140">
      <c r="B26140" s="31"/>
      <c r="G26140" s="272" t="s">
        <v>1099</v>
      </c>
    </row>
    <row r="26141">
      <c r="B26141" s="31"/>
      <c r="G26141" s="272" t="s">
        <v>1099</v>
      </c>
    </row>
    <row r="26142">
      <c r="B26142" s="31"/>
      <c r="G26142" s="272" t="s">
        <v>1099</v>
      </c>
    </row>
    <row r="26143">
      <c r="B26143" s="31"/>
      <c r="G26143" s="272" t="s">
        <v>1099</v>
      </c>
    </row>
    <row r="26144">
      <c r="B26144" s="31"/>
      <c r="G26144" s="272" t="s">
        <v>1099</v>
      </c>
    </row>
    <row r="26145">
      <c r="B26145" s="31"/>
      <c r="G26145" s="272" t="s">
        <v>1099</v>
      </c>
    </row>
    <row r="26146">
      <c r="B26146" s="31"/>
      <c r="G26146" s="272" t="s">
        <v>1099</v>
      </c>
    </row>
    <row r="26147">
      <c r="B26147" s="31"/>
      <c r="G26147" s="272" t="s">
        <v>1099</v>
      </c>
    </row>
    <row r="26148">
      <c r="B26148" s="31"/>
      <c r="G26148" s="272" t="s">
        <v>1099</v>
      </c>
    </row>
    <row r="26149">
      <c r="B26149" s="31"/>
      <c r="G26149" s="272" t="s">
        <v>1099</v>
      </c>
    </row>
    <row r="26150">
      <c r="B26150" s="31"/>
      <c r="G26150" s="272" t="s">
        <v>1099</v>
      </c>
    </row>
    <row r="26151">
      <c r="B26151" s="31"/>
      <c r="G26151" s="272" t="s">
        <v>1099</v>
      </c>
    </row>
    <row r="26152">
      <c r="B26152" s="31"/>
      <c r="G26152" s="272" t="s">
        <v>1099</v>
      </c>
    </row>
    <row r="26153">
      <c r="B26153" s="31"/>
      <c r="G26153" s="272" t="s">
        <v>1099</v>
      </c>
    </row>
    <row r="26154">
      <c r="B26154" s="31"/>
      <c r="G26154" s="272" t="s">
        <v>1099</v>
      </c>
    </row>
    <row r="26155">
      <c r="B26155" s="31"/>
      <c r="G26155" s="272" t="s">
        <v>1099</v>
      </c>
    </row>
    <row r="26156">
      <c r="B26156" s="31"/>
      <c r="G26156" s="272" t="s">
        <v>1099</v>
      </c>
    </row>
    <row r="26157">
      <c r="B26157" s="31"/>
      <c r="G26157" s="272" t="s">
        <v>1099</v>
      </c>
    </row>
    <row r="26158">
      <c r="B26158" s="31"/>
      <c r="G26158" s="272" t="s">
        <v>1099</v>
      </c>
    </row>
    <row r="26159">
      <c r="B26159" s="31"/>
      <c r="G26159" s="272" t="s">
        <v>1099</v>
      </c>
    </row>
    <row r="26160">
      <c r="B26160" s="31"/>
      <c r="G26160" s="272" t="s">
        <v>1099</v>
      </c>
    </row>
    <row r="26161">
      <c r="B26161" s="31"/>
      <c r="G26161" s="272" t="s">
        <v>1099</v>
      </c>
    </row>
    <row r="26162">
      <c r="B26162" s="31"/>
      <c r="G26162" s="272" t="s">
        <v>1099</v>
      </c>
    </row>
    <row r="26163">
      <c r="B26163" s="31"/>
      <c r="G26163" s="272" t="s">
        <v>1099</v>
      </c>
    </row>
    <row r="26164">
      <c r="B26164" s="31"/>
      <c r="G26164" s="272" t="s">
        <v>1099</v>
      </c>
    </row>
    <row r="26165">
      <c r="B26165" s="31"/>
      <c r="G26165" s="272" t="s">
        <v>1099</v>
      </c>
    </row>
    <row r="26166">
      <c r="B26166" s="31"/>
      <c r="G26166" s="272" t="s">
        <v>1099</v>
      </c>
    </row>
    <row r="26167">
      <c r="B26167" s="31"/>
      <c r="G26167" s="272" t="s">
        <v>1099</v>
      </c>
    </row>
    <row r="26168">
      <c r="B26168" s="31"/>
      <c r="G26168" s="272" t="s">
        <v>1099</v>
      </c>
    </row>
    <row r="26169">
      <c r="B26169" s="31"/>
      <c r="G26169" s="272" t="s">
        <v>1099</v>
      </c>
    </row>
    <row r="26170">
      <c r="B26170" s="31"/>
      <c r="G26170" s="272" t="s">
        <v>1099</v>
      </c>
    </row>
    <row r="26171">
      <c r="B26171" s="31"/>
      <c r="G26171" s="272" t="s">
        <v>1099</v>
      </c>
    </row>
    <row r="26172">
      <c r="B26172" s="31"/>
      <c r="G26172" s="272" t="s">
        <v>1099</v>
      </c>
    </row>
    <row r="26173">
      <c r="B26173" s="31"/>
      <c r="G26173" s="272" t="s">
        <v>1099</v>
      </c>
    </row>
    <row r="26174">
      <c r="B26174" s="31"/>
      <c r="G26174" s="272" t="s">
        <v>1099</v>
      </c>
    </row>
    <row r="26175">
      <c r="B26175" s="31"/>
      <c r="G26175" s="272" t="s">
        <v>1099</v>
      </c>
    </row>
    <row r="26176">
      <c r="B26176" s="31"/>
      <c r="G26176" s="272" t="s">
        <v>1099</v>
      </c>
    </row>
    <row r="26177">
      <c r="B26177" s="31"/>
      <c r="G26177" s="272" t="s">
        <v>1099</v>
      </c>
    </row>
    <row r="26178">
      <c r="B26178" s="31"/>
      <c r="G26178" s="272" t="s">
        <v>1099</v>
      </c>
    </row>
    <row r="26179">
      <c r="B26179" s="31"/>
      <c r="G26179" s="272" t="s">
        <v>1099</v>
      </c>
    </row>
    <row r="26180">
      <c r="B26180" s="31"/>
      <c r="G26180" s="272" t="s">
        <v>1099</v>
      </c>
    </row>
    <row r="26181">
      <c r="B26181" s="31"/>
      <c r="G26181" s="272" t="s">
        <v>1099</v>
      </c>
    </row>
    <row r="26182">
      <c r="B26182" s="31"/>
      <c r="G26182" s="272" t="s">
        <v>1099</v>
      </c>
    </row>
    <row r="26183">
      <c r="B26183" s="31"/>
      <c r="G26183" s="272" t="s">
        <v>1099</v>
      </c>
    </row>
    <row r="26184">
      <c r="B26184" s="31"/>
      <c r="G26184" s="272" t="s">
        <v>1099</v>
      </c>
    </row>
    <row r="26185">
      <c r="B26185" s="31"/>
      <c r="G26185" s="272" t="s">
        <v>1099</v>
      </c>
    </row>
    <row r="26186">
      <c r="B26186" s="31"/>
      <c r="G26186" s="272" t="s">
        <v>1099</v>
      </c>
    </row>
    <row r="26187">
      <c r="B26187" s="31"/>
      <c r="G26187" s="272" t="s">
        <v>1099</v>
      </c>
    </row>
    <row r="26188">
      <c r="B26188" s="31"/>
      <c r="G26188" s="272" t="s">
        <v>1099</v>
      </c>
    </row>
    <row r="26189">
      <c r="B26189" s="31"/>
      <c r="G26189" s="272" t="s">
        <v>1099</v>
      </c>
    </row>
    <row r="26190">
      <c r="B26190" s="31"/>
      <c r="G26190" s="272" t="s">
        <v>1099</v>
      </c>
    </row>
    <row r="26191">
      <c r="B26191" s="31"/>
      <c r="G26191" s="272" t="s">
        <v>1099</v>
      </c>
    </row>
    <row r="26192">
      <c r="B26192" s="31"/>
      <c r="G26192" s="272" t="s">
        <v>1099</v>
      </c>
    </row>
    <row r="26193">
      <c r="B26193" s="31"/>
      <c r="G26193" s="272" t="s">
        <v>1099</v>
      </c>
    </row>
    <row r="26194">
      <c r="B26194" s="31"/>
      <c r="G26194" s="272" t="s">
        <v>1099</v>
      </c>
    </row>
    <row r="26195">
      <c r="B26195" s="31"/>
      <c r="G26195" s="272" t="s">
        <v>1099</v>
      </c>
    </row>
    <row r="26196">
      <c r="B26196" s="31"/>
      <c r="G26196" s="272" t="s">
        <v>1099</v>
      </c>
    </row>
    <row r="26197">
      <c r="B26197" s="31"/>
      <c r="G26197" s="272" t="s">
        <v>1099</v>
      </c>
    </row>
    <row r="26198">
      <c r="B26198" s="31"/>
      <c r="G26198" s="272" t="s">
        <v>1099</v>
      </c>
    </row>
    <row r="26199">
      <c r="B26199" s="31"/>
      <c r="G26199" s="272" t="s">
        <v>1099</v>
      </c>
    </row>
    <row r="26200">
      <c r="B26200" s="31"/>
      <c r="G26200" s="272" t="s">
        <v>1099</v>
      </c>
    </row>
    <row r="26201">
      <c r="B26201" s="31"/>
      <c r="G26201" s="272" t="s">
        <v>1099</v>
      </c>
    </row>
    <row r="26202">
      <c r="B26202" s="31"/>
      <c r="G26202" s="272" t="s">
        <v>1099</v>
      </c>
    </row>
    <row r="26203">
      <c r="B26203" s="31"/>
      <c r="G26203" s="272" t="s">
        <v>1099</v>
      </c>
    </row>
    <row r="26204">
      <c r="B26204" s="31"/>
      <c r="G26204" s="272" t="s">
        <v>1099</v>
      </c>
    </row>
    <row r="26205">
      <c r="B26205" s="31"/>
      <c r="G26205" s="272" t="s">
        <v>1099</v>
      </c>
    </row>
    <row r="26206">
      <c r="B26206" s="31"/>
      <c r="G26206" s="272" t="s">
        <v>1099</v>
      </c>
    </row>
    <row r="26207">
      <c r="B26207" s="31"/>
      <c r="G26207" s="272" t="s">
        <v>1099</v>
      </c>
    </row>
    <row r="26208">
      <c r="B26208" s="31"/>
      <c r="G26208" s="272" t="s">
        <v>1099</v>
      </c>
    </row>
    <row r="26209">
      <c r="B26209" s="31"/>
      <c r="G26209" s="272" t="s">
        <v>1099</v>
      </c>
    </row>
    <row r="26210">
      <c r="B26210" s="31"/>
      <c r="G26210" s="272" t="s">
        <v>1099</v>
      </c>
    </row>
    <row r="26211">
      <c r="B26211" s="31"/>
      <c r="G26211" s="272" t="s">
        <v>1099</v>
      </c>
    </row>
    <row r="26212">
      <c r="B26212" s="31"/>
      <c r="G26212" s="272" t="s">
        <v>1099</v>
      </c>
    </row>
    <row r="26213">
      <c r="B26213" s="31"/>
      <c r="G26213" s="272" t="s">
        <v>1099</v>
      </c>
    </row>
    <row r="26214">
      <c r="B26214" s="31"/>
      <c r="G26214" s="272" t="s">
        <v>1099</v>
      </c>
    </row>
    <row r="26215">
      <c r="B26215" s="31"/>
      <c r="G26215" s="272" t="s">
        <v>1099</v>
      </c>
    </row>
    <row r="26216">
      <c r="B26216" s="31"/>
      <c r="G26216" s="272" t="s">
        <v>1099</v>
      </c>
    </row>
    <row r="26217">
      <c r="B26217" s="31"/>
      <c r="G26217" s="272" t="s">
        <v>1099</v>
      </c>
    </row>
    <row r="26218">
      <c r="B26218" s="31"/>
      <c r="G26218" s="272" t="s">
        <v>1099</v>
      </c>
    </row>
    <row r="26219">
      <c r="B26219" s="31"/>
      <c r="G26219" s="272" t="s">
        <v>1099</v>
      </c>
    </row>
    <row r="26220">
      <c r="B26220" s="31"/>
      <c r="G26220" s="272" t="s">
        <v>1099</v>
      </c>
    </row>
    <row r="26221">
      <c r="B26221" s="31"/>
      <c r="G26221" s="272" t="s">
        <v>1099</v>
      </c>
    </row>
    <row r="26222">
      <c r="B26222" s="31"/>
      <c r="G26222" s="272" t="s">
        <v>1099</v>
      </c>
    </row>
    <row r="26223">
      <c r="B26223" s="31"/>
      <c r="G26223" s="272" t="s">
        <v>1099</v>
      </c>
    </row>
    <row r="26224">
      <c r="B26224" s="31"/>
      <c r="G26224" s="272" t="s">
        <v>1099</v>
      </c>
    </row>
    <row r="26225">
      <c r="B26225" s="31"/>
      <c r="G26225" s="272" t="s">
        <v>1099</v>
      </c>
    </row>
    <row r="26226">
      <c r="B26226" s="31"/>
      <c r="G26226" s="272" t="s">
        <v>1099</v>
      </c>
    </row>
    <row r="26227">
      <c r="B26227" s="31"/>
      <c r="G26227" s="272" t="s">
        <v>1099</v>
      </c>
    </row>
    <row r="26228">
      <c r="B26228" s="31"/>
      <c r="G26228" s="272" t="s">
        <v>1099</v>
      </c>
    </row>
    <row r="26229">
      <c r="B26229" s="31"/>
      <c r="G26229" s="272" t="s">
        <v>1099</v>
      </c>
    </row>
    <row r="26230">
      <c r="B26230" s="31"/>
      <c r="G26230" s="272" t="s">
        <v>1099</v>
      </c>
    </row>
    <row r="26231">
      <c r="B26231" s="31"/>
      <c r="G26231" s="272" t="s">
        <v>1099</v>
      </c>
    </row>
    <row r="26232">
      <c r="B26232" s="31"/>
      <c r="G26232" s="272" t="s">
        <v>1099</v>
      </c>
    </row>
    <row r="26233">
      <c r="B26233" s="31"/>
      <c r="G26233" s="272" t="s">
        <v>1099</v>
      </c>
    </row>
    <row r="26234">
      <c r="B26234" s="31"/>
      <c r="G26234" s="272" t="s">
        <v>1099</v>
      </c>
    </row>
    <row r="26235">
      <c r="B26235" s="31"/>
      <c r="G26235" s="272" t="s">
        <v>1099</v>
      </c>
    </row>
    <row r="26236">
      <c r="B26236" s="31"/>
      <c r="G26236" s="272" t="s">
        <v>1099</v>
      </c>
    </row>
    <row r="26237">
      <c r="B26237" s="31"/>
      <c r="G26237" s="272" t="s">
        <v>1099</v>
      </c>
    </row>
    <row r="26238">
      <c r="B26238" s="31"/>
      <c r="G26238" s="272" t="s">
        <v>1099</v>
      </c>
    </row>
    <row r="26239">
      <c r="B26239" s="31"/>
      <c r="G26239" s="272" t="s">
        <v>1099</v>
      </c>
    </row>
    <row r="26240">
      <c r="B26240" s="31"/>
      <c r="G26240" s="272" t="s">
        <v>1099</v>
      </c>
    </row>
    <row r="26241">
      <c r="B26241" s="31"/>
      <c r="G26241" s="272" t="s">
        <v>1099</v>
      </c>
    </row>
    <row r="26242">
      <c r="B26242" s="31"/>
      <c r="G26242" s="272" t="s">
        <v>1099</v>
      </c>
    </row>
    <row r="26243">
      <c r="B26243" s="31"/>
      <c r="G26243" s="272" t="s">
        <v>1099</v>
      </c>
    </row>
    <row r="26244">
      <c r="B26244" s="31"/>
      <c r="G26244" s="272" t="s">
        <v>1099</v>
      </c>
    </row>
    <row r="26245">
      <c r="B26245" s="31"/>
      <c r="G26245" s="272" t="s">
        <v>1099</v>
      </c>
    </row>
    <row r="26246">
      <c r="B26246" s="31"/>
      <c r="G26246" s="272" t="s">
        <v>1099</v>
      </c>
    </row>
    <row r="26247">
      <c r="B26247" s="31"/>
      <c r="G26247" s="272" t="s">
        <v>1099</v>
      </c>
    </row>
    <row r="26248">
      <c r="B26248" s="31"/>
      <c r="G26248" s="272" t="s">
        <v>1099</v>
      </c>
    </row>
    <row r="26249">
      <c r="B26249" s="31"/>
      <c r="G26249" s="272" t="s">
        <v>1099</v>
      </c>
    </row>
    <row r="26250">
      <c r="B26250" s="31"/>
      <c r="G26250" s="272" t="s">
        <v>1099</v>
      </c>
    </row>
    <row r="26251">
      <c r="B26251" s="31"/>
      <c r="G26251" s="272" t="s">
        <v>1099</v>
      </c>
    </row>
    <row r="26252">
      <c r="B26252" s="31"/>
      <c r="G26252" s="272" t="s">
        <v>1099</v>
      </c>
    </row>
    <row r="26253">
      <c r="B26253" s="31"/>
      <c r="G26253" s="272" t="s">
        <v>1099</v>
      </c>
    </row>
    <row r="26254">
      <c r="B26254" s="31"/>
      <c r="G26254" s="272" t="s">
        <v>1099</v>
      </c>
    </row>
    <row r="26255">
      <c r="B26255" s="31"/>
      <c r="G26255" s="272" t="s">
        <v>1099</v>
      </c>
    </row>
    <row r="26256">
      <c r="B26256" s="31"/>
      <c r="G26256" s="272" t="s">
        <v>1099</v>
      </c>
    </row>
    <row r="26257">
      <c r="B26257" s="31"/>
      <c r="G26257" s="272" t="s">
        <v>1099</v>
      </c>
    </row>
    <row r="26258">
      <c r="B26258" s="31"/>
      <c r="G26258" s="272" t="s">
        <v>1099</v>
      </c>
    </row>
    <row r="26259">
      <c r="B26259" s="31"/>
      <c r="G26259" s="272" t="s">
        <v>1099</v>
      </c>
    </row>
    <row r="26260">
      <c r="B26260" s="31"/>
      <c r="G26260" s="272" t="s">
        <v>1099</v>
      </c>
    </row>
    <row r="26261">
      <c r="B26261" s="31"/>
      <c r="G26261" s="272" t="s">
        <v>1099</v>
      </c>
    </row>
    <row r="26262">
      <c r="B26262" s="31"/>
      <c r="G26262" s="272" t="s">
        <v>1099</v>
      </c>
    </row>
    <row r="26263">
      <c r="B26263" s="31"/>
      <c r="G26263" s="272" t="s">
        <v>1099</v>
      </c>
    </row>
    <row r="26264">
      <c r="B26264" s="31"/>
      <c r="G26264" s="272" t="s">
        <v>1099</v>
      </c>
    </row>
    <row r="26265">
      <c r="B26265" s="31"/>
      <c r="G26265" s="272" t="s">
        <v>1099</v>
      </c>
    </row>
    <row r="26266">
      <c r="B26266" s="31"/>
      <c r="G26266" s="272" t="s">
        <v>1099</v>
      </c>
    </row>
    <row r="26267">
      <c r="B26267" s="31"/>
      <c r="G26267" s="272" t="s">
        <v>1099</v>
      </c>
    </row>
    <row r="26268">
      <c r="B26268" s="31"/>
      <c r="G26268" s="272" t="s">
        <v>1099</v>
      </c>
    </row>
    <row r="26269">
      <c r="B26269" s="31"/>
      <c r="G26269" s="272" t="s">
        <v>1099</v>
      </c>
    </row>
    <row r="26270">
      <c r="B26270" s="31"/>
      <c r="G26270" s="272" t="s">
        <v>1099</v>
      </c>
    </row>
    <row r="26271">
      <c r="B26271" s="31"/>
      <c r="G26271" s="272" t="s">
        <v>1099</v>
      </c>
    </row>
    <row r="26272">
      <c r="B26272" s="31"/>
      <c r="G26272" s="272" t="s">
        <v>1099</v>
      </c>
    </row>
    <row r="26273">
      <c r="B26273" s="31"/>
      <c r="G26273" s="272" t="s">
        <v>1099</v>
      </c>
    </row>
    <row r="26274">
      <c r="B26274" s="31"/>
      <c r="G26274" s="272" t="s">
        <v>1099</v>
      </c>
    </row>
    <row r="26275">
      <c r="B26275" s="31"/>
      <c r="G26275" s="272" t="s">
        <v>1099</v>
      </c>
    </row>
    <row r="26276">
      <c r="B26276" s="31"/>
      <c r="G26276" s="272" t="s">
        <v>1099</v>
      </c>
    </row>
    <row r="26277">
      <c r="B26277" s="31"/>
      <c r="G26277" s="272" t="s">
        <v>1099</v>
      </c>
    </row>
    <row r="26278">
      <c r="B26278" s="31"/>
      <c r="G26278" s="272" t="s">
        <v>1099</v>
      </c>
    </row>
    <row r="26279">
      <c r="B26279" s="31"/>
      <c r="G26279" s="272" t="s">
        <v>1099</v>
      </c>
    </row>
    <row r="26280">
      <c r="B26280" s="31"/>
      <c r="G26280" s="272" t="s">
        <v>1099</v>
      </c>
    </row>
    <row r="26281">
      <c r="B26281" s="31"/>
      <c r="G26281" s="272" t="s">
        <v>1099</v>
      </c>
    </row>
    <row r="26282">
      <c r="B26282" s="31"/>
      <c r="G26282" s="272" t="s">
        <v>1099</v>
      </c>
    </row>
    <row r="26283">
      <c r="B26283" s="31"/>
      <c r="G26283" s="272" t="s">
        <v>1099</v>
      </c>
    </row>
    <row r="26284">
      <c r="B26284" s="31"/>
      <c r="G26284" s="272" t="s">
        <v>1099</v>
      </c>
    </row>
    <row r="26285">
      <c r="B26285" s="31"/>
      <c r="G26285" s="272" t="s">
        <v>1099</v>
      </c>
    </row>
    <row r="26286">
      <c r="B26286" s="31"/>
      <c r="G26286" s="272" t="s">
        <v>1099</v>
      </c>
    </row>
    <row r="26287">
      <c r="B26287" s="31"/>
      <c r="G26287" s="272" t="s">
        <v>1099</v>
      </c>
    </row>
    <row r="26288">
      <c r="B26288" s="31"/>
      <c r="G26288" s="272" t="s">
        <v>1099</v>
      </c>
    </row>
    <row r="26289">
      <c r="B26289" s="31"/>
      <c r="G26289" s="272" t="s">
        <v>1099</v>
      </c>
    </row>
    <row r="26290">
      <c r="B26290" s="31"/>
      <c r="G26290" s="272" t="s">
        <v>1099</v>
      </c>
    </row>
    <row r="26291">
      <c r="B26291" s="31"/>
      <c r="G26291" s="272" t="s">
        <v>1099</v>
      </c>
    </row>
    <row r="26292">
      <c r="B26292" s="31"/>
      <c r="G26292" s="272" t="s">
        <v>1099</v>
      </c>
    </row>
    <row r="26293">
      <c r="B26293" s="31"/>
      <c r="G26293" s="272" t="s">
        <v>1099</v>
      </c>
    </row>
    <row r="26294">
      <c r="B26294" s="31"/>
      <c r="G26294" s="272" t="s">
        <v>1099</v>
      </c>
    </row>
    <row r="26295">
      <c r="B26295" s="31"/>
      <c r="G26295" s="272" t="s">
        <v>1099</v>
      </c>
    </row>
    <row r="26296">
      <c r="B26296" s="31"/>
      <c r="G26296" s="272" t="s">
        <v>1099</v>
      </c>
    </row>
    <row r="26297">
      <c r="B26297" s="31"/>
      <c r="G26297" s="272" t="s">
        <v>1099</v>
      </c>
    </row>
    <row r="26298">
      <c r="B26298" s="31"/>
      <c r="G26298" s="272" t="s">
        <v>1099</v>
      </c>
    </row>
    <row r="26299">
      <c r="B26299" s="31"/>
      <c r="G26299" s="272" t="s">
        <v>1099</v>
      </c>
    </row>
    <row r="26300">
      <c r="B26300" s="31"/>
      <c r="G26300" s="272" t="s">
        <v>1099</v>
      </c>
    </row>
    <row r="26301">
      <c r="B26301" s="31"/>
      <c r="G26301" s="272" t="s">
        <v>1099</v>
      </c>
    </row>
    <row r="26302">
      <c r="B26302" s="31"/>
      <c r="G26302" s="272" t="s">
        <v>1099</v>
      </c>
    </row>
    <row r="26303">
      <c r="B26303" s="31"/>
      <c r="G26303" s="272" t="s">
        <v>1099</v>
      </c>
    </row>
    <row r="26304">
      <c r="B26304" s="31"/>
      <c r="G26304" s="272" t="s">
        <v>1099</v>
      </c>
    </row>
    <row r="26305">
      <c r="B26305" s="31"/>
      <c r="G26305" s="272" t="s">
        <v>1099</v>
      </c>
    </row>
    <row r="26306">
      <c r="B26306" s="31"/>
      <c r="G26306" s="272" t="s">
        <v>1099</v>
      </c>
    </row>
    <row r="26307">
      <c r="B26307" s="31"/>
      <c r="G26307" s="272" t="s">
        <v>1099</v>
      </c>
    </row>
    <row r="26308">
      <c r="B26308" s="31"/>
      <c r="G26308" s="272" t="s">
        <v>1099</v>
      </c>
    </row>
    <row r="26309">
      <c r="B26309" s="31"/>
      <c r="G26309" s="272" t="s">
        <v>1099</v>
      </c>
    </row>
    <row r="26310">
      <c r="B26310" s="31"/>
      <c r="G26310" s="272" t="s">
        <v>1099</v>
      </c>
    </row>
    <row r="26311">
      <c r="B26311" s="31"/>
      <c r="G26311" s="272" t="s">
        <v>1099</v>
      </c>
    </row>
    <row r="26312">
      <c r="B26312" s="31"/>
      <c r="G26312" s="272" t="s">
        <v>1099</v>
      </c>
    </row>
    <row r="26313">
      <c r="B26313" s="31"/>
      <c r="G26313" s="272" t="s">
        <v>1099</v>
      </c>
    </row>
    <row r="26314">
      <c r="B26314" s="31"/>
      <c r="G26314" s="272" t="s">
        <v>1099</v>
      </c>
    </row>
    <row r="26315">
      <c r="B26315" s="31"/>
      <c r="G26315" s="272" t="s">
        <v>1099</v>
      </c>
    </row>
    <row r="26316">
      <c r="B26316" s="31"/>
      <c r="G26316" s="272" t="s">
        <v>1099</v>
      </c>
    </row>
    <row r="26317">
      <c r="B26317" s="31"/>
      <c r="G26317" s="272" t="s">
        <v>1099</v>
      </c>
    </row>
    <row r="26318">
      <c r="B26318" s="31"/>
      <c r="G26318" s="272" t="s">
        <v>1099</v>
      </c>
    </row>
    <row r="26319">
      <c r="B26319" s="31"/>
      <c r="G26319" s="272" t="s">
        <v>1099</v>
      </c>
    </row>
    <row r="26320">
      <c r="B26320" s="31"/>
      <c r="G26320" s="272" t="s">
        <v>1099</v>
      </c>
    </row>
    <row r="26321">
      <c r="B26321" s="31"/>
      <c r="G26321" s="272" t="s">
        <v>1099</v>
      </c>
    </row>
    <row r="26322">
      <c r="B26322" s="31"/>
      <c r="G26322" s="272" t="s">
        <v>1099</v>
      </c>
    </row>
    <row r="26323">
      <c r="B26323" s="31"/>
      <c r="G26323" s="272" t="s">
        <v>1099</v>
      </c>
    </row>
    <row r="26324">
      <c r="B26324" s="31"/>
      <c r="G26324" s="272" t="s">
        <v>1099</v>
      </c>
    </row>
    <row r="26325">
      <c r="B26325" s="31"/>
      <c r="G26325" s="272" t="s">
        <v>1099</v>
      </c>
    </row>
    <row r="26326">
      <c r="B26326" s="31"/>
      <c r="G26326" s="272" t="s">
        <v>1099</v>
      </c>
    </row>
    <row r="26327">
      <c r="B26327" s="31"/>
      <c r="G26327" s="272" t="s">
        <v>1099</v>
      </c>
    </row>
    <row r="26328">
      <c r="B26328" s="31"/>
      <c r="G26328" s="272" t="s">
        <v>1099</v>
      </c>
    </row>
    <row r="26329">
      <c r="B26329" s="31"/>
      <c r="G26329" s="272" t="s">
        <v>1099</v>
      </c>
    </row>
    <row r="26330">
      <c r="B26330" s="31"/>
      <c r="G26330" s="272" t="s">
        <v>1099</v>
      </c>
    </row>
    <row r="26331">
      <c r="B26331" s="31"/>
      <c r="G26331" s="272" t="s">
        <v>1099</v>
      </c>
    </row>
    <row r="26332">
      <c r="B26332" s="31"/>
      <c r="G26332" s="272" t="s">
        <v>1099</v>
      </c>
    </row>
    <row r="26333">
      <c r="B26333" s="31"/>
      <c r="G26333" s="272" t="s">
        <v>1099</v>
      </c>
    </row>
    <row r="26334">
      <c r="B26334" s="31"/>
      <c r="G26334" s="272" t="s">
        <v>1099</v>
      </c>
    </row>
    <row r="26335">
      <c r="B26335" s="31"/>
      <c r="G26335" s="272" t="s">
        <v>1099</v>
      </c>
    </row>
    <row r="26336">
      <c r="B26336" s="31"/>
      <c r="G26336" s="272" t="s">
        <v>1099</v>
      </c>
    </row>
    <row r="26337">
      <c r="B26337" s="31"/>
      <c r="G26337" s="272" t="s">
        <v>1099</v>
      </c>
    </row>
    <row r="26338">
      <c r="B26338" s="31"/>
      <c r="G26338" s="272" t="s">
        <v>1099</v>
      </c>
    </row>
    <row r="26339">
      <c r="B26339" s="31"/>
      <c r="G26339" s="272" t="s">
        <v>1099</v>
      </c>
    </row>
    <row r="26340">
      <c r="B26340" s="31"/>
      <c r="G26340" s="272" t="s">
        <v>1099</v>
      </c>
    </row>
    <row r="26341">
      <c r="B26341" s="31"/>
      <c r="G26341" s="272" t="s">
        <v>1099</v>
      </c>
    </row>
    <row r="26342">
      <c r="B26342" s="31"/>
      <c r="G26342" s="272" t="s">
        <v>1099</v>
      </c>
    </row>
    <row r="26343">
      <c r="B26343" s="31"/>
      <c r="G26343" s="272" t="s">
        <v>1099</v>
      </c>
    </row>
    <row r="26344">
      <c r="B26344" s="31"/>
      <c r="G26344" s="272" t="s">
        <v>1099</v>
      </c>
    </row>
    <row r="26345">
      <c r="B26345" s="31"/>
      <c r="G26345" s="272" t="s">
        <v>1099</v>
      </c>
    </row>
    <row r="26346">
      <c r="B26346" s="31"/>
      <c r="G26346" s="272" t="s">
        <v>1099</v>
      </c>
    </row>
    <row r="26347">
      <c r="B26347" s="31"/>
      <c r="G26347" s="272" t="s">
        <v>1099</v>
      </c>
    </row>
    <row r="26348">
      <c r="B26348" s="31"/>
      <c r="G26348" s="272" t="s">
        <v>1099</v>
      </c>
    </row>
    <row r="26349">
      <c r="B26349" s="31"/>
      <c r="G26349" s="272" t="s">
        <v>1099</v>
      </c>
    </row>
    <row r="26350">
      <c r="B26350" s="31"/>
      <c r="G26350" s="272" t="s">
        <v>1099</v>
      </c>
    </row>
    <row r="26351">
      <c r="B26351" s="31"/>
      <c r="G26351" s="272" t="s">
        <v>1099</v>
      </c>
    </row>
    <row r="26352">
      <c r="B26352" s="31"/>
      <c r="G26352" s="272" t="s">
        <v>1099</v>
      </c>
    </row>
    <row r="26353">
      <c r="B26353" s="31"/>
      <c r="G26353" s="272" t="s">
        <v>1099</v>
      </c>
    </row>
    <row r="26354">
      <c r="B26354" s="31"/>
      <c r="G26354" s="272" t="s">
        <v>1099</v>
      </c>
    </row>
    <row r="26355">
      <c r="B26355" s="31"/>
      <c r="G26355" s="272" t="s">
        <v>1099</v>
      </c>
    </row>
    <row r="26356">
      <c r="B26356" s="31"/>
      <c r="G26356" s="272" t="s">
        <v>1099</v>
      </c>
    </row>
    <row r="26357">
      <c r="B26357" s="31"/>
      <c r="G26357" s="272" t="s">
        <v>1099</v>
      </c>
    </row>
    <row r="26358">
      <c r="B26358" s="31"/>
      <c r="G26358" s="272" t="s">
        <v>1099</v>
      </c>
    </row>
    <row r="26359">
      <c r="B26359" s="31"/>
      <c r="G26359" s="272" t="s">
        <v>1099</v>
      </c>
    </row>
    <row r="26360">
      <c r="B26360" s="31"/>
      <c r="G26360" s="272" t="s">
        <v>1099</v>
      </c>
    </row>
    <row r="26361">
      <c r="B26361" s="31"/>
      <c r="G26361" s="272" t="s">
        <v>1099</v>
      </c>
    </row>
    <row r="26362">
      <c r="B26362" s="31"/>
      <c r="G26362" s="272" t="s">
        <v>1099</v>
      </c>
    </row>
    <row r="26363">
      <c r="B26363" s="31"/>
      <c r="G26363" s="272" t="s">
        <v>1099</v>
      </c>
    </row>
    <row r="26364">
      <c r="B26364" s="31"/>
      <c r="G26364" s="272" t="s">
        <v>1099</v>
      </c>
    </row>
    <row r="26365">
      <c r="B26365" s="31"/>
      <c r="G26365" s="272" t="s">
        <v>1099</v>
      </c>
    </row>
    <row r="26366">
      <c r="B26366" s="31"/>
      <c r="G26366" s="272" t="s">
        <v>1099</v>
      </c>
    </row>
    <row r="26367">
      <c r="B26367" s="31"/>
      <c r="G26367" s="272" t="s">
        <v>1099</v>
      </c>
    </row>
    <row r="26368">
      <c r="B26368" s="31"/>
      <c r="G26368" s="272" t="s">
        <v>1099</v>
      </c>
    </row>
    <row r="26369">
      <c r="B26369" s="31"/>
      <c r="G26369" s="272" t="s">
        <v>1099</v>
      </c>
    </row>
    <row r="26370">
      <c r="B26370" s="31"/>
      <c r="G26370" s="272" t="s">
        <v>1099</v>
      </c>
    </row>
    <row r="26371">
      <c r="B26371" s="31"/>
      <c r="G26371" s="272" t="s">
        <v>1099</v>
      </c>
    </row>
    <row r="26372">
      <c r="B26372" s="31"/>
      <c r="G26372" s="272" t="s">
        <v>1099</v>
      </c>
    </row>
    <row r="26373">
      <c r="B26373" s="31"/>
      <c r="G26373" s="272" t="s">
        <v>1099</v>
      </c>
    </row>
    <row r="26374">
      <c r="B26374" s="31"/>
      <c r="G26374" s="272" t="s">
        <v>1099</v>
      </c>
    </row>
    <row r="26375">
      <c r="B26375" s="31"/>
      <c r="G26375" s="272" t="s">
        <v>1099</v>
      </c>
    </row>
    <row r="26376">
      <c r="B26376" s="31"/>
      <c r="G26376" s="272" t="s">
        <v>1099</v>
      </c>
    </row>
    <row r="26377">
      <c r="B26377" s="31"/>
      <c r="G26377" s="272" t="s">
        <v>1099</v>
      </c>
    </row>
    <row r="26378">
      <c r="B26378" s="31"/>
      <c r="G26378" s="272" t="s">
        <v>1099</v>
      </c>
    </row>
    <row r="26379">
      <c r="B26379" s="31"/>
      <c r="G26379" s="272" t="s">
        <v>1099</v>
      </c>
    </row>
    <row r="26380">
      <c r="B26380" s="31"/>
      <c r="G26380" s="272" t="s">
        <v>1099</v>
      </c>
    </row>
    <row r="26381">
      <c r="B26381" s="31"/>
      <c r="G26381" s="272" t="s">
        <v>1099</v>
      </c>
    </row>
    <row r="26382">
      <c r="B26382" s="31"/>
      <c r="G26382" s="272" t="s">
        <v>1099</v>
      </c>
    </row>
    <row r="26383">
      <c r="B26383" s="31"/>
      <c r="G26383" s="272" t="s">
        <v>1099</v>
      </c>
    </row>
    <row r="26384">
      <c r="B26384" s="31"/>
      <c r="G26384" s="272" t="s">
        <v>1099</v>
      </c>
    </row>
    <row r="26385">
      <c r="B26385" s="31"/>
      <c r="G26385" s="272" t="s">
        <v>1099</v>
      </c>
    </row>
    <row r="26386">
      <c r="B26386" s="31"/>
      <c r="G26386" s="272" t="s">
        <v>1099</v>
      </c>
    </row>
    <row r="26387">
      <c r="B26387" s="31"/>
      <c r="G26387" s="272" t="s">
        <v>1099</v>
      </c>
    </row>
    <row r="26388">
      <c r="B26388" s="31"/>
      <c r="G26388" s="272" t="s">
        <v>1099</v>
      </c>
    </row>
    <row r="26389">
      <c r="B26389" s="31"/>
      <c r="G26389" s="272" t="s">
        <v>1099</v>
      </c>
    </row>
    <row r="26390">
      <c r="B26390" s="31"/>
      <c r="G26390" s="272" t="s">
        <v>1099</v>
      </c>
    </row>
    <row r="26391">
      <c r="B26391" s="31"/>
      <c r="G26391" s="272" t="s">
        <v>1099</v>
      </c>
    </row>
    <row r="26392">
      <c r="B26392" s="31"/>
      <c r="G26392" s="272" t="s">
        <v>1099</v>
      </c>
    </row>
    <row r="26393">
      <c r="B26393" s="31"/>
      <c r="G26393" s="272" t="s">
        <v>1099</v>
      </c>
    </row>
    <row r="26394">
      <c r="B26394" s="31"/>
      <c r="G26394" s="272" t="s">
        <v>1099</v>
      </c>
    </row>
    <row r="26395">
      <c r="B26395" s="31"/>
      <c r="G26395" s="272" t="s">
        <v>1099</v>
      </c>
    </row>
    <row r="26396">
      <c r="B26396" s="31"/>
      <c r="G26396" s="272" t="s">
        <v>1099</v>
      </c>
    </row>
    <row r="26397">
      <c r="B26397" s="31"/>
      <c r="G26397" s="272" t="s">
        <v>1099</v>
      </c>
    </row>
    <row r="26398">
      <c r="B26398" s="31"/>
      <c r="G26398" s="272" t="s">
        <v>1099</v>
      </c>
    </row>
    <row r="26399">
      <c r="B26399" s="31"/>
      <c r="G26399" s="272" t="s">
        <v>1099</v>
      </c>
    </row>
    <row r="26400">
      <c r="B26400" s="31"/>
      <c r="G26400" s="272" t="s">
        <v>1099</v>
      </c>
    </row>
    <row r="26401">
      <c r="B26401" s="31"/>
      <c r="G26401" s="272" t="s">
        <v>1099</v>
      </c>
    </row>
    <row r="26402">
      <c r="B26402" s="31"/>
      <c r="G26402" s="272" t="s">
        <v>1099</v>
      </c>
    </row>
    <row r="26403">
      <c r="B26403" s="31"/>
      <c r="G26403" s="272" t="s">
        <v>1099</v>
      </c>
    </row>
    <row r="26404">
      <c r="B26404" s="31"/>
      <c r="G26404" s="272" t="s">
        <v>1099</v>
      </c>
    </row>
    <row r="26405">
      <c r="B26405" s="31"/>
      <c r="G26405" s="272" t="s">
        <v>1099</v>
      </c>
    </row>
    <row r="26406">
      <c r="B26406" s="31"/>
      <c r="G26406" s="272" t="s">
        <v>1099</v>
      </c>
    </row>
    <row r="26407">
      <c r="B26407" s="31"/>
      <c r="G26407" s="272" t="s">
        <v>1099</v>
      </c>
    </row>
    <row r="26408">
      <c r="B26408" s="31"/>
      <c r="G26408" s="272" t="s">
        <v>1099</v>
      </c>
    </row>
    <row r="26409">
      <c r="B26409" s="31"/>
      <c r="G26409" s="272" t="s">
        <v>1099</v>
      </c>
    </row>
    <row r="26410">
      <c r="B26410" s="31"/>
      <c r="G26410" s="272" t="s">
        <v>1099</v>
      </c>
    </row>
    <row r="26411">
      <c r="B26411" s="31"/>
      <c r="G26411" s="272" t="s">
        <v>1099</v>
      </c>
    </row>
    <row r="26412">
      <c r="B26412" s="31"/>
      <c r="G26412" s="272" t="s">
        <v>1099</v>
      </c>
    </row>
    <row r="26413">
      <c r="B26413" s="31"/>
      <c r="G26413" s="272" t="s">
        <v>1099</v>
      </c>
    </row>
    <row r="26414">
      <c r="B26414" s="31"/>
      <c r="G26414" s="272" t="s">
        <v>1099</v>
      </c>
    </row>
    <row r="26415">
      <c r="B26415" s="31"/>
      <c r="G26415" s="272" t="s">
        <v>1099</v>
      </c>
    </row>
    <row r="26416">
      <c r="B26416" s="31"/>
      <c r="G26416" s="272" t="s">
        <v>1099</v>
      </c>
    </row>
    <row r="26417">
      <c r="B26417" s="31"/>
      <c r="G26417" s="272" t="s">
        <v>1099</v>
      </c>
    </row>
    <row r="26418">
      <c r="B26418" s="31"/>
      <c r="G26418" s="272" t="s">
        <v>1099</v>
      </c>
    </row>
    <row r="26419">
      <c r="B26419" s="31"/>
      <c r="G26419" s="272" t="s">
        <v>1099</v>
      </c>
    </row>
    <row r="26420">
      <c r="B26420" s="31"/>
      <c r="G26420" s="272" t="s">
        <v>1099</v>
      </c>
    </row>
    <row r="26421">
      <c r="B26421" s="31"/>
      <c r="G26421" s="272" t="s">
        <v>1099</v>
      </c>
    </row>
    <row r="26422">
      <c r="B26422" s="31"/>
      <c r="G26422" s="272" t="s">
        <v>1099</v>
      </c>
    </row>
    <row r="26423">
      <c r="B26423" s="31"/>
      <c r="G26423" s="272" t="s">
        <v>1099</v>
      </c>
    </row>
    <row r="26424">
      <c r="B26424" s="31"/>
      <c r="G26424" s="272" t="s">
        <v>1099</v>
      </c>
    </row>
    <row r="26425">
      <c r="B26425" s="31"/>
      <c r="G26425" s="272" t="s">
        <v>1099</v>
      </c>
    </row>
    <row r="26426">
      <c r="B26426" s="31"/>
      <c r="G26426" s="272" t="s">
        <v>1099</v>
      </c>
    </row>
    <row r="26427">
      <c r="B26427" s="31"/>
      <c r="G26427" s="272" t="s">
        <v>1099</v>
      </c>
    </row>
    <row r="26428">
      <c r="B26428" s="31"/>
      <c r="G26428" s="272" t="s">
        <v>1099</v>
      </c>
    </row>
    <row r="26429">
      <c r="B26429" s="31"/>
      <c r="G26429" s="272" t="s">
        <v>1099</v>
      </c>
    </row>
    <row r="26430">
      <c r="B26430" s="31"/>
      <c r="G26430" s="272" t="s">
        <v>1099</v>
      </c>
    </row>
    <row r="26431">
      <c r="B26431" s="31"/>
      <c r="G26431" s="272" t="s">
        <v>1099</v>
      </c>
    </row>
    <row r="26432">
      <c r="B26432" s="31"/>
      <c r="G26432" s="272" t="s">
        <v>1099</v>
      </c>
    </row>
    <row r="26433">
      <c r="B26433" s="31"/>
      <c r="G26433" s="272" t="s">
        <v>1099</v>
      </c>
    </row>
    <row r="26434">
      <c r="B26434" s="31"/>
      <c r="G26434" s="272" t="s">
        <v>1099</v>
      </c>
    </row>
    <row r="26435">
      <c r="B26435" s="31"/>
      <c r="G26435" s="272" t="s">
        <v>1099</v>
      </c>
    </row>
    <row r="26436">
      <c r="B26436" s="31"/>
      <c r="G26436" s="272" t="s">
        <v>1099</v>
      </c>
    </row>
    <row r="26437">
      <c r="B26437" s="31"/>
      <c r="G26437" s="272" t="s">
        <v>1099</v>
      </c>
    </row>
    <row r="26438">
      <c r="B26438" s="31"/>
      <c r="G26438" s="272" t="s">
        <v>1099</v>
      </c>
    </row>
    <row r="26439">
      <c r="B26439" s="31"/>
      <c r="G26439" s="272" t="s">
        <v>1099</v>
      </c>
    </row>
    <row r="26440">
      <c r="B26440" s="31"/>
      <c r="G26440" s="272" t="s">
        <v>1099</v>
      </c>
    </row>
    <row r="26441">
      <c r="B26441" s="31"/>
      <c r="G26441" s="272" t="s">
        <v>1099</v>
      </c>
    </row>
    <row r="26442">
      <c r="B26442" s="31"/>
      <c r="G26442" s="272" t="s">
        <v>1099</v>
      </c>
    </row>
    <row r="26443">
      <c r="B26443" s="31"/>
      <c r="G26443" s="272" t="s">
        <v>1099</v>
      </c>
    </row>
    <row r="26444">
      <c r="B26444" s="31"/>
      <c r="G26444" s="272" t="s">
        <v>1099</v>
      </c>
    </row>
    <row r="26445">
      <c r="B26445" s="31"/>
      <c r="G26445" s="272" t="s">
        <v>1099</v>
      </c>
    </row>
    <row r="26446">
      <c r="B26446" s="31"/>
      <c r="G26446" s="272" t="s">
        <v>1099</v>
      </c>
    </row>
    <row r="26447">
      <c r="B26447" s="31"/>
      <c r="G26447" s="272" t="s">
        <v>1099</v>
      </c>
    </row>
    <row r="26448">
      <c r="B26448" s="31"/>
      <c r="G26448" s="272" t="s">
        <v>1099</v>
      </c>
    </row>
    <row r="26449">
      <c r="B26449" s="31"/>
      <c r="G26449" s="272" t="s">
        <v>1099</v>
      </c>
    </row>
    <row r="26450">
      <c r="B26450" s="31"/>
      <c r="G26450" s="272" t="s">
        <v>1099</v>
      </c>
    </row>
    <row r="26451">
      <c r="B26451" s="31"/>
      <c r="G26451" s="272" t="s">
        <v>1099</v>
      </c>
    </row>
    <row r="26452">
      <c r="B26452" s="31"/>
      <c r="G26452" s="272" t="s">
        <v>1099</v>
      </c>
    </row>
    <row r="26453">
      <c r="B26453" s="31"/>
      <c r="G26453" s="272" t="s">
        <v>1099</v>
      </c>
    </row>
    <row r="26454">
      <c r="B26454" s="31"/>
      <c r="G26454" s="272" t="s">
        <v>1099</v>
      </c>
    </row>
    <row r="26455">
      <c r="B26455" s="31"/>
      <c r="G26455" s="272" t="s">
        <v>1099</v>
      </c>
    </row>
    <row r="26456">
      <c r="B26456" s="31"/>
      <c r="G26456" s="272" t="s">
        <v>1099</v>
      </c>
    </row>
    <row r="26457">
      <c r="B26457" s="31"/>
      <c r="G26457" s="272" t="s">
        <v>1099</v>
      </c>
    </row>
    <row r="26458">
      <c r="B26458" s="31"/>
      <c r="G26458" s="272" t="s">
        <v>1099</v>
      </c>
    </row>
    <row r="26459">
      <c r="B26459" s="31"/>
      <c r="G26459" s="272" t="s">
        <v>1099</v>
      </c>
    </row>
    <row r="26460">
      <c r="B26460" s="31"/>
      <c r="G26460" s="272" t="s">
        <v>1099</v>
      </c>
    </row>
    <row r="26461">
      <c r="B26461" s="31"/>
      <c r="G26461" s="272" t="s">
        <v>1099</v>
      </c>
    </row>
    <row r="26462">
      <c r="B26462" s="31"/>
      <c r="G26462" s="272" t="s">
        <v>1099</v>
      </c>
    </row>
    <row r="26463">
      <c r="B26463" s="31"/>
      <c r="G26463" s="272" t="s">
        <v>1099</v>
      </c>
    </row>
    <row r="26464">
      <c r="B26464" s="31"/>
      <c r="G26464" s="272" t="s">
        <v>1099</v>
      </c>
    </row>
    <row r="26465">
      <c r="B26465" s="31"/>
      <c r="G26465" s="272" t="s">
        <v>1099</v>
      </c>
    </row>
    <row r="26466">
      <c r="B26466" s="31"/>
      <c r="G26466" s="272" t="s">
        <v>1099</v>
      </c>
    </row>
    <row r="26467">
      <c r="B26467" s="31"/>
      <c r="G26467" s="272" t="s">
        <v>1099</v>
      </c>
    </row>
    <row r="26468">
      <c r="B26468" s="31"/>
      <c r="G26468" s="272" t="s">
        <v>1099</v>
      </c>
    </row>
    <row r="26469">
      <c r="B26469" s="31"/>
      <c r="G26469" s="272" t="s">
        <v>1099</v>
      </c>
    </row>
    <row r="26470">
      <c r="B26470" s="31"/>
      <c r="G26470" s="272" t="s">
        <v>1099</v>
      </c>
    </row>
    <row r="26471">
      <c r="B26471" s="31"/>
      <c r="G26471" s="272" t="s">
        <v>1099</v>
      </c>
    </row>
    <row r="26472">
      <c r="B26472" s="31"/>
      <c r="G26472" s="272" t="s">
        <v>1099</v>
      </c>
    </row>
    <row r="26473">
      <c r="B26473" s="31"/>
      <c r="G26473" s="272" t="s">
        <v>1099</v>
      </c>
    </row>
    <row r="26474">
      <c r="B26474" s="31"/>
      <c r="G26474" s="272" t="s">
        <v>1099</v>
      </c>
    </row>
    <row r="26475">
      <c r="B26475" s="31"/>
      <c r="G26475" s="272" t="s">
        <v>1099</v>
      </c>
    </row>
    <row r="26476">
      <c r="B26476" s="31"/>
      <c r="G26476" s="272" t="s">
        <v>1099</v>
      </c>
    </row>
    <row r="26477">
      <c r="B26477" s="31"/>
      <c r="G26477" s="272" t="s">
        <v>1099</v>
      </c>
    </row>
    <row r="26478">
      <c r="B26478" s="31"/>
      <c r="G26478" s="272" t="s">
        <v>1099</v>
      </c>
    </row>
    <row r="26479">
      <c r="B26479" s="31"/>
      <c r="G26479" s="272" t="s">
        <v>1099</v>
      </c>
    </row>
    <row r="26480">
      <c r="B26480" s="31"/>
      <c r="G26480" s="272" t="s">
        <v>1099</v>
      </c>
    </row>
    <row r="26481">
      <c r="B26481" s="31"/>
      <c r="G26481" s="272" t="s">
        <v>1099</v>
      </c>
    </row>
    <row r="26482">
      <c r="B26482" s="31"/>
      <c r="G26482" s="272" t="s">
        <v>1099</v>
      </c>
    </row>
    <row r="26483">
      <c r="B26483" s="31"/>
      <c r="G26483" s="272" t="s">
        <v>1099</v>
      </c>
    </row>
    <row r="26484">
      <c r="B26484" s="31"/>
      <c r="G26484" s="272" t="s">
        <v>1099</v>
      </c>
    </row>
    <row r="26485">
      <c r="B26485" s="31"/>
      <c r="G26485" s="272" t="s">
        <v>1099</v>
      </c>
    </row>
    <row r="26486">
      <c r="B26486" s="31"/>
      <c r="G26486" s="272" t="s">
        <v>1099</v>
      </c>
    </row>
    <row r="26487">
      <c r="B26487" s="31"/>
      <c r="G26487" s="272" t="s">
        <v>1099</v>
      </c>
    </row>
    <row r="26488">
      <c r="B26488" s="31"/>
      <c r="G26488" s="272" t="s">
        <v>1099</v>
      </c>
    </row>
    <row r="26489">
      <c r="B26489" s="31"/>
      <c r="G26489" s="272" t="s">
        <v>1099</v>
      </c>
    </row>
    <row r="26490">
      <c r="B26490" s="31"/>
      <c r="G26490" s="272" t="s">
        <v>1099</v>
      </c>
    </row>
    <row r="26491">
      <c r="B26491" s="31"/>
      <c r="G26491" s="272" t="s">
        <v>1099</v>
      </c>
    </row>
    <row r="26492">
      <c r="B26492" s="31"/>
      <c r="G26492" s="272" t="s">
        <v>1099</v>
      </c>
    </row>
    <row r="26493">
      <c r="B26493" s="31"/>
      <c r="G26493" s="272" t="s">
        <v>1099</v>
      </c>
    </row>
    <row r="26494">
      <c r="B26494" s="31"/>
      <c r="G26494" s="272" t="s">
        <v>1099</v>
      </c>
    </row>
    <row r="26495">
      <c r="B26495" s="31"/>
      <c r="G26495" s="272" t="s">
        <v>1099</v>
      </c>
    </row>
    <row r="26496">
      <c r="B26496" s="31"/>
      <c r="G26496" s="272" t="s">
        <v>1099</v>
      </c>
    </row>
    <row r="26497">
      <c r="B26497" s="31"/>
      <c r="G26497" s="272" t="s">
        <v>1099</v>
      </c>
    </row>
    <row r="26498">
      <c r="B26498" s="31"/>
      <c r="G26498" s="272" t="s">
        <v>1099</v>
      </c>
    </row>
    <row r="26499">
      <c r="B26499" s="31"/>
      <c r="G26499" s="272" t="s">
        <v>1099</v>
      </c>
    </row>
    <row r="26500">
      <c r="B26500" s="31"/>
      <c r="G26500" s="272" t="s">
        <v>1099</v>
      </c>
    </row>
    <row r="26501">
      <c r="B26501" s="31"/>
      <c r="G26501" s="272" t="s">
        <v>1099</v>
      </c>
    </row>
    <row r="26502">
      <c r="B26502" s="31"/>
      <c r="G26502" s="272" t="s">
        <v>1099</v>
      </c>
    </row>
    <row r="26503">
      <c r="B26503" s="31"/>
      <c r="G26503" s="272" t="s">
        <v>1099</v>
      </c>
    </row>
    <row r="26504">
      <c r="B26504" s="31"/>
      <c r="G26504" s="272" t="s">
        <v>1099</v>
      </c>
    </row>
    <row r="26505">
      <c r="B26505" s="31"/>
      <c r="G26505" s="272" t="s">
        <v>1099</v>
      </c>
    </row>
    <row r="26506">
      <c r="B26506" s="31"/>
      <c r="G26506" s="272" t="s">
        <v>1099</v>
      </c>
    </row>
    <row r="26507">
      <c r="B26507" s="31"/>
      <c r="G26507" s="272" t="s">
        <v>1099</v>
      </c>
    </row>
    <row r="26508">
      <c r="B26508" s="31"/>
      <c r="G26508" s="272" t="s">
        <v>1099</v>
      </c>
    </row>
    <row r="26509">
      <c r="B26509" s="31"/>
      <c r="G26509" s="272" t="s">
        <v>1099</v>
      </c>
    </row>
    <row r="26510">
      <c r="B26510" s="31"/>
      <c r="G26510" s="272" t="s">
        <v>1099</v>
      </c>
    </row>
    <row r="26511">
      <c r="B26511" s="31"/>
      <c r="G26511" s="272" t="s">
        <v>1099</v>
      </c>
    </row>
    <row r="26512">
      <c r="B26512" s="31"/>
      <c r="G26512" s="272" t="s">
        <v>1099</v>
      </c>
    </row>
    <row r="26513">
      <c r="B26513" s="31"/>
      <c r="G26513" s="272" t="s">
        <v>1099</v>
      </c>
    </row>
    <row r="26514">
      <c r="B26514" s="31"/>
      <c r="G26514" s="272" t="s">
        <v>1099</v>
      </c>
    </row>
    <row r="26515">
      <c r="B26515" s="31"/>
      <c r="G26515" s="272" t="s">
        <v>1099</v>
      </c>
    </row>
    <row r="26516">
      <c r="B26516" s="31"/>
      <c r="G26516" s="272" t="s">
        <v>1099</v>
      </c>
    </row>
    <row r="26517">
      <c r="B26517" s="31"/>
      <c r="G26517" s="272" t="s">
        <v>1099</v>
      </c>
    </row>
    <row r="26518">
      <c r="B26518" s="31"/>
      <c r="G26518" s="272" t="s">
        <v>1099</v>
      </c>
    </row>
    <row r="26519">
      <c r="B26519" s="31"/>
      <c r="G26519" s="272" t="s">
        <v>1099</v>
      </c>
    </row>
    <row r="26520">
      <c r="B26520" s="31"/>
      <c r="G26520" s="272" t="s">
        <v>1099</v>
      </c>
    </row>
    <row r="26521">
      <c r="B26521" s="31"/>
      <c r="G26521" s="272" t="s">
        <v>1099</v>
      </c>
    </row>
    <row r="26522">
      <c r="B26522" s="31"/>
      <c r="G26522" s="272" t="s">
        <v>1099</v>
      </c>
    </row>
    <row r="26523">
      <c r="B26523" s="31"/>
      <c r="G26523" s="272" t="s">
        <v>1099</v>
      </c>
    </row>
    <row r="26524">
      <c r="B26524" s="31"/>
      <c r="G26524" s="272" t="s">
        <v>1099</v>
      </c>
    </row>
    <row r="26525">
      <c r="B26525" s="31"/>
      <c r="G26525" s="272" t="s">
        <v>1099</v>
      </c>
    </row>
    <row r="26526">
      <c r="B26526" s="31"/>
      <c r="G26526" s="272" t="s">
        <v>1099</v>
      </c>
    </row>
    <row r="26527">
      <c r="B26527" s="31"/>
      <c r="G26527" s="272" t="s">
        <v>1099</v>
      </c>
    </row>
    <row r="26528">
      <c r="B26528" s="31"/>
      <c r="G26528" s="272" t="s">
        <v>1099</v>
      </c>
    </row>
    <row r="26529">
      <c r="B26529" s="31"/>
      <c r="G26529" s="272" t="s">
        <v>1099</v>
      </c>
    </row>
    <row r="26530">
      <c r="B26530" s="31"/>
      <c r="G26530" s="272" t="s">
        <v>1099</v>
      </c>
    </row>
    <row r="26531">
      <c r="B26531" s="31"/>
      <c r="G26531" s="272" t="s">
        <v>1099</v>
      </c>
    </row>
    <row r="26532">
      <c r="B26532" s="31"/>
      <c r="G26532" s="272" t="s">
        <v>1099</v>
      </c>
    </row>
    <row r="26533">
      <c r="B26533" s="31"/>
      <c r="G26533" s="272" t="s">
        <v>1099</v>
      </c>
    </row>
    <row r="26534">
      <c r="B26534" s="31"/>
      <c r="G26534" s="272" t="s">
        <v>1099</v>
      </c>
    </row>
    <row r="26535">
      <c r="B26535" s="31"/>
      <c r="G26535" s="272" t="s">
        <v>1099</v>
      </c>
    </row>
    <row r="26536">
      <c r="B26536" s="31"/>
      <c r="G26536" s="272" t="s">
        <v>1099</v>
      </c>
    </row>
    <row r="26537">
      <c r="B26537" s="31"/>
      <c r="G26537" s="272" t="s">
        <v>1099</v>
      </c>
    </row>
    <row r="26538">
      <c r="B26538" s="31"/>
      <c r="G26538" s="272" t="s">
        <v>1099</v>
      </c>
    </row>
    <row r="26539">
      <c r="B26539" s="31"/>
      <c r="G26539" s="272" t="s">
        <v>1099</v>
      </c>
    </row>
    <row r="26540">
      <c r="B26540" s="31"/>
      <c r="G26540" s="272" t="s">
        <v>1099</v>
      </c>
    </row>
    <row r="26541">
      <c r="B26541" s="31"/>
      <c r="G26541" s="272" t="s">
        <v>1099</v>
      </c>
    </row>
    <row r="26542">
      <c r="B26542" s="31"/>
      <c r="G26542" s="272" t="s">
        <v>1099</v>
      </c>
    </row>
    <row r="26543">
      <c r="B26543" s="31"/>
      <c r="G26543" s="272" t="s">
        <v>1099</v>
      </c>
    </row>
    <row r="26544">
      <c r="B26544" s="31"/>
      <c r="G26544" s="272" t="s">
        <v>1099</v>
      </c>
    </row>
    <row r="26545">
      <c r="B26545" s="31"/>
      <c r="G26545" s="272" t="s">
        <v>1099</v>
      </c>
    </row>
    <row r="26546">
      <c r="B26546" s="31"/>
      <c r="G26546" s="272" t="s">
        <v>1099</v>
      </c>
    </row>
    <row r="26547">
      <c r="B26547" s="31"/>
      <c r="G26547" s="272" t="s">
        <v>1099</v>
      </c>
    </row>
    <row r="26548">
      <c r="B26548" s="31"/>
      <c r="G26548" s="272" t="s">
        <v>1099</v>
      </c>
    </row>
    <row r="26549">
      <c r="B26549" s="31"/>
      <c r="G26549" s="272" t="s">
        <v>1099</v>
      </c>
    </row>
    <row r="26550">
      <c r="B26550" s="31"/>
      <c r="G26550" s="272" t="s">
        <v>1099</v>
      </c>
    </row>
    <row r="26551">
      <c r="B26551" s="31"/>
      <c r="G26551" s="272" t="s">
        <v>1099</v>
      </c>
    </row>
    <row r="26552">
      <c r="B26552" s="31"/>
      <c r="G26552" s="272" t="s">
        <v>1099</v>
      </c>
    </row>
    <row r="26553">
      <c r="B26553" s="31"/>
      <c r="G26553" s="272" t="s">
        <v>1099</v>
      </c>
    </row>
    <row r="26554">
      <c r="B26554" s="31"/>
      <c r="G26554" s="272" t="s">
        <v>1099</v>
      </c>
    </row>
    <row r="26555">
      <c r="B26555" s="31"/>
      <c r="G26555" s="272" t="s">
        <v>1099</v>
      </c>
    </row>
    <row r="26556">
      <c r="B26556" s="31"/>
      <c r="G26556" s="272" t="s">
        <v>1099</v>
      </c>
    </row>
    <row r="26557">
      <c r="B26557" s="31"/>
      <c r="G26557" s="272" t="s">
        <v>1099</v>
      </c>
    </row>
    <row r="26558">
      <c r="B26558" s="31"/>
      <c r="G26558" s="272" t="s">
        <v>1099</v>
      </c>
    </row>
    <row r="26559">
      <c r="B26559" s="31"/>
      <c r="G26559" s="272" t="s">
        <v>1099</v>
      </c>
    </row>
    <row r="26560">
      <c r="B26560" s="31"/>
      <c r="G26560" s="272" t="s">
        <v>1099</v>
      </c>
    </row>
    <row r="26561">
      <c r="B26561" s="31"/>
      <c r="G26561" s="272" t="s">
        <v>1099</v>
      </c>
    </row>
    <row r="26562">
      <c r="B26562" s="31"/>
      <c r="G26562" s="272" t="s">
        <v>1099</v>
      </c>
    </row>
    <row r="26563">
      <c r="B26563" s="31"/>
      <c r="G26563" s="272" t="s">
        <v>1099</v>
      </c>
    </row>
    <row r="26564">
      <c r="B26564" s="31"/>
      <c r="G26564" s="272" t="s">
        <v>1099</v>
      </c>
    </row>
    <row r="26565">
      <c r="B26565" s="31"/>
      <c r="G26565" s="272" t="s">
        <v>1099</v>
      </c>
    </row>
    <row r="26566">
      <c r="B26566" s="31"/>
      <c r="G26566" s="272" t="s">
        <v>1099</v>
      </c>
    </row>
    <row r="26567">
      <c r="B26567" s="31"/>
      <c r="G26567" s="272" t="s">
        <v>1099</v>
      </c>
    </row>
    <row r="26568">
      <c r="B26568" s="31"/>
      <c r="G26568" s="272" t="s">
        <v>1099</v>
      </c>
    </row>
    <row r="26569">
      <c r="B26569" s="31"/>
      <c r="G26569" s="272" t="s">
        <v>1099</v>
      </c>
    </row>
    <row r="26570">
      <c r="B26570" s="31"/>
      <c r="G26570" s="272" t="s">
        <v>1099</v>
      </c>
    </row>
    <row r="26571">
      <c r="B26571" s="31"/>
      <c r="G26571" s="272" t="s">
        <v>1099</v>
      </c>
    </row>
    <row r="26572">
      <c r="B26572" s="31"/>
      <c r="G26572" s="272" t="s">
        <v>1099</v>
      </c>
    </row>
    <row r="26573">
      <c r="B26573" s="31"/>
      <c r="G26573" s="272" t="s">
        <v>1099</v>
      </c>
    </row>
    <row r="26574">
      <c r="B26574" s="31"/>
      <c r="G26574" s="272" t="s">
        <v>1099</v>
      </c>
    </row>
    <row r="26575">
      <c r="B26575" s="31"/>
      <c r="G26575" s="272" t="s">
        <v>1099</v>
      </c>
    </row>
    <row r="26576">
      <c r="B26576" s="31"/>
      <c r="G26576" s="272" t="s">
        <v>1099</v>
      </c>
    </row>
    <row r="26577">
      <c r="B26577" s="31"/>
      <c r="G26577" s="272" t="s">
        <v>1099</v>
      </c>
    </row>
    <row r="26578">
      <c r="B26578" s="31"/>
      <c r="G26578" s="272" t="s">
        <v>1099</v>
      </c>
    </row>
    <row r="26579">
      <c r="B26579" s="31"/>
      <c r="G26579" s="272" t="s">
        <v>1099</v>
      </c>
    </row>
    <row r="26580">
      <c r="B26580" s="31"/>
      <c r="G26580" s="272" t="s">
        <v>1099</v>
      </c>
    </row>
    <row r="26581">
      <c r="B26581" s="31"/>
      <c r="G26581" s="272" t="s">
        <v>1099</v>
      </c>
    </row>
    <row r="26582">
      <c r="B26582" s="31"/>
      <c r="G26582" s="272" t="s">
        <v>1099</v>
      </c>
    </row>
    <row r="26583">
      <c r="B26583" s="31"/>
      <c r="G26583" s="272" t="s">
        <v>1099</v>
      </c>
    </row>
    <row r="26584">
      <c r="B26584" s="31"/>
      <c r="G26584" s="272" t="s">
        <v>1099</v>
      </c>
    </row>
    <row r="26585">
      <c r="B26585" s="31"/>
      <c r="G26585" s="272" t="s">
        <v>1099</v>
      </c>
    </row>
    <row r="26586">
      <c r="B26586" s="31"/>
      <c r="G26586" s="272" t="s">
        <v>1099</v>
      </c>
    </row>
    <row r="26587">
      <c r="B26587" s="31"/>
      <c r="G26587" s="272" t="s">
        <v>1099</v>
      </c>
    </row>
    <row r="26588">
      <c r="B26588" s="31"/>
      <c r="G26588" s="272" t="s">
        <v>1099</v>
      </c>
    </row>
    <row r="26589">
      <c r="B26589" s="31"/>
      <c r="G26589" s="272" t="s">
        <v>1099</v>
      </c>
    </row>
    <row r="26590">
      <c r="B26590" s="31"/>
      <c r="G26590" s="272" t="s">
        <v>1099</v>
      </c>
    </row>
    <row r="26591">
      <c r="B26591" s="31"/>
      <c r="G26591" s="272" t="s">
        <v>1099</v>
      </c>
    </row>
    <row r="26592">
      <c r="B26592" s="31"/>
      <c r="G26592" s="272" t="s">
        <v>1099</v>
      </c>
    </row>
    <row r="26593">
      <c r="B26593" s="31"/>
      <c r="G26593" s="272" t="s">
        <v>1099</v>
      </c>
    </row>
    <row r="26594">
      <c r="B26594" s="31"/>
      <c r="G26594" s="272" t="s">
        <v>1099</v>
      </c>
    </row>
    <row r="26595">
      <c r="B26595" s="31"/>
      <c r="G26595" s="272" t="s">
        <v>1099</v>
      </c>
    </row>
    <row r="26596">
      <c r="B26596" s="31"/>
      <c r="G26596" s="272" t="s">
        <v>1099</v>
      </c>
    </row>
    <row r="26597">
      <c r="B26597" s="31"/>
      <c r="G26597" s="272" t="s">
        <v>1099</v>
      </c>
    </row>
    <row r="26598">
      <c r="B26598" s="31"/>
      <c r="G26598" s="272" t="s">
        <v>1099</v>
      </c>
    </row>
    <row r="26599">
      <c r="B26599" s="31"/>
      <c r="G26599" s="272" t="s">
        <v>1099</v>
      </c>
    </row>
    <row r="26600">
      <c r="B26600" s="31"/>
      <c r="G26600" s="272" t="s">
        <v>1099</v>
      </c>
    </row>
    <row r="26601">
      <c r="B26601" s="31"/>
      <c r="G26601" s="272" t="s">
        <v>1099</v>
      </c>
    </row>
    <row r="26602">
      <c r="B26602" s="31"/>
      <c r="G26602" s="272" t="s">
        <v>1099</v>
      </c>
    </row>
    <row r="26603">
      <c r="B26603" s="31"/>
      <c r="G26603" s="272" t="s">
        <v>1099</v>
      </c>
    </row>
    <row r="26604">
      <c r="B26604" s="31"/>
      <c r="G26604" s="272" t="s">
        <v>1099</v>
      </c>
    </row>
    <row r="26605">
      <c r="B26605" s="31"/>
      <c r="G26605" s="272" t="s">
        <v>1099</v>
      </c>
    </row>
    <row r="26606">
      <c r="B26606" s="31"/>
      <c r="G26606" s="272" t="s">
        <v>1099</v>
      </c>
    </row>
    <row r="26607">
      <c r="B26607" s="31"/>
      <c r="G26607" s="272" t="s">
        <v>1099</v>
      </c>
    </row>
    <row r="26608">
      <c r="B26608" s="31"/>
      <c r="G26608" s="272" t="s">
        <v>1099</v>
      </c>
    </row>
    <row r="26609">
      <c r="B26609" s="31"/>
      <c r="G26609" s="272" t="s">
        <v>1099</v>
      </c>
    </row>
    <row r="26610">
      <c r="B26610" s="31"/>
      <c r="G26610" s="272" t="s">
        <v>1099</v>
      </c>
    </row>
    <row r="26611">
      <c r="B26611" s="31"/>
      <c r="G26611" s="272" t="s">
        <v>1099</v>
      </c>
    </row>
    <row r="26612">
      <c r="B26612" s="31"/>
      <c r="G26612" s="272" t="s">
        <v>1099</v>
      </c>
    </row>
    <row r="26613">
      <c r="B26613" s="31"/>
      <c r="G26613" s="272" t="s">
        <v>1099</v>
      </c>
    </row>
    <row r="26614">
      <c r="B26614" s="31"/>
      <c r="G26614" s="272" t="s">
        <v>1099</v>
      </c>
    </row>
    <row r="26615">
      <c r="B26615" s="31"/>
      <c r="G26615" s="272" t="s">
        <v>1099</v>
      </c>
    </row>
    <row r="26616">
      <c r="B26616" s="31"/>
      <c r="G26616" s="272" t="s">
        <v>1099</v>
      </c>
    </row>
    <row r="26617">
      <c r="B26617" s="31"/>
      <c r="G26617" s="272" t="s">
        <v>1099</v>
      </c>
    </row>
    <row r="26618">
      <c r="B26618" s="31"/>
      <c r="G26618" s="272" t="s">
        <v>1099</v>
      </c>
    </row>
    <row r="26619">
      <c r="B26619" s="31"/>
      <c r="G26619" s="272" t="s">
        <v>1099</v>
      </c>
    </row>
    <row r="26620">
      <c r="B26620" s="31"/>
      <c r="G26620" s="272" t="s">
        <v>1099</v>
      </c>
    </row>
    <row r="26621">
      <c r="B26621" s="31"/>
      <c r="G26621" s="272" t="s">
        <v>1099</v>
      </c>
    </row>
    <row r="26622">
      <c r="B26622" s="31"/>
      <c r="G26622" s="272" t="s">
        <v>1099</v>
      </c>
    </row>
    <row r="26623">
      <c r="B26623" s="31"/>
      <c r="G26623" s="272" t="s">
        <v>1099</v>
      </c>
    </row>
    <row r="26624">
      <c r="B26624" s="31"/>
      <c r="G26624" s="272" t="s">
        <v>1099</v>
      </c>
    </row>
    <row r="26625">
      <c r="B26625" s="31"/>
      <c r="G26625" s="272" t="s">
        <v>1099</v>
      </c>
    </row>
    <row r="26626">
      <c r="B26626" s="31"/>
      <c r="G26626" s="272" t="s">
        <v>1099</v>
      </c>
    </row>
    <row r="26627">
      <c r="B26627" s="31"/>
      <c r="G26627" s="272" t="s">
        <v>1099</v>
      </c>
    </row>
    <row r="26628">
      <c r="B26628" s="31"/>
      <c r="G26628" s="272" t="s">
        <v>1099</v>
      </c>
    </row>
    <row r="26629">
      <c r="B26629" s="31"/>
      <c r="G26629" s="272" t="s">
        <v>1099</v>
      </c>
    </row>
    <row r="26630">
      <c r="B26630" s="31"/>
      <c r="G26630" s="272" t="s">
        <v>1099</v>
      </c>
    </row>
    <row r="26631">
      <c r="B26631" s="31"/>
      <c r="G26631" s="272" t="s">
        <v>1099</v>
      </c>
    </row>
    <row r="26632">
      <c r="B26632" s="31"/>
      <c r="G26632" s="272" t="s">
        <v>1099</v>
      </c>
    </row>
    <row r="26633">
      <c r="B26633" s="31"/>
      <c r="G26633" s="272" t="s">
        <v>1099</v>
      </c>
    </row>
    <row r="26634">
      <c r="B26634" s="31"/>
      <c r="G26634" s="272" t="s">
        <v>1099</v>
      </c>
    </row>
    <row r="26635">
      <c r="B26635" s="31"/>
      <c r="G26635" s="272" t="s">
        <v>1099</v>
      </c>
    </row>
    <row r="26636">
      <c r="B26636" s="31"/>
      <c r="G26636" s="272" t="s">
        <v>1099</v>
      </c>
    </row>
    <row r="26637">
      <c r="B26637" s="31"/>
      <c r="G26637" s="272" t="s">
        <v>1099</v>
      </c>
    </row>
    <row r="26638">
      <c r="B26638" s="31"/>
      <c r="G26638" s="272" t="s">
        <v>1099</v>
      </c>
    </row>
    <row r="26639">
      <c r="B26639" s="31"/>
      <c r="G26639" s="272" t="s">
        <v>1099</v>
      </c>
    </row>
    <row r="26640">
      <c r="B26640" s="31"/>
      <c r="G26640" s="272" t="s">
        <v>1099</v>
      </c>
    </row>
    <row r="26641">
      <c r="B26641" s="31"/>
      <c r="G26641" s="272" t="s">
        <v>1099</v>
      </c>
    </row>
    <row r="26642">
      <c r="B26642" s="31"/>
      <c r="G26642" s="272" t="s">
        <v>1099</v>
      </c>
    </row>
    <row r="26643">
      <c r="B26643" s="31"/>
      <c r="G26643" s="272" t="s">
        <v>1099</v>
      </c>
    </row>
    <row r="26644">
      <c r="B26644" s="31"/>
      <c r="G26644" s="272" t="s">
        <v>1099</v>
      </c>
    </row>
    <row r="26645">
      <c r="B26645" s="31"/>
      <c r="G26645" s="272" t="s">
        <v>1099</v>
      </c>
    </row>
    <row r="26646">
      <c r="B26646" s="31"/>
      <c r="G26646" s="272" t="s">
        <v>1099</v>
      </c>
    </row>
    <row r="26647">
      <c r="B26647" s="31"/>
      <c r="G26647" s="272" t="s">
        <v>1099</v>
      </c>
    </row>
    <row r="26648">
      <c r="B26648" s="31"/>
      <c r="G26648" s="272" t="s">
        <v>1099</v>
      </c>
    </row>
    <row r="26649">
      <c r="B26649" s="31"/>
      <c r="G26649" s="272" t="s">
        <v>1099</v>
      </c>
    </row>
    <row r="26650">
      <c r="B26650" s="31"/>
      <c r="G26650" s="272" t="s">
        <v>1099</v>
      </c>
    </row>
    <row r="26651">
      <c r="B26651" s="31"/>
      <c r="G26651" s="272" t="s">
        <v>1099</v>
      </c>
    </row>
    <row r="26652">
      <c r="B26652" s="31"/>
      <c r="G26652" s="272" t="s">
        <v>1099</v>
      </c>
    </row>
    <row r="26653">
      <c r="B26653" s="31"/>
      <c r="G26653" s="272" t="s">
        <v>1099</v>
      </c>
    </row>
    <row r="26654">
      <c r="B26654" s="31"/>
      <c r="G26654" s="272" t="s">
        <v>1099</v>
      </c>
    </row>
    <row r="26655">
      <c r="B26655" s="31"/>
      <c r="G26655" s="272" t="s">
        <v>1099</v>
      </c>
    </row>
    <row r="26656">
      <c r="B26656" s="31"/>
      <c r="G26656" s="272" t="s">
        <v>1099</v>
      </c>
    </row>
    <row r="26657">
      <c r="B26657" s="31"/>
      <c r="G26657" s="272" t="s">
        <v>1099</v>
      </c>
    </row>
    <row r="26658">
      <c r="B26658" s="31"/>
      <c r="G26658" s="272" t="s">
        <v>1099</v>
      </c>
    </row>
    <row r="26659">
      <c r="B26659" s="31"/>
      <c r="G26659" s="272" t="s">
        <v>1099</v>
      </c>
    </row>
    <row r="26660">
      <c r="B26660" s="31"/>
      <c r="G26660" s="272" t="s">
        <v>1099</v>
      </c>
    </row>
    <row r="26661">
      <c r="B26661" s="31"/>
      <c r="G26661" s="272" t="s">
        <v>1099</v>
      </c>
    </row>
    <row r="26662">
      <c r="B26662" s="31"/>
      <c r="G26662" s="272" t="s">
        <v>1099</v>
      </c>
    </row>
    <row r="26663">
      <c r="B26663" s="31"/>
      <c r="G26663" s="272" t="s">
        <v>1099</v>
      </c>
    </row>
    <row r="26664">
      <c r="B26664" s="31"/>
      <c r="G26664" s="272" t="s">
        <v>1099</v>
      </c>
    </row>
    <row r="26665">
      <c r="B26665" s="31"/>
      <c r="G26665" s="272" t="s">
        <v>1099</v>
      </c>
    </row>
    <row r="26666">
      <c r="B26666" s="31"/>
      <c r="G26666" s="272" t="s">
        <v>1099</v>
      </c>
    </row>
    <row r="26667">
      <c r="B26667" s="31"/>
      <c r="G26667" s="272" t="s">
        <v>1099</v>
      </c>
    </row>
    <row r="26668">
      <c r="B26668" s="31"/>
      <c r="G26668" s="272" t="s">
        <v>1099</v>
      </c>
    </row>
    <row r="26669">
      <c r="B26669" s="31"/>
      <c r="G26669" s="272" t="s">
        <v>1099</v>
      </c>
    </row>
    <row r="26670">
      <c r="B26670" s="31"/>
      <c r="G26670" s="272" t="s">
        <v>1099</v>
      </c>
    </row>
    <row r="26671">
      <c r="B26671" s="31"/>
      <c r="G26671" s="272" t="s">
        <v>1099</v>
      </c>
    </row>
    <row r="26672">
      <c r="B26672" s="31"/>
      <c r="G26672" s="272" t="s">
        <v>1099</v>
      </c>
    </row>
    <row r="26673">
      <c r="B26673" s="31"/>
      <c r="G26673" s="272" t="s">
        <v>1099</v>
      </c>
    </row>
    <row r="26674">
      <c r="B26674" s="31"/>
      <c r="G26674" s="272" t="s">
        <v>1099</v>
      </c>
    </row>
    <row r="26675">
      <c r="B26675" s="31"/>
      <c r="G26675" s="272" t="s">
        <v>1099</v>
      </c>
    </row>
    <row r="26676">
      <c r="B26676" s="31"/>
      <c r="G26676" s="272" t="s">
        <v>1099</v>
      </c>
    </row>
    <row r="26677">
      <c r="B26677" s="31"/>
      <c r="G26677" s="272" t="s">
        <v>1099</v>
      </c>
    </row>
    <row r="26678">
      <c r="B26678" s="31"/>
      <c r="G26678" s="272" t="s">
        <v>1099</v>
      </c>
    </row>
    <row r="26679">
      <c r="B26679" s="31"/>
      <c r="G26679" s="272" t="s">
        <v>1099</v>
      </c>
    </row>
    <row r="26680">
      <c r="B26680" s="31"/>
      <c r="G26680" s="272" t="s">
        <v>1099</v>
      </c>
    </row>
    <row r="26681">
      <c r="B26681" s="31"/>
      <c r="G26681" s="272" t="s">
        <v>1099</v>
      </c>
    </row>
    <row r="26682">
      <c r="B26682" s="31"/>
      <c r="G26682" s="272" t="s">
        <v>1099</v>
      </c>
    </row>
    <row r="26683">
      <c r="B26683" s="31"/>
      <c r="G26683" s="272" t="s">
        <v>1099</v>
      </c>
    </row>
    <row r="26684">
      <c r="B26684" s="31"/>
      <c r="G26684" s="272" t="s">
        <v>1099</v>
      </c>
    </row>
    <row r="26685">
      <c r="B26685" s="31"/>
      <c r="G26685" s="272" t="s">
        <v>1099</v>
      </c>
    </row>
    <row r="26686">
      <c r="B26686" s="31"/>
      <c r="G26686" s="272" t="s">
        <v>1099</v>
      </c>
    </row>
    <row r="26687">
      <c r="B26687" s="31"/>
      <c r="G26687" s="272" t="s">
        <v>1099</v>
      </c>
    </row>
    <row r="26688">
      <c r="B26688" s="31"/>
      <c r="G26688" s="272" t="s">
        <v>1099</v>
      </c>
    </row>
    <row r="26689">
      <c r="B26689" s="31"/>
      <c r="G26689" s="272" t="s">
        <v>1099</v>
      </c>
    </row>
    <row r="26690">
      <c r="B26690" s="31"/>
      <c r="G26690" s="272" t="s">
        <v>1099</v>
      </c>
    </row>
    <row r="26691">
      <c r="B26691" s="31"/>
      <c r="G26691" s="272" t="s">
        <v>1099</v>
      </c>
    </row>
    <row r="26692">
      <c r="B26692" s="31"/>
      <c r="G26692" s="272" t="s">
        <v>1099</v>
      </c>
    </row>
    <row r="26693">
      <c r="B26693" s="31"/>
      <c r="G26693" s="272" t="s">
        <v>1099</v>
      </c>
    </row>
    <row r="26694">
      <c r="B26694" s="31"/>
      <c r="G26694" s="272" t="s">
        <v>1099</v>
      </c>
    </row>
    <row r="26695">
      <c r="B26695" s="31"/>
      <c r="G26695" s="272" t="s">
        <v>1099</v>
      </c>
    </row>
    <row r="26696">
      <c r="B26696" s="31"/>
      <c r="G26696" s="272" t="s">
        <v>1099</v>
      </c>
    </row>
    <row r="26697">
      <c r="B26697" s="31"/>
      <c r="G26697" s="272" t="s">
        <v>1099</v>
      </c>
    </row>
    <row r="26698">
      <c r="B26698" s="31"/>
      <c r="G26698" s="272" t="s">
        <v>1099</v>
      </c>
    </row>
    <row r="26699">
      <c r="B26699" s="31"/>
      <c r="G26699" s="272" t="s">
        <v>1099</v>
      </c>
    </row>
    <row r="26700">
      <c r="B26700" s="31"/>
      <c r="G26700" s="272" t="s">
        <v>1099</v>
      </c>
    </row>
    <row r="26701">
      <c r="B26701" s="31"/>
      <c r="G26701" s="272" t="s">
        <v>1099</v>
      </c>
    </row>
    <row r="26702">
      <c r="B26702" s="31"/>
      <c r="G26702" s="272" t="s">
        <v>1099</v>
      </c>
    </row>
    <row r="26703">
      <c r="B26703" s="31"/>
      <c r="G26703" s="272" t="s">
        <v>1099</v>
      </c>
    </row>
    <row r="26704">
      <c r="B26704" s="31"/>
      <c r="G26704" s="272" t="s">
        <v>1099</v>
      </c>
    </row>
    <row r="26705">
      <c r="B26705" s="31"/>
      <c r="G26705" s="272" t="s">
        <v>1099</v>
      </c>
    </row>
    <row r="26706">
      <c r="B26706" s="31"/>
      <c r="G26706" s="272" t="s">
        <v>1099</v>
      </c>
    </row>
    <row r="26707">
      <c r="B26707" s="31"/>
      <c r="G26707" s="272" t="s">
        <v>1099</v>
      </c>
    </row>
    <row r="26708">
      <c r="B26708" s="31"/>
      <c r="G26708" s="272" t="s">
        <v>1099</v>
      </c>
    </row>
    <row r="26709">
      <c r="B26709" s="31"/>
      <c r="G26709" s="272" t="s">
        <v>1099</v>
      </c>
    </row>
    <row r="26710">
      <c r="B26710" s="31"/>
      <c r="G26710" s="272" t="s">
        <v>1099</v>
      </c>
    </row>
    <row r="26711">
      <c r="B26711" s="31"/>
      <c r="G26711" s="272" t="s">
        <v>1099</v>
      </c>
    </row>
    <row r="26712">
      <c r="B26712" s="31"/>
      <c r="G26712" s="272" t="s">
        <v>1099</v>
      </c>
    </row>
    <row r="26713">
      <c r="B26713" s="31"/>
      <c r="G26713" s="272" t="s">
        <v>1099</v>
      </c>
    </row>
    <row r="26714">
      <c r="B26714" s="31"/>
      <c r="G26714" s="272" t="s">
        <v>1099</v>
      </c>
    </row>
    <row r="26715">
      <c r="B26715" s="31"/>
      <c r="G26715" s="272" t="s">
        <v>1099</v>
      </c>
    </row>
    <row r="26716">
      <c r="B26716" s="31"/>
      <c r="G26716" s="272" t="s">
        <v>1099</v>
      </c>
    </row>
    <row r="26717">
      <c r="B26717" s="31"/>
      <c r="G26717" s="272" t="s">
        <v>1099</v>
      </c>
    </row>
    <row r="26718">
      <c r="B26718" s="31"/>
      <c r="G26718" s="272" t="s">
        <v>1099</v>
      </c>
    </row>
    <row r="26719">
      <c r="B26719" s="31"/>
      <c r="G26719" s="272" t="s">
        <v>1099</v>
      </c>
    </row>
    <row r="26720">
      <c r="B26720" s="31"/>
      <c r="G26720" s="272" t="s">
        <v>1099</v>
      </c>
    </row>
    <row r="26721">
      <c r="B26721" s="31"/>
      <c r="G26721" s="272" t="s">
        <v>1099</v>
      </c>
    </row>
    <row r="26722">
      <c r="B26722" s="31"/>
      <c r="G26722" s="272" t="s">
        <v>1099</v>
      </c>
    </row>
    <row r="26723">
      <c r="B26723" s="31"/>
      <c r="G26723" s="272" t="s">
        <v>1099</v>
      </c>
    </row>
    <row r="26724">
      <c r="B26724" s="31"/>
      <c r="G26724" s="272" t="s">
        <v>1099</v>
      </c>
    </row>
    <row r="26725">
      <c r="B26725" s="31"/>
      <c r="G26725" s="272" t="s">
        <v>1099</v>
      </c>
    </row>
    <row r="26726">
      <c r="B26726" s="31"/>
      <c r="G26726" s="272" t="s">
        <v>1099</v>
      </c>
    </row>
    <row r="26727">
      <c r="B26727" s="31"/>
      <c r="G26727" s="272" t="s">
        <v>1099</v>
      </c>
    </row>
    <row r="26728">
      <c r="B26728" s="31"/>
      <c r="G26728" s="272" t="s">
        <v>1099</v>
      </c>
    </row>
    <row r="26729">
      <c r="B26729" s="31"/>
      <c r="G26729" s="272" t="s">
        <v>1099</v>
      </c>
    </row>
    <row r="26730">
      <c r="B26730" s="31"/>
      <c r="G26730" s="272" t="s">
        <v>1099</v>
      </c>
    </row>
    <row r="26731">
      <c r="B26731" s="31"/>
      <c r="G26731" s="272" t="s">
        <v>1099</v>
      </c>
    </row>
    <row r="26732">
      <c r="B26732" s="31"/>
      <c r="G26732" s="272" t="s">
        <v>1099</v>
      </c>
    </row>
    <row r="26733">
      <c r="B26733" s="31"/>
      <c r="G26733" s="272" t="s">
        <v>1099</v>
      </c>
    </row>
    <row r="26734">
      <c r="B26734" s="31"/>
      <c r="G26734" s="272" t="s">
        <v>1099</v>
      </c>
    </row>
    <row r="26735">
      <c r="B26735" s="31"/>
      <c r="G26735" s="272" t="s">
        <v>1099</v>
      </c>
    </row>
    <row r="26736">
      <c r="B26736" s="31"/>
      <c r="G26736" s="272" t="s">
        <v>1099</v>
      </c>
    </row>
    <row r="26737">
      <c r="B26737" s="31"/>
      <c r="G26737" s="272" t="s">
        <v>1099</v>
      </c>
    </row>
    <row r="26738">
      <c r="B26738" s="31"/>
      <c r="G26738" s="272" t="s">
        <v>1099</v>
      </c>
    </row>
    <row r="26739">
      <c r="B26739" s="31"/>
      <c r="G26739" s="272" t="s">
        <v>1099</v>
      </c>
    </row>
    <row r="26740">
      <c r="B26740" s="31"/>
      <c r="G26740" s="272" t="s">
        <v>1099</v>
      </c>
    </row>
    <row r="26741">
      <c r="B26741" s="31"/>
      <c r="G26741" s="272" t="s">
        <v>1099</v>
      </c>
    </row>
    <row r="26742">
      <c r="B26742" s="31"/>
      <c r="G26742" s="272" t="s">
        <v>1099</v>
      </c>
    </row>
    <row r="26743">
      <c r="B26743" s="31"/>
      <c r="G26743" s="272" t="s">
        <v>1099</v>
      </c>
    </row>
    <row r="26744">
      <c r="B26744" s="31"/>
      <c r="G26744" s="272" t="s">
        <v>1099</v>
      </c>
    </row>
    <row r="26745">
      <c r="B26745" s="31"/>
      <c r="G26745" s="272" t="s">
        <v>1099</v>
      </c>
    </row>
    <row r="26746">
      <c r="B26746" s="31"/>
      <c r="G26746" s="272" t="s">
        <v>1099</v>
      </c>
    </row>
    <row r="26747">
      <c r="B26747" s="31"/>
      <c r="G26747" s="272" t="s">
        <v>1099</v>
      </c>
    </row>
    <row r="26748">
      <c r="B26748" s="31"/>
      <c r="G26748" s="272" t="s">
        <v>1099</v>
      </c>
    </row>
    <row r="26749">
      <c r="B26749" s="31"/>
      <c r="G26749" s="272" t="s">
        <v>1099</v>
      </c>
    </row>
    <row r="26750">
      <c r="B26750" s="31"/>
      <c r="G26750" s="272" t="s">
        <v>1099</v>
      </c>
    </row>
    <row r="26751">
      <c r="B26751" s="31"/>
      <c r="G26751" s="272" t="s">
        <v>1099</v>
      </c>
    </row>
    <row r="26752">
      <c r="B26752" s="31"/>
      <c r="G26752" s="272" t="s">
        <v>1099</v>
      </c>
    </row>
    <row r="26753">
      <c r="B26753" s="31"/>
      <c r="G26753" s="272" t="s">
        <v>1099</v>
      </c>
    </row>
    <row r="26754">
      <c r="B26754" s="31"/>
      <c r="G26754" s="272" t="s">
        <v>1099</v>
      </c>
    </row>
    <row r="26755">
      <c r="B26755" s="31"/>
      <c r="G26755" s="272" t="s">
        <v>1099</v>
      </c>
    </row>
    <row r="26756">
      <c r="B26756" s="31"/>
      <c r="G26756" s="272" t="s">
        <v>1099</v>
      </c>
    </row>
    <row r="26757">
      <c r="B26757" s="31"/>
      <c r="G26757" s="272" t="s">
        <v>1099</v>
      </c>
    </row>
    <row r="26758">
      <c r="B26758" s="31"/>
      <c r="G26758" s="272" t="s">
        <v>1099</v>
      </c>
    </row>
    <row r="26759">
      <c r="B26759" s="31"/>
      <c r="G26759" s="272" t="s">
        <v>1099</v>
      </c>
    </row>
    <row r="26760">
      <c r="B26760" s="31"/>
      <c r="G26760" s="272" t="s">
        <v>1099</v>
      </c>
    </row>
    <row r="26761">
      <c r="B26761" s="31"/>
      <c r="G26761" s="272" t="s">
        <v>1099</v>
      </c>
    </row>
    <row r="26762">
      <c r="B26762" s="31"/>
      <c r="G26762" s="272" t="s">
        <v>1099</v>
      </c>
    </row>
    <row r="26763">
      <c r="B26763" s="31"/>
      <c r="G26763" s="272" t="s">
        <v>1099</v>
      </c>
    </row>
    <row r="26764">
      <c r="B26764" s="31"/>
      <c r="G26764" s="272" t="s">
        <v>1099</v>
      </c>
    </row>
    <row r="26765">
      <c r="B26765" s="31"/>
      <c r="G26765" s="272" t="s">
        <v>1099</v>
      </c>
    </row>
    <row r="26766">
      <c r="B26766" s="31"/>
      <c r="G26766" s="272" t="s">
        <v>1099</v>
      </c>
    </row>
    <row r="26767">
      <c r="B26767" s="31"/>
      <c r="G26767" s="272" t="s">
        <v>1099</v>
      </c>
    </row>
    <row r="26768">
      <c r="B26768" s="31"/>
      <c r="G26768" s="272" t="s">
        <v>1099</v>
      </c>
    </row>
    <row r="26769">
      <c r="B26769" s="31"/>
      <c r="G26769" s="272" t="s">
        <v>1099</v>
      </c>
    </row>
    <row r="26770">
      <c r="B26770" s="31"/>
      <c r="G26770" s="272" t="s">
        <v>1099</v>
      </c>
    </row>
    <row r="26771">
      <c r="B26771" s="31"/>
      <c r="G26771" s="272" t="s">
        <v>1099</v>
      </c>
    </row>
    <row r="26772">
      <c r="B26772" s="31"/>
      <c r="G26772" s="272" t="s">
        <v>1099</v>
      </c>
    </row>
    <row r="26773">
      <c r="B26773" s="31"/>
      <c r="G26773" s="272" t="s">
        <v>1099</v>
      </c>
    </row>
    <row r="26774">
      <c r="B26774" s="31"/>
      <c r="G26774" s="272" t="s">
        <v>1099</v>
      </c>
    </row>
    <row r="26775">
      <c r="B26775" s="31"/>
      <c r="G26775" s="272" t="s">
        <v>1099</v>
      </c>
    </row>
    <row r="26776">
      <c r="B26776" s="31"/>
      <c r="G26776" s="272" t="s">
        <v>1099</v>
      </c>
    </row>
    <row r="26777">
      <c r="B26777" s="31"/>
      <c r="G26777" s="272" t="s">
        <v>1099</v>
      </c>
    </row>
    <row r="26778">
      <c r="B26778" s="31"/>
      <c r="G26778" s="272" t="s">
        <v>1099</v>
      </c>
    </row>
    <row r="26779">
      <c r="B26779" s="31"/>
      <c r="G26779" s="272" t="s">
        <v>1099</v>
      </c>
    </row>
    <row r="26780">
      <c r="B26780" s="31"/>
      <c r="G26780" s="272" t="s">
        <v>1099</v>
      </c>
    </row>
    <row r="26781">
      <c r="B26781" s="31"/>
      <c r="G26781" s="272" t="s">
        <v>1099</v>
      </c>
    </row>
    <row r="26782">
      <c r="B26782" s="31"/>
      <c r="G26782" s="272" t="s">
        <v>1099</v>
      </c>
    </row>
    <row r="26783">
      <c r="B26783" s="31"/>
      <c r="G26783" s="272" t="s">
        <v>1099</v>
      </c>
    </row>
    <row r="26784">
      <c r="B26784" s="31"/>
      <c r="G26784" s="272" t="s">
        <v>1099</v>
      </c>
    </row>
    <row r="26785">
      <c r="B26785" s="31"/>
      <c r="G26785" s="272" t="s">
        <v>1099</v>
      </c>
    </row>
    <row r="26786">
      <c r="B26786" s="31"/>
      <c r="G26786" s="272" t="s">
        <v>1099</v>
      </c>
    </row>
    <row r="26787">
      <c r="B26787" s="31"/>
      <c r="G26787" s="272" t="s">
        <v>1099</v>
      </c>
    </row>
    <row r="26788">
      <c r="B26788" s="31"/>
      <c r="G26788" s="272" t="s">
        <v>1099</v>
      </c>
    </row>
    <row r="26789">
      <c r="B26789" s="31"/>
      <c r="G26789" s="272" t="s">
        <v>1099</v>
      </c>
    </row>
    <row r="26790">
      <c r="B26790" s="31"/>
      <c r="G26790" s="272" t="s">
        <v>1099</v>
      </c>
    </row>
    <row r="26791">
      <c r="B26791" s="31"/>
      <c r="G26791" s="272" t="s">
        <v>1099</v>
      </c>
    </row>
    <row r="26792">
      <c r="B26792" s="31"/>
      <c r="G26792" s="272" t="s">
        <v>1099</v>
      </c>
    </row>
    <row r="26793">
      <c r="B26793" s="31"/>
      <c r="G26793" s="272" t="s">
        <v>1099</v>
      </c>
    </row>
    <row r="26794">
      <c r="B26794" s="31"/>
      <c r="G26794" s="272" t="s">
        <v>1099</v>
      </c>
    </row>
    <row r="26795">
      <c r="B26795" s="31"/>
      <c r="G26795" s="272" t="s">
        <v>1099</v>
      </c>
    </row>
    <row r="26796">
      <c r="B26796" s="31"/>
      <c r="G26796" s="272" t="s">
        <v>1099</v>
      </c>
    </row>
    <row r="26797">
      <c r="B26797" s="31"/>
      <c r="G26797" s="272" t="s">
        <v>1099</v>
      </c>
    </row>
    <row r="26798">
      <c r="B26798" s="31"/>
      <c r="G26798" s="272" t="s">
        <v>1099</v>
      </c>
    </row>
    <row r="26799">
      <c r="B26799" s="31"/>
      <c r="G26799" s="272" t="s">
        <v>1099</v>
      </c>
    </row>
    <row r="26800">
      <c r="B26800" s="31"/>
      <c r="G26800" s="272" t="s">
        <v>1099</v>
      </c>
    </row>
    <row r="26801">
      <c r="B26801" s="31"/>
      <c r="G26801" s="272" t="s">
        <v>1099</v>
      </c>
    </row>
    <row r="26802">
      <c r="B26802" s="31"/>
      <c r="G26802" s="272" t="s">
        <v>1099</v>
      </c>
    </row>
    <row r="26803">
      <c r="B26803" s="31"/>
      <c r="G26803" s="272" t="s">
        <v>1099</v>
      </c>
    </row>
    <row r="26804">
      <c r="B26804" s="31"/>
      <c r="G26804" s="272" t="s">
        <v>1099</v>
      </c>
    </row>
    <row r="26805">
      <c r="B26805" s="31"/>
      <c r="G26805" s="272" t="s">
        <v>1099</v>
      </c>
    </row>
    <row r="26806">
      <c r="B26806" s="31"/>
      <c r="G26806" s="272" t="s">
        <v>1099</v>
      </c>
    </row>
    <row r="26807">
      <c r="B26807" s="31"/>
      <c r="G26807" s="272" t="s">
        <v>1099</v>
      </c>
    </row>
    <row r="26808">
      <c r="B26808" s="31"/>
      <c r="G26808" s="272" t="s">
        <v>1099</v>
      </c>
    </row>
    <row r="26809">
      <c r="B26809" s="31"/>
      <c r="G26809" s="272" t="s">
        <v>1099</v>
      </c>
    </row>
    <row r="26810">
      <c r="B26810" s="31"/>
      <c r="G26810" s="272" t="s">
        <v>1099</v>
      </c>
    </row>
    <row r="26811">
      <c r="B26811" s="31"/>
      <c r="G26811" s="272" t="s">
        <v>1099</v>
      </c>
    </row>
    <row r="26812">
      <c r="B26812" s="31"/>
      <c r="G26812" s="272" t="s">
        <v>1099</v>
      </c>
    </row>
    <row r="26813">
      <c r="B26813" s="31"/>
      <c r="G26813" s="272" t="s">
        <v>1099</v>
      </c>
    </row>
    <row r="26814">
      <c r="B26814" s="31"/>
      <c r="G26814" s="272" t="s">
        <v>1099</v>
      </c>
    </row>
    <row r="26815">
      <c r="B26815" s="31"/>
      <c r="G26815" s="272" t="s">
        <v>1099</v>
      </c>
    </row>
    <row r="26816">
      <c r="B26816" s="31"/>
      <c r="G26816" s="272" t="s">
        <v>1099</v>
      </c>
    </row>
    <row r="26817">
      <c r="B26817" s="31"/>
      <c r="G26817" s="272" t="s">
        <v>1099</v>
      </c>
    </row>
    <row r="26818">
      <c r="B26818" s="31"/>
      <c r="G26818" s="272" t="s">
        <v>1099</v>
      </c>
    </row>
    <row r="26819">
      <c r="B26819" s="31"/>
      <c r="G26819" s="272" t="s">
        <v>1099</v>
      </c>
    </row>
    <row r="26820">
      <c r="B26820" s="31"/>
      <c r="G26820" s="272" t="s">
        <v>1099</v>
      </c>
    </row>
    <row r="26821">
      <c r="B26821" s="31"/>
      <c r="G26821" s="272" t="s">
        <v>1099</v>
      </c>
    </row>
    <row r="26822">
      <c r="B26822" s="31"/>
      <c r="G26822" s="272" t="s">
        <v>1099</v>
      </c>
    </row>
    <row r="26823">
      <c r="B26823" s="31"/>
      <c r="G26823" s="272" t="s">
        <v>1099</v>
      </c>
    </row>
    <row r="26824">
      <c r="B26824" s="31"/>
      <c r="G26824" s="272" t="s">
        <v>1099</v>
      </c>
    </row>
    <row r="26825">
      <c r="B26825" s="31"/>
      <c r="G26825" s="272" t="s">
        <v>1099</v>
      </c>
    </row>
    <row r="26826">
      <c r="B26826" s="31"/>
      <c r="G26826" s="272" t="s">
        <v>1099</v>
      </c>
    </row>
    <row r="26827">
      <c r="B26827" s="31"/>
      <c r="G26827" s="272" t="s">
        <v>1099</v>
      </c>
    </row>
    <row r="26828">
      <c r="B26828" s="31"/>
      <c r="G26828" s="272" t="s">
        <v>1099</v>
      </c>
    </row>
    <row r="26829">
      <c r="B26829" s="31"/>
      <c r="G26829" s="272" t="s">
        <v>1099</v>
      </c>
    </row>
    <row r="26830">
      <c r="B26830" s="31"/>
      <c r="G26830" s="272" t="s">
        <v>1099</v>
      </c>
    </row>
    <row r="26831">
      <c r="B26831" s="31"/>
      <c r="G26831" s="272" t="s">
        <v>1099</v>
      </c>
    </row>
    <row r="26832">
      <c r="B26832" s="31"/>
      <c r="G26832" s="272" t="s">
        <v>1099</v>
      </c>
    </row>
    <row r="26833">
      <c r="B26833" s="31"/>
      <c r="G26833" s="272" t="s">
        <v>1099</v>
      </c>
    </row>
    <row r="26834">
      <c r="B26834" s="31"/>
      <c r="G26834" s="272" t="s">
        <v>1099</v>
      </c>
    </row>
    <row r="26835">
      <c r="B26835" s="31"/>
      <c r="G26835" s="272" t="s">
        <v>1099</v>
      </c>
    </row>
    <row r="26836">
      <c r="B26836" s="31"/>
      <c r="G26836" s="272" t="s">
        <v>1099</v>
      </c>
    </row>
    <row r="26837">
      <c r="B26837" s="31"/>
      <c r="G26837" s="272" t="s">
        <v>1099</v>
      </c>
    </row>
    <row r="26838">
      <c r="B26838" s="31"/>
      <c r="G26838" s="272" t="s">
        <v>1099</v>
      </c>
    </row>
    <row r="26839">
      <c r="B26839" s="31"/>
      <c r="G26839" s="272" t="s">
        <v>1099</v>
      </c>
    </row>
    <row r="26840">
      <c r="B26840" s="31"/>
      <c r="G26840" s="272" t="s">
        <v>1099</v>
      </c>
    </row>
    <row r="26841">
      <c r="B26841" s="31"/>
      <c r="G26841" s="272" t="s">
        <v>1099</v>
      </c>
    </row>
    <row r="26842">
      <c r="B26842" s="31"/>
      <c r="G26842" s="272" t="s">
        <v>1099</v>
      </c>
    </row>
    <row r="26843">
      <c r="B26843" s="31"/>
      <c r="G26843" s="272" t="s">
        <v>1099</v>
      </c>
    </row>
    <row r="26844">
      <c r="B26844" s="31"/>
      <c r="G26844" s="272" t="s">
        <v>1099</v>
      </c>
    </row>
    <row r="26845">
      <c r="B26845" s="31"/>
      <c r="G26845" s="272" t="s">
        <v>1099</v>
      </c>
    </row>
    <row r="26846">
      <c r="B26846" s="31"/>
      <c r="G26846" s="272" t="s">
        <v>1099</v>
      </c>
    </row>
    <row r="26847">
      <c r="B26847" s="31"/>
      <c r="G26847" s="272" t="s">
        <v>1099</v>
      </c>
    </row>
    <row r="26848">
      <c r="B26848" s="31"/>
      <c r="G26848" s="272" t="s">
        <v>1099</v>
      </c>
    </row>
    <row r="26849">
      <c r="B26849" s="31"/>
      <c r="G26849" s="272" t="s">
        <v>1099</v>
      </c>
    </row>
    <row r="26850">
      <c r="B26850" s="31"/>
      <c r="G26850" s="272" t="s">
        <v>1099</v>
      </c>
    </row>
    <row r="26851">
      <c r="B26851" s="31"/>
      <c r="G26851" s="272" t="s">
        <v>1099</v>
      </c>
    </row>
    <row r="26852">
      <c r="B26852" s="31"/>
      <c r="G26852" s="272" t="s">
        <v>1099</v>
      </c>
    </row>
    <row r="26853">
      <c r="B26853" s="31"/>
      <c r="G26853" s="272" t="s">
        <v>1099</v>
      </c>
    </row>
    <row r="26854">
      <c r="B26854" s="31"/>
      <c r="G26854" s="272" t="s">
        <v>1099</v>
      </c>
    </row>
    <row r="26855">
      <c r="B26855" s="31"/>
      <c r="G26855" s="272" t="s">
        <v>1099</v>
      </c>
    </row>
    <row r="26856">
      <c r="B26856" s="31"/>
      <c r="G26856" s="272" t="s">
        <v>1099</v>
      </c>
    </row>
    <row r="26857">
      <c r="B26857" s="31"/>
      <c r="G26857" s="272" t="s">
        <v>1099</v>
      </c>
    </row>
    <row r="26858">
      <c r="B26858" s="31"/>
      <c r="G26858" s="272" t="s">
        <v>1099</v>
      </c>
    </row>
    <row r="26859">
      <c r="B26859" s="31"/>
      <c r="G26859" s="272" t="s">
        <v>1099</v>
      </c>
    </row>
    <row r="26860">
      <c r="B26860" s="31"/>
      <c r="G26860" s="272" t="s">
        <v>1099</v>
      </c>
    </row>
    <row r="26861">
      <c r="B26861" s="31"/>
      <c r="G26861" s="272" t="s">
        <v>1099</v>
      </c>
    </row>
    <row r="26862">
      <c r="B26862" s="31"/>
      <c r="G26862" s="272" t="s">
        <v>1099</v>
      </c>
    </row>
    <row r="26863">
      <c r="B26863" s="31"/>
      <c r="G26863" s="272" t="s">
        <v>1099</v>
      </c>
    </row>
    <row r="26864">
      <c r="B26864" s="31"/>
      <c r="G26864" s="272" t="s">
        <v>1099</v>
      </c>
    </row>
    <row r="26865">
      <c r="B26865" s="31"/>
      <c r="G26865" s="272" t="s">
        <v>1099</v>
      </c>
    </row>
    <row r="26866">
      <c r="B26866" s="31"/>
      <c r="G26866" s="272" t="s">
        <v>1099</v>
      </c>
    </row>
    <row r="26867">
      <c r="B26867" s="31"/>
      <c r="G26867" s="272" t="s">
        <v>1099</v>
      </c>
    </row>
    <row r="26868">
      <c r="B26868" s="31"/>
      <c r="G26868" s="272" t="s">
        <v>1099</v>
      </c>
    </row>
    <row r="26869">
      <c r="B26869" s="31"/>
      <c r="G26869" s="272" t="s">
        <v>1099</v>
      </c>
    </row>
    <row r="26870">
      <c r="B26870" s="31"/>
      <c r="G26870" s="272" t="s">
        <v>1099</v>
      </c>
    </row>
    <row r="26871">
      <c r="B26871" s="31"/>
      <c r="G26871" s="272" t="s">
        <v>1099</v>
      </c>
    </row>
    <row r="26872">
      <c r="B26872" s="31"/>
      <c r="G26872" s="272" t="s">
        <v>1099</v>
      </c>
    </row>
    <row r="26873">
      <c r="B26873" s="31"/>
      <c r="G26873" s="272" t="s">
        <v>1099</v>
      </c>
    </row>
    <row r="26874">
      <c r="B26874" s="31"/>
      <c r="G26874" s="272" t="s">
        <v>1099</v>
      </c>
    </row>
    <row r="26875">
      <c r="B26875" s="31"/>
      <c r="G26875" s="272" t="s">
        <v>1099</v>
      </c>
    </row>
    <row r="26876">
      <c r="B26876" s="31"/>
      <c r="G26876" s="272" t="s">
        <v>1099</v>
      </c>
    </row>
    <row r="26877">
      <c r="B26877" s="31"/>
      <c r="G26877" s="272" t="s">
        <v>1099</v>
      </c>
    </row>
    <row r="26878">
      <c r="B26878" s="31"/>
      <c r="G26878" s="272" t="s">
        <v>1099</v>
      </c>
    </row>
    <row r="26879">
      <c r="B26879" s="31"/>
      <c r="G26879" s="272" t="s">
        <v>1099</v>
      </c>
    </row>
    <row r="26880">
      <c r="B26880" s="31"/>
      <c r="G26880" s="272" t="s">
        <v>1099</v>
      </c>
    </row>
    <row r="26881">
      <c r="B26881" s="31"/>
      <c r="G26881" s="272" t="s">
        <v>1099</v>
      </c>
    </row>
    <row r="26882">
      <c r="B26882" s="31"/>
      <c r="G26882" s="272" t="s">
        <v>1099</v>
      </c>
    </row>
    <row r="26883">
      <c r="B26883" s="31"/>
      <c r="G26883" s="272" t="s">
        <v>1099</v>
      </c>
    </row>
    <row r="26884">
      <c r="B26884" s="31"/>
      <c r="G26884" s="272" t="s">
        <v>1099</v>
      </c>
    </row>
    <row r="26885">
      <c r="B26885" s="31"/>
      <c r="G26885" s="272" t="s">
        <v>1099</v>
      </c>
    </row>
    <row r="26886">
      <c r="B26886" s="31"/>
      <c r="G26886" s="272" t="s">
        <v>1099</v>
      </c>
    </row>
    <row r="26887">
      <c r="B26887" s="31"/>
      <c r="G26887" s="272" t="s">
        <v>1099</v>
      </c>
    </row>
    <row r="26888">
      <c r="B26888" s="31"/>
      <c r="G26888" s="272" t="s">
        <v>1099</v>
      </c>
    </row>
    <row r="26889">
      <c r="B26889" s="31"/>
      <c r="G26889" s="272" t="s">
        <v>1099</v>
      </c>
    </row>
    <row r="26890">
      <c r="B26890" s="31"/>
      <c r="G26890" s="272" t="s">
        <v>1099</v>
      </c>
    </row>
    <row r="26891">
      <c r="B26891" s="31"/>
      <c r="G26891" s="272" t="s">
        <v>1099</v>
      </c>
    </row>
    <row r="26892">
      <c r="B26892" s="31"/>
      <c r="G26892" s="272" t="s">
        <v>1099</v>
      </c>
    </row>
    <row r="26893">
      <c r="B26893" s="31"/>
      <c r="G26893" s="272" t="s">
        <v>1099</v>
      </c>
    </row>
    <row r="26894">
      <c r="B26894" s="31"/>
      <c r="G26894" s="272" t="s">
        <v>1099</v>
      </c>
    </row>
    <row r="26895">
      <c r="B26895" s="31"/>
      <c r="G26895" s="272" t="s">
        <v>1099</v>
      </c>
    </row>
    <row r="26896">
      <c r="B26896" s="31"/>
      <c r="G26896" s="272" t="s">
        <v>1099</v>
      </c>
    </row>
    <row r="26897">
      <c r="B26897" s="31"/>
      <c r="G26897" s="272" t="s">
        <v>1099</v>
      </c>
    </row>
    <row r="26898">
      <c r="B26898" s="31"/>
      <c r="G26898" s="272" t="s">
        <v>1099</v>
      </c>
    </row>
    <row r="26899">
      <c r="B26899" s="31"/>
      <c r="G26899" s="272" t="s">
        <v>1099</v>
      </c>
    </row>
    <row r="26900">
      <c r="B26900" s="31"/>
      <c r="G26900" s="272" t="s">
        <v>1099</v>
      </c>
    </row>
    <row r="26901">
      <c r="B26901" s="31"/>
      <c r="G26901" s="272" t="s">
        <v>1099</v>
      </c>
    </row>
    <row r="26902">
      <c r="B26902" s="31"/>
      <c r="G26902" s="272" t="s">
        <v>1099</v>
      </c>
    </row>
    <row r="26903">
      <c r="B26903" s="31"/>
      <c r="G26903" s="272" t="s">
        <v>1099</v>
      </c>
    </row>
    <row r="26904">
      <c r="B26904" s="31"/>
      <c r="G26904" s="272" t="s">
        <v>1099</v>
      </c>
    </row>
    <row r="26905">
      <c r="B26905" s="31"/>
      <c r="G26905" s="272" t="s">
        <v>1099</v>
      </c>
    </row>
    <row r="26906">
      <c r="B26906" s="31"/>
      <c r="G26906" s="272" t="s">
        <v>1099</v>
      </c>
    </row>
    <row r="26907">
      <c r="B26907" s="31"/>
      <c r="G26907" s="272" t="s">
        <v>1099</v>
      </c>
    </row>
    <row r="26908">
      <c r="B26908" s="31"/>
      <c r="G26908" s="272" t="s">
        <v>1099</v>
      </c>
    </row>
    <row r="26909">
      <c r="B26909" s="31"/>
      <c r="G26909" s="272" t="s">
        <v>1099</v>
      </c>
    </row>
    <row r="26910">
      <c r="B26910" s="31"/>
      <c r="G26910" s="272" t="s">
        <v>1099</v>
      </c>
    </row>
    <row r="26911">
      <c r="B26911" s="31"/>
      <c r="G26911" s="272" t="s">
        <v>1099</v>
      </c>
    </row>
    <row r="26912">
      <c r="B26912" s="31"/>
      <c r="G26912" s="272" t="s">
        <v>1099</v>
      </c>
    </row>
    <row r="26913">
      <c r="B26913" s="31"/>
      <c r="G26913" s="272" t="s">
        <v>1099</v>
      </c>
    </row>
    <row r="26914">
      <c r="B26914" s="31"/>
      <c r="G26914" s="272" t="s">
        <v>1099</v>
      </c>
    </row>
    <row r="26915">
      <c r="B26915" s="31"/>
      <c r="G26915" s="272" t="s">
        <v>1099</v>
      </c>
    </row>
    <row r="26916">
      <c r="B26916" s="31"/>
      <c r="G26916" s="272" t="s">
        <v>1099</v>
      </c>
    </row>
    <row r="26917">
      <c r="B26917" s="31"/>
      <c r="G26917" s="272" t="s">
        <v>1099</v>
      </c>
    </row>
    <row r="26918">
      <c r="B26918" s="31"/>
      <c r="G26918" s="272" t="s">
        <v>1099</v>
      </c>
    </row>
    <row r="26919">
      <c r="B26919" s="31"/>
      <c r="G26919" s="272" t="s">
        <v>1099</v>
      </c>
    </row>
    <row r="26920">
      <c r="B26920" s="31"/>
      <c r="G26920" s="272" t="s">
        <v>1099</v>
      </c>
    </row>
    <row r="26921">
      <c r="B26921" s="31"/>
      <c r="G26921" s="272" t="s">
        <v>1099</v>
      </c>
    </row>
    <row r="26922">
      <c r="B26922" s="31"/>
      <c r="G26922" s="272" t="s">
        <v>1099</v>
      </c>
    </row>
    <row r="26923">
      <c r="B26923" s="31"/>
      <c r="G26923" s="272" t="s">
        <v>1099</v>
      </c>
    </row>
    <row r="26924">
      <c r="B26924" s="31"/>
      <c r="G26924" s="272" t="s">
        <v>1099</v>
      </c>
    </row>
    <row r="26925">
      <c r="B26925" s="31"/>
      <c r="G26925" s="272" t="s">
        <v>1099</v>
      </c>
    </row>
    <row r="26926">
      <c r="B26926" s="31"/>
      <c r="G26926" s="272" t="s">
        <v>1099</v>
      </c>
    </row>
    <row r="26927">
      <c r="B26927" s="31"/>
      <c r="G26927" s="272" t="s">
        <v>1099</v>
      </c>
    </row>
    <row r="26928">
      <c r="B26928" s="31"/>
      <c r="G26928" s="272" t="s">
        <v>1099</v>
      </c>
    </row>
    <row r="26929">
      <c r="B26929" s="31"/>
      <c r="G26929" s="272" t="s">
        <v>1099</v>
      </c>
    </row>
    <row r="26930">
      <c r="B26930" s="31"/>
      <c r="G26930" s="272" t="s">
        <v>1099</v>
      </c>
    </row>
    <row r="26931">
      <c r="B26931" s="31"/>
      <c r="G26931" s="272" t="s">
        <v>1099</v>
      </c>
    </row>
    <row r="26932">
      <c r="B26932" s="31"/>
      <c r="G26932" s="272" t="s">
        <v>1099</v>
      </c>
    </row>
    <row r="26933">
      <c r="B26933" s="31"/>
      <c r="G26933" s="272" t="s">
        <v>1099</v>
      </c>
    </row>
    <row r="26934">
      <c r="B26934" s="31"/>
      <c r="G26934" s="272" t="s">
        <v>1099</v>
      </c>
    </row>
    <row r="26935">
      <c r="B26935" s="31"/>
      <c r="G26935" s="272" t="s">
        <v>1099</v>
      </c>
    </row>
    <row r="26936">
      <c r="B26936" s="31"/>
      <c r="G26936" s="272" t="s">
        <v>1099</v>
      </c>
    </row>
    <row r="26937">
      <c r="B26937" s="31"/>
      <c r="G26937" s="272" t="s">
        <v>1099</v>
      </c>
    </row>
    <row r="26938">
      <c r="B26938" s="31"/>
      <c r="G26938" s="272" t="s">
        <v>1099</v>
      </c>
    </row>
    <row r="26939">
      <c r="B26939" s="31"/>
      <c r="G26939" s="272" t="s">
        <v>1099</v>
      </c>
    </row>
    <row r="26940">
      <c r="B26940" s="31"/>
      <c r="G26940" s="272" t="s">
        <v>1099</v>
      </c>
    </row>
    <row r="26941">
      <c r="B26941" s="31"/>
      <c r="G26941" s="272" t="s">
        <v>1099</v>
      </c>
    </row>
    <row r="26942">
      <c r="B26942" s="31"/>
      <c r="G26942" s="272" t="s">
        <v>1099</v>
      </c>
    </row>
    <row r="26943">
      <c r="B26943" s="31"/>
      <c r="G26943" s="272" t="s">
        <v>1099</v>
      </c>
    </row>
    <row r="26944">
      <c r="B26944" s="31"/>
      <c r="G26944" s="272" t="s">
        <v>1099</v>
      </c>
    </row>
    <row r="26945">
      <c r="B26945" s="31"/>
      <c r="G26945" s="272" t="s">
        <v>1099</v>
      </c>
    </row>
    <row r="26946">
      <c r="B26946" s="31"/>
      <c r="G26946" s="272" t="s">
        <v>1099</v>
      </c>
    </row>
    <row r="26947">
      <c r="B26947" s="31"/>
      <c r="G26947" s="272" t="s">
        <v>1099</v>
      </c>
    </row>
    <row r="26948">
      <c r="B26948" s="31"/>
      <c r="G26948" s="272" t="s">
        <v>1099</v>
      </c>
    </row>
    <row r="26949">
      <c r="B26949" s="31"/>
      <c r="G26949" s="272" t="s">
        <v>1099</v>
      </c>
    </row>
    <row r="26950">
      <c r="B26950" s="31"/>
      <c r="G26950" s="272" t="s">
        <v>1099</v>
      </c>
    </row>
    <row r="26951">
      <c r="B26951" s="31"/>
      <c r="G26951" s="272" t="s">
        <v>1099</v>
      </c>
    </row>
    <row r="26952">
      <c r="B26952" s="31"/>
      <c r="G26952" s="272" t="s">
        <v>1099</v>
      </c>
    </row>
    <row r="26953">
      <c r="B26953" s="31"/>
      <c r="G26953" s="272" t="s">
        <v>1099</v>
      </c>
    </row>
    <row r="26954">
      <c r="B26954" s="31"/>
      <c r="G26954" s="272" t="s">
        <v>1099</v>
      </c>
    </row>
    <row r="26955">
      <c r="B26955" s="31"/>
      <c r="G26955" s="272" t="s">
        <v>1099</v>
      </c>
    </row>
    <row r="26956">
      <c r="B26956" s="31"/>
      <c r="G26956" s="272" t="s">
        <v>1099</v>
      </c>
    </row>
    <row r="26957">
      <c r="B26957" s="31"/>
      <c r="G26957" s="272" t="s">
        <v>1099</v>
      </c>
    </row>
    <row r="26958">
      <c r="B26958" s="31"/>
      <c r="G26958" s="272" t="s">
        <v>1099</v>
      </c>
    </row>
    <row r="26959">
      <c r="B26959" s="31"/>
      <c r="G26959" s="272" t="s">
        <v>1099</v>
      </c>
    </row>
    <row r="26960">
      <c r="B26960" s="31"/>
      <c r="G26960" s="272" t="s">
        <v>1099</v>
      </c>
    </row>
    <row r="26961">
      <c r="B26961" s="31"/>
      <c r="G26961" s="272" t="s">
        <v>1099</v>
      </c>
    </row>
    <row r="26962">
      <c r="B26962" s="31"/>
      <c r="G26962" s="272" t="s">
        <v>1099</v>
      </c>
    </row>
    <row r="26963">
      <c r="B26963" s="31"/>
      <c r="G26963" s="272" t="s">
        <v>1099</v>
      </c>
    </row>
    <row r="26964">
      <c r="B26964" s="31"/>
      <c r="G26964" s="272" t="s">
        <v>1099</v>
      </c>
    </row>
    <row r="26965">
      <c r="B26965" s="31"/>
      <c r="G26965" s="272" t="s">
        <v>1099</v>
      </c>
    </row>
    <row r="26966">
      <c r="B26966" s="31"/>
      <c r="G26966" s="272" t="s">
        <v>1099</v>
      </c>
    </row>
    <row r="26967">
      <c r="B26967" s="31"/>
      <c r="G26967" s="272" t="s">
        <v>1099</v>
      </c>
    </row>
    <row r="26968">
      <c r="B26968" s="31"/>
      <c r="G26968" s="272" t="s">
        <v>1099</v>
      </c>
    </row>
    <row r="26969">
      <c r="B26969" s="31"/>
      <c r="G26969" s="272" t="s">
        <v>1099</v>
      </c>
    </row>
    <row r="26970">
      <c r="B26970" s="31"/>
      <c r="G26970" s="272" t="s">
        <v>1099</v>
      </c>
    </row>
    <row r="26971">
      <c r="B26971" s="31"/>
      <c r="G26971" s="272" t="s">
        <v>1099</v>
      </c>
    </row>
    <row r="26972">
      <c r="B26972" s="31"/>
      <c r="G26972" s="272" t="s">
        <v>1099</v>
      </c>
    </row>
    <row r="26973">
      <c r="B26973" s="31"/>
      <c r="G26973" s="272" t="s">
        <v>1099</v>
      </c>
    </row>
    <row r="26974">
      <c r="B26974" s="31"/>
      <c r="G26974" s="272" t="s">
        <v>1099</v>
      </c>
    </row>
    <row r="26975">
      <c r="B26975" s="31"/>
      <c r="G26975" s="272" t="s">
        <v>1099</v>
      </c>
    </row>
    <row r="26976">
      <c r="B26976" s="31"/>
      <c r="G26976" s="272" t="s">
        <v>1099</v>
      </c>
    </row>
    <row r="26977">
      <c r="B26977" s="31"/>
      <c r="G26977" s="272" t="s">
        <v>1099</v>
      </c>
    </row>
    <row r="26978">
      <c r="B26978" s="31"/>
      <c r="G26978" s="272" t="s">
        <v>1099</v>
      </c>
    </row>
    <row r="26979">
      <c r="B26979" s="31"/>
      <c r="G26979" s="272" t="s">
        <v>1099</v>
      </c>
    </row>
    <row r="26980">
      <c r="B26980" s="31"/>
      <c r="G26980" s="272" t="s">
        <v>1099</v>
      </c>
    </row>
    <row r="26981">
      <c r="B26981" s="31"/>
      <c r="G26981" s="272" t="s">
        <v>1099</v>
      </c>
    </row>
    <row r="26982">
      <c r="B26982" s="31"/>
      <c r="G26982" s="272" t="s">
        <v>1099</v>
      </c>
    </row>
    <row r="26983">
      <c r="B26983" s="31"/>
      <c r="G26983" s="272" t="s">
        <v>1099</v>
      </c>
    </row>
    <row r="26984">
      <c r="B26984" s="31"/>
      <c r="G26984" s="272" t="s">
        <v>1099</v>
      </c>
    </row>
    <row r="26985">
      <c r="B26985" s="31"/>
      <c r="G26985" s="272" t="s">
        <v>1099</v>
      </c>
    </row>
    <row r="26986">
      <c r="B26986" s="31"/>
      <c r="G26986" s="272" t="s">
        <v>1099</v>
      </c>
    </row>
    <row r="26987">
      <c r="B26987" s="31"/>
      <c r="G26987" s="272" t="s">
        <v>1099</v>
      </c>
    </row>
    <row r="26988">
      <c r="B26988" s="31"/>
      <c r="G26988" s="272" t="s">
        <v>1099</v>
      </c>
    </row>
    <row r="26989">
      <c r="B26989" s="31"/>
      <c r="G26989" s="272" t="s">
        <v>1099</v>
      </c>
    </row>
    <row r="26990">
      <c r="B26990" s="31"/>
      <c r="G26990" s="272" t="s">
        <v>1099</v>
      </c>
    </row>
    <row r="26991">
      <c r="B26991" s="31"/>
      <c r="G26991" s="272" t="s">
        <v>1099</v>
      </c>
    </row>
    <row r="26992">
      <c r="B26992" s="31"/>
      <c r="G26992" s="272" t="s">
        <v>1099</v>
      </c>
    </row>
    <row r="26993">
      <c r="B26993" s="31"/>
      <c r="G26993" s="272" t="s">
        <v>1099</v>
      </c>
    </row>
    <row r="26994">
      <c r="B26994" s="31"/>
      <c r="G26994" s="272" t="s">
        <v>1099</v>
      </c>
    </row>
    <row r="26995">
      <c r="B26995" s="31"/>
      <c r="G26995" s="272" t="s">
        <v>1099</v>
      </c>
    </row>
    <row r="26996">
      <c r="B26996" s="31"/>
      <c r="G26996" s="272" t="s">
        <v>1099</v>
      </c>
    </row>
    <row r="26997">
      <c r="B26997" s="31"/>
      <c r="G26997" s="272" t="s">
        <v>1099</v>
      </c>
    </row>
    <row r="26998">
      <c r="B26998" s="31"/>
      <c r="G26998" s="272" t="s">
        <v>1099</v>
      </c>
    </row>
    <row r="26999">
      <c r="B26999" s="31"/>
      <c r="G26999" s="272" t="s">
        <v>1099</v>
      </c>
    </row>
    <row r="27000">
      <c r="B27000" s="31"/>
      <c r="G27000" s="272" t="s">
        <v>1099</v>
      </c>
    </row>
    <row r="27001">
      <c r="B27001" s="31"/>
      <c r="G27001" s="272" t="s">
        <v>1099</v>
      </c>
    </row>
    <row r="27002">
      <c r="B27002" s="31"/>
      <c r="G27002" s="272" t="s">
        <v>1099</v>
      </c>
    </row>
    <row r="27003">
      <c r="B27003" s="31"/>
      <c r="G27003" s="272" t="s">
        <v>1099</v>
      </c>
    </row>
    <row r="27004">
      <c r="B27004" s="31"/>
      <c r="G27004" s="272" t="s">
        <v>1099</v>
      </c>
    </row>
    <row r="27005">
      <c r="B27005" s="31"/>
      <c r="G27005" s="272" t="s">
        <v>1099</v>
      </c>
    </row>
    <row r="27006">
      <c r="B27006" s="31"/>
      <c r="G27006" s="272" t="s">
        <v>1099</v>
      </c>
    </row>
    <row r="27007">
      <c r="B27007" s="31"/>
      <c r="G27007" s="272" t="s">
        <v>1099</v>
      </c>
    </row>
    <row r="27008">
      <c r="B27008" s="31"/>
      <c r="G27008" s="272" t="s">
        <v>1099</v>
      </c>
    </row>
    <row r="27009">
      <c r="B27009" s="31"/>
      <c r="G27009" s="272" t="s">
        <v>1099</v>
      </c>
    </row>
    <row r="27010">
      <c r="B27010" s="31"/>
      <c r="G27010" s="272" t="s">
        <v>1099</v>
      </c>
    </row>
    <row r="27011">
      <c r="B27011" s="31"/>
      <c r="G27011" s="272" t="s">
        <v>1099</v>
      </c>
    </row>
    <row r="27012">
      <c r="B27012" s="31"/>
      <c r="G27012" s="272" t="s">
        <v>1099</v>
      </c>
    </row>
    <row r="27013">
      <c r="B27013" s="31"/>
      <c r="G27013" s="272" t="s">
        <v>1099</v>
      </c>
    </row>
    <row r="27014">
      <c r="B27014" s="31"/>
      <c r="G27014" s="272" t="s">
        <v>1099</v>
      </c>
    </row>
    <row r="27015">
      <c r="B27015" s="31"/>
      <c r="G27015" s="272" t="s">
        <v>1099</v>
      </c>
    </row>
    <row r="27016">
      <c r="B27016" s="31"/>
      <c r="G27016" s="272" t="s">
        <v>1099</v>
      </c>
    </row>
    <row r="27017">
      <c r="B27017" s="31"/>
      <c r="G27017" s="272" t="s">
        <v>1099</v>
      </c>
    </row>
    <row r="27018">
      <c r="B27018" s="31"/>
      <c r="G27018" s="272" t="s">
        <v>1099</v>
      </c>
    </row>
    <row r="27019">
      <c r="B27019" s="31"/>
      <c r="G27019" s="272" t="s">
        <v>1099</v>
      </c>
    </row>
    <row r="27020">
      <c r="B27020" s="31"/>
      <c r="G27020" s="272" t="s">
        <v>1099</v>
      </c>
    </row>
    <row r="27021">
      <c r="B27021" s="31"/>
      <c r="G27021" s="272" t="s">
        <v>1099</v>
      </c>
    </row>
    <row r="27022">
      <c r="B27022" s="31"/>
      <c r="G27022" s="272" t="s">
        <v>1099</v>
      </c>
    </row>
    <row r="27023">
      <c r="B27023" s="31"/>
      <c r="G27023" s="272" t="s">
        <v>1099</v>
      </c>
    </row>
    <row r="27024">
      <c r="B27024" s="31"/>
      <c r="G27024" s="272" t="s">
        <v>1099</v>
      </c>
    </row>
    <row r="27025">
      <c r="B27025" s="31"/>
      <c r="G27025" s="272" t="s">
        <v>1099</v>
      </c>
    </row>
    <row r="27026">
      <c r="B27026" s="31"/>
      <c r="G27026" s="272" t="s">
        <v>1099</v>
      </c>
    </row>
    <row r="27027">
      <c r="B27027" s="31"/>
      <c r="G27027" s="272" t="s">
        <v>1099</v>
      </c>
    </row>
    <row r="27028">
      <c r="B27028" s="31"/>
      <c r="G27028" s="272" t="s">
        <v>1099</v>
      </c>
    </row>
    <row r="27029">
      <c r="B27029" s="31"/>
      <c r="G27029" s="272" t="s">
        <v>1099</v>
      </c>
    </row>
    <row r="27030">
      <c r="B27030" s="31"/>
      <c r="G27030" s="272" t="s">
        <v>1099</v>
      </c>
    </row>
    <row r="27031">
      <c r="B27031" s="31"/>
      <c r="G27031" s="272" t="s">
        <v>1099</v>
      </c>
    </row>
    <row r="27032">
      <c r="B27032" s="31"/>
      <c r="G27032" s="272" t="s">
        <v>1099</v>
      </c>
    </row>
    <row r="27033">
      <c r="B27033" s="31"/>
      <c r="G27033" s="272" t="s">
        <v>1099</v>
      </c>
    </row>
    <row r="27034">
      <c r="B27034" s="31"/>
      <c r="G27034" s="272" t="s">
        <v>1099</v>
      </c>
    </row>
    <row r="27035">
      <c r="B27035" s="31"/>
      <c r="G27035" s="272" t="s">
        <v>1099</v>
      </c>
    </row>
    <row r="27036">
      <c r="B27036" s="31"/>
      <c r="G27036" s="272" t="s">
        <v>1099</v>
      </c>
    </row>
    <row r="27037">
      <c r="B27037" s="31"/>
      <c r="G27037" s="272" t="s">
        <v>1099</v>
      </c>
    </row>
    <row r="27038">
      <c r="B27038" s="31"/>
      <c r="G27038" s="272" t="s">
        <v>1099</v>
      </c>
    </row>
    <row r="27039">
      <c r="B27039" s="31"/>
      <c r="G27039" s="272" t="s">
        <v>1099</v>
      </c>
    </row>
    <row r="27040">
      <c r="B27040" s="31"/>
      <c r="G27040" s="272" t="s">
        <v>1099</v>
      </c>
    </row>
    <row r="27041">
      <c r="B27041" s="31"/>
      <c r="G27041" s="272" t="s">
        <v>1099</v>
      </c>
    </row>
    <row r="27042">
      <c r="B27042" s="31"/>
      <c r="G27042" s="272" t="s">
        <v>1099</v>
      </c>
    </row>
    <row r="27043">
      <c r="B27043" s="31"/>
      <c r="G27043" s="272" t="s">
        <v>1099</v>
      </c>
    </row>
    <row r="27044">
      <c r="B27044" s="31"/>
      <c r="G27044" s="272" t="s">
        <v>1099</v>
      </c>
    </row>
    <row r="27045">
      <c r="B27045" s="31"/>
      <c r="G27045" s="272" t="s">
        <v>1099</v>
      </c>
    </row>
    <row r="27046">
      <c r="B27046" s="31"/>
      <c r="G27046" s="272" t="s">
        <v>1099</v>
      </c>
    </row>
    <row r="27047">
      <c r="B27047" s="31"/>
      <c r="G27047" s="272" t="s">
        <v>1099</v>
      </c>
    </row>
    <row r="27048">
      <c r="B27048" s="31"/>
      <c r="G27048" s="272" t="s">
        <v>1099</v>
      </c>
    </row>
    <row r="27049">
      <c r="B27049" s="31"/>
      <c r="G27049" s="272" t="s">
        <v>1099</v>
      </c>
    </row>
    <row r="27050">
      <c r="B27050" s="31"/>
      <c r="G27050" s="272" t="s">
        <v>1099</v>
      </c>
    </row>
    <row r="27051">
      <c r="B27051" s="31"/>
      <c r="G27051" s="272" t="s">
        <v>1099</v>
      </c>
    </row>
    <row r="27052">
      <c r="B27052" s="31"/>
      <c r="G27052" s="272" t="s">
        <v>1099</v>
      </c>
    </row>
    <row r="27053">
      <c r="B27053" s="31"/>
      <c r="G27053" s="272" t="s">
        <v>1099</v>
      </c>
    </row>
    <row r="27054">
      <c r="B27054" s="31"/>
      <c r="G27054" s="272" t="s">
        <v>1099</v>
      </c>
    </row>
    <row r="27055">
      <c r="B27055" s="31"/>
      <c r="G27055" s="272" t="s">
        <v>1099</v>
      </c>
    </row>
    <row r="27056">
      <c r="B27056" s="31"/>
      <c r="G27056" s="272" t="s">
        <v>1099</v>
      </c>
    </row>
    <row r="27057">
      <c r="B27057" s="31"/>
      <c r="G27057" s="272" t="s">
        <v>1099</v>
      </c>
    </row>
    <row r="27058">
      <c r="B27058" s="31"/>
      <c r="G27058" s="272" t="s">
        <v>1099</v>
      </c>
    </row>
    <row r="27059">
      <c r="B27059" s="31"/>
      <c r="G27059" s="272" t="s">
        <v>1099</v>
      </c>
    </row>
    <row r="27060">
      <c r="B27060" s="31"/>
      <c r="G27060" s="272" t="s">
        <v>1099</v>
      </c>
    </row>
    <row r="27061">
      <c r="B27061" s="31"/>
      <c r="G27061" s="272" t="s">
        <v>1099</v>
      </c>
    </row>
    <row r="27062">
      <c r="B27062" s="31"/>
      <c r="G27062" s="272" t="s">
        <v>1099</v>
      </c>
    </row>
    <row r="27063">
      <c r="B27063" s="31"/>
      <c r="G27063" s="272" t="s">
        <v>1099</v>
      </c>
    </row>
    <row r="27064">
      <c r="B27064" s="31"/>
      <c r="G27064" s="272" t="s">
        <v>1099</v>
      </c>
    </row>
    <row r="27065">
      <c r="B27065" s="31"/>
      <c r="G27065" s="272" t="s">
        <v>1099</v>
      </c>
    </row>
    <row r="27066">
      <c r="B27066" s="31"/>
      <c r="G27066" s="272" t="s">
        <v>1099</v>
      </c>
    </row>
    <row r="27067">
      <c r="B27067" s="31"/>
      <c r="G27067" s="272" t="s">
        <v>1099</v>
      </c>
    </row>
    <row r="27068">
      <c r="B27068" s="31"/>
      <c r="G27068" s="272" t="s">
        <v>1099</v>
      </c>
    </row>
    <row r="27069">
      <c r="B27069" s="31"/>
      <c r="G27069" s="272" t="s">
        <v>1099</v>
      </c>
    </row>
    <row r="27070">
      <c r="B27070" s="31"/>
      <c r="G27070" s="272" t="s">
        <v>1099</v>
      </c>
    </row>
    <row r="27071">
      <c r="B27071" s="31"/>
      <c r="G27071" s="272" t="s">
        <v>1099</v>
      </c>
    </row>
    <row r="27072">
      <c r="B27072" s="31"/>
      <c r="G27072" s="272" t="s">
        <v>1099</v>
      </c>
    </row>
    <row r="27073">
      <c r="B27073" s="31"/>
      <c r="G27073" s="272" t="s">
        <v>1099</v>
      </c>
    </row>
    <row r="27074">
      <c r="B27074" s="31"/>
      <c r="G27074" s="272" t="s">
        <v>1099</v>
      </c>
    </row>
    <row r="27075">
      <c r="B27075" s="31"/>
      <c r="G27075" s="272" t="s">
        <v>1099</v>
      </c>
    </row>
    <row r="27076">
      <c r="B27076" s="31"/>
      <c r="G27076" s="272" t="s">
        <v>1099</v>
      </c>
    </row>
    <row r="27077">
      <c r="B27077" s="31"/>
      <c r="G27077" s="272" t="s">
        <v>1099</v>
      </c>
    </row>
    <row r="27078">
      <c r="B27078" s="31"/>
      <c r="G27078" s="272" t="s">
        <v>1099</v>
      </c>
    </row>
    <row r="27079">
      <c r="B27079" s="31"/>
      <c r="G27079" s="272" t="s">
        <v>1099</v>
      </c>
    </row>
    <row r="27080">
      <c r="B27080" s="31"/>
      <c r="G27080" s="272" t="s">
        <v>1099</v>
      </c>
    </row>
    <row r="27081">
      <c r="B27081" s="31"/>
      <c r="G27081" s="272" t="s">
        <v>1099</v>
      </c>
    </row>
    <row r="27082">
      <c r="B27082" s="31"/>
      <c r="G27082" s="272" t="s">
        <v>1099</v>
      </c>
    </row>
    <row r="27083">
      <c r="B27083" s="31"/>
      <c r="G27083" s="272" t="s">
        <v>1099</v>
      </c>
    </row>
    <row r="27084">
      <c r="B27084" s="31"/>
      <c r="G27084" s="272" t="s">
        <v>1099</v>
      </c>
    </row>
    <row r="27085">
      <c r="B27085" s="31"/>
      <c r="G27085" s="272" t="s">
        <v>1099</v>
      </c>
    </row>
    <row r="27086">
      <c r="B27086" s="31"/>
      <c r="G27086" s="272" t="s">
        <v>1099</v>
      </c>
    </row>
    <row r="27087">
      <c r="B27087" s="31"/>
      <c r="G27087" s="272" t="s">
        <v>1099</v>
      </c>
    </row>
    <row r="27088">
      <c r="B27088" s="31"/>
      <c r="G27088" s="272" t="s">
        <v>1099</v>
      </c>
    </row>
    <row r="27089">
      <c r="B27089" s="31"/>
      <c r="G27089" s="272" t="s">
        <v>1099</v>
      </c>
    </row>
    <row r="27090">
      <c r="B27090" s="31"/>
      <c r="G27090" s="272" t="s">
        <v>1099</v>
      </c>
    </row>
    <row r="27091">
      <c r="B27091" s="31"/>
      <c r="G27091" s="272" t="s">
        <v>1099</v>
      </c>
    </row>
    <row r="27092">
      <c r="B27092" s="31"/>
      <c r="G27092" s="272" t="s">
        <v>1099</v>
      </c>
    </row>
    <row r="27093">
      <c r="B27093" s="31"/>
      <c r="G27093" s="272" t="s">
        <v>1099</v>
      </c>
    </row>
    <row r="27094">
      <c r="B27094" s="31"/>
      <c r="G27094" s="272" t="s">
        <v>1099</v>
      </c>
    </row>
    <row r="27095">
      <c r="B27095" s="31"/>
      <c r="G27095" s="272" t="s">
        <v>1099</v>
      </c>
    </row>
    <row r="27096">
      <c r="B27096" s="31"/>
      <c r="G27096" s="272" t="s">
        <v>1099</v>
      </c>
    </row>
    <row r="27097">
      <c r="B27097" s="31"/>
      <c r="G27097" s="272" t="s">
        <v>1099</v>
      </c>
    </row>
    <row r="27098">
      <c r="B27098" s="31"/>
      <c r="G27098" s="272" t="s">
        <v>1099</v>
      </c>
    </row>
    <row r="27099">
      <c r="B27099" s="31"/>
      <c r="G27099" s="272" t="s">
        <v>1099</v>
      </c>
    </row>
    <row r="27100">
      <c r="B27100" s="31"/>
      <c r="G27100" s="272" t="s">
        <v>1099</v>
      </c>
    </row>
    <row r="27101">
      <c r="B27101" s="31"/>
      <c r="G27101" s="272" t="s">
        <v>1099</v>
      </c>
    </row>
    <row r="27102">
      <c r="B27102" s="31"/>
      <c r="G27102" s="272" t="s">
        <v>1099</v>
      </c>
    </row>
    <row r="27103">
      <c r="B27103" s="31"/>
      <c r="G27103" s="272" t="s">
        <v>1099</v>
      </c>
    </row>
    <row r="27104">
      <c r="B27104" s="31"/>
      <c r="G27104" s="272" t="s">
        <v>1099</v>
      </c>
    </row>
    <row r="27105">
      <c r="B27105" s="31"/>
      <c r="G27105" s="272" t="s">
        <v>1099</v>
      </c>
    </row>
    <row r="27106">
      <c r="B27106" s="31"/>
      <c r="G27106" s="272" t="s">
        <v>1099</v>
      </c>
    </row>
    <row r="27107">
      <c r="B27107" s="31"/>
      <c r="G27107" s="272" t="s">
        <v>1099</v>
      </c>
    </row>
    <row r="27108">
      <c r="B27108" s="31"/>
      <c r="G27108" s="272" t="s">
        <v>1099</v>
      </c>
    </row>
    <row r="27109">
      <c r="B27109" s="31"/>
      <c r="G27109" s="272" t="s">
        <v>1099</v>
      </c>
    </row>
    <row r="27110">
      <c r="B27110" s="31"/>
      <c r="G27110" s="272" t="s">
        <v>1099</v>
      </c>
    </row>
    <row r="27111">
      <c r="B27111" s="31"/>
      <c r="G27111" s="272" t="s">
        <v>1099</v>
      </c>
    </row>
    <row r="27112">
      <c r="B27112" s="31"/>
      <c r="G27112" s="272" t="s">
        <v>1099</v>
      </c>
    </row>
    <row r="27113">
      <c r="B27113" s="31"/>
      <c r="G27113" s="272" t="s">
        <v>1099</v>
      </c>
    </row>
    <row r="27114">
      <c r="B27114" s="31"/>
      <c r="G27114" s="272" t="s">
        <v>1099</v>
      </c>
    </row>
    <row r="27115">
      <c r="B27115" s="31"/>
      <c r="G27115" s="272" t="s">
        <v>1099</v>
      </c>
    </row>
    <row r="27116">
      <c r="B27116" s="31"/>
      <c r="G27116" s="272" t="s">
        <v>1099</v>
      </c>
    </row>
    <row r="27117">
      <c r="B27117" s="31"/>
      <c r="G27117" s="272" t="s">
        <v>1099</v>
      </c>
    </row>
    <row r="27118">
      <c r="B27118" s="31"/>
      <c r="G27118" s="272" t="s">
        <v>1099</v>
      </c>
    </row>
    <row r="27119">
      <c r="B27119" s="31"/>
      <c r="G27119" s="272" t="s">
        <v>1099</v>
      </c>
    </row>
    <row r="27120">
      <c r="B27120" s="31"/>
      <c r="G27120" s="272" t="s">
        <v>1099</v>
      </c>
    </row>
    <row r="27121">
      <c r="B27121" s="31"/>
      <c r="G27121" s="272" t="s">
        <v>1099</v>
      </c>
    </row>
    <row r="27122">
      <c r="B27122" s="31"/>
      <c r="G27122" s="272" t="s">
        <v>1099</v>
      </c>
    </row>
    <row r="27123">
      <c r="B27123" s="31"/>
      <c r="G27123" s="272" t="s">
        <v>1099</v>
      </c>
    </row>
    <row r="27124">
      <c r="B27124" s="31"/>
      <c r="G27124" s="272" t="s">
        <v>1099</v>
      </c>
    </row>
    <row r="27125">
      <c r="B27125" s="31"/>
      <c r="G27125" s="272" t="s">
        <v>1099</v>
      </c>
    </row>
    <row r="27126">
      <c r="B27126" s="31"/>
      <c r="G27126" s="272" t="s">
        <v>1099</v>
      </c>
    </row>
    <row r="27127">
      <c r="B27127" s="31"/>
      <c r="G27127" s="272" t="s">
        <v>1099</v>
      </c>
    </row>
    <row r="27128">
      <c r="B27128" s="31"/>
      <c r="G27128" s="272" t="s">
        <v>1099</v>
      </c>
    </row>
    <row r="27129">
      <c r="B27129" s="31"/>
      <c r="G27129" s="272" t="s">
        <v>1099</v>
      </c>
    </row>
    <row r="27130">
      <c r="B27130" s="31"/>
      <c r="G27130" s="272" t="s">
        <v>1099</v>
      </c>
    </row>
    <row r="27131">
      <c r="B27131" s="31"/>
      <c r="G27131" s="272" t="s">
        <v>1099</v>
      </c>
    </row>
    <row r="27132">
      <c r="B27132" s="31"/>
      <c r="G27132" s="272" t="s">
        <v>1099</v>
      </c>
    </row>
    <row r="27133">
      <c r="B27133" s="31"/>
      <c r="G27133" s="272" t="s">
        <v>1099</v>
      </c>
    </row>
    <row r="27134">
      <c r="B27134" s="31"/>
      <c r="G27134" s="272" t="s">
        <v>1099</v>
      </c>
    </row>
    <row r="27135">
      <c r="B27135" s="31"/>
      <c r="G27135" s="272" t="s">
        <v>1099</v>
      </c>
    </row>
    <row r="27136">
      <c r="B27136" s="31"/>
      <c r="G27136" s="272" t="s">
        <v>1099</v>
      </c>
    </row>
    <row r="27137">
      <c r="B27137" s="31"/>
      <c r="G27137" s="272" t="s">
        <v>1099</v>
      </c>
    </row>
    <row r="27138">
      <c r="B27138" s="31"/>
      <c r="G27138" s="272" t="s">
        <v>1099</v>
      </c>
    </row>
    <row r="27139">
      <c r="B27139" s="31"/>
      <c r="G27139" s="272" t="s">
        <v>1099</v>
      </c>
    </row>
    <row r="27140">
      <c r="B27140" s="31"/>
      <c r="G27140" s="272" t="s">
        <v>1099</v>
      </c>
    </row>
    <row r="27141">
      <c r="B27141" s="31"/>
      <c r="G27141" s="272" t="s">
        <v>1099</v>
      </c>
    </row>
    <row r="27142">
      <c r="B27142" s="31"/>
      <c r="G27142" s="272" t="s">
        <v>1099</v>
      </c>
    </row>
    <row r="27143">
      <c r="B27143" s="31"/>
      <c r="G27143" s="272" t="s">
        <v>1099</v>
      </c>
    </row>
    <row r="27144">
      <c r="B27144" s="31"/>
      <c r="G27144" s="272" t="s">
        <v>1099</v>
      </c>
    </row>
    <row r="27145">
      <c r="B27145" s="31"/>
      <c r="G27145" s="272" t="s">
        <v>1099</v>
      </c>
    </row>
    <row r="27146">
      <c r="B27146" s="31"/>
      <c r="G27146" s="272" t="s">
        <v>1099</v>
      </c>
    </row>
    <row r="27147">
      <c r="B27147" s="31"/>
      <c r="G27147" s="272" t="s">
        <v>1099</v>
      </c>
    </row>
    <row r="27148">
      <c r="B27148" s="31"/>
      <c r="G27148" s="272" t="s">
        <v>1099</v>
      </c>
    </row>
    <row r="27149">
      <c r="B27149" s="31"/>
      <c r="G27149" s="272" t="s">
        <v>1099</v>
      </c>
    </row>
    <row r="27150">
      <c r="B27150" s="31"/>
      <c r="G27150" s="272" t="s">
        <v>1099</v>
      </c>
    </row>
    <row r="27151">
      <c r="B27151" s="31"/>
      <c r="G27151" s="272" t="s">
        <v>1099</v>
      </c>
    </row>
    <row r="27152">
      <c r="B27152" s="31"/>
      <c r="G27152" s="272" t="s">
        <v>1099</v>
      </c>
    </row>
    <row r="27153">
      <c r="B27153" s="31"/>
      <c r="G27153" s="272" t="s">
        <v>1099</v>
      </c>
    </row>
    <row r="27154">
      <c r="B27154" s="31"/>
      <c r="G27154" s="272" t="s">
        <v>1099</v>
      </c>
    </row>
    <row r="27155">
      <c r="B27155" s="31"/>
      <c r="G27155" s="272" t="s">
        <v>1099</v>
      </c>
    </row>
    <row r="27156">
      <c r="B27156" s="31"/>
      <c r="G27156" s="272" t="s">
        <v>1099</v>
      </c>
    </row>
    <row r="27157">
      <c r="B27157" s="31"/>
      <c r="G27157" s="272" t="s">
        <v>1099</v>
      </c>
    </row>
    <row r="27158">
      <c r="B27158" s="31"/>
      <c r="G27158" s="272" t="s">
        <v>1099</v>
      </c>
    </row>
    <row r="27159">
      <c r="B27159" s="31"/>
      <c r="G27159" s="272" t="s">
        <v>1099</v>
      </c>
    </row>
    <row r="27160">
      <c r="B27160" s="31"/>
      <c r="G27160" s="272" t="s">
        <v>1099</v>
      </c>
    </row>
    <row r="27161">
      <c r="B27161" s="31"/>
      <c r="G27161" s="272" t="s">
        <v>1099</v>
      </c>
    </row>
    <row r="27162">
      <c r="B27162" s="31"/>
      <c r="G27162" s="272" t="s">
        <v>1099</v>
      </c>
    </row>
    <row r="27163">
      <c r="B27163" s="31"/>
      <c r="G27163" s="272" t="s">
        <v>1099</v>
      </c>
    </row>
    <row r="27164">
      <c r="B27164" s="31"/>
      <c r="G27164" s="272" t="s">
        <v>1099</v>
      </c>
    </row>
    <row r="27165">
      <c r="B27165" s="31"/>
      <c r="G27165" s="272" t="s">
        <v>1099</v>
      </c>
    </row>
    <row r="27166">
      <c r="B27166" s="31"/>
      <c r="G27166" s="272" t="s">
        <v>1099</v>
      </c>
    </row>
    <row r="27167">
      <c r="B27167" s="31"/>
      <c r="G27167" s="272" t="s">
        <v>1099</v>
      </c>
    </row>
    <row r="27168">
      <c r="B27168" s="31"/>
      <c r="G27168" s="272" t="s">
        <v>1099</v>
      </c>
    </row>
    <row r="27169">
      <c r="B27169" s="31"/>
      <c r="G27169" s="272" t="s">
        <v>1099</v>
      </c>
    </row>
    <row r="27170">
      <c r="B27170" s="31"/>
      <c r="G27170" s="272" t="s">
        <v>1099</v>
      </c>
    </row>
    <row r="27171">
      <c r="B27171" s="31"/>
      <c r="G27171" s="272" t="s">
        <v>1099</v>
      </c>
    </row>
    <row r="27172">
      <c r="B27172" s="31"/>
      <c r="G27172" s="272" t="s">
        <v>1099</v>
      </c>
    </row>
    <row r="27173">
      <c r="B27173" s="31"/>
      <c r="G27173" s="272" t="s">
        <v>1099</v>
      </c>
    </row>
    <row r="27174">
      <c r="B27174" s="31"/>
      <c r="G27174" s="272" t="s">
        <v>1099</v>
      </c>
    </row>
    <row r="27175">
      <c r="B27175" s="31"/>
      <c r="G27175" s="272" t="s">
        <v>1099</v>
      </c>
    </row>
    <row r="27176">
      <c r="B27176" s="31"/>
      <c r="G27176" s="272" t="s">
        <v>1099</v>
      </c>
    </row>
    <row r="27177">
      <c r="B27177" s="31"/>
      <c r="G27177" s="272" t="s">
        <v>1099</v>
      </c>
    </row>
    <row r="27178">
      <c r="B27178" s="31"/>
      <c r="G27178" s="272" t="s">
        <v>1099</v>
      </c>
    </row>
    <row r="27179">
      <c r="B27179" s="31"/>
      <c r="G27179" s="272" t="s">
        <v>1099</v>
      </c>
    </row>
    <row r="27180">
      <c r="B27180" s="31"/>
      <c r="G27180" s="272" t="s">
        <v>1099</v>
      </c>
    </row>
    <row r="27181">
      <c r="B27181" s="31"/>
      <c r="G27181" s="272" t="s">
        <v>1099</v>
      </c>
    </row>
    <row r="27182">
      <c r="B27182" s="31"/>
      <c r="G27182" s="272" t="s">
        <v>1099</v>
      </c>
    </row>
    <row r="27183">
      <c r="B27183" s="31"/>
      <c r="G27183" s="272" t="s">
        <v>1099</v>
      </c>
    </row>
    <row r="27184">
      <c r="B27184" s="31"/>
      <c r="G27184" s="272" t="s">
        <v>1099</v>
      </c>
    </row>
    <row r="27185">
      <c r="B27185" s="31"/>
      <c r="G27185" s="272" t="s">
        <v>1099</v>
      </c>
    </row>
    <row r="27186">
      <c r="B27186" s="31"/>
      <c r="G27186" s="272" t="s">
        <v>1099</v>
      </c>
    </row>
    <row r="27187">
      <c r="B27187" s="31"/>
      <c r="G27187" s="272" t="s">
        <v>1099</v>
      </c>
    </row>
    <row r="27188">
      <c r="B27188" s="31"/>
      <c r="G27188" s="272" t="s">
        <v>1099</v>
      </c>
    </row>
    <row r="27189">
      <c r="B27189" s="31"/>
      <c r="G27189" s="272" t="s">
        <v>1099</v>
      </c>
    </row>
    <row r="27190">
      <c r="B27190" s="31"/>
      <c r="G27190" s="272" t="s">
        <v>1099</v>
      </c>
    </row>
    <row r="27191">
      <c r="B27191" s="31"/>
      <c r="G27191" s="272" t="s">
        <v>1099</v>
      </c>
    </row>
    <row r="27192">
      <c r="B27192" s="31"/>
      <c r="G27192" s="272" t="s">
        <v>1099</v>
      </c>
    </row>
    <row r="27193">
      <c r="B27193" s="31"/>
      <c r="G27193" s="272" t="s">
        <v>1099</v>
      </c>
    </row>
    <row r="27194">
      <c r="B27194" s="31"/>
      <c r="G27194" s="272" t="s">
        <v>1099</v>
      </c>
    </row>
    <row r="27195">
      <c r="B27195" s="31"/>
      <c r="G27195" s="272" t="s">
        <v>1099</v>
      </c>
    </row>
    <row r="27196">
      <c r="B27196" s="31"/>
      <c r="G27196" s="272" t="s">
        <v>1099</v>
      </c>
    </row>
    <row r="27197">
      <c r="B27197" s="31"/>
      <c r="G27197" s="272" t="s">
        <v>1099</v>
      </c>
    </row>
    <row r="27198">
      <c r="B27198" s="31"/>
      <c r="G27198" s="272" t="s">
        <v>1099</v>
      </c>
    </row>
    <row r="27199">
      <c r="B27199" s="31"/>
      <c r="G27199" s="272" t="s">
        <v>1099</v>
      </c>
    </row>
    <row r="27200">
      <c r="B27200" s="31"/>
      <c r="G27200" s="272" t="s">
        <v>1099</v>
      </c>
    </row>
    <row r="27201">
      <c r="B27201" s="31"/>
      <c r="G27201" s="272" t="s">
        <v>1099</v>
      </c>
    </row>
    <row r="27202">
      <c r="B27202" s="31"/>
      <c r="G27202" s="272" t="s">
        <v>1099</v>
      </c>
    </row>
    <row r="27203">
      <c r="B27203" s="31"/>
      <c r="G27203" s="272" t="s">
        <v>1099</v>
      </c>
    </row>
    <row r="27204">
      <c r="B27204" s="31"/>
      <c r="G27204" s="272" t="s">
        <v>1099</v>
      </c>
    </row>
    <row r="27205">
      <c r="B27205" s="31"/>
      <c r="G27205" s="272" t="s">
        <v>1099</v>
      </c>
    </row>
    <row r="27206">
      <c r="B27206" s="31"/>
      <c r="G27206" s="272" t="s">
        <v>1099</v>
      </c>
    </row>
    <row r="27207">
      <c r="B27207" s="31"/>
      <c r="G27207" s="272" t="s">
        <v>1099</v>
      </c>
    </row>
    <row r="27208">
      <c r="B27208" s="31"/>
      <c r="G27208" s="272" t="s">
        <v>1099</v>
      </c>
    </row>
    <row r="27209">
      <c r="B27209" s="31"/>
      <c r="G27209" s="272" t="s">
        <v>1099</v>
      </c>
    </row>
    <row r="27210">
      <c r="B27210" s="31"/>
      <c r="G27210" s="272" t="s">
        <v>1099</v>
      </c>
    </row>
    <row r="27211">
      <c r="B27211" s="31"/>
      <c r="G27211" s="272" t="s">
        <v>1099</v>
      </c>
    </row>
    <row r="27212">
      <c r="B27212" s="31"/>
      <c r="G27212" s="272" t="s">
        <v>1099</v>
      </c>
    </row>
    <row r="27213">
      <c r="B27213" s="31"/>
      <c r="G27213" s="272" t="s">
        <v>1099</v>
      </c>
    </row>
    <row r="27214">
      <c r="B27214" s="31"/>
      <c r="G27214" s="272" t="s">
        <v>1099</v>
      </c>
    </row>
    <row r="27215">
      <c r="B27215" s="31"/>
      <c r="G27215" s="272" t="s">
        <v>1099</v>
      </c>
    </row>
    <row r="27216">
      <c r="B27216" s="31"/>
      <c r="G27216" s="272" t="s">
        <v>1099</v>
      </c>
    </row>
    <row r="27217">
      <c r="B27217" s="31"/>
      <c r="G27217" s="272" t="s">
        <v>1099</v>
      </c>
    </row>
    <row r="27218">
      <c r="B27218" s="31"/>
      <c r="G27218" s="272" t="s">
        <v>1099</v>
      </c>
    </row>
    <row r="27219">
      <c r="B27219" s="31"/>
      <c r="G27219" s="272" t="s">
        <v>1099</v>
      </c>
    </row>
    <row r="27220">
      <c r="B27220" s="31"/>
      <c r="G27220" s="272" t="s">
        <v>1099</v>
      </c>
    </row>
    <row r="27221">
      <c r="B27221" s="31"/>
      <c r="G27221" s="272" t="s">
        <v>1099</v>
      </c>
    </row>
    <row r="27222">
      <c r="B27222" s="31"/>
      <c r="G27222" s="272" t="s">
        <v>1099</v>
      </c>
    </row>
    <row r="27223">
      <c r="B27223" s="31"/>
      <c r="G27223" s="272" t="s">
        <v>1099</v>
      </c>
    </row>
    <row r="27224">
      <c r="B27224" s="31"/>
      <c r="G27224" s="272" t="s">
        <v>1099</v>
      </c>
    </row>
    <row r="27225">
      <c r="B27225" s="31"/>
      <c r="G27225" s="272" t="s">
        <v>1099</v>
      </c>
    </row>
    <row r="27226">
      <c r="B27226" s="31"/>
      <c r="G27226" s="272" t="s">
        <v>1099</v>
      </c>
    </row>
    <row r="27227">
      <c r="B27227" s="31"/>
      <c r="G27227" s="272" t="s">
        <v>1099</v>
      </c>
    </row>
    <row r="27228">
      <c r="B27228" s="31"/>
      <c r="G27228" s="272" t="s">
        <v>1099</v>
      </c>
    </row>
    <row r="27229">
      <c r="B27229" s="31"/>
      <c r="G27229" s="272" t="s">
        <v>1099</v>
      </c>
    </row>
    <row r="27230">
      <c r="B27230" s="31"/>
      <c r="G27230" s="272" t="s">
        <v>1099</v>
      </c>
    </row>
    <row r="27231">
      <c r="B27231" s="31"/>
      <c r="G27231" s="272" t="s">
        <v>1099</v>
      </c>
    </row>
    <row r="27232">
      <c r="B27232" s="31"/>
      <c r="G27232" s="272" t="s">
        <v>1099</v>
      </c>
    </row>
    <row r="27233">
      <c r="B27233" s="31"/>
      <c r="G27233" s="272" t="s">
        <v>1099</v>
      </c>
    </row>
    <row r="27234">
      <c r="B27234" s="31"/>
      <c r="G27234" s="272" t="s">
        <v>1099</v>
      </c>
    </row>
    <row r="27235">
      <c r="B27235" s="31"/>
      <c r="G27235" s="272" t="s">
        <v>1099</v>
      </c>
    </row>
    <row r="27236">
      <c r="B27236" s="31"/>
      <c r="G27236" s="272" t="s">
        <v>1099</v>
      </c>
    </row>
    <row r="27237">
      <c r="B27237" s="31"/>
      <c r="G27237" s="272" t="s">
        <v>1099</v>
      </c>
    </row>
    <row r="27238">
      <c r="B27238" s="31"/>
      <c r="G27238" s="272" t="s">
        <v>1099</v>
      </c>
    </row>
    <row r="27239">
      <c r="B27239" s="31"/>
      <c r="G27239" s="272" t="s">
        <v>1099</v>
      </c>
    </row>
    <row r="27240">
      <c r="B27240" s="31"/>
      <c r="G27240" s="272" t="s">
        <v>1099</v>
      </c>
    </row>
    <row r="27241">
      <c r="B27241" s="31"/>
      <c r="G27241" s="272" t="s">
        <v>1099</v>
      </c>
    </row>
    <row r="27242">
      <c r="B27242" s="31"/>
      <c r="G27242" s="272" t="s">
        <v>1099</v>
      </c>
    </row>
    <row r="27243">
      <c r="B27243" s="31"/>
      <c r="G27243" s="272" t="s">
        <v>1099</v>
      </c>
    </row>
    <row r="27244">
      <c r="B27244" s="31"/>
      <c r="G27244" s="272" t="s">
        <v>1099</v>
      </c>
    </row>
    <row r="27245">
      <c r="B27245" s="31"/>
      <c r="G27245" s="272" t="s">
        <v>1099</v>
      </c>
    </row>
    <row r="27246">
      <c r="B27246" s="31"/>
      <c r="G27246" s="272" t="s">
        <v>1099</v>
      </c>
    </row>
    <row r="27247">
      <c r="B27247" s="31"/>
      <c r="G27247" s="272" t="s">
        <v>1099</v>
      </c>
    </row>
    <row r="27248">
      <c r="B27248" s="31"/>
      <c r="G27248" s="272" t="s">
        <v>1099</v>
      </c>
    </row>
    <row r="27249">
      <c r="B27249" s="31"/>
      <c r="G27249" s="272" t="s">
        <v>1099</v>
      </c>
    </row>
    <row r="27250">
      <c r="B27250" s="31"/>
      <c r="G27250" s="272" t="s">
        <v>1099</v>
      </c>
    </row>
    <row r="27251">
      <c r="B27251" s="31"/>
      <c r="G27251" s="272" t="s">
        <v>1099</v>
      </c>
    </row>
    <row r="27252">
      <c r="B27252" s="31"/>
      <c r="G27252" s="272" t="s">
        <v>1099</v>
      </c>
    </row>
    <row r="27253">
      <c r="B27253" s="31"/>
      <c r="G27253" s="272" t="s">
        <v>1099</v>
      </c>
    </row>
    <row r="27254">
      <c r="B27254" s="31"/>
      <c r="G27254" s="272" t="s">
        <v>1099</v>
      </c>
    </row>
    <row r="27255">
      <c r="B27255" s="31"/>
      <c r="G27255" s="272" t="s">
        <v>1099</v>
      </c>
    </row>
    <row r="27256">
      <c r="B27256" s="31"/>
      <c r="G27256" s="272" t="s">
        <v>1099</v>
      </c>
    </row>
    <row r="27257">
      <c r="B27257" s="31"/>
      <c r="G27257" s="272" t="s">
        <v>1099</v>
      </c>
    </row>
    <row r="27258">
      <c r="B27258" s="31"/>
      <c r="G27258" s="272" t="s">
        <v>1099</v>
      </c>
    </row>
    <row r="27259">
      <c r="B27259" s="31"/>
      <c r="G27259" s="272" t="s">
        <v>1099</v>
      </c>
    </row>
    <row r="27260">
      <c r="B27260" s="31"/>
      <c r="G27260" s="272" t="s">
        <v>1099</v>
      </c>
    </row>
    <row r="27261">
      <c r="B27261" s="31"/>
      <c r="G27261" s="272" t="s">
        <v>1099</v>
      </c>
    </row>
    <row r="27262">
      <c r="B27262" s="31"/>
      <c r="G27262" s="272" t="s">
        <v>1099</v>
      </c>
    </row>
    <row r="27263">
      <c r="B27263" s="31"/>
      <c r="G27263" s="272" t="s">
        <v>1099</v>
      </c>
    </row>
    <row r="27264">
      <c r="B27264" s="31"/>
      <c r="G27264" s="272" t="s">
        <v>1099</v>
      </c>
    </row>
    <row r="27265">
      <c r="B27265" s="31"/>
      <c r="G27265" s="272" t="s">
        <v>1099</v>
      </c>
    </row>
    <row r="27266">
      <c r="B27266" s="31"/>
      <c r="G27266" s="272" t="s">
        <v>1099</v>
      </c>
    </row>
    <row r="27267">
      <c r="B27267" s="31"/>
      <c r="G27267" s="272" t="s">
        <v>1099</v>
      </c>
    </row>
    <row r="27268">
      <c r="B27268" s="31"/>
      <c r="G27268" s="272" t="s">
        <v>1099</v>
      </c>
    </row>
    <row r="27269">
      <c r="B27269" s="31"/>
      <c r="G27269" s="272" t="s">
        <v>1099</v>
      </c>
    </row>
    <row r="27270">
      <c r="B27270" s="31"/>
      <c r="G27270" s="272" t="s">
        <v>1099</v>
      </c>
    </row>
    <row r="27271">
      <c r="B27271" s="31"/>
      <c r="G27271" s="272" t="s">
        <v>1099</v>
      </c>
    </row>
    <row r="27272">
      <c r="B27272" s="31"/>
      <c r="G27272" s="272" t="s">
        <v>1099</v>
      </c>
    </row>
    <row r="27273">
      <c r="B27273" s="31"/>
      <c r="G27273" s="272" t="s">
        <v>1099</v>
      </c>
    </row>
    <row r="27274">
      <c r="B27274" s="31"/>
      <c r="G27274" s="272" t="s">
        <v>1099</v>
      </c>
    </row>
    <row r="27275">
      <c r="B27275" s="31"/>
      <c r="G27275" s="272" t="s">
        <v>1099</v>
      </c>
    </row>
    <row r="27276">
      <c r="B27276" s="31"/>
      <c r="G27276" s="272" t="s">
        <v>1099</v>
      </c>
    </row>
    <row r="27277">
      <c r="B27277" s="31"/>
      <c r="G27277" s="272" t="s">
        <v>1099</v>
      </c>
    </row>
    <row r="27278">
      <c r="B27278" s="31"/>
      <c r="G27278" s="272" t="s">
        <v>1099</v>
      </c>
    </row>
    <row r="27279">
      <c r="B27279" s="31"/>
      <c r="G27279" s="272" t="s">
        <v>1099</v>
      </c>
    </row>
    <row r="27280">
      <c r="B27280" s="31"/>
      <c r="G27280" s="272" t="s">
        <v>1099</v>
      </c>
    </row>
    <row r="27281">
      <c r="B27281" s="31"/>
      <c r="G27281" s="272" t="s">
        <v>1099</v>
      </c>
    </row>
    <row r="27282">
      <c r="B27282" s="31"/>
      <c r="G27282" s="272" t="s">
        <v>1099</v>
      </c>
    </row>
    <row r="27283">
      <c r="B27283" s="31"/>
      <c r="G27283" s="272" t="s">
        <v>1099</v>
      </c>
    </row>
    <row r="27284">
      <c r="B27284" s="31"/>
      <c r="G27284" s="272" t="s">
        <v>1099</v>
      </c>
    </row>
    <row r="27285">
      <c r="B27285" s="31"/>
      <c r="G27285" s="272" t="s">
        <v>1099</v>
      </c>
    </row>
    <row r="27286">
      <c r="B27286" s="31"/>
      <c r="G27286" s="272" t="s">
        <v>1099</v>
      </c>
    </row>
    <row r="27287">
      <c r="B27287" s="31"/>
      <c r="G27287" s="272" t="s">
        <v>1099</v>
      </c>
    </row>
    <row r="27288">
      <c r="B27288" s="31"/>
      <c r="G27288" s="272" t="s">
        <v>1099</v>
      </c>
    </row>
    <row r="27289">
      <c r="B27289" s="31"/>
      <c r="G27289" s="272" t="s">
        <v>1099</v>
      </c>
    </row>
    <row r="27290">
      <c r="B27290" s="31"/>
      <c r="G27290" s="272" t="s">
        <v>1099</v>
      </c>
    </row>
    <row r="27291">
      <c r="B27291" s="31"/>
      <c r="G27291" s="272" t="s">
        <v>1099</v>
      </c>
    </row>
    <row r="27292">
      <c r="B27292" s="31"/>
      <c r="G27292" s="272" t="s">
        <v>1099</v>
      </c>
    </row>
    <row r="27293">
      <c r="B27293" s="31"/>
      <c r="G27293" s="272" t="s">
        <v>1099</v>
      </c>
    </row>
    <row r="27294">
      <c r="B27294" s="31"/>
      <c r="G27294" s="272" t="s">
        <v>1099</v>
      </c>
    </row>
    <row r="27295">
      <c r="B27295" s="31"/>
      <c r="G27295" s="272" t="s">
        <v>1099</v>
      </c>
    </row>
    <row r="27296">
      <c r="B27296" s="31"/>
      <c r="G27296" s="272" t="s">
        <v>1099</v>
      </c>
    </row>
    <row r="27297">
      <c r="B27297" s="31"/>
      <c r="G27297" s="272" t="s">
        <v>1099</v>
      </c>
    </row>
    <row r="27298">
      <c r="B27298" s="31"/>
      <c r="G27298" s="272" t="s">
        <v>1099</v>
      </c>
    </row>
    <row r="27299">
      <c r="B27299" s="31"/>
      <c r="G27299" s="272" t="s">
        <v>1099</v>
      </c>
    </row>
    <row r="27300">
      <c r="B27300" s="31"/>
      <c r="G27300" s="272" t="s">
        <v>1099</v>
      </c>
    </row>
    <row r="27301">
      <c r="B27301" s="31"/>
      <c r="G27301" s="272" t="s">
        <v>1099</v>
      </c>
    </row>
    <row r="27302">
      <c r="B27302" s="31"/>
      <c r="G27302" s="272" t="s">
        <v>1099</v>
      </c>
    </row>
    <row r="27303">
      <c r="B27303" s="31"/>
      <c r="G27303" s="272" t="s">
        <v>1099</v>
      </c>
    </row>
    <row r="27304">
      <c r="B27304" s="31"/>
      <c r="G27304" s="272" t="s">
        <v>1099</v>
      </c>
    </row>
    <row r="27305">
      <c r="B27305" s="31"/>
      <c r="G27305" s="272" t="s">
        <v>1099</v>
      </c>
    </row>
    <row r="27306">
      <c r="B27306" s="31"/>
      <c r="G27306" s="272" t="s">
        <v>1099</v>
      </c>
    </row>
    <row r="27307">
      <c r="B27307" s="31"/>
      <c r="G27307" s="272" t="s">
        <v>1099</v>
      </c>
    </row>
    <row r="27308">
      <c r="B27308" s="31"/>
      <c r="G27308" s="272" t="s">
        <v>1099</v>
      </c>
    </row>
    <row r="27309">
      <c r="B27309" s="31"/>
      <c r="G27309" s="272" t="s">
        <v>1099</v>
      </c>
    </row>
    <row r="27310">
      <c r="B27310" s="31"/>
      <c r="G27310" s="272" t="s">
        <v>1099</v>
      </c>
    </row>
    <row r="27311">
      <c r="B27311" s="31"/>
      <c r="G27311" s="272" t="s">
        <v>1099</v>
      </c>
    </row>
    <row r="27312">
      <c r="B27312" s="31"/>
      <c r="G27312" s="272" t="s">
        <v>1099</v>
      </c>
    </row>
    <row r="27313">
      <c r="B27313" s="31"/>
      <c r="G27313" s="272" t="s">
        <v>1099</v>
      </c>
    </row>
    <row r="27314">
      <c r="B27314" s="31"/>
      <c r="G27314" s="272" t="s">
        <v>1099</v>
      </c>
    </row>
    <row r="27315">
      <c r="B27315" s="31"/>
      <c r="G27315" s="272" t="s">
        <v>1099</v>
      </c>
    </row>
    <row r="27316">
      <c r="B27316" s="31"/>
      <c r="G27316" s="272" t="s">
        <v>1099</v>
      </c>
    </row>
    <row r="27317">
      <c r="B27317" s="31"/>
      <c r="G27317" s="272" t="s">
        <v>1099</v>
      </c>
    </row>
    <row r="27318">
      <c r="B27318" s="31"/>
      <c r="G27318" s="272" t="s">
        <v>1099</v>
      </c>
    </row>
    <row r="27319">
      <c r="B27319" s="31"/>
      <c r="G27319" s="272" t="s">
        <v>1099</v>
      </c>
    </row>
    <row r="27320">
      <c r="B27320" s="31"/>
      <c r="G27320" s="272" t="s">
        <v>1099</v>
      </c>
    </row>
    <row r="27321">
      <c r="B27321" s="31"/>
      <c r="G27321" s="272" t="s">
        <v>1099</v>
      </c>
    </row>
    <row r="27322">
      <c r="B27322" s="31"/>
      <c r="G27322" s="272" t="s">
        <v>1099</v>
      </c>
    </row>
    <row r="27323">
      <c r="B27323" s="31"/>
      <c r="G27323" s="272" t="s">
        <v>1099</v>
      </c>
    </row>
    <row r="27324">
      <c r="B27324" s="31"/>
      <c r="G27324" s="272" t="s">
        <v>1099</v>
      </c>
    </row>
    <row r="27325">
      <c r="B27325" s="31"/>
      <c r="G27325" s="272" t="s">
        <v>1099</v>
      </c>
    </row>
    <row r="27326">
      <c r="B27326" s="31"/>
      <c r="G27326" s="272" t="s">
        <v>1099</v>
      </c>
    </row>
    <row r="27327">
      <c r="B27327" s="31"/>
      <c r="G27327" s="272" t="s">
        <v>1099</v>
      </c>
    </row>
    <row r="27328">
      <c r="B27328" s="31"/>
      <c r="G27328" s="272" t="s">
        <v>1099</v>
      </c>
    </row>
    <row r="27329">
      <c r="B27329" s="31"/>
      <c r="G27329" s="272" t="s">
        <v>1099</v>
      </c>
    </row>
    <row r="27330">
      <c r="B27330" s="31"/>
      <c r="G27330" s="272" t="s">
        <v>1099</v>
      </c>
    </row>
    <row r="27331">
      <c r="B27331" s="31"/>
      <c r="G27331" s="272" t="s">
        <v>1099</v>
      </c>
    </row>
    <row r="27332">
      <c r="B27332" s="31"/>
      <c r="G27332" s="272" t="s">
        <v>1099</v>
      </c>
    </row>
    <row r="27333">
      <c r="B27333" s="31"/>
      <c r="G27333" s="272" t="s">
        <v>1099</v>
      </c>
    </row>
    <row r="27334">
      <c r="B27334" s="31"/>
      <c r="G27334" s="272" t="s">
        <v>1099</v>
      </c>
    </row>
    <row r="27335">
      <c r="B27335" s="31"/>
      <c r="G27335" s="272" t="s">
        <v>1099</v>
      </c>
    </row>
    <row r="27336">
      <c r="B27336" s="31"/>
      <c r="G27336" s="272" t="s">
        <v>1099</v>
      </c>
    </row>
    <row r="27337">
      <c r="B27337" s="31"/>
      <c r="G27337" s="272" t="s">
        <v>1099</v>
      </c>
    </row>
    <row r="27338">
      <c r="B27338" s="31"/>
      <c r="G27338" s="272" t="s">
        <v>1099</v>
      </c>
    </row>
    <row r="27339">
      <c r="B27339" s="31"/>
      <c r="G27339" s="272" t="s">
        <v>1099</v>
      </c>
    </row>
    <row r="27340">
      <c r="B27340" s="31"/>
      <c r="G27340" s="272" t="s">
        <v>1099</v>
      </c>
    </row>
    <row r="27341">
      <c r="B27341" s="31"/>
      <c r="G27341" s="272" t="s">
        <v>1099</v>
      </c>
    </row>
    <row r="27342">
      <c r="B27342" s="31"/>
      <c r="G27342" s="272" t="s">
        <v>1099</v>
      </c>
    </row>
    <row r="27343">
      <c r="B27343" s="31"/>
      <c r="G27343" s="272" t="s">
        <v>1099</v>
      </c>
    </row>
    <row r="27344">
      <c r="B27344" s="31"/>
      <c r="G27344" s="272" t="s">
        <v>1099</v>
      </c>
    </row>
    <row r="27345">
      <c r="B27345" s="31"/>
      <c r="G27345" s="272" t="s">
        <v>1099</v>
      </c>
    </row>
    <row r="27346">
      <c r="B27346" s="31"/>
      <c r="G27346" s="272" t="s">
        <v>1099</v>
      </c>
    </row>
    <row r="27347">
      <c r="B27347" s="31"/>
      <c r="G27347" s="272" t="s">
        <v>1099</v>
      </c>
    </row>
    <row r="27348">
      <c r="B27348" s="31"/>
      <c r="G27348" s="272" t="s">
        <v>1099</v>
      </c>
    </row>
    <row r="27349">
      <c r="B27349" s="31"/>
      <c r="G27349" s="272" t="s">
        <v>1099</v>
      </c>
    </row>
    <row r="27350">
      <c r="B27350" s="31"/>
      <c r="G27350" s="272" t="s">
        <v>1099</v>
      </c>
    </row>
    <row r="27351">
      <c r="B27351" s="31"/>
      <c r="G27351" s="272" t="s">
        <v>1099</v>
      </c>
    </row>
    <row r="27352">
      <c r="B27352" s="31"/>
      <c r="G27352" s="272" t="s">
        <v>1099</v>
      </c>
    </row>
    <row r="27353">
      <c r="B27353" s="31"/>
      <c r="G27353" s="272" t="s">
        <v>1099</v>
      </c>
    </row>
    <row r="27354">
      <c r="B27354" s="31"/>
      <c r="G27354" s="272" t="s">
        <v>1099</v>
      </c>
    </row>
    <row r="27355">
      <c r="B27355" s="31"/>
      <c r="G27355" s="272" t="s">
        <v>1099</v>
      </c>
    </row>
    <row r="27356">
      <c r="B27356" s="31"/>
      <c r="G27356" s="272" t="s">
        <v>1099</v>
      </c>
    </row>
    <row r="27357">
      <c r="B27357" s="31"/>
      <c r="G27357" s="272" t="s">
        <v>1099</v>
      </c>
    </row>
    <row r="27358">
      <c r="B27358" s="31"/>
      <c r="G27358" s="272" t="s">
        <v>1099</v>
      </c>
    </row>
    <row r="27359">
      <c r="B27359" s="31"/>
      <c r="G27359" s="272" t="s">
        <v>1099</v>
      </c>
    </row>
    <row r="27360">
      <c r="B27360" s="31"/>
      <c r="G27360" s="272" t="s">
        <v>1099</v>
      </c>
    </row>
    <row r="27361">
      <c r="B27361" s="31"/>
      <c r="G27361" s="272" t="s">
        <v>1099</v>
      </c>
    </row>
    <row r="27362">
      <c r="B27362" s="31"/>
      <c r="G27362" s="272" t="s">
        <v>1099</v>
      </c>
    </row>
    <row r="27363">
      <c r="B27363" s="31"/>
      <c r="G27363" s="272" t="s">
        <v>1099</v>
      </c>
    </row>
    <row r="27364">
      <c r="B27364" s="31"/>
      <c r="G27364" s="272" t="s">
        <v>1099</v>
      </c>
    </row>
    <row r="27365">
      <c r="B27365" s="31"/>
      <c r="G27365" s="272" t="s">
        <v>1099</v>
      </c>
    </row>
    <row r="27366">
      <c r="B27366" s="31"/>
      <c r="G27366" s="272" t="s">
        <v>1099</v>
      </c>
    </row>
    <row r="27367">
      <c r="B27367" s="31"/>
      <c r="G27367" s="272" t="s">
        <v>1099</v>
      </c>
    </row>
    <row r="27368">
      <c r="B27368" s="31"/>
      <c r="G27368" s="272" t="s">
        <v>1099</v>
      </c>
    </row>
    <row r="27369">
      <c r="B27369" s="31"/>
      <c r="G27369" s="272" t="s">
        <v>1099</v>
      </c>
    </row>
    <row r="27370">
      <c r="B27370" s="31"/>
      <c r="G27370" s="272" t="s">
        <v>1099</v>
      </c>
    </row>
    <row r="27371">
      <c r="B27371" s="31"/>
      <c r="G27371" s="272" t="s">
        <v>1099</v>
      </c>
    </row>
    <row r="27372">
      <c r="B27372" s="31"/>
      <c r="G27372" s="272" t="s">
        <v>1099</v>
      </c>
    </row>
    <row r="27373">
      <c r="B27373" s="31"/>
      <c r="G27373" s="272" t="s">
        <v>1099</v>
      </c>
    </row>
    <row r="27374">
      <c r="B27374" s="31"/>
      <c r="G27374" s="272" t="s">
        <v>1099</v>
      </c>
    </row>
    <row r="27375">
      <c r="B27375" s="31"/>
      <c r="G27375" s="272" t="s">
        <v>1099</v>
      </c>
    </row>
    <row r="27376">
      <c r="B27376" s="31"/>
      <c r="G27376" s="272" t="s">
        <v>1099</v>
      </c>
    </row>
    <row r="27377">
      <c r="B27377" s="31"/>
      <c r="G27377" s="272" t="s">
        <v>1099</v>
      </c>
    </row>
    <row r="27378">
      <c r="B27378" s="31"/>
      <c r="G27378" s="272" t="s">
        <v>1099</v>
      </c>
    </row>
    <row r="27379">
      <c r="B27379" s="31"/>
      <c r="G27379" s="272" t="s">
        <v>1099</v>
      </c>
    </row>
    <row r="27380">
      <c r="B27380" s="31"/>
      <c r="G27380" s="272" t="s">
        <v>1099</v>
      </c>
    </row>
    <row r="27381">
      <c r="B27381" s="31"/>
      <c r="G27381" s="272" t="s">
        <v>1099</v>
      </c>
    </row>
    <row r="27382">
      <c r="B27382" s="31"/>
      <c r="G27382" s="272" t="s">
        <v>1099</v>
      </c>
    </row>
    <row r="27383">
      <c r="B27383" s="31"/>
      <c r="G27383" s="272" t="s">
        <v>1099</v>
      </c>
    </row>
    <row r="27384">
      <c r="B27384" s="31"/>
      <c r="G27384" s="272" t="s">
        <v>1099</v>
      </c>
    </row>
    <row r="27385">
      <c r="B27385" s="31"/>
      <c r="G27385" s="272" t="s">
        <v>1099</v>
      </c>
    </row>
    <row r="27386">
      <c r="B27386" s="31"/>
      <c r="G27386" s="272" t="s">
        <v>1099</v>
      </c>
    </row>
    <row r="27387">
      <c r="B27387" s="31"/>
      <c r="G27387" s="272" t="s">
        <v>1099</v>
      </c>
    </row>
    <row r="27388">
      <c r="B27388" s="31"/>
      <c r="G27388" s="272" t="s">
        <v>1099</v>
      </c>
    </row>
    <row r="27389">
      <c r="B27389" s="31"/>
      <c r="G27389" s="272" t="s">
        <v>1099</v>
      </c>
    </row>
    <row r="27390">
      <c r="B27390" s="31"/>
      <c r="G27390" s="272" t="s">
        <v>1099</v>
      </c>
    </row>
    <row r="27391">
      <c r="B27391" s="31"/>
      <c r="G27391" s="272" t="s">
        <v>1099</v>
      </c>
    </row>
    <row r="27392">
      <c r="B27392" s="31"/>
      <c r="G27392" s="272" t="s">
        <v>1099</v>
      </c>
    </row>
    <row r="27393">
      <c r="B27393" s="31"/>
      <c r="G27393" s="272" t="s">
        <v>1099</v>
      </c>
    </row>
    <row r="27394">
      <c r="B27394" s="31"/>
      <c r="G27394" s="272" t="s">
        <v>1099</v>
      </c>
    </row>
    <row r="27395">
      <c r="B27395" s="31"/>
      <c r="G27395" s="272" t="s">
        <v>1099</v>
      </c>
    </row>
    <row r="27396">
      <c r="B27396" s="31"/>
      <c r="G27396" s="272" t="s">
        <v>1099</v>
      </c>
    </row>
    <row r="27397">
      <c r="B27397" s="31"/>
      <c r="G27397" s="272" t="s">
        <v>1099</v>
      </c>
    </row>
    <row r="27398">
      <c r="B27398" s="31"/>
      <c r="G27398" s="272" t="s">
        <v>1099</v>
      </c>
    </row>
    <row r="27399">
      <c r="B27399" s="31"/>
      <c r="G27399" s="272" t="s">
        <v>1099</v>
      </c>
    </row>
    <row r="27400">
      <c r="B27400" s="31"/>
      <c r="G27400" s="272" t="s">
        <v>1099</v>
      </c>
    </row>
    <row r="27401">
      <c r="B27401" s="31"/>
      <c r="G27401" s="272" t="s">
        <v>1099</v>
      </c>
    </row>
    <row r="27402">
      <c r="B27402" s="31"/>
      <c r="G27402" s="272" t="s">
        <v>1099</v>
      </c>
    </row>
    <row r="27403">
      <c r="B27403" s="31"/>
      <c r="G27403" s="272" t="s">
        <v>1099</v>
      </c>
    </row>
    <row r="27404">
      <c r="B27404" s="31"/>
      <c r="G27404" s="272" t="s">
        <v>1099</v>
      </c>
    </row>
    <row r="27405">
      <c r="B27405" s="31"/>
      <c r="G27405" s="272" t="s">
        <v>1099</v>
      </c>
    </row>
    <row r="27406">
      <c r="B27406" s="31"/>
      <c r="G27406" s="272" t="s">
        <v>1099</v>
      </c>
    </row>
    <row r="27407">
      <c r="B27407" s="31"/>
      <c r="G27407" s="272" t="s">
        <v>1099</v>
      </c>
    </row>
    <row r="27408">
      <c r="B27408" s="31"/>
      <c r="G27408" s="272" t="s">
        <v>1099</v>
      </c>
    </row>
    <row r="27409">
      <c r="B27409" s="31"/>
      <c r="G27409" s="272" t="s">
        <v>1099</v>
      </c>
    </row>
    <row r="27410">
      <c r="B27410" s="31"/>
      <c r="G27410" s="272" t="s">
        <v>1099</v>
      </c>
    </row>
    <row r="27411">
      <c r="B27411" s="31"/>
      <c r="G27411" s="272" t="s">
        <v>1099</v>
      </c>
    </row>
    <row r="27412">
      <c r="B27412" s="31"/>
      <c r="G27412" s="272" t="s">
        <v>1099</v>
      </c>
    </row>
    <row r="27413">
      <c r="B27413" s="31"/>
      <c r="G27413" s="272" t="s">
        <v>1099</v>
      </c>
    </row>
    <row r="27414">
      <c r="B27414" s="31"/>
      <c r="G27414" s="272" t="s">
        <v>1099</v>
      </c>
    </row>
    <row r="27415">
      <c r="B27415" s="31"/>
      <c r="G27415" s="272" t="s">
        <v>1099</v>
      </c>
    </row>
    <row r="27416">
      <c r="B27416" s="31"/>
      <c r="G27416" s="272" t="s">
        <v>1099</v>
      </c>
    </row>
    <row r="27417">
      <c r="B27417" s="31"/>
      <c r="G27417" s="272" t="s">
        <v>1099</v>
      </c>
    </row>
    <row r="27418">
      <c r="B27418" s="31"/>
      <c r="G27418" s="272" t="s">
        <v>1099</v>
      </c>
    </row>
    <row r="27419">
      <c r="B27419" s="31"/>
      <c r="G27419" s="272" t="s">
        <v>1099</v>
      </c>
    </row>
    <row r="27420">
      <c r="B27420" s="31"/>
      <c r="G27420" s="272" t="s">
        <v>1099</v>
      </c>
    </row>
    <row r="27421">
      <c r="B27421" s="31"/>
      <c r="G27421" s="272" t="s">
        <v>1099</v>
      </c>
    </row>
    <row r="27422">
      <c r="B27422" s="31"/>
      <c r="G27422" s="272" t="s">
        <v>1099</v>
      </c>
    </row>
    <row r="27423">
      <c r="B27423" s="31"/>
      <c r="G27423" s="272" t="s">
        <v>1099</v>
      </c>
    </row>
    <row r="27424">
      <c r="B27424" s="31"/>
      <c r="G27424" s="272" t="s">
        <v>1099</v>
      </c>
    </row>
    <row r="27425">
      <c r="B27425" s="31"/>
      <c r="G27425" s="272" t="s">
        <v>1099</v>
      </c>
    </row>
    <row r="27426">
      <c r="B27426" s="31"/>
      <c r="G27426" s="272" t="s">
        <v>1099</v>
      </c>
    </row>
    <row r="27427">
      <c r="B27427" s="31"/>
      <c r="G27427" s="272" t="s">
        <v>1099</v>
      </c>
    </row>
    <row r="27428">
      <c r="B27428" s="31"/>
      <c r="G27428" s="272" t="s">
        <v>1099</v>
      </c>
    </row>
    <row r="27429">
      <c r="B27429" s="31"/>
      <c r="G27429" s="272" t="s">
        <v>1099</v>
      </c>
    </row>
    <row r="27430">
      <c r="B27430" s="31"/>
      <c r="G27430" s="272" t="s">
        <v>1099</v>
      </c>
    </row>
    <row r="27431">
      <c r="B27431" s="31"/>
      <c r="G27431" s="272" t="s">
        <v>1099</v>
      </c>
    </row>
    <row r="27432">
      <c r="B27432" s="31"/>
      <c r="G27432" s="272" t="s">
        <v>1099</v>
      </c>
    </row>
    <row r="27433">
      <c r="B27433" s="31"/>
      <c r="G27433" s="272" t="s">
        <v>1099</v>
      </c>
    </row>
    <row r="27434">
      <c r="B27434" s="31"/>
      <c r="G27434" s="272" t="s">
        <v>1099</v>
      </c>
    </row>
    <row r="27435">
      <c r="B27435" s="31"/>
      <c r="G27435" s="272" t="s">
        <v>1099</v>
      </c>
    </row>
    <row r="27436">
      <c r="B27436" s="31"/>
      <c r="G27436" s="272" t="s">
        <v>1099</v>
      </c>
    </row>
    <row r="27437">
      <c r="B27437" s="31"/>
      <c r="G27437" s="272" t="s">
        <v>1099</v>
      </c>
    </row>
    <row r="27438">
      <c r="B27438" s="31"/>
      <c r="G27438" s="272" t="s">
        <v>1099</v>
      </c>
    </row>
    <row r="27439">
      <c r="B27439" s="31"/>
      <c r="G27439" s="272" t="s">
        <v>1099</v>
      </c>
    </row>
    <row r="27440">
      <c r="B27440" s="31"/>
      <c r="G27440" s="272" t="s">
        <v>1099</v>
      </c>
    </row>
    <row r="27441">
      <c r="B27441" s="31"/>
      <c r="G27441" s="272" t="s">
        <v>1099</v>
      </c>
    </row>
    <row r="27442">
      <c r="B27442" s="31"/>
      <c r="G27442" s="272" t="s">
        <v>1099</v>
      </c>
    </row>
    <row r="27443">
      <c r="B27443" s="31"/>
      <c r="G27443" s="272" t="s">
        <v>1099</v>
      </c>
    </row>
    <row r="27444">
      <c r="B27444" s="31"/>
      <c r="G27444" s="272" t="s">
        <v>1099</v>
      </c>
    </row>
    <row r="27445">
      <c r="B27445" s="31"/>
      <c r="G27445" s="272" t="s">
        <v>1099</v>
      </c>
    </row>
    <row r="27446">
      <c r="B27446" s="31"/>
      <c r="G27446" s="272" t="s">
        <v>1099</v>
      </c>
    </row>
    <row r="27447">
      <c r="B27447" s="31"/>
      <c r="G27447" s="272" t="s">
        <v>1099</v>
      </c>
    </row>
    <row r="27448">
      <c r="B27448" s="31"/>
      <c r="G27448" s="272" t="s">
        <v>1099</v>
      </c>
    </row>
    <row r="27449">
      <c r="B27449" s="31"/>
      <c r="G27449" s="272" t="s">
        <v>1099</v>
      </c>
    </row>
    <row r="27450">
      <c r="B27450" s="31"/>
      <c r="G27450" s="272" t="s">
        <v>1099</v>
      </c>
    </row>
    <row r="27451">
      <c r="B27451" s="31"/>
      <c r="G27451" s="272" t="s">
        <v>1099</v>
      </c>
    </row>
    <row r="27452">
      <c r="B27452" s="31"/>
      <c r="G27452" s="272" t="s">
        <v>1099</v>
      </c>
    </row>
    <row r="27453">
      <c r="B27453" s="31"/>
      <c r="G27453" s="272" t="s">
        <v>1099</v>
      </c>
    </row>
    <row r="27454">
      <c r="B27454" s="31"/>
      <c r="G27454" s="272" t="s">
        <v>1099</v>
      </c>
    </row>
    <row r="27455">
      <c r="B27455" s="31"/>
      <c r="G27455" s="272" t="s">
        <v>1099</v>
      </c>
    </row>
    <row r="27456">
      <c r="B27456" s="31"/>
      <c r="G27456" s="272" t="s">
        <v>1099</v>
      </c>
    </row>
    <row r="27457">
      <c r="B27457" s="31"/>
      <c r="G27457" s="272" t="s">
        <v>1099</v>
      </c>
    </row>
    <row r="27458">
      <c r="B27458" s="31"/>
      <c r="G27458" s="272" t="s">
        <v>1099</v>
      </c>
    </row>
    <row r="27459">
      <c r="B27459" s="31"/>
      <c r="G27459" s="272" t="s">
        <v>1099</v>
      </c>
    </row>
    <row r="27460">
      <c r="B27460" s="31"/>
      <c r="G27460" s="272" t="s">
        <v>1099</v>
      </c>
    </row>
    <row r="27461">
      <c r="B27461" s="31"/>
      <c r="G27461" s="272" t="s">
        <v>1099</v>
      </c>
    </row>
    <row r="27462">
      <c r="B27462" s="31"/>
      <c r="G27462" s="272" t="s">
        <v>1099</v>
      </c>
    </row>
    <row r="27463">
      <c r="B27463" s="31"/>
      <c r="G27463" s="272" t="s">
        <v>1099</v>
      </c>
    </row>
    <row r="27464">
      <c r="B27464" s="31"/>
      <c r="G27464" s="272" t="s">
        <v>1099</v>
      </c>
    </row>
    <row r="27465">
      <c r="B27465" s="31"/>
      <c r="G27465" s="272" t="s">
        <v>1099</v>
      </c>
    </row>
    <row r="27466">
      <c r="B27466" s="31"/>
      <c r="G27466" s="272" t="s">
        <v>1099</v>
      </c>
    </row>
    <row r="27467">
      <c r="B27467" s="31"/>
      <c r="G27467" s="272" t="s">
        <v>1099</v>
      </c>
    </row>
    <row r="27468">
      <c r="B27468" s="31"/>
      <c r="G27468" s="272" t="s">
        <v>1099</v>
      </c>
    </row>
    <row r="27469">
      <c r="B27469" s="31"/>
      <c r="G27469" s="272" t="s">
        <v>1099</v>
      </c>
    </row>
    <row r="27470">
      <c r="B27470" s="31"/>
      <c r="G27470" s="272" t="s">
        <v>1099</v>
      </c>
    </row>
    <row r="27471">
      <c r="B27471" s="31"/>
      <c r="G27471" s="272" t="s">
        <v>1099</v>
      </c>
    </row>
    <row r="27472">
      <c r="B27472" s="31"/>
      <c r="G27472" s="272" t="s">
        <v>1099</v>
      </c>
    </row>
    <row r="27473">
      <c r="B27473" s="31"/>
      <c r="G27473" s="272" t="s">
        <v>1099</v>
      </c>
    </row>
    <row r="27474">
      <c r="B27474" s="31"/>
      <c r="G27474" s="272" t="s">
        <v>1099</v>
      </c>
    </row>
    <row r="27475">
      <c r="B27475" s="31"/>
      <c r="G27475" s="272" t="s">
        <v>1099</v>
      </c>
    </row>
    <row r="27476">
      <c r="B27476" s="31"/>
      <c r="G27476" s="272" t="s">
        <v>1099</v>
      </c>
    </row>
    <row r="27477">
      <c r="B27477" s="31"/>
      <c r="G27477" s="272" t="s">
        <v>1099</v>
      </c>
    </row>
    <row r="27478">
      <c r="B27478" s="31"/>
      <c r="G27478" s="272" t="s">
        <v>1099</v>
      </c>
    </row>
    <row r="27479">
      <c r="B27479" s="31"/>
      <c r="G27479" s="272" t="s">
        <v>1099</v>
      </c>
    </row>
    <row r="27480">
      <c r="B27480" s="31"/>
      <c r="G27480" s="272" t="s">
        <v>1099</v>
      </c>
    </row>
    <row r="27481">
      <c r="B27481" s="31"/>
      <c r="G27481" s="272" t="s">
        <v>1099</v>
      </c>
    </row>
    <row r="27482">
      <c r="B27482" s="31"/>
      <c r="G27482" s="272" t="s">
        <v>1099</v>
      </c>
    </row>
    <row r="27483">
      <c r="B27483" s="31"/>
      <c r="G27483" s="272" t="s">
        <v>1099</v>
      </c>
    </row>
    <row r="27484">
      <c r="B27484" s="31"/>
      <c r="G27484" s="272" t="s">
        <v>1099</v>
      </c>
    </row>
    <row r="27485">
      <c r="B27485" s="31"/>
      <c r="G27485" s="272" t="s">
        <v>1099</v>
      </c>
    </row>
    <row r="27486">
      <c r="B27486" s="31"/>
      <c r="G27486" s="272" t="s">
        <v>1099</v>
      </c>
    </row>
    <row r="27487">
      <c r="B27487" s="31"/>
      <c r="G27487" s="272" t="s">
        <v>1099</v>
      </c>
    </row>
    <row r="27488">
      <c r="B27488" s="31"/>
      <c r="G27488" s="272" t="s">
        <v>1099</v>
      </c>
    </row>
    <row r="27489">
      <c r="B27489" s="31"/>
      <c r="G27489" s="272" t="s">
        <v>1099</v>
      </c>
    </row>
    <row r="27490">
      <c r="B27490" s="31"/>
      <c r="G27490" s="272" t="s">
        <v>1099</v>
      </c>
    </row>
    <row r="27491">
      <c r="B27491" s="31"/>
      <c r="G27491" s="272" t="s">
        <v>1099</v>
      </c>
    </row>
    <row r="27492">
      <c r="B27492" s="31"/>
      <c r="G27492" s="272" t="s">
        <v>1099</v>
      </c>
    </row>
    <row r="27493">
      <c r="B27493" s="31"/>
      <c r="G27493" s="272" t="s">
        <v>1099</v>
      </c>
    </row>
    <row r="27494">
      <c r="B27494" s="31"/>
      <c r="G27494" s="272" t="s">
        <v>1099</v>
      </c>
    </row>
    <row r="27495">
      <c r="B27495" s="31"/>
      <c r="G27495" s="272" t="s">
        <v>1099</v>
      </c>
    </row>
    <row r="27496">
      <c r="B27496" s="31"/>
      <c r="G27496" s="272" t="s">
        <v>1099</v>
      </c>
    </row>
    <row r="27497">
      <c r="B27497" s="31"/>
      <c r="G27497" s="272" t="s">
        <v>1099</v>
      </c>
    </row>
    <row r="27498">
      <c r="B27498" s="31"/>
      <c r="G27498" s="272" t="s">
        <v>1099</v>
      </c>
    </row>
    <row r="27499">
      <c r="B27499" s="31"/>
      <c r="G27499" s="272" t="s">
        <v>1099</v>
      </c>
    </row>
    <row r="27500">
      <c r="B27500" s="31"/>
      <c r="G27500" s="272" t="s">
        <v>1099</v>
      </c>
    </row>
    <row r="27501">
      <c r="B27501" s="31"/>
      <c r="G27501" s="272" t="s">
        <v>1099</v>
      </c>
    </row>
    <row r="27502">
      <c r="B27502" s="31"/>
      <c r="G27502" s="272" t="s">
        <v>1099</v>
      </c>
    </row>
    <row r="27503">
      <c r="B27503" s="31"/>
      <c r="G27503" s="272" t="s">
        <v>1099</v>
      </c>
    </row>
    <row r="27504">
      <c r="B27504" s="31"/>
      <c r="G27504" s="272" t="s">
        <v>1099</v>
      </c>
    </row>
    <row r="27505">
      <c r="B27505" s="31"/>
      <c r="G27505" s="272" t="s">
        <v>1099</v>
      </c>
    </row>
    <row r="27506">
      <c r="B27506" s="31"/>
      <c r="G27506" s="272" t="s">
        <v>1099</v>
      </c>
    </row>
    <row r="27507">
      <c r="B27507" s="31"/>
      <c r="G27507" s="272" t="s">
        <v>1099</v>
      </c>
    </row>
    <row r="27508">
      <c r="B27508" s="31"/>
      <c r="G27508" s="272" t="s">
        <v>1099</v>
      </c>
    </row>
    <row r="27509">
      <c r="B27509" s="31"/>
      <c r="G27509" s="272" t="s">
        <v>1099</v>
      </c>
    </row>
    <row r="27510">
      <c r="B27510" s="31"/>
      <c r="G27510" s="272" t="s">
        <v>1099</v>
      </c>
    </row>
    <row r="27511">
      <c r="B27511" s="31"/>
      <c r="G27511" s="272" t="s">
        <v>1099</v>
      </c>
    </row>
    <row r="27512">
      <c r="B27512" s="31"/>
      <c r="G27512" s="272" t="s">
        <v>1099</v>
      </c>
    </row>
    <row r="27513">
      <c r="B27513" s="31"/>
      <c r="G27513" s="272" t="s">
        <v>1099</v>
      </c>
    </row>
    <row r="27514">
      <c r="B27514" s="31"/>
      <c r="G27514" s="272" t="s">
        <v>1099</v>
      </c>
    </row>
    <row r="27515">
      <c r="B27515" s="31"/>
      <c r="G27515" s="272" t="s">
        <v>1099</v>
      </c>
    </row>
    <row r="27516">
      <c r="B27516" s="31"/>
      <c r="G27516" s="272" t="s">
        <v>1099</v>
      </c>
    </row>
    <row r="27517">
      <c r="B27517" s="31"/>
      <c r="G27517" s="272" t="s">
        <v>1099</v>
      </c>
    </row>
    <row r="27518">
      <c r="B27518" s="31"/>
      <c r="G27518" s="272" t="s">
        <v>1099</v>
      </c>
    </row>
    <row r="27519">
      <c r="B27519" s="31"/>
      <c r="G27519" s="272" t="s">
        <v>1099</v>
      </c>
    </row>
    <row r="27520">
      <c r="B27520" s="31"/>
      <c r="G27520" s="272" t="s">
        <v>1099</v>
      </c>
    </row>
    <row r="27521">
      <c r="B27521" s="31"/>
      <c r="G27521" s="272" t="s">
        <v>1099</v>
      </c>
    </row>
    <row r="27522">
      <c r="B27522" s="31"/>
      <c r="G27522" s="272" t="s">
        <v>1099</v>
      </c>
    </row>
    <row r="27523">
      <c r="B27523" s="31"/>
      <c r="G27523" s="272" t="s">
        <v>1099</v>
      </c>
    </row>
    <row r="27524">
      <c r="B27524" s="31"/>
      <c r="G27524" s="272" t="s">
        <v>1099</v>
      </c>
    </row>
    <row r="27525">
      <c r="B27525" s="31"/>
      <c r="G27525" s="272" t="s">
        <v>1099</v>
      </c>
    </row>
    <row r="27526">
      <c r="B27526" s="31"/>
      <c r="G27526" s="272" t="s">
        <v>1099</v>
      </c>
    </row>
    <row r="27527">
      <c r="B27527" s="31"/>
      <c r="G27527" s="272" t="s">
        <v>1099</v>
      </c>
    </row>
    <row r="27528">
      <c r="B27528" s="31"/>
      <c r="G27528" s="272" t="s">
        <v>1099</v>
      </c>
    </row>
    <row r="27529">
      <c r="B27529" s="31"/>
      <c r="G27529" s="272" t="s">
        <v>1099</v>
      </c>
    </row>
    <row r="27530">
      <c r="B27530" s="31"/>
      <c r="G27530" s="272" t="s">
        <v>1099</v>
      </c>
    </row>
    <row r="27531">
      <c r="B27531" s="31"/>
      <c r="G27531" s="272" t="s">
        <v>1099</v>
      </c>
    </row>
    <row r="27532">
      <c r="B27532" s="31"/>
      <c r="G27532" s="272" t="s">
        <v>1099</v>
      </c>
    </row>
    <row r="27533">
      <c r="B27533" s="31"/>
      <c r="G27533" s="272" t="s">
        <v>1099</v>
      </c>
    </row>
    <row r="27534">
      <c r="B27534" s="31"/>
      <c r="G27534" s="272" t="s">
        <v>1099</v>
      </c>
    </row>
    <row r="27535">
      <c r="B27535" s="31"/>
      <c r="G27535" s="272" t="s">
        <v>1099</v>
      </c>
    </row>
    <row r="27536">
      <c r="B27536" s="31"/>
      <c r="G27536" s="272" t="s">
        <v>1099</v>
      </c>
    </row>
    <row r="27537">
      <c r="B27537" s="31"/>
      <c r="G27537" s="272" t="s">
        <v>1099</v>
      </c>
    </row>
    <row r="27538">
      <c r="B27538" s="31"/>
      <c r="G27538" s="272" t="s">
        <v>1099</v>
      </c>
    </row>
    <row r="27539">
      <c r="B27539" s="31"/>
      <c r="G27539" s="272" t="s">
        <v>1099</v>
      </c>
    </row>
    <row r="27540">
      <c r="B27540" s="31"/>
      <c r="G27540" s="272" t="s">
        <v>1099</v>
      </c>
    </row>
    <row r="27541">
      <c r="B27541" s="31"/>
      <c r="G27541" s="272" t="s">
        <v>1099</v>
      </c>
    </row>
    <row r="27542">
      <c r="B27542" s="31"/>
      <c r="G27542" s="272" t="s">
        <v>1099</v>
      </c>
    </row>
    <row r="27543">
      <c r="B27543" s="31"/>
      <c r="G27543" s="272" t="s">
        <v>1099</v>
      </c>
    </row>
    <row r="27544">
      <c r="B27544" s="31"/>
      <c r="G27544" s="272" t="s">
        <v>1099</v>
      </c>
    </row>
    <row r="27545">
      <c r="B27545" s="31"/>
      <c r="G27545" s="272" t="s">
        <v>1099</v>
      </c>
    </row>
    <row r="27546">
      <c r="B27546" s="31"/>
      <c r="G27546" s="272" t="s">
        <v>1099</v>
      </c>
    </row>
    <row r="27547">
      <c r="B27547" s="31"/>
      <c r="G27547" s="272" t="s">
        <v>1099</v>
      </c>
    </row>
    <row r="27548">
      <c r="B27548" s="31"/>
      <c r="G27548" s="272" t="s">
        <v>1099</v>
      </c>
    </row>
    <row r="27549">
      <c r="B27549" s="31"/>
      <c r="G27549" s="272" t="s">
        <v>1099</v>
      </c>
    </row>
    <row r="27550">
      <c r="B27550" s="31"/>
      <c r="G27550" s="272" t="s">
        <v>1099</v>
      </c>
    </row>
    <row r="27551">
      <c r="B27551" s="31"/>
      <c r="G27551" s="272" t="s">
        <v>1099</v>
      </c>
    </row>
    <row r="27552">
      <c r="B27552" s="31"/>
      <c r="G27552" s="272" t="s">
        <v>1099</v>
      </c>
    </row>
    <row r="27553">
      <c r="B27553" s="31"/>
      <c r="G27553" s="272" t="s">
        <v>1099</v>
      </c>
    </row>
    <row r="27554">
      <c r="B27554" s="31"/>
      <c r="G27554" s="272" t="s">
        <v>1099</v>
      </c>
    </row>
    <row r="27555">
      <c r="B27555" s="31"/>
      <c r="G27555" s="272" t="s">
        <v>1099</v>
      </c>
    </row>
    <row r="27556">
      <c r="B27556" s="31"/>
      <c r="G27556" s="272" t="s">
        <v>1099</v>
      </c>
    </row>
    <row r="27557">
      <c r="B27557" s="31"/>
      <c r="G27557" s="272" t="s">
        <v>1099</v>
      </c>
    </row>
    <row r="27558">
      <c r="B27558" s="31"/>
      <c r="G27558" s="272" t="s">
        <v>1099</v>
      </c>
    </row>
    <row r="27559">
      <c r="B27559" s="31"/>
      <c r="G27559" s="272" t="s">
        <v>1099</v>
      </c>
    </row>
    <row r="27560">
      <c r="B27560" s="31"/>
      <c r="G27560" s="272" t="s">
        <v>1099</v>
      </c>
    </row>
    <row r="27561">
      <c r="B27561" s="31"/>
      <c r="G27561" s="272" t="s">
        <v>1099</v>
      </c>
    </row>
    <row r="27562">
      <c r="B27562" s="31"/>
      <c r="G27562" s="272" t="s">
        <v>1099</v>
      </c>
    </row>
    <row r="27563">
      <c r="B27563" s="31"/>
      <c r="G27563" s="272" t="s">
        <v>1099</v>
      </c>
    </row>
    <row r="27564">
      <c r="B27564" s="31"/>
      <c r="G27564" s="272" t="s">
        <v>1099</v>
      </c>
    </row>
    <row r="27565">
      <c r="B27565" s="31"/>
      <c r="G27565" s="272" t="s">
        <v>1099</v>
      </c>
    </row>
    <row r="27566">
      <c r="B27566" s="31"/>
      <c r="G27566" s="272" t="s">
        <v>1099</v>
      </c>
    </row>
    <row r="27567">
      <c r="B27567" s="31"/>
      <c r="G27567" s="272" t="s">
        <v>1099</v>
      </c>
    </row>
    <row r="27568">
      <c r="B27568" s="31"/>
      <c r="G27568" s="272" t="s">
        <v>1099</v>
      </c>
    </row>
    <row r="27569">
      <c r="B27569" s="31"/>
      <c r="G27569" s="272" t="s">
        <v>1099</v>
      </c>
    </row>
    <row r="27570">
      <c r="B27570" s="31"/>
      <c r="G27570" s="272" t="s">
        <v>1099</v>
      </c>
    </row>
    <row r="27571">
      <c r="B27571" s="31"/>
      <c r="G27571" s="272" t="s">
        <v>1099</v>
      </c>
    </row>
    <row r="27572">
      <c r="B27572" s="31"/>
      <c r="G27572" s="272" t="s">
        <v>1099</v>
      </c>
    </row>
    <row r="27573">
      <c r="B27573" s="31"/>
      <c r="G27573" s="272" t="s">
        <v>1099</v>
      </c>
    </row>
    <row r="27574">
      <c r="B27574" s="31"/>
      <c r="G27574" s="272" t="s">
        <v>1099</v>
      </c>
    </row>
    <row r="27575">
      <c r="B27575" s="31"/>
      <c r="G27575" s="272" t="s">
        <v>1099</v>
      </c>
    </row>
    <row r="27576">
      <c r="B27576" s="31"/>
      <c r="G27576" s="272" t="s">
        <v>1099</v>
      </c>
    </row>
    <row r="27577">
      <c r="B27577" s="31"/>
      <c r="G27577" s="272" t="s">
        <v>1099</v>
      </c>
    </row>
    <row r="27578">
      <c r="B27578" s="31"/>
      <c r="G27578" s="272" t="s">
        <v>1099</v>
      </c>
    </row>
    <row r="27579">
      <c r="B27579" s="31"/>
      <c r="G27579" s="272" t="s">
        <v>1099</v>
      </c>
    </row>
    <row r="27580">
      <c r="B27580" s="31"/>
      <c r="G27580" s="272" t="s">
        <v>1099</v>
      </c>
    </row>
    <row r="27581">
      <c r="B27581" s="31"/>
      <c r="G27581" s="272" t="s">
        <v>1099</v>
      </c>
    </row>
    <row r="27582">
      <c r="B27582" s="31"/>
      <c r="G27582" s="272" t="s">
        <v>1099</v>
      </c>
    </row>
    <row r="27583">
      <c r="B27583" s="31"/>
      <c r="G27583" s="272" t="s">
        <v>1099</v>
      </c>
    </row>
    <row r="27584">
      <c r="B27584" s="31"/>
      <c r="G27584" s="272" t="s">
        <v>1099</v>
      </c>
    </row>
    <row r="27585">
      <c r="B27585" s="31"/>
      <c r="G27585" s="272" t="s">
        <v>1099</v>
      </c>
    </row>
    <row r="27586">
      <c r="B27586" s="31"/>
      <c r="G27586" s="272" t="s">
        <v>1099</v>
      </c>
    </row>
    <row r="27587">
      <c r="B27587" s="31"/>
      <c r="G27587" s="272" t="s">
        <v>1099</v>
      </c>
    </row>
    <row r="27588">
      <c r="B27588" s="31"/>
      <c r="G27588" s="272" t="s">
        <v>1099</v>
      </c>
    </row>
    <row r="27589">
      <c r="B27589" s="31"/>
      <c r="G27589" s="272" t="s">
        <v>1099</v>
      </c>
    </row>
    <row r="27590">
      <c r="B27590" s="31"/>
      <c r="G27590" s="272" t="s">
        <v>1099</v>
      </c>
    </row>
    <row r="27591">
      <c r="B27591" s="31"/>
      <c r="G27591" s="272" t="s">
        <v>1099</v>
      </c>
    </row>
    <row r="27592">
      <c r="B27592" s="31"/>
      <c r="G27592" s="272" t="s">
        <v>1099</v>
      </c>
    </row>
    <row r="27593">
      <c r="B27593" s="31"/>
      <c r="G27593" s="272" t="s">
        <v>1099</v>
      </c>
    </row>
    <row r="27594">
      <c r="B27594" s="31"/>
      <c r="G27594" s="272" t="s">
        <v>1099</v>
      </c>
    </row>
    <row r="27595">
      <c r="B27595" s="31"/>
      <c r="G27595" s="272" t="s">
        <v>1099</v>
      </c>
    </row>
    <row r="27596">
      <c r="B27596" s="31"/>
      <c r="G27596" s="272" t="s">
        <v>1099</v>
      </c>
    </row>
    <row r="27597">
      <c r="B27597" s="31"/>
      <c r="G27597" s="272" t="s">
        <v>1099</v>
      </c>
    </row>
    <row r="27598">
      <c r="B27598" s="31"/>
      <c r="G27598" s="272" t="s">
        <v>1099</v>
      </c>
    </row>
    <row r="27599">
      <c r="B27599" s="31"/>
      <c r="G27599" s="272" t="s">
        <v>1099</v>
      </c>
    </row>
    <row r="27600">
      <c r="B27600" s="31"/>
      <c r="G27600" s="272" t="s">
        <v>1099</v>
      </c>
    </row>
    <row r="27601">
      <c r="B27601" s="31"/>
      <c r="G27601" s="272" t="s">
        <v>1099</v>
      </c>
    </row>
    <row r="27602">
      <c r="B27602" s="31"/>
      <c r="G27602" s="272" t="s">
        <v>1099</v>
      </c>
    </row>
    <row r="27603">
      <c r="B27603" s="31"/>
      <c r="G27603" s="272" t="s">
        <v>1099</v>
      </c>
    </row>
    <row r="27604">
      <c r="B27604" s="31"/>
      <c r="G27604" s="272" t="s">
        <v>1099</v>
      </c>
    </row>
    <row r="27605">
      <c r="B27605" s="31"/>
      <c r="G27605" s="272" t="s">
        <v>1099</v>
      </c>
    </row>
    <row r="27606">
      <c r="B27606" s="31"/>
      <c r="G27606" s="272" t="s">
        <v>1099</v>
      </c>
    </row>
    <row r="27607">
      <c r="B27607" s="31"/>
      <c r="G27607" s="272" t="s">
        <v>1099</v>
      </c>
    </row>
    <row r="27608">
      <c r="B27608" s="31"/>
      <c r="G27608" s="272" t="s">
        <v>1099</v>
      </c>
    </row>
    <row r="27609">
      <c r="B27609" s="31"/>
      <c r="G27609" s="272" t="s">
        <v>1099</v>
      </c>
    </row>
    <row r="27610">
      <c r="B27610" s="31"/>
      <c r="G27610" s="272" t="s">
        <v>1099</v>
      </c>
    </row>
    <row r="27611">
      <c r="B27611" s="31"/>
      <c r="G27611" s="272" t="s">
        <v>1099</v>
      </c>
    </row>
    <row r="27612">
      <c r="B27612" s="31"/>
      <c r="G27612" s="272" t="s">
        <v>1099</v>
      </c>
    </row>
    <row r="27613">
      <c r="B27613" s="31"/>
      <c r="G27613" s="272" t="s">
        <v>1099</v>
      </c>
    </row>
    <row r="27614">
      <c r="B27614" s="31"/>
      <c r="G27614" s="272" t="s">
        <v>1099</v>
      </c>
    </row>
    <row r="27615">
      <c r="B27615" s="31"/>
      <c r="G27615" s="272" t="s">
        <v>1099</v>
      </c>
    </row>
    <row r="27616">
      <c r="B27616" s="31"/>
      <c r="G27616" s="272" t="s">
        <v>1099</v>
      </c>
    </row>
    <row r="27617">
      <c r="B27617" s="31"/>
      <c r="G27617" s="272" t="s">
        <v>1099</v>
      </c>
    </row>
    <row r="27618">
      <c r="B27618" s="31"/>
      <c r="G27618" s="272" t="s">
        <v>1099</v>
      </c>
    </row>
    <row r="27619">
      <c r="B27619" s="31"/>
      <c r="G27619" s="272" t="s">
        <v>1099</v>
      </c>
    </row>
    <row r="27620">
      <c r="B27620" s="31"/>
      <c r="G27620" s="272" t="s">
        <v>1099</v>
      </c>
    </row>
    <row r="27621">
      <c r="B27621" s="31"/>
      <c r="G27621" s="272" t="s">
        <v>1099</v>
      </c>
    </row>
    <row r="27622">
      <c r="B27622" s="31"/>
      <c r="G27622" s="272" t="s">
        <v>1099</v>
      </c>
    </row>
    <row r="27623">
      <c r="B27623" s="31"/>
      <c r="G27623" s="272" t="s">
        <v>1099</v>
      </c>
    </row>
    <row r="27624">
      <c r="B27624" s="31"/>
      <c r="G27624" s="272" t="s">
        <v>1099</v>
      </c>
    </row>
    <row r="27625">
      <c r="B27625" s="31"/>
      <c r="G27625" s="272" t="s">
        <v>1099</v>
      </c>
    </row>
    <row r="27626">
      <c r="B27626" s="31"/>
      <c r="G27626" s="272" t="s">
        <v>1099</v>
      </c>
    </row>
    <row r="27627">
      <c r="B27627" s="31"/>
      <c r="G27627" s="272" t="s">
        <v>1099</v>
      </c>
    </row>
    <row r="27628">
      <c r="B27628" s="31"/>
      <c r="G27628" s="272" t="s">
        <v>1099</v>
      </c>
    </row>
    <row r="27629">
      <c r="B27629" s="31"/>
      <c r="G27629" s="272" t="s">
        <v>1099</v>
      </c>
    </row>
    <row r="27630">
      <c r="B27630" s="31"/>
      <c r="G27630" s="272" t="s">
        <v>1099</v>
      </c>
    </row>
    <row r="27631">
      <c r="B27631" s="31"/>
      <c r="G27631" s="272" t="s">
        <v>1099</v>
      </c>
    </row>
    <row r="27632">
      <c r="B27632" s="31"/>
      <c r="G27632" s="272" t="s">
        <v>1099</v>
      </c>
    </row>
    <row r="27633">
      <c r="B27633" s="31"/>
      <c r="G27633" s="272" t="s">
        <v>1099</v>
      </c>
    </row>
    <row r="27634">
      <c r="B27634" s="31"/>
      <c r="G27634" s="272" t="s">
        <v>1099</v>
      </c>
    </row>
    <row r="27635">
      <c r="B27635" s="31"/>
      <c r="G27635" s="272" t="s">
        <v>1099</v>
      </c>
    </row>
    <row r="27636">
      <c r="B27636" s="31"/>
      <c r="G27636" s="272" t="s">
        <v>1099</v>
      </c>
    </row>
    <row r="27637">
      <c r="B27637" s="31"/>
      <c r="G27637" s="272" t="s">
        <v>1099</v>
      </c>
    </row>
    <row r="27638">
      <c r="B27638" s="31"/>
      <c r="G27638" s="272" t="s">
        <v>1099</v>
      </c>
    </row>
    <row r="27639">
      <c r="B27639" s="31"/>
      <c r="G27639" s="272" t="s">
        <v>1099</v>
      </c>
    </row>
    <row r="27640">
      <c r="B27640" s="31"/>
      <c r="G27640" s="272" t="s">
        <v>1099</v>
      </c>
    </row>
    <row r="27641">
      <c r="B27641" s="31"/>
      <c r="G27641" s="272" t="s">
        <v>1099</v>
      </c>
    </row>
    <row r="27642">
      <c r="B27642" s="31"/>
      <c r="G27642" s="272" t="s">
        <v>1099</v>
      </c>
    </row>
    <row r="27643">
      <c r="B27643" s="31"/>
      <c r="G27643" s="272" t="s">
        <v>1099</v>
      </c>
    </row>
    <row r="27644">
      <c r="B27644" s="31"/>
      <c r="G27644" s="272" t="s">
        <v>1099</v>
      </c>
    </row>
    <row r="27645">
      <c r="B27645" s="31"/>
      <c r="G27645" s="272" t="s">
        <v>1099</v>
      </c>
    </row>
    <row r="27646">
      <c r="B27646" s="31"/>
      <c r="G27646" s="272" t="s">
        <v>1099</v>
      </c>
    </row>
    <row r="27647">
      <c r="B27647" s="31"/>
      <c r="G27647" s="272" t="s">
        <v>1099</v>
      </c>
    </row>
    <row r="27648">
      <c r="B27648" s="31"/>
      <c r="G27648" s="272" t="s">
        <v>1099</v>
      </c>
    </row>
    <row r="27649">
      <c r="B27649" s="31"/>
      <c r="G27649" s="272" t="s">
        <v>1099</v>
      </c>
    </row>
    <row r="27650">
      <c r="B27650" s="31"/>
      <c r="G27650" s="272" t="s">
        <v>1099</v>
      </c>
    </row>
    <row r="27651">
      <c r="B27651" s="31"/>
      <c r="G27651" s="272" t="s">
        <v>1099</v>
      </c>
    </row>
    <row r="27652">
      <c r="B27652" s="31"/>
      <c r="G27652" s="272" t="s">
        <v>1099</v>
      </c>
    </row>
    <row r="27653">
      <c r="B27653" s="31"/>
      <c r="G27653" s="272" t="s">
        <v>1099</v>
      </c>
    </row>
    <row r="27654">
      <c r="B27654" s="31"/>
      <c r="G27654" s="272" t="s">
        <v>1099</v>
      </c>
    </row>
    <row r="27655">
      <c r="B27655" s="31"/>
      <c r="G27655" s="272" t="s">
        <v>1099</v>
      </c>
    </row>
    <row r="27656">
      <c r="B27656" s="31"/>
      <c r="G27656" s="272" t="s">
        <v>1099</v>
      </c>
    </row>
    <row r="27657">
      <c r="B27657" s="31"/>
      <c r="G27657" s="272" t="s">
        <v>1099</v>
      </c>
    </row>
    <row r="27658">
      <c r="B27658" s="31"/>
      <c r="G27658" s="272" t="s">
        <v>1099</v>
      </c>
    </row>
    <row r="27659">
      <c r="B27659" s="31"/>
      <c r="G27659" s="272" t="s">
        <v>1099</v>
      </c>
    </row>
    <row r="27660">
      <c r="B27660" s="31"/>
      <c r="G27660" s="272" t="s">
        <v>1099</v>
      </c>
    </row>
    <row r="27661">
      <c r="B27661" s="31"/>
      <c r="G27661" s="272" t="s">
        <v>1099</v>
      </c>
    </row>
    <row r="27662">
      <c r="B27662" s="31"/>
      <c r="G27662" s="272" t="s">
        <v>1099</v>
      </c>
    </row>
    <row r="27663">
      <c r="B27663" s="31"/>
      <c r="G27663" s="272" t="s">
        <v>1099</v>
      </c>
    </row>
    <row r="27664">
      <c r="B27664" s="31"/>
      <c r="G27664" s="272" t="s">
        <v>1099</v>
      </c>
    </row>
    <row r="27665">
      <c r="B27665" s="31"/>
      <c r="G27665" s="272" t="s">
        <v>1099</v>
      </c>
    </row>
    <row r="27666">
      <c r="B27666" s="31"/>
      <c r="G27666" s="272" t="s">
        <v>1099</v>
      </c>
    </row>
    <row r="27667">
      <c r="B27667" s="31"/>
      <c r="G27667" s="272" t="s">
        <v>1099</v>
      </c>
    </row>
    <row r="27668">
      <c r="B27668" s="31"/>
      <c r="G27668" s="272" t="s">
        <v>1099</v>
      </c>
    </row>
    <row r="27669">
      <c r="B27669" s="31"/>
      <c r="G27669" s="272" t="s">
        <v>1099</v>
      </c>
    </row>
    <row r="27670">
      <c r="B27670" s="31"/>
      <c r="G27670" s="272" t="s">
        <v>1099</v>
      </c>
    </row>
    <row r="27671">
      <c r="B27671" s="31"/>
      <c r="G27671" s="272" t="s">
        <v>1099</v>
      </c>
    </row>
    <row r="27672">
      <c r="B27672" s="31"/>
      <c r="G27672" s="272" t="s">
        <v>1099</v>
      </c>
    </row>
    <row r="27673">
      <c r="B27673" s="31"/>
      <c r="G27673" s="272" t="s">
        <v>1099</v>
      </c>
    </row>
    <row r="27674">
      <c r="B27674" s="31"/>
      <c r="G27674" s="272" t="s">
        <v>1099</v>
      </c>
    </row>
    <row r="27675">
      <c r="B27675" s="31"/>
      <c r="G27675" s="272" t="s">
        <v>1099</v>
      </c>
    </row>
    <row r="27676">
      <c r="B27676" s="31"/>
      <c r="G27676" s="272" t="s">
        <v>1099</v>
      </c>
    </row>
    <row r="27677">
      <c r="B27677" s="31"/>
      <c r="G27677" s="272" t="s">
        <v>1099</v>
      </c>
    </row>
    <row r="27678">
      <c r="B27678" s="31"/>
      <c r="G27678" s="272" t="s">
        <v>1099</v>
      </c>
    </row>
    <row r="27679">
      <c r="B27679" s="31"/>
      <c r="G27679" s="272" t="s">
        <v>1099</v>
      </c>
    </row>
    <row r="27680">
      <c r="B27680" s="31"/>
      <c r="G27680" s="272" t="s">
        <v>1099</v>
      </c>
    </row>
    <row r="27681">
      <c r="B27681" s="31"/>
      <c r="G27681" s="272" t="s">
        <v>1099</v>
      </c>
    </row>
    <row r="27682">
      <c r="B27682" s="31"/>
      <c r="G27682" s="272" t="s">
        <v>1099</v>
      </c>
    </row>
    <row r="27683">
      <c r="B27683" s="31"/>
      <c r="G27683" s="272" t="s">
        <v>1099</v>
      </c>
    </row>
    <row r="27684">
      <c r="B27684" s="31"/>
      <c r="G27684" s="272" t="s">
        <v>1099</v>
      </c>
    </row>
    <row r="27685">
      <c r="B27685" s="31"/>
      <c r="G27685" s="272" t="s">
        <v>1099</v>
      </c>
    </row>
    <row r="27686">
      <c r="B27686" s="31"/>
      <c r="G27686" s="272" t="s">
        <v>1099</v>
      </c>
    </row>
    <row r="27687">
      <c r="B27687" s="31"/>
      <c r="G27687" s="272" t="s">
        <v>1099</v>
      </c>
    </row>
    <row r="27688">
      <c r="B27688" s="31"/>
      <c r="G27688" s="272" t="s">
        <v>1099</v>
      </c>
    </row>
    <row r="27689">
      <c r="B27689" s="31"/>
      <c r="G27689" s="272" t="s">
        <v>1099</v>
      </c>
    </row>
    <row r="27690">
      <c r="B27690" s="31"/>
      <c r="G27690" s="272" t="s">
        <v>1099</v>
      </c>
    </row>
    <row r="27691">
      <c r="B27691" s="31"/>
      <c r="G27691" s="272" t="s">
        <v>1099</v>
      </c>
    </row>
    <row r="27692">
      <c r="B27692" s="31"/>
      <c r="G27692" s="272" t="s">
        <v>1099</v>
      </c>
    </row>
    <row r="27693">
      <c r="B27693" s="31"/>
      <c r="G27693" s="272" t="s">
        <v>1099</v>
      </c>
    </row>
    <row r="27694">
      <c r="B27694" s="31"/>
      <c r="G27694" s="272" t="s">
        <v>1099</v>
      </c>
    </row>
    <row r="27695">
      <c r="B27695" s="31"/>
      <c r="G27695" s="272" t="s">
        <v>1099</v>
      </c>
    </row>
    <row r="27696">
      <c r="B27696" s="31"/>
      <c r="G27696" s="272" t="s">
        <v>1099</v>
      </c>
    </row>
    <row r="27697">
      <c r="B27697" s="31"/>
      <c r="G27697" s="272" t="s">
        <v>1099</v>
      </c>
    </row>
    <row r="27698">
      <c r="B27698" s="31"/>
      <c r="G27698" s="272" t="s">
        <v>1099</v>
      </c>
    </row>
    <row r="27699">
      <c r="B27699" s="31"/>
      <c r="G27699" s="272" t="s">
        <v>1099</v>
      </c>
    </row>
    <row r="27700">
      <c r="B27700" s="31"/>
      <c r="G27700" s="272" t="s">
        <v>1099</v>
      </c>
    </row>
    <row r="27701">
      <c r="B27701" s="31"/>
      <c r="G27701" s="272" t="s">
        <v>1099</v>
      </c>
    </row>
    <row r="27702">
      <c r="B27702" s="31"/>
      <c r="G27702" s="272" t="s">
        <v>1099</v>
      </c>
    </row>
    <row r="27703">
      <c r="B27703" s="31"/>
      <c r="G27703" s="272" t="s">
        <v>1099</v>
      </c>
    </row>
    <row r="27704">
      <c r="B27704" s="31"/>
      <c r="G27704" s="272" t="s">
        <v>1099</v>
      </c>
    </row>
    <row r="27705">
      <c r="B27705" s="31"/>
      <c r="G27705" s="272" t="s">
        <v>1099</v>
      </c>
    </row>
    <row r="27706">
      <c r="B27706" s="31"/>
      <c r="G27706" s="272" t="s">
        <v>1099</v>
      </c>
    </row>
    <row r="27707">
      <c r="B27707" s="31"/>
      <c r="G27707" s="272" t="s">
        <v>1099</v>
      </c>
    </row>
    <row r="27708">
      <c r="B27708" s="31"/>
      <c r="G27708" s="272" t="s">
        <v>1099</v>
      </c>
    </row>
    <row r="27709">
      <c r="B27709" s="31"/>
      <c r="G27709" s="272" t="s">
        <v>1099</v>
      </c>
    </row>
    <row r="27710">
      <c r="B27710" s="31"/>
      <c r="G27710" s="272" t="s">
        <v>1099</v>
      </c>
    </row>
    <row r="27711">
      <c r="B27711" s="31"/>
      <c r="G27711" s="272" t="s">
        <v>1099</v>
      </c>
    </row>
    <row r="27712">
      <c r="B27712" s="31"/>
      <c r="G27712" s="272" t="s">
        <v>1099</v>
      </c>
    </row>
    <row r="27713">
      <c r="B27713" s="31"/>
      <c r="G27713" s="272" t="s">
        <v>1099</v>
      </c>
    </row>
    <row r="27714">
      <c r="B27714" s="31"/>
      <c r="G27714" s="272" t="s">
        <v>1099</v>
      </c>
    </row>
    <row r="27715">
      <c r="B27715" s="31"/>
      <c r="G27715" s="272" t="s">
        <v>1099</v>
      </c>
    </row>
    <row r="27716">
      <c r="B27716" s="31"/>
      <c r="G27716" s="272" t="s">
        <v>1099</v>
      </c>
    </row>
    <row r="27717">
      <c r="B27717" s="31"/>
      <c r="G27717" s="272" t="s">
        <v>1099</v>
      </c>
    </row>
    <row r="27718">
      <c r="B27718" s="31"/>
      <c r="G27718" s="272" t="s">
        <v>1099</v>
      </c>
    </row>
    <row r="27719">
      <c r="B27719" s="31"/>
      <c r="G27719" s="272" t="s">
        <v>1099</v>
      </c>
    </row>
    <row r="27720">
      <c r="B27720" s="31"/>
      <c r="G27720" s="272" t="s">
        <v>1099</v>
      </c>
    </row>
    <row r="27721">
      <c r="B27721" s="31"/>
      <c r="G27721" s="272" t="s">
        <v>1099</v>
      </c>
    </row>
    <row r="27722">
      <c r="B27722" s="31"/>
      <c r="G27722" s="272" t="s">
        <v>1099</v>
      </c>
    </row>
    <row r="27723">
      <c r="B27723" s="31"/>
      <c r="G27723" s="272" t="s">
        <v>1099</v>
      </c>
    </row>
    <row r="27724">
      <c r="B27724" s="31"/>
      <c r="G27724" s="272" t="s">
        <v>1099</v>
      </c>
    </row>
    <row r="27725">
      <c r="B27725" s="31"/>
      <c r="G27725" s="272" t="s">
        <v>1099</v>
      </c>
    </row>
    <row r="27726">
      <c r="B27726" s="31"/>
      <c r="G27726" s="272" t="s">
        <v>1099</v>
      </c>
    </row>
    <row r="27727">
      <c r="B27727" s="31"/>
      <c r="G27727" s="272" t="s">
        <v>1099</v>
      </c>
    </row>
    <row r="27728">
      <c r="B27728" s="31"/>
      <c r="G27728" s="272" t="s">
        <v>1099</v>
      </c>
    </row>
    <row r="27729">
      <c r="B27729" s="31"/>
      <c r="G27729" s="272" t="s">
        <v>1099</v>
      </c>
    </row>
    <row r="27730">
      <c r="B27730" s="31"/>
      <c r="G27730" s="272" t="s">
        <v>1099</v>
      </c>
    </row>
    <row r="27731">
      <c r="B27731" s="31"/>
      <c r="G27731" s="272" t="s">
        <v>1099</v>
      </c>
    </row>
    <row r="27732">
      <c r="B27732" s="31"/>
      <c r="G27732" s="272" t="s">
        <v>1099</v>
      </c>
    </row>
    <row r="27733">
      <c r="B27733" s="31"/>
      <c r="G27733" s="272" t="s">
        <v>1099</v>
      </c>
    </row>
    <row r="27734">
      <c r="B27734" s="31"/>
      <c r="G27734" s="272" t="s">
        <v>1099</v>
      </c>
    </row>
    <row r="27735">
      <c r="B27735" s="31"/>
      <c r="G27735" s="272" t="s">
        <v>1099</v>
      </c>
    </row>
    <row r="27736">
      <c r="B27736" s="31"/>
      <c r="G27736" s="272" t="s">
        <v>1099</v>
      </c>
    </row>
    <row r="27737">
      <c r="B27737" s="31"/>
      <c r="G27737" s="272" t="s">
        <v>1099</v>
      </c>
    </row>
    <row r="27738">
      <c r="B27738" s="31"/>
      <c r="G27738" s="272" t="s">
        <v>1099</v>
      </c>
    </row>
    <row r="27739">
      <c r="B27739" s="31"/>
      <c r="G27739" s="272" t="s">
        <v>1099</v>
      </c>
    </row>
    <row r="27740">
      <c r="B27740" s="31"/>
      <c r="G27740" s="272" t="s">
        <v>1099</v>
      </c>
    </row>
    <row r="27741">
      <c r="B27741" s="31"/>
      <c r="G27741" s="272" t="s">
        <v>1099</v>
      </c>
    </row>
    <row r="27742">
      <c r="B27742" s="31"/>
      <c r="G27742" s="272" t="s">
        <v>1099</v>
      </c>
    </row>
    <row r="27743">
      <c r="B27743" s="31"/>
      <c r="G27743" s="272" t="s">
        <v>1099</v>
      </c>
    </row>
    <row r="27744">
      <c r="B27744" s="31"/>
      <c r="G27744" s="272" t="s">
        <v>1099</v>
      </c>
    </row>
    <row r="27745">
      <c r="B27745" s="31"/>
      <c r="G27745" s="272" t="s">
        <v>1099</v>
      </c>
    </row>
    <row r="27746">
      <c r="B27746" s="31"/>
      <c r="G27746" s="272" t="s">
        <v>1099</v>
      </c>
    </row>
    <row r="27747">
      <c r="B27747" s="31"/>
      <c r="G27747" s="272" t="s">
        <v>1099</v>
      </c>
    </row>
    <row r="27748">
      <c r="B27748" s="31"/>
      <c r="G27748" s="272" t="s">
        <v>1099</v>
      </c>
    </row>
    <row r="27749">
      <c r="B27749" s="31"/>
      <c r="G27749" s="272" t="s">
        <v>1099</v>
      </c>
    </row>
    <row r="27750">
      <c r="B27750" s="31"/>
      <c r="G27750" s="272" t="s">
        <v>1099</v>
      </c>
    </row>
    <row r="27751">
      <c r="B27751" s="31"/>
      <c r="G27751" s="272" t="s">
        <v>1099</v>
      </c>
    </row>
    <row r="27752">
      <c r="B27752" s="31"/>
      <c r="G27752" s="272" t="s">
        <v>1099</v>
      </c>
    </row>
    <row r="27753">
      <c r="B27753" s="31"/>
      <c r="G27753" s="272" t="s">
        <v>1099</v>
      </c>
    </row>
    <row r="27754">
      <c r="B27754" s="31"/>
      <c r="G27754" s="272" t="s">
        <v>1099</v>
      </c>
    </row>
    <row r="27755">
      <c r="B27755" s="31"/>
      <c r="G27755" s="272" t="s">
        <v>1099</v>
      </c>
    </row>
    <row r="27756">
      <c r="B27756" s="31"/>
      <c r="G27756" s="272" t="s">
        <v>1099</v>
      </c>
    </row>
    <row r="27757">
      <c r="B27757" s="31"/>
      <c r="G27757" s="272" t="s">
        <v>1099</v>
      </c>
    </row>
    <row r="27758">
      <c r="B27758" s="31"/>
      <c r="G27758" s="272" t="s">
        <v>1099</v>
      </c>
    </row>
    <row r="27759">
      <c r="B27759" s="31"/>
      <c r="G27759" s="272" t="s">
        <v>1099</v>
      </c>
    </row>
    <row r="27760">
      <c r="B27760" s="31"/>
      <c r="G27760" s="272" t="s">
        <v>1099</v>
      </c>
    </row>
    <row r="27761">
      <c r="B27761" s="31"/>
      <c r="G27761" s="272" t="s">
        <v>1099</v>
      </c>
    </row>
    <row r="27762">
      <c r="B27762" s="31"/>
      <c r="G27762" s="272" t="s">
        <v>1099</v>
      </c>
    </row>
    <row r="27763">
      <c r="B27763" s="31"/>
      <c r="G27763" s="272" t="s">
        <v>1099</v>
      </c>
    </row>
    <row r="27764">
      <c r="B27764" s="31"/>
      <c r="G27764" s="272" t="s">
        <v>1099</v>
      </c>
    </row>
    <row r="27765">
      <c r="B27765" s="31"/>
      <c r="G27765" s="272" t="s">
        <v>1099</v>
      </c>
    </row>
    <row r="27766">
      <c r="B27766" s="31"/>
      <c r="G27766" s="272" t="s">
        <v>1099</v>
      </c>
    </row>
    <row r="27767">
      <c r="B27767" s="31"/>
      <c r="G27767" s="272" t="s">
        <v>1099</v>
      </c>
    </row>
    <row r="27768">
      <c r="B27768" s="31"/>
      <c r="G27768" s="272" t="s">
        <v>1099</v>
      </c>
    </row>
    <row r="27769">
      <c r="B27769" s="31"/>
      <c r="G27769" s="272" t="s">
        <v>1099</v>
      </c>
    </row>
    <row r="27770">
      <c r="B27770" s="31"/>
      <c r="G27770" s="272" t="s">
        <v>1099</v>
      </c>
    </row>
    <row r="27771">
      <c r="B27771" s="31"/>
      <c r="G27771" s="272" t="s">
        <v>1099</v>
      </c>
    </row>
    <row r="27772">
      <c r="B27772" s="31"/>
      <c r="G27772" s="272" t="s">
        <v>1099</v>
      </c>
    </row>
    <row r="27773">
      <c r="B27773" s="31"/>
      <c r="G27773" s="272" t="s">
        <v>1099</v>
      </c>
    </row>
    <row r="27774">
      <c r="B27774" s="31"/>
      <c r="G27774" s="272" t="s">
        <v>1099</v>
      </c>
    </row>
    <row r="27775">
      <c r="B27775" s="31"/>
      <c r="G27775" s="272" t="s">
        <v>1099</v>
      </c>
    </row>
    <row r="27776">
      <c r="B27776" s="31"/>
      <c r="G27776" s="272" t="s">
        <v>1099</v>
      </c>
    </row>
    <row r="27777">
      <c r="B27777" s="31"/>
      <c r="G27777" s="272" t="s">
        <v>1099</v>
      </c>
    </row>
    <row r="27778">
      <c r="B27778" s="31"/>
      <c r="G27778" s="272" t="s">
        <v>1099</v>
      </c>
    </row>
    <row r="27779">
      <c r="B27779" s="31"/>
      <c r="G27779" s="272" t="s">
        <v>1099</v>
      </c>
    </row>
    <row r="27780">
      <c r="B27780" s="31"/>
      <c r="G27780" s="272" t="s">
        <v>1099</v>
      </c>
    </row>
    <row r="27781">
      <c r="B27781" s="31"/>
      <c r="G27781" s="272" t="s">
        <v>1099</v>
      </c>
    </row>
    <row r="27782">
      <c r="B27782" s="31"/>
      <c r="G27782" s="272" t="s">
        <v>1099</v>
      </c>
    </row>
    <row r="27783">
      <c r="B27783" s="31"/>
      <c r="G27783" s="272" t="s">
        <v>1099</v>
      </c>
    </row>
    <row r="27784">
      <c r="B27784" s="31"/>
      <c r="G27784" s="272" t="s">
        <v>1099</v>
      </c>
    </row>
    <row r="27785">
      <c r="B27785" s="31"/>
      <c r="G27785" s="272" t="s">
        <v>1099</v>
      </c>
    </row>
    <row r="27786">
      <c r="B27786" s="31"/>
      <c r="G27786" s="272" t="s">
        <v>1099</v>
      </c>
    </row>
    <row r="27787">
      <c r="B27787" s="31"/>
      <c r="G27787" s="272" t="s">
        <v>1099</v>
      </c>
    </row>
    <row r="27788">
      <c r="B27788" s="31"/>
      <c r="G27788" s="272" t="s">
        <v>1099</v>
      </c>
    </row>
    <row r="27789">
      <c r="B27789" s="31"/>
      <c r="G27789" s="272" t="s">
        <v>1099</v>
      </c>
    </row>
    <row r="27790">
      <c r="B27790" s="31"/>
      <c r="G27790" s="272" t="s">
        <v>1099</v>
      </c>
    </row>
    <row r="27791">
      <c r="B27791" s="31"/>
      <c r="G27791" s="272" t="s">
        <v>1099</v>
      </c>
    </row>
    <row r="27792">
      <c r="B27792" s="31"/>
      <c r="G27792" s="272" t="s">
        <v>1099</v>
      </c>
    </row>
    <row r="27793">
      <c r="B27793" s="31"/>
      <c r="G27793" s="272" t="s">
        <v>1099</v>
      </c>
    </row>
    <row r="27794">
      <c r="B27794" s="31"/>
      <c r="G27794" s="272" t="s">
        <v>1099</v>
      </c>
    </row>
    <row r="27795">
      <c r="B27795" s="31"/>
      <c r="G27795" s="272" t="s">
        <v>1099</v>
      </c>
    </row>
    <row r="27796">
      <c r="B27796" s="31"/>
      <c r="G27796" s="272" t="s">
        <v>1099</v>
      </c>
    </row>
    <row r="27797">
      <c r="B27797" s="31"/>
      <c r="G27797" s="272" t="s">
        <v>1099</v>
      </c>
    </row>
    <row r="27798">
      <c r="B27798" s="31"/>
      <c r="G27798" s="272" t="s">
        <v>1099</v>
      </c>
    </row>
    <row r="27799">
      <c r="B27799" s="31"/>
      <c r="G27799" s="272" t="s">
        <v>1099</v>
      </c>
    </row>
    <row r="27800">
      <c r="B27800" s="31"/>
      <c r="G27800" s="272" t="s">
        <v>1099</v>
      </c>
    </row>
    <row r="27801">
      <c r="B27801" s="31"/>
      <c r="G27801" s="272" t="s">
        <v>1099</v>
      </c>
    </row>
    <row r="27802">
      <c r="B27802" s="31"/>
      <c r="G27802" s="272" t="s">
        <v>1099</v>
      </c>
    </row>
    <row r="27803">
      <c r="B27803" s="31"/>
      <c r="G27803" s="272" t="s">
        <v>1099</v>
      </c>
    </row>
    <row r="27804">
      <c r="B27804" s="31"/>
      <c r="G27804" s="272" t="s">
        <v>1099</v>
      </c>
    </row>
    <row r="27805">
      <c r="B27805" s="31"/>
      <c r="G27805" s="272" t="s">
        <v>1099</v>
      </c>
    </row>
    <row r="27806">
      <c r="B27806" s="31"/>
      <c r="G27806" s="272" t="s">
        <v>1099</v>
      </c>
    </row>
    <row r="27807">
      <c r="B27807" s="31"/>
      <c r="G27807" s="272" t="s">
        <v>1099</v>
      </c>
    </row>
    <row r="27808">
      <c r="B27808" s="31"/>
      <c r="G27808" s="272" t="s">
        <v>1099</v>
      </c>
    </row>
    <row r="27809">
      <c r="B27809" s="31"/>
      <c r="G27809" s="272" t="s">
        <v>1099</v>
      </c>
    </row>
    <row r="27810">
      <c r="B27810" s="31"/>
      <c r="G27810" s="272" t="s">
        <v>1099</v>
      </c>
    </row>
    <row r="27811">
      <c r="B27811" s="31"/>
      <c r="G27811" s="272" t="s">
        <v>1099</v>
      </c>
    </row>
    <row r="27812">
      <c r="B27812" s="31"/>
      <c r="G27812" s="272" t="s">
        <v>1099</v>
      </c>
    </row>
    <row r="27813">
      <c r="B27813" s="31"/>
      <c r="G27813" s="272" t="s">
        <v>1099</v>
      </c>
    </row>
    <row r="27814">
      <c r="B27814" s="31"/>
      <c r="G27814" s="272" t="s">
        <v>1099</v>
      </c>
    </row>
    <row r="27815">
      <c r="B27815" s="31"/>
      <c r="G27815" s="272" t="s">
        <v>1099</v>
      </c>
    </row>
    <row r="27816">
      <c r="B27816" s="31"/>
      <c r="G27816" s="272" t="s">
        <v>1099</v>
      </c>
    </row>
    <row r="27817">
      <c r="B27817" s="31"/>
      <c r="G27817" s="272" t="s">
        <v>1099</v>
      </c>
    </row>
    <row r="27818">
      <c r="B27818" s="31"/>
      <c r="G27818" s="272" t="s">
        <v>1099</v>
      </c>
    </row>
    <row r="27819">
      <c r="B27819" s="31"/>
      <c r="G27819" s="272" t="s">
        <v>1099</v>
      </c>
    </row>
    <row r="27820">
      <c r="B27820" s="31"/>
      <c r="G27820" s="272" t="s">
        <v>1099</v>
      </c>
    </row>
    <row r="27821">
      <c r="B27821" s="31"/>
      <c r="G27821" s="272" t="s">
        <v>1099</v>
      </c>
    </row>
    <row r="27822">
      <c r="B27822" s="31"/>
      <c r="G27822" s="272" t="s">
        <v>1099</v>
      </c>
    </row>
    <row r="27823">
      <c r="B27823" s="31"/>
      <c r="G27823" s="272" t="s">
        <v>1099</v>
      </c>
    </row>
    <row r="27824">
      <c r="B27824" s="31"/>
      <c r="G27824" s="272" t="s">
        <v>1099</v>
      </c>
    </row>
    <row r="27825">
      <c r="B27825" s="31"/>
      <c r="G27825" s="272" t="s">
        <v>1099</v>
      </c>
    </row>
    <row r="27826">
      <c r="B27826" s="31"/>
      <c r="G27826" s="272" t="s">
        <v>1099</v>
      </c>
    </row>
    <row r="27827">
      <c r="B27827" s="31"/>
      <c r="G27827" s="272" t="s">
        <v>1099</v>
      </c>
    </row>
    <row r="27828">
      <c r="B27828" s="31"/>
      <c r="G27828" s="272" t="s">
        <v>1099</v>
      </c>
    </row>
    <row r="27829">
      <c r="B27829" s="31"/>
      <c r="G27829" s="272" t="s">
        <v>1099</v>
      </c>
    </row>
    <row r="27830">
      <c r="B27830" s="31"/>
      <c r="G27830" s="272" t="s">
        <v>1099</v>
      </c>
    </row>
    <row r="27831">
      <c r="B27831" s="31"/>
      <c r="G27831" s="272" t="s">
        <v>1099</v>
      </c>
    </row>
    <row r="27832">
      <c r="B27832" s="31"/>
      <c r="G27832" s="272" t="s">
        <v>1099</v>
      </c>
    </row>
    <row r="27833">
      <c r="B27833" s="31"/>
      <c r="G27833" s="272" t="s">
        <v>1099</v>
      </c>
    </row>
    <row r="27834">
      <c r="B27834" s="31"/>
      <c r="G27834" s="272" t="s">
        <v>1099</v>
      </c>
    </row>
    <row r="27835">
      <c r="B27835" s="31"/>
      <c r="G27835" s="272" t="s">
        <v>1099</v>
      </c>
    </row>
    <row r="27836">
      <c r="B27836" s="31"/>
      <c r="G27836" s="272" t="s">
        <v>1099</v>
      </c>
    </row>
    <row r="27837">
      <c r="B27837" s="31"/>
      <c r="G27837" s="272" t="s">
        <v>1099</v>
      </c>
    </row>
    <row r="27838">
      <c r="B27838" s="31"/>
      <c r="G27838" s="272" t="s">
        <v>1099</v>
      </c>
    </row>
    <row r="27839">
      <c r="B27839" s="31"/>
      <c r="G27839" s="272" t="s">
        <v>1099</v>
      </c>
    </row>
    <row r="27840">
      <c r="B27840" s="31"/>
      <c r="G27840" s="272" t="s">
        <v>1099</v>
      </c>
    </row>
    <row r="27841">
      <c r="B27841" s="31"/>
      <c r="G27841" s="272" t="s">
        <v>1099</v>
      </c>
    </row>
    <row r="27842">
      <c r="B27842" s="31"/>
      <c r="G27842" s="272" t="s">
        <v>1099</v>
      </c>
    </row>
    <row r="27843">
      <c r="B27843" s="31"/>
      <c r="G27843" s="272" t="s">
        <v>1099</v>
      </c>
    </row>
    <row r="27844">
      <c r="B27844" s="31"/>
      <c r="G27844" s="272" t="s">
        <v>1099</v>
      </c>
    </row>
    <row r="27845">
      <c r="B27845" s="31"/>
      <c r="G27845" s="272" t="s">
        <v>1099</v>
      </c>
    </row>
    <row r="27846">
      <c r="B27846" s="31"/>
      <c r="G27846" s="272" t="s">
        <v>1099</v>
      </c>
    </row>
    <row r="27847">
      <c r="B27847" s="31"/>
      <c r="G27847" s="272" t="s">
        <v>1099</v>
      </c>
    </row>
    <row r="27848">
      <c r="B27848" s="31"/>
      <c r="G27848" s="272" t="s">
        <v>1099</v>
      </c>
    </row>
    <row r="27849">
      <c r="B27849" s="31"/>
      <c r="G27849" s="272" t="s">
        <v>1099</v>
      </c>
    </row>
    <row r="27850">
      <c r="B27850" s="31"/>
      <c r="G27850" s="272" t="s">
        <v>1099</v>
      </c>
    </row>
    <row r="27851">
      <c r="B27851" s="31"/>
      <c r="G27851" s="272" t="s">
        <v>1099</v>
      </c>
    </row>
    <row r="27852">
      <c r="B27852" s="31"/>
      <c r="G27852" s="272" t="s">
        <v>1099</v>
      </c>
    </row>
    <row r="27853">
      <c r="B27853" s="31"/>
      <c r="G27853" s="272" t="s">
        <v>1099</v>
      </c>
    </row>
    <row r="27854">
      <c r="B27854" s="31"/>
      <c r="G27854" s="272" t="s">
        <v>1099</v>
      </c>
    </row>
    <row r="27855">
      <c r="B27855" s="31"/>
      <c r="G27855" s="272" t="s">
        <v>1099</v>
      </c>
    </row>
    <row r="27856">
      <c r="B27856" s="31"/>
      <c r="G27856" s="272" t="s">
        <v>1099</v>
      </c>
    </row>
    <row r="27857">
      <c r="B27857" s="31"/>
      <c r="G27857" s="272" t="s">
        <v>1099</v>
      </c>
    </row>
    <row r="27858">
      <c r="B27858" s="31"/>
      <c r="G27858" s="272" t="s">
        <v>1099</v>
      </c>
    </row>
    <row r="27859">
      <c r="B27859" s="31"/>
      <c r="G27859" s="272" t="s">
        <v>1099</v>
      </c>
    </row>
    <row r="27860">
      <c r="B27860" s="31"/>
      <c r="G27860" s="272" t="s">
        <v>1099</v>
      </c>
    </row>
    <row r="27861">
      <c r="B27861" s="31"/>
      <c r="G27861" s="272" t="s">
        <v>1099</v>
      </c>
    </row>
    <row r="27862">
      <c r="B27862" s="31"/>
      <c r="G27862" s="272" t="s">
        <v>1099</v>
      </c>
    </row>
    <row r="27863">
      <c r="B27863" s="31"/>
      <c r="G27863" s="272" t="s">
        <v>1099</v>
      </c>
    </row>
    <row r="27864">
      <c r="B27864" s="31"/>
      <c r="G27864" s="272" t="s">
        <v>1099</v>
      </c>
    </row>
    <row r="27865">
      <c r="B27865" s="31"/>
      <c r="G27865" s="272" t="s">
        <v>1099</v>
      </c>
    </row>
    <row r="27866">
      <c r="B27866" s="31"/>
      <c r="G27866" s="272" t="s">
        <v>1099</v>
      </c>
    </row>
    <row r="27867">
      <c r="B27867" s="31"/>
      <c r="G27867" s="272" t="s">
        <v>1099</v>
      </c>
    </row>
    <row r="27868">
      <c r="B27868" s="31"/>
      <c r="G27868" s="272" t="s">
        <v>1099</v>
      </c>
    </row>
    <row r="27869">
      <c r="B27869" s="31"/>
      <c r="G27869" s="272" t="s">
        <v>1099</v>
      </c>
    </row>
    <row r="27870">
      <c r="B27870" s="31"/>
      <c r="G27870" s="272" t="s">
        <v>1099</v>
      </c>
    </row>
    <row r="27871">
      <c r="B27871" s="31"/>
      <c r="G27871" s="272" t="s">
        <v>1099</v>
      </c>
    </row>
    <row r="27872">
      <c r="B27872" s="31"/>
      <c r="G27872" s="272" t="s">
        <v>1099</v>
      </c>
    </row>
    <row r="27873">
      <c r="B27873" s="31"/>
      <c r="G27873" s="272" t="s">
        <v>1099</v>
      </c>
    </row>
    <row r="27874">
      <c r="B27874" s="31"/>
      <c r="G27874" s="272" t="s">
        <v>1099</v>
      </c>
    </row>
    <row r="27875">
      <c r="B27875" s="31"/>
      <c r="G27875" s="272" t="s">
        <v>1099</v>
      </c>
    </row>
    <row r="27876">
      <c r="B27876" s="31"/>
      <c r="G27876" s="272" t="s">
        <v>1099</v>
      </c>
    </row>
    <row r="27877">
      <c r="B27877" s="31"/>
      <c r="G27877" s="272" t="s">
        <v>1099</v>
      </c>
    </row>
    <row r="27878">
      <c r="B27878" s="31"/>
      <c r="G27878" s="272" t="s">
        <v>1099</v>
      </c>
    </row>
    <row r="27879">
      <c r="B27879" s="31"/>
      <c r="G27879" s="272" t="s">
        <v>1099</v>
      </c>
    </row>
    <row r="27880">
      <c r="B27880" s="31"/>
      <c r="G27880" s="272" t="s">
        <v>1099</v>
      </c>
    </row>
    <row r="27881">
      <c r="B27881" s="31"/>
      <c r="G27881" s="272" t="s">
        <v>1099</v>
      </c>
    </row>
    <row r="27882">
      <c r="B27882" s="31"/>
      <c r="G27882" s="272" t="s">
        <v>1099</v>
      </c>
    </row>
    <row r="27883">
      <c r="B27883" s="31"/>
      <c r="G27883" s="272" t="s">
        <v>1099</v>
      </c>
    </row>
    <row r="27884">
      <c r="B27884" s="31"/>
      <c r="G27884" s="272" t="s">
        <v>1099</v>
      </c>
    </row>
    <row r="27885">
      <c r="B27885" s="31"/>
      <c r="G27885" s="272" t="s">
        <v>1099</v>
      </c>
    </row>
    <row r="27886">
      <c r="B27886" s="31"/>
      <c r="G27886" s="272" t="s">
        <v>1099</v>
      </c>
    </row>
    <row r="27887">
      <c r="B27887" s="31"/>
      <c r="G27887" s="272" t="s">
        <v>1099</v>
      </c>
    </row>
    <row r="27888">
      <c r="B27888" s="31"/>
      <c r="G27888" s="272" t="s">
        <v>1099</v>
      </c>
    </row>
    <row r="27889">
      <c r="B27889" s="31"/>
      <c r="G27889" s="272" t="s">
        <v>1099</v>
      </c>
    </row>
    <row r="27890">
      <c r="B27890" s="31"/>
      <c r="G27890" s="272" t="s">
        <v>1099</v>
      </c>
    </row>
    <row r="27891">
      <c r="B27891" s="31"/>
      <c r="G27891" s="272" t="s">
        <v>1099</v>
      </c>
    </row>
    <row r="27892">
      <c r="B27892" s="31"/>
      <c r="G27892" s="272" t="s">
        <v>1099</v>
      </c>
    </row>
    <row r="27893">
      <c r="B27893" s="31"/>
      <c r="G27893" s="272" t="s">
        <v>1099</v>
      </c>
    </row>
    <row r="27894">
      <c r="B27894" s="31"/>
      <c r="G27894" s="272" t="s">
        <v>1099</v>
      </c>
    </row>
    <row r="27895">
      <c r="B27895" s="31"/>
      <c r="G27895" s="272" t="s">
        <v>1099</v>
      </c>
    </row>
    <row r="27896">
      <c r="B27896" s="31"/>
      <c r="G27896" s="272" t="s">
        <v>1099</v>
      </c>
    </row>
    <row r="27897">
      <c r="B27897" s="31"/>
      <c r="G27897" s="272" t="s">
        <v>1099</v>
      </c>
    </row>
    <row r="27898">
      <c r="B27898" s="31"/>
      <c r="G27898" s="272" t="s">
        <v>1099</v>
      </c>
    </row>
    <row r="27899">
      <c r="B27899" s="31"/>
      <c r="G27899" s="272" t="s">
        <v>1099</v>
      </c>
    </row>
    <row r="27900">
      <c r="B27900" s="31"/>
      <c r="G27900" s="272" t="s">
        <v>1099</v>
      </c>
    </row>
    <row r="27901">
      <c r="B27901" s="31"/>
      <c r="G27901" s="272" t="s">
        <v>1099</v>
      </c>
    </row>
    <row r="27902">
      <c r="B27902" s="31"/>
      <c r="G27902" s="272" t="s">
        <v>1099</v>
      </c>
    </row>
    <row r="27903">
      <c r="B27903" s="31"/>
      <c r="G27903" s="272" t="s">
        <v>1099</v>
      </c>
    </row>
    <row r="27904">
      <c r="B27904" s="31"/>
      <c r="G27904" s="272" t="s">
        <v>1099</v>
      </c>
    </row>
    <row r="27905">
      <c r="B27905" s="31"/>
      <c r="G27905" s="272" t="s">
        <v>1099</v>
      </c>
    </row>
    <row r="27906">
      <c r="B27906" s="31"/>
      <c r="G27906" s="272" t="s">
        <v>1099</v>
      </c>
    </row>
    <row r="27907">
      <c r="B27907" s="31"/>
      <c r="G27907" s="272" t="s">
        <v>1099</v>
      </c>
    </row>
    <row r="27908">
      <c r="B27908" s="31"/>
      <c r="G27908" s="272" t="s">
        <v>1099</v>
      </c>
    </row>
    <row r="27909">
      <c r="B27909" s="31"/>
      <c r="G27909" s="272" t="s">
        <v>1099</v>
      </c>
    </row>
    <row r="27910">
      <c r="B27910" s="31"/>
      <c r="G27910" s="272" t="s">
        <v>1099</v>
      </c>
    </row>
    <row r="27911">
      <c r="B27911" s="31"/>
      <c r="G27911" s="272" t="s">
        <v>1099</v>
      </c>
    </row>
    <row r="27912">
      <c r="B27912" s="31"/>
      <c r="G27912" s="272" t="s">
        <v>1099</v>
      </c>
    </row>
    <row r="27913">
      <c r="B27913" s="31"/>
      <c r="G27913" s="272" t="s">
        <v>1099</v>
      </c>
    </row>
    <row r="27914">
      <c r="B27914" s="31"/>
      <c r="G27914" s="272" t="s">
        <v>1099</v>
      </c>
    </row>
    <row r="27915">
      <c r="B27915" s="31"/>
      <c r="G27915" s="272" t="s">
        <v>1099</v>
      </c>
    </row>
    <row r="27916">
      <c r="B27916" s="31"/>
      <c r="G27916" s="272" t="s">
        <v>1099</v>
      </c>
    </row>
    <row r="27917">
      <c r="B27917" s="31"/>
      <c r="G27917" s="272" t="s">
        <v>1099</v>
      </c>
    </row>
    <row r="27918">
      <c r="B27918" s="31"/>
      <c r="G27918" s="272" t="s">
        <v>1099</v>
      </c>
    </row>
    <row r="27919">
      <c r="B27919" s="31"/>
      <c r="G27919" s="272" t="s">
        <v>1099</v>
      </c>
    </row>
    <row r="27920">
      <c r="B27920" s="31"/>
      <c r="G27920" s="272" t="s">
        <v>1099</v>
      </c>
    </row>
    <row r="27921">
      <c r="B27921" s="31"/>
      <c r="G27921" s="272" t="s">
        <v>1099</v>
      </c>
    </row>
    <row r="27922">
      <c r="B27922" s="31"/>
      <c r="G27922" s="272" t="s">
        <v>1099</v>
      </c>
    </row>
    <row r="27923">
      <c r="B27923" s="31"/>
      <c r="G27923" s="272" t="s">
        <v>1099</v>
      </c>
    </row>
    <row r="27924">
      <c r="B27924" s="31"/>
      <c r="G27924" s="272" t="s">
        <v>1099</v>
      </c>
    </row>
    <row r="27925">
      <c r="B27925" s="31"/>
      <c r="G27925" s="272" t="s">
        <v>1099</v>
      </c>
    </row>
    <row r="27926">
      <c r="B27926" s="31"/>
      <c r="G27926" s="272" t="s">
        <v>1099</v>
      </c>
    </row>
    <row r="27927">
      <c r="B27927" s="31"/>
      <c r="G27927" s="272" t="s">
        <v>1099</v>
      </c>
    </row>
    <row r="27928">
      <c r="B27928" s="31"/>
      <c r="G27928" s="272" t="s">
        <v>1099</v>
      </c>
    </row>
    <row r="27929">
      <c r="B27929" s="31"/>
      <c r="G27929" s="272" t="s">
        <v>1099</v>
      </c>
    </row>
    <row r="27930">
      <c r="B27930" s="31"/>
      <c r="G27930" s="272" t="s">
        <v>1099</v>
      </c>
    </row>
    <row r="27931">
      <c r="B27931" s="31"/>
      <c r="G27931" s="272" t="s">
        <v>1099</v>
      </c>
    </row>
    <row r="27932">
      <c r="B27932" s="31"/>
      <c r="G27932" s="272" t="s">
        <v>1099</v>
      </c>
    </row>
    <row r="27933">
      <c r="B27933" s="31"/>
      <c r="G27933" s="272" t="s">
        <v>1099</v>
      </c>
    </row>
    <row r="27934">
      <c r="B27934" s="31"/>
      <c r="G27934" s="272" t="s">
        <v>1099</v>
      </c>
    </row>
    <row r="27935">
      <c r="B27935" s="31"/>
      <c r="G27935" s="272" t="s">
        <v>1099</v>
      </c>
    </row>
    <row r="27936">
      <c r="B27936" s="31"/>
      <c r="G27936" s="272" t="s">
        <v>1099</v>
      </c>
    </row>
    <row r="27937">
      <c r="B27937" s="31"/>
      <c r="G27937" s="272" t="s">
        <v>1099</v>
      </c>
    </row>
    <row r="27938">
      <c r="B27938" s="31"/>
      <c r="G27938" s="272" t="s">
        <v>1099</v>
      </c>
    </row>
    <row r="27939">
      <c r="B27939" s="31"/>
      <c r="G27939" s="272" t="s">
        <v>1099</v>
      </c>
    </row>
    <row r="27940">
      <c r="B27940" s="31"/>
      <c r="G27940" s="272" t="s">
        <v>1099</v>
      </c>
    </row>
    <row r="27941">
      <c r="B27941" s="31"/>
      <c r="G27941" s="272" t="s">
        <v>1099</v>
      </c>
    </row>
    <row r="27942">
      <c r="B27942" s="31"/>
      <c r="G27942" s="272" t="s">
        <v>1099</v>
      </c>
    </row>
    <row r="27943">
      <c r="B27943" s="31"/>
      <c r="G27943" s="272" t="s">
        <v>1099</v>
      </c>
    </row>
    <row r="27944">
      <c r="B27944" s="31"/>
      <c r="G27944" s="272" t="s">
        <v>1099</v>
      </c>
    </row>
    <row r="27945">
      <c r="B27945" s="31"/>
      <c r="G27945" s="272" t="s">
        <v>1099</v>
      </c>
    </row>
    <row r="27946">
      <c r="B27946" s="31"/>
      <c r="G27946" s="272" t="s">
        <v>1099</v>
      </c>
    </row>
    <row r="27947">
      <c r="B27947" s="31"/>
      <c r="G27947" s="272" t="s">
        <v>1099</v>
      </c>
    </row>
    <row r="27948">
      <c r="B27948" s="31"/>
      <c r="G27948" s="272" t="s">
        <v>1099</v>
      </c>
    </row>
    <row r="27949">
      <c r="B27949" s="31"/>
      <c r="G27949" s="272" t="s">
        <v>1099</v>
      </c>
    </row>
    <row r="27950">
      <c r="B27950" s="31"/>
      <c r="G27950" s="272" t="s">
        <v>1099</v>
      </c>
    </row>
    <row r="27951">
      <c r="B27951" s="31"/>
      <c r="G27951" s="272" t="s">
        <v>1099</v>
      </c>
    </row>
    <row r="27952">
      <c r="B27952" s="31"/>
      <c r="G27952" s="272" t="s">
        <v>1099</v>
      </c>
    </row>
    <row r="27953">
      <c r="B27953" s="31"/>
      <c r="G27953" s="272" t="s">
        <v>1099</v>
      </c>
    </row>
    <row r="27954">
      <c r="B27954" s="31"/>
      <c r="G27954" s="272" t="s">
        <v>1099</v>
      </c>
    </row>
    <row r="27955">
      <c r="B27955" s="31"/>
      <c r="G27955" s="272" t="s">
        <v>1099</v>
      </c>
    </row>
    <row r="27956">
      <c r="B27956" s="31"/>
      <c r="G27956" s="272" t="s">
        <v>1099</v>
      </c>
    </row>
    <row r="27957">
      <c r="B27957" s="31"/>
      <c r="G27957" s="272" t="s">
        <v>1099</v>
      </c>
    </row>
    <row r="27958">
      <c r="B27958" s="31"/>
      <c r="G27958" s="272" t="s">
        <v>1099</v>
      </c>
    </row>
    <row r="27959">
      <c r="B27959" s="31"/>
      <c r="G27959" s="272" t="s">
        <v>1099</v>
      </c>
    </row>
    <row r="27960">
      <c r="B27960" s="31"/>
      <c r="G27960" s="272" t="s">
        <v>1099</v>
      </c>
    </row>
    <row r="27961">
      <c r="B27961" s="31"/>
      <c r="G27961" s="272" t="s">
        <v>1099</v>
      </c>
    </row>
    <row r="27962">
      <c r="B27962" s="31"/>
      <c r="G27962" s="272" t="s">
        <v>1099</v>
      </c>
    </row>
    <row r="27963">
      <c r="B27963" s="31"/>
      <c r="G27963" s="272" t="s">
        <v>1099</v>
      </c>
    </row>
    <row r="27964">
      <c r="B27964" s="31"/>
      <c r="G27964" s="272" t="s">
        <v>1099</v>
      </c>
    </row>
    <row r="27965">
      <c r="B27965" s="31"/>
      <c r="G27965" s="272" t="s">
        <v>1099</v>
      </c>
    </row>
    <row r="27966">
      <c r="B27966" s="31"/>
      <c r="G27966" s="272" t="s">
        <v>1099</v>
      </c>
    </row>
    <row r="27967">
      <c r="B27967" s="31"/>
      <c r="G27967" s="272" t="s">
        <v>1099</v>
      </c>
    </row>
    <row r="27968">
      <c r="B27968" s="31"/>
      <c r="G27968" s="272" t="s">
        <v>1099</v>
      </c>
    </row>
    <row r="27969">
      <c r="B27969" s="31"/>
      <c r="G27969" s="272" t="s">
        <v>1099</v>
      </c>
    </row>
    <row r="27970">
      <c r="B27970" s="31"/>
      <c r="G27970" s="272" t="s">
        <v>1099</v>
      </c>
    </row>
    <row r="27971">
      <c r="B27971" s="31"/>
      <c r="G27971" s="272" t="s">
        <v>1099</v>
      </c>
    </row>
    <row r="27972">
      <c r="B27972" s="31"/>
      <c r="G27972" s="272" t="s">
        <v>1099</v>
      </c>
    </row>
    <row r="27973">
      <c r="B27973" s="31"/>
      <c r="G27973" s="272" t="s">
        <v>1099</v>
      </c>
    </row>
    <row r="27974">
      <c r="B27974" s="31"/>
      <c r="G27974" s="272" t="s">
        <v>1099</v>
      </c>
    </row>
    <row r="27975">
      <c r="B27975" s="31"/>
      <c r="G27975" s="272" t="s">
        <v>1099</v>
      </c>
    </row>
    <row r="27976">
      <c r="B27976" s="31"/>
      <c r="G27976" s="272" t="s">
        <v>1099</v>
      </c>
    </row>
    <row r="27977">
      <c r="B27977" s="31"/>
      <c r="G27977" s="272" t="s">
        <v>1099</v>
      </c>
    </row>
    <row r="27978">
      <c r="B27978" s="31"/>
      <c r="G27978" s="272" t="s">
        <v>1099</v>
      </c>
    </row>
    <row r="27979">
      <c r="B27979" s="31"/>
      <c r="G27979" s="272" t="s">
        <v>1099</v>
      </c>
    </row>
    <row r="27980">
      <c r="B27980" s="31"/>
      <c r="G27980" s="272" t="s">
        <v>1099</v>
      </c>
    </row>
    <row r="27981">
      <c r="B27981" s="31"/>
      <c r="G27981" s="272" t="s">
        <v>1099</v>
      </c>
    </row>
    <row r="27982">
      <c r="B27982" s="31"/>
      <c r="G27982" s="272" t="s">
        <v>1099</v>
      </c>
    </row>
    <row r="27983">
      <c r="B27983" s="31"/>
      <c r="G27983" s="272" t="s">
        <v>1099</v>
      </c>
    </row>
    <row r="27984">
      <c r="B27984" s="31"/>
      <c r="G27984" s="272" t="s">
        <v>1099</v>
      </c>
    </row>
    <row r="27985">
      <c r="B27985" s="31"/>
      <c r="G27985" s="272" t="s">
        <v>1099</v>
      </c>
    </row>
    <row r="27986">
      <c r="B27986" s="31"/>
      <c r="G27986" s="272" t="s">
        <v>1099</v>
      </c>
    </row>
    <row r="27987">
      <c r="B27987" s="31"/>
      <c r="G27987" s="272" t="s">
        <v>1099</v>
      </c>
    </row>
    <row r="27988">
      <c r="B27988" s="31"/>
      <c r="G27988" s="272" t="s">
        <v>1099</v>
      </c>
    </row>
    <row r="27989">
      <c r="B27989" s="31"/>
      <c r="G27989" s="272" t="s">
        <v>1099</v>
      </c>
    </row>
    <row r="27990">
      <c r="B27990" s="31"/>
      <c r="G27990" s="272" t="s">
        <v>1099</v>
      </c>
    </row>
    <row r="27991">
      <c r="B27991" s="31"/>
      <c r="G27991" s="272" t="s">
        <v>1099</v>
      </c>
    </row>
    <row r="27992">
      <c r="B27992" s="31"/>
      <c r="G27992" s="272" t="s">
        <v>1099</v>
      </c>
    </row>
    <row r="27993">
      <c r="B27993" s="31"/>
      <c r="G27993" s="272" t="s">
        <v>1099</v>
      </c>
    </row>
    <row r="27994">
      <c r="B27994" s="31"/>
      <c r="G27994" s="272" t="s">
        <v>1099</v>
      </c>
    </row>
    <row r="27995">
      <c r="B27995" s="31"/>
      <c r="G27995" s="272" t="s">
        <v>1099</v>
      </c>
    </row>
    <row r="27996">
      <c r="B27996" s="31"/>
      <c r="G27996" s="272" t="s">
        <v>1099</v>
      </c>
    </row>
    <row r="27997">
      <c r="B27997" s="31"/>
      <c r="G27997" s="272" t="s">
        <v>1099</v>
      </c>
    </row>
    <row r="27998">
      <c r="B27998" s="31"/>
      <c r="G27998" s="272" t="s">
        <v>1099</v>
      </c>
    </row>
    <row r="27999">
      <c r="B27999" s="31"/>
      <c r="G27999" s="272" t="s">
        <v>1099</v>
      </c>
    </row>
    <row r="28000">
      <c r="B28000" s="31"/>
      <c r="G28000" s="272" t="s">
        <v>1099</v>
      </c>
    </row>
    <row r="28001">
      <c r="B28001" s="31"/>
      <c r="G28001" s="272" t="s">
        <v>1099</v>
      </c>
    </row>
    <row r="28002">
      <c r="B28002" s="31"/>
      <c r="G28002" s="272" t="s">
        <v>1099</v>
      </c>
    </row>
    <row r="28003">
      <c r="B28003" s="31"/>
      <c r="G28003" s="272" t="s">
        <v>1099</v>
      </c>
    </row>
    <row r="28004">
      <c r="B28004" s="31"/>
      <c r="G28004" s="272" t="s">
        <v>1099</v>
      </c>
    </row>
    <row r="28005">
      <c r="B28005" s="31"/>
      <c r="G28005" s="272" t="s">
        <v>1099</v>
      </c>
    </row>
    <row r="28006">
      <c r="B28006" s="31"/>
      <c r="G28006" s="272" t="s">
        <v>1099</v>
      </c>
    </row>
    <row r="28007">
      <c r="B28007" s="31"/>
      <c r="G28007" s="272" t="s">
        <v>1099</v>
      </c>
    </row>
    <row r="28008">
      <c r="B28008" s="31"/>
      <c r="G28008" s="272" t="s">
        <v>1099</v>
      </c>
    </row>
    <row r="28009">
      <c r="B28009" s="31"/>
      <c r="G28009" s="272" t="s">
        <v>1099</v>
      </c>
    </row>
    <row r="28010">
      <c r="B28010" s="31"/>
      <c r="G28010" s="272" t="s">
        <v>1099</v>
      </c>
    </row>
    <row r="28011">
      <c r="B28011" s="31"/>
      <c r="G28011" s="272" t="s">
        <v>1099</v>
      </c>
    </row>
    <row r="28012">
      <c r="B28012" s="31"/>
      <c r="G28012" s="272" t="s">
        <v>1099</v>
      </c>
    </row>
    <row r="28013">
      <c r="B28013" s="31"/>
      <c r="G28013" s="272" t="s">
        <v>1099</v>
      </c>
    </row>
    <row r="28014">
      <c r="B28014" s="31"/>
      <c r="G28014" s="272" t="s">
        <v>1099</v>
      </c>
    </row>
    <row r="28015">
      <c r="B28015" s="31"/>
      <c r="G28015" s="272" t="s">
        <v>1099</v>
      </c>
    </row>
    <row r="28016">
      <c r="B28016" s="31"/>
      <c r="G28016" s="272" t="s">
        <v>1099</v>
      </c>
    </row>
    <row r="28017">
      <c r="B28017" s="31"/>
      <c r="G28017" s="272" t="s">
        <v>1099</v>
      </c>
    </row>
    <row r="28018">
      <c r="B28018" s="31"/>
      <c r="G28018" s="272" t="s">
        <v>1099</v>
      </c>
    </row>
    <row r="28019">
      <c r="B28019" s="31"/>
      <c r="G28019" s="272" t="s">
        <v>1099</v>
      </c>
    </row>
    <row r="28020">
      <c r="B28020" s="31"/>
      <c r="G28020" s="272" t="s">
        <v>1099</v>
      </c>
    </row>
    <row r="28021">
      <c r="B28021" s="31"/>
      <c r="G28021" s="272" t="s">
        <v>1099</v>
      </c>
    </row>
    <row r="28022">
      <c r="B28022" s="31"/>
      <c r="G28022" s="272" t="s">
        <v>1099</v>
      </c>
    </row>
    <row r="28023">
      <c r="B28023" s="31"/>
      <c r="G28023" s="272" t="s">
        <v>1099</v>
      </c>
    </row>
    <row r="28024">
      <c r="B28024" s="31"/>
      <c r="G28024" s="272" t="s">
        <v>1099</v>
      </c>
    </row>
    <row r="28025">
      <c r="B28025" s="31"/>
      <c r="G28025" s="272" t="s">
        <v>1099</v>
      </c>
    </row>
    <row r="28026">
      <c r="B28026" s="31"/>
      <c r="G28026" s="272" t="s">
        <v>1099</v>
      </c>
    </row>
    <row r="28027">
      <c r="B28027" s="31"/>
      <c r="G28027" s="272" t="s">
        <v>1099</v>
      </c>
    </row>
    <row r="28028">
      <c r="B28028" s="31"/>
      <c r="G28028" s="272" t="s">
        <v>1099</v>
      </c>
    </row>
    <row r="28029">
      <c r="B28029" s="31"/>
      <c r="G28029" s="272" t="s">
        <v>1099</v>
      </c>
    </row>
    <row r="28030">
      <c r="B28030" s="31"/>
      <c r="G28030" s="272" t="s">
        <v>1099</v>
      </c>
    </row>
    <row r="28031">
      <c r="B28031" s="31"/>
      <c r="G28031" s="272" t="s">
        <v>1099</v>
      </c>
    </row>
    <row r="28032">
      <c r="B28032" s="31"/>
      <c r="G28032" s="272" t="s">
        <v>1099</v>
      </c>
    </row>
    <row r="28033">
      <c r="B28033" s="31"/>
      <c r="G28033" s="272" t="s">
        <v>1099</v>
      </c>
    </row>
    <row r="28034">
      <c r="B28034" s="31"/>
      <c r="G28034" s="272" t="s">
        <v>1099</v>
      </c>
    </row>
    <row r="28035">
      <c r="B28035" s="31"/>
      <c r="G28035" s="272" t="s">
        <v>1099</v>
      </c>
    </row>
    <row r="28036">
      <c r="B28036" s="31"/>
      <c r="G28036" s="272" t="s">
        <v>1099</v>
      </c>
    </row>
    <row r="28037">
      <c r="B28037" s="31"/>
      <c r="G28037" s="272" t="s">
        <v>1099</v>
      </c>
    </row>
    <row r="28038">
      <c r="B28038" s="31"/>
      <c r="G28038" s="272" t="s">
        <v>1099</v>
      </c>
    </row>
    <row r="28039">
      <c r="B28039" s="31"/>
      <c r="G28039" s="272" t="s">
        <v>1099</v>
      </c>
    </row>
    <row r="28040">
      <c r="B28040" s="31"/>
      <c r="G28040" s="272" t="s">
        <v>1099</v>
      </c>
    </row>
    <row r="28041">
      <c r="B28041" s="31"/>
      <c r="G28041" s="272" t="s">
        <v>1099</v>
      </c>
    </row>
    <row r="28042">
      <c r="B28042" s="31"/>
      <c r="G28042" s="272" t="s">
        <v>1099</v>
      </c>
    </row>
    <row r="28043">
      <c r="B28043" s="31"/>
      <c r="G28043" s="272" t="s">
        <v>1099</v>
      </c>
    </row>
    <row r="28044">
      <c r="B28044" s="31"/>
      <c r="G28044" s="272" t="s">
        <v>1099</v>
      </c>
    </row>
    <row r="28045">
      <c r="B28045" s="31"/>
      <c r="G28045" s="272" t="s">
        <v>1099</v>
      </c>
    </row>
    <row r="28046">
      <c r="B28046" s="31"/>
      <c r="G28046" s="272" t="s">
        <v>1099</v>
      </c>
    </row>
    <row r="28047">
      <c r="B28047" s="31"/>
      <c r="G28047" s="272" t="s">
        <v>1099</v>
      </c>
    </row>
    <row r="28048">
      <c r="B28048" s="31"/>
      <c r="G28048" s="272" t="s">
        <v>1099</v>
      </c>
    </row>
    <row r="28049">
      <c r="B28049" s="31"/>
      <c r="G28049" s="272" t="s">
        <v>1099</v>
      </c>
    </row>
    <row r="28050">
      <c r="B28050" s="31"/>
      <c r="G28050" s="272" t="s">
        <v>1099</v>
      </c>
    </row>
    <row r="28051">
      <c r="B28051" s="31"/>
      <c r="G28051" s="272" t="s">
        <v>1099</v>
      </c>
    </row>
    <row r="28052">
      <c r="B28052" s="31"/>
      <c r="G28052" s="272" t="s">
        <v>1099</v>
      </c>
    </row>
    <row r="28053">
      <c r="B28053" s="31"/>
      <c r="G28053" s="272" t="s">
        <v>1099</v>
      </c>
    </row>
    <row r="28054">
      <c r="B28054" s="31"/>
      <c r="G28054" s="272" t="s">
        <v>1099</v>
      </c>
    </row>
    <row r="28055">
      <c r="B28055" s="31"/>
      <c r="G28055" s="272" t="s">
        <v>1099</v>
      </c>
    </row>
    <row r="28056">
      <c r="B28056" s="31"/>
      <c r="G28056" s="272" t="s">
        <v>1099</v>
      </c>
    </row>
    <row r="28057">
      <c r="B28057" s="31"/>
      <c r="G28057" s="272" t="s">
        <v>1099</v>
      </c>
    </row>
    <row r="28058">
      <c r="B28058" s="31"/>
      <c r="G28058" s="272" t="s">
        <v>1099</v>
      </c>
    </row>
    <row r="28059">
      <c r="B28059" s="31"/>
      <c r="G28059" s="272" t="s">
        <v>1099</v>
      </c>
    </row>
    <row r="28060">
      <c r="B28060" s="31"/>
      <c r="G28060" s="272" t="s">
        <v>1099</v>
      </c>
    </row>
    <row r="28061">
      <c r="B28061" s="31"/>
      <c r="G28061" s="272" t="s">
        <v>1099</v>
      </c>
    </row>
    <row r="28062">
      <c r="B28062" s="31"/>
      <c r="G28062" s="272" t="s">
        <v>1099</v>
      </c>
    </row>
    <row r="28063">
      <c r="B28063" s="31"/>
      <c r="G28063" s="272" t="s">
        <v>1099</v>
      </c>
    </row>
    <row r="28064">
      <c r="B28064" s="31"/>
      <c r="G28064" s="272" t="s">
        <v>1099</v>
      </c>
    </row>
    <row r="28065">
      <c r="B28065" s="31"/>
      <c r="G28065" s="272" t="s">
        <v>1099</v>
      </c>
    </row>
    <row r="28066">
      <c r="B28066" s="31"/>
      <c r="G28066" s="272" t="s">
        <v>1099</v>
      </c>
    </row>
    <row r="28067">
      <c r="B28067" s="31"/>
      <c r="G28067" s="272" t="s">
        <v>1099</v>
      </c>
    </row>
    <row r="28068">
      <c r="B28068" s="31"/>
      <c r="G28068" s="272" t="s">
        <v>1099</v>
      </c>
    </row>
    <row r="28069">
      <c r="B28069" s="31"/>
      <c r="G28069" s="272" t="s">
        <v>1099</v>
      </c>
    </row>
    <row r="28070">
      <c r="B28070" s="31"/>
      <c r="G28070" s="272" t="s">
        <v>1099</v>
      </c>
    </row>
    <row r="28071">
      <c r="B28071" s="31"/>
      <c r="G28071" s="272" t="s">
        <v>1099</v>
      </c>
    </row>
    <row r="28072">
      <c r="B28072" s="31"/>
      <c r="G28072" s="272" t="s">
        <v>1099</v>
      </c>
    </row>
    <row r="28073">
      <c r="B28073" s="31"/>
      <c r="G28073" s="272" t="s">
        <v>1099</v>
      </c>
    </row>
    <row r="28074">
      <c r="B28074" s="31"/>
      <c r="G28074" s="272" t="s">
        <v>1099</v>
      </c>
    </row>
    <row r="28075">
      <c r="B28075" s="31"/>
      <c r="G28075" s="272" t="s">
        <v>1099</v>
      </c>
    </row>
    <row r="28076">
      <c r="B28076" s="31"/>
      <c r="G28076" s="272" t="s">
        <v>1099</v>
      </c>
    </row>
    <row r="28077">
      <c r="B28077" s="31"/>
      <c r="G28077" s="272" t="s">
        <v>1099</v>
      </c>
    </row>
    <row r="28078">
      <c r="B28078" s="31"/>
      <c r="G28078" s="272" t="s">
        <v>1099</v>
      </c>
    </row>
    <row r="28079">
      <c r="B28079" s="31"/>
      <c r="G28079" s="272" t="s">
        <v>1099</v>
      </c>
    </row>
    <row r="28080">
      <c r="B28080" s="31"/>
      <c r="G28080" s="272" t="s">
        <v>1099</v>
      </c>
    </row>
    <row r="28081">
      <c r="B28081" s="31"/>
      <c r="G28081" s="272" t="s">
        <v>1099</v>
      </c>
    </row>
    <row r="28082">
      <c r="B28082" s="31"/>
      <c r="G28082" s="272" t="s">
        <v>1099</v>
      </c>
    </row>
    <row r="28083">
      <c r="B28083" s="31"/>
      <c r="G28083" s="272" t="s">
        <v>1099</v>
      </c>
    </row>
    <row r="28084">
      <c r="B28084" s="31"/>
      <c r="G28084" s="272" t="s">
        <v>1099</v>
      </c>
    </row>
    <row r="28085">
      <c r="B28085" s="31"/>
      <c r="G28085" s="272" t="s">
        <v>1099</v>
      </c>
    </row>
    <row r="28086">
      <c r="B28086" s="31"/>
      <c r="G28086" s="272" t="s">
        <v>1099</v>
      </c>
    </row>
    <row r="28087">
      <c r="B28087" s="31"/>
      <c r="G28087" s="272" t="s">
        <v>1099</v>
      </c>
    </row>
    <row r="28088">
      <c r="B28088" s="31"/>
      <c r="G28088" s="272" t="s">
        <v>1099</v>
      </c>
    </row>
    <row r="28089">
      <c r="B28089" s="31"/>
      <c r="G28089" s="272" t="s">
        <v>1099</v>
      </c>
    </row>
    <row r="28090">
      <c r="B28090" s="31"/>
      <c r="G28090" s="272" t="s">
        <v>1099</v>
      </c>
    </row>
    <row r="28091">
      <c r="B28091" s="31"/>
      <c r="G28091" s="272" t="s">
        <v>1099</v>
      </c>
    </row>
    <row r="28092">
      <c r="B28092" s="31"/>
      <c r="G28092" s="272" t="s">
        <v>1099</v>
      </c>
    </row>
    <row r="28093">
      <c r="B28093" s="31"/>
      <c r="G28093" s="272" t="s">
        <v>1099</v>
      </c>
    </row>
    <row r="28094">
      <c r="B28094" s="31"/>
      <c r="G28094" s="272" t="s">
        <v>1099</v>
      </c>
    </row>
    <row r="28095">
      <c r="B28095" s="31"/>
      <c r="G28095" s="272" t="s">
        <v>1099</v>
      </c>
    </row>
    <row r="28096">
      <c r="B28096" s="31"/>
      <c r="G28096" s="272" t="s">
        <v>1099</v>
      </c>
    </row>
    <row r="28097">
      <c r="B28097" s="31"/>
      <c r="G28097" s="272" t="s">
        <v>1099</v>
      </c>
    </row>
    <row r="28098">
      <c r="B28098" s="31"/>
      <c r="G28098" s="272" t="s">
        <v>1099</v>
      </c>
    </row>
    <row r="28099">
      <c r="B28099" s="31"/>
      <c r="G28099" s="272" t="s">
        <v>1099</v>
      </c>
    </row>
    <row r="28100">
      <c r="B28100" s="31"/>
      <c r="G28100" s="272" t="s">
        <v>1099</v>
      </c>
    </row>
    <row r="28101">
      <c r="B28101" s="31"/>
      <c r="G28101" s="272" t="s">
        <v>1099</v>
      </c>
    </row>
    <row r="28102">
      <c r="B28102" s="31"/>
      <c r="G28102" s="272" t="s">
        <v>1099</v>
      </c>
    </row>
    <row r="28103">
      <c r="B28103" s="31"/>
      <c r="G28103" s="272" t="s">
        <v>1099</v>
      </c>
    </row>
    <row r="28104">
      <c r="B28104" s="31"/>
      <c r="G28104" s="272" t="s">
        <v>1099</v>
      </c>
    </row>
    <row r="28105">
      <c r="B28105" s="31"/>
      <c r="G28105" s="272" t="s">
        <v>1099</v>
      </c>
    </row>
    <row r="28106">
      <c r="B28106" s="31"/>
      <c r="G28106" s="272" t="s">
        <v>1099</v>
      </c>
    </row>
    <row r="28107">
      <c r="B28107" s="31"/>
      <c r="G28107" s="272" t="s">
        <v>1099</v>
      </c>
    </row>
    <row r="28108">
      <c r="B28108" s="31"/>
      <c r="G28108" s="272" t="s">
        <v>1099</v>
      </c>
    </row>
    <row r="28109">
      <c r="B28109" s="31"/>
      <c r="G28109" s="272" t="s">
        <v>1099</v>
      </c>
    </row>
    <row r="28110">
      <c r="B28110" s="31"/>
      <c r="G28110" s="272" t="s">
        <v>1099</v>
      </c>
    </row>
    <row r="28111">
      <c r="B28111" s="31"/>
      <c r="G28111" s="272" t="s">
        <v>1099</v>
      </c>
    </row>
    <row r="28112">
      <c r="B28112" s="31"/>
      <c r="G28112" s="272" t="s">
        <v>1099</v>
      </c>
    </row>
    <row r="28113">
      <c r="B28113" s="31"/>
      <c r="G28113" s="272" t="s">
        <v>1099</v>
      </c>
    </row>
    <row r="28114">
      <c r="B28114" s="31"/>
      <c r="G28114" s="272" t="s">
        <v>1099</v>
      </c>
    </row>
    <row r="28115">
      <c r="B28115" s="31"/>
      <c r="G28115" s="272" t="s">
        <v>1099</v>
      </c>
    </row>
    <row r="28116">
      <c r="B28116" s="31"/>
      <c r="G28116" s="272" t="s">
        <v>1099</v>
      </c>
    </row>
    <row r="28117">
      <c r="B28117" s="31"/>
      <c r="G28117" s="272" t="s">
        <v>1099</v>
      </c>
    </row>
    <row r="28118">
      <c r="B28118" s="31"/>
      <c r="G28118" s="272" t="s">
        <v>1099</v>
      </c>
    </row>
    <row r="28119">
      <c r="B28119" s="31"/>
      <c r="G28119" s="272" t="s">
        <v>1099</v>
      </c>
    </row>
    <row r="28120">
      <c r="B28120" s="31"/>
      <c r="G28120" s="272" t="s">
        <v>1099</v>
      </c>
    </row>
    <row r="28121">
      <c r="B28121" s="31"/>
      <c r="G28121" s="272" t="s">
        <v>1099</v>
      </c>
    </row>
    <row r="28122">
      <c r="B28122" s="31"/>
      <c r="G28122" s="272" t="s">
        <v>1099</v>
      </c>
    </row>
    <row r="28123">
      <c r="B28123" s="31"/>
      <c r="G28123" s="272" t="s">
        <v>1099</v>
      </c>
    </row>
    <row r="28124">
      <c r="B28124" s="31"/>
      <c r="G28124" s="272" t="s">
        <v>1099</v>
      </c>
    </row>
    <row r="28125">
      <c r="B28125" s="31"/>
      <c r="G28125" s="272" t="s">
        <v>1099</v>
      </c>
    </row>
    <row r="28126">
      <c r="B28126" s="31"/>
      <c r="G28126" s="272" t="s">
        <v>1099</v>
      </c>
    </row>
    <row r="28127">
      <c r="B28127" s="31"/>
      <c r="G28127" s="272" t="s">
        <v>1099</v>
      </c>
    </row>
    <row r="28128">
      <c r="B28128" s="31"/>
      <c r="G28128" s="272" t="s">
        <v>1099</v>
      </c>
    </row>
    <row r="28129">
      <c r="B28129" s="31"/>
      <c r="G28129" s="272" t="s">
        <v>1099</v>
      </c>
    </row>
    <row r="28130">
      <c r="B28130" s="31"/>
      <c r="G28130" s="272" t="s">
        <v>1099</v>
      </c>
    </row>
    <row r="28131">
      <c r="B28131" s="31"/>
      <c r="G28131" s="272" t="s">
        <v>1099</v>
      </c>
    </row>
    <row r="28132">
      <c r="B28132" s="31"/>
      <c r="G28132" s="272" t="s">
        <v>1099</v>
      </c>
    </row>
    <row r="28133">
      <c r="B28133" s="31"/>
      <c r="G28133" s="272" t="s">
        <v>1099</v>
      </c>
    </row>
    <row r="28134">
      <c r="B28134" s="31"/>
      <c r="G28134" s="272" t="s">
        <v>1099</v>
      </c>
    </row>
    <row r="28135">
      <c r="B28135" s="31"/>
      <c r="G28135" s="272" t="s">
        <v>1099</v>
      </c>
    </row>
    <row r="28136">
      <c r="B28136" s="31"/>
      <c r="G28136" s="272" t="s">
        <v>1099</v>
      </c>
    </row>
    <row r="28137">
      <c r="B28137" s="31"/>
      <c r="G28137" s="272" t="s">
        <v>1099</v>
      </c>
    </row>
    <row r="28138">
      <c r="B28138" s="31"/>
      <c r="G28138" s="272" t="s">
        <v>1099</v>
      </c>
    </row>
    <row r="28139">
      <c r="B28139" s="31"/>
      <c r="G28139" s="272" t="s">
        <v>1099</v>
      </c>
    </row>
    <row r="28140">
      <c r="B28140" s="31"/>
      <c r="G28140" s="272" t="s">
        <v>1099</v>
      </c>
    </row>
    <row r="28141">
      <c r="B28141" s="31"/>
      <c r="G28141" s="272" t="s">
        <v>1099</v>
      </c>
    </row>
    <row r="28142">
      <c r="B28142" s="31"/>
      <c r="G28142" s="272" t="s">
        <v>1099</v>
      </c>
    </row>
    <row r="28143">
      <c r="B28143" s="31"/>
      <c r="G28143" s="272" t="s">
        <v>1099</v>
      </c>
    </row>
    <row r="28144">
      <c r="B28144" s="31"/>
      <c r="G28144" s="272" t="s">
        <v>1099</v>
      </c>
    </row>
    <row r="28145">
      <c r="B28145" s="31"/>
      <c r="G28145" s="272" t="s">
        <v>1099</v>
      </c>
    </row>
    <row r="28146">
      <c r="B28146" s="31"/>
      <c r="G28146" s="272" t="s">
        <v>1099</v>
      </c>
    </row>
    <row r="28147">
      <c r="B28147" s="31"/>
      <c r="G28147" s="272" t="s">
        <v>1099</v>
      </c>
    </row>
    <row r="28148">
      <c r="B28148" s="31"/>
      <c r="G28148" s="272" t="s">
        <v>1099</v>
      </c>
    </row>
    <row r="28149">
      <c r="B28149" s="31"/>
      <c r="G28149" s="272" t="s">
        <v>1099</v>
      </c>
    </row>
    <row r="28150">
      <c r="B28150" s="31"/>
      <c r="G28150" s="272" t="s">
        <v>1099</v>
      </c>
    </row>
    <row r="28151">
      <c r="B28151" s="31"/>
      <c r="G28151" s="272" t="s">
        <v>1099</v>
      </c>
    </row>
    <row r="28152">
      <c r="B28152" s="31"/>
      <c r="G28152" s="272" t="s">
        <v>1099</v>
      </c>
    </row>
    <row r="28153">
      <c r="B28153" s="31"/>
      <c r="G28153" s="272" t="s">
        <v>1099</v>
      </c>
    </row>
    <row r="28154">
      <c r="B28154" s="31"/>
      <c r="G28154" s="272" t="s">
        <v>1099</v>
      </c>
    </row>
    <row r="28155">
      <c r="B28155" s="31"/>
      <c r="G28155" s="272" t="s">
        <v>1099</v>
      </c>
    </row>
    <row r="28156">
      <c r="B28156" s="31"/>
      <c r="G28156" s="272" t="s">
        <v>1099</v>
      </c>
    </row>
    <row r="28157">
      <c r="B28157" s="31"/>
      <c r="G28157" s="272" t="s">
        <v>1099</v>
      </c>
    </row>
    <row r="28158">
      <c r="B28158" s="31"/>
      <c r="G28158" s="272" t="s">
        <v>1099</v>
      </c>
    </row>
    <row r="28159">
      <c r="B28159" s="31"/>
      <c r="G28159" s="272" t="s">
        <v>1099</v>
      </c>
    </row>
    <row r="28160">
      <c r="B28160" s="31"/>
      <c r="G28160" s="272" t="s">
        <v>1099</v>
      </c>
    </row>
    <row r="28161">
      <c r="B28161" s="31"/>
      <c r="G28161" s="272" t="s">
        <v>1099</v>
      </c>
    </row>
    <row r="28162">
      <c r="B28162" s="31"/>
      <c r="G28162" s="272" t="s">
        <v>1099</v>
      </c>
    </row>
    <row r="28163">
      <c r="B28163" s="31"/>
      <c r="G28163" s="272" t="s">
        <v>1099</v>
      </c>
    </row>
    <row r="28164">
      <c r="B28164" s="31"/>
      <c r="G28164" s="272" t="s">
        <v>1099</v>
      </c>
    </row>
    <row r="28165">
      <c r="B28165" s="31"/>
      <c r="G28165" s="272" t="s">
        <v>1099</v>
      </c>
    </row>
    <row r="28166">
      <c r="B28166" s="31"/>
      <c r="G28166" s="272" t="s">
        <v>1099</v>
      </c>
    </row>
    <row r="28167">
      <c r="B28167" s="31"/>
      <c r="G28167" s="272" t="s">
        <v>1099</v>
      </c>
    </row>
    <row r="28168">
      <c r="B28168" s="31"/>
      <c r="G28168" s="272" t="s">
        <v>1099</v>
      </c>
    </row>
    <row r="28169">
      <c r="B28169" s="31"/>
      <c r="G28169" s="272" t="s">
        <v>1099</v>
      </c>
    </row>
    <row r="28170">
      <c r="B28170" s="31"/>
      <c r="G28170" s="272" t="s">
        <v>1099</v>
      </c>
    </row>
    <row r="28171">
      <c r="B28171" s="31"/>
      <c r="G28171" s="272" t="s">
        <v>1099</v>
      </c>
    </row>
    <row r="28172">
      <c r="B28172" s="31"/>
      <c r="G28172" s="272" t="s">
        <v>1099</v>
      </c>
    </row>
    <row r="28173">
      <c r="B28173" s="31"/>
      <c r="G28173" s="272" t="s">
        <v>1099</v>
      </c>
    </row>
    <row r="28174">
      <c r="B28174" s="31"/>
      <c r="G28174" s="272" t="s">
        <v>1099</v>
      </c>
    </row>
    <row r="28175">
      <c r="B28175" s="31"/>
      <c r="G28175" s="272" t="s">
        <v>1099</v>
      </c>
    </row>
    <row r="28176">
      <c r="B28176" s="31"/>
      <c r="G28176" s="272" t="s">
        <v>1099</v>
      </c>
    </row>
    <row r="28177">
      <c r="B28177" s="31"/>
      <c r="G28177" s="272" t="s">
        <v>1099</v>
      </c>
    </row>
    <row r="28178">
      <c r="B28178" s="31"/>
      <c r="G28178" s="272" t="s">
        <v>1099</v>
      </c>
    </row>
    <row r="28179">
      <c r="B28179" s="31"/>
      <c r="G28179" s="272" t="s">
        <v>1099</v>
      </c>
    </row>
    <row r="28180">
      <c r="B28180" s="31"/>
      <c r="G28180" s="272" t="s">
        <v>1099</v>
      </c>
    </row>
    <row r="28181">
      <c r="B28181" s="31"/>
      <c r="G28181" s="272" t="s">
        <v>1099</v>
      </c>
    </row>
    <row r="28182">
      <c r="B28182" s="31"/>
      <c r="G28182" s="272" t="s">
        <v>1099</v>
      </c>
    </row>
    <row r="28183">
      <c r="B28183" s="31"/>
      <c r="G28183" s="272" t="s">
        <v>1099</v>
      </c>
    </row>
    <row r="28184">
      <c r="B28184" s="31"/>
      <c r="G28184" s="272" t="s">
        <v>1099</v>
      </c>
    </row>
    <row r="28185">
      <c r="B28185" s="31"/>
      <c r="G28185" s="272" t="s">
        <v>1099</v>
      </c>
    </row>
    <row r="28186">
      <c r="B28186" s="31"/>
      <c r="G28186" s="272" t="s">
        <v>1099</v>
      </c>
    </row>
    <row r="28187">
      <c r="B28187" s="31"/>
      <c r="G28187" s="272" t="s">
        <v>1099</v>
      </c>
    </row>
    <row r="28188">
      <c r="B28188" s="31"/>
      <c r="G28188" s="272" t="s">
        <v>1099</v>
      </c>
    </row>
    <row r="28189">
      <c r="B28189" s="31"/>
      <c r="G28189" s="272" t="s">
        <v>1099</v>
      </c>
    </row>
    <row r="28190">
      <c r="B28190" s="31"/>
      <c r="G28190" s="272" t="s">
        <v>1099</v>
      </c>
    </row>
    <row r="28191">
      <c r="B28191" s="31"/>
      <c r="G28191" s="272" t="s">
        <v>1099</v>
      </c>
    </row>
    <row r="28192">
      <c r="B28192" s="31"/>
      <c r="G28192" s="272" t="s">
        <v>1099</v>
      </c>
    </row>
    <row r="28193">
      <c r="B28193" s="31"/>
      <c r="G28193" s="272" t="s">
        <v>1099</v>
      </c>
    </row>
    <row r="28194">
      <c r="B28194" s="31"/>
      <c r="G28194" s="272" t="s">
        <v>1099</v>
      </c>
    </row>
    <row r="28195">
      <c r="B28195" s="31"/>
      <c r="G28195" s="272" t="s">
        <v>1099</v>
      </c>
    </row>
    <row r="28196">
      <c r="B28196" s="31"/>
      <c r="G28196" s="272" t="s">
        <v>1099</v>
      </c>
    </row>
    <row r="28197">
      <c r="B28197" s="31"/>
      <c r="G28197" s="272" t="s">
        <v>1099</v>
      </c>
    </row>
    <row r="28198">
      <c r="B28198" s="31"/>
      <c r="G28198" s="272" t="s">
        <v>1099</v>
      </c>
    </row>
    <row r="28199">
      <c r="B28199" s="31"/>
      <c r="G28199" s="272" t="s">
        <v>1099</v>
      </c>
    </row>
    <row r="28200">
      <c r="B28200" s="31"/>
      <c r="G28200" s="272" t="s">
        <v>1099</v>
      </c>
    </row>
    <row r="28201">
      <c r="B28201" s="31"/>
      <c r="G28201" s="272" t="s">
        <v>1099</v>
      </c>
    </row>
    <row r="28202">
      <c r="B28202" s="31"/>
      <c r="G28202" s="272" t="s">
        <v>1099</v>
      </c>
    </row>
    <row r="28203">
      <c r="B28203" s="31"/>
      <c r="G28203" s="272" t="s">
        <v>1099</v>
      </c>
    </row>
    <row r="28204">
      <c r="B28204" s="31"/>
      <c r="G28204" s="272" t="s">
        <v>1099</v>
      </c>
    </row>
    <row r="28205">
      <c r="B28205" s="31"/>
      <c r="G28205" s="272" t="s">
        <v>1099</v>
      </c>
    </row>
    <row r="28206">
      <c r="B28206" s="31"/>
      <c r="G28206" s="272" t="s">
        <v>1099</v>
      </c>
    </row>
    <row r="28207">
      <c r="B28207" s="31"/>
      <c r="G28207" s="272" t="s">
        <v>1099</v>
      </c>
    </row>
    <row r="28208">
      <c r="B28208" s="31"/>
      <c r="G28208" s="272" t="s">
        <v>1099</v>
      </c>
    </row>
    <row r="28209">
      <c r="B28209" s="31"/>
      <c r="G28209" s="272" t="s">
        <v>1099</v>
      </c>
    </row>
    <row r="28210">
      <c r="B28210" s="31"/>
      <c r="G28210" s="272" t="s">
        <v>1099</v>
      </c>
    </row>
    <row r="28211">
      <c r="B28211" s="31"/>
      <c r="G28211" s="272" t="s">
        <v>1099</v>
      </c>
    </row>
    <row r="28212">
      <c r="B28212" s="31"/>
      <c r="G28212" s="272" t="s">
        <v>1099</v>
      </c>
    </row>
    <row r="28213">
      <c r="B28213" s="31"/>
      <c r="G28213" s="272" t="s">
        <v>1099</v>
      </c>
    </row>
    <row r="28214">
      <c r="B28214" s="31"/>
      <c r="G28214" s="272" t="s">
        <v>1099</v>
      </c>
    </row>
    <row r="28215">
      <c r="B28215" s="31"/>
      <c r="G28215" s="272" t="s">
        <v>1099</v>
      </c>
    </row>
    <row r="28216">
      <c r="B28216" s="31"/>
      <c r="G28216" s="272" t="s">
        <v>1099</v>
      </c>
    </row>
    <row r="28217">
      <c r="B28217" s="31"/>
      <c r="G28217" s="272" t="s">
        <v>1099</v>
      </c>
    </row>
    <row r="28218">
      <c r="B28218" s="31"/>
      <c r="G28218" s="272" t="s">
        <v>1099</v>
      </c>
    </row>
    <row r="28219">
      <c r="B28219" s="31"/>
      <c r="G28219" s="272" t="s">
        <v>1099</v>
      </c>
    </row>
    <row r="28220">
      <c r="B28220" s="31"/>
      <c r="G28220" s="272" t="s">
        <v>1099</v>
      </c>
    </row>
    <row r="28221">
      <c r="B28221" s="31"/>
      <c r="G28221" s="272" t="s">
        <v>1099</v>
      </c>
    </row>
    <row r="28222">
      <c r="B28222" s="31"/>
      <c r="G28222" s="272" t="s">
        <v>1099</v>
      </c>
    </row>
    <row r="28223">
      <c r="B28223" s="31"/>
      <c r="G28223" s="272" t="s">
        <v>1099</v>
      </c>
    </row>
    <row r="28224">
      <c r="B28224" s="31"/>
      <c r="G28224" s="272" t="s">
        <v>1099</v>
      </c>
    </row>
    <row r="28225">
      <c r="B28225" s="31"/>
      <c r="G28225" s="272" t="s">
        <v>1099</v>
      </c>
    </row>
    <row r="28226">
      <c r="B28226" s="31"/>
      <c r="G28226" s="272" t="s">
        <v>1099</v>
      </c>
    </row>
    <row r="28227">
      <c r="B28227" s="31"/>
      <c r="G28227" s="272" t="s">
        <v>1099</v>
      </c>
    </row>
    <row r="28228">
      <c r="B28228" s="31"/>
      <c r="G28228" s="272" t="s">
        <v>1099</v>
      </c>
    </row>
    <row r="28229">
      <c r="B28229" s="31"/>
      <c r="G28229" s="272" t="s">
        <v>1099</v>
      </c>
    </row>
    <row r="28230">
      <c r="B28230" s="31"/>
      <c r="G28230" s="272" t="s">
        <v>1099</v>
      </c>
    </row>
    <row r="28231">
      <c r="B28231" s="31"/>
      <c r="G28231" s="272" t="s">
        <v>1099</v>
      </c>
    </row>
    <row r="28232">
      <c r="B28232" s="31"/>
      <c r="G28232" s="272" t="s">
        <v>1099</v>
      </c>
    </row>
    <row r="28233">
      <c r="B28233" s="31"/>
      <c r="G28233" s="272" t="s">
        <v>1099</v>
      </c>
    </row>
    <row r="28234">
      <c r="B28234" s="31"/>
      <c r="G28234" s="272" t="s">
        <v>1099</v>
      </c>
    </row>
    <row r="28235">
      <c r="B28235" s="31"/>
      <c r="G28235" s="272" t="s">
        <v>1099</v>
      </c>
    </row>
    <row r="28236">
      <c r="B28236" s="31"/>
      <c r="G28236" s="272" t="s">
        <v>1099</v>
      </c>
    </row>
    <row r="28237">
      <c r="B28237" s="31"/>
      <c r="G28237" s="272" t="s">
        <v>1099</v>
      </c>
    </row>
    <row r="28238">
      <c r="B28238" s="31"/>
      <c r="G28238" s="272" t="s">
        <v>1099</v>
      </c>
    </row>
    <row r="28239">
      <c r="B28239" s="31"/>
      <c r="G28239" s="272" t="s">
        <v>1099</v>
      </c>
    </row>
    <row r="28240">
      <c r="B28240" s="31"/>
      <c r="G28240" s="272" t="s">
        <v>1099</v>
      </c>
    </row>
    <row r="28241">
      <c r="B28241" s="31"/>
      <c r="G28241" s="272" t="s">
        <v>1099</v>
      </c>
    </row>
    <row r="28242">
      <c r="B28242" s="31"/>
      <c r="G28242" s="272" t="s">
        <v>1099</v>
      </c>
    </row>
    <row r="28243">
      <c r="B28243" s="31"/>
      <c r="G28243" s="272" t="s">
        <v>1099</v>
      </c>
    </row>
    <row r="28244">
      <c r="B28244" s="31"/>
      <c r="G28244" s="272" t="s">
        <v>1099</v>
      </c>
    </row>
    <row r="28245">
      <c r="B28245" s="31"/>
      <c r="G28245" s="272" t="s">
        <v>1099</v>
      </c>
    </row>
    <row r="28246">
      <c r="B28246" s="31"/>
      <c r="G28246" s="272" t="s">
        <v>1099</v>
      </c>
    </row>
    <row r="28247">
      <c r="B28247" s="31"/>
      <c r="G28247" s="272" t="s">
        <v>1099</v>
      </c>
    </row>
    <row r="28248">
      <c r="B28248" s="31"/>
      <c r="G28248" s="272" t="s">
        <v>1099</v>
      </c>
    </row>
    <row r="28249">
      <c r="B28249" s="31"/>
      <c r="G28249" s="272" t="s">
        <v>1099</v>
      </c>
    </row>
    <row r="28250">
      <c r="B28250" s="31"/>
      <c r="G28250" s="272" t="s">
        <v>1099</v>
      </c>
    </row>
    <row r="28251">
      <c r="B28251" s="31"/>
      <c r="G28251" s="272" t="s">
        <v>1099</v>
      </c>
    </row>
    <row r="28252">
      <c r="B28252" s="31"/>
      <c r="G28252" s="272" t="s">
        <v>1099</v>
      </c>
    </row>
    <row r="28253">
      <c r="B28253" s="31"/>
      <c r="G28253" s="272" t="s">
        <v>1099</v>
      </c>
    </row>
    <row r="28254">
      <c r="B28254" s="31"/>
      <c r="G28254" s="272" t="s">
        <v>1099</v>
      </c>
    </row>
    <row r="28255">
      <c r="B28255" s="31"/>
      <c r="G28255" s="272" t="s">
        <v>1099</v>
      </c>
    </row>
    <row r="28256">
      <c r="B28256" s="31"/>
      <c r="G28256" s="272" t="s">
        <v>1099</v>
      </c>
    </row>
    <row r="28257">
      <c r="B28257" s="31"/>
      <c r="G28257" s="272" t="s">
        <v>1099</v>
      </c>
    </row>
    <row r="28258">
      <c r="B28258" s="31"/>
      <c r="G28258" s="272" t="s">
        <v>1099</v>
      </c>
    </row>
    <row r="28259">
      <c r="B28259" s="31"/>
      <c r="G28259" s="272" t="s">
        <v>1099</v>
      </c>
    </row>
    <row r="28260">
      <c r="B28260" s="31"/>
      <c r="G28260" s="272" t="s">
        <v>1099</v>
      </c>
    </row>
    <row r="28261">
      <c r="B28261" s="31"/>
      <c r="G28261" s="272" t="s">
        <v>1099</v>
      </c>
    </row>
    <row r="28262">
      <c r="B28262" s="31"/>
      <c r="G28262" s="272" t="s">
        <v>1099</v>
      </c>
    </row>
    <row r="28263">
      <c r="B28263" s="31"/>
      <c r="G28263" s="272" t="s">
        <v>1099</v>
      </c>
    </row>
    <row r="28264">
      <c r="B28264" s="31"/>
      <c r="G28264" s="272" t="s">
        <v>1099</v>
      </c>
    </row>
    <row r="28265">
      <c r="B28265" s="31"/>
      <c r="G28265" s="272" t="s">
        <v>1099</v>
      </c>
    </row>
    <row r="28266">
      <c r="B28266" s="31"/>
      <c r="G28266" s="272" t="s">
        <v>1099</v>
      </c>
    </row>
    <row r="28267">
      <c r="B28267" s="31"/>
      <c r="G28267" s="272" t="s">
        <v>1099</v>
      </c>
    </row>
    <row r="28268">
      <c r="B28268" s="31"/>
      <c r="G28268" s="272" t="s">
        <v>1099</v>
      </c>
    </row>
    <row r="28269">
      <c r="B28269" s="31"/>
      <c r="G28269" s="272" t="s">
        <v>1099</v>
      </c>
    </row>
    <row r="28270">
      <c r="B28270" s="31"/>
      <c r="G28270" s="272" t="s">
        <v>1099</v>
      </c>
    </row>
    <row r="28271">
      <c r="B28271" s="31"/>
      <c r="G28271" s="272" t="s">
        <v>1099</v>
      </c>
    </row>
    <row r="28272">
      <c r="B28272" s="31"/>
      <c r="G28272" s="272" t="s">
        <v>1099</v>
      </c>
    </row>
    <row r="28273">
      <c r="B28273" s="31"/>
      <c r="G28273" s="272" t="s">
        <v>1099</v>
      </c>
    </row>
    <row r="28274">
      <c r="B28274" s="31"/>
      <c r="G28274" s="272" t="s">
        <v>1099</v>
      </c>
    </row>
    <row r="28275">
      <c r="B28275" s="31"/>
      <c r="G28275" s="272" t="s">
        <v>1099</v>
      </c>
    </row>
    <row r="28276">
      <c r="B28276" s="31"/>
      <c r="G28276" s="272" t="s">
        <v>1099</v>
      </c>
    </row>
    <row r="28277">
      <c r="B28277" s="31"/>
      <c r="G28277" s="272" t="s">
        <v>1099</v>
      </c>
    </row>
    <row r="28278">
      <c r="B28278" s="31"/>
      <c r="G28278" s="272" t="s">
        <v>1099</v>
      </c>
    </row>
    <row r="28279">
      <c r="B28279" s="31"/>
      <c r="G28279" s="272" t="s">
        <v>1099</v>
      </c>
    </row>
    <row r="28280">
      <c r="B28280" s="31"/>
      <c r="G28280" s="272" t="s">
        <v>1099</v>
      </c>
    </row>
    <row r="28281">
      <c r="B28281" s="31"/>
      <c r="G28281" s="272" t="s">
        <v>1099</v>
      </c>
    </row>
    <row r="28282">
      <c r="B28282" s="31"/>
      <c r="G28282" s="272" t="s">
        <v>1099</v>
      </c>
    </row>
    <row r="28283">
      <c r="B28283" s="31"/>
      <c r="G28283" s="272" t="s">
        <v>1099</v>
      </c>
    </row>
    <row r="28284">
      <c r="B28284" s="31"/>
      <c r="G28284" s="272" t="s">
        <v>1099</v>
      </c>
    </row>
    <row r="28285">
      <c r="B28285" s="31"/>
      <c r="G28285" s="272" t="s">
        <v>1099</v>
      </c>
    </row>
    <row r="28286">
      <c r="B28286" s="31"/>
      <c r="G28286" s="272" t="s">
        <v>1099</v>
      </c>
    </row>
    <row r="28287">
      <c r="B28287" s="31"/>
      <c r="G28287" s="272" t="s">
        <v>1099</v>
      </c>
    </row>
    <row r="28288">
      <c r="B28288" s="31"/>
      <c r="G28288" s="272" t="s">
        <v>1099</v>
      </c>
    </row>
    <row r="28289">
      <c r="B28289" s="31"/>
      <c r="G28289" s="272" t="s">
        <v>1099</v>
      </c>
    </row>
    <row r="28290">
      <c r="B28290" s="31"/>
      <c r="G28290" s="272" t="s">
        <v>1099</v>
      </c>
    </row>
    <row r="28291">
      <c r="B28291" s="31"/>
      <c r="G28291" s="272" t="s">
        <v>1099</v>
      </c>
    </row>
    <row r="28292">
      <c r="B28292" s="31"/>
      <c r="G28292" s="272" t="s">
        <v>1099</v>
      </c>
    </row>
    <row r="28293">
      <c r="B28293" s="31"/>
      <c r="G28293" s="272" t="s">
        <v>1099</v>
      </c>
    </row>
    <row r="28294">
      <c r="B28294" s="31"/>
      <c r="G28294" s="272" t="s">
        <v>1099</v>
      </c>
    </row>
    <row r="28295">
      <c r="B28295" s="31"/>
      <c r="G28295" s="272" t="s">
        <v>1099</v>
      </c>
    </row>
    <row r="28296">
      <c r="B28296" s="31"/>
      <c r="G28296" s="272" t="s">
        <v>1099</v>
      </c>
    </row>
    <row r="28297">
      <c r="B28297" s="31"/>
      <c r="G28297" s="272" t="s">
        <v>1099</v>
      </c>
    </row>
    <row r="28298">
      <c r="B28298" s="31"/>
      <c r="G28298" s="272" t="s">
        <v>1099</v>
      </c>
    </row>
    <row r="28299">
      <c r="B28299" s="31"/>
      <c r="G28299" s="272" t="s">
        <v>1099</v>
      </c>
    </row>
    <row r="28300">
      <c r="B28300" s="31"/>
      <c r="G28300" s="272" t="s">
        <v>1099</v>
      </c>
    </row>
    <row r="28301">
      <c r="B28301" s="31"/>
      <c r="G28301" s="272" t="s">
        <v>1099</v>
      </c>
    </row>
    <row r="28302">
      <c r="B28302" s="31"/>
      <c r="G28302" s="272" t="s">
        <v>1099</v>
      </c>
    </row>
    <row r="28303">
      <c r="B28303" s="31"/>
      <c r="G28303" s="272" t="s">
        <v>1099</v>
      </c>
    </row>
    <row r="28304">
      <c r="B28304" s="31"/>
      <c r="G28304" s="272" t="s">
        <v>1099</v>
      </c>
    </row>
    <row r="28305">
      <c r="B28305" s="31"/>
      <c r="G28305" s="272" t="s">
        <v>1099</v>
      </c>
    </row>
    <row r="28306">
      <c r="B28306" s="31"/>
      <c r="G28306" s="272" t="s">
        <v>1099</v>
      </c>
    </row>
    <row r="28307">
      <c r="B28307" s="31"/>
      <c r="G28307" s="272" t="s">
        <v>1099</v>
      </c>
    </row>
    <row r="28308">
      <c r="B28308" s="31"/>
      <c r="G28308" s="272" t="s">
        <v>1099</v>
      </c>
    </row>
    <row r="28309">
      <c r="B28309" s="31"/>
      <c r="G28309" s="272" t="s">
        <v>1099</v>
      </c>
    </row>
    <row r="28310">
      <c r="B28310" s="31"/>
      <c r="G28310" s="272" t="s">
        <v>1099</v>
      </c>
    </row>
    <row r="28311">
      <c r="B28311" s="31"/>
      <c r="G28311" s="272" t="s">
        <v>1099</v>
      </c>
    </row>
    <row r="28312">
      <c r="B28312" s="31"/>
      <c r="G28312" s="272" t="s">
        <v>1099</v>
      </c>
    </row>
    <row r="28313">
      <c r="B28313" s="31"/>
      <c r="G28313" s="272" t="s">
        <v>1099</v>
      </c>
    </row>
    <row r="28314">
      <c r="B28314" s="31"/>
      <c r="G28314" s="272" t="s">
        <v>1099</v>
      </c>
    </row>
    <row r="28315">
      <c r="B28315" s="31"/>
      <c r="G28315" s="272" t="s">
        <v>1099</v>
      </c>
    </row>
    <row r="28316">
      <c r="B28316" s="31"/>
      <c r="G28316" s="272" t="s">
        <v>1099</v>
      </c>
    </row>
    <row r="28317">
      <c r="B28317" s="31"/>
      <c r="G28317" s="272" t="s">
        <v>1099</v>
      </c>
    </row>
    <row r="28318">
      <c r="B28318" s="31"/>
      <c r="G28318" s="272" t="s">
        <v>1099</v>
      </c>
    </row>
    <row r="28319">
      <c r="B28319" s="31"/>
      <c r="G28319" s="272" t="s">
        <v>1099</v>
      </c>
    </row>
    <row r="28320">
      <c r="B28320" s="31"/>
      <c r="G28320" s="272" t="s">
        <v>1099</v>
      </c>
    </row>
    <row r="28321">
      <c r="B28321" s="31"/>
      <c r="G28321" s="272" t="s">
        <v>1099</v>
      </c>
    </row>
    <row r="28322">
      <c r="B28322" s="31"/>
      <c r="G28322" s="272" t="s">
        <v>1099</v>
      </c>
    </row>
    <row r="28323">
      <c r="B28323" s="31"/>
      <c r="G28323" s="272" t="s">
        <v>1099</v>
      </c>
    </row>
    <row r="28324">
      <c r="B28324" s="31"/>
      <c r="G28324" s="272" t="s">
        <v>1099</v>
      </c>
    </row>
    <row r="28325">
      <c r="B28325" s="31"/>
      <c r="G28325" s="272" t="s">
        <v>1099</v>
      </c>
    </row>
    <row r="28326">
      <c r="B28326" s="31"/>
      <c r="G28326" s="272" t="s">
        <v>1099</v>
      </c>
    </row>
    <row r="28327">
      <c r="B28327" s="31"/>
      <c r="G28327" s="272" t="s">
        <v>1099</v>
      </c>
    </row>
    <row r="28328">
      <c r="B28328" s="31"/>
      <c r="G28328" s="272" t="s">
        <v>1099</v>
      </c>
    </row>
    <row r="28329">
      <c r="B28329" s="31"/>
      <c r="G28329" s="272" t="s">
        <v>1099</v>
      </c>
    </row>
    <row r="28330">
      <c r="B28330" s="31"/>
      <c r="G28330" s="272" t="s">
        <v>1099</v>
      </c>
    </row>
    <row r="28331">
      <c r="B28331" s="31"/>
      <c r="G28331" s="272" t="s">
        <v>1099</v>
      </c>
    </row>
    <row r="28332">
      <c r="B28332" s="31"/>
      <c r="G28332" s="272" t="s">
        <v>1099</v>
      </c>
    </row>
    <row r="28333">
      <c r="B28333" s="31"/>
      <c r="G28333" s="272" t="s">
        <v>1099</v>
      </c>
    </row>
    <row r="28334">
      <c r="B28334" s="31"/>
      <c r="G28334" s="272" t="s">
        <v>1099</v>
      </c>
    </row>
    <row r="28335">
      <c r="B28335" s="31"/>
      <c r="G28335" s="272" t="s">
        <v>1099</v>
      </c>
    </row>
    <row r="28336">
      <c r="B28336" s="31"/>
      <c r="G28336" s="272" t="s">
        <v>1099</v>
      </c>
    </row>
    <row r="28337">
      <c r="B28337" s="31"/>
      <c r="G28337" s="272" t="s">
        <v>1099</v>
      </c>
    </row>
    <row r="28338">
      <c r="B28338" s="31"/>
      <c r="G28338" s="272" t="s">
        <v>1099</v>
      </c>
    </row>
    <row r="28339">
      <c r="B28339" s="31"/>
      <c r="G28339" s="272" t="s">
        <v>1099</v>
      </c>
    </row>
    <row r="28340">
      <c r="B28340" s="31"/>
      <c r="G28340" s="272" t="s">
        <v>1099</v>
      </c>
    </row>
    <row r="28341">
      <c r="B28341" s="31"/>
      <c r="G28341" s="272" t="s">
        <v>1099</v>
      </c>
    </row>
    <row r="28342">
      <c r="B28342" s="31"/>
      <c r="G28342" s="272" t="s">
        <v>1099</v>
      </c>
    </row>
    <row r="28343">
      <c r="B28343" s="31"/>
      <c r="G28343" s="272" t="s">
        <v>1099</v>
      </c>
    </row>
    <row r="28344">
      <c r="B28344" s="31"/>
      <c r="G28344" s="272" t="s">
        <v>1099</v>
      </c>
    </row>
    <row r="28345">
      <c r="B28345" s="31"/>
      <c r="G28345" s="272" t="s">
        <v>1099</v>
      </c>
    </row>
    <row r="28346">
      <c r="B28346" s="31"/>
      <c r="G28346" s="272" t="s">
        <v>1099</v>
      </c>
    </row>
    <row r="28347">
      <c r="B28347" s="31"/>
      <c r="G28347" s="272" t="s">
        <v>1099</v>
      </c>
    </row>
    <row r="28348">
      <c r="B28348" s="31"/>
      <c r="G28348" s="272" t="s">
        <v>1099</v>
      </c>
    </row>
    <row r="28349">
      <c r="B28349" s="31"/>
      <c r="G28349" s="272" t="s">
        <v>1099</v>
      </c>
    </row>
    <row r="28350">
      <c r="B28350" s="31"/>
      <c r="G28350" s="272" t="s">
        <v>1099</v>
      </c>
    </row>
    <row r="28351">
      <c r="B28351" s="31"/>
      <c r="G28351" s="272" t="s">
        <v>1099</v>
      </c>
    </row>
    <row r="28352">
      <c r="B28352" s="31"/>
      <c r="G28352" s="272" t="s">
        <v>1099</v>
      </c>
    </row>
    <row r="28353">
      <c r="B28353" s="31"/>
      <c r="G28353" s="272" t="s">
        <v>1099</v>
      </c>
    </row>
    <row r="28354">
      <c r="B28354" s="31"/>
      <c r="G28354" s="272" t="s">
        <v>1099</v>
      </c>
    </row>
    <row r="28355">
      <c r="B28355" s="31"/>
      <c r="G28355" s="272" t="s">
        <v>1099</v>
      </c>
    </row>
    <row r="28356">
      <c r="B28356" s="31"/>
      <c r="G28356" s="272" t="s">
        <v>1099</v>
      </c>
    </row>
    <row r="28357">
      <c r="B28357" s="31"/>
      <c r="G28357" s="272" t="s">
        <v>1099</v>
      </c>
    </row>
    <row r="28358">
      <c r="B28358" s="31"/>
      <c r="G28358" s="272" t="s">
        <v>1099</v>
      </c>
    </row>
    <row r="28359">
      <c r="B28359" s="31"/>
      <c r="G28359" s="272" t="s">
        <v>1099</v>
      </c>
    </row>
    <row r="28360">
      <c r="B28360" s="31"/>
      <c r="G28360" s="272" t="s">
        <v>1099</v>
      </c>
    </row>
    <row r="28361">
      <c r="B28361" s="31"/>
      <c r="G28361" s="272" t="s">
        <v>1099</v>
      </c>
    </row>
    <row r="28362">
      <c r="B28362" s="31"/>
      <c r="G28362" s="272" t="s">
        <v>1099</v>
      </c>
    </row>
    <row r="28363">
      <c r="B28363" s="31"/>
      <c r="G28363" s="272" t="s">
        <v>1099</v>
      </c>
    </row>
    <row r="28364">
      <c r="B28364" s="31"/>
      <c r="G28364" s="272" t="s">
        <v>1099</v>
      </c>
    </row>
    <row r="28365">
      <c r="B28365" s="31"/>
      <c r="G28365" s="272" t="s">
        <v>1099</v>
      </c>
    </row>
    <row r="28366">
      <c r="B28366" s="31"/>
      <c r="G28366" s="272" t="s">
        <v>1099</v>
      </c>
    </row>
    <row r="28367">
      <c r="B28367" s="31"/>
      <c r="G28367" s="272" t="s">
        <v>1099</v>
      </c>
    </row>
    <row r="28368">
      <c r="B28368" s="31"/>
      <c r="G28368" s="272" t="s">
        <v>1099</v>
      </c>
    </row>
    <row r="28369">
      <c r="B28369" s="31"/>
      <c r="G28369" s="272" t="s">
        <v>1099</v>
      </c>
    </row>
    <row r="28370">
      <c r="B28370" s="31"/>
      <c r="G28370" s="272" t="s">
        <v>1099</v>
      </c>
    </row>
    <row r="28371">
      <c r="B28371" s="31"/>
      <c r="G28371" s="272" t="s">
        <v>1099</v>
      </c>
    </row>
    <row r="28372">
      <c r="B28372" s="31"/>
      <c r="G28372" s="272" t="s">
        <v>1099</v>
      </c>
    </row>
    <row r="28373">
      <c r="B28373" s="31"/>
      <c r="G28373" s="272" t="s">
        <v>1099</v>
      </c>
    </row>
    <row r="28374">
      <c r="B28374" s="31"/>
      <c r="G28374" s="272" t="s">
        <v>1099</v>
      </c>
    </row>
    <row r="28375">
      <c r="B28375" s="31"/>
      <c r="G28375" s="272" t="s">
        <v>1099</v>
      </c>
    </row>
    <row r="28376">
      <c r="B28376" s="31"/>
      <c r="G28376" s="272" t="s">
        <v>1099</v>
      </c>
    </row>
    <row r="28377">
      <c r="B28377" s="31"/>
      <c r="G28377" s="272" t="s">
        <v>1099</v>
      </c>
    </row>
    <row r="28378">
      <c r="B28378" s="31"/>
      <c r="G28378" s="272" t="s">
        <v>1099</v>
      </c>
    </row>
    <row r="28379">
      <c r="B28379" s="31"/>
      <c r="G28379" s="272" t="s">
        <v>1099</v>
      </c>
    </row>
    <row r="28380">
      <c r="B28380" s="31"/>
      <c r="G28380" s="272" t="s">
        <v>1099</v>
      </c>
    </row>
    <row r="28381">
      <c r="B28381" s="31"/>
      <c r="G28381" s="272" t="s">
        <v>1099</v>
      </c>
    </row>
    <row r="28382">
      <c r="B28382" s="31"/>
      <c r="G28382" s="272" t="s">
        <v>1099</v>
      </c>
    </row>
    <row r="28383">
      <c r="B28383" s="31"/>
      <c r="G28383" s="272" t="s">
        <v>1099</v>
      </c>
    </row>
    <row r="28384">
      <c r="B28384" s="31"/>
      <c r="G28384" s="272" t="s">
        <v>1099</v>
      </c>
    </row>
    <row r="28385">
      <c r="B28385" s="31"/>
      <c r="G28385" s="272" t="s">
        <v>1099</v>
      </c>
    </row>
    <row r="28386">
      <c r="B28386" s="31"/>
      <c r="G28386" s="272" t="s">
        <v>1099</v>
      </c>
    </row>
    <row r="28387">
      <c r="B28387" s="31"/>
      <c r="G28387" s="272" t="s">
        <v>1099</v>
      </c>
    </row>
    <row r="28388">
      <c r="B28388" s="31"/>
      <c r="G28388" s="272" t="s">
        <v>1099</v>
      </c>
    </row>
    <row r="28389">
      <c r="B28389" s="31"/>
      <c r="G28389" s="272" t="s">
        <v>1099</v>
      </c>
    </row>
    <row r="28390">
      <c r="B28390" s="31"/>
      <c r="G28390" s="272" t="s">
        <v>1099</v>
      </c>
    </row>
    <row r="28391">
      <c r="B28391" s="31"/>
      <c r="G28391" s="272" t="s">
        <v>1099</v>
      </c>
    </row>
    <row r="28392">
      <c r="B28392" s="31"/>
      <c r="G28392" s="272" t="s">
        <v>1099</v>
      </c>
    </row>
    <row r="28393">
      <c r="B28393" s="31"/>
      <c r="G28393" s="272" t="s">
        <v>1099</v>
      </c>
    </row>
    <row r="28394">
      <c r="B28394" s="31"/>
      <c r="G28394" s="272" t="s">
        <v>1099</v>
      </c>
    </row>
    <row r="28395">
      <c r="B28395" s="31"/>
      <c r="G28395" s="272" t="s">
        <v>1099</v>
      </c>
    </row>
    <row r="28396">
      <c r="B28396" s="31"/>
      <c r="G28396" s="272" t="s">
        <v>1099</v>
      </c>
    </row>
    <row r="28397">
      <c r="B28397" s="31"/>
      <c r="G28397" s="272" t="s">
        <v>1099</v>
      </c>
    </row>
    <row r="28398">
      <c r="B28398" s="31"/>
      <c r="G28398" s="272" t="s">
        <v>1099</v>
      </c>
    </row>
    <row r="28399">
      <c r="B28399" s="31"/>
      <c r="G28399" s="272" t="s">
        <v>1099</v>
      </c>
    </row>
    <row r="28400">
      <c r="B28400" s="31"/>
      <c r="G28400" s="272" t="s">
        <v>1099</v>
      </c>
    </row>
    <row r="28401">
      <c r="B28401" s="31"/>
      <c r="G28401" s="272" t="s">
        <v>1099</v>
      </c>
    </row>
    <row r="28402">
      <c r="B28402" s="31"/>
      <c r="G28402" s="272" t="s">
        <v>1099</v>
      </c>
    </row>
    <row r="28403">
      <c r="B28403" s="31"/>
      <c r="G28403" s="272" t="s">
        <v>1099</v>
      </c>
    </row>
    <row r="28404">
      <c r="B28404" s="31"/>
      <c r="G28404" s="272" t="s">
        <v>1099</v>
      </c>
    </row>
    <row r="28405">
      <c r="B28405" s="31"/>
      <c r="G28405" s="272" t="s">
        <v>1099</v>
      </c>
    </row>
    <row r="28406">
      <c r="B28406" s="31"/>
      <c r="G28406" s="272" t="s">
        <v>1099</v>
      </c>
    </row>
    <row r="28407">
      <c r="B28407" s="31"/>
      <c r="G28407" s="272" t="s">
        <v>1099</v>
      </c>
    </row>
    <row r="28408">
      <c r="B28408" s="31"/>
      <c r="G28408" s="272" t="s">
        <v>1099</v>
      </c>
    </row>
    <row r="28409">
      <c r="B28409" s="31"/>
      <c r="G28409" s="272" t="s">
        <v>1099</v>
      </c>
    </row>
    <row r="28410">
      <c r="B28410" s="31"/>
      <c r="G28410" s="272" t="s">
        <v>1099</v>
      </c>
    </row>
    <row r="28411">
      <c r="B28411" s="31"/>
      <c r="G28411" s="272" t="s">
        <v>1099</v>
      </c>
    </row>
    <row r="28412">
      <c r="B28412" s="31"/>
      <c r="G28412" s="272" t="s">
        <v>1099</v>
      </c>
    </row>
    <row r="28413">
      <c r="B28413" s="31"/>
      <c r="G28413" s="272" t="s">
        <v>1099</v>
      </c>
    </row>
    <row r="28414">
      <c r="B28414" s="31"/>
      <c r="G28414" s="272" t="s">
        <v>1099</v>
      </c>
    </row>
    <row r="28415">
      <c r="B28415" s="31"/>
      <c r="G28415" s="272" t="s">
        <v>1099</v>
      </c>
    </row>
    <row r="28416">
      <c r="B28416" s="31"/>
      <c r="G28416" s="272" t="s">
        <v>1099</v>
      </c>
    </row>
    <row r="28417">
      <c r="B28417" s="31"/>
      <c r="G28417" s="272" t="s">
        <v>1099</v>
      </c>
    </row>
    <row r="28418">
      <c r="B28418" s="31"/>
      <c r="G28418" s="272" t="s">
        <v>1099</v>
      </c>
    </row>
    <row r="28419">
      <c r="B28419" s="31"/>
      <c r="G28419" s="272" t="s">
        <v>1099</v>
      </c>
    </row>
    <row r="28420">
      <c r="B28420" s="31"/>
      <c r="G28420" s="272" t="s">
        <v>1099</v>
      </c>
    </row>
    <row r="28421">
      <c r="B28421" s="31"/>
      <c r="G28421" s="272" t="s">
        <v>1099</v>
      </c>
    </row>
    <row r="28422">
      <c r="B28422" s="31"/>
      <c r="G28422" s="272" t="s">
        <v>1099</v>
      </c>
    </row>
    <row r="28423">
      <c r="B28423" s="31"/>
      <c r="G28423" s="272" t="s">
        <v>1099</v>
      </c>
    </row>
    <row r="28424">
      <c r="B28424" s="31"/>
      <c r="G28424" s="272" t="s">
        <v>1099</v>
      </c>
    </row>
    <row r="28425">
      <c r="B28425" s="31"/>
      <c r="G28425" s="272" t="s">
        <v>1099</v>
      </c>
    </row>
    <row r="28426">
      <c r="B28426" s="31"/>
      <c r="G28426" s="272" t="s">
        <v>1099</v>
      </c>
    </row>
    <row r="28427">
      <c r="B28427" s="31"/>
      <c r="G28427" s="272" t="s">
        <v>1099</v>
      </c>
    </row>
    <row r="28428">
      <c r="B28428" s="31"/>
      <c r="G28428" s="272" t="s">
        <v>1099</v>
      </c>
    </row>
    <row r="28429">
      <c r="B28429" s="31"/>
      <c r="G28429" s="272" t="s">
        <v>1099</v>
      </c>
    </row>
    <row r="28430">
      <c r="B28430" s="31"/>
      <c r="G28430" s="272" t="s">
        <v>1099</v>
      </c>
    </row>
    <row r="28431">
      <c r="B28431" s="31"/>
      <c r="G28431" s="272" t="s">
        <v>1099</v>
      </c>
    </row>
    <row r="28432">
      <c r="B28432" s="31"/>
      <c r="G28432" s="272" t="s">
        <v>1099</v>
      </c>
    </row>
    <row r="28433">
      <c r="B28433" s="31"/>
      <c r="G28433" s="272" t="s">
        <v>1099</v>
      </c>
    </row>
    <row r="28434">
      <c r="B28434" s="31"/>
      <c r="G28434" s="272" t="s">
        <v>1099</v>
      </c>
    </row>
    <row r="28435">
      <c r="B28435" s="31"/>
      <c r="G28435" s="272" t="s">
        <v>1099</v>
      </c>
    </row>
    <row r="28436">
      <c r="B28436" s="31"/>
      <c r="G28436" s="272" t="s">
        <v>1099</v>
      </c>
    </row>
    <row r="28437">
      <c r="B28437" s="31"/>
      <c r="G28437" s="272" t="s">
        <v>1099</v>
      </c>
    </row>
    <row r="28438">
      <c r="B28438" s="31"/>
      <c r="G28438" s="272" t="s">
        <v>1099</v>
      </c>
    </row>
    <row r="28439">
      <c r="B28439" s="31"/>
      <c r="G28439" s="272" t="s">
        <v>1099</v>
      </c>
    </row>
    <row r="28440">
      <c r="B28440" s="31"/>
      <c r="G28440" s="272" t="s">
        <v>1099</v>
      </c>
    </row>
    <row r="28441">
      <c r="B28441" s="31"/>
      <c r="G28441" s="272" t="s">
        <v>1099</v>
      </c>
    </row>
    <row r="28442">
      <c r="B28442" s="31"/>
      <c r="G28442" s="272" t="s">
        <v>1099</v>
      </c>
    </row>
    <row r="28443">
      <c r="B28443" s="31"/>
      <c r="G28443" s="272" t="s">
        <v>1099</v>
      </c>
    </row>
    <row r="28444">
      <c r="B28444" s="31"/>
      <c r="G28444" s="272" t="s">
        <v>1099</v>
      </c>
    </row>
    <row r="28445">
      <c r="B28445" s="31"/>
      <c r="G28445" s="272" t="s">
        <v>1099</v>
      </c>
    </row>
    <row r="28446">
      <c r="B28446" s="31"/>
      <c r="G28446" s="272" t="s">
        <v>1099</v>
      </c>
    </row>
    <row r="28447">
      <c r="B28447" s="31"/>
      <c r="G28447" s="272" t="s">
        <v>1099</v>
      </c>
    </row>
    <row r="28448">
      <c r="B28448" s="31"/>
      <c r="G28448" s="272" t="s">
        <v>1099</v>
      </c>
    </row>
    <row r="28449">
      <c r="B28449" s="31"/>
      <c r="G28449" s="272" t="s">
        <v>1099</v>
      </c>
    </row>
    <row r="28450">
      <c r="B28450" s="31"/>
      <c r="G28450" s="272" t="s">
        <v>1099</v>
      </c>
    </row>
    <row r="28451">
      <c r="B28451" s="31"/>
      <c r="G28451" s="272" t="s">
        <v>1099</v>
      </c>
    </row>
    <row r="28452">
      <c r="B28452" s="31"/>
      <c r="G28452" s="272" t="s">
        <v>1099</v>
      </c>
    </row>
    <row r="28453">
      <c r="B28453" s="31"/>
      <c r="G28453" s="272" t="s">
        <v>1099</v>
      </c>
    </row>
    <row r="28454">
      <c r="B28454" s="31"/>
      <c r="G28454" s="272" t="s">
        <v>1099</v>
      </c>
    </row>
    <row r="28455">
      <c r="B28455" s="31"/>
      <c r="G28455" s="272" t="s">
        <v>1099</v>
      </c>
    </row>
    <row r="28456">
      <c r="B28456" s="31"/>
      <c r="G28456" s="272" t="s">
        <v>1099</v>
      </c>
    </row>
    <row r="28457">
      <c r="B28457" s="31"/>
      <c r="G28457" s="272" t="s">
        <v>1099</v>
      </c>
    </row>
    <row r="28458">
      <c r="B28458" s="31"/>
      <c r="G28458" s="272" t="s">
        <v>1099</v>
      </c>
    </row>
    <row r="28459">
      <c r="B28459" s="31"/>
      <c r="G28459" s="272" t="s">
        <v>1099</v>
      </c>
    </row>
    <row r="28460">
      <c r="B28460" s="31"/>
      <c r="G28460" s="272" t="s">
        <v>1099</v>
      </c>
    </row>
    <row r="28461">
      <c r="B28461" s="31"/>
      <c r="G28461" s="272" t="s">
        <v>1099</v>
      </c>
    </row>
    <row r="28462">
      <c r="B28462" s="31"/>
      <c r="G28462" s="272" t="s">
        <v>1099</v>
      </c>
    </row>
    <row r="28463">
      <c r="B28463" s="31"/>
      <c r="G28463" s="272" t="s">
        <v>1099</v>
      </c>
    </row>
    <row r="28464">
      <c r="B28464" s="31"/>
      <c r="G28464" s="272" t="s">
        <v>1099</v>
      </c>
    </row>
    <row r="28465">
      <c r="B28465" s="31"/>
      <c r="G28465" s="272" t="s">
        <v>1099</v>
      </c>
    </row>
    <row r="28466">
      <c r="B28466" s="31"/>
      <c r="G28466" s="272" t="s">
        <v>1099</v>
      </c>
    </row>
    <row r="28467">
      <c r="B28467" s="31"/>
      <c r="G28467" s="272" t="s">
        <v>1099</v>
      </c>
    </row>
    <row r="28468">
      <c r="B28468" s="31"/>
      <c r="G28468" s="272" t="s">
        <v>1099</v>
      </c>
    </row>
    <row r="28469">
      <c r="B28469" s="31"/>
      <c r="G28469" s="272" t="s">
        <v>1099</v>
      </c>
    </row>
    <row r="28470">
      <c r="B28470" s="31"/>
      <c r="G28470" s="272" t="s">
        <v>1099</v>
      </c>
    </row>
    <row r="28471">
      <c r="B28471" s="31"/>
      <c r="G28471" s="272" t="s">
        <v>1099</v>
      </c>
    </row>
    <row r="28472">
      <c r="B28472" s="31"/>
      <c r="G28472" s="272" t="s">
        <v>1099</v>
      </c>
    </row>
    <row r="28473">
      <c r="B28473" s="31"/>
      <c r="G28473" s="272" t="s">
        <v>1099</v>
      </c>
    </row>
    <row r="28474">
      <c r="B28474" s="31"/>
      <c r="G28474" s="272" t="s">
        <v>1099</v>
      </c>
    </row>
    <row r="28475">
      <c r="B28475" s="31"/>
      <c r="G28475" s="272" t="s">
        <v>1099</v>
      </c>
    </row>
    <row r="28476">
      <c r="B28476" s="31"/>
      <c r="G28476" s="272" t="s">
        <v>1099</v>
      </c>
    </row>
    <row r="28477">
      <c r="B28477" s="31"/>
      <c r="G28477" s="272" t="s">
        <v>1099</v>
      </c>
    </row>
    <row r="28478">
      <c r="B28478" s="31"/>
      <c r="G28478" s="272" t="s">
        <v>1099</v>
      </c>
    </row>
    <row r="28479">
      <c r="B28479" s="31"/>
      <c r="G28479" s="272" t="s">
        <v>1099</v>
      </c>
    </row>
    <row r="28480">
      <c r="B28480" s="31"/>
      <c r="G28480" s="272" t="s">
        <v>1099</v>
      </c>
    </row>
    <row r="28481">
      <c r="B28481" s="31"/>
      <c r="G28481" s="272" t="s">
        <v>1099</v>
      </c>
    </row>
    <row r="28482">
      <c r="B28482" s="31"/>
      <c r="G28482" s="272" t="s">
        <v>1099</v>
      </c>
    </row>
    <row r="28483">
      <c r="B28483" s="31"/>
      <c r="G28483" s="272" t="s">
        <v>1099</v>
      </c>
    </row>
    <row r="28484">
      <c r="B28484" s="31"/>
      <c r="G28484" s="272" t="s">
        <v>1099</v>
      </c>
    </row>
    <row r="28485">
      <c r="B28485" s="31"/>
      <c r="G28485" s="272" t="s">
        <v>1099</v>
      </c>
    </row>
    <row r="28486">
      <c r="B28486" s="31"/>
      <c r="G28486" s="272" t="s">
        <v>1099</v>
      </c>
    </row>
    <row r="28487">
      <c r="B28487" s="31"/>
      <c r="G28487" s="272" t="s">
        <v>1099</v>
      </c>
    </row>
    <row r="28488">
      <c r="B28488" s="31"/>
      <c r="G28488" s="272" t="s">
        <v>1099</v>
      </c>
    </row>
    <row r="28489">
      <c r="B28489" s="31"/>
      <c r="G28489" s="272" t="s">
        <v>1099</v>
      </c>
    </row>
    <row r="28490">
      <c r="B28490" s="31"/>
      <c r="G28490" s="272" t="s">
        <v>1099</v>
      </c>
    </row>
    <row r="28491">
      <c r="B28491" s="31"/>
      <c r="G28491" s="272" t="s">
        <v>1099</v>
      </c>
    </row>
    <row r="28492">
      <c r="B28492" s="31"/>
      <c r="G28492" s="272" t="s">
        <v>1099</v>
      </c>
    </row>
    <row r="28493">
      <c r="B28493" s="31"/>
      <c r="G28493" s="272" t="s">
        <v>1099</v>
      </c>
    </row>
    <row r="28494">
      <c r="B28494" s="31"/>
      <c r="G28494" s="272" t="s">
        <v>1099</v>
      </c>
    </row>
    <row r="28495">
      <c r="B28495" s="31"/>
      <c r="G28495" s="272" t="s">
        <v>1099</v>
      </c>
    </row>
    <row r="28496">
      <c r="B28496" s="31"/>
      <c r="G28496" s="272" t="s">
        <v>1099</v>
      </c>
    </row>
    <row r="28497">
      <c r="B28497" s="31"/>
      <c r="G28497" s="272" t="s">
        <v>1099</v>
      </c>
    </row>
    <row r="28498">
      <c r="B28498" s="31"/>
      <c r="G28498" s="272" t="s">
        <v>1099</v>
      </c>
    </row>
    <row r="28499">
      <c r="B28499" s="31"/>
      <c r="G28499" s="272" t="s">
        <v>1099</v>
      </c>
    </row>
    <row r="28500">
      <c r="B28500" s="31"/>
      <c r="G28500" s="272" t="s">
        <v>1099</v>
      </c>
    </row>
    <row r="28501">
      <c r="B28501" s="31"/>
      <c r="G28501" s="272" t="s">
        <v>1099</v>
      </c>
    </row>
    <row r="28502">
      <c r="B28502" s="31"/>
      <c r="G28502" s="272" t="s">
        <v>1099</v>
      </c>
    </row>
    <row r="28503">
      <c r="B28503" s="31"/>
      <c r="G28503" s="272" t="s">
        <v>1099</v>
      </c>
    </row>
    <row r="28504">
      <c r="B28504" s="31"/>
      <c r="G28504" s="272" t="s">
        <v>1099</v>
      </c>
    </row>
    <row r="28505">
      <c r="B28505" s="31"/>
      <c r="G28505" s="272" t="s">
        <v>1099</v>
      </c>
    </row>
    <row r="28506">
      <c r="B28506" s="31"/>
      <c r="G28506" s="272" t="s">
        <v>1099</v>
      </c>
    </row>
    <row r="28507">
      <c r="B28507" s="31"/>
      <c r="G28507" s="272" t="s">
        <v>1099</v>
      </c>
    </row>
    <row r="28508">
      <c r="B28508" s="31"/>
      <c r="G28508" s="272" t="s">
        <v>1099</v>
      </c>
    </row>
    <row r="28509">
      <c r="B28509" s="31"/>
      <c r="G28509" s="272" t="s">
        <v>1099</v>
      </c>
    </row>
    <row r="28510">
      <c r="B28510" s="31"/>
      <c r="G28510" s="272" t="s">
        <v>1099</v>
      </c>
    </row>
    <row r="28511">
      <c r="B28511" s="31"/>
      <c r="G28511" s="272" t="s">
        <v>1099</v>
      </c>
    </row>
    <row r="28512">
      <c r="B28512" s="31"/>
      <c r="G28512" s="272" t="s">
        <v>1099</v>
      </c>
    </row>
    <row r="28513">
      <c r="B28513" s="31"/>
      <c r="G28513" s="272" t="s">
        <v>1099</v>
      </c>
    </row>
    <row r="28514">
      <c r="B28514" s="31"/>
      <c r="G28514" s="272" t="s">
        <v>1099</v>
      </c>
    </row>
    <row r="28515">
      <c r="B28515" s="31"/>
      <c r="G28515" s="272" t="s">
        <v>1099</v>
      </c>
    </row>
    <row r="28516">
      <c r="B28516" s="31"/>
      <c r="G28516" s="272" t="s">
        <v>1099</v>
      </c>
    </row>
    <row r="28517">
      <c r="B28517" s="31"/>
      <c r="G28517" s="272" t="s">
        <v>1099</v>
      </c>
    </row>
    <row r="28518">
      <c r="B28518" s="31"/>
      <c r="G28518" s="272" t="s">
        <v>1099</v>
      </c>
    </row>
    <row r="28519">
      <c r="B28519" s="31"/>
      <c r="G28519" s="272" t="s">
        <v>1099</v>
      </c>
    </row>
    <row r="28520">
      <c r="B28520" s="31"/>
      <c r="G28520" s="272" t="s">
        <v>1099</v>
      </c>
    </row>
    <row r="28521">
      <c r="B28521" s="31"/>
      <c r="G28521" s="272" t="s">
        <v>1099</v>
      </c>
    </row>
    <row r="28522">
      <c r="B28522" s="31"/>
      <c r="G28522" s="272" t="s">
        <v>1099</v>
      </c>
    </row>
    <row r="28523">
      <c r="B28523" s="31"/>
      <c r="G28523" s="272" t="s">
        <v>1099</v>
      </c>
    </row>
    <row r="28524">
      <c r="B28524" s="31"/>
      <c r="G28524" s="272" t="s">
        <v>1099</v>
      </c>
    </row>
    <row r="28525">
      <c r="B28525" s="31"/>
      <c r="G28525" s="272" t="s">
        <v>1099</v>
      </c>
    </row>
    <row r="28526">
      <c r="B28526" s="31"/>
      <c r="G28526" s="272" t="s">
        <v>1099</v>
      </c>
    </row>
    <row r="28527">
      <c r="B28527" s="31"/>
      <c r="G28527" s="272" t="s">
        <v>1099</v>
      </c>
    </row>
    <row r="28528">
      <c r="B28528" s="31"/>
      <c r="G28528" s="272" t="s">
        <v>1099</v>
      </c>
    </row>
    <row r="28529">
      <c r="B28529" s="31"/>
      <c r="G28529" s="272" t="s">
        <v>1099</v>
      </c>
    </row>
    <row r="28530">
      <c r="B28530" s="31"/>
      <c r="G28530" s="272" t="s">
        <v>1099</v>
      </c>
    </row>
    <row r="28531">
      <c r="B28531" s="31"/>
      <c r="G28531" s="272" t="s">
        <v>1099</v>
      </c>
    </row>
    <row r="28532">
      <c r="B28532" s="31"/>
      <c r="G28532" s="272" t="s">
        <v>1099</v>
      </c>
    </row>
    <row r="28533">
      <c r="B28533" s="31"/>
      <c r="G28533" s="272" t="s">
        <v>1099</v>
      </c>
    </row>
    <row r="28534">
      <c r="B28534" s="31"/>
      <c r="G28534" s="272" t="s">
        <v>1099</v>
      </c>
    </row>
    <row r="28535">
      <c r="B28535" s="31"/>
      <c r="G28535" s="272" t="s">
        <v>1099</v>
      </c>
    </row>
    <row r="28536">
      <c r="B28536" s="31"/>
      <c r="G28536" s="272" t="s">
        <v>1099</v>
      </c>
    </row>
    <row r="28537">
      <c r="B28537" s="31"/>
      <c r="G28537" s="272" t="s">
        <v>1099</v>
      </c>
    </row>
    <row r="28538">
      <c r="B28538" s="31"/>
      <c r="G28538" s="272" t="s">
        <v>1099</v>
      </c>
    </row>
    <row r="28539">
      <c r="B28539" s="31"/>
      <c r="G28539" s="272" t="s">
        <v>1099</v>
      </c>
    </row>
    <row r="28540">
      <c r="B28540" s="31"/>
      <c r="G28540" s="272" t="s">
        <v>1099</v>
      </c>
    </row>
    <row r="28541">
      <c r="B28541" s="31"/>
      <c r="G28541" s="272" t="s">
        <v>1099</v>
      </c>
    </row>
    <row r="28542">
      <c r="B28542" s="31"/>
      <c r="G28542" s="272" t="s">
        <v>1099</v>
      </c>
    </row>
    <row r="28543">
      <c r="B28543" s="31"/>
      <c r="G28543" s="272" t="s">
        <v>1099</v>
      </c>
    </row>
    <row r="28544">
      <c r="B28544" s="31"/>
      <c r="G28544" s="272" t="s">
        <v>1099</v>
      </c>
    </row>
    <row r="28545">
      <c r="B28545" s="31"/>
      <c r="G28545" s="272" t="s">
        <v>1099</v>
      </c>
    </row>
    <row r="28546">
      <c r="B28546" s="31"/>
      <c r="G28546" s="272" t="s">
        <v>1099</v>
      </c>
    </row>
    <row r="28547">
      <c r="B28547" s="31"/>
      <c r="G28547" s="272" t="s">
        <v>1099</v>
      </c>
    </row>
    <row r="28548">
      <c r="B28548" s="31"/>
      <c r="G28548" s="272" t="s">
        <v>1099</v>
      </c>
    </row>
    <row r="28549">
      <c r="B28549" s="31"/>
      <c r="G28549" s="272" t="s">
        <v>1099</v>
      </c>
    </row>
    <row r="28550">
      <c r="B28550" s="31"/>
      <c r="G28550" s="272" t="s">
        <v>1099</v>
      </c>
    </row>
    <row r="28551">
      <c r="B28551" s="31"/>
      <c r="G28551" s="272" t="s">
        <v>1099</v>
      </c>
    </row>
    <row r="28552">
      <c r="B28552" s="31"/>
      <c r="G28552" s="272" t="s">
        <v>1099</v>
      </c>
    </row>
    <row r="28553">
      <c r="B28553" s="31"/>
      <c r="G28553" s="272" t="s">
        <v>1099</v>
      </c>
    </row>
    <row r="28554">
      <c r="B28554" s="31"/>
      <c r="G28554" s="272" t="s">
        <v>1099</v>
      </c>
    </row>
    <row r="28555">
      <c r="B28555" s="31"/>
      <c r="G28555" s="272" t="s">
        <v>1099</v>
      </c>
    </row>
    <row r="28556">
      <c r="B28556" s="31"/>
      <c r="G28556" s="272" t="s">
        <v>1099</v>
      </c>
    </row>
    <row r="28557">
      <c r="B28557" s="31"/>
      <c r="G28557" s="272" t="s">
        <v>1099</v>
      </c>
    </row>
    <row r="28558">
      <c r="B28558" s="31"/>
      <c r="G28558" s="272" t="s">
        <v>1099</v>
      </c>
    </row>
    <row r="28559">
      <c r="B28559" s="31"/>
      <c r="G28559" s="272" t="s">
        <v>1099</v>
      </c>
    </row>
    <row r="28560">
      <c r="B28560" s="31"/>
      <c r="G28560" s="272" t="s">
        <v>1099</v>
      </c>
    </row>
    <row r="28561">
      <c r="B28561" s="31"/>
      <c r="G28561" s="272" t="s">
        <v>1099</v>
      </c>
    </row>
    <row r="28562">
      <c r="B28562" s="31"/>
      <c r="G28562" s="272" t="s">
        <v>1099</v>
      </c>
    </row>
    <row r="28563">
      <c r="B28563" s="31"/>
      <c r="G28563" s="272" t="s">
        <v>1099</v>
      </c>
    </row>
    <row r="28564">
      <c r="B28564" s="31"/>
      <c r="G28564" s="272" t="s">
        <v>1099</v>
      </c>
    </row>
    <row r="28565">
      <c r="B28565" s="31"/>
      <c r="G28565" s="272" t="s">
        <v>1099</v>
      </c>
    </row>
    <row r="28566">
      <c r="B28566" s="31"/>
      <c r="G28566" s="272" t="s">
        <v>1099</v>
      </c>
    </row>
    <row r="28567">
      <c r="B28567" s="31"/>
      <c r="G28567" s="272" t="s">
        <v>1099</v>
      </c>
    </row>
    <row r="28568">
      <c r="B28568" s="31"/>
      <c r="G28568" s="272" t="s">
        <v>1099</v>
      </c>
    </row>
    <row r="28569">
      <c r="B28569" s="31"/>
      <c r="G28569" s="272" t="s">
        <v>1099</v>
      </c>
    </row>
    <row r="28570">
      <c r="B28570" s="31"/>
      <c r="G28570" s="272" t="s">
        <v>1099</v>
      </c>
    </row>
    <row r="28571">
      <c r="B28571" s="31"/>
      <c r="G28571" s="272" t="s">
        <v>1099</v>
      </c>
    </row>
    <row r="28572">
      <c r="B28572" s="31"/>
      <c r="G28572" s="272" t="s">
        <v>1099</v>
      </c>
    </row>
    <row r="28573">
      <c r="B28573" s="31"/>
      <c r="G28573" s="272" t="s">
        <v>1099</v>
      </c>
    </row>
    <row r="28574">
      <c r="B28574" s="31"/>
      <c r="G28574" s="272" t="s">
        <v>1099</v>
      </c>
    </row>
    <row r="28575">
      <c r="B28575" s="31"/>
      <c r="G28575" s="272" t="s">
        <v>1099</v>
      </c>
    </row>
    <row r="28576">
      <c r="B28576" s="31"/>
      <c r="G28576" s="272" t="s">
        <v>1099</v>
      </c>
    </row>
    <row r="28577">
      <c r="B28577" s="31"/>
      <c r="G28577" s="272" t="s">
        <v>1099</v>
      </c>
    </row>
    <row r="28578">
      <c r="B28578" s="31"/>
      <c r="G28578" s="272" t="s">
        <v>1099</v>
      </c>
    </row>
    <row r="28579">
      <c r="B28579" s="31"/>
      <c r="G28579" s="272" t="s">
        <v>1099</v>
      </c>
    </row>
    <row r="28580">
      <c r="B28580" s="31"/>
      <c r="G28580" s="272" t="s">
        <v>1099</v>
      </c>
    </row>
    <row r="28581">
      <c r="B28581" s="31"/>
      <c r="G28581" s="272" t="s">
        <v>1099</v>
      </c>
    </row>
    <row r="28582">
      <c r="B28582" s="31"/>
      <c r="G28582" s="272" t="s">
        <v>1099</v>
      </c>
    </row>
    <row r="28583">
      <c r="B28583" s="31"/>
      <c r="G28583" s="272" t="s">
        <v>1099</v>
      </c>
    </row>
    <row r="28584">
      <c r="B28584" s="31"/>
      <c r="G28584" s="272" t="s">
        <v>1099</v>
      </c>
    </row>
    <row r="28585">
      <c r="B28585" s="31"/>
      <c r="G28585" s="272" t="s">
        <v>1099</v>
      </c>
    </row>
    <row r="28586">
      <c r="B28586" s="31"/>
      <c r="G28586" s="272" t="s">
        <v>1099</v>
      </c>
    </row>
    <row r="28587">
      <c r="B28587" s="31"/>
      <c r="G28587" s="272" t="s">
        <v>1099</v>
      </c>
    </row>
    <row r="28588">
      <c r="B28588" s="31"/>
      <c r="G28588" s="272" t="s">
        <v>1099</v>
      </c>
    </row>
    <row r="28589">
      <c r="B28589" s="31"/>
      <c r="G28589" s="272" t="s">
        <v>1099</v>
      </c>
    </row>
    <row r="28590">
      <c r="B28590" s="31"/>
      <c r="G28590" s="272" t="s">
        <v>1099</v>
      </c>
    </row>
    <row r="28591">
      <c r="B28591" s="31"/>
      <c r="G28591" s="272" t="s">
        <v>1099</v>
      </c>
    </row>
    <row r="28592">
      <c r="B28592" s="31"/>
      <c r="G28592" s="272" t="s">
        <v>1099</v>
      </c>
    </row>
    <row r="28593">
      <c r="B28593" s="31"/>
      <c r="G28593" s="272" t="s">
        <v>1099</v>
      </c>
    </row>
    <row r="28594">
      <c r="B28594" s="31"/>
      <c r="G28594" s="272" t="s">
        <v>1099</v>
      </c>
    </row>
    <row r="28595">
      <c r="B28595" s="31"/>
      <c r="G28595" s="272" t="s">
        <v>1099</v>
      </c>
    </row>
    <row r="28596">
      <c r="B28596" s="31"/>
      <c r="G28596" s="272" t="s">
        <v>1099</v>
      </c>
    </row>
    <row r="28597">
      <c r="B28597" s="31"/>
      <c r="G28597" s="272" t="s">
        <v>1099</v>
      </c>
    </row>
    <row r="28598">
      <c r="B28598" s="31"/>
      <c r="G28598" s="272" t="s">
        <v>1099</v>
      </c>
    </row>
    <row r="28599">
      <c r="B28599" s="31"/>
      <c r="G28599" s="272" t="s">
        <v>1099</v>
      </c>
    </row>
    <row r="28600">
      <c r="B28600" s="31"/>
      <c r="G28600" s="272" t="s">
        <v>1099</v>
      </c>
    </row>
    <row r="28601">
      <c r="B28601" s="31"/>
      <c r="G28601" s="272" t="s">
        <v>1099</v>
      </c>
    </row>
    <row r="28602">
      <c r="B28602" s="31"/>
      <c r="G28602" s="272" t="s">
        <v>1099</v>
      </c>
    </row>
    <row r="28603">
      <c r="B28603" s="31"/>
      <c r="G28603" s="272" t="s">
        <v>1099</v>
      </c>
    </row>
    <row r="28604">
      <c r="B28604" s="31"/>
      <c r="G28604" s="272" t="s">
        <v>1099</v>
      </c>
    </row>
    <row r="28605">
      <c r="B28605" s="31"/>
      <c r="G28605" s="272" t="s">
        <v>1099</v>
      </c>
    </row>
    <row r="28606">
      <c r="B28606" s="31"/>
      <c r="G28606" s="272" t="s">
        <v>1099</v>
      </c>
    </row>
    <row r="28607">
      <c r="B28607" s="31"/>
      <c r="G28607" s="272" t="s">
        <v>1099</v>
      </c>
    </row>
    <row r="28608">
      <c r="B28608" s="31"/>
      <c r="G28608" s="272" t="s">
        <v>1099</v>
      </c>
    </row>
    <row r="28609">
      <c r="B28609" s="31"/>
      <c r="G28609" s="272" t="s">
        <v>1099</v>
      </c>
    </row>
    <row r="28610">
      <c r="B28610" s="31"/>
      <c r="G28610" s="272" t="s">
        <v>1099</v>
      </c>
    </row>
    <row r="28611">
      <c r="B28611" s="31"/>
      <c r="G28611" s="272" t="s">
        <v>1099</v>
      </c>
    </row>
    <row r="28612">
      <c r="B28612" s="31"/>
      <c r="G28612" s="272" t="s">
        <v>1099</v>
      </c>
    </row>
    <row r="28613">
      <c r="B28613" s="31"/>
      <c r="G28613" s="272" t="s">
        <v>1099</v>
      </c>
    </row>
    <row r="28614">
      <c r="B28614" s="31"/>
      <c r="G28614" s="272" t="s">
        <v>1099</v>
      </c>
    </row>
    <row r="28615">
      <c r="B28615" s="31"/>
      <c r="G28615" s="272" t="s">
        <v>1099</v>
      </c>
    </row>
    <row r="28616">
      <c r="B28616" s="31"/>
      <c r="G28616" s="272" t="s">
        <v>1099</v>
      </c>
    </row>
    <row r="28617">
      <c r="B28617" s="31"/>
      <c r="G28617" s="272" t="s">
        <v>1099</v>
      </c>
    </row>
    <row r="28618">
      <c r="B28618" s="31"/>
      <c r="G28618" s="272" t="s">
        <v>1099</v>
      </c>
    </row>
    <row r="28619">
      <c r="B28619" s="31"/>
      <c r="G28619" s="272" t="s">
        <v>1099</v>
      </c>
    </row>
    <row r="28620">
      <c r="B28620" s="31"/>
      <c r="G28620" s="272" t="s">
        <v>1099</v>
      </c>
    </row>
    <row r="28621">
      <c r="B28621" s="31"/>
      <c r="G28621" s="272" t="s">
        <v>1099</v>
      </c>
    </row>
    <row r="28622">
      <c r="B28622" s="31"/>
      <c r="G28622" s="272" t="s">
        <v>1099</v>
      </c>
    </row>
    <row r="28623">
      <c r="B28623" s="31"/>
      <c r="G28623" s="272" t="s">
        <v>1099</v>
      </c>
    </row>
    <row r="28624">
      <c r="B28624" s="31"/>
      <c r="G28624" s="272" t="s">
        <v>1099</v>
      </c>
    </row>
    <row r="28625">
      <c r="B28625" s="31"/>
      <c r="G28625" s="272" t="s">
        <v>1099</v>
      </c>
    </row>
    <row r="28626">
      <c r="B28626" s="31"/>
      <c r="G28626" s="272" t="s">
        <v>1099</v>
      </c>
    </row>
    <row r="28627">
      <c r="B28627" s="31"/>
      <c r="G28627" s="272" t="s">
        <v>1099</v>
      </c>
    </row>
    <row r="28628">
      <c r="B28628" s="31"/>
      <c r="G28628" s="272" t="s">
        <v>1099</v>
      </c>
    </row>
    <row r="28629">
      <c r="B28629" s="31"/>
      <c r="G28629" s="272" t="s">
        <v>1099</v>
      </c>
    </row>
    <row r="28630">
      <c r="B28630" s="31"/>
      <c r="G28630" s="272" t="s">
        <v>1099</v>
      </c>
    </row>
    <row r="28631">
      <c r="B28631" s="31"/>
      <c r="G28631" s="272" t="s">
        <v>1099</v>
      </c>
    </row>
    <row r="28632">
      <c r="B28632" s="31"/>
      <c r="G28632" s="272" t="s">
        <v>1099</v>
      </c>
    </row>
    <row r="28633">
      <c r="B28633" s="31"/>
      <c r="G28633" s="272" t="s">
        <v>1099</v>
      </c>
    </row>
    <row r="28634">
      <c r="B28634" s="31"/>
      <c r="G28634" s="272" t="s">
        <v>1099</v>
      </c>
    </row>
    <row r="28635">
      <c r="B28635" s="31"/>
      <c r="G28635" s="272" t="s">
        <v>1099</v>
      </c>
    </row>
    <row r="28636">
      <c r="B28636" s="31"/>
      <c r="G28636" s="272" t="s">
        <v>1099</v>
      </c>
    </row>
    <row r="28637">
      <c r="B28637" s="31"/>
      <c r="G28637" s="272" t="s">
        <v>1099</v>
      </c>
    </row>
    <row r="28638">
      <c r="B28638" s="31"/>
      <c r="G28638" s="272" t="s">
        <v>1099</v>
      </c>
    </row>
    <row r="28639">
      <c r="B28639" s="31"/>
      <c r="G28639" s="272" t="s">
        <v>1099</v>
      </c>
    </row>
    <row r="28640">
      <c r="B28640" s="31"/>
      <c r="G28640" s="272" t="s">
        <v>1099</v>
      </c>
    </row>
    <row r="28641">
      <c r="B28641" s="31"/>
      <c r="G28641" s="272" t="s">
        <v>1099</v>
      </c>
    </row>
    <row r="28642">
      <c r="B28642" s="31"/>
      <c r="G28642" s="272" t="s">
        <v>1099</v>
      </c>
    </row>
    <row r="28643">
      <c r="B28643" s="31"/>
      <c r="G28643" s="272" t="s">
        <v>1099</v>
      </c>
    </row>
    <row r="28644">
      <c r="B28644" s="31"/>
      <c r="G28644" s="272" t="s">
        <v>1099</v>
      </c>
    </row>
    <row r="28645">
      <c r="B28645" s="31"/>
      <c r="G28645" s="272" t="s">
        <v>1099</v>
      </c>
    </row>
    <row r="28646">
      <c r="B28646" s="31"/>
      <c r="G28646" s="272" t="s">
        <v>1099</v>
      </c>
    </row>
    <row r="28647">
      <c r="B28647" s="31"/>
      <c r="G28647" s="272" t="s">
        <v>1099</v>
      </c>
    </row>
    <row r="28648">
      <c r="B28648" s="31"/>
      <c r="G28648" s="272" t="s">
        <v>1099</v>
      </c>
    </row>
    <row r="28649">
      <c r="B28649" s="31"/>
      <c r="G28649" s="272" t="s">
        <v>1099</v>
      </c>
    </row>
    <row r="28650">
      <c r="B28650" s="31"/>
      <c r="G28650" s="272" t="s">
        <v>1099</v>
      </c>
    </row>
    <row r="28651">
      <c r="B28651" s="31"/>
      <c r="G28651" s="272" t="s">
        <v>1099</v>
      </c>
    </row>
    <row r="28652">
      <c r="B28652" s="31"/>
      <c r="G28652" s="272" t="s">
        <v>1099</v>
      </c>
    </row>
    <row r="28653">
      <c r="B28653" s="31"/>
      <c r="G28653" s="272" t="s">
        <v>1099</v>
      </c>
    </row>
    <row r="28654">
      <c r="B28654" s="31"/>
      <c r="G28654" s="272" t="s">
        <v>1099</v>
      </c>
    </row>
    <row r="28655">
      <c r="B28655" s="31"/>
      <c r="G28655" s="272" t="s">
        <v>1099</v>
      </c>
    </row>
    <row r="28656">
      <c r="B28656" s="31"/>
      <c r="G28656" s="272" t="s">
        <v>1099</v>
      </c>
    </row>
    <row r="28657">
      <c r="B28657" s="31"/>
      <c r="G28657" s="272" t="s">
        <v>1099</v>
      </c>
    </row>
    <row r="28658">
      <c r="B28658" s="31"/>
      <c r="G28658" s="272" t="s">
        <v>1099</v>
      </c>
    </row>
    <row r="28659">
      <c r="B28659" s="31"/>
      <c r="G28659" s="272" t="s">
        <v>1099</v>
      </c>
    </row>
    <row r="28660">
      <c r="B28660" s="31"/>
      <c r="G28660" s="272" t="s">
        <v>1099</v>
      </c>
    </row>
    <row r="28661">
      <c r="B28661" s="31"/>
      <c r="G28661" s="272" t="s">
        <v>1099</v>
      </c>
    </row>
    <row r="28662">
      <c r="B28662" s="31"/>
      <c r="G28662" s="272" t="s">
        <v>1099</v>
      </c>
    </row>
    <row r="28663">
      <c r="B28663" s="31"/>
      <c r="G28663" s="272" t="s">
        <v>1099</v>
      </c>
    </row>
    <row r="28664">
      <c r="B28664" s="31"/>
      <c r="G28664" s="272" t="s">
        <v>1099</v>
      </c>
    </row>
    <row r="28665">
      <c r="B28665" s="31"/>
      <c r="G28665" s="272" t="s">
        <v>1099</v>
      </c>
    </row>
    <row r="28666">
      <c r="B28666" s="31"/>
      <c r="G28666" s="272" t="s">
        <v>1099</v>
      </c>
    </row>
    <row r="28667">
      <c r="B28667" s="31"/>
      <c r="G28667" s="272" t="s">
        <v>1099</v>
      </c>
    </row>
    <row r="28668">
      <c r="B28668" s="31"/>
      <c r="G28668" s="272" t="s">
        <v>1099</v>
      </c>
    </row>
    <row r="28669">
      <c r="B28669" s="31"/>
      <c r="G28669" s="272" t="s">
        <v>1099</v>
      </c>
    </row>
    <row r="28670">
      <c r="B28670" s="31"/>
      <c r="G28670" s="272" t="s">
        <v>1099</v>
      </c>
    </row>
    <row r="28671">
      <c r="B28671" s="31"/>
      <c r="G28671" s="272" t="s">
        <v>1099</v>
      </c>
    </row>
    <row r="28672">
      <c r="B28672" s="31"/>
      <c r="G28672" s="272" t="s">
        <v>1099</v>
      </c>
    </row>
    <row r="28673">
      <c r="B28673" s="31"/>
      <c r="G28673" s="272" t="s">
        <v>1099</v>
      </c>
    </row>
    <row r="28674">
      <c r="B28674" s="31"/>
      <c r="G28674" s="272" t="s">
        <v>1099</v>
      </c>
    </row>
    <row r="28675">
      <c r="B28675" s="31"/>
      <c r="G28675" s="272" t="s">
        <v>1099</v>
      </c>
    </row>
    <row r="28676">
      <c r="B28676" s="31"/>
      <c r="G28676" s="272" t="s">
        <v>1099</v>
      </c>
    </row>
    <row r="28677">
      <c r="B28677" s="31"/>
      <c r="G28677" s="272" t="s">
        <v>1099</v>
      </c>
    </row>
    <row r="28678">
      <c r="B28678" s="31"/>
      <c r="G28678" s="272" t="s">
        <v>1099</v>
      </c>
    </row>
    <row r="28679">
      <c r="B28679" s="31"/>
      <c r="G28679" s="272" t="s">
        <v>1099</v>
      </c>
    </row>
    <row r="28680">
      <c r="B28680" s="31"/>
      <c r="G28680" s="272" t="s">
        <v>1099</v>
      </c>
    </row>
    <row r="28681">
      <c r="B28681" s="31"/>
      <c r="G28681" s="272" t="s">
        <v>1099</v>
      </c>
    </row>
    <row r="28682">
      <c r="B28682" s="31"/>
      <c r="G28682" s="272" t="s">
        <v>1099</v>
      </c>
    </row>
    <row r="28683">
      <c r="B28683" s="31"/>
      <c r="G28683" s="272" t="s">
        <v>1099</v>
      </c>
    </row>
    <row r="28684">
      <c r="B28684" s="31"/>
      <c r="G28684" s="272" t="s">
        <v>1099</v>
      </c>
    </row>
    <row r="28685">
      <c r="B28685" s="31"/>
      <c r="G28685" s="272" t="s">
        <v>1099</v>
      </c>
    </row>
    <row r="28686">
      <c r="B28686" s="31"/>
      <c r="G28686" s="272" t="s">
        <v>1099</v>
      </c>
    </row>
    <row r="28687">
      <c r="B28687" s="31"/>
      <c r="G28687" s="272" t="s">
        <v>1099</v>
      </c>
    </row>
    <row r="28688">
      <c r="B28688" s="31"/>
      <c r="G28688" s="272" t="s">
        <v>1099</v>
      </c>
    </row>
    <row r="28689">
      <c r="B28689" s="31"/>
      <c r="G28689" s="272" t="s">
        <v>1099</v>
      </c>
    </row>
    <row r="28690">
      <c r="B28690" s="31"/>
      <c r="G28690" s="272" t="s">
        <v>1099</v>
      </c>
    </row>
    <row r="28691">
      <c r="B28691" s="31"/>
      <c r="G28691" s="272" t="s">
        <v>1099</v>
      </c>
    </row>
    <row r="28692">
      <c r="B28692" s="31"/>
      <c r="G28692" s="272" t="s">
        <v>1099</v>
      </c>
    </row>
    <row r="28693">
      <c r="B28693" s="31"/>
      <c r="G28693" s="272" t="s">
        <v>1099</v>
      </c>
    </row>
    <row r="28694">
      <c r="B28694" s="31"/>
      <c r="G28694" s="272" t="s">
        <v>1099</v>
      </c>
    </row>
    <row r="28695">
      <c r="B28695" s="31"/>
      <c r="G28695" s="272" t="s">
        <v>1099</v>
      </c>
    </row>
    <row r="28696">
      <c r="B28696" s="31"/>
      <c r="G28696" s="272" t="s">
        <v>1099</v>
      </c>
    </row>
    <row r="28697">
      <c r="B28697" s="31"/>
      <c r="G28697" s="272" t="s">
        <v>1099</v>
      </c>
    </row>
    <row r="28698">
      <c r="B28698" s="31"/>
      <c r="G28698" s="272" t="s">
        <v>1099</v>
      </c>
    </row>
    <row r="28699">
      <c r="B28699" s="31"/>
      <c r="G28699" s="272" t="s">
        <v>1099</v>
      </c>
    </row>
    <row r="28700">
      <c r="B28700" s="31"/>
      <c r="G28700" s="272" t="s">
        <v>1099</v>
      </c>
    </row>
    <row r="28701">
      <c r="B28701" s="31"/>
      <c r="G28701" s="272" t="s">
        <v>1099</v>
      </c>
    </row>
    <row r="28702">
      <c r="B28702" s="31"/>
      <c r="G28702" s="272" t="s">
        <v>1099</v>
      </c>
    </row>
    <row r="28703">
      <c r="B28703" s="31"/>
      <c r="G28703" s="272" t="s">
        <v>1099</v>
      </c>
    </row>
    <row r="28704">
      <c r="B28704" s="31"/>
      <c r="G28704" s="272" t="s">
        <v>1099</v>
      </c>
    </row>
    <row r="28705">
      <c r="B28705" s="31"/>
      <c r="G28705" s="272" t="s">
        <v>1099</v>
      </c>
    </row>
    <row r="28706">
      <c r="B28706" s="31"/>
      <c r="G28706" s="272" t="s">
        <v>1099</v>
      </c>
    </row>
    <row r="28707">
      <c r="B28707" s="31"/>
      <c r="G28707" s="272" t="s">
        <v>1099</v>
      </c>
    </row>
    <row r="28708">
      <c r="B28708" s="31"/>
      <c r="G28708" s="272" t="s">
        <v>1099</v>
      </c>
    </row>
    <row r="28709">
      <c r="B28709" s="31"/>
      <c r="G28709" s="272" t="s">
        <v>1099</v>
      </c>
    </row>
    <row r="28710">
      <c r="B28710" s="31"/>
      <c r="G28710" s="272" t="s">
        <v>1099</v>
      </c>
    </row>
    <row r="28711">
      <c r="B28711" s="31"/>
      <c r="G28711" s="272" t="s">
        <v>1099</v>
      </c>
    </row>
    <row r="28712">
      <c r="B28712" s="31"/>
      <c r="G28712" s="272" t="s">
        <v>1099</v>
      </c>
    </row>
    <row r="28713">
      <c r="B28713" s="31"/>
      <c r="G28713" s="272" t="s">
        <v>1099</v>
      </c>
    </row>
    <row r="28714">
      <c r="B28714" s="31"/>
      <c r="G28714" s="272" t="s">
        <v>1099</v>
      </c>
    </row>
    <row r="28715">
      <c r="B28715" s="31"/>
      <c r="G28715" s="272" t="s">
        <v>1099</v>
      </c>
    </row>
    <row r="28716">
      <c r="B28716" s="31"/>
      <c r="G28716" s="272" t="s">
        <v>1099</v>
      </c>
    </row>
    <row r="28717">
      <c r="B28717" s="31"/>
      <c r="G28717" s="272" t="s">
        <v>1099</v>
      </c>
    </row>
    <row r="28718">
      <c r="B28718" s="31"/>
      <c r="G28718" s="272" t="s">
        <v>1099</v>
      </c>
    </row>
    <row r="28719">
      <c r="B28719" s="31"/>
      <c r="G28719" s="272" t="s">
        <v>1099</v>
      </c>
    </row>
    <row r="28720">
      <c r="B28720" s="31"/>
      <c r="G28720" s="272" t="s">
        <v>1099</v>
      </c>
    </row>
    <row r="28721">
      <c r="B28721" s="31"/>
      <c r="G28721" s="272" t="s">
        <v>1099</v>
      </c>
    </row>
    <row r="28722">
      <c r="B28722" s="31"/>
      <c r="G28722" s="272" t="s">
        <v>1099</v>
      </c>
    </row>
    <row r="28723">
      <c r="B28723" s="31"/>
      <c r="G28723" s="272" t="s">
        <v>1099</v>
      </c>
    </row>
    <row r="28724">
      <c r="B28724" s="31"/>
      <c r="G28724" s="272" t="s">
        <v>1099</v>
      </c>
    </row>
    <row r="28725">
      <c r="B28725" s="31"/>
      <c r="G28725" s="272" t="s">
        <v>1099</v>
      </c>
    </row>
    <row r="28726">
      <c r="B28726" s="31"/>
      <c r="G28726" s="272" t="s">
        <v>1099</v>
      </c>
    </row>
    <row r="28727">
      <c r="B28727" s="31"/>
      <c r="G28727" s="272" t="s">
        <v>1099</v>
      </c>
    </row>
    <row r="28728">
      <c r="B28728" s="31"/>
      <c r="G28728" s="272" t="s">
        <v>1099</v>
      </c>
    </row>
    <row r="28729">
      <c r="B28729" s="31"/>
      <c r="G28729" s="272" t="s">
        <v>1099</v>
      </c>
    </row>
    <row r="28730">
      <c r="B28730" s="31"/>
      <c r="G28730" s="272" t="s">
        <v>1099</v>
      </c>
    </row>
    <row r="28731">
      <c r="B28731" s="31"/>
      <c r="G28731" s="272" t="s">
        <v>1099</v>
      </c>
    </row>
    <row r="28732">
      <c r="B28732" s="31"/>
      <c r="G28732" s="272" t="s">
        <v>1099</v>
      </c>
    </row>
    <row r="28733">
      <c r="B28733" s="31"/>
      <c r="G28733" s="272" t="s">
        <v>1099</v>
      </c>
    </row>
    <row r="28734">
      <c r="B28734" s="31"/>
      <c r="G28734" s="272" t="s">
        <v>1099</v>
      </c>
    </row>
    <row r="28735">
      <c r="B28735" s="31"/>
      <c r="G28735" s="272" t="s">
        <v>1099</v>
      </c>
    </row>
    <row r="28736">
      <c r="B28736" s="31"/>
      <c r="G28736" s="272" t="s">
        <v>1099</v>
      </c>
    </row>
    <row r="28737">
      <c r="B28737" s="31"/>
      <c r="G28737" s="272" t="s">
        <v>1099</v>
      </c>
    </row>
    <row r="28738">
      <c r="B28738" s="31"/>
      <c r="G28738" s="272" t="s">
        <v>1099</v>
      </c>
    </row>
    <row r="28739">
      <c r="B28739" s="31"/>
      <c r="G28739" s="272" t="s">
        <v>1099</v>
      </c>
    </row>
    <row r="28740">
      <c r="B28740" s="31"/>
      <c r="G28740" s="272" t="s">
        <v>1099</v>
      </c>
    </row>
    <row r="28741">
      <c r="B28741" s="31"/>
      <c r="G28741" s="272" t="s">
        <v>1099</v>
      </c>
    </row>
    <row r="28742">
      <c r="B28742" s="31"/>
      <c r="G28742" s="272" t="s">
        <v>1099</v>
      </c>
    </row>
    <row r="28743">
      <c r="B28743" s="31"/>
      <c r="G28743" s="272" t="s">
        <v>1099</v>
      </c>
    </row>
    <row r="28744">
      <c r="B28744" s="31"/>
      <c r="G28744" s="272" t="s">
        <v>1099</v>
      </c>
    </row>
    <row r="28745">
      <c r="B28745" s="31"/>
      <c r="G28745" s="272" t="s">
        <v>1099</v>
      </c>
    </row>
    <row r="28746">
      <c r="B28746" s="31"/>
      <c r="G28746" s="272" t="s">
        <v>1099</v>
      </c>
    </row>
    <row r="28747">
      <c r="B28747" s="31"/>
      <c r="G28747" s="272" t="s">
        <v>1099</v>
      </c>
    </row>
    <row r="28748">
      <c r="B28748" s="31"/>
      <c r="G28748" s="272" t="s">
        <v>1099</v>
      </c>
    </row>
    <row r="28749">
      <c r="B28749" s="31"/>
      <c r="G28749" s="272" t="s">
        <v>1099</v>
      </c>
    </row>
    <row r="28750">
      <c r="B28750" s="31"/>
      <c r="G28750" s="272" t="s">
        <v>1099</v>
      </c>
    </row>
    <row r="28751">
      <c r="B28751" s="31"/>
      <c r="G28751" s="272" t="s">
        <v>1099</v>
      </c>
    </row>
    <row r="28752">
      <c r="B28752" s="31"/>
      <c r="G28752" s="272" t="s">
        <v>1099</v>
      </c>
    </row>
    <row r="28753">
      <c r="B28753" s="31"/>
      <c r="G28753" s="272" t="s">
        <v>1099</v>
      </c>
    </row>
    <row r="28754">
      <c r="B28754" s="31"/>
      <c r="G28754" s="272" t="s">
        <v>1099</v>
      </c>
    </row>
    <row r="28755">
      <c r="B28755" s="31"/>
      <c r="G28755" s="272" t="s">
        <v>1099</v>
      </c>
    </row>
    <row r="28756">
      <c r="B28756" s="31"/>
      <c r="G28756" s="272" t="s">
        <v>1099</v>
      </c>
    </row>
    <row r="28757">
      <c r="B28757" s="31"/>
      <c r="G28757" s="272" t="s">
        <v>1099</v>
      </c>
    </row>
    <row r="28758">
      <c r="B28758" s="31"/>
      <c r="G28758" s="272" t="s">
        <v>1099</v>
      </c>
    </row>
    <row r="28759">
      <c r="B28759" s="31"/>
      <c r="G28759" s="272" t="s">
        <v>1099</v>
      </c>
    </row>
    <row r="28760">
      <c r="B28760" s="31"/>
      <c r="G28760" s="272" t="s">
        <v>1099</v>
      </c>
    </row>
    <row r="28761">
      <c r="B28761" s="31"/>
      <c r="G28761" s="272" t="s">
        <v>1099</v>
      </c>
    </row>
    <row r="28762">
      <c r="B28762" s="31"/>
      <c r="G28762" s="272" t="s">
        <v>1099</v>
      </c>
    </row>
    <row r="28763">
      <c r="B28763" s="31"/>
      <c r="G28763" s="272" t="s">
        <v>1099</v>
      </c>
    </row>
    <row r="28764">
      <c r="B28764" s="31"/>
      <c r="G28764" s="272" t="s">
        <v>1099</v>
      </c>
    </row>
    <row r="28765">
      <c r="B28765" s="31"/>
      <c r="G28765" s="272" t="s">
        <v>1099</v>
      </c>
    </row>
    <row r="28766">
      <c r="B28766" s="31"/>
      <c r="G28766" s="272" t="s">
        <v>1099</v>
      </c>
    </row>
    <row r="28767">
      <c r="B28767" s="31"/>
      <c r="G28767" s="272" t="s">
        <v>1099</v>
      </c>
    </row>
    <row r="28768">
      <c r="B28768" s="31"/>
      <c r="G28768" s="272" t="s">
        <v>1099</v>
      </c>
    </row>
    <row r="28769">
      <c r="B28769" s="31"/>
      <c r="G28769" s="272" t="s">
        <v>1099</v>
      </c>
    </row>
    <row r="28770">
      <c r="B28770" s="31"/>
      <c r="G28770" s="272" t="s">
        <v>1099</v>
      </c>
    </row>
    <row r="28771">
      <c r="B28771" s="31"/>
      <c r="G28771" s="272" t="s">
        <v>1099</v>
      </c>
    </row>
    <row r="28772">
      <c r="B28772" s="31"/>
      <c r="G28772" s="272" t="s">
        <v>1099</v>
      </c>
    </row>
    <row r="28773">
      <c r="B28773" s="31"/>
      <c r="G28773" s="272" t="s">
        <v>1099</v>
      </c>
    </row>
    <row r="28774">
      <c r="B28774" s="31"/>
      <c r="G28774" s="272" t="s">
        <v>1099</v>
      </c>
    </row>
    <row r="28775">
      <c r="B28775" s="31"/>
      <c r="G28775" s="272" t="s">
        <v>1099</v>
      </c>
    </row>
    <row r="28776">
      <c r="B28776" s="31"/>
      <c r="G28776" s="272" t="s">
        <v>1099</v>
      </c>
    </row>
    <row r="28777">
      <c r="B28777" s="31"/>
      <c r="G28777" s="272" t="s">
        <v>1099</v>
      </c>
    </row>
    <row r="28778">
      <c r="B28778" s="31"/>
      <c r="G28778" s="272" t="s">
        <v>1099</v>
      </c>
    </row>
    <row r="28779">
      <c r="B28779" s="31"/>
      <c r="G28779" s="272" t="s">
        <v>1099</v>
      </c>
    </row>
    <row r="28780">
      <c r="B28780" s="31"/>
      <c r="G28780" s="272" t="s">
        <v>1099</v>
      </c>
    </row>
    <row r="28781">
      <c r="B28781" s="31"/>
      <c r="G28781" s="272" t="s">
        <v>1099</v>
      </c>
    </row>
    <row r="28782">
      <c r="B28782" s="31"/>
      <c r="G28782" s="272" t="s">
        <v>1099</v>
      </c>
    </row>
    <row r="28783">
      <c r="B28783" s="31"/>
      <c r="G28783" s="272" t="s">
        <v>1099</v>
      </c>
    </row>
    <row r="28784">
      <c r="B28784" s="31"/>
      <c r="G28784" s="272" t="s">
        <v>1099</v>
      </c>
    </row>
    <row r="28785">
      <c r="B28785" s="31"/>
      <c r="G28785" s="272" t="s">
        <v>1099</v>
      </c>
    </row>
    <row r="28786">
      <c r="B28786" s="31"/>
      <c r="G28786" s="272" t="s">
        <v>1099</v>
      </c>
    </row>
    <row r="28787">
      <c r="B28787" s="31"/>
      <c r="G28787" s="272" t="s">
        <v>1099</v>
      </c>
    </row>
    <row r="28788">
      <c r="B28788" s="31"/>
      <c r="G28788" s="272" t="s">
        <v>1099</v>
      </c>
    </row>
    <row r="28789">
      <c r="B28789" s="31"/>
      <c r="G28789" s="272" t="s">
        <v>1099</v>
      </c>
    </row>
    <row r="28790">
      <c r="B28790" s="31"/>
      <c r="G28790" s="272" t="s">
        <v>1099</v>
      </c>
    </row>
    <row r="28791">
      <c r="B28791" s="31"/>
      <c r="G28791" s="272" t="s">
        <v>1099</v>
      </c>
    </row>
    <row r="28792">
      <c r="B28792" s="31"/>
      <c r="G28792" s="272" t="s">
        <v>1099</v>
      </c>
    </row>
    <row r="28793">
      <c r="B28793" s="31"/>
      <c r="G28793" s="272" t="s">
        <v>1099</v>
      </c>
    </row>
    <row r="28794">
      <c r="B28794" s="31"/>
      <c r="G28794" s="272" t="s">
        <v>1099</v>
      </c>
    </row>
    <row r="28795">
      <c r="B28795" s="31"/>
      <c r="G28795" s="272" t="s">
        <v>1099</v>
      </c>
    </row>
    <row r="28796">
      <c r="B28796" s="31"/>
      <c r="G28796" s="272" t="s">
        <v>1099</v>
      </c>
    </row>
    <row r="28797">
      <c r="B28797" s="31"/>
      <c r="G28797" s="272" t="s">
        <v>1099</v>
      </c>
    </row>
    <row r="28798">
      <c r="B28798" s="31"/>
      <c r="G28798" s="272" t="s">
        <v>1099</v>
      </c>
    </row>
    <row r="28799">
      <c r="B28799" s="31"/>
      <c r="G28799" s="272" t="s">
        <v>1099</v>
      </c>
    </row>
    <row r="28800">
      <c r="B28800" s="31"/>
      <c r="G28800" s="272" t="s">
        <v>1099</v>
      </c>
    </row>
    <row r="28801">
      <c r="B28801" s="31"/>
      <c r="G28801" s="272" t="s">
        <v>1099</v>
      </c>
    </row>
    <row r="28802">
      <c r="B28802" s="31"/>
      <c r="G28802" s="272" t="s">
        <v>1099</v>
      </c>
    </row>
    <row r="28803">
      <c r="B28803" s="31"/>
      <c r="G28803" s="272" t="s">
        <v>1099</v>
      </c>
    </row>
    <row r="28804">
      <c r="B28804" s="31"/>
      <c r="G28804" s="272" t="s">
        <v>1099</v>
      </c>
    </row>
    <row r="28805">
      <c r="B28805" s="31"/>
      <c r="G28805" s="272" t="s">
        <v>1099</v>
      </c>
    </row>
    <row r="28806">
      <c r="B28806" s="31"/>
      <c r="G28806" s="272" t="s">
        <v>1099</v>
      </c>
    </row>
    <row r="28807">
      <c r="B28807" s="31"/>
      <c r="G28807" s="272" t="s">
        <v>1099</v>
      </c>
    </row>
    <row r="28808">
      <c r="B28808" s="31"/>
      <c r="G28808" s="272" t="s">
        <v>1099</v>
      </c>
    </row>
    <row r="28809">
      <c r="B28809" s="31"/>
      <c r="G28809" s="272" t="s">
        <v>1099</v>
      </c>
    </row>
    <row r="28810">
      <c r="B28810" s="31"/>
      <c r="G28810" s="272" t="s">
        <v>1099</v>
      </c>
    </row>
    <row r="28811">
      <c r="B28811" s="31"/>
      <c r="G28811" s="272" t="s">
        <v>1099</v>
      </c>
    </row>
    <row r="28812">
      <c r="B28812" s="31"/>
      <c r="G28812" s="272" t="s">
        <v>1099</v>
      </c>
    </row>
    <row r="28813">
      <c r="B28813" s="31"/>
      <c r="G28813" s="272" t="s">
        <v>1099</v>
      </c>
    </row>
    <row r="28814">
      <c r="B28814" s="31"/>
      <c r="G28814" s="272" t="s">
        <v>1099</v>
      </c>
    </row>
    <row r="28815">
      <c r="B28815" s="31"/>
      <c r="G28815" s="272" t="s">
        <v>1099</v>
      </c>
    </row>
    <row r="28816">
      <c r="B28816" s="31"/>
      <c r="G28816" s="272" t="s">
        <v>1099</v>
      </c>
    </row>
    <row r="28817">
      <c r="B28817" s="31"/>
      <c r="G28817" s="272" t="s">
        <v>1099</v>
      </c>
    </row>
    <row r="28818">
      <c r="B28818" s="31"/>
      <c r="G28818" s="272" t="s">
        <v>1099</v>
      </c>
    </row>
    <row r="28819">
      <c r="B28819" s="31"/>
      <c r="G28819" s="272" t="s">
        <v>1099</v>
      </c>
    </row>
    <row r="28820">
      <c r="B28820" s="31"/>
      <c r="G28820" s="272" t="s">
        <v>1099</v>
      </c>
    </row>
    <row r="28821">
      <c r="B28821" s="31"/>
      <c r="G28821" s="272" t="s">
        <v>1099</v>
      </c>
    </row>
    <row r="28822">
      <c r="B28822" s="31"/>
      <c r="G28822" s="272" t="s">
        <v>1099</v>
      </c>
    </row>
    <row r="28823">
      <c r="B28823" s="31"/>
      <c r="G28823" s="272" t="s">
        <v>1099</v>
      </c>
    </row>
    <row r="28824">
      <c r="B28824" s="31"/>
      <c r="G28824" s="272" t="s">
        <v>1099</v>
      </c>
    </row>
    <row r="28825">
      <c r="B28825" s="31"/>
      <c r="G28825" s="272" t="s">
        <v>1099</v>
      </c>
    </row>
    <row r="28826">
      <c r="B28826" s="31"/>
      <c r="G28826" s="272" t="s">
        <v>1099</v>
      </c>
    </row>
    <row r="28827">
      <c r="B28827" s="31"/>
      <c r="G28827" s="272" t="s">
        <v>1099</v>
      </c>
    </row>
    <row r="28828">
      <c r="B28828" s="31"/>
      <c r="G28828" s="272" t="s">
        <v>1099</v>
      </c>
    </row>
    <row r="28829">
      <c r="B28829" s="31"/>
      <c r="G28829" s="272" t="s">
        <v>1099</v>
      </c>
    </row>
    <row r="28830">
      <c r="B28830" s="31"/>
      <c r="G28830" s="272" t="s">
        <v>1099</v>
      </c>
    </row>
    <row r="28831">
      <c r="B28831" s="31"/>
      <c r="G28831" s="272" t="s">
        <v>1099</v>
      </c>
    </row>
    <row r="28832">
      <c r="B28832" s="31"/>
      <c r="G28832" s="272" t="s">
        <v>1099</v>
      </c>
    </row>
    <row r="28833">
      <c r="B28833" s="31"/>
      <c r="G28833" s="272" t="s">
        <v>1099</v>
      </c>
    </row>
    <row r="28834">
      <c r="B28834" s="31"/>
      <c r="G28834" s="272" t="s">
        <v>1099</v>
      </c>
    </row>
    <row r="28835">
      <c r="B28835" s="31"/>
      <c r="G28835" s="272" t="s">
        <v>1099</v>
      </c>
    </row>
    <row r="28836">
      <c r="B28836" s="31"/>
      <c r="G28836" s="272" t="s">
        <v>1099</v>
      </c>
    </row>
    <row r="28837">
      <c r="B28837" s="31"/>
      <c r="G28837" s="272" t="s">
        <v>1099</v>
      </c>
    </row>
    <row r="28838">
      <c r="B28838" s="31"/>
      <c r="G28838" s="272" t="s">
        <v>1099</v>
      </c>
    </row>
    <row r="28839">
      <c r="B28839" s="31"/>
      <c r="G28839" s="272" t="s">
        <v>1099</v>
      </c>
    </row>
    <row r="28840">
      <c r="B28840" s="31"/>
      <c r="G28840" s="272" t="s">
        <v>1099</v>
      </c>
    </row>
    <row r="28841">
      <c r="B28841" s="31"/>
      <c r="G28841" s="272" t="s">
        <v>1099</v>
      </c>
    </row>
    <row r="28842">
      <c r="B28842" s="31"/>
      <c r="G28842" s="272" t="s">
        <v>1099</v>
      </c>
    </row>
    <row r="28843">
      <c r="B28843" s="31"/>
      <c r="G28843" s="272" t="s">
        <v>1099</v>
      </c>
    </row>
    <row r="28844">
      <c r="B28844" s="31"/>
      <c r="G28844" s="272" t="s">
        <v>1099</v>
      </c>
    </row>
    <row r="28845">
      <c r="B28845" s="31"/>
      <c r="G28845" s="272" t="s">
        <v>1099</v>
      </c>
    </row>
    <row r="28846">
      <c r="B28846" s="31"/>
      <c r="G28846" s="272" t="s">
        <v>1099</v>
      </c>
    </row>
    <row r="28847">
      <c r="B28847" s="31"/>
      <c r="G28847" s="272" t="s">
        <v>1099</v>
      </c>
    </row>
    <row r="28848">
      <c r="B28848" s="31"/>
      <c r="G28848" s="272" t="s">
        <v>1099</v>
      </c>
    </row>
    <row r="28849">
      <c r="B28849" s="31"/>
      <c r="G28849" s="272" t="s">
        <v>1099</v>
      </c>
    </row>
    <row r="28850">
      <c r="B28850" s="31"/>
      <c r="G28850" s="272" t="s">
        <v>1099</v>
      </c>
    </row>
    <row r="28851">
      <c r="B28851" s="31"/>
      <c r="G28851" s="272" t="s">
        <v>1099</v>
      </c>
    </row>
    <row r="28852">
      <c r="B28852" s="31"/>
      <c r="G28852" s="272" t="s">
        <v>1099</v>
      </c>
    </row>
    <row r="28853">
      <c r="B28853" s="31"/>
      <c r="G28853" s="272" t="s">
        <v>1099</v>
      </c>
    </row>
    <row r="28854">
      <c r="B28854" s="31"/>
      <c r="G28854" s="272" t="s">
        <v>1099</v>
      </c>
    </row>
    <row r="28855">
      <c r="B28855" s="31"/>
      <c r="G28855" s="272" t="s">
        <v>1099</v>
      </c>
    </row>
    <row r="28856">
      <c r="B28856" s="31"/>
      <c r="G28856" s="272" t="s">
        <v>1099</v>
      </c>
    </row>
    <row r="28857">
      <c r="B28857" s="31"/>
      <c r="G28857" s="272" t="s">
        <v>1099</v>
      </c>
    </row>
    <row r="28858">
      <c r="B28858" s="31"/>
      <c r="G28858" s="272" t="s">
        <v>1099</v>
      </c>
    </row>
    <row r="28859">
      <c r="B28859" s="31"/>
      <c r="G28859" s="272" t="s">
        <v>1099</v>
      </c>
    </row>
    <row r="28860">
      <c r="B28860" s="31"/>
      <c r="G28860" s="272" t="s">
        <v>1099</v>
      </c>
    </row>
    <row r="28861">
      <c r="B28861" s="31"/>
      <c r="G28861" s="272" t="s">
        <v>1099</v>
      </c>
    </row>
    <row r="28862">
      <c r="B28862" s="31"/>
      <c r="G28862" s="272" t="s">
        <v>1099</v>
      </c>
    </row>
    <row r="28863">
      <c r="B28863" s="31"/>
      <c r="G28863" s="272" t="s">
        <v>1099</v>
      </c>
    </row>
    <row r="28864">
      <c r="B28864" s="31"/>
      <c r="G28864" s="272" t="s">
        <v>1099</v>
      </c>
    </row>
    <row r="28865">
      <c r="B28865" s="31"/>
      <c r="G28865" s="272" t="s">
        <v>1099</v>
      </c>
    </row>
    <row r="28866">
      <c r="B28866" s="31"/>
      <c r="G28866" s="272" t="s">
        <v>1099</v>
      </c>
    </row>
    <row r="28867">
      <c r="B28867" s="31"/>
      <c r="G28867" s="272" t="s">
        <v>1099</v>
      </c>
    </row>
    <row r="28868">
      <c r="B28868" s="31"/>
      <c r="G28868" s="272" t="s">
        <v>1099</v>
      </c>
    </row>
    <row r="28869">
      <c r="B28869" s="31"/>
      <c r="G28869" s="272" t="s">
        <v>1099</v>
      </c>
    </row>
    <row r="28870">
      <c r="B28870" s="31"/>
      <c r="G28870" s="272" t="s">
        <v>1099</v>
      </c>
    </row>
    <row r="28871">
      <c r="B28871" s="31"/>
      <c r="G28871" s="272" t="s">
        <v>1099</v>
      </c>
    </row>
    <row r="28872">
      <c r="B28872" s="31"/>
      <c r="G28872" s="272" t="s">
        <v>1099</v>
      </c>
    </row>
    <row r="28873">
      <c r="B28873" s="31"/>
      <c r="G28873" s="272" t="s">
        <v>1099</v>
      </c>
    </row>
    <row r="28874">
      <c r="B28874" s="31"/>
      <c r="G28874" s="272" t="s">
        <v>1099</v>
      </c>
    </row>
    <row r="28875">
      <c r="B28875" s="31"/>
      <c r="G28875" s="272" t="s">
        <v>1099</v>
      </c>
    </row>
    <row r="28876">
      <c r="B28876" s="31"/>
      <c r="G28876" s="272" t="s">
        <v>1099</v>
      </c>
    </row>
    <row r="28877">
      <c r="B28877" s="31"/>
      <c r="G28877" s="272" t="s">
        <v>1099</v>
      </c>
    </row>
    <row r="28878">
      <c r="B28878" s="31"/>
      <c r="G28878" s="272" t="s">
        <v>1099</v>
      </c>
    </row>
    <row r="28879">
      <c r="B28879" s="31"/>
      <c r="G28879" s="272" t="s">
        <v>1099</v>
      </c>
    </row>
    <row r="28880">
      <c r="B28880" s="31"/>
      <c r="G28880" s="272" t="s">
        <v>1099</v>
      </c>
    </row>
    <row r="28881">
      <c r="B28881" s="31"/>
      <c r="G28881" s="272" t="s">
        <v>1099</v>
      </c>
    </row>
    <row r="28882">
      <c r="B28882" s="31"/>
      <c r="G28882" s="272" t="s">
        <v>1099</v>
      </c>
    </row>
    <row r="28883">
      <c r="B28883" s="31"/>
      <c r="G28883" s="272" t="s">
        <v>1099</v>
      </c>
    </row>
    <row r="28884">
      <c r="B28884" s="31"/>
      <c r="G28884" s="272" t="s">
        <v>1099</v>
      </c>
    </row>
    <row r="28885">
      <c r="B28885" s="31"/>
      <c r="G28885" s="272" t="s">
        <v>1099</v>
      </c>
    </row>
    <row r="28886">
      <c r="B28886" s="31"/>
      <c r="G28886" s="272" t="s">
        <v>1099</v>
      </c>
    </row>
    <row r="28887">
      <c r="B28887" s="31"/>
      <c r="G28887" s="272" t="s">
        <v>1099</v>
      </c>
    </row>
    <row r="28888">
      <c r="B28888" s="31"/>
      <c r="G28888" s="272" t="s">
        <v>1099</v>
      </c>
    </row>
    <row r="28889">
      <c r="B28889" s="31"/>
      <c r="G28889" s="272" t="s">
        <v>1099</v>
      </c>
    </row>
    <row r="28890">
      <c r="B28890" s="31"/>
      <c r="G28890" s="272" t="s">
        <v>1099</v>
      </c>
    </row>
    <row r="28891">
      <c r="B28891" s="31"/>
      <c r="G28891" s="272" t="s">
        <v>1099</v>
      </c>
    </row>
    <row r="28892">
      <c r="B28892" s="31"/>
      <c r="G28892" s="272" t="s">
        <v>1099</v>
      </c>
    </row>
    <row r="28893">
      <c r="B28893" s="31"/>
      <c r="G28893" s="272" t="s">
        <v>1099</v>
      </c>
    </row>
    <row r="28894">
      <c r="B28894" s="31"/>
      <c r="G28894" s="272" t="s">
        <v>1099</v>
      </c>
    </row>
    <row r="28895">
      <c r="B28895" s="31"/>
      <c r="G28895" s="272" t="s">
        <v>1099</v>
      </c>
    </row>
    <row r="28896">
      <c r="B28896" s="31"/>
      <c r="G28896" s="272" t="s">
        <v>1099</v>
      </c>
    </row>
    <row r="28897">
      <c r="B28897" s="31"/>
      <c r="G28897" s="272" t="s">
        <v>1099</v>
      </c>
    </row>
    <row r="28898">
      <c r="B28898" s="31"/>
      <c r="G28898" s="272" t="s">
        <v>1099</v>
      </c>
    </row>
    <row r="28899">
      <c r="B28899" s="31"/>
      <c r="G28899" s="272" t="s">
        <v>1099</v>
      </c>
    </row>
    <row r="28900">
      <c r="B28900" s="31"/>
      <c r="G28900" s="272" t="s">
        <v>1099</v>
      </c>
    </row>
    <row r="28901">
      <c r="B28901" s="31"/>
      <c r="G28901" s="272" t="s">
        <v>1099</v>
      </c>
    </row>
    <row r="28902">
      <c r="B28902" s="31"/>
      <c r="G28902" s="272" t="s">
        <v>1099</v>
      </c>
    </row>
    <row r="28903">
      <c r="B28903" s="31"/>
      <c r="G28903" s="272" t="s">
        <v>1099</v>
      </c>
    </row>
    <row r="28904">
      <c r="B28904" s="31"/>
      <c r="G28904" s="272" t="s">
        <v>1099</v>
      </c>
    </row>
    <row r="28905">
      <c r="B28905" s="31"/>
      <c r="G28905" s="272" t="s">
        <v>1099</v>
      </c>
    </row>
    <row r="28906">
      <c r="B28906" s="31"/>
      <c r="G28906" s="272" t="s">
        <v>1099</v>
      </c>
    </row>
    <row r="28907">
      <c r="B28907" s="31"/>
      <c r="G28907" s="272" t="s">
        <v>1099</v>
      </c>
    </row>
    <row r="28908">
      <c r="B28908" s="31"/>
      <c r="G28908" s="272" t="s">
        <v>1099</v>
      </c>
    </row>
    <row r="28909">
      <c r="B28909" s="31"/>
      <c r="G28909" s="272" t="s">
        <v>1099</v>
      </c>
    </row>
    <row r="28910">
      <c r="B28910" s="31"/>
      <c r="G28910" s="272" t="s">
        <v>1099</v>
      </c>
    </row>
    <row r="28911">
      <c r="B28911" s="31"/>
      <c r="G28911" s="272" t="s">
        <v>1099</v>
      </c>
    </row>
    <row r="28912">
      <c r="B28912" s="31"/>
      <c r="G28912" s="272" t="s">
        <v>1099</v>
      </c>
    </row>
    <row r="28913">
      <c r="B28913" s="31"/>
      <c r="G28913" s="272" t="s">
        <v>1099</v>
      </c>
    </row>
    <row r="28914">
      <c r="B28914" s="31"/>
      <c r="G28914" s="272" t="s">
        <v>1099</v>
      </c>
    </row>
    <row r="28915">
      <c r="B28915" s="31"/>
      <c r="G28915" s="272" t="s">
        <v>1099</v>
      </c>
    </row>
    <row r="28916">
      <c r="B28916" s="31"/>
      <c r="G28916" s="272" t="s">
        <v>1099</v>
      </c>
    </row>
    <row r="28917">
      <c r="B28917" s="31"/>
      <c r="G28917" s="272" t="s">
        <v>1099</v>
      </c>
    </row>
    <row r="28918">
      <c r="B28918" s="31"/>
      <c r="G28918" s="272" t="s">
        <v>1099</v>
      </c>
    </row>
    <row r="28919">
      <c r="B28919" s="31"/>
      <c r="G28919" s="272" t="s">
        <v>1099</v>
      </c>
    </row>
    <row r="28920">
      <c r="B28920" s="31"/>
      <c r="G28920" s="272" t="s">
        <v>1099</v>
      </c>
    </row>
    <row r="28921">
      <c r="B28921" s="31"/>
      <c r="G28921" s="272" t="s">
        <v>1099</v>
      </c>
    </row>
    <row r="28922">
      <c r="B28922" s="31"/>
      <c r="G28922" s="272" t="s">
        <v>1099</v>
      </c>
    </row>
    <row r="28923">
      <c r="B28923" s="31"/>
      <c r="G28923" s="272" t="s">
        <v>1099</v>
      </c>
    </row>
    <row r="28924">
      <c r="B28924" s="31"/>
      <c r="G28924" s="272" t="s">
        <v>1099</v>
      </c>
    </row>
    <row r="28925">
      <c r="B28925" s="31"/>
      <c r="G28925" s="272" t="s">
        <v>1099</v>
      </c>
    </row>
    <row r="28926">
      <c r="B28926" s="31"/>
      <c r="G28926" s="272" t="s">
        <v>1099</v>
      </c>
    </row>
    <row r="28927">
      <c r="B28927" s="31"/>
      <c r="G28927" s="272" t="s">
        <v>1099</v>
      </c>
    </row>
    <row r="28928">
      <c r="B28928" s="31"/>
      <c r="G28928" s="272" t="s">
        <v>1099</v>
      </c>
    </row>
    <row r="28929">
      <c r="B28929" s="31"/>
      <c r="G28929" s="272" t="s">
        <v>1099</v>
      </c>
    </row>
    <row r="28930">
      <c r="B28930" s="31"/>
      <c r="G28930" s="272" t="s">
        <v>1099</v>
      </c>
    </row>
    <row r="28931">
      <c r="B28931" s="31"/>
      <c r="G28931" s="272" t="s">
        <v>1099</v>
      </c>
    </row>
    <row r="28932">
      <c r="B28932" s="31"/>
      <c r="G28932" s="272" t="s">
        <v>1099</v>
      </c>
    </row>
    <row r="28933">
      <c r="B28933" s="31"/>
      <c r="G28933" s="272" t="s">
        <v>1099</v>
      </c>
    </row>
    <row r="28934">
      <c r="B28934" s="31"/>
      <c r="G28934" s="272" t="s">
        <v>1099</v>
      </c>
    </row>
    <row r="28935">
      <c r="B28935" s="31"/>
      <c r="G28935" s="272" t="s">
        <v>1099</v>
      </c>
    </row>
    <row r="28936">
      <c r="B28936" s="31"/>
      <c r="G28936" s="272" t="s">
        <v>1099</v>
      </c>
    </row>
    <row r="28937">
      <c r="B28937" s="31"/>
      <c r="G28937" s="272" t="s">
        <v>1099</v>
      </c>
    </row>
    <row r="28938">
      <c r="B28938" s="31"/>
      <c r="G28938" s="272" t="s">
        <v>1099</v>
      </c>
    </row>
    <row r="28939">
      <c r="B28939" s="31"/>
      <c r="G28939" s="272" t="s">
        <v>1099</v>
      </c>
    </row>
    <row r="28940">
      <c r="B28940" s="31"/>
      <c r="G28940" s="272" t="s">
        <v>1099</v>
      </c>
    </row>
    <row r="28941">
      <c r="B28941" s="31"/>
      <c r="G28941" s="272" t="s">
        <v>1099</v>
      </c>
    </row>
    <row r="28942">
      <c r="B28942" s="31"/>
      <c r="G28942" s="272" t="s">
        <v>1099</v>
      </c>
    </row>
    <row r="28943">
      <c r="B28943" s="31"/>
      <c r="G28943" s="272" t="s">
        <v>1099</v>
      </c>
    </row>
    <row r="28944">
      <c r="B28944" s="31"/>
      <c r="G28944" s="272" t="s">
        <v>1099</v>
      </c>
    </row>
    <row r="28945">
      <c r="B28945" s="31"/>
      <c r="G28945" s="272" t="s">
        <v>1099</v>
      </c>
    </row>
    <row r="28946">
      <c r="B28946" s="31"/>
      <c r="G28946" s="272" t="s">
        <v>1099</v>
      </c>
    </row>
    <row r="28947">
      <c r="B28947" s="31"/>
      <c r="G28947" s="272" t="s">
        <v>1099</v>
      </c>
    </row>
    <row r="28948">
      <c r="B28948" s="31"/>
      <c r="G28948" s="272" t="s">
        <v>1099</v>
      </c>
    </row>
    <row r="28949">
      <c r="B28949" s="31"/>
      <c r="G28949" s="272" t="s">
        <v>1099</v>
      </c>
    </row>
    <row r="28950">
      <c r="B28950" s="31"/>
      <c r="G28950" s="272" t="s">
        <v>1099</v>
      </c>
    </row>
    <row r="28951">
      <c r="B28951" s="31"/>
      <c r="G28951" s="272" t="s">
        <v>1099</v>
      </c>
    </row>
    <row r="28952">
      <c r="B28952" s="31"/>
      <c r="G28952" s="272" t="s">
        <v>1099</v>
      </c>
    </row>
    <row r="28953">
      <c r="B28953" s="31"/>
      <c r="G28953" s="272" t="s">
        <v>1099</v>
      </c>
    </row>
    <row r="28954">
      <c r="B28954" s="31"/>
      <c r="G28954" s="272" t="s">
        <v>1099</v>
      </c>
    </row>
    <row r="28955">
      <c r="B28955" s="31"/>
      <c r="G28955" s="272" t="s">
        <v>1099</v>
      </c>
    </row>
    <row r="28956">
      <c r="B28956" s="31"/>
      <c r="G28956" s="272" t="s">
        <v>1099</v>
      </c>
    </row>
    <row r="28957">
      <c r="B28957" s="31"/>
      <c r="G28957" s="272" t="s">
        <v>1099</v>
      </c>
    </row>
    <row r="28958">
      <c r="B28958" s="31"/>
      <c r="G28958" s="272" t="s">
        <v>1099</v>
      </c>
    </row>
    <row r="28959">
      <c r="B28959" s="31"/>
      <c r="G28959" s="272" t="s">
        <v>1099</v>
      </c>
    </row>
    <row r="28960">
      <c r="B28960" s="31"/>
      <c r="G28960" s="272" t="s">
        <v>1099</v>
      </c>
    </row>
    <row r="28961">
      <c r="B28961" s="31"/>
      <c r="G28961" s="272" t="s">
        <v>1099</v>
      </c>
    </row>
    <row r="28962">
      <c r="B28962" s="31"/>
      <c r="G28962" s="272" t="s">
        <v>1099</v>
      </c>
    </row>
    <row r="28963">
      <c r="B28963" s="31"/>
      <c r="G28963" s="272" t="s">
        <v>1099</v>
      </c>
    </row>
    <row r="28964">
      <c r="B28964" s="31"/>
      <c r="G28964" s="272" t="s">
        <v>1099</v>
      </c>
    </row>
    <row r="28965">
      <c r="B28965" s="31"/>
      <c r="G28965" s="272" t="s">
        <v>1099</v>
      </c>
    </row>
    <row r="28966">
      <c r="B28966" s="31"/>
      <c r="G28966" s="272" t="s">
        <v>1099</v>
      </c>
    </row>
    <row r="28967">
      <c r="B28967" s="31"/>
      <c r="G28967" s="272" t="s">
        <v>1099</v>
      </c>
    </row>
    <row r="28968">
      <c r="B28968" s="31"/>
      <c r="G28968" s="272" t="s">
        <v>1099</v>
      </c>
    </row>
    <row r="28969">
      <c r="B28969" s="31"/>
      <c r="G28969" s="272" t="s">
        <v>1099</v>
      </c>
    </row>
    <row r="28970">
      <c r="B28970" s="31"/>
      <c r="G28970" s="272" t="s">
        <v>1099</v>
      </c>
    </row>
    <row r="28971">
      <c r="B28971" s="31"/>
      <c r="G28971" s="272" t="s">
        <v>1099</v>
      </c>
    </row>
    <row r="28972">
      <c r="B28972" s="31"/>
      <c r="G28972" s="272" t="s">
        <v>1099</v>
      </c>
    </row>
    <row r="28973">
      <c r="B28973" s="31"/>
      <c r="G28973" s="272" t="s">
        <v>1099</v>
      </c>
    </row>
    <row r="28974">
      <c r="B28974" s="31"/>
      <c r="G28974" s="272" t="s">
        <v>1099</v>
      </c>
    </row>
    <row r="28975">
      <c r="B28975" s="31"/>
      <c r="G28975" s="272" t="s">
        <v>1099</v>
      </c>
    </row>
    <row r="28976">
      <c r="B28976" s="31"/>
      <c r="G28976" s="272" t="s">
        <v>1099</v>
      </c>
    </row>
    <row r="28977">
      <c r="B28977" s="31"/>
      <c r="G28977" s="272" t="s">
        <v>1099</v>
      </c>
    </row>
    <row r="28978">
      <c r="B28978" s="31"/>
      <c r="G28978" s="272" t="s">
        <v>1099</v>
      </c>
    </row>
    <row r="28979">
      <c r="B28979" s="31"/>
      <c r="G28979" s="272" t="s">
        <v>1099</v>
      </c>
    </row>
    <row r="28980">
      <c r="B28980" s="31"/>
      <c r="G28980" s="272" t="s">
        <v>1099</v>
      </c>
    </row>
    <row r="28981">
      <c r="B28981" s="31"/>
      <c r="G28981" s="272" t="s">
        <v>1099</v>
      </c>
    </row>
    <row r="28982">
      <c r="B28982" s="31"/>
      <c r="G28982" s="272" t="s">
        <v>1099</v>
      </c>
    </row>
    <row r="28983">
      <c r="B28983" s="31"/>
      <c r="G28983" s="272" t="s">
        <v>1099</v>
      </c>
    </row>
    <row r="28984">
      <c r="B28984" s="31"/>
      <c r="G28984" s="272" t="s">
        <v>1099</v>
      </c>
    </row>
    <row r="28985">
      <c r="B28985" s="31"/>
      <c r="G28985" s="272" t="s">
        <v>1099</v>
      </c>
    </row>
    <row r="28986">
      <c r="B28986" s="31"/>
      <c r="G28986" s="272" t="s">
        <v>1099</v>
      </c>
    </row>
    <row r="28987">
      <c r="B28987" s="31"/>
      <c r="G28987" s="272" t="s">
        <v>1099</v>
      </c>
    </row>
    <row r="28988">
      <c r="B28988" s="31"/>
      <c r="G28988" s="272" t="s">
        <v>1099</v>
      </c>
    </row>
    <row r="28989">
      <c r="B28989" s="31"/>
      <c r="G28989" s="272" t="s">
        <v>1099</v>
      </c>
    </row>
    <row r="28990">
      <c r="B28990" s="31"/>
      <c r="G28990" s="272" t="s">
        <v>1099</v>
      </c>
    </row>
    <row r="28991">
      <c r="B28991" s="31"/>
      <c r="G28991" s="272" t="s">
        <v>1099</v>
      </c>
    </row>
    <row r="28992">
      <c r="B28992" s="31"/>
      <c r="G28992" s="272" t="s">
        <v>1099</v>
      </c>
    </row>
    <row r="28993">
      <c r="B28993" s="31"/>
      <c r="G28993" s="272" t="s">
        <v>1099</v>
      </c>
    </row>
    <row r="28994">
      <c r="B28994" s="31"/>
      <c r="G28994" s="272" t="s">
        <v>1099</v>
      </c>
    </row>
    <row r="28995">
      <c r="B28995" s="31"/>
      <c r="G28995" s="272" t="s">
        <v>1099</v>
      </c>
    </row>
    <row r="28996">
      <c r="B28996" s="31"/>
      <c r="G28996" s="272" t="s">
        <v>1099</v>
      </c>
    </row>
    <row r="28997">
      <c r="B28997" s="31"/>
      <c r="G28997" s="272" t="s">
        <v>1099</v>
      </c>
    </row>
    <row r="28998">
      <c r="B28998" s="31"/>
      <c r="G28998" s="272" t="s">
        <v>1099</v>
      </c>
    </row>
    <row r="28999">
      <c r="B28999" s="31"/>
      <c r="G28999" s="272" t="s">
        <v>1099</v>
      </c>
    </row>
    <row r="29000">
      <c r="B29000" s="31"/>
      <c r="G29000" s="272" t="s">
        <v>1099</v>
      </c>
    </row>
    <row r="29001">
      <c r="B29001" s="31"/>
      <c r="G29001" s="272" t="s">
        <v>1099</v>
      </c>
    </row>
    <row r="29002">
      <c r="B29002" s="31"/>
      <c r="G29002" s="272" t="s">
        <v>1099</v>
      </c>
    </row>
    <row r="29003">
      <c r="B29003" s="31"/>
      <c r="G29003" s="272" t="s">
        <v>1099</v>
      </c>
    </row>
    <row r="29004">
      <c r="B29004" s="31"/>
      <c r="G29004" s="272" t="s">
        <v>1099</v>
      </c>
    </row>
    <row r="29005">
      <c r="B29005" s="31"/>
      <c r="G29005" s="272" t="s">
        <v>1099</v>
      </c>
    </row>
    <row r="29006">
      <c r="B29006" s="31"/>
      <c r="G29006" s="272" t="s">
        <v>1099</v>
      </c>
    </row>
    <row r="29007">
      <c r="B29007" s="31"/>
      <c r="G29007" s="272" t="s">
        <v>1099</v>
      </c>
    </row>
    <row r="29008">
      <c r="B29008" s="31"/>
      <c r="G29008" s="272" t="s">
        <v>1099</v>
      </c>
    </row>
    <row r="29009">
      <c r="B29009" s="31"/>
      <c r="G29009" s="272" t="s">
        <v>1099</v>
      </c>
    </row>
    <row r="29010">
      <c r="B29010" s="31"/>
      <c r="G29010" s="272" t="s">
        <v>1099</v>
      </c>
    </row>
    <row r="29011">
      <c r="B29011" s="31"/>
      <c r="G29011" s="272" t="s">
        <v>1099</v>
      </c>
    </row>
    <row r="29012">
      <c r="B29012" s="31"/>
      <c r="G29012" s="272" t="s">
        <v>1099</v>
      </c>
    </row>
    <row r="29013">
      <c r="B29013" s="31"/>
      <c r="G29013" s="272" t="s">
        <v>1099</v>
      </c>
    </row>
    <row r="29014">
      <c r="B29014" s="31"/>
      <c r="G29014" s="272" t="s">
        <v>1099</v>
      </c>
    </row>
    <row r="29015">
      <c r="B29015" s="31"/>
      <c r="G29015" s="272" t="s">
        <v>1099</v>
      </c>
    </row>
    <row r="29016">
      <c r="B29016" s="31"/>
      <c r="G29016" s="272" t="s">
        <v>1099</v>
      </c>
    </row>
    <row r="29017">
      <c r="B29017" s="31"/>
      <c r="G29017" s="272" t="s">
        <v>1099</v>
      </c>
    </row>
    <row r="29018">
      <c r="B29018" s="31"/>
      <c r="G29018" s="272" t="s">
        <v>1099</v>
      </c>
    </row>
    <row r="29019">
      <c r="B29019" s="31"/>
      <c r="G29019" s="272" t="s">
        <v>1099</v>
      </c>
    </row>
    <row r="29020">
      <c r="B29020" s="31"/>
      <c r="G29020" s="272" t="s">
        <v>1099</v>
      </c>
    </row>
    <row r="29021">
      <c r="B29021" s="31"/>
      <c r="G29021" s="272" t="s">
        <v>1099</v>
      </c>
    </row>
    <row r="29022">
      <c r="B29022" s="31"/>
      <c r="G29022" s="272" t="s">
        <v>1099</v>
      </c>
    </row>
    <row r="29023">
      <c r="B29023" s="31"/>
      <c r="G29023" s="272" t="s">
        <v>1099</v>
      </c>
    </row>
    <row r="29024">
      <c r="B29024" s="31"/>
      <c r="G29024" s="272" t="s">
        <v>1099</v>
      </c>
    </row>
    <row r="29025">
      <c r="B29025" s="31"/>
      <c r="G29025" s="272" t="s">
        <v>1099</v>
      </c>
    </row>
    <row r="29026">
      <c r="B29026" s="31"/>
      <c r="G29026" s="272" t="s">
        <v>1099</v>
      </c>
    </row>
    <row r="29027">
      <c r="B29027" s="31"/>
      <c r="G29027" s="272" t="s">
        <v>1099</v>
      </c>
    </row>
    <row r="29028">
      <c r="B29028" s="31"/>
      <c r="G29028" s="272" t="s">
        <v>1099</v>
      </c>
    </row>
    <row r="29029">
      <c r="B29029" s="31"/>
      <c r="G29029" s="272" t="s">
        <v>1099</v>
      </c>
    </row>
    <row r="29030">
      <c r="B29030" s="31"/>
      <c r="G29030" s="272" t="s">
        <v>1099</v>
      </c>
    </row>
    <row r="29031">
      <c r="B29031" s="31"/>
      <c r="G29031" s="272" t="s">
        <v>1099</v>
      </c>
    </row>
    <row r="29032">
      <c r="B29032" s="31"/>
      <c r="G29032" s="272" t="s">
        <v>1099</v>
      </c>
    </row>
    <row r="29033">
      <c r="B29033" s="31"/>
      <c r="G29033" s="272" t="s">
        <v>1099</v>
      </c>
    </row>
    <row r="29034">
      <c r="B29034" s="31"/>
      <c r="G29034" s="272" t="s">
        <v>1099</v>
      </c>
    </row>
    <row r="29035">
      <c r="B29035" s="31"/>
      <c r="G29035" s="272" t="s">
        <v>1099</v>
      </c>
    </row>
    <row r="29036">
      <c r="B29036" s="31"/>
      <c r="G29036" s="272" t="s">
        <v>1099</v>
      </c>
    </row>
    <row r="29037">
      <c r="B29037" s="31"/>
      <c r="G29037" s="272" t="s">
        <v>1099</v>
      </c>
    </row>
    <row r="29038">
      <c r="B29038" s="31"/>
      <c r="G29038" s="272" t="s">
        <v>1099</v>
      </c>
    </row>
    <row r="29039">
      <c r="B29039" s="31"/>
      <c r="G29039" s="272" t="s">
        <v>1099</v>
      </c>
    </row>
    <row r="29040">
      <c r="B29040" s="31"/>
      <c r="G29040" s="272" t="s">
        <v>1099</v>
      </c>
    </row>
    <row r="29041">
      <c r="B29041" s="31"/>
      <c r="G29041" s="272" t="s">
        <v>1099</v>
      </c>
    </row>
    <row r="29042">
      <c r="B29042" s="31"/>
      <c r="G29042" s="272" t="s">
        <v>1099</v>
      </c>
    </row>
    <row r="29043">
      <c r="B29043" s="31"/>
      <c r="G29043" s="272" t="s">
        <v>1099</v>
      </c>
    </row>
    <row r="29044">
      <c r="B29044" s="31"/>
      <c r="G29044" s="272" t="s">
        <v>1099</v>
      </c>
    </row>
    <row r="29045">
      <c r="B29045" s="31"/>
      <c r="G29045" s="272" t="s">
        <v>1099</v>
      </c>
    </row>
    <row r="29046">
      <c r="B29046" s="31"/>
      <c r="G29046" s="272" t="s">
        <v>1099</v>
      </c>
    </row>
    <row r="29047">
      <c r="B29047" s="31"/>
      <c r="G29047" s="272" t="s">
        <v>1099</v>
      </c>
    </row>
    <row r="29048">
      <c r="B29048" s="31"/>
      <c r="G29048" s="272" t="s">
        <v>1099</v>
      </c>
    </row>
    <row r="29049">
      <c r="B29049" s="31"/>
      <c r="G29049" s="272" t="s">
        <v>1099</v>
      </c>
    </row>
    <row r="29050">
      <c r="B29050" s="31"/>
      <c r="G29050" s="272" t="s">
        <v>1099</v>
      </c>
    </row>
    <row r="29051">
      <c r="B29051" s="31"/>
      <c r="G29051" s="272" t="s">
        <v>1099</v>
      </c>
    </row>
    <row r="29052">
      <c r="B29052" s="31"/>
      <c r="G29052" s="272" t="s">
        <v>1099</v>
      </c>
    </row>
    <row r="29053">
      <c r="B29053" s="31"/>
      <c r="G29053" s="272" t="s">
        <v>1099</v>
      </c>
    </row>
    <row r="29054">
      <c r="B29054" s="31"/>
      <c r="G29054" s="272" t="s">
        <v>1099</v>
      </c>
    </row>
    <row r="29055">
      <c r="B29055" s="31"/>
      <c r="G29055" s="272" t="s">
        <v>1099</v>
      </c>
    </row>
    <row r="29056">
      <c r="B29056" s="31"/>
      <c r="G29056" s="272" t="s">
        <v>1099</v>
      </c>
    </row>
    <row r="29057">
      <c r="B29057" s="31"/>
      <c r="G29057" s="272" t="s">
        <v>1099</v>
      </c>
    </row>
    <row r="29058">
      <c r="B29058" s="31"/>
      <c r="G29058" s="272" t="s">
        <v>1099</v>
      </c>
    </row>
    <row r="29059">
      <c r="B29059" s="31"/>
      <c r="G29059" s="272" t="s">
        <v>1099</v>
      </c>
    </row>
    <row r="29060">
      <c r="B29060" s="31"/>
      <c r="G29060" s="272" t="s">
        <v>1099</v>
      </c>
    </row>
    <row r="29061">
      <c r="B29061" s="31"/>
      <c r="G29061" s="272" t="s">
        <v>1099</v>
      </c>
    </row>
    <row r="29062">
      <c r="B29062" s="31"/>
      <c r="G29062" s="272" t="s">
        <v>1099</v>
      </c>
    </row>
    <row r="29063">
      <c r="B29063" s="31"/>
      <c r="G29063" s="272" t="s">
        <v>1099</v>
      </c>
    </row>
    <row r="29064">
      <c r="B29064" s="31"/>
      <c r="G29064" s="272" t="s">
        <v>1099</v>
      </c>
    </row>
    <row r="29065">
      <c r="B29065" s="31"/>
      <c r="G29065" s="272" t="s">
        <v>1099</v>
      </c>
    </row>
    <row r="29066">
      <c r="B29066" s="31"/>
      <c r="G29066" s="272" t="s">
        <v>1099</v>
      </c>
    </row>
    <row r="29067">
      <c r="B29067" s="31"/>
      <c r="G29067" s="272" t="s">
        <v>1099</v>
      </c>
    </row>
    <row r="29068">
      <c r="B29068" s="31"/>
      <c r="G29068" s="272" t="s">
        <v>1099</v>
      </c>
    </row>
    <row r="29069">
      <c r="B29069" s="31"/>
      <c r="G29069" s="272" t="s">
        <v>1099</v>
      </c>
    </row>
    <row r="29070">
      <c r="B29070" s="31"/>
      <c r="G29070" s="272" t="s">
        <v>1099</v>
      </c>
    </row>
    <row r="29071">
      <c r="B29071" s="31"/>
      <c r="G29071" s="272" t="s">
        <v>1099</v>
      </c>
    </row>
    <row r="29072">
      <c r="B29072" s="31"/>
      <c r="G29072" s="272" t="s">
        <v>1099</v>
      </c>
    </row>
    <row r="29073">
      <c r="B29073" s="31"/>
      <c r="G29073" s="272" t="s">
        <v>1099</v>
      </c>
    </row>
    <row r="29074">
      <c r="B29074" s="31"/>
      <c r="G29074" s="272" t="s">
        <v>1099</v>
      </c>
    </row>
    <row r="29075">
      <c r="B29075" s="31"/>
      <c r="G29075" s="272" t="s">
        <v>1099</v>
      </c>
    </row>
    <row r="29076">
      <c r="B29076" s="31"/>
      <c r="G29076" s="272" t="s">
        <v>1099</v>
      </c>
    </row>
    <row r="29077">
      <c r="B29077" s="31"/>
      <c r="G29077" s="272" t="s">
        <v>1099</v>
      </c>
    </row>
    <row r="29078">
      <c r="B29078" s="31"/>
      <c r="G29078" s="272" t="s">
        <v>1099</v>
      </c>
    </row>
    <row r="29079">
      <c r="B29079" s="31"/>
      <c r="G29079" s="272" t="s">
        <v>1099</v>
      </c>
    </row>
    <row r="29080">
      <c r="B29080" s="31"/>
      <c r="G29080" s="272" t="s">
        <v>1099</v>
      </c>
    </row>
    <row r="29081">
      <c r="B29081" s="31"/>
      <c r="G29081" s="272" t="s">
        <v>1099</v>
      </c>
    </row>
    <row r="29082">
      <c r="B29082" s="31"/>
      <c r="G29082" s="272" t="s">
        <v>1099</v>
      </c>
    </row>
    <row r="29083">
      <c r="B29083" s="31"/>
      <c r="G29083" s="272" t="s">
        <v>1099</v>
      </c>
    </row>
    <row r="29084">
      <c r="B29084" s="31"/>
      <c r="G29084" s="272" t="s">
        <v>1099</v>
      </c>
    </row>
    <row r="29085">
      <c r="B29085" s="31"/>
      <c r="G29085" s="272" t="s">
        <v>1099</v>
      </c>
    </row>
    <row r="29086">
      <c r="B29086" s="31"/>
      <c r="G29086" s="272" t="s">
        <v>1099</v>
      </c>
    </row>
    <row r="29087">
      <c r="B29087" s="31"/>
      <c r="G29087" s="272" t="s">
        <v>1099</v>
      </c>
    </row>
    <row r="29088">
      <c r="B29088" s="31"/>
      <c r="G29088" s="272" t="s">
        <v>1099</v>
      </c>
    </row>
    <row r="29089">
      <c r="B29089" s="31"/>
      <c r="G29089" s="272" t="s">
        <v>1099</v>
      </c>
    </row>
    <row r="29090">
      <c r="B29090" s="31"/>
      <c r="G29090" s="272" t="s">
        <v>1099</v>
      </c>
    </row>
    <row r="29091">
      <c r="B29091" s="31"/>
      <c r="G29091" s="272" t="s">
        <v>1099</v>
      </c>
    </row>
    <row r="29092">
      <c r="B29092" s="31"/>
      <c r="G29092" s="272" t="s">
        <v>1099</v>
      </c>
    </row>
    <row r="29093">
      <c r="B29093" s="31"/>
      <c r="G29093" s="272" t="s">
        <v>1099</v>
      </c>
    </row>
    <row r="29094">
      <c r="B29094" s="31"/>
      <c r="G29094" s="272" t="s">
        <v>1099</v>
      </c>
    </row>
    <row r="29095">
      <c r="B29095" s="31"/>
      <c r="G29095" s="272" t="s">
        <v>1099</v>
      </c>
    </row>
    <row r="29096">
      <c r="B29096" s="31"/>
      <c r="G29096" s="272" t="s">
        <v>1099</v>
      </c>
    </row>
    <row r="29097">
      <c r="B29097" s="31"/>
      <c r="G29097" s="272" t="s">
        <v>1099</v>
      </c>
    </row>
    <row r="29098">
      <c r="B29098" s="31"/>
      <c r="G29098" s="272" t="s">
        <v>1099</v>
      </c>
    </row>
    <row r="29099">
      <c r="B29099" s="31"/>
      <c r="G29099" s="272" t="s">
        <v>1099</v>
      </c>
    </row>
    <row r="29100">
      <c r="B29100" s="31"/>
      <c r="G29100" s="272" t="s">
        <v>1099</v>
      </c>
    </row>
    <row r="29101">
      <c r="B29101" s="31"/>
      <c r="G29101" s="272" t="s">
        <v>1099</v>
      </c>
    </row>
    <row r="29102">
      <c r="B29102" s="31"/>
      <c r="G29102" s="272" t="s">
        <v>1099</v>
      </c>
    </row>
    <row r="29103">
      <c r="B29103" s="31"/>
      <c r="G29103" s="272" t="s">
        <v>1099</v>
      </c>
    </row>
    <row r="29104">
      <c r="B29104" s="31"/>
      <c r="G29104" s="272" t="s">
        <v>1099</v>
      </c>
    </row>
    <row r="29105">
      <c r="B29105" s="31"/>
      <c r="G29105" s="272" t="s">
        <v>1099</v>
      </c>
    </row>
    <row r="29106">
      <c r="B29106" s="31"/>
      <c r="G29106" s="272" t="s">
        <v>1099</v>
      </c>
    </row>
    <row r="29107">
      <c r="B29107" s="31"/>
      <c r="G29107" s="272" t="s">
        <v>1099</v>
      </c>
    </row>
    <row r="29108">
      <c r="B29108" s="31"/>
      <c r="G29108" s="272" t="s">
        <v>1099</v>
      </c>
    </row>
    <row r="29109">
      <c r="B29109" s="31"/>
      <c r="G29109" s="272" t="s">
        <v>1099</v>
      </c>
    </row>
    <row r="29110">
      <c r="B29110" s="31"/>
      <c r="G29110" s="272" t="s">
        <v>1099</v>
      </c>
    </row>
    <row r="29111">
      <c r="B29111" s="31"/>
      <c r="G29111" s="272" t="s">
        <v>1099</v>
      </c>
    </row>
    <row r="29112">
      <c r="B29112" s="31"/>
      <c r="G29112" s="272" t="s">
        <v>1099</v>
      </c>
    </row>
    <row r="29113">
      <c r="B29113" s="31"/>
      <c r="G29113" s="272" t="s">
        <v>1099</v>
      </c>
    </row>
    <row r="29114">
      <c r="B29114" s="31"/>
      <c r="G29114" s="272" t="s">
        <v>1099</v>
      </c>
    </row>
    <row r="29115">
      <c r="B29115" s="31"/>
      <c r="G29115" s="272" t="s">
        <v>1099</v>
      </c>
    </row>
    <row r="29116">
      <c r="B29116" s="31"/>
      <c r="G29116" s="272" t="s">
        <v>1099</v>
      </c>
    </row>
    <row r="29117">
      <c r="B29117" s="31"/>
      <c r="G29117" s="272" t="s">
        <v>1099</v>
      </c>
    </row>
    <row r="29118">
      <c r="B29118" s="31"/>
      <c r="G29118" s="272" t="s">
        <v>1099</v>
      </c>
    </row>
    <row r="29119">
      <c r="B29119" s="31"/>
      <c r="G29119" s="272" t="s">
        <v>1099</v>
      </c>
    </row>
    <row r="29120">
      <c r="B29120" s="31"/>
      <c r="G29120" s="272" t="s">
        <v>1099</v>
      </c>
    </row>
    <row r="29121">
      <c r="B29121" s="31"/>
      <c r="G29121" s="272" t="s">
        <v>1099</v>
      </c>
    </row>
    <row r="29122">
      <c r="B29122" s="31"/>
      <c r="G29122" s="272" t="s">
        <v>1099</v>
      </c>
    </row>
    <row r="29123">
      <c r="B29123" s="31"/>
      <c r="G29123" s="272" t="s">
        <v>1099</v>
      </c>
    </row>
    <row r="29124">
      <c r="B29124" s="31"/>
      <c r="G29124" s="272" t="s">
        <v>1099</v>
      </c>
    </row>
    <row r="29125">
      <c r="B29125" s="31"/>
      <c r="G29125" s="272" t="s">
        <v>1099</v>
      </c>
    </row>
    <row r="29126">
      <c r="B29126" s="31"/>
      <c r="G29126" s="272" t="s">
        <v>1099</v>
      </c>
    </row>
    <row r="29127">
      <c r="B29127" s="31"/>
      <c r="G29127" s="272" t="s">
        <v>1099</v>
      </c>
    </row>
    <row r="29128">
      <c r="B29128" s="31"/>
      <c r="G29128" s="272" t="s">
        <v>1099</v>
      </c>
    </row>
    <row r="29129">
      <c r="B29129" s="31"/>
      <c r="G29129" s="272" t="s">
        <v>1099</v>
      </c>
    </row>
    <row r="29130">
      <c r="B29130" s="31"/>
      <c r="G29130" s="272" t="s">
        <v>1099</v>
      </c>
    </row>
    <row r="29131">
      <c r="B29131" s="31"/>
      <c r="G29131" s="272" t="s">
        <v>1099</v>
      </c>
    </row>
    <row r="29132">
      <c r="B29132" s="31"/>
      <c r="G29132" s="272" t="s">
        <v>1099</v>
      </c>
    </row>
    <row r="29133">
      <c r="B29133" s="31"/>
      <c r="G29133" s="272" t="s">
        <v>1099</v>
      </c>
    </row>
    <row r="29134">
      <c r="B29134" s="31"/>
      <c r="G29134" s="272" t="s">
        <v>1099</v>
      </c>
    </row>
    <row r="29135">
      <c r="B29135" s="31"/>
      <c r="G29135" s="272" t="s">
        <v>1099</v>
      </c>
    </row>
    <row r="29136">
      <c r="B29136" s="31"/>
      <c r="G29136" s="272" t="s">
        <v>1099</v>
      </c>
    </row>
    <row r="29137">
      <c r="B29137" s="31"/>
      <c r="G29137" s="272" t="s">
        <v>1099</v>
      </c>
    </row>
    <row r="29138">
      <c r="B29138" s="31"/>
      <c r="G29138" s="272" t="s">
        <v>1099</v>
      </c>
    </row>
    <row r="29139">
      <c r="B29139" s="31"/>
      <c r="G29139" s="272" t="s">
        <v>1099</v>
      </c>
    </row>
    <row r="29140">
      <c r="B29140" s="31"/>
      <c r="G29140" s="272" t="s">
        <v>1099</v>
      </c>
    </row>
    <row r="29141">
      <c r="B29141" s="31"/>
      <c r="G29141" s="272" t="s">
        <v>1099</v>
      </c>
    </row>
    <row r="29142">
      <c r="B29142" s="31"/>
      <c r="G29142" s="272" t="s">
        <v>1099</v>
      </c>
    </row>
    <row r="29143">
      <c r="B29143" s="31"/>
      <c r="G29143" s="272" t="s">
        <v>1099</v>
      </c>
    </row>
    <row r="29144">
      <c r="B29144" s="31"/>
      <c r="G29144" s="272" t="s">
        <v>1099</v>
      </c>
    </row>
    <row r="29145">
      <c r="B29145" s="31"/>
      <c r="G29145" s="272" t="s">
        <v>1099</v>
      </c>
    </row>
    <row r="29146">
      <c r="B29146" s="31"/>
      <c r="G29146" s="272" t="s">
        <v>1099</v>
      </c>
    </row>
    <row r="29147">
      <c r="B29147" s="31"/>
      <c r="G29147" s="272" t="s">
        <v>1099</v>
      </c>
    </row>
    <row r="29148">
      <c r="B29148" s="31"/>
      <c r="G29148" s="272" t="s">
        <v>1099</v>
      </c>
    </row>
    <row r="29149">
      <c r="B29149" s="31"/>
      <c r="G29149" s="272" t="s">
        <v>1099</v>
      </c>
    </row>
    <row r="29150">
      <c r="B29150" s="31"/>
      <c r="G29150" s="272" t="s">
        <v>1099</v>
      </c>
    </row>
    <row r="29151">
      <c r="B29151" s="31"/>
      <c r="G29151" s="272" t="s">
        <v>1099</v>
      </c>
    </row>
    <row r="29152">
      <c r="B29152" s="31"/>
      <c r="G29152" s="272" t="s">
        <v>1099</v>
      </c>
    </row>
    <row r="29153">
      <c r="B29153" s="31"/>
      <c r="G29153" s="272" t="s">
        <v>1099</v>
      </c>
    </row>
    <row r="29154">
      <c r="B29154" s="31"/>
      <c r="G29154" s="272" t="s">
        <v>1099</v>
      </c>
    </row>
    <row r="29155">
      <c r="B29155" s="31"/>
      <c r="G29155" s="272" t="s">
        <v>1099</v>
      </c>
    </row>
    <row r="29156">
      <c r="B29156" s="31"/>
      <c r="G29156" s="272" t="s">
        <v>1099</v>
      </c>
    </row>
    <row r="29157">
      <c r="B29157" s="31"/>
      <c r="G29157" s="272" t="s">
        <v>1099</v>
      </c>
    </row>
    <row r="29158">
      <c r="B29158" s="31"/>
      <c r="G29158" s="272" t="s">
        <v>1099</v>
      </c>
    </row>
    <row r="29159">
      <c r="B29159" s="31"/>
      <c r="G29159" s="272" t="s">
        <v>1099</v>
      </c>
    </row>
    <row r="29160">
      <c r="B29160" s="31"/>
      <c r="G29160" s="272" t="s">
        <v>1099</v>
      </c>
    </row>
    <row r="29161">
      <c r="B29161" s="31"/>
      <c r="G29161" s="272" t="s">
        <v>1099</v>
      </c>
    </row>
    <row r="29162">
      <c r="B29162" s="31"/>
      <c r="G29162" s="272" t="s">
        <v>1099</v>
      </c>
    </row>
    <row r="29163">
      <c r="B29163" s="31"/>
      <c r="G29163" s="272" t="s">
        <v>1099</v>
      </c>
    </row>
    <row r="29164">
      <c r="B29164" s="31"/>
      <c r="G29164" s="272" t="s">
        <v>1099</v>
      </c>
    </row>
    <row r="29165">
      <c r="B29165" s="31"/>
      <c r="G29165" s="272" t="s">
        <v>1099</v>
      </c>
    </row>
    <row r="29166">
      <c r="B29166" s="31"/>
      <c r="G29166" s="272" t="s">
        <v>1099</v>
      </c>
    </row>
    <row r="29167">
      <c r="B29167" s="31"/>
      <c r="G29167" s="272" t="s">
        <v>1099</v>
      </c>
    </row>
    <row r="29168">
      <c r="B29168" s="31"/>
      <c r="G29168" s="272" t="s">
        <v>1099</v>
      </c>
    </row>
    <row r="29169">
      <c r="B29169" s="31"/>
      <c r="G29169" s="272" t="s">
        <v>1099</v>
      </c>
    </row>
    <row r="29170">
      <c r="B29170" s="31"/>
      <c r="G29170" s="272" t="s">
        <v>1099</v>
      </c>
    </row>
    <row r="29171">
      <c r="B29171" s="31"/>
      <c r="G29171" s="272" t="s">
        <v>1099</v>
      </c>
    </row>
    <row r="29172">
      <c r="B29172" s="31"/>
      <c r="G29172" s="272" t="s">
        <v>1099</v>
      </c>
    </row>
    <row r="29173">
      <c r="B29173" s="31"/>
      <c r="G29173" s="272" t="s">
        <v>1099</v>
      </c>
    </row>
    <row r="29174">
      <c r="B29174" s="31"/>
      <c r="G29174" s="272" t="s">
        <v>1099</v>
      </c>
    </row>
    <row r="29175">
      <c r="B29175" s="31"/>
      <c r="G29175" s="272" t="s">
        <v>1099</v>
      </c>
    </row>
    <row r="29176">
      <c r="B29176" s="31"/>
      <c r="G29176" s="272" t="s">
        <v>1099</v>
      </c>
    </row>
    <row r="29177">
      <c r="B29177" s="31"/>
      <c r="G29177" s="272" t="s">
        <v>1099</v>
      </c>
    </row>
    <row r="29178">
      <c r="B29178" s="31"/>
      <c r="G29178" s="272" t="s">
        <v>1099</v>
      </c>
    </row>
    <row r="29179">
      <c r="B29179" s="31"/>
      <c r="G29179" s="272" t="s">
        <v>1099</v>
      </c>
    </row>
    <row r="29180">
      <c r="B29180" s="31"/>
      <c r="G29180" s="272" t="s">
        <v>1099</v>
      </c>
    </row>
    <row r="29181">
      <c r="B29181" s="31"/>
      <c r="G29181" s="272" t="s">
        <v>1099</v>
      </c>
    </row>
    <row r="29182">
      <c r="B29182" s="31"/>
      <c r="G29182" s="272" t="s">
        <v>1099</v>
      </c>
    </row>
    <row r="29183">
      <c r="B29183" s="31"/>
      <c r="G29183" s="272" t="s">
        <v>1099</v>
      </c>
    </row>
    <row r="29184">
      <c r="B29184" s="31"/>
      <c r="G29184" s="272" t="s">
        <v>1099</v>
      </c>
    </row>
    <row r="29185">
      <c r="B29185" s="31"/>
      <c r="G29185" s="272" t="s">
        <v>1099</v>
      </c>
    </row>
    <row r="29186">
      <c r="B29186" s="31"/>
      <c r="G29186" s="272" t="s">
        <v>1099</v>
      </c>
    </row>
    <row r="29187">
      <c r="B29187" s="31"/>
      <c r="G29187" s="272" t="s">
        <v>1099</v>
      </c>
    </row>
    <row r="29188">
      <c r="B29188" s="31"/>
      <c r="G29188" s="272" t="s">
        <v>1099</v>
      </c>
    </row>
    <row r="29189">
      <c r="B29189" s="31"/>
      <c r="G29189" s="272" t="s">
        <v>1099</v>
      </c>
    </row>
    <row r="29190">
      <c r="B29190" s="31"/>
      <c r="G29190" s="272" t="s">
        <v>1099</v>
      </c>
    </row>
    <row r="29191">
      <c r="B29191" s="31"/>
      <c r="G29191" s="272" t="s">
        <v>1099</v>
      </c>
    </row>
    <row r="29192">
      <c r="B29192" s="31"/>
      <c r="G29192" s="272" t="s">
        <v>1099</v>
      </c>
    </row>
    <row r="29193">
      <c r="B29193" s="31"/>
      <c r="G29193" s="272" t="s">
        <v>1099</v>
      </c>
    </row>
    <row r="29194">
      <c r="B29194" s="31"/>
      <c r="G29194" s="272" t="s">
        <v>1099</v>
      </c>
    </row>
    <row r="29195">
      <c r="B29195" s="31"/>
      <c r="G29195" s="272" t="s">
        <v>1099</v>
      </c>
    </row>
    <row r="29196">
      <c r="B29196" s="31"/>
      <c r="G29196" s="272" t="s">
        <v>1099</v>
      </c>
    </row>
    <row r="29197">
      <c r="B29197" s="31"/>
      <c r="G29197" s="272" t="s">
        <v>1099</v>
      </c>
    </row>
    <row r="29198">
      <c r="B29198" s="31"/>
      <c r="G29198" s="272" t="s">
        <v>1099</v>
      </c>
    </row>
    <row r="29199">
      <c r="B29199" s="31"/>
      <c r="G29199" s="272" t="s">
        <v>1099</v>
      </c>
    </row>
    <row r="29200">
      <c r="B29200" s="31"/>
      <c r="G29200" s="272" t="s">
        <v>1099</v>
      </c>
    </row>
    <row r="29201">
      <c r="B29201" s="31"/>
      <c r="G29201" s="272" t="s">
        <v>1099</v>
      </c>
    </row>
    <row r="29202">
      <c r="B29202" s="31"/>
      <c r="G29202" s="272" t="s">
        <v>1099</v>
      </c>
    </row>
    <row r="29203">
      <c r="B29203" s="31"/>
      <c r="G29203" s="272" t="s">
        <v>1099</v>
      </c>
    </row>
    <row r="29204">
      <c r="B29204" s="31"/>
      <c r="G29204" s="272" t="s">
        <v>1099</v>
      </c>
    </row>
    <row r="29205">
      <c r="B29205" s="31"/>
      <c r="G29205" s="272" t="s">
        <v>1099</v>
      </c>
    </row>
    <row r="29206">
      <c r="B29206" s="31"/>
      <c r="G29206" s="272" t="s">
        <v>1099</v>
      </c>
    </row>
    <row r="29207">
      <c r="B29207" s="31"/>
      <c r="G29207" s="272" t="s">
        <v>1099</v>
      </c>
    </row>
    <row r="29208">
      <c r="B29208" s="31"/>
      <c r="G29208" s="272" t="s">
        <v>1099</v>
      </c>
    </row>
    <row r="29209">
      <c r="B29209" s="31"/>
      <c r="G29209" s="272" t="s">
        <v>1099</v>
      </c>
    </row>
    <row r="29210">
      <c r="B29210" s="31"/>
      <c r="G29210" s="272" t="s">
        <v>1099</v>
      </c>
    </row>
    <row r="29211">
      <c r="B29211" s="31"/>
      <c r="G29211" s="272" t="s">
        <v>1099</v>
      </c>
    </row>
    <row r="29212">
      <c r="B29212" s="31"/>
      <c r="G29212" s="272" t="s">
        <v>1099</v>
      </c>
    </row>
    <row r="29213">
      <c r="B29213" s="31"/>
      <c r="G29213" s="272" t="s">
        <v>1099</v>
      </c>
    </row>
    <row r="29214">
      <c r="B29214" s="31"/>
      <c r="G29214" s="272" t="s">
        <v>1099</v>
      </c>
    </row>
    <row r="29215">
      <c r="B29215" s="31"/>
      <c r="G29215" s="272" t="s">
        <v>1099</v>
      </c>
    </row>
    <row r="29216">
      <c r="B29216" s="31"/>
      <c r="G29216" s="272" t="s">
        <v>1099</v>
      </c>
    </row>
    <row r="29217">
      <c r="B29217" s="31"/>
      <c r="G29217" s="272" t="s">
        <v>1099</v>
      </c>
    </row>
    <row r="29218">
      <c r="B29218" s="31"/>
      <c r="G29218" s="272" t="s">
        <v>1099</v>
      </c>
    </row>
    <row r="29219">
      <c r="B29219" s="31"/>
      <c r="G29219" s="272" t="s">
        <v>1099</v>
      </c>
    </row>
    <row r="29220">
      <c r="B29220" s="31"/>
      <c r="G29220" s="272" t="s">
        <v>1099</v>
      </c>
    </row>
    <row r="29221">
      <c r="B29221" s="31"/>
      <c r="G29221" s="272" t="s">
        <v>1099</v>
      </c>
    </row>
    <row r="29222">
      <c r="B29222" s="31"/>
      <c r="G29222" s="272" t="s">
        <v>1099</v>
      </c>
    </row>
    <row r="29223">
      <c r="B29223" s="31"/>
      <c r="G29223" s="272" t="s">
        <v>1099</v>
      </c>
    </row>
    <row r="29224">
      <c r="B29224" s="31"/>
      <c r="G29224" s="272" t="s">
        <v>1099</v>
      </c>
    </row>
    <row r="29225">
      <c r="B29225" s="31"/>
      <c r="G29225" s="272" t="s">
        <v>1099</v>
      </c>
    </row>
    <row r="29226">
      <c r="B29226" s="31"/>
      <c r="G29226" s="272" t="s">
        <v>1099</v>
      </c>
    </row>
    <row r="29227">
      <c r="B29227" s="31"/>
      <c r="G29227" s="272" t="s">
        <v>1099</v>
      </c>
    </row>
    <row r="29228">
      <c r="B29228" s="31"/>
      <c r="G29228" s="272" t="s">
        <v>1099</v>
      </c>
    </row>
    <row r="29229">
      <c r="B29229" s="31"/>
      <c r="G29229" s="272" t="s">
        <v>1099</v>
      </c>
    </row>
    <row r="29230">
      <c r="B29230" s="31"/>
      <c r="G29230" s="272" t="s">
        <v>1099</v>
      </c>
    </row>
    <row r="29231">
      <c r="B29231" s="31"/>
      <c r="G29231" s="272" t="s">
        <v>1099</v>
      </c>
    </row>
    <row r="29232">
      <c r="B29232" s="31"/>
      <c r="G29232" s="272" t="s">
        <v>1099</v>
      </c>
    </row>
    <row r="29233">
      <c r="B29233" s="31"/>
      <c r="G29233" s="272" t="s">
        <v>1099</v>
      </c>
    </row>
    <row r="29234">
      <c r="B29234" s="31"/>
      <c r="G29234" s="272" t="s">
        <v>1099</v>
      </c>
    </row>
    <row r="29235">
      <c r="B29235" s="31"/>
      <c r="G29235" s="272" t="s">
        <v>1099</v>
      </c>
    </row>
    <row r="29236">
      <c r="B29236" s="31"/>
      <c r="G29236" s="272" t="s">
        <v>1099</v>
      </c>
    </row>
    <row r="29237">
      <c r="B29237" s="31"/>
      <c r="G29237" s="272" t="s">
        <v>1099</v>
      </c>
    </row>
    <row r="29238">
      <c r="B29238" s="31"/>
      <c r="G29238" s="272" t="s">
        <v>1099</v>
      </c>
    </row>
    <row r="29239">
      <c r="B29239" s="31"/>
      <c r="G29239" s="272" t="s">
        <v>1099</v>
      </c>
    </row>
    <row r="29240">
      <c r="B29240" s="31"/>
      <c r="G29240" s="272" t="s">
        <v>1099</v>
      </c>
    </row>
    <row r="29241">
      <c r="B29241" s="31"/>
      <c r="G29241" s="272" t="s">
        <v>1099</v>
      </c>
    </row>
    <row r="29242">
      <c r="B29242" s="31"/>
      <c r="G29242" s="272" t="s">
        <v>1099</v>
      </c>
    </row>
    <row r="29243">
      <c r="B29243" s="31"/>
      <c r="G29243" s="272" t="s">
        <v>1099</v>
      </c>
    </row>
    <row r="29244">
      <c r="B29244" s="31"/>
      <c r="G29244" s="272" t="s">
        <v>1099</v>
      </c>
    </row>
    <row r="29245">
      <c r="B29245" s="31"/>
      <c r="G29245" s="272" t="s">
        <v>1099</v>
      </c>
    </row>
    <row r="29246">
      <c r="B29246" s="31"/>
      <c r="G29246" s="272" t="s">
        <v>1099</v>
      </c>
    </row>
    <row r="29247">
      <c r="B29247" s="31"/>
      <c r="G29247" s="272" t="s">
        <v>1099</v>
      </c>
    </row>
    <row r="29248">
      <c r="B29248" s="31"/>
      <c r="G29248" s="272" t="s">
        <v>1099</v>
      </c>
    </row>
    <row r="29249">
      <c r="B29249" s="31"/>
      <c r="G29249" s="272" t="s">
        <v>1099</v>
      </c>
    </row>
    <row r="29250">
      <c r="B29250" s="31"/>
      <c r="G29250" s="272" t="s">
        <v>1099</v>
      </c>
    </row>
    <row r="29251">
      <c r="B29251" s="31"/>
      <c r="G29251" s="272" t="s">
        <v>1099</v>
      </c>
    </row>
    <row r="29252">
      <c r="B29252" s="31"/>
      <c r="G29252" s="272" t="s">
        <v>1099</v>
      </c>
    </row>
    <row r="29253">
      <c r="B29253" s="31"/>
      <c r="G29253" s="272" t="s">
        <v>1099</v>
      </c>
    </row>
    <row r="29254">
      <c r="B29254" s="31"/>
      <c r="G29254" s="272" t="s">
        <v>1099</v>
      </c>
    </row>
    <row r="29255">
      <c r="B29255" s="31"/>
      <c r="G29255" s="272" t="s">
        <v>1099</v>
      </c>
    </row>
    <row r="29256">
      <c r="B29256" s="31"/>
      <c r="G29256" s="272" t="s">
        <v>1099</v>
      </c>
    </row>
    <row r="29257">
      <c r="B29257" s="31"/>
      <c r="G29257" s="272" t="s">
        <v>1099</v>
      </c>
    </row>
    <row r="29258">
      <c r="B29258" s="31"/>
      <c r="G29258" s="272" t="s">
        <v>1099</v>
      </c>
    </row>
    <row r="29259">
      <c r="B29259" s="31"/>
      <c r="G29259" s="272" t="s">
        <v>1099</v>
      </c>
    </row>
    <row r="29260">
      <c r="B29260" s="31"/>
      <c r="G29260" s="272" t="s">
        <v>1099</v>
      </c>
    </row>
    <row r="29261">
      <c r="B29261" s="31"/>
      <c r="G29261" s="272" t="s">
        <v>1099</v>
      </c>
    </row>
    <row r="29262">
      <c r="B29262" s="31"/>
      <c r="G29262" s="272" t="s">
        <v>1099</v>
      </c>
    </row>
    <row r="29263">
      <c r="B29263" s="31"/>
      <c r="G29263" s="272" t="s">
        <v>1099</v>
      </c>
    </row>
    <row r="29264">
      <c r="B29264" s="31"/>
      <c r="G29264" s="272" t="s">
        <v>1099</v>
      </c>
    </row>
    <row r="29265">
      <c r="B29265" s="31"/>
      <c r="G29265" s="272" t="s">
        <v>1099</v>
      </c>
    </row>
    <row r="29266">
      <c r="B29266" s="31"/>
      <c r="G29266" s="272" t="s">
        <v>1099</v>
      </c>
    </row>
    <row r="29267">
      <c r="B29267" s="31"/>
      <c r="G29267" s="272" t="s">
        <v>1099</v>
      </c>
    </row>
    <row r="29268">
      <c r="B29268" s="31"/>
      <c r="G29268" s="272" t="s">
        <v>1099</v>
      </c>
    </row>
    <row r="29269">
      <c r="B29269" s="31"/>
      <c r="G29269" s="272" t="s">
        <v>1099</v>
      </c>
    </row>
    <row r="29270">
      <c r="B29270" s="31"/>
      <c r="G29270" s="272" t="s">
        <v>1099</v>
      </c>
    </row>
    <row r="29271">
      <c r="B29271" s="31"/>
      <c r="G29271" s="272" t="s">
        <v>1099</v>
      </c>
    </row>
    <row r="29272">
      <c r="B29272" s="31"/>
      <c r="G29272" s="272" t="s">
        <v>1099</v>
      </c>
    </row>
    <row r="29273">
      <c r="B29273" s="31"/>
      <c r="G29273" s="272" t="s">
        <v>1099</v>
      </c>
    </row>
    <row r="29274">
      <c r="B29274" s="31"/>
      <c r="G29274" s="272" t="s">
        <v>1099</v>
      </c>
    </row>
    <row r="29275">
      <c r="B29275" s="31"/>
      <c r="G29275" s="272" t="s">
        <v>1099</v>
      </c>
    </row>
    <row r="29276">
      <c r="B29276" s="31"/>
      <c r="G29276" s="272" t="s">
        <v>1099</v>
      </c>
    </row>
    <row r="29277">
      <c r="B29277" s="31"/>
      <c r="G29277" s="272" t="s">
        <v>1099</v>
      </c>
    </row>
    <row r="29278">
      <c r="B29278" s="31"/>
      <c r="G29278" s="272" t="s">
        <v>1099</v>
      </c>
    </row>
    <row r="29279">
      <c r="B29279" s="31"/>
      <c r="G29279" s="272" t="s">
        <v>1099</v>
      </c>
    </row>
    <row r="29280">
      <c r="B29280" s="31"/>
      <c r="G29280" s="272" t="s">
        <v>1099</v>
      </c>
    </row>
    <row r="29281">
      <c r="B29281" s="31"/>
      <c r="G29281" s="272" t="s">
        <v>1099</v>
      </c>
    </row>
    <row r="29282">
      <c r="B29282" s="31"/>
      <c r="G29282" s="272" t="s">
        <v>1099</v>
      </c>
    </row>
    <row r="29283">
      <c r="B29283" s="31"/>
      <c r="G29283" s="272" t="s">
        <v>1099</v>
      </c>
    </row>
    <row r="29284">
      <c r="B29284" s="31"/>
      <c r="G29284" s="272" t="s">
        <v>1099</v>
      </c>
    </row>
    <row r="29285">
      <c r="B29285" s="31"/>
      <c r="G29285" s="272" t="s">
        <v>1099</v>
      </c>
    </row>
    <row r="29286">
      <c r="B29286" s="31"/>
      <c r="G29286" s="272" t="s">
        <v>1099</v>
      </c>
    </row>
    <row r="29287">
      <c r="B29287" s="31"/>
      <c r="G29287" s="272" t="s">
        <v>1099</v>
      </c>
    </row>
    <row r="29288">
      <c r="B29288" s="31"/>
      <c r="G29288" s="272" t="s">
        <v>1099</v>
      </c>
    </row>
    <row r="29289">
      <c r="B29289" s="31"/>
      <c r="G29289" s="272" t="s">
        <v>1099</v>
      </c>
    </row>
    <row r="29290">
      <c r="B29290" s="31"/>
      <c r="G29290" s="272" t="s">
        <v>1099</v>
      </c>
    </row>
    <row r="29291">
      <c r="B29291" s="31"/>
      <c r="G29291" s="272" t="s">
        <v>1099</v>
      </c>
    </row>
    <row r="29292">
      <c r="B29292" s="31"/>
      <c r="G29292" s="272" t="s">
        <v>1099</v>
      </c>
    </row>
    <row r="29293">
      <c r="B29293" s="31"/>
      <c r="G29293" s="272" t="s">
        <v>1099</v>
      </c>
    </row>
    <row r="29294">
      <c r="B29294" s="31"/>
      <c r="G29294" s="272" t="s">
        <v>1099</v>
      </c>
    </row>
    <row r="29295">
      <c r="B29295" s="31"/>
      <c r="G29295" s="272" t="s">
        <v>1099</v>
      </c>
    </row>
    <row r="29296">
      <c r="B29296" s="31"/>
      <c r="G29296" s="272" t="s">
        <v>1099</v>
      </c>
    </row>
    <row r="29297">
      <c r="B29297" s="31"/>
      <c r="G29297" s="272" t="s">
        <v>1099</v>
      </c>
    </row>
    <row r="29298">
      <c r="B29298" s="31"/>
      <c r="G29298" s="272" t="s">
        <v>1099</v>
      </c>
    </row>
    <row r="29299">
      <c r="B29299" s="31"/>
      <c r="G29299" s="272" t="s">
        <v>1099</v>
      </c>
    </row>
    <row r="29300">
      <c r="B29300" s="31"/>
      <c r="G29300" s="272" t="s">
        <v>1099</v>
      </c>
    </row>
    <row r="29301">
      <c r="B29301" s="31"/>
      <c r="G29301" s="272" t="s">
        <v>1099</v>
      </c>
    </row>
    <row r="29302">
      <c r="B29302" s="31"/>
      <c r="G29302" s="272" t="s">
        <v>1099</v>
      </c>
    </row>
    <row r="29303">
      <c r="B29303" s="31"/>
      <c r="G29303" s="272" t="s">
        <v>1099</v>
      </c>
    </row>
    <row r="29304">
      <c r="B29304" s="31"/>
      <c r="G29304" s="272" t="s">
        <v>1099</v>
      </c>
    </row>
    <row r="29305">
      <c r="B29305" s="31"/>
      <c r="G29305" s="272" t="s">
        <v>1099</v>
      </c>
    </row>
    <row r="29306">
      <c r="B29306" s="31"/>
      <c r="G29306" s="272" t="s">
        <v>1099</v>
      </c>
    </row>
    <row r="29307">
      <c r="B29307" s="31"/>
      <c r="G29307" s="272" t="s">
        <v>1099</v>
      </c>
    </row>
    <row r="29308">
      <c r="B29308" s="31"/>
      <c r="G29308" s="272" t="s">
        <v>1099</v>
      </c>
    </row>
    <row r="29309">
      <c r="B29309" s="31"/>
      <c r="G29309" s="272" t="s">
        <v>1099</v>
      </c>
    </row>
    <row r="29310">
      <c r="B29310" s="31"/>
      <c r="G29310" s="272" t="s">
        <v>1099</v>
      </c>
    </row>
    <row r="29311">
      <c r="B29311" s="31"/>
      <c r="G29311" s="272" t="s">
        <v>1099</v>
      </c>
    </row>
    <row r="29312">
      <c r="B29312" s="31"/>
      <c r="G29312" s="272" t="s">
        <v>1099</v>
      </c>
    </row>
    <row r="29313">
      <c r="B29313" s="31"/>
      <c r="G29313" s="272" t="s">
        <v>1099</v>
      </c>
    </row>
    <row r="29314">
      <c r="B29314" s="31"/>
      <c r="G29314" s="272" t="s">
        <v>1099</v>
      </c>
    </row>
    <row r="29315">
      <c r="B29315" s="31"/>
      <c r="G29315" s="272" t="s">
        <v>1099</v>
      </c>
    </row>
    <row r="29316">
      <c r="B29316" s="31"/>
      <c r="G29316" s="272" t="s">
        <v>1099</v>
      </c>
    </row>
    <row r="29317">
      <c r="B29317" s="31"/>
      <c r="G29317" s="272" t="s">
        <v>1099</v>
      </c>
    </row>
    <row r="29318">
      <c r="B29318" s="31"/>
      <c r="G29318" s="272" t="s">
        <v>1099</v>
      </c>
    </row>
    <row r="29319">
      <c r="B29319" s="31"/>
      <c r="G29319" s="272" t="s">
        <v>1099</v>
      </c>
    </row>
    <row r="29320">
      <c r="B29320" s="31"/>
      <c r="G29320" s="272" t="s">
        <v>1099</v>
      </c>
    </row>
    <row r="29321">
      <c r="B29321" s="31"/>
      <c r="G29321" s="272" t="s">
        <v>1099</v>
      </c>
    </row>
    <row r="29322">
      <c r="B29322" s="31"/>
      <c r="G29322" s="272" t="s">
        <v>1099</v>
      </c>
    </row>
    <row r="29323">
      <c r="B29323" s="31"/>
      <c r="G29323" s="272" t="s">
        <v>1099</v>
      </c>
    </row>
    <row r="29324">
      <c r="B29324" s="31"/>
      <c r="G29324" s="272" t="s">
        <v>1099</v>
      </c>
    </row>
    <row r="29325">
      <c r="B29325" s="31"/>
      <c r="G29325" s="272" t="s">
        <v>1099</v>
      </c>
    </row>
    <row r="29326">
      <c r="B29326" s="31"/>
      <c r="G29326" s="272" t="s">
        <v>1099</v>
      </c>
    </row>
    <row r="29327">
      <c r="B29327" s="31"/>
      <c r="G29327" s="272" t="s">
        <v>1099</v>
      </c>
    </row>
    <row r="29328">
      <c r="B29328" s="31"/>
      <c r="G29328" s="272" t="s">
        <v>1099</v>
      </c>
    </row>
    <row r="29329">
      <c r="B29329" s="31"/>
      <c r="G29329" s="272" t="s">
        <v>1099</v>
      </c>
    </row>
    <row r="29330">
      <c r="B29330" s="31"/>
      <c r="G29330" s="272" t="s">
        <v>1099</v>
      </c>
    </row>
    <row r="29331">
      <c r="B29331" s="31"/>
      <c r="G29331" s="272" t="s">
        <v>1099</v>
      </c>
    </row>
    <row r="29332">
      <c r="B29332" s="31"/>
      <c r="G29332" s="272" t="s">
        <v>1099</v>
      </c>
    </row>
    <row r="29333">
      <c r="B29333" s="31"/>
      <c r="G29333" s="272" t="s">
        <v>1099</v>
      </c>
    </row>
    <row r="29334">
      <c r="B29334" s="31"/>
      <c r="G29334" s="272" t="s">
        <v>1099</v>
      </c>
    </row>
    <row r="29335">
      <c r="B29335" s="31"/>
      <c r="G29335" s="272" t="s">
        <v>1099</v>
      </c>
    </row>
    <row r="29336">
      <c r="B29336" s="31"/>
      <c r="G29336" s="272" t="s">
        <v>1099</v>
      </c>
    </row>
    <row r="29337">
      <c r="B29337" s="31"/>
      <c r="G29337" s="272" t="s">
        <v>1099</v>
      </c>
    </row>
    <row r="29338">
      <c r="B29338" s="31"/>
      <c r="G29338" s="272" t="s">
        <v>1099</v>
      </c>
    </row>
    <row r="29339">
      <c r="B29339" s="31"/>
      <c r="G29339" s="272" t="s">
        <v>1099</v>
      </c>
    </row>
    <row r="29340">
      <c r="B29340" s="31"/>
      <c r="G29340" s="272" t="s">
        <v>1099</v>
      </c>
    </row>
    <row r="29341">
      <c r="B29341" s="31"/>
      <c r="G29341" s="272" t="s">
        <v>1099</v>
      </c>
    </row>
    <row r="29342">
      <c r="B29342" s="31"/>
      <c r="G29342" s="272" t="s">
        <v>1099</v>
      </c>
    </row>
    <row r="29343">
      <c r="B29343" s="31"/>
      <c r="G29343" s="272" t="s">
        <v>1099</v>
      </c>
    </row>
    <row r="29344">
      <c r="B29344" s="31"/>
      <c r="G29344" s="272" t="s">
        <v>1099</v>
      </c>
    </row>
    <row r="29345">
      <c r="B29345" s="31"/>
      <c r="G29345" s="272" t="s">
        <v>1099</v>
      </c>
    </row>
    <row r="29346">
      <c r="B29346" s="31"/>
      <c r="G29346" s="272" t="s">
        <v>1099</v>
      </c>
    </row>
    <row r="29347">
      <c r="B29347" s="31"/>
      <c r="G29347" s="272" t="s">
        <v>1099</v>
      </c>
    </row>
    <row r="29348">
      <c r="B29348" s="31"/>
      <c r="G29348" s="272" t="s">
        <v>1099</v>
      </c>
    </row>
    <row r="29349">
      <c r="B29349" s="31"/>
      <c r="G29349" s="272" t="s">
        <v>1099</v>
      </c>
    </row>
    <row r="29350">
      <c r="B29350" s="31"/>
      <c r="G29350" s="272" t="s">
        <v>1099</v>
      </c>
    </row>
    <row r="29351">
      <c r="B29351" s="31"/>
      <c r="G29351" s="272" t="s">
        <v>1099</v>
      </c>
    </row>
    <row r="29352">
      <c r="B29352" s="31"/>
      <c r="G29352" s="272" t="s">
        <v>1099</v>
      </c>
    </row>
    <row r="29353">
      <c r="B29353" s="31"/>
      <c r="G29353" s="272" t="s">
        <v>1099</v>
      </c>
    </row>
    <row r="29354">
      <c r="B29354" s="31"/>
      <c r="G29354" s="272" t="s">
        <v>1099</v>
      </c>
    </row>
    <row r="29355">
      <c r="B29355" s="31"/>
      <c r="G29355" s="272" t="s">
        <v>1099</v>
      </c>
    </row>
    <row r="29356">
      <c r="B29356" s="31"/>
      <c r="G29356" s="272" t="s">
        <v>1099</v>
      </c>
    </row>
    <row r="29357">
      <c r="B29357" s="31"/>
      <c r="G29357" s="272" t="s">
        <v>1099</v>
      </c>
    </row>
    <row r="29358">
      <c r="B29358" s="31"/>
      <c r="G29358" s="272" t="s">
        <v>1099</v>
      </c>
    </row>
    <row r="29359">
      <c r="B29359" s="31"/>
      <c r="G29359" s="272" t="s">
        <v>1099</v>
      </c>
    </row>
    <row r="29360">
      <c r="B29360" s="31"/>
      <c r="G29360" s="272" t="s">
        <v>1099</v>
      </c>
    </row>
    <row r="29361">
      <c r="B29361" s="31"/>
      <c r="G29361" s="272" t="s">
        <v>1099</v>
      </c>
    </row>
    <row r="29362">
      <c r="B29362" s="31"/>
      <c r="G29362" s="272" t="s">
        <v>1099</v>
      </c>
    </row>
    <row r="29363">
      <c r="B29363" s="31"/>
      <c r="G29363" s="272" t="s">
        <v>1099</v>
      </c>
    </row>
    <row r="29364">
      <c r="B29364" s="31"/>
      <c r="G29364" s="272" t="s">
        <v>1099</v>
      </c>
    </row>
    <row r="29365">
      <c r="B29365" s="31"/>
      <c r="G29365" s="272" t="s">
        <v>1099</v>
      </c>
    </row>
    <row r="29366">
      <c r="B29366" s="31"/>
      <c r="G29366" s="272" t="s">
        <v>1099</v>
      </c>
    </row>
    <row r="29367">
      <c r="B29367" s="31"/>
      <c r="G29367" s="272" t="s">
        <v>1099</v>
      </c>
    </row>
    <row r="29368">
      <c r="B29368" s="31"/>
      <c r="G29368" s="272" t="s">
        <v>1099</v>
      </c>
    </row>
    <row r="29369">
      <c r="B29369" s="31"/>
      <c r="G29369" s="272" t="s">
        <v>1099</v>
      </c>
    </row>
    <row r="29370">
      <c r="B29370" s="31"/>
      <c r="G29370" s="272" t="s">
        <v>1099</v>
      </c>
    </row>
    <row r="29371">
      <c r="B29371" s="31"/>
      <c r="G29371" s="272" t="s">
        <v>1099</v>
      </c>
    </row>
    <row r="29372">
      <c r="B29372" s="31"/>
      <c r="G29372" s="272" t="s">
        <v>1099</v>
      </c>
    </row>
    <row r="29373">
      <c r="B29373" s="31"/>
      <c r="G29373" s="272" t="s">
        <v>1099</v>
      </c>
    </row>
    <row r="29374">
      <c r="B29374" s="31"/>
      <c r="G29374" s="272" t="s">
        <v>1099</v>
      </c>
    </row>
    <row r="29375">
      <c r="B29375" s="31"/>
      <c r="G29375" s="272" t="s">
        <v>1099</v>
      </c>
    </row>
    <row r="29376">
      <c r="B29376" s="31"/>
      <c r="G29376" s="272" t="s">
        <v>1099</v>
      </c>
    </row>
    <row r="29377">
      <c r="B29377" s="31"/>
      <c r="G29377" s="272" t="s">
        <v>1099</v>
      </c>
    </row>
    <row r="29378">
      <c r="B29378" s="31"/>
      <c r="G29378" s="272" t="s">
        <v>1099</v>
      </c>
    </row>
    <row r="29379">
      <c r="B29379" s="31"/>
      <c r="G29379" s="272" t="s">
        <v>1099</v>
      </c>
    </row>
    <row r="29380">
      <c r="B29380" s="31"/>
      <c r="G29380" s="272" t="s">
        <v>1099</v>
      </c>
    </row>
    <row r="29381">
      <c r="B29381" s="31"/>
      <c r="G29381" s="272" t="s">
        <v>1099</v>
      </c>
    </row>
    <row r="29382">
      <c r="B29382" s="31"/>
      <c r="G29382" s="272" t="s">
        <v>1099</v>
      </c>
    </row>
    <row r="29383">
      <c r="B29383" s="31"/>
      <c r="G29383" s="272" t="s">
        <v>1099</v>
      </c>
    </row>
    <row r="29384">
      <c r="B29384" s="31"/>
      <c r="G29384" s="272" t="s">
        <v>1099</v>
      </c>
    </row>
    <row r="29385">
      <c r="B29385" s="31"/>
      <c r="G29385" s="272" t="s">
        <v>1099</v>
      </c>
    </row>
    <row r="29386">
      <c r="B29386" s="31"/>
      <c r="G29386" s="272" t="s">
        <v>1099</v>
      </c>
    </row>
    <row r="29387">
      <c r="B29387" s="31"/>
      <c r="G29387" s="272" t="s">
        <v>1099</v>
      </c>
    </row>
    <row r="29388">
      <c r="B29388" s="31"/>
      <c r="G29388" s="272" t="s">
        <v>1099</v>
      </c>
    </row>
    <row r="29389">
      <c r="B29389" s="31"/>
      <c r="G29389" s="272" t="s">
        <v>1099</v>
      </c>
    </row>
    <row r="29390">
      <c r="B29390" s="31"/>
      <c r="G29390" s="272" t="s">
        <v>1099</v>
      </c>
    </row>
    <row r="29391">
      <c r="B29391" s="31"/>
      <c r="G29391" s="272" t="s">
        <v>1099</v>
      </c>
    </row>
    <row r="29392">
      <c r="B29392" s="31"/>
      <c r="G29392" s="272" t="s">
        <v>1099</v>
      </c>
    </row>
    <row r="29393">
      <c r="B29393" s="31"/>
      <c r="G29393" s="272" t="s">
        <v>1099</v>
      </c>
    </row>
    <row r="29394">
      <c r="B29394" s="31"/>
      <c r="G29394" s="272" t="s">
        <v>1099</v>
      </c>
    </row>
    <row r="29395">
      <c r="B29395" s="31"/>
      <c r="G29395" s="272" t="s">
        <v>1099</v>
      </c>
    </row>
    <row r="29396">
      <c r="B29396" s="31"/>
      <c r="G29396" s="272" t="s">
        <v>1099</v>
      </c>
    </row>
    <row r="29397">
      <c r="B29397" s="31"/>
      <c r="G29397" s="272" t="s">
        <v>1099</v>
      </c>
    </row>
    <row r="29398">
      <c r="B29398" s="31"/>
      <c r="G29398" s="272" t="s">
        <v>1099</v>
      </c>
    </row>
    <row r="29399">
      <c r="B29399" s="31"/>
      <c r="G29399" s="272" t="s">
        <v>1099</v>
      </c>
    </row>
    <row r="29400">
      <c r="B29400" s="31"/>
      <c r="G29400" s="272" t="s">
        <v>1099</v>
      </c>
    </row>
    <row r="29401">
      <c r="B29401" s="31"/>
      <c r="G29401" s="272" t="s">
        <v>1099</v>
      </c>
    </row>
    <row r="29402">
      <c r="B29402" s="31"/>
      <c r="G29402" s="272" t="s">
        <v>1099</v>
      </c>
    </row>
    <row r="29403">
      <c r="B29403" s="31"/>
      <c r="G29403" s="272" t="s">
        <v>1099</v>
      </c>
    </row>
    <row r="29404">
      <c r="B29404" s="31"/>
      <c r="G29404" s="272" t="s">
        <v>1099</v>
      </c>
    </row>
    <row r="29405">
      <c r="B29405" s="31"/>
      <c r="G29405" s="272" t="s">
        <v>1099</v>
      </c>
    </row>
    <row r="29406">
      <c r="B29406" s="31"/>
      <c r="G29406" s="272" t="s">
        <v>1099</v>
      </c>
    </row>
    <row r="29407">
      <c r="B29407" s="31"/>
      <c r="G29407" s="272" t="s">
        <v>1099</v>
      </c>
    </row>
    <row r="29408">
      <c r="B29408" s="31"/>
      <c r="G29408" s="272" t="s">
        <v>1099</v>
      </c>
    </row>
    <row r="29409">
      <c r="B29409" s="31"/>
      <c r="G29409" s="272" t="s">
        <v>1099</v>
      </c>
    </row>
    <row r="29410">
      <c r="B29410" s="31"/>
      <c r="G29410" s="272" t="s">
        <v>1099</v>
      </c>
    </row>
    <row r="29411">
      <c r="B29411" s="31"/>
      <c r="G29411" s="272" t="s">
        <v>1099</v>
      </c>
    </row>
    <row r="29412">
      <c r="B29412" s="31"/>
      <c r="G29412" s="272" t="s">
        <v>1099</v>
      </c>
    </row>
    <row r="29413">
      <c r="B29413" s="31"/>
      <c r="G29413" s="272" t="s">
        <v>1099</v>
      </c>
    </row>
    <row r="29414">
      <c r="B29414" s="31"/>
      <c r="G29414" s="272" t="s">
        <v>1099</v>
      </c>
    </row>
    <row r="29415">
      <c r="B29415" s="31"/>
      <c r="G29415" s="272" t="s">
        <v>1099</v>
      </c>
    </row>
    <row r="29416">
      <c r="B29416" s="31"/>
      <c r="G29416" s="272" t="s">
        <v>1099</v>
      </c>
    </row>
    <row r="29417">
      <c r="B29417" s="31"/>
      <c r="G29417" s="272" t="s">
        <v>1099</v>
      </c>
    </row>
    <row r="29418">
      <c r="B29418" s="31"/>
      <c r="G29418" s="272" t="s">
        <v>1099</v>
      </c>
    </row>
    <row r="29419">
      <c r="B29419" s="31"/>
      <c r="G29419" s="272" t="s">
        <v>1099</v>
      </c>
    </row>
    <row r="29420">
      <c r="B29420" s="31"/>
      <c r="G29420" s="272" t="s">
        <v>1099</v>
      </c>
    </row>
    <row r="29421">
      <c r="B29421" s="31"/>
      <c r="G29421" s="272" t="s">
        <v>1099</v>
      </c>
    </row>
    <row r="29422">
      <c r="B29422" s="31"/>
      <c r="G29422" s="272" t="s">
        <v>1099</v>
      </c>
    </row>
    <row r="29423">
      <c r="B29423" s="31"/>
      <c r="G29423" s="272" t="s">
        <v>1099</v>
      </c>
    </row>
    <row r="29424">
      <c r="B29424" s="31"/>
      <c r="G29424" s="272" t="s">
        <v>1099</v>
      </c>
    </row>
    <row r="29425">
      <c r="B29425" s="31"/>
      <c r="G29425" s="272" t="s">
        <v>1099</v>
      </c>
    </row>
    <row r="29426">
      <c r="B29426" s="31"/>
      <c r="G29426" s="272" t="s">
        <v>1099</v>
      </c>
    </row>
    <row r="29427">
      <c r="B29427" s="31"/>
      <c r="G29427" s="272" t="s">
        <v>1099</v>
      </c>
    </row>
    <row r="29428">
      <c r="B29428" s="31"/>
      <c r="G29428" s="272" t="s">
        <v>1099</v>
      </c>
    </row>
    <row r="29429">
      <c r="B29429" s="31"/>
      <c r="G29429" s="272" t="s">
        <v>1099</v>
      </c>
    </row>
    <row r="29430">
      <c r="B29430" s="31"/>
      <c r="G29430" s="272" t="s">
        <v>1099</v>
      </c>
    </row>
    <row r="29431">
      <c r="B29431" s="31"/>
      <c r="G29431" s="272" t="s">
        <v>1099</v>
      </c>
    </row>
    <row r="29432">
      <c r="B29432" s="31"/>
      <c r="G29432" s="272" t="s">
        <v>1099</v>
      </c>
    </row>
    <row r="29433">
      <c r="B29433" s="31"/>
      <c r="G29433" s="272" t="s">
        <v>1099</v>
      </c>
    </row>
    <row r="29434">
      <c r="B29434" s="31"/>
      <c r="G29434" s="272" t="s">
        <v>1099</v>
      </c>
    </row>
    <row r="29435">
      <c r="B29435" s="31"/>
      <c r="G29435" s="272" t="s">
        <v>1099</v>
      </c>
    </row>
    <row r="29436">
      <c r="B29436" s="31"/>
      <c r="G29436" s="272" t="s">
        <v>1099</v>
      </c>
    </row>
    <row r="29437">
      <c r="B29437" s="31"/>
      <c r="G29437" s="272" t="s">
        <v>1099</v>
      </c>
    </row>
    <row r="29438">
      <c r="B29438" s="31"/>
      <c r="G29438" s="272" t="s">
        <v>1099</v>
      </c>
    </row>
    <row r="29439">
      <c r="B29439" s="31"/>
      <c r="G29439" s="272" t="s">
        <v>1099</v>
      </c>
    </row>
    <row r="29440">
      <c r="B29440" s="31"/>
      <c r="G29440" s="272" t="s">
        <v>1099</v>
      </c>
    </row>
    <row r="29441">
      <c r="B29441" s="31"/>
      <c r="G29441" s="272" t="s">
        <v>1099</v>
      </c>
    </row>
    <row r="29442">
      <c r="B29442" s="31"/>
      <c r="G29442" s="272" t="s">
        <v>1099</v>
      </c>
    </row>
    <row r="29443">
      <c r="B29443" s="31"/>
      <c r="G29443" s="272" t="s">
        <v>1099</v>
      </c>
    </row>
    <row r="29444">
      <c r="B29444" s="31"/>
      <c r="G29444" s="272" t="s">
        <v>1099</v>
      </c>
    </row>
    <row r="29445">
      <c r="B29445" s="31"/>
      <c r="G29445" s="272" t="s">
        <v>1099</v>
      </c>
    </row>
    <row r="29446">
      <c r="B29446" s="31"/>
      <c r="G29446" s="272" t="s">
        <v>1099</v>
      </c>
    </row>
    <row r="29447">
      <c r="B29447" s="31"/>
      <c r="G29447" s="272" t="s">
        <v>1099</v>
      </c>
    </row>
    <row r="29448">
      <c r="B29448" s="31"/>
      <c r="G29448" s="272" t="s">
        <v>1099</v>
      </c>
    </row>
    <row r="29449">
      <c r="B29449" s="31"/>
      <c r="G29449" s="272" t="s">
        <v>1099</v>
      </c>
    </row>
    <row r="29450">
      <c r="B29450" s="31"/>
      <c r="G29450" s="272" t="s">
        <v>1099</v>
      </c>
    </row>
    <row r="29451">
      <c r="B29451" s="31"/>
      <c r="G29451" s="272" t="s">
        <v>1099</v>
      </c>
    </row>
    <row r="29452">
      <c r="B29452" s="31"/>
      <c r="G29452" s="272" t="s">
        <v>1099</v>
      </c>
    </row>
    <row r="29453">
      <c r="B29453" s="31"/>
      <c r="G29453" s="272" t="s">
        <v>1099</v>
      </c>
    </row>
    <row r="29454">
      <c r="B29454" s="31"/>
      <c r="G29454" s="272" t="s">
        <v>1099</v>
      </c>
    </row>
    <row r="29455">
      <c r="B29455" s="31"/>
      <c r="G29455" s="272" t="s">
        <v>1099</v>
      </c>
    </row>
    <row r="29456">
      <c r="B29456" s="31"/>
      <c r="G29456" s="272" t="s">
        <v>1099</v>
      </c>
    </row>
    <row r="29457">
      <c r="B29457" s="31"/>
      <c r="G29457" s="272" t="s">
        <v>1099</v>
      </c>
    </row>
    <row r="29458">
      <c r="B29458" s="31"/>
      <c r="G29458" s="272" t="s">
        <v>1099</v>
      </c>
    </row>
    <row r="29459">
      <c r="B29459" s="31"/>
      <c r="G29459" s="272" t="s">
        <v>1099</v>
      </c>
    </row>
    <row r="29460">
      <c r="B29460" s="31"/>
      <c r="G29460" s="272" t="s">
        <v>1099</v>
      </c>
    </row>
    <row r="29461">
      <c r="B29461" s="31"/>
      <c r="G29461" s="272" t="s">
        <v>1099</v>
      </c>
    </row>
    <row r="29462">
      <c r="B29462" s="31"/>
      <c r="G29462" s="272" t="s">
        <v>1099</v>
      </c>
    </row>
    <row r="29463">
      <c r="B29463" s="31"/>
      <c r="G29463" s="272" t="s">
        <v>1099</v>
      </c>
    </row>
    <row r="29464">
      <c r="B29464" s="31"/>
      <c r="G29464" s="272" t="s">
        <v>1099</v>
      </c>
    </row>
    <row r="29465">
      <c r="B29465" s="31"/>
      <c r="G29465" s="272" t="s">
        <v>1099</v>
      </c>
    </row>
    <row r="29466">
      <c r="B29466" s="31"/>
      <c r="G29466" s="272" t="s">
        <v>1099</v>
      </c>
    </row>
    <row r="29467">
      <c r="B29467" s="31"/>
      <c r="G29467" s="272" t="s">
        <v>1099</v>
      </c>
    </row>
    <row r="29468">
      <c r="B29468" s="31"/>
      <c r="G29468" s="272" t="s">
        <v>1099</v>
      </c>
    </row>
    <row r="29469">
      <c r="B29469" s="31"/>
      <c r="G29469" s="272" t="s">
        <v>1099</v>
      </c>
    </row>
    <row r="29470">
      <c r="B29470" s="31"/>
      <c r="G29470" s="272" t="s">
        <v>1099</v>
      </c>
    </row>
    <row r="29471">
      <c r="B29471" s="31"/>
      <c r="G29471" s="272" t="s">
        <v>1099</v>
      </c>
    </row>
    <row r="29472">
      <c r="B29472" s="31"/>
      <c r="G29472" s="272" t="s">
        <v>1099</v>
      </c>
    </row>
    <row r="29473">
      <c r="B29473" s="31"/>
      <c r="G29473" s="272" t="s">
        <v>1099</v>
      </c>
    </row>
    <row r="29474">
      <c r="B29474" s="31"/>
      <c r="G29474" s="272" t="s">
        <v>1099</v>
      </c>
    </row>
    <row r="29475">
      <c r="B29475" s="31"/>
      <c r="G29475" s="272" t="s">
        <v>1099</v>
      </c>
    </row>
    <row r="29476">
      <c r="B29476" s="31"/>
      <c r="G29476" s="272" t="s">
        <v>1099</v>
      </c>
    </row>
    <row r="29477">
      <c r="B29477" s="31"/>
      <c r="G29477" s="272" t="s">
        <v>1099</v>
      </c>
    </row>
    <row r="29478">
      <c r="B29478" s="31"/>
      <c r="G29478" s="272" t="s">
        <v>1099</v>
      </c>
    </row>
    <row r="29479">
      <c r="B29479" s="31"/>
      <c r="G29479" s="272" t="s">
        <v>1099</v>
      </c>
    </row>
    <row r="29480">
      <c r="B29480" s="31"/>
      <c r="G29480" s="272" t="s">
        <v>1099</v>
      </c>
    </row>
    <row r="29481">
      <c r="B29481" s="31"/>
      <c r="G29481" s="272" t="s">
        <v>1099</v>
      </c>
    </row>
    <row r="29482">
      <c r="B29482" s="31"/>
      <c r="G29482" s="272" t="s">
        <v>1099</v>
      </c>
    </row>
    <row r="29483">
      <c r="B29483" s="31"/>
      <c r="G29483" s="272" t="s">
        <v>1099</v>
      </c>
    </row>
    <row r="29484">
      <c r="B29484" s="31"/>
      <c r="G29484" s="272" t="s">
        <v>1099</v>
      </c>
    </row>
    <row r="29485">
      <c r="B29485" s="31"/>
      <c r="G29485" s="272" t="s">
        <v>1099</v>
      </c>
    </row>
    <row r="29486">
      <c r="B29486" s="31"/>
      <c r="G29486" s="272" t="s">
        <v>1099</v>
      </c>
    </row>
    <row r="29487">
      <c r="B29487" s="31"/>
      <c r="G29487" s="272" t="s">
        <v>1099</v>
      </c>
    </row>
    <row r="29488">
      <c r="B29488" s="31"/>
      <c r="G29488" s="272" t="s">
        <v>1099</v>
      </c>
    </row>
    <row r="29489">
      <c r="B29489" s="31"/>
      <c r="G29489" s="272" t="s">
        <v>1099</v>
      </c>
    </row>
    <row r="29490">
      <c r="B29490" s="31"/>
      <c r="G29490" s="272" t="s">
        <v>1099</v>
      </c>
    </row>
    <row r="29491">
      <c r="B29491" s="31"/>
      <c r="G29491" s="272" t="s">
        <v>1099</v>
      </c>
    </row>
    <row r="29492">
      <c r="B29492" s="31"/>
      <c r="G29492" s="272" t="s">
        <v>1099</v>
      </c>
    </row>
    <row r="29493">
      <c r="B29493" s="31"/>
      <c r="G29493" s="272" t="s">
        <v>1099</v>
      </c>
    </row>
    <row r="29494">
      <c r="B29494" s="31"/>
      <c r="G29494" s="272" t="s">
        <v>1099</v>
      </c>
    </row>
    <row r="29495">
      <c r="B29495" s="31"/>
      <c r="G29495" s="272" t="s">
        <v>1099</v>
      </c>
    </row>
    <row r="29496">
      <c r="B29496" s="31"/>
      <c r="G29496" s="272" t="s">
        <v>1099</v>
      </c>
    </row>
    <row r="29497">
      <c r="B29497" s="31"/>
      <c r="G29497" s="272" t="s">
        <v>1099</v>
      </c>
    </row>
    <row r="29498">
      <c r="B29498" s="31"/>
      <c r="G29498" s="272" t="s">
        <v>1099</v>
      </c>
    </row>
    <row r="29499">
      <c r="B29499" s="31"/>
      <c r="G29499" s="272" t="s">
        <v>1099</v>
      </c>
    </row>
    <row r="29500">
      <c r="B29500" s="31"/>
      <c r="G29500" s="272" t="s">
        <v>1099</v>
      </c>
    </row>
    <row r="29501">
      <c r="B29501" s="31"/>
      <c r="G29501" s="272" t="s">
        <v>1099</v>
      </c>
    </row>
    <row r="29502">
      <c r="B29502" s="31"/>
      <c r="G29502" s="272" t="s">
        <v>1099</v>
      </c>
    </row>
    <row r="29503">
      <c r="B29503" s="31"/>
      <c r="G29503" s="272" t="s">
        <v>1099</v>
      </c>
    </row>
    <row r="29504">
      <c r="B29504" s="31"/>
      <c r="G29504" s="272" t="s">
        <v>1099</v>
      </c>
    </row>
    <row r="29505">
      <c r="B29505" s="31"/>
      <c r="G29505" s="272" t="s">
        <v>1099</v>
      </c>
    </row>
    <row r="29506">
      <c r="B29506" s="31"/>
      <c r="G29506" s="272" t="s">
        <v>1099</v>
      </c>
    </row>
    <row r="29507">
      <c r="B29507" s="31"/>
      <c r="G29507" s="272" t="s">
        <v>1099</v>
      </c>
    </row>
    <row r="29508">
      <c r="B29508" s="31"/>
      <c r="G29508" s="272" t="s">
        <v>1099</v>
      </c>
    </row>
    <row r="29509">
      <c r="B29509" s="31"/>
      <c r="G29509" s="272" t="s">
        <v>1099</v>
      </c>
    </row>
    <row r="29510">
      <c r="B29510" s="31"/>
      <c r="G29510" s="272" t="s">
        <v>1099</v>
      </c>
    </row>
    <row r="29511">
      <c r="B29511" s="31"/>
      <c r="G29511" s="272" t="s">
        <v>1099</v>
      </c>
    </row>
    <row r="29512">
      <c r="B29512" s="31"/>
      <c r="G29512" s="272" t="s">
        <v>1099</v>
      </c>
    </row>
    <row r="29513">
      <c r="B29513" s="31"/>
      <c r="G29513" s="272" t="s">
        <v>1099</v>
      </c>
    </row>
    <row r="29514">
      <c r="B29514" s="31"/>
      <c r="G29514" s="272" t="s">
        <v>1099</v>
      </c>
    </row>
    <row r="29515">
      <c r="B29515" s="31"/>
      <c r="G29515" s="272" t="s">
        <v>1099</v>
      </c>
    </row>
    <row r="29516">
      <c r="B29516" s="31"/>
      <c r="G29516" s="272" t="s">
        <v>1099</v>
      </c>
    </row>
    <row r="29517">
      <c r="B29517" s="31"/>
      <c r="G29517" s="272" t="s">
        <v>1099</v>
      </c>
    </row>
    <row r="29518">
      <c r="B29518" s="31"/>
      <c r="G29518" s="272" t="s">
        <v>1099</v>
      </c>
    </row>
    <row r="29519">
      <c r="B29519" s="31"/>
      <c r="G29519" s="272" t="s">
        <v>1099</v>
      </c>
    </row>
    <row r="29520">
      <c r="B29520" s="31"/>
      <c r="G29520" s="272" t="s">
        <v>1099</v>
      </c>
    </row>
    <row r="29521">
      <c r="B29521" s="31"/>
      <c r="G29521" s="272" t="s">
        <v>1099</v>
      </c>
    </row>
    <row r="29522">
      <c r="B29522" s="31"/>
      <c r="G29522" s="272" t="s">
        <v>1099</v>
      </c>
    </row>
    <row r="29523">
      <c r="B29523" s="31"/>
      <c r="G29523" s="272" t="s">
        <v>1099</v>
      </c>
    </row>
    <row r="29524">
      <c r="B29524" s="31"/>
      <c r="G29524" s="272" t="s">
        <v>1099</v>
      </c>
    </row>
    <row r="29525">
      <c r="B29525" s="31"/>
      <c r="G29525" s="272" t="s">
        <v>1099</v>
      </c>
    </row>
    <row r="29526">
      <c r="B29526" s="31"/>
      <c r="G29526" s="272" t="s">
        <v>1099</v>
      </c>
    </row>
    <row r="29527">
      <c r="B29527" s="31"/>
      <c r="G29527" s="272" t="s">
        <v>1099</v>
      </c>
    </row>
    <row r="29528">
      <c r="B29528" s="31"/>
      <c r="G29528" s="272" t="s">
        <v>1099</v>
      </c>
    </row>
    <row r="29529">
      <c r="B29529" s="31"/>
      <c r="G29529" s="272" t="s">
        <v>1099</v>
      </c>
    </row>
    <row r="29530">
      <c r="B29530" s="31"/>
      <c r="G29530" s="272" t="s">
        <v>1099</v>
      </c>
    </row>
    <row r="29531">
      <c r="B29531" s="31"/>
      <c r="G29531" s="272" t="s">
        <v>1099</v>
      </c>
    </row>
    <row r="29532">
      <c r="B29532" s="31"/>
      <c r="G29532" s="272" t="s">
        <v>1099</v>
      </c>
    </row>
    <row r="29533">
      <c r="B29533" s="31"/>
      <c r="G29533" s="272" t="s">
        <v>1099</v>
      </c>
    </row>
    <row r="29534">
      <c r="B29534" s="31"/>
      <c r="G29534" s="272" t="s">
        <v>1099</v>
      </c>
    </row>
    <row r="29535">
      <c r="B29535" s="31"/>
      <c r="G29535" s="272" t="s">
        <v>1099</v>
      </c>
    </row>
    <row r="29536">
      <c r="B29536" s="31"/>
      <c r="G29536" s="272" t="s">
        <v>1099</v>
      </c>
    </row>
    <row r="29537">
      <c r="B29537" s="31"/>
      <c r="G29537" s="272" t="s">
        <v>1099</v>
      </c>
    </row>
    <row r="29538">
      <c r="B29538" s="31"/>
      <c r="G29538" s="272" t="s">
        <v>1099</v>
      </c>
    </row>
    <row r="29539">
      <c r="B29539" s="31"/>
      <c r="G29539" s="272" t="s">
        <v>1099</v>
      </c>
    </row>
    <row r="29540">
      <c r="B29540" s="31"/>
      <c r="G29540" s="272" t="s">
        <v>1099</v>
      </c>
    </row>
    <row r="29541">
      <c r="B29541" s="31"/>
      <c r="G29541" s="272" t="s">
        <v>1099</v>
      </c>
    </row>
    <row r="29542">
      <c r="B29542" s="31"/>
      <c r="G29542" s="272" t="s">
        <v>1099</v>
      </c>
    </row>
    <row r="29543">
      <c r="B29543" s="31"/>
      <c r="G29543" s="272" t="s">
        <v>1099</v>
      </c>
    </row>
    <row r="29544">
      <c r="B29544" s="31"/>
      <c r="G29544" s="272" t="s">
        <v>1099</v>
      </c>
    </row>
    <row r="29545">
      <c r="B29545" s="31"/>
      <c r="G29545" s="272" t="s">
        <v>1099</v>
      </c>
    </row>
    <row r="29546">
      <c r="B29546" s="31"/>
      <c r="G29546" s="272" t="s">
        <v>1099</v>
      </c>
    </row>
    <row r="29547">
      <c r="B29547" s="31"/>
      <c r="G29547" s="272" t="s">
        <v>1099</v>
      </c>
    </row>
    <row r="29548">
      <c r="B29548" s="31"/>
      <c r="G29548" s="272" t="s">
        <v>1099</v>
      </c>
    </row>
    <row r="29549">
      <c r="B29549" s="31"/>
      <c r="G29549" s="272" t="s">
        <v>1099</v>
      </c>
    </row>
    <row r="29550">
      <c r="B29550" s="31"/>
      <c r="G29550" s="272" t="s">
        <v>1099</v>
      </c>
    </row>
    <row r="29551">
      <c r="B29551" s="31"/>
      <c r="G29551" s="272" t="s">
        <v>1099</v>
      </c>
    </row>
    <row r="29552">
      <c r="B29552" s="31"/>
      <c r="G29552" s="272" t="s">
        <v>1099</v>
      </c>
    </row>
    <row r="29553">
      <c r="B29553" s="31"/>
      <c r="G29553" s="272" t="s">
        <v>1099</v>
      </c>
    </row>
    <row r="29554">
      <c r="B29554" s="31"/>
      <c r="G29554" s="272" t="s">
        <v>1099</v>
      </c>
    </row>
    <row r="29555">
      <c r="B29555" s="31"/>
      <c r="G29555" s="272" t="s">
        <v>1099</v>
      </c>
    </row>
    <row r="29556">
      <c r="B29556" s="31"/>
      <c r="G29556" s="272" t="s">
        <v>1099</v>
      </c>
    </row>
    <row r="29557">
      <c r="B29557" s="31"/>
      <c r="G29557" s="272" t="s">
        <v>1099</v>
      </c>
    </row>
    <row r="29558">
      <c r="B29558" s="31"/>
      <c r="G29558" s="272" t="s">
        <v>1099</v>
      </c>
    </row>
    <row r="29559">
      <c r="B29559" s="31"/>
      <c r="G29559" s="272" t="s">
        <v>1099</v>
      </c>
    </row>
    <row r="29560">
      <c r="B29560" s="31"/>
      <c r="G29560" s="272" t="s">
        <v>1099</v>
      </c>
    </row>
    <row r="29561">
      <c r="B29561" s="31"/>
      <c r="G29561" s="272" t="s">
        <v>1099</v>
      </c>
    </row>
    <row r="29562">
      <c r="B29562" s="31"/>
      <c r="G29562" s="272" t="s">
        <v>1099</v>
      </c>
    </row>
    <row r="29563">
      <c r="B29563" s="31"/>
      <c r="G29563" s="272" t="s">
        <v>1099</v>
      </c>
    </row>
    <row r="29564">
      <c r="B29564" s="31"/>
      <c r="G29564" s="272" t="s">
        <v>1099</v>
      </c>
    </row>
    <row r="29565">
      <c r="B29565" s="31"/>
      <c r="G29565" s="272" t="s">
        <v>1099</v>
      </c>
    </row>
    <row r="29566">
      <c r="B29566" s="31"/>
      <c r="G29566" s="272" t="s">
        <v>1099</v>
      </c>
    </row>
    <row r="29567">
      <c r="B29567" s="31"/>
      <c r="G29567" s="272" t="s">
        <v>1099</v>
      </c>
    </row>
    <row r="29568">
      <c r="B29568" s="31"/>
      <c r="G29568" s="272" t="s">
        <v>1099</v>
      </c>
    </row>
    <row r="29569">
      <c r="B29569" s="31"/>
      <c r="G29569" s="272" t="s">
        <v>1099</v>
      </c>
    </row>
    <row r="29570">
      <c r="B29570" s="31"/>
      <c r="G29570" s="272" t="s">
        <v>1099</v>
      </c>
    </row>
    <row r="29571">
      <c r="B29571" s="31"/>
      <c r="G29571" s="272" t="s">
        <v>1099</v>
      </c>
    </row>
    <row r="29572">
      <c r="B29572" s="31"/>
      <c r="G29572" s="272" t="s">
        <v>1099</v>
      </c>
    </row>
    <row r="29573">
      <c r="B29573" s="31"/>
      <c r="G29573" s="272" t="s">
        <v>1099</v>
      </c>
    </row>
    <row r="29574">
      <c r="B29574" s="31"/>
      <c r="G29574" s="272" t="s">
        <v>1099</v>
      </c>
    </row>
    <row r="29575">
      <c r="B29575" s="31"/>
      <c r="G29575" s="272" t="s">
        <v>1099</v>
      </c>
    </row>
    <row r="29576">
      <c r="B29576" s="31"/>
      <c r="G29576" s="272" t="s">
        <v>1099</v>
      </c>
    </row>
    <row r="29577">
      <c r="B29577" s="31"/>
      <c r="G29577" s="272" t="s">
        <v>1099</v>
      </c>
    </row>
    <row r="29578">
      <c r="B29578" s="31"/>
      <c r="G29578" s="272" t="s">
        <v>1099</v>
      </c>
    </row>
    <row r="29579">
      <c r="B29579" s="31"/>
      <c r="G29579" s="272" t="s">
        <v>1099</v>
      </c>
    </row>
    <row r="29580">
      <c r="B29580" s="31"/>
      <c r="G29580" s="272" t="s">
        <v>1099</v>
      </c>
    </row>
    <row r="29581">
      <c r="B29581" s="31"/>
      <c r="G29581" s="272" t="s">
        <v>1099</v>
      </c>
    </row>
    <row r="29582">
      <c r="B29582" s="31"/>
      <c r="G29582" s="272" t="s">
        <v>1099</v>
      </c>
    </row>
    <row r="29583">
      <c r="B29583" s="31"/>
      <c r="G29583" s="272" t="s">
        <v>1099</v>
      </c>
    </row>
    <row r="29584">
      <c r="B29584" s="31"/>
      <c r="G29584" s="272" t="s">
        <v>1099</v>
      </c>
    </row>
    <row r="29585">
      <c r="B29585" s="31"/>
      <c r="G29585" s="272" t="s">
        <v>1099</v>
      </c>
    </row>
    <row r="29586">
      <c r="B29586" s="31"/>
      <c r="G29586" s="272" t="s">
        <v>1099</v>
      </c>
    </row>
    <row r="29587">
      <c r="B29587" s="31"/>
      <c r="G29587" s="272" t="s">
        <v>1099</v>
      </c>
    </row>
    <row r="29588">
      <c r="B29588" s="31"/>
      <c r="G29588" s="272" t="s">
        <v>1099</v>
      </c>
    </row>
    <row r="29589">
      <c r="B29589" s="31"/>
      <c r="G29589" s="272" t="s">
        <v>1099</v>
      </c>
    </row>
    <row r="29590">
      <c r="B29590" s="31"/>
      <c r="G29590" s="272" t="s">
        <v>1099</v>
      </c>
    </row>
    <row r="29591">
      <c r="B29591" s="31"/>
      <c r="G29591" s="272" t="s">
        <v>1099</v>
      </c>
    </row>
    <row r="29592">
      <c r="B29592" s="31"/>
      <c r="G29592" s="272" t="s">
        <v>1099</v>
      </c>
    </row>
    <row r="29593">
      <c r="B29593" s="31"/>
      <c r="G29593" s="272" t="s">
        <v>1099</v>
      </c>
    </row>
    <row r="29594">
      <c r="B29594" s="31"/>
      <c r="G29594" s="272" t="s">
        <v>1099</v>
      </c>
    </row>
    <row r="29595">
      <c r="B29595" s="31"/>
      <c r="G29595" s="272" t="s">
        <v>1099</v>
      </c>
    </row>
    <row r="29596">
      <c r="B29596" s="31"/>
      <c r="G29596" s="272" t="s">
        <v>1099</v>
      </c>
    </row>
    <row r="29597">
      <c r="B29597" s="31"/>
      <c r="G29597" s="272" t="s">
        <v>1099</v>
      </c>
    </row>
    <row r="29598">
      <c r="B29598" s="31"/>
      <c r="G29598" s="272" t="s">
        <v>1099</v>
      </c>
    </row>
    <row r="29599">
      <c r="B29599" s="31"/>
      <c r="G29599" s="272" t="s">
        <v>1099</v>
      </c>
    </row>
    <row r="29600">
      <c r="B29600" s="31"/>
      <c r="G29600" s="272" t="s">
        <v>1099</v>
      </c>
    </row>
    <row r="29601">
      <c r="B29601" s="31"/>
      <c r="G29601" s="272" t="s">
        <v>1099</v>
      </c>
    </row>
    <row r="29602">
      <c r="B29602" s="31"/>
      <c r="G29602" s="272" t="s">
        <v>1099</v>
      </c>
    </row>
    <row r="29603">
      <c r="B29603" s="31"/>
      <c r="G29603" s="272" t="s">
        <v>1099</v>
      </c>
    </row>
    <row r="29604">
      <c r="B29604" s="31"/>
      <c r="G29604" s="272" t="s">
        <v>1099</v>
      </c>
    </row>
    <row r="29605">
      <c r="B29605" s="31"/>
      <c r="G29605" s="272" t="s">
        <v>1099</v>
      </c>
    </row>
    <row r="29606">
      <c r="B29606" s="31"/>
      <c r="G29606" s="272" t="s">
        <v>1099</v>
      </c>
    </row>
    <row r="29607">
      <c r="B29607" s="31"/>
      <c r="G29607" s="272" t="s">
        <v>1099</v>
      </c>
    </row>
    <row r="29608">
      <c r="B29608" s="31"/>
      <c r="G29608" s="272" t="s">
        <v>1099</v>
      </c>
    </row>
    <row r="29609">
      <c r="B29609" s="31"/>
      <c r="G29609" s="272" t="s">
        <v>1099</v>
      </c>
    </row>
    <row r="29610">
      <c r="B29610" s="31"/>
      <c r="G29610" s="272" t="s">
        <v>1099</v>
      </c>
    </row>
    <row r="29611">
      <c r="B29611" s="31"/>
      <c r="G29611" s="272" t="s">
        <v>1099</v>
      </c>
    </row>
    <row r="29612">
      <c r="B29612" s="31"/>
      <c r="G29612" s="272" t="s">
        <v>1099</v>
      </c>
    </row>
    <row r="29613">
      <c r="B29613" s="31"/>
      <c r="G29613" s="272" t="s">
        <v>1099</v>
      </c>
    </row>
    <row r="29614">
      <c r="B29614" s="31"/>
      <c r="G29614" s="272" t="s">
        <v>1099</v>
      </c>
    </row>
    <row r="29615">
      <c r="B29615" s="31"/>
      <c r="G29615" s="272" t="s">
        <v>1099</v>
      </c>
    </row>
    <row r="29616">
      <c r="B29616" s="31"/>
      <c r="G29616" s="272" t="s">
        <v>1099</v>
      </c>
    </row>
    <row r="29617">
      <c r="B29617" s="31"/>
      <c r="G29617" s="272" t="s">
        <v>1099</v>
      </c>
    </row>
    <row r="29618">
      <c r="B29618" s="31"/>
      <c r="G29618" s="272" t="s">
        <v>1099</v>
      </c>
    </row>
    <row r="29619">
      <c r="B29619" s="31"/>
      <c r="G29619" s="272" t="s">
        <v>1099</v>
      </c>
    </row>
    <row r="29620">
      <c r="B29620" s="31"/>
      <c r="G29620" s="272" t="s">
        <v>1099</v>
      </c>
    </row>
    <row r="29621">
      <c r="B29621" s="31"/>
      <c r="G29621" s="272" t="s">
        <v>1099</v>
      </c>
    </row>
    <row r="29622">
      <c r="B29622" s="31"/>
      <c r="G29622" s="272" t="s">
        <v>1099</v>
      </c>
    </row>
    <row r="29623">
      <c r="B29623" s="31"/>
      <c r="G29623" s="272" t="s">
        <v>1099</v>
      </c>
    </row>
    <row r="29624">
      <c r="B29624" s="31"/>
      <c r="G29624" s="272" t="s">
        <v>1099</v>
      </c>
    </row>
    <row r="29625">
      <c r="B29625" s="31"/>
      <c r="G29625" s="272" t="s">
        <v>1099</v>
      </c>
    </row>
    <row r="29626">
      <c r="B29626" s="31"/>
      <c r="G29626" s="272" t="s">
        <v>1099</v>
      </c>
    </row>
    <row r="29627">
      <c r="B29627" s="31"/>
      <c r="G29627" s="272" t="s">
        <v>1099</v>
      </c>
    </row>
    <row r="29628">
      <c r="B29628" s="31"/>
      <c r="G29628" s="272" t="s">
        <v>1099</v>
      </c>
    </row>
    <row r="29629">
      <c r="B29629" s="31"/>
      <c r="G29629" s="272" t="s">
        <v>1099</v>
      </c>
    </row>
    <row r="29630">
      <c r="B29630" s="31"/>
      <c r="G29630" s="272" t="s">
        <v>1099</v>
      </c>
    </row>
    <row r="29631">
      <c r="B29631" s="31"/>
      <c r="G29631" s="272" t="s">
        <v>1099</v>
      </c>
    </row>
    <row r="29632">
      <c r="B29632" s="31"/>
      <c r="G29632" s="272" t="s">
        <v>1099</v>
      </c>
    </row>
    <row r="29633">
      <c r="B29633" s="31"/>
      <c r="G29633" s="272" t="s">
        <v>1099</v>
      </c>
    </row>
    <row r="29634">
      <c r="B29634" s="31"/>
      <c r="G29634" s="272" t="s">
        <v>1099</v>
      </c>
    </row>
    <row r="29635">
      <c r="B29635" s="31"/>
      <c r="G29635" s="272" t="s">
        <v>1099</v>
      </c>
    </row>
    <row r="29636">
      <c r="B29636" s="31"/>
      <c r="G29636" s="272" t="s">
        <v>1099</v>
      </c>
    </row>
    <row r="29637">
      <c r="B29637" s="31"/>
      <c r="G29637" s="272" t="s">
        <v>1099</v>
      </c>
    </row>
    <row r="29638">
      <c r="B29638" s="31"/>
      <c r="G29638" s="272" t="s">
        <v>1099</v>
      </c>
    </row>
    <row r="29639">
      <c r="B29639" s="31"/>
      <c r="G29639" s="272" t="s">
        <v>1099</v>
      </c>
    </row>
    <row r="29640">
      <c r="B29640" s="31"/>
      <c r="G29640" s="272" t="s">
        <v>1099</v>
      </c>
    </row>
    <row r="29641">
      <c r="B29641" s="31"/>
      <c r="G29641" s="272" t="s">
        <v>1099</v>
      </c>
    </row>
    <row r="29642">
      <c r="B29642" s="31"/>
      <c r="G29642" s="272" t="s">
        <v>1099</v>
      </c>
    </row>
    <row r="29643">
      <c r="B29643" s="31"/>
      <c r="G29643" s="272" t="s">
        <v>1099</v>
      </c>
    </row>
    <row r="29644">
      <c r="B29644" s="31"/>
      <c r="G29644" s="272" t="s">
        <v>1099</v>
      </c>
    </row>
    <row r="29645">
      <c r="B29645" s="31"/>
      <c r="G29645" s="272" t="s">
        <v>1099</v>
      </c>
    </row>
    <row r="29646">
      <c r="B29646" s="31"/>
      <c r="G29646" s="272" t="s">
        <v>1099</v>
      </c>
    </row>
    <row r="29647">
      <c r="B29647" s="31"/>
      <c r="G29647" s="272" t="s">
        <v>1099</v>
      </c>
    </row>
    <row r="29648">
      <c r="B29648" s="31"/>
      <c r="G29648" s="272" t="s">
        <v>1099</v>
      </c>
    </row>
    <row r="29649">
      <c r="B29649" s="31"/>
      <c r="G29649" s="272" t="s">
        <v>1099</v>
      </c>
    </row>
    <row r="29650">
      <c r="B29650" s="31"/>
      <c r="G29650" s="272" t="s">
        <v>1099</v>
      </c>
    </row>
    <row r="29651">
      <c r="B29651" s="31"/>
      <c r="G29651" s="272" t="s">
        <v>1099</v>
      </c>
    </row>
    <row r="29652">
      <c r="B29652" s="31"/>
      <c r="G29652" s="272" t="s">
        <v>1099</v>
      </c>
    </row>
    <row r="29653">
      <c r="B29653" s="31"/>
      <c r="G29653" s="272" t="s">
        <v>1099</v>
      </c>
    </row>
    <row r="29654">
      <c r="B29654" s="31"/>
      <c r="G29654" s="272" t="s">
        <v>1099</v>
      </c>
    </row>
    <row r="29655">
      <c r="B29655" s="31"/>
      <c r="G29655" s="272" t="s">
        <v>1099</v>
      </c>
    </row>
    <row r="29656">
      <c r="B29656" s="31"/>
      <c r="G29656" s="272" t="s">
        <v>1099</v>
      </c>
    </row>
    <row r="29657">
      <c r="B29657" s="31"/>
      <c r="G29657" s="272" t="s">
        <v>1099</v>
      </c>
    </row>
    <row r="29658">
      <c r="B29658" s="31"/>
      <c r="G29658" s="272" t="s">
        <v>1099</v>
      </c>
    </row>
    <row r="29659">
      <c r="B29659" s="31"/>
      <c r="G29659" s="272" t="s">
        <v>1099</v>
      </c>
    </row>
    <row r="29660">
      <c r="B29660" s="31"/>
      <c r="G29660" s="272" t="s">
        <v>1099</v>
      </c>
    </row>
    <row r="29661">
      <c r="B29661" s="31"/>
      <c r="G29661" s="272" t="s">
        <v>1099</v>
      </c>
    </row>
    <row r="29662">
      <c r="B29662" s="31"/>
      <c r="G29662" s="272" t="s">
        <v>1099</v>
      </c>
    </row>
    <row r="29663">
      <c r="B29663" s="31"/>
      <c r="G29663" s="272" t="s">
        <v>1099</v>
      </c>
    </row>
    <row r="29664">
      <c r="B29664" s="31"/>
      <c r="G29664" s="272" t="s">
        <v>1099</v>
      </c>
    </row>
    <row r="29665">
      <c r="B29665" s="31"/>
      <c r="G29665" s="272" t="s">
        <v>1099</v>
      </c>
    </row>
    <row r="29666">
      <c r="B29666" s="31"/>
      <c r="G29666" s="272" t="s">
        <v>1099</v>
      </c>
    </row>
    <row r="29667">
      <c r="B29667" s="31"/>
      <c r="G29667" s="272" t="s">
        <v>1099</v>
      </c>
    </row>
    <row r="29668">
      <c r="B29668" s="31"/>
      <c r="G29668" s="272" t="s">
        <v>1099</v>
      </c>
    </row>
    <row r="29669">
      <c r="B29669" s="31"/>
      <c r="G29669" s="272" t="s">
        <v>1099</v>
      </c>
    </row>
    <row r="29670">
      <c r="B29670" s="31"/>
      <c r="G29670" s="272" t="s">
        <v>1099</v>
      </c>
    </row>
    <row r="29671">
      <c r="B29671" s="31"/>
      <c r="G29671" s="272" t="s">
        <v>1099</v>
      </c>
    </row>
    <row r="29672">
      <c r="B29672" s="31"/>
      <c r="G29672" s="272" t="s">
        <v>1099</v>
      </c>
    </row>
    <row r="29673">
      <c r="B29673" s="31"/>
      <c r="G29673" s="272" t="s">
        <v>1099</v>
      </c>
    </row>
    <row r="29674">
      <c r="B29674" s="31"/>
      <c r="G29674" s="272" t="s">
        <v>1099</v>
      </c>
    </row>
    <row r="29675">
      <c r="B29675" s="31"/>
      <c r="G29675" s="272" t="s">
        <v>1099</v>
      </c>
    </row>
    <row r="29676">
      <c r="B29676" s="31"/>
      <c r="G29676" s="272" t="s">
        <v>1099</v>
      </c>
    </row>
    <row r="29677">
      <c r="B29677" s="31"/>
      <c r="G29677" s="272" t="s">
        <v>1099</v>
      </c>
    </row>
    <row r="29678">
      <c r="B29678" s="31"/>
      <c r="G29678" s="272" t="s">
        <v>1099</v>
      </c>
    </row>
    <row r="29679">
      <c r="B29679" s="31"/>
      <c r="G29679" s="272" t="s">
        <v>1099</v>
      </c>
    </row>
    <row r="29680">
      <c r="B29680" s="31"/>
      <c r="G29680" s="272" t="s">
        <v>1099</v>
      </c>
    </row>
    <row r="29681">
      <c r="B29681" s="31"/>
      <c r="G29681" s="272" t="s">
        <v>1099</v>
      </c>
    </row>
    <row r="29682">
      <c r="B29682" s="31"/>
      <c r="G29682" s="272" t="s">
        <v>1099</v>
      </c>
    </row>
    <row r="29683">
      <c r="B29683" s="31"/>
      <c r="G29683" s="272" t="s">
        <v>1099</v>
      </c>
    </row>
    <row r="29684">
      <c r="B29684" s="31"/>
      <c r="G29684" s="272" t="s">
        <v>1099</v>
      </c>
    </row>
    <row r="29685">
      <c r="B29685" s="31"/>
      <c r="G29685" s="272" t="s">
        <v>1099</v>
      </c>
    </row>
    <row r="29686">
      <c r="B29686" s="31"/>
      <c r="G29686" s="272" t="s">
        <v>1099</v>
      </c>
    </row>
    <row r="29687">
      <c r="B29687" s="31"/>
      <c r="G29687" s="272" t="s">
        <v>1099</v>
      </c>
    </row>
    <row r="29688">
      <c r="B29688" s="31"/>
      <c r="G29688" s="272" t="s">
        <v>1099</v>
      </c>
    </row>
    <row r="29689">
      <c r="B29689" s="31"/>
      <c r="G29689" s="272" t="s">
        <v>1099</v>
      </c>
    </row>
    <row r="29690">
      <c r="B29690" s="31"/>
      <c r="G29690" s="272" t="s">
        <v>1099</v>
      </c>
    </row>
    <row r="29691">
      <c r="B29691" s="31"/>
      <c r="G29691" s="272" t="s">
        <v>1099</v>
      </c>
    </row>
    <row r="29692">
      <c r="B29692" s="31"/>
      <c r="G29692" s="272" t="s">
        <v>1099</v>
      </c>
    </row>
    <row r="29693">
      <c r="B29693" s="31"/>
      <c r="G29693" s="272" t="s">
        <v>1099</v>
      </c>
    </row>
    <row r="29694">
      <c r="B29694" s="31"/>
      <c r="G29694" s="272" t="s">
        <v>1099</v>
      </c>
    </row>
    <row r="29695">
      <c r="B29695" s="31"/>
      <c r="G29695" s="272" t="s">
        <v>1099</v>
      </c>
    </row>
    <row r="29696">
      <c r="B29696" s="31"/>
      <c r="G29696" s="272" t="s">
        <v>1099</v>
      </c>
    </row>
    <row r="29697">
      <c r="B29697" s="31"/>
      <c r="G29697" s="272" t="s">
        <v>1099</v>
      </c>
    </row>
    <row r="29698">
      <c r="B29698" s="31"/>
      <c r="G29698" s="272" t="s">
        <v>1099</v>
      </c>
    </row>
    <row r="29699">
      <c r="B29699" s="31"/>
      <c r="G29699" s="272" t="s">
        <v>1099</v>
      </c>
    </row>
    <row r="29700">
      <c r="B29700" s="31"/>
      <c r="G29700" s="272" t="s">
        <v>1099</v>
      </c>
    </row>
    <row r="29701">
      <c r="B29701" s="31"/>
      <c r="G29701" s="272" t="s">
        <v>1099</v>
      </c>
    </row>
    <row r="29702">
      <c r="B29702" s="31"/>
      <c r="G29702" s="272" t="s">
        <v>1099</v>
      </c>
    </row>
    <row r="29703">
      <c r="B29703" s="31"/>
      <c r="G29703" s="272" t="s">
        <v>1099</v>
      </c>
    </row>
    <row r="29704">
      <c r="B29704" s="31"/>
      <c r="G29704" s="272" t="s">
        <v>1099</v>
      </c>
    </row>
    <row r="29705">
      <c r="B29705" s="31"/>
      <c r="G29705" s="272" t="s">
        <v>1099</v>
      </c>
    </row>
    <row r="29706">
      <c r="B29706" s="31"/>
      <c r="G29706" s="272" t="s">
        <v>1099</v>
      </c>
    </row>
    <row r="29707">
      <c r="B29707" s="31"/>
      <c r="G29707" s="272" t="s">
        <v>1099</v>
      </c>
    </row>
    <row r="29708">
      <c r="B29708" s="31"/>
      <c r="G29708" s="272" t="s">
        <v>1099</v>
      </c>
    </row>
    <row r="29709">
      <c r="B29709" s="31"/>
      <c r="G29709" s="272" t="s">
        <v>1099</v>
      </c>
    </row>
    <row r="29710">
      <c r="B29710" s="31"/>
      <c r="G29710" s="272" t="s">
        <v>1099</v>
      </c>
    </row>
    <row r="29711">
      <c r="B29711" s="31"/>
      <c r="G29711" s="272" t="s">
        <v>1099</v>
      </c>
    </row>
    <row r="29712">
      <c r="B29712" s="31"/>
      <c r="G29712" s="272" t="s">
        <v>1099</v>
      </c>
    </row>
    <row r="29713">
      <c r="B29713" s="31"/>
      <c r="G29713" s="272" t="s">
        <v>1099</v>
      </c>
    </row>
    <row r="29714">
      <c r="B29714" s="31"/>
      <c r="G29714" s="272" t="s">
        <v>1099</v>
      </c>
    </row>
    <row r="29715">
      <c r="B29715" s="31"/>
      <c r="G29715" s="272" t="s">
        <v>1099</v>
      </c>
    </row>
    <row r="29716">
      <c r="B29716" s="31"/>
      <c r="G29716" s="272" t="s">
        <v>1099</v>
      </c>
    </row>
    <row r="29717">
      <c r="B29717" s="31"/>
      <c r="G29717" s="272" t="s">
        <v>1099</v>
      </c>
    </row>
    <row r="29718">
      <c r="B29718" s="31"/>
      <c r="G29718" s="272" t="s">
        <v>1099</v>
      </c>
    </row>
    <row r="29719">
      <c r="B29719" s="31"/>
      <c r="G29719" s="272" t="s">
        <v>1099</v>
      </c>
    </row>
    <row r="29720">
      <c r="B29720" s="31"/>
      <c r="G29720" s="272" t="s">
        <v>1099</v>
      </c>
    </row>
    <row r="29721">
      <c r="B29721" s="31"/>
      <c r="G29721" s="272" t="s">
        <v>1099</v>
      </c>
    </row>
    <row r="29722">
      <c r="B29722" s="31"/>
      <c r="G29722" s="272" t="s">
        <v>1099</v>
      </c>
    </row>
    <row r="29723">
      <c r="B29723" s="31"/>
      <c r="G29723" s="272" t="s">
        <v>1099</v>
      </c>
    </row>
    <row r="29724">
      <c r="B29724" s="31"/>
      <c r="G29724" s="272" t="s">
        <v>1099</v>
      </c>
    </row>
    <row r="29725">
      <c r="B29725" s="31"/>
      <c r="G29725" s="272" t="s">
        <v>1099</v>
      </c>
    </row>
    <row r="29726">
      <c r="B29726" s="31"/>
      <c r="G29726" s="272" t="s">
        <v>1099</v>
      </c>
    </row>
    <row r="29727">
      <c r="B29727" s="31"/>
      <c r="G29727" s="272" t="s">
        <v>1099</v>
      </c>
    </row>
    <row r="29728">
      <c r="B29728" s="31"/>
      <c r="G29728" s="272" t="s">
        <v>1099</v>
      </c>
    </row>
    <row r="29729">
      <c r="B29729" s="31"/>
      <c r="G29729" s="272" t="s">
        <v>1099</v>
      </c>
    </row>
    <row r="29730">
      <c r="B29730" s="31"/>
      <c r="G29730" s="272" t="s">
        <v>1099</v>
      </c>
    </row>
    <row r="29731">
      <c r="B29731" s="31"/>
      <c r="G29731" s="272" t="s">
        <v>1099</v>
      </c>
    </row>
    <row r="29732">
      <c r="B29732" s="31"/>
      <c r="G29732" s="272" t="s">
        <v>1099</v>
      </c>
    </row>
    <row r="29733">
      <c r="B29733" s="31"/>
      <c r="G29733" s="272" t="s">
        <v>1099</v>
      </c>
    </row>
    <row r="29734">
      <c r="B29734" s="31"/>
      <c r="G29734" s="272" t="s">
        <v>1099</v>
      </c>
    </row>
    <row r="29735">
      <c r="B29735" s="31"/>
      <c r="G29735" s="272" t="s">
        <v>1099</v>
      </c>
    </row>
    <row r="29736">
      <c r="B29736" s="31"/>
      <c r="G29736" s="272" t="s">
        <v>1099</v>
      </c>
    </row>
    <row r="29737">
      <c r="B29737" s="31"/>
      <c r="G29737" s="272" t="s">
        <v>1099</v>
      </c>
    </row>
    <row r="29738">
      <c r="B29738" s="31"/>
      <c r="G29738" s="272" t="s">
        <v>1099</v>
      </c>
    </row>
    <row r="29739">
      <c r="B29739" s="31"/>
      <c r="G29739" s="272" t="s">
        <v>1099</v>
      </c>
    </row>
    <row r="29740">
      <c r="B29740" s="31"/>
      <c r="G29740" s="272" t="s">
        <v>1099</v>
      </c>
    </row>
    <row r="29741">
      <c r="B29741" s="31"/>
      <c r="G29741" s="272" t="s">
        <v>1099</v>
      </c>
    </row>
    <row r="29742">
      <c r="B29742" s="31"/>
      <c r="G29742" s="272" t="s">
        <v>1099</v>
      </c>
    </row>
    <row r="29743">
      <c r="B29743" s="31"/>
      <c r="G29743" s="272" t="s">
        <v>1099</v>
      </c>
    </row>
    <row r="29744">
      <c r="B29744" s="31"/>
      <c r="G29744" s="272" t="s">
        <v>1099</v>
      </c>
    </row>
    <row r="29745">
      <c r="B29745" s="31"/>
      <c r="G29745" s="272" t="s">
        <v>1099</v>
      </c>
    </row>
    <row r="29746">
      <c r="B29746" s="31"/>
      <c r="G29746" s="272" t="s">
        <v>1099</v>
      </c>
    </row>
    <row r="29747">
      <c r="B29747" s="31"/>
      <c r="G29747" s="272" t="s">
        <v>1099</v>
      </c>
    </row>
    <row r="29748">
      <c r="B29748" s="31"/>
      <c r="G29748" s="272" t="s">
        <v>1099</v>
      </c>
    </row>
    <row r="29749">
      <c r="B29749" s="31"/>
      <c r="G29749" s="272" t="s">
        <v>1099</v>
      </c>
    </row>
    <row r="29750">
      <c r="B29750" s="31"/>
      <c r="G29750" s="272" t="s">
        <v>1099</v>
      </c>
    </row>
    <row r="29751">
      <c r="B29751" s="31"/>
      <c r="G29751" s="272" t="s">
        <v>1099</v>
      </c>
    </row>
    <row r="29752">
      <c r="B29752" s="31"/>
      <c r="G29752" s="272" t="s">
        <v>1099</v>
      </c>
    </row>
    <row r="29753">
      <c r="B29753" s="31"/>
      <c r="G29753" s="272" t="s">
        <v>1099</v>
      </c>
    </row>
    <row r="29754">
      <c r="B29754" s="31"/>
      <c r="G29754" s="272" t="s">
        <v>1099</v>
      </c>
    </row>
    <row r="29755">
      <c r="B29755" s="31"/>
      <c r="G29755" s="272" t="s">
        <v>1099</v>
      </c>
    </row>
    <row r="29756">
      <c r="B29756" s="31"/>
      <c r="G29756" s="272" t="s">
        <v>1099</v>
      </c>
    </row>
    <row r="29757">
      <c r="B29757" s="31"/>
      <c r="G29757" s="272" t="s">
        <v>1099</v>
      </c>
    </row>
    <row r="29758">
      <c r="B29758" s="31"/>
      <c r="G29758" s="272" t="s">
        <v>1099</v>
      </c>
    </row>
    <row r="29759">
      <c r="B29759" s="31"/>
      <c r="G29759" s="272" t="s">
        <v>1099</v>
      </c>
    </row>
    <row r="29760">
      <c r="B29760" s="31"/>
      <c r="G29760" s="272" t="s">
        <v>1099</v>
      </c>
    </row>
    <row r="29761">
      <c r="B29761" s="31"/>
      <c r="G29761" s="272" t="s">
        <v>1099</v>
      </c>
    </row>
    <row r="29762">
      <c r="B29762" s="31"/>
      <c r="G29762" s="272" t="s">
        <v>1099</v>
      </c>
    </row>
    <row r="29763">
      <c r="B29763" s="31"/>
      <c r="G29763" s="272" t="s">
        <v>1099</v>
      </c>
    </row>
    <row r="29764">
      <c r="B29764" s="31"/>
      <c r="G29764" s="272" t="s">
        <v>1099</v>
      </c>
    </row>
    <row r="29765">
      <c r="B29765" s="31"/>
      <c r="G29765" s="272" t="s">
        <v>1099</v>
      </c>
    </row>
    <row r="29766">
      <c r="B29766" s="31"/>
      <c r="G29766" s="272" t="s">
        <v>1099</v>
      </c>
    </row>
    <row r="29767">
      <c r="B29767" s="31"/>
      <c r="G29767" s="272" t="s">
        <v>1099</v>
      </c>
    </row>
    <row r="29768">
      <c r="B29768" s="31"/>
      <c r="G29768" s="272" t="s">
        <v>1099</v>
      </c>
    </row>
    <row r="29769">
      <c r="B29769" s="31"/>
      <c r="G29769" s="272" t="s">
        <v>1099</v>
      </c>
    </row>
    <row r="29770">
      <c r="B29770" s="31"/>
      <c r="G29770" s="272" t="s">
        <v>1099</v>
      </c>
    </row>
    <row r="29771">
      <c r="B29771" s="31"/>
      <c r="G29771" s="272" t="s">
        <v>1099</v>
      </c>
    </row>
    <row r="29772">
      <c r="B29772" s="31"/>
      <c r="G29772" s="272" t="s">
        <v>1099</v>
      </c>
    </row>
    <row r="29773">
      <c r="B29773" s="31"/>
      <c r="G29773" s="272" t="s">
        <v>1099</v>
      </c>
    </row>
    <row r="29774">
      <c r="B29774" s="31"/>
      <c r="G29774" s="272" t="s">
        <v>1099</v>
      </c>
    </row>
    <row r="29775">
      <c r="B29775" s="31"/>
      <c r="G29775" s="272" t="s">
        <v>1099</v>
      </c>
    </row>
    <row r="29776">
      <c r="B29776" s="31"/>
      <c r="G29776" s="272" t="s">
        <v>1099</v>
      </c>
    </row>
    <row r="29777">
      <c r="B29777" s="31"/>
      <c r="G29777" s="272" t="s">
        <v>1099</v>
      </c>
    </row>
    <row r="29778">
      <c r="B29778" s="31"/>
      <c r="G29778" s="272" t="s">
        <v>1099</v>
      </c>
    </row>
    <row r="29779">
      <c r="B29779" s="31"/>
      <c r="G29779" s="272" t="s">
        <v>1099</v>
      </c>
    </row>
    <row r="29780">
      <c r="B29780" s="31"/>
      <c r="G29780" s="272" t="s">
        <v>1099</v>
      </c>
    </row>
    <row r="29781">
      <c r="B29781" s="31"/>
      <c r="G29781" s="272" t="s">
        <v>1099</v>
      </c>
    </row>
    <row r="29782">
      <c r="B29782" s="31"/>
      <c r="G29782" s="272" t="s">
        <v>1099</v>
      </c>
    </row>
    <row r="29783">
      <c r="B29783" s="31"/>
      <c r="G29783" s="272" t="s">
        <v>1099</v>
      </c>
    </row>
    <row r="29784">
      <c r="B29784" s="31"/>
      <c r="G29784" s="272" t="s">
        <v>1099</v>
      </c>
    </row>
    <row r="29785">
      <c r="B29785" s="31"/>
      <c r="G29785" s="272" t="s">
        <v>1099</v>
      </c>
    </row>
    <row r="29786">
      <c r="B29786" s="31"/>
      <c r="G29786" s="272" t="s">
        <v>1099</v>
      </c>
    </row>
    <row r="29787">
      <c r="B29787" s="31"/>
      <c r="G29787" s="272" t="s">
        <v>1099</v>
      </c>
    </row>
    <row r="29788">
      <c r="B29788" s="31"/>
      <c r="G29788" s="272" t="s">
        <v>1099</v>
      </c>
    </row>
    <row r="29789">
      <c r="B29789" s="31"/>
      <c r="G29789" s="272" t="s">
        <v>1099</v>
      </c>
    </row>
    <row r="29790">
      <c r="B29790" s="31"/>
      <c r="G29790" s="272" t="s">
        <v>1099</v>
      </c>
    </row>
    <row r="29791">
      <c r="B29791" s="31"/>
      <c r="G29791" s="272" t="s">
        <v>1099</v>
      </c>
    </row>
    <row r="29792">
      <c r="B29792" s="31"/>
      <c r="G29792" s="272" t="s">
        <v>1099</v>
      </c>
    </row>
    <row r="29793">
      <c r="B29793" s="31"/>
      <c r="G29793" s="272" t="s">
        <v>1099</v>
      </c>
    </row>
    <row r="29794">
      <c r="B29794" s="31"/>
      <c r="G29794" s="272" t="s">
        <v>1099</v>
      </c>
    </row>
    <row r="29795">
      <c r="B29795" s="31"/>
      <c r="G29795" s="272" t="s">
        <v>1099</v>
      </c>
    </row>
    <row r="29796">
      <c r="B29796" s="31"/>
      <c r="G29796" s="272" t="s">
        <v>1099</v>
      </c>
    </row>
    <row r="29797">
      <c r="B29797" s="31"/>
      <c r="G29797" s="272" t="s">
        <v>1099</v>
      </c>
    </row>
    <row r="29798">
      <c r="B29798" s="31"/>
      <c r="G29798" s="272" t="s">
        <v>1099</v>
      </c>
    </row>
    <row r="29799">
      <c r="B29799" s="31"/>
      <c r="G29799" s="272" t="s">
        <v>1099</v>
      </c>
    </row>
    <row r="29800">
      <c r="B29800" s="31"/>
      <c r="G29800" s="272" t="s">
        <v>1099</v>
      </c>
    </row>
    <row r="29801">
      <c r="B29801" s="31"/>
      <c r="G29801" s="272" t="s">
        <v>1099</v>
      </c>
    </row>
    <row r="29802">
      <c r="B29802" s="31"/>
      <c r="G29802" s="272" t="s">
        <v>1099</v>
      </c>
    </row>
    <row r="29803">
      <c r="B29803" s="31"/>
      <c r="G29803" s="272" t="s">
        <v>1099</v>
      </c>
    </row>
    <row r="29804">
      <c r="B29804" s="31"/>
      <c r="G29804" s="272" t="s">
        <v>1099</v>
      </c>
    </row>
    <row r="29805">
      <c r="B29805" s="31"/>
      <c r="G29805" s="272" t="s">
        <v>1099</v>
      </c>
    </row>
    <row r="29806">
      <c r="B29806" s="31"/>
      <c r="G29806" s="272" t="s">
        <v>1099</v>
      </c>
    </row>
    <row r="29807">
      <c r="B29807" s="31"/>
      <c r="G29807" s="272" t="s">
        <v>1099</v>
      </c>
    </row>
    <row r="29808">
      <c r="B29808" s="31"/>
      <c r="G29808" s="272" t="s">
        <v>1099</v>
      </c>
    </row>
    <row r="29809">
      <c r="B29809" s="31"/>
      <c r="G29809" s="272" t="s">
        <v>1099</v>
      </c>
    </row>
    <row r="29810">
      <c r="B29810" s="31"/>
      <c r="G29810" s="272" t="s">
        <v>1099</v>
      </c>
    </row>
    <row r="29811">
      <c r="B29811" s="31"/>
      <c r="G29811" s="272" t="s">
        <v>1099</v>
      </c>
    </row>
    <row r="29812">
      <c r="B29812" s="31"/>
      <c r="G29812" s="272" t="s">
        <v>1099</v>
      </c>
    </row>
    <row r="29813">
      <c r="B29813" s="31"/>
      <c r="G29813" s="272" t="s">
        <v>1099</v>
      </c>
    </row>
    <row r="29814">
      <c r="B29814" s="31"/>
      <c r="G29814" s="272" t="s">
        <v>1099</v>
      </c>
    </row>
    <row r="29815">
      <c r="B29815" s="31"/>
      <c r="G29815" s="272" t="s">
        <v>1099</v>
      </c>
    </row>
    <row r="29816">
      <c r="B29816" s="31"/>
      <c r="G29816" s="272" t="s">
        <v>1099</v>
      </c>
    </row>
    <row r="29817">
      <c r="B29817" s="31"/>
      <c r="G29817" s="272" t="s">
        <v>1099</v>
      </c>
    </row>
    <row r="29818">
      <c r="B29818" s="31"/>
      <c r="G29818" s="272" t="s">
        <v>1099</v>
      </c>
    </row>
    <row r="29819">
      <c r="B29819" s="31"/>
      <c r="G29819" s="272" t="s">
        <v>1099</v>
      </c>
    </row>
    <row r="29820">
      <c r="B29820" s="31"/>
      <c r="G29820" s="272" t="s">
        <v>1099</v>
      </c>
    </row>
    <row r="29821">
      <c r="B29821" s="31"/>
      <c r="G29821" s="272" t="s">
        <v>1099</v>
      </c>
    </row>
    <row r="29822">
      <c r="B29822" s="31"/>
      <c r="G29822" s="272" t="s">
        <v>1099</v>
      </c>
    </row>
    <row r="29823">
      <c r="B29823" s="31"/>
      <c r="G29823" s="272" t="s">
        <v>1099</v>
      </c>
    </row>
    <row r="29824">
      <c r="B29824" s="31"/>
      <c r="G29824" s="272" t="s">
        <v>1099</v>
      </c>
    </row>
    <row r="29825">
      <c r="B29825" s="31"/>
      <c r="G29825" s="272" t="s">
        <v>1099</v>
      </c>
    </row>
    <row r="29826">
      <c r="B29826" s="31"/>
      <c r="G29826" s="272" t="s">
        <v>1099</v>
      </c>
    </row>
    <row r="29827">
      <c r="B29827" s="31"/>
      <c r="G29827" s="272" t="s">
        <v>1099</v>
      </c>
    </row>
    <row r="29828">
      <c r="B29828" s="31"/>
      <c r="G29828" s="272" t="s">
        <v>1099</v>
      </c>
    </row>
    <row r="29829">
      <c r="B29829" s="31"/>
      <c r="G29829" s="272" t="s">
        <v>1099</v>
      </c>
    </row>
    <row r="29830">
      <c r="B29830" s="31"/>
      <c r="G29830" s="272" t="s">
        <v>1099</v>
      </c>
    </row>
    <row r="29831">
      <c r="B29831" s="31"/>
      <c r="G29831" s="272" t="s">
        <v>1099</v>
      </c>
    </row>
    <row r="29832">
      <c r="B29832" s="31"/>
      <c r="G29832" s="272" t="s">
        <v>1099</v>
      </c>
    </row>
    <row r="29833">
      <c r="B29833" s="31"/>
      <c r="G29833" s="272" t="s">
        <v>1099</v>
      </c>
    </row>
    <row r="29834">
      <c r="B29834" s="31"/>
      <c r="G29834" s="272" t="s">
        <v>1099</v>
      </c>
    </row>
    <row r="29835">
      <c r="B29835" s="31"/>
      <c r="G29835" s="272" t="s">
        <v>1099</v>
      </c>
    </row>
    <row r="29836">
      <c r="B29836" s="31"/>
      <c r="G29836" s="272" t="s">
        <v>1099</v>
      </c>
    </row>
    <row r="29837">
      <c r="B29837" s="31"/>
      <c r="G29837" s="272" t="s">
        <v>1099</v>
      </c>
    </row>
    <row r="29838">
      <c r="B29838" s="31"/>
      <c r="G29838" s="272" t="s">
        <v>1099</v>
      </c>
    </row>
    <row r="29839">
      <c r="B29839" s="31"/>
      <c r="G29839" s="272" t="s">
        <v>1099</v>
      </c>
    </row>
    <row r="29840">
      <c r="B29840" s="31"/>
      <c r="G29840" s="272" t="s">
        <v>1099</v>
      </c>
    </row>
    <row r="29841">
      <c r="B29841" s="31"/>
      <c r="G29841" s="272" t="s">
        <v>1099</v>
      </c>
    </row>
    <row r="29842">
      <c r="B29842" s="31"/>
      <c r="G29842" s="272" t="s">
        <v>1099</v>
      </c>
    </row>
    <row r="29843">
      <c r="B29843" s="31"/>
      <c r="G29843" s="272" t="s">
        <v>1099</v>
      </c>
    </row>
    <row r="29844">
      <c r="B29844" s="31"/>
      <c r="G29844" s="272" t="s">
        <v>1099</v>
      </c>
    </row>
    <row r="29845">
      <c r="B29845" s="31"/>
      <c r="G29845" s="272" t="s">
        <v>1099</v>
      </c>
    </row>
    <row r="29846">
      <c r="B29846" s="31"/>
      <c r="G29846" s="272" t="s">
        <v>1099</v>
      </c>
    </row>
    <row r="29847">
      <c r="B29847" s="31"/>
      <c r="G29847" s="272" t="s">
        <v>1099</v>
      </c>
    </row>
    <row r="29848">
      <c r="B29848" s="31"/>
      <c r="G29848" s="272" t="s">
        <v>1099</v>
      </c>
    </row>
    <row r="29849">
      <c r="B29849" s="31"/>
      <c r="G29849" s="272" t="s">
        <v>1099</v>
      </c>
    </row>
    <row r="29850">
      <c r="B29850" s="31"/>
      <c r="G29850" s="272" t="s">
        <v>1099</v>
      </c>
    </row>
    <row r="29851">
      <c r="B29851" s="31"/>
      <c r="G29851" s="272" t="s">
        <v>1099</v>
      </c>
    </row>
    <row r="29852">
      <c r="B29852" s="31"/>
      <c r="G29852" s="272" t="s">
        <v>1099</v>
      </c>
    </row>
    <row r="29853">
      <c r="B29853" s="31"/>
      <c r="G29853" s="272" t="s">
        <v>1099</v>
      </c>
    </row>
    <row r="29854">
      <c r="B29854" s="31"/>
      <c r="G29854" s="272" t="s">
        <v>1099</v>
      </c>
    </row>
    <row r="29855">
      <c r="B29855" s="31"/>
      <c r="G29855" s="272" t="s">
        <v>1099</v>
      </c>
    </row>
    <row r="29856">
      <c r="B29856" s="31"/>
      <c r="G29856" s="272" t="s">
        <v>1099</v>
      </c>
    </row>
    <row r="29857">
      <c r="B29857" s="31"/>
      <c r="G29857" s="272" t="s">
        <v>1099</v>
      </c>
    </row>
    <row r="29858">
      <c r="B29858" s="31"/>
      <c r="G29858" s="272" t="s">
        <v>1099</v>
      </c>
    </row>
    <row r="29859">
      <c r="B29859" s="31"/>
      <c r="G29859" s="272" t="s">
        <v>1099</v>
      </c>
    </row>
    <row r="29860">
      <c r="B29860" s="31"/>
      <c r="G29860" s="272" t="s">
        <v>1099</v>
      </c>
    </row>
    <row r="29861">
      <c r="B29861" s="31"/>
      <c r="G29861" s="272" t="s">
        <v>1099</v>
      </c>
    </row>
    <row r="29862">
      <c r="B29862" s="31"/>
      <c r="G29862" s="272" t="s">
        <v>1099</v>
      </c>
    </row>
    <row r="29863">
      <c r="B29863" s="31"/>
      <c r="G29863" s="272" t="s">
        <v>1099</v>
      </c>
    </row>
    <row r="29864">
      <c r="B29864" s="31"/>
      <c r="G29864" s="272" t="s">
        <v>1099</v>
      </c>
    </row>
    <row r="29865">
      <c r="B29865" s="31"/>
      <c r="G29865" s="272" t="s">
        <v>1099</v>
      </c>
    </row>
    <row r="29866">
      <c r="B29866" s="31"/>
      <c r="G29866" s="272" t="s">
        <v>1099</v>
      </c>
    </row>
    <row r="29867">
      <c r="B29867" s="31"/>
      <c r="G29867" s="272" t="s">
        <v>1099</v>
      </c>
    </row>
    <row r="29868">
      <c r="B29868" s="31"/>
      <c r="G29868" s="272" t="s">
        <v>1099</v>
      </c>
    </row>
    <row r="29869">
      <c r="B29869" s="31"/>
      <c r="G29869" s="272" t="s">
        <v>1099</v>
      </c>
    </row>
    <row r="29870">
      <c r="B29870" s="31"/>
      <c r="G29870" s="272" t="s">
        <v>1099</v>
      </c>
    </row>
    <row r="29871">
      <c r="B29871" s="31"/>
      <c r="G29871" s="272" t="s">
        <v>1099</v>
      </c>
    </row>
    <row r="29872">
      <c r="B29872" s="31"/>
      <c r="G29872" s="272" t="s">
        <v>1099</v>
      </c>
    </row>
    <row r="29873">
      <c r="B29873" s="31"/>
      <c r="G29873" s="272" t="s">
        <v>1099</v>
      </c>
    </row>
    <row r="29874">
      <c r="B29874" s="31"/>
      <c r="G29874" s="272" t="s">
        <v>1099</v>
      </c>
    </row>
    <row r="29875">
      <c r="B29875" s="31"/>
      <c r="G29875" s="272" t="s">
        <v>1099</v>
      </c>
    </row>
    <row r="29876">
      <c r="B29876" s="31"/>
      <c r="G29876" s="272" t="s">
        <v>1099</v>
      </c>
    </row>
    <row r="29877">
      <c r="B29877" s="31"/>
      <c r="G29877" s="272" t="s">
        <v>1099</v>
      </c>
    </row>
    <row r="29878">
      <c r="B29878" s="31"/>
      <c r="G29878" s="272" t="s">
        <v>1099</v>
      </c>
    </row>
    <row r="29879">
      <c r="B29879" s="31"/>
      <c r="G29879" s="272" t="s">
        <v>1099</v>
      </c>
    </row>
    <row r="29880">
      <c r="B29880" s="31"/>
      <c r="G29880" s="272" t="s">
        <v>1099</v>
      </c>
    </row>
    <row r="29881">
      <c r="B29881" s="31"/>
      <c r="G29881" s="272" t="s">
        <v>1099</v>
      </c>
    </row>
    <row r="29882">
      <c r="B29882" s="31"/>
      <c r="G29882" s="272" t="s">
        <v>1099</v>
      </c>
    </row>
    <row r="29883">
      <c r="B29883" s="31"/>
      <c r="G29883" s="272" t="s">
        <v>1099</v>
      </c>
    </row>
    <row r="29884">
      <c r="B29884" s="31"/>
      <c r="G29884" s="272" t="s">
        <v>1099</v>
      </c>
    </row>
    <row r="29885">
      <c r="B29885" s="31"/>
      <c r="G29885" s="272" t="s">
        <v>1099</v>
      </c>
    </row>
    <row r="29886">
      <c r="B29886" s="31"/>
      <c r="G29886" s="272" t="s">
        <v>1099</v>
      </c>
    </row>
    <row r="29887">
      <c r="B29887" s="31"/>
      <c r="G29887" s="272" t="s">
        <v>1099</v>
      </c>
    </row>
    <row r="29888">
      <c r="B29888" s="31"/>
      <c r="G29888" s="272" t="s">
        <v>1099</v>
      </c>
    </row>
    <row r="29889">
      <c r="B29889" s="31"/>
      <c r="G29889" s="272" t="s">
        <v>1099</v>
      </c>
    </row>
    <row r="29890">
      <c r="B29890" s="31"/>
      <c r="G29890" s="272" t="s">
        <v>1099</v>
      </c>
    </row>
    <row r="29891">
      <c r="B29891" s="31"/>
      <c r="G29891" s="272" t="s">
        <v>1099</v>
      </c>
    </row>
    <row r="29892">
      <c r="B29892" s="31"/>
      <c r="G29892" s="272" t="s">
        <v>1099</v>
      </c>
    </row>
    <row r="29893">
      <c r="B29893" s="31"/>
      <c r="G29893" s="272" t="s">
        <v>1099</v>
      </c>
    </row>
    <row r="29894">
      <c r="B29894" s="31"/>
      <c r="G29894" s="272" t="s">
        <v>1099</v>
      </c>
    </row>
    <row r="29895">
      <c r="B29895" s="31"/>
      <c r="G29895" s="272" t="s">
        <v>1099</v>
      </c>
    </row>
    <row r="29896">
      <c r="B29896" s="31"/>
      <c r="G29896" s="272" t="s">
        <v>1099</v>
      </c>
    </row>
    <row r="29897">
      <c r="B29897" s="31"/>
      <c r="G29897" s="272" t="s">
        <v>1099</v>
      </c>
    </row>
    <row r="29898">
      <c r="B29898" s="31"/>
      <c r="G29898" s="272" t="s">
        <v>1099</v>
      </c>
    </row>
    <row r="29899">
      <c r="B29899" s="31"/>
      <c r="G29899" s="272" t="s">
        <v>1099</v>
      </c>
    </row>
    <row r="29900">
      <c r="B29900" s="31"/>
      <c r="G29900" s="272" t="s">
        <v>1099</v>
      </c>
    </row>
    <row r="29901">
      <c r="B29901" s="31"/>
      <c r="G29901" s="272" t="s">
        <v>1099</v>
      </c>
    </row>
    <row r="29902">
      <c r="B29902" s="31"/>
      <c r="G29902" s="272" t="s">
        <v>1099</v>
      </c>
    </row>
    <row r="29903">
      <c r="B29903" s="31"/>
      <c r="G29903" s="272" t="s">
        <v>1099</v>
      </c>
    </row>
    <row r="29904">
      <c r="B29904" s="31"/>
      <c r="G29904" s="272" t="s">
        <v>1099</v>
      </c>
    </row>
    <row r="29905">
      <c r="B29905" s="31"/>
      <c r="G29905" s="272" t="s">
        <v>1099</v>
      </c>
    </row>
    <row r="29906">
      <c r="B29906" s="31"/>
      <c r="G29906" s="272" t="s">
        <v>1099</v>
      </c>
    </row>
    <row r="29907">
      <c r="B29907" s="31"/>
      <c r="G29907" s="272" t="s">
        <v>1099</v>
      </c>
    </row>
    <row r="29908">
      <c r="B29908" s="31"/>
      <c r="G29908" s="272" t="s">
        <v>1099</v>
      </c>
    </row>
    <row r="29909">
      <c r="B29909" s="31"/>
      <c r="G29909" s="272" t="s">
        <v>1099</v>
      </c>
    </row>
    <row r="29910">
      <c r="B29910" s="31"/>
      <c r="G29910" s="272" t="s">
        <v>1099</v>
      </c>
    </row>
    <row r="29911">
      <c r="B29911" s="31"/>
      <c r="G29911" s="272" t="s">
        <v>1099</v>
      </c>
    </row>
    <row r="29912">
      <c r="B29912" s="31"/>
      <c r="G29912" s="272" t="s">
        <v>1099</v>
      </c>
    </row>
    <row r="29913">
      <c r="B29913" s="31"/>
      <c r="G29913" s="272" t="s">
        <v>1099</v>
      </c>
    </row>
    <row r="29914">
      <c r="B29914" s="31"/>
      <c r="G29914" s="272" t="s">
        <v>1099</v>
      </c>
    </row>
    <row r="29915">
      <c r="B29915" s="31"/>
      <c r="G29915" s="272" t="s">
        <v>1099</v>
      </c>
    </row>
    <row r="29916">
      <c r="B29916" s="31"/>
      <c r="G29916" s="272" t="s">
        <v>1099</v>
      </c>
    </row>
    <row r="29917">
      <c r="B29917" s="31"/>
      <c r="G29917" s="272" t="s">
        <v>1099</v>
      </c>
    </row>
    <row r="29918">
      <c r="B29918" s="31"/>
      <c r="G29918" s="272" t="s">
        <v>1099</v>
      </c>
    </row>
    <row r="29919">
      <c r="B29919" s="31"/>
      <c r="G29919" s="272" t="s">
        <v>1099</v>
      </c>
    </row>
    <row r="29920">
      <c r="B29920" s="31"/>
      <c r="G29920" s="272" t="s">
        <v>1099</v>
      </c>
    </row>
    <row r="29921">
      <c r="B29921" s="31"/>
      <c r="G29921" s="272" t="s">
        <v>1099</v>
      </c>
    </row>
    <row r="29922">
      <c r="B29922" s="31"/>
      <c r="G29922" s="272" t="s">
        <v>1099</v>
      </c>
    </row>
    <row r="29923">
      <c r="B29923" s="31"/>
      <c r="G29923" s="272" t="s">
        <v>1099</v>
      </c>
    </row>
    <row r="29924">
      <c r="B29924" s="31"/>
      <c r="G29924" s="272" t="s">
        <v>1099</v>
      </c>
    </row>
    <row r="29925">
      <c r="B29925" s="31"/>
      <c r="G29925" s="272" t="s">
        <v>1099</v>
      </c>
    </row>
    <row r="29926">
      <c r="B29926" s="31"/>
      <c r="G29926" s="272" t="s">
        <v>1099</v>
      </c>
    </row>
    <row r="29927">
      <c r="B29927" s="31"/>
      <c r="G29927" s="272" t="s">
        <v>1099</v>
      </c>
    </row>
    <row r="29928">
      <c r="B29928" s="31"/>
      <c r="G29928" s="272" t="s">
        <v>1099</v>
      </c>
    </row>
    <row r="29929">
      <c r="B29929" s="31"/>
      <c r="G29929" s="272" t="s">
        <v>1099</v>
      </c>
    </row>
    <row r="29930">
      <c r="B29930" s="31"/>
      <c r="G29930" s="272" t="s">
        <v>1099</v>
      </c>
    </row>
    <row r="29931">
      <c r="B29931" s="31"/>
      <c r="G29931" s="272" t="s">
        <v>1099</v>
      </c>
    </row>
    <row r="29932">
      <c r="B29932" s="31"/>
      <c r="G29932" s="272" t="s">
        <v>1099</v>
      </c>
    </row>
    <row r="29933">
      <c r="B29933" s="31"/>
      <c r="G29933" s="272" t="s">
        <v>1099</v>
      </c>
    </row>
    <row r="29934">
      <c r="B29934" s="31"/>
      <c r="G29934" s="272" t="s">
        <v>1099</v>
      </c>
    </row>
    <row r="29935">
      <c r="B29935" s="31"/>
      <c r="G29935" s="272" t="s">
        <v>1099</v>
      </c>
    </row>
    <row r="29936">
      <c r="B29936" s="31"/>
      <c r="G29936" s="272" t="s">
        <v>1099</v>
      </c>
    </row>
    <row r="29937">
      <c r="B29937" s="31"/>
      <c r="G29937" s="272" t="s">
        <v>1099</v>
      </c>
    </row>
    <row r="29938">
      <c r="B29938" s="31"/>
      <c r="G29938" s="272" t="s">
        <v>1099</v>
      </c>
    </row>
    <row r="29939">
      <c r="B29939" s="31"/>
      <c r="G29939" s="272" t="s">
        <v>1099</v>
      </c>
    </row>
    <row r="29940">
      <c r="B29940" s="31"/>
      <c r="G29940" s="272" t="s">
        <v>1099</v>
      </c>
    </row>
    <row r="29941">
      <c r="B29941" s="31"/>
      <c r="G29941" s="272" t="s">
        <v>1099</v>
      </c>
    </row>
    <row r="29942">
      <c r="B29942" s="31"/>
      <c r="G29942" s="272" t="s">
        <v>1099</v>
      </c>
    </row>
    <row r="29943">
      <c r="B29943" s="31"/>
      <c r="G29943" s="272" t="s">
        <v>1099</v>
      </c>
    </row>
    <row r="29944">
      <c r="B29944" s="31"/>
      <c r="G29944" s="272" t="s">
        <v>1099</v>
      </c>
    </row>
    <row r="29945">
      <c r="B29945" s="31"/>
      <c r="G29945" s="272" t="s">
        <v>1099</v>
      </c>
    </row>
    <row r="29946">
      <c r="B29946" s="31"/>
      <c r="G29946" s="272" t="s">
        <v>1099</v>
      </c>
    </row>
    <row r="29947">
      <c r="B29947" s="31"/>
      <c r="G29947" s="272" t="s">
        <v>1099</v>
      </c>
    </row>
    <row r="29948">
      <c r="B29948" s="31"/>
      <c r="G29948" s="272" t="s">
        <v>1099</v>
      </c>
    </row>
    <row r="29949">
      <c r="B29949" s="31"/>
      <c r="G29949" s="272" t="s">
        <v>1099</v>
      </c>
    </row>
    <row r="29950">
      <c r="B29950" s="31"/>
      <c r="G29950" s="272" t="s">
        <v>1099</v>
      </c>
    </row>
    <row r="29951">
      <c r="B29951" s="31"/>
      <c r="G29951" s="272" t="s">
        <v>1099</v>
      </c>
    </row>
    <row r="29952">
      <c r="B29952" s="31"/>
      <c r="G29952" s="272" t="s">
        <v>1099</v>
      </c>
    </row>
    <row r="29953">
      <c r="B29953" s="31"/>
      <c r="G29953" s="272" t="s">
        <v>1099</v>
      </c>
    </row>
    <row r="29954">
      <c r="B29954" s="31"/>
      <c r="G29954" s="272" t="s">
        <v>1099</v>
      </c>
    </row>
    <row r="29955">
      <c r="B29955" s="31"/>
      <c r="G29955" s="272" t="s">
        <v>1099</v>
      </c>
    </row>
    <row r="29956">
      <c r="B29956" s="31"/>
      <c r="G29956" s="272" t="s">
        <v>1099</v>
      </c>
    </row>
    <row r="29957">
      <c r="B29957" s="31"/>
      <c r="G29957" s="272" t="s">
        <v>1099</v>
      </c>
    </row>
    <row r="29958">
      <c r="B29958" s="31"/>
      <c r="G29958" s="272" t="s">
        <v>1099</v>
      </c>
    </row>
    <row r="29959">
      <c r="B29959" s="31"/>
      <c r="G29959" s="272" t="s">
        <v>1099</v>
      </c>
    </row>
    <row r="29960">
      <c r="B29960" s="31"/>
      <c r="G29960" s="272" t="s">
        <v>1099</v>
      </c>
    </row>
    <row r="29961">
      <c r="B29961" s="31"/>
      <c r="G29961" s="272" t="s">
        <v>1099</v>
      </c>
    </row>
    <row r="29962">
      <c r="B29962" s="31"/>
      <c r="G29962" s="272" t="s">
        <v>1099</v>
      </c>
    </row>
    <row r="29963">
      <c r="B29963" s="31"/>
      <c r="G29963" s="272" t="s">
        <v>1099</v>
      </c>
    </row>
    <row r="29964">
      <c r="B29964" s="31"/>
      <c r="G29964" s="272" t="s">
        <v>1099</v>
      </c>
    </row>
    <row r="29965">
      <c r="B29965" s="31"/>
      <c r="G29965" s="272" t="s">
        <v>1099</v>
      </c>
    </row>
    <row r="29966">
      <c r="B29966" s="31"/>
      <c r="G29966" s="272" t="s">
        <v>1099</v>
      </c>
    </row>
    <row r="29967">
      <c r="B29967" s="31"/>
      <c r="G29967" s="272" t="s">
        <v>1099</v>
      </c>
    </row>
    <row r="29968">
      <c r="B29968" s="31"/>
      <c r="G29968" s="272" t="s">
        <v>1099</v>
      </c>
    </row>
    <row r="29969">
      <c r="B29969" s="31"/>
      <c r="G29969" s="272" t="s">
        <v>1099</v>
      </c>
    </row>
    <row r="29970">
      <c r="B29970" s="31"/>
      <c r="G29970" s="272" t="s">
        <v>1099</v>
      </c>
    </row>
    <row r="29971">
      <c r="B29971" s="31"/>
      <c r="G29971" s="272" t="s">
        <v>1099</v>
      </c>
    </row>
    <row r="29972">
      <c r="B29972" s="31"/>
      <c r="G29972" s="272" t="s">
        <v>1099</v>
      </c>
    </row>
    <row r="29973">
      <c r="B29973" s="31"/>
      <c r="G29973" s="272" t="s">
        <v>1099</v>
      </c>
    </row>
    <row r="29974">
      <c r="B29974" s="31"/>
      <c r="G29974" s="272" t="s">
        <v>1099</v>
      </c>
    </row>
    <row r="29975">
      <c r="B29975" s="31"/>
      <c r="G29975" s="272" t="s">
        <v>1099</v>
      </c>
    </row>
    <row r="29976">
      <c r="B29976" s="31"/>
      <c r="G29976" s="272" t="s">
        <v>1099</v>
      </c>
    </row>
    <row r="29977">
      <c r="B29977" s="31"/>
      <c r="G29977" s="272" t="s">
        <v>1099</v>
      </c>
    </row>
    <row r="29978">
      <c r="B29978" s="31"/>
      <c r="G29978" s="272" t="s">
        <v>1099</v>
      </c>
    </row>
    <row r="29979">
      <c r="B29979" s="31"/>
      <c r="G29979" s="272" t="s">
        <v>1099</v>
      </c>
    </row>
    <row r="29980">
      <c r="B29980" s="31"/>
      <c r="G29980" s="272" t="s">
        <v>1099</v>
      </c>
    </row>
    <row r="29981">
      <c r="B29981" s="31"/>
      <c r="G29981" s="272" t="s">
        <v>1099</v>
      </c>
    </row>
    <row r="29982">
      <c r="B29982" s="31"/>
      <c r="G29982" s="272" t="s">
        <v>1099</v>
      </c>
    </row>
    <row r="29983">
      <c r="B29983" s="31"/>
      <c r="G29983" s="272" t="s">
        <v>1099</v>
      </c>
    </row>
    <row r="29984">
      <c r="B29984" s="31"/>
      <c r="G29984" s="272" t="s">
        <v>1099</v>
      </c>
    </row>
    <row r="29985">
      <c r="B29985" s="31"/>
      <c r="G29985" s="272" t="s">
        <v>1099</v>
      </c>
    </row>
    <row r="29986">
      <c r="B29986" s="31"/>
      <c r="G29986" s="272" t="s">
        <v>1099</v>
      </c>
    </row>
    <row r="29987">
      <c r="B29987" s="31"/>
      <c r="G29987" s="272" t="s">
        <v>1099</v>
      </c>
    </row>
    <row r="29988">
      <c r="B29988" s="31"/>
      <c r="G29988" s="272" t="s">
        <v>1099</v>
      </c>
    </row>
    <row r="29989">
      <c r="B29989" s="31"/>
      <c r="G29989" s="272" t="s">
        <v>1099</v>
      </c>
    </row>
    <row r="29990">
      <c r="B29990" s="31"/>
      <c r="G29990" s="272" t="s">
        <v>1099</v>
      </c>
    </row>
    <row r="29991">
      <c r="B29991" s="31"/>
      <c r="G29991" s="272" t="s">
        <v>1099</v>
      </c>
    </row>
    <row r="29992">
      <c r="B29992" s="31"/>
      <c r="G29992" s="272" t="s">
        <v>1099</v>
      </c>
    </row>
    <row r="29993">
      <c r="B29993" s="31"/>
      <c r="G29993" s="272" t="s">
        <v>1099</v>
      </c>
    </row>
    <row r="29994">
      <c r="B29994" s="31"/>
      <c r="G29994" s="272" t="s">
        <v>1099</v>
      </c>
    </row>
    <row r="29995">
      <c r="B29995" s="31"/>
      <c r="G29995" s="272" t="s">
        <v>1099</v>
      </c>
    </row>
    <row r="29996">
      <c r="B29996" s="31"/>
      <c r="G29996" s="272" t="s">
        <v>1099</v>
      </c>
    </row>
    <row r="29997">
      <c r="B29997" s="31"/>
      <c r="G29997" s="272" t="s">
        <v>1099</v>
      </c>
    </row>
    <row r="29998">
      <c r="B29998" s="31"/>
      <c r="G29998" s="272" t="s">
        <v>1099</v>
      </c>
    </row>
    <row r="29999">
      <c r="B29999" s="31"/>
      <c r="G29999" s="272" t="s">
        <v>1099</v>
      </c>
    </row>
    <row r="30000">
      <c r="B30000" s="31"/>
      <c r="G30000" s="272" t="s">
        <v>1099</v>
      </c>
    </row>
    <row r="30001">
      <c r="B30001" s="31"/>
      <c r="G30001" s="272" t="s">
        <v>1099</v>
      </c>
    </row>
    <row r="30002">
      <c r="B30002" s="31"/>
      <c r="G30002" s="272" t="s">
        <v>1099</v>
      </c>
    </row>
    <row r="30003">
      <c r="B30003" s="31"/>
      <c r="G30003" s="272" t="s">
        <v>1099</v>
      </c>
    </row>
    <row r="30004">
      <c r="B30004" s="31"/>
      <c r="G30004" s="272" t="s">
        <v>1099</v>
      </c>
    </row>
    <row r="30005">
      <c r="B30005" s="31"/>
      <c r="G30005" s="272" t="s">
        <v>1099</v>
      </c>
    </row>
    <row r="30006">
      <c r="B30006" s="31"/>
      <c r="G30006" s="272" t="s">
        <v>1099</v>
      </c>
    </row>
    <row r="30007">
      <c r="B30007" s="31"/>
      <c r="G30007" s="272" t="s">
        <v>1099</v>
      </c>
    </row>
    <row r="30008">
      <c r="B30008" s="31"/>
      <c r="G30008" s="272" t="s">
        <v>1099</v>
      </c>
    </row>
    <row r="30009">
      <c r="B30009" s="31"/>
      <c r="G30009" s="272" t="s">
        <v>1099</v>
      </c>
    </row>
    <row r="30010">
      <c r="B30010" s="31"/>
      <c r="G30010" s="272" t="s">
        <v>1099</v>
      </c>
    </row>
    <row r="30011">
      <c r="B30011" s="31"/>
      <c r="G30011" s="272" t="s">
        <v>1099</v>
      </c>
    </row>
    <row r="30012">
      <c r="B30012" s="31"/>
      <c r="G30012" s="272" t="s">
        <v>1099</v>
      </c>
    </row>
    <row r="30013">
      <c r="B30013" s="31"/>
      <c r="G30013" s="272" t="s">
        <v>1099</v>
      </c>
    </row>
    <row r="30014">
      <c r="B30014" s="31"/>
      <c r="G30014" s="272" t="s">
        <v>1099</v>
      </c>
    </row>
    <row r="30015">
      <c r="B30015" s="31"/>
      <c r="G30015" s="272" t="s">
        <v>1099</v>
      </c>
    </row>
    <row r="30016">
      <c r="B30016" s="31"/>
      <c r="G30016" s="272" t="s">
        <v>1099</v>
      </c>
    </row>
    <row r="30017">
      <c r="B30017" s="31"/>
      <c r="G30017" s="272" t="s">
        <v>1099</v>
      </c>
    </row>
    <row r="30018">
      <c r="B30018" s="31"/>
      <c r="G30018" s="272" t="s">
        <v>1099</v>
      </c>
    </row>
    <row r="30019">
      <c r="B30019" s="31"/>
      <c r="G30019" s="272" t="s">
        <v>1099</v>
      </c>
    </row>
    <row r="30020">
      <c r="B30020" s="31"/>
      <c r="G30020" s="272" t="s">
        <v>1099</v>
      </c>
    </row>
    <row r="30021">
      <c r="B30021" s="31"/>
      <c r="G30021" s="272" t="s">
        <v>1099</v>
      </c>
    </row>
    <row r="30022">
      <c r="B30022" s="31"/>
      <c r="G30022" s="272" t="s">
        <v>1099</v>
      </c>
    </row>
    <row r="30023">
      <c r="B30023" s="31"/>
      <c r="G30023" s="272" t="s">
        <v>1099</v>
      </c>
    </row>
    <row r="30024">
      <c r="B30024" s="31"/>
      <c r="G30024" s="272" t="s">
        <v>1099</v>
      </c>
    </row>
    <row r="30025">
      <c r="B30025" s="31"/>
      <c r="G30025" s="272" t="s">
        <v>1099</v>
      </c>
    </row>
    <row r="30026">
      <c r="B30026" s="31"/>
      <c r="G30026" s="272" t="s">
        <v>1099</v>
      </c>
    </row>
    <row r="30027">
      <c r="B30027" s="31"/>
      <c r="G30027" s="272" t="s">
        <v>1099</v>
      </c>
    </row>
    <row r="30028">
      <c r="B30028" s="31"/>
      <c r="G30028" s="272" t="s">
        <v>1099</v>
      </c>
    </row>
    <row r="30029">
      <c r="B30029" s="31"/>
      <c r="G30029" s="272" t="s">
        <v>1099</v>
      </c>
    </row>
    <row r="30030">
      <c r="B30030" s="31"/>
      <c r="G30030" s="272" t="s">
        <v>1099</v>
      </c>
    </row>
    <row r="30031">
      <c r="B30031" s="31"/>
      <c r="G30031" s="272" t="s">
        <v>1099</v>
      </c>
    </row>
    <row r="30032">
      <c r="B30032" s="31"/>
      <c r="G30032" s="272" t="s">
        <v>1099</v>
      </c>
    </row>
    <row r="30033">
      <c r="B30033" s="31"/>
      <c r="G30033" s="272" t="s">
        <v>1099</v>
      </c>
    </row>
    <row r="30034">
      <c r="B30034" s="31"/>
      <c r="G30034" s="272" t="s">
        <v>1099</v>
      </c>
    </row>
    <row r="30035">
      <c r="B30035" s="31"/>
      <c r="G30035" s="272" t="s">
        <v>1099</v>
      </c>
    </row>
    <row r="30036">
      <c r="B30036" s="31"/>
      <c r="G30036" s="272" t="s">
        <v>1099</v>
      </c>
    </row>
    <row r="30037">
      <c r="B30037" s="31"/>
      <c r="G30037" s="272" t="s">
        <v>1099</v>
      </c>
    </row>
    <row r="30038">
      <c r="B30038" s="31"/>
      <c r="G30038" s="272" t="s">
        <v>1099</v>
      </c>
    </row>
    <row r="30039">
      <c r="B30039" s="31"/>
      <c r="G30039" s="272" t="s">
        <v>1099</v>
      </c>
    </row>
    <row r="30040">
      <c r="B30040" s="31"/>
      <c r="G30040" s="272" t="s">
        <v>1099</v>
      </c>
    </row>
    <row r="30041">
      <c r="B30041" s="31"/>
      <c r="G30041" s="272" t="s">
        <v>1099</v>
      </c>
    </row>
    <row r="30042">
      <c r="B30042" s="31"/>
      <c r="G30042" s="272" t="s">
        <v>1099</v>
      </c>
    </row>
    <row r="30043">
      <c r="B30043" s="31"/>
      <c r="G30043" s="272" t="s">
        <v>1099</v>
      </c>
    </row>
    <row r="30044">
      <c r="B30044" s="31"/>
      <c r="G30044" s="272" t="s">
        <v>1099</v>
      </c>
    </row>
    <row r="30045">
      <c r="B30045" s="31"/>
      <c r="G30045" s="272" t="s">
        <v>1099</v>
      </c>
    </row>
    <row r="30046">
      <c r="B30046" s="31"/>
      <c r="G30046" s="272" t="s">
        <v>1099</v>
      </c>
    </row>
    <row r="30047">
      <c r="B30047" s="31"/>
      <c r="G30047" s="272" t="s">
        <v>1099</v>
      </c>
    </row>
    <row r="30048">
      <c r="B30048" s="31"/>
      <c r="G30048" s="272" t="s">
        <v>1099</v>
      </c>
    </row>
    <row r="30049">
      <c r="B30049" s="31"/>
      <c r="G30049" s="272" t="s">
        <v>1099</v>
      </c>
    </row>
    <row r="30050">
      <c r="B30050" s="31"/>
      <c r="G30050" s="272" t="s">
        <v>1099</v>
      </c>
    </row>
    <row r="30051">
      <c r="B30051" s="31"/>
      <c r="G30051" s="272" t="s">
        <v>1099</v>
      </c>
    </row>
    <row r="30052">
      <c r="B30052" s="31"/>
      <c r="G30052" s="272" t="s">
        <v>1099</v>
      </c>
    </row>
    <row r="30053">
      <c r="B30053" s="31"/>
      <c r="G30053" s="272" t="s">
        <v>1099</v>
      </c>
    </row>
    <row r="30054">
      <c r="B30054" s="31"/>
      <c r="G30054" s="272" t="s">
        <v>1099</v>
      </c>
    </row>
    <row r="30055">
      <c r="B30055" s="31"/>
      <c r="G30055" s="272" t="s">
        <v>1099</v>
      </c>
    </row>
    <row r="30056">
      <c r="B30056" s="31"/>
      <c r="G30056" s="272" t="s">
        <v>1099</v>
      </c>
    </row>
    <row r="30057">
      <c r="B30057" s="31"/>
      <c r="G30057" s="272" t="s">
        <v>1099</v>
      </c>
    </row>
    <row r="30058">
      <c r="B30058" s="31"/>
      <c r="G30058" s="272" t="s">
        <v>1099</v>
      </c>
    </row>
    <row r="30059">
      <c r="B30059" s="31"/>
      <c r="G30059" s="272" t="s">
        <v>1099</v>
      </c>
    </row>
    <row r="30060">
      <c r="B30060" s="31"/>
      <c r="G30060" s="272" t="s">
        <v>1099</v>
      </c>
    </row>
    <row r="30061">
      <c r="B30061" s="31"/>
      <c r="G30061" s="272" t="s">
        <v>1099</v>
      </c>
    </row>
    <row r="30062">
      <c r="B30062" s="31"/>
      <c r="G30062" s="272" t="s">
        <v>1099</v>
      </c>
    </row>
    <row r="30063">
      <c r="B30063" s="31"/>
      <c r="G30063" s="272" t="s">
        <v>1099</v>
      </c>
    </row>
    <row r="30064">
      <c r="B30064" s="31"/>
      <c r="G30064" s="272" t="s">
        <v>1099</v>
      </c>
    </row>
    <row r="30065">
      <c r="B30065" s="31"/>
      <c r="G30065" s="272" t="s">
        <v>1099</v>
      </c>
    </row>
    <row r="30066">
      <c r="B30066" s="31"/>
      <c r="G30066" s="272" t="s">
        <v>1099</v>
      </c>
    </row>
    <row r="30067">
      <c r="B30067" s="31"/>
      <c r="G30067" s="272" t="s">
        <v>1099</v>
      </c>
    </row>
    <row r="30068">
      <c r="B30068" s="31"/>
      <c r="G30068" s="272" t="s">
        <v>1099</v>
      </c>
    </row>
    <row r="30069">
      <c r="B30069" s="31"/>
      <c r="G30069" s="272" t="s">
        <v>1099</v>
      </c>
    </row>
    <row r="30070">
      <c r="B30070" s="31"/>
      <c r="G30070" s="272" t="s">
        <v>1099</v>
      </c>
    </row>
    <row r="30071">
      <c r="B30071" s="31"/>
      <c r="G30071" s="272" t="s">
        <v>1099</v>
      </c>
    </row>
    <row r="30072">
      <c r="B30072" s="31"/>
      <c r="G30072" s="272" t="s">
        <v>1099</v>
      </c>
    </row>
    <row r="30073">
      <c r="B30073" s="31"/>
      <c r="G30073" s="272" t="s">
        <v>1099</v>
      </c>
    </row>
    <row r="30074">
      <c r="B30074" s="31"/>
      <c r="G30074" s="272" t="s">
        <v>1099</v>
      </c>
    </row>
    <row r="30075">
      <c r="B30075" s="31"/>
      <c r="G30075" s="272" t="s">
        <v>1099</v>
      </c>
    </row>
    <row r="30076">
      <c r="B30076" s="31"/>
      <c r="G30076" s="272" t="s">
        <v>1099</v>
      </c>
    </row>
    <row r="30077">
      <c r="B30077" s="31"/>
      <c r="G30077" s="272" t="s">
        <v>1099</v>
      </c>
    </row>
    <row r="30078">
      <c r="B30078" s="31"/>
      <c r="G30078" s="272" t="s">
        <v>1099</v>
      </c>
    </row>
    <row r="30079">
      <c r="B30079" s="31"/>
      <c r="G30079" s="272" t="s">
        <v>1099</v>
      </c>
    </row>
    <row r="30080">
      <c r="B30080" s="31"/>
      <c r="G30080" s="272" t="s">
        <v>1099</v>
      </c>
    </row>
    <row r="30081">
      <c r="B30081" s="31"/>
      <c r="G30081" s="272" t="s">
        <v>1099</v>
      </c>
    </row>
    <row r="30082">
      <c r="B30082" s="31"/>
      <c r="G30082" s="272" t="s">
        <v>1099</v>
      </c>
    </row>
    <row r="30083">
      <c r="B30083" s="31"/>
      <c r="G30083" s="272" t="s">
        <v>1099</v>
      </c>
    </row>
    <row r="30084">
      <c r="B30084" s="31"/>
      <c r="G30084" s="272" t="s">
        <v>1099</v>
      </c>
    </row>
    <row r="30085">
      <c r="B30085" s="31"/>
      <c r="G30085" s="272" t="s">
        <v>1099</v>
      </c>
    </row>
    <row r="30086">
      <c r="B30086" s="31"/>
      <c r="G30086" s="272" t="s">
        <v>1099</v>
      </c>
    </row>
    <row r="30087">
      <c r="B30087" s="31"/>
      <c r="G30087" s="272" t="s">
        <v>1099</v>
      </c>
    </row>
    <row r="30088">
      <c r="B30088" s="31"/>
      <c r="G30088" s="272" t="s">
        <v>1099</v>
      </c>
    </row>
    <row r="30089">
      <c r="B30089" s="31"/>
      <c r="G30089" s="272" t="s">
        <v>1099</v>
      </c>
    </row>
    <row r="30090">
      <c r="B30090" s="31"/>
      <c r="G30090" s="272" t="s">
        <v>1099</v>
      </c>
    </row>
    <row r="30091">
      <c r="B30091" s="31"/>
      <c r="G30091" s="272" t="s">
        <v>1099</v>
      </c>
    </row>
    <row r="30092">
      <c r="B30092" s="31"/>
      <c r="G30092" s="272" t="s">
        <v>1099</v>
      </c>
    </row>
    <row r="30093">
      <c r="B30093" s="31"/>
      <c r="G30093" s="272" t="s">
        <v>1099</v>
      </c>
    </row>
    <row r="30094">
      <c r="B30094" s="31"/>
      <c r="G30094" s="272" t="s">
        <v>1099</v>
      </c>
    </row>
    <row r="30095">
      <c r="B30095" s="31"/>
      <c r="G30095" s="272" t="s">
        <v>1099</v>
      </c>
    </row>
    <row r="30096">
      <c r="B30096" s="31"/>
      <c r="G30096" s="272" t="s">
        <v>1099</v>
      </c>
    </row>
    <row r="30097">
      <c r="B30097" s="31"/>
      <c r="G30097" s="272" t="s">
        <v>1099</v>
      </c>
    </row>
    <row r="30098">
      <c r="B30098" s="31"/>
      <c r="G30098" s="272" t="s">
        <v>1099</v>
      </c>
    </row>
    <row r="30099">
      <c r="B30099" s="31"/>
      <c r="G30099" s="272" t="s">
        <v>1099</v>
      </c>
    </row>
    <row r="30100">
      <c r="B30100" s="31"/>
      <c r="G30100" s="272" t="s">
        <v>1099</v>
      </c>
    </row>
    <row r="30101">
      <c r="B30101" s="31"/>
      <c r="G30101" s="272" t="s">
        <v>1099</v>
      </c>
    </row>
    <row r="30102">
      <c r="B30102" s="31"/>
      <c r="G30102" s="272" t="s">
        <v>1099</v>
      </c>
    </row>
    <row r="30103">
      <c r="B30103" s="31"/>
      <c r="G30103" s="272" t="s">
        <v>1099</v>
      </c>
    </row>
    <row r="30104">
      <c r="B30104" s="31"/>
      <c r="G30104" s="272" t="s">
        <v>1099</v>
      </c>
    </row>
    <row r="30105">
      <c r="B30105" s="31"/>
      <c r="G30105" s="272" t="s">
        <v>1099</v>
      </c>
    </row>
    <row r="30106">
      <c r="B30106" s="31"/>
      <c r="G30106" s="272" t="s">
        <v>1099</v>
      </c>
    </row>
    <row r="30107">
      <c r="B30107" s="31"/>
      <c r="G30107" s="272" t="s">
        <v>1099</v>
      </c>
    </row>
    <row r="30108">
      <c r="B30108" s="31"/>
      <c r="G30108" s="272" t="s">
        <v>1099</v>
      </c>
    </row>
    <row r="30109">
      <c r="B30109" s="31"/>
      <c r="G30109" s="272" t="s">
        <v>1099</v>
      </c>
    </row>
    <row r="30110">
      <c r="B30110" s="31"/>
      <c r="G30110" s="272" t="s">
        <v>1099</v>
      </c>
    </row>
    <row r="30111">
      <c r="B30111" s="31"/>
      <c r="G30111" s="272" t="s">
        <v>1099</v>
      </c>
    </row>
    <row r="30112">
      <c r="B30112" s="31"/>
      <c r="G30112" s="272" t="s">
        <v>1099</v>
      </c>
    </row>
    <row r="30113">
      <c r="B30113" s="31"/>
      <c r="G30113" s="272" t="s">
        <v>1099</v>
      </c>
    </row>
    <row r="30114">
      <c r="B30114" s="31"/>
      <c r="G30114" s="272" t="s">
        <v>1099</v>
      </c>
    </row>
    <row r="30115">
      <c r="B30115" s="31"/>
      <c r="G30115" s="272" t="s">
        <v>1099</v>
      </c>
    </row>
    <row r="30116">
      <c r="B30116" s="31"/>
      <c r="G30116" s="272" t="s">
        <v>1099</v>
      </c>
    </row>
    <row r="30117">
      <c r="B30117" s="31"/>
      <c r="G30117" s="272" t="s">
        <v>1099</v>
      </c>
    </row>
    <row r="30118">
      <c r="B30118" s="31"/>
      <c r="G30118" s="272" t="s">
        <v>1099</v>
      </c>
    </row>
    <row r="30119">
      <c r="B30119" s="31"/>
      <c r="G30119" s="272" t="s">
        <v>1099</v>
      </c>
    </row>
    <row r="30120">
      <c r="B30120" s="31"/>
      <c r="G30120" s="272" t="s">
        <v>1099</v>
      </c>
    </row>
    <row r="30121">
      <c r="B30121" s="31"/>
      <c r="G30121" s="272" t="s">
        <v>1099</v>
      </c>
    </row>
    <row r="30122">
      <c r="B30122" s="31"/>
      <c r="G30122" s="272" t="s">
        <v>1099</v>
      </c>
    </row>
    <row r="30123">
      <c r="B30123" s="31"/>
      <c r="G30123" s="272" t="s">
        <v>1099</v>
      </c>
    </row>
    <row r="30124">
      <c r="B30124" s="31"/>
      <c r="G30124" s="272" t="s">
        <v>1099</v>
      </c>
    </row>
    <row r="30125">
      <c r="B30125" s="31"/>
      <c r="G30125" s="272" t="s">
        <v>1099</v>
      </c>
    </row>
    <row r="30126">
      <c r="B30126" s="31"/>
      <c r="G30126" s="272" t="s">
        <v>1099</v>
      </c>
    </row>
    <row r="30127">
      <c r="B30127" s="31"/>
      <c r="G30127" s="272" t="s">
        <v>1099</v>
      </c>
    </row>
    <row r="30128">
      <c r="B30128" s="31"/>
      <c r="G30128" s="272" t="s">
        <v>1099</v>
      </c>
    </row>
    <row r="30129">
      <c r="B30129" s="31"/>
      <c r="G30129" s="272" t="s">
        <v>1099</v>
      </c>
    </row>
    <row r="30130">
      <c r="B30130" s="31"/>
      <c r="G30130" s="272" t="s">
        <v>1099</v>
      </c>
    </row>
    <row r="30131">
      <c r="B30131" s="31"/>
      <c r="G30131" s="272" t="s">
        <v>1099</v>
      </c>
    </row>
    <row r="30132">
      <c r="B30132" s="31"/>
      <c r="G30132" s="272" t="s">
        <v>1099</v>
      </c>
    </row>
    <row r="30133">
      <c r="B30133" s="31"/>
      <c r="G30133" s="272" t="s">
        <v>1099</v>
      </c>
    </row>
    <row r="30134">
      <c r="B30134" s="31"/>
      <c r="G30134" s="272" t="s">
        <v>1099</v>
      </c>
    </row>
    <row r="30135">
      <c r="B30135" s="31"/>
      <c r="G30135" s="272" t="s">
        <v>1099</v>
      </c>
    </row>
    <row r="30136">
      <c r="B30136" s="31"/>
      <c r="G30136" s="272" t="s">
        <v>1099</v>
      </c>
    </row>
    <row r="30137">
      <c r="B30137" s="31"/>
      <c r="G30137" s="272" t="s">
        <v>1099</v>
      </c>
    </row>
    <row r="30138">
      <c r="B30138" s="31"/>
      <c r="G30138" s="272" t="s">
        <v>1099</v>
      </c>
    </row>
    <row r="30139">
      <c r="B30139" s="31"/>
      <c r="G30139" s="272" t="s">
        <v>1099</v>
      </c>
    </row>
    <row r="30140">
      <c r="B30140" s="31"/>
      <c r="G30140" s="272" t="s">
        <v>1099</v>
      </c>
    </row>
    <row r="30141">
      <c r="B30141" s="31"/>
      <c r="G30141" s="272" t="s">
        <v>1099</v>
      </c>
    </row>
    <row r="30142">
      <c r="B30142" s="31"/>
      <c r="G30142" s="272" t="s">
        <v>1099</v>
      </c>
    </row>
    <row r="30143">
      <c r="B30143" s="31"/>
      <c r="G30143" s="272" t="s">
        <v>1099</v>
      </c>
    </row>
    <row r="30144">
      <c r="B30144" s="31"/>
      <c r="G30144" s="272" t="s">
        <v>1099</v>
      </c>
    </row>
    <row r="30145">
      <c r="B30145" s="31"/>
      <c r="G30145" s="272" t="s">
        <v>1099</v>
      </c>
    </row>
    <row r="30146">
      <c r="B30146" s="31"/>
      <c r="G30146" s="272" t="s">
        <v>1099</v>
      </c>
    </row>
    <row r="30147">
      <c r="B30147" s="31"/>
      <c r="G30147" s="272" t="s">
        <v>1099</v>
      </c>
    </row>
    <row r="30148">
      <c r="B30148" s="31"/>
      <c r="G30148" s="272" t="s">
        <v>1099</v>
      </c>
    </row>
    <row r="30149">
      <c r="B30149" s="31"/>
      <c r="G30149" s="272" t="s">
        <v>1099</v>
      </c>
    </row>
    <row r="30150">
      <c r="B30150" s="31"/>
      <c r="G30150" s="272" t="s">
        <v>1099</v>
      </c>
    </row>
    <row r="30151">
      <c r="B30151" s="31"/>
      <c r="G30151" s="272" t="s">
        <v>1099</v>
      </c>
    </row>
    <row r="30152">
      <c r="B30152" s="31"/>
      <c r="G30152" s="272" t="s">
        <v>1099</v>
      </c>
    </row>
    <row r="30153">
      <c r="B30153" s="31"/>
      <c r="G30153" s="272" t="s">
        <v>1099</v>
      </c>
    </row>
    <row r="30154">
      <c r="B30154" s="31"/>
      <c r="G30154" s="272" t="s">
        <v>1099</v>
      </c>
    </row>
    <row r="30155">
      <c r="B30155" s="31"/>
      <c r="G30155" s="272" t="s">
        <v>1099</v>
      </c>
    </row>
    <row r="30156">
      <c r="B30156" s="31"/>
      <c r="G30156" s="272" t="s">
        <v>1099</v>
      </c>
    </row>
    <row r="30157">
      <c r="B30157" s="31"/>
      <c r="G30157" s="272" t="s">
        <v>1099</v>
      </c>
    </row>
    <row r="30158">
      <c r="B30158" s="31"/>
      <c r="G30158" s="272" t="s">
        <v>1099</v>
      </c>
    </row>
    <row r="30159">
      <c r="B30159" s="31"/>
      <c r="G30159" s="272" t="s">
        <v>1099</v>
      </c>
    </row>
    <row r="30160">
      <c r="B30160" s="31"/>
      <c r="G30160" s="272" t="s">
        <v>1099</v>
      </c>
    </row>
    <row r="30161">
      <c r="B30161" s="31"/>
      <c r="G30161" s="272" t="s">
        <v>1099</v>
      </c>
    </row>
    <row r="30162">
      <c r="B30162" s="31"/>
      <c r="G30162" s="272" t="s">
        <v>1099</v>
      </c>
    </row>
    <row r="30163">
      <c r="B30163" s="31"/>
      <c r="G30163" s="272" t="s">
        <v>1099</v>
      </c>
    </row>
    <row r="30164">
      <c r="B30164" s="31"/>
      <c r="G30164" s="272" t="s">
        <v>1099</v>
      </c>
    </row>
    <row r="30165">
      <c r="B30165" s="31"/>
      <c r="G30165" s="272" t="s">
        <v>1099</v>
      </c>
    </row>
    <row r="30166">
      <c r="B30166" s="31"/>
      <c r="G30166" s="272" t="s">
        <v>1099</v>
      </c>
    </row>
    <row r="30167">
      <c r="B30167" s="31"/>
      <c r="G30167" s="272" t="s">
        <v>1099</v>
      </c>
    </row>
    <row r="30168">
      <c r="B30168" s="31"/>
      <c r="G30168" s="272" t="s">
        <v>1099</v>
      </c>
    </row>
    <row r="30169">
      <c r="B30169" s="31"/>
      <c r="G30169" s="272" t="s">
        <v>1099</v>
      </c>
    </row>
    <row r="30170">
      <c r="B30170" s="31"/>
      <c r="G30170" s="272" t="s">
        <v>1099</v>
      </c>
    </row>
    <row r="30171">
      <c r="B30171" s="31"/>
      <c r="G30171" s="272" t="s">
        <v>1099</v>
      </c>
    </row>
    <row r="30172">
      <c r="B30172" s="31"/>
      <c r="G30172" s="272" t="s">
        <v>1099</v>
      </c>
    </row>
    <row r="30173">
      <c r="B30173" s="31"/>
      <c r="G30173" s="272" t="s">
        <v>1099</v>
      </c>
    </row>
    <row r="30174">
      <c r="B30174" s="31"/>
      <c r="G30174" s="272" t="s">
        <v>1099</v>
      </c>
    </row>
    <row r="30175">
      <c r="B30175" s="31"/>
      <c r="G30175" s="272" t="s">
        <v>1099</v>
      </c>
    </row>
    <row r="30176">
      <c r="B30176" s="31"/>
      <c r="G30176" s="272" t="s">
        <v>1099</v>
      </c>
    </row>
    <row r="30177">
      <c r="B30177" s="31"/>
      <c r="G30177" s="272" t="s">
        <v>1099</v>
      </c>
    </row>
    <row r="30178">
      <c r="B30178" s="31"/>
      <c r="G30178" s="272" t="s">
        <v>1099</v>
      </c>
    </row>
    <row r="30179">
      <c r="B30179" s="31"/>
      <c r="G30179" s="272" t="s">
        <v>1099</v>
      </c>
    </row>
    <row r="30180">
      <c r="B30180" s="31"/>
      <c r="G30180" s="272" t="s">
        <v>1099</v>
      </c>
    </row>
    <row r="30181">
      <c r="B30181" s="31"/>
      <c r="G30181" s="272" t="s">
        <v>1099</v>
      </c>
    </row>
    <row r="30182">
      <c r="B30182" s="31"/>
      <c r="G30182" s="272" t="s">
        <v>1099</v>
      </c>
    </row>
    <row r="30183">
      <c r="B30183" s="31"/>
      <c r="G30183" s="272" t="s">
        <v>1099</v>
      </c>
    </row>
    <row r="30184">
      <c r="B30184" s="31"/>
      <c r="G30184" s="272" t="s">
        <v>1099</v>
      </c>
    </row>
    <row r="30185">
      <c r="B30185" s="31"/>
      <c r="G30185" s="272" t="s">
        <v>1099</v>
      </c>
    </row>
    <row r="30186">
      <c r="B30186" s="31"/>
      <c r="G30186" s="272" t="s">
        <v>1099</v>
      </c>
    </row>
    <row r="30187">
      <c r="B30187" s="31"/>
      <c r="G30187" s="272" t="s">
        <v>1099</v>
      </c>
    </row>
    <row r="30188">
      <c r="B30188" s="31"/>
      <c r="G30188" s="272" t="s">
        <v>1099</v>
      </c>
    </row>
    <row r="30189">
      <c r="B30189" s="31"/>
      <c r="G30189" s="272" t="s">
        <v>1099</v>
      </c>
    </row>
    <row r="30190">
      <c r="B30190" s="31"/>
      <c r="G30190" s="272" t="s">
        <v>1099</v>
      </c>
    </row>
    <row r="30191">
      <c r="B30191" s="31"/>
      <c r="G30191" s="272" t="s">
        <v>1099</v>
      </c>
    </row>
    <row r="30192">
      <c r="B30192" s="31"/>
      <c r="G30192" s="272" t="s">
        <v>1099</v>
      </c>
    </row>
    <row r="30193">
      <c r="B30193" s="31"/>
      <c r="G30193" s="272" t="s">
        <v>1099</v>
      </c>
    </row>
    <row r="30194">
      <c r="B30194" s="31"/>
      <c r="G30194" s="272" t="s">
        <v>1099</v>
      </c>
    </row>
    <row r="30195">
      <c r="B30195" s="31"/>
      <c r="G30195" s="272" t="s">
        <v>1099</v>
      </c>
    </row>
    <row r="30196">
      <c r="B30196" s="31"/>
      <c r="G30196" s="272" t="s">
        <v>1099</v>
      </c>
    </row>
    <row r="30197">
      <c r="B30197" s="31"/>
      <c r="G30197" s="272" t="s">
        <v>1099</v>
      </c>
    </row>
    <row r="30198">
      <c r="B30198" s="31"/>
      <c r="G30198" s="272" t="s">
        <v>1099</v>
      </c>
    </row>
    <row r="30199">
      <c r="B30199" s="31"/>
      <c r="G30199" s="272" t="s">
        <v>1099</v>
      </c>
    </row>
    <row r="30200">
      <c r="B30200" s="31"/>
      <c r="G30200" s="272" t="s">
        <v>1099</v>
      </c>
    </row>
    <row r="30201">
      <c r="B30201" s="31"/>
      <c r="G30201" s="272" t="s">
        <v>1099</v>
      </c>
    </row>
    <row r="30202">
      <c r="B30202" s="31"/>
      <c r="G30202" s="272" t="s">
        <v>1099</v>
      </c>
    </row>
    <row r="30203">
      <c r="B30203" s="31"/>
      <c r="G30203" s="272" t="s">
        <v>1099</v>
      </c>
    </row>
    <row r="30204">
      <c r="B30204" s="31"/>
      <c r="G30204" s="272" t="s">
        <v>1099</v>
      </c>
    </row>
    <row r="30205">
      <c r="B30205" s="31"/>
      <c r="G30205" s="272" t="s">
        <v>1099</v>
      </c>
    </row>
    <row r="30206">
      <c r="B30206" s="31"/>
      <c r="G30206" s="272" t="s">
        <v>1099</v>
      </c>
    </row>
    <row r="30207">
      <c r="B30207" s="31"/>
      <c r="G30207" s="272" t="s">
        <v>1099</v>
      </c>
    </row>
    <row r="30208">
      <c r="B30208" s="31"/>
      <c r="G30208" s="272" t="s">
        <v>1099</v>
      </c>
    </row>
    <row r="30209">
      <c r="B30209" s="31"/>
      <c r="G30209" s="272" t="s">
        <v>1099</v>
      </c>
    </row>
    <row r="30210">
      <c r="B30210" s="31"/>
      <c r="G30210" s="272" t="s">
        <v>1099</v>
      </c>
    </row>
    <row r="30211">
      <c r="B30211" s="31"/>
      <c r="G30211" s="272" t="s">
        <v>1099</v>
      </c>
    </row>
    <row r="30212">
      <c r="B30212" s="31"/>
      <c r="G30212" s="272" t="s">
        <v>1099</v>
      </c>
    </row>
    <row r="30213">
      <c r="B30213" s="31"/>
      <c r="G30213" s="272" t="s">
        <v>1099</v>
      </c>
    </row>
    <row r="30214">
      <c r="B30214" s="31"/>
      <c r="G30214" s="272" t="s">
        <v>1099</v>
      </c>
    </row>
    <row r="30215">
      <c r="B30215" s="31"/>
      <c r="G30215" s="272" t="s">
        <v>1099</v>
      </c>
    </row>
    <row r="30216">
      <c r="B30216" s="31"/>
      <c r="G30216" s="272" t="s">
        <v>1099</v>
      </c>
    </row>
    <row r="30217">
      <c r="B30217" s="31"/>
      <c r="G30217" s="272" t="s">
        <v>1099</v>
      </c>
    </row>
    <row r="30218">
      <c r="B30218" s="31"/>
      <c r="G30218" s="272" t="s">
        <v>1099</v>
      </c>
    </row>
    <row r="30219">
      <c r="B30219" s="31"/>
      <c r="G30219" s="272" t="s">
        <v>1099</v>
      </c>
    </row>
    <row r="30220">
      <c r="B30220" s="31"/>
      <c r="G30220" s="272" t="s">
        <v>1099</v>
      </c>
    </row>
    <row r="30221">
      <c r="B30221" s="31"/>
      <c r="G30221" s="272" t="s">
        <v>1099</v>
      </c>
    </row>
    <row r="30222">
      <c r="B30222" s="31"/>
      <c r="G30222" s="272" t="s">
        <v>1099</v>
      </c>
    </row>
    <row r="30223">
      <c r="B30223" s="31"/>
      <c r="G30223" s="272" t="s">
        <v>1099</v>
      </c>
    </row>
    <row r="30224">
      <c r="B30224" s="31"/>
      <c r="G30224" s="272" t="s">
        <v>1099</v>
      </c>
    </row>
    <row r="30225">
      <c r="B30225" s="31"/>
      <c r="G30225" s="272" t="s">
        <v>1099</v>
      </c>
    </row>
    <row r="30226">
      <c r="B30226" s="31"/>
      <c r="G30226" s="272" t="s">
        <v>1099</v>
      </c>
    </row>
    <row r="30227">
      <c r="B30227" s="31"/>
      <c r="G30227" s="272" t="s">
        <v>1099</v>
      </c>
    </row>
    <row r="30228">
      <c r="B30228" s="31"/>
      <c r="G30228" s="272" t="s">
        <v>1099</v>
      </c>
    </row>
    <row r="30229">
      <c r="B30229" s="31"/>
      <c r="G30229" s="272" t="s">
        <v>1099</v>
      </c>
    </row>
    <row r="30230">
      <c r="B30230" s="31"/>
      <c r="G30230" s="272" t="s">
        <v>1099</v>
      </c>
    </row>
    <row r="30231">
      <c r="B30231" s="31"/>
      <c r="G30231" s="272" t="s">
        <v>1099</v>
      </c>
    </row>
    <row r="30232">
      <c r="B30232" s="31"/>
      <c r="G30232" s="272" t="s">
        <v>1099</v>
      </c>
    </row>
    <row r="30233">
      <c r="B30233" s="31"/>
      <c r="G30233" s="272" t="s">
        <v>1099</v>
      </c>
    </row>
    <row r="30234">
      <c r="B30234" s="31"/>
      <c r="G30234" s="272" t="s">
        <v>1099</v>
      </c>
    </row>
    <row r="30235">
      <c r="B30235" s="31"/>
      <c r="G30235" s="272" t="s">
        <v>1099</v>
      </c>
    </row>
    <row r="30236">
      <c r="B30236" s="31"/>
      <c r="G30236" s="272" t="s">
        <v>1099</v>
      </c>
    </row>
    <row r="30237">
      <c r="B30237" s="31"/>
      <c r="G30237" s="272" t="s">
        <v>1099</v>
      </c>
    </row>
    <row r="30238">
      <c r="B30238" s="31"/>
      <c r="G30238" s="272" t="s">
        <v>1099</v>
      </c>
    </row>
    <row r="30239">
      <c r="B30239" s="31"/>
      <c r="G30239" s="272" t="s">
        <v>1099</v>
      </c>
    </row>
    <row r="30240">
      <c r="B30240" s="31"/>
      <c r="G30240" s="272" t="s">
        <v>1099</v>
      </c>
    </row>
    <row r="30241">
      <c r="B30241" s="31"/>
      <c r="G30241" s="272" t="s">
        <v>1099</v>
      </c>
    </row>
    <row r="30242">
      <c r="B30242" s="31"/>
      <c r="G30242" s="272" t="s">
        <v>1099</v>
      </c>
    </row>
    <row r="30243">
      <c r="B30243" s="31"/>
      <c r="G30243" s="272" t="s">
        <v>1099</v>
      </c>
    </row>
    <row r="30244">
      <c r="B30244" s="31"/>
      <c r="G30244" s="272" t="s">
        <v>1099</v>
      </c>
    </row>
    <row r="30245">
      <c r="B30245" s="31"/>
      <c r="G30245" s="272" t="s">
        <v>1099</v>
      </c>
    </row>
    <row r="30246">
      <c r="B30246" s="31"/>
      <c r="G30246" s="272" t="s">
        <v>1099</v>
      </c>
    </row>
    <row r="30247">
      <c r="B30247" s="31"/>
      <c r="G30247" s="272" t="s">
        <v>1099</v>
      </c>
    </row>
    <row r="30248">
      <c r="B30248" s="31"/>
      <c r="G30248" s="272" t="s">
        <v>1099</v>
      </c>
    </row>
    <row r="30249">
      <c r="B30249" s="31"/>
      <c r="G30249" s="272" t="s">
        <v>1099</v>
      </c>
    </row>
    <row r="30250">
      <c r="B30250" s="31"/>
      <c r="G30250" s="272" t="s">
        <v>1099</v>
      </c>
    </row>
    <row r="30251">
      <c r="B30251" s="31"/>
      <c r="G30251" s="272" t="s">
        <v>1099</v>
      </c>
    </row>
    <row r="30252">
      <c r="B30252" s="31"/>
      <c r="G30252" s="272" t="s">
        <v>1099</v>
      </c>
    </row>
    <row r="30253">
      <c r="B30253" s="31"/>
      <c r="G30253" s="272" t="s">
        <v>1099</v>
      </c>
    </row>
    <row r="30254">
      <c r="B30254" s="31"/>
      <c r="G30254" s="272" t="s">
        <v>1099</v>
      </c>
    </row>
    <row r="30255">
      <c r="B30255" s="31"/>
      <c r="G30255" s="272" t="s">
        <v>1099</v>
      </c>
    </row>
    <row r="30256">
      <c r="B30256" s="31"/>
      <c r="G30256" s="272" t="s">
        <v>1099</v>
      </c>
    </row>
    <row r="30257">
      <c r="B30257" s="31"/>
      <c r="G30257" s="272" t="s">
        <v>1099</v>
      </c>
    </row>
    <row r="30258">
      <c r="B30258" s="31"/>
      <c r="G30258" s="272" t="s">
        <v>1099</v>
      </c>
    </row>
    <row r="30259">
      <c r="B30259" s="31"/>
      <c r="G30259" s="272" t="s">
        <v>1099</v>
      </c>
    </row>
    <row r="30260">
      <c r="B30260" s="31"/>
      <c r="G30260" s="272" t="s">
        <v>1099</v>
      </c>
    </row>
    <row r="30261">
      <c r="B30261" s="31"/>
      <c r="G30261" s="272" t="s">
        <v>1099</v>
      </c>
    </row>
    <row r="30262">
      <c r="B30262" s="31"/>
      <c r="G30262" s="272" t="s">
        <v>1099</v>
      </c>
    </row>
    <row r="30263">
      <c r="B30263" s="31"/>
      <c r="G30263" s="272" t="s">
        <v>1099</v>
      </c>
    </row>
    <row r="30264">
      <c r="B30264" s="31"/>
      <c r="G30264" s="272" t="s">
        <v>1099</v>
      </c>
    </row>
    <row r="30265">
      <c r="B30265" s="31"/>
      <c r="G30265" s="272" t="s">
        <v>1099</v>
      </c>
    </row>
    <row r="30266">
      <c r="B30266" s="31"/>
      <c r="G30266" s="272" t="s">
        <v>1099</v>
      </c>
    </row>
    <row r="30267">
      <c r="B30267" s="31"/>
      <c r="G30267" s="272" t="s">
        <v>1099</v>
      </c>
    </row>
    <row r="30268">
      <c r="B30268" s="31"/>
      <c r="G30268" s="272" t="s">
        <v>1099</v>
      </c>
    </row>
    <row r="30269">
      <c r="B30269" s="31"/>
      <c r="G30269" s="272" t="s">
        <v>1099</v>
      </c>
    </row>
    <row r="30270">
      <c r="B30270" s="31"/>
      <c r="G30270" s="272" t="s">
        <v>1099</v>
      </c>
    </row>
    <row r="30271">
      <c r="B30271" s="31"/>
      <c r="G30271" s="272" t="s">
        <v>1099</v>
      </c>
    </row>
    <row r="30272">
      <c r="B30272" s="31"/>
      <c r="G30272" s="272" t="s">
        <v>1099</v>
      </c>
    </row>
    <row r="30273">
      <c r="B30273" s="31"/>
      <c r="G30273" s="272" t="s">
        <v>1099</v>
      </c>
    </row>
    <row r="30274">
      <c r="B30274" s="31"/>
      <c r="G30274" s="272" t="s">
        <v>1099</v>
      </c>
    </row>
    <row r="30275">
      <c r="B30275" s="31"/>
      <c r="G30275" s="272" t="s">
        <v>1099</v>
      </c>
    </row>
    <row r="30276">
      <c r="B30276" s="31"/>
      <c r="G30276" s="272" t="s">
        <v>1099</v>
      </c>
    </row>
    <row r="30277">
      <c r="B30277" s="31"/>
      <c r="G30277" s="272" t="s">
        <v>1099</v>
      </c>
    </row>
    <row r="30278">
      <c r="B30278" s="31"/>
      <c r="G30278" s="272" t="s">
        <v>1099</v>
      </c>
    </row>
    <row r="30279">
      <c r="B30279" s="31"/>
      <c r="G30279" s="272" t="s">
        <v>1099</v>
      </c>
    </row>
    <row r="30280">
      <c r="B30280" s="31"/>
      <c r="G30280" s="272" t="s">
        <v>1099</v>
      </c>
    </row>
    <row r="30281">
      <c r="B30281" s="31"/>
      <c r="G30281" s="272" t="s">
        <v>1099</v>
      </c>
    </row>
    <row r="30282">
      <c r="B30282" s="31"/>
      <c r="G30282" s="272" t="s">
        <v>1099</v>
      </c>
    </row>
    <row r="30283">
      <c r="B30283" s="31"/>
      <c r="G30283" s="272" t="s">
        <v>1099</v>
      </c>
    </row>
    <row r="30284">
      <c r="B30284" s="31"/>
      <c r="G30284" s="272" t="s">
        <v>1099</v>
      </c>
    </row>
    <row r="30285">
      <c r="B30285" s="31"/>
      <c r="G30285" s="272" t="s">
        <v>1099</v>
      </c>
    </row>
    <row r="30286">
      <c r="B30286" s="31"/>
      <c r="G30286" s="272" t="s">
        <v>1099</v>
      </c>
    </row>
    <row r="30287">
      <c r="B30287" s="31"/>
      <c r="G30287" s="272" t="s">
        <v>1099</v>
      </c>
    </row>
    <row r="30288">
      <c r="B30288" s="31"/>
      <c r="G30288" s="272" t="s">
        <v>1099</v>
      </c>
    </row>
    <row r="30289">
      <c r="B30289" s="31"/>
      <c r="G30289" s="272" t="s">
        <v>1099</v>
      </c>
    </row>
    <row r="30290">
      <c r="B30290" s="31"/>
      <c r="G30290" s="272" t="s">
        <v>1099</v>
      </c>
    </row>
    <row r="30291">
      <c r="B30291" s="31"/>
      <c r="G30291" s="272" t="s">
        <v>1099</v>
      </c>
    </row>
    <row r="30292">
      <c r="B30292" s="31"/>
      <c r="G30292" s="272" t="s">
        <v>1099</v>
      </c>
    </row>
    <row r="30293">
      <c r="B30293" s="31"/>
      <c r="G30293" s="272" t="s">
        <v>1099</v>
      </c>
    </row>
    <row r="30294">
      <c r="B30294" s="31"/>
      <c r="G30294" s="272" t="s">
        <v>1099</v>
      </c>
    </row>
    <row r="30295">
      <c r="B30295" s="31"/>
      <c r="G30295" s="272" t="s">
        <v>1099</v>
      </c>
    </row>
    <row r="30296">
      <c r="B30296" s="31"/>
      <c r="G30296" s="272" t="s">
        <v>1099</v>
      </c>
    </row>
    <row r="30297">
      <c r="B30297" s="31"/>
      <c r="G30297" s="272" t="s">
        <v>1099</v>
      </c>
    </row>
    <row r="30298">
      <c r="B30298" s="31"/>
      <c r="G30298" s="272" t="s">
        <v>1099</v>
      </c>
    </row>
    <row r="30299">
      <c r="B30299" s="31"/>
      <c r="G30299" s="272" t="s">
        <v>1099</v>
      </c>
    </row>
    <row r="30300">
      <c r="B30300" s="31"/>
      <c r="G30300" s="272" t="s">
        <v>1099</v>
      </c>
    </row>
    <row r="30301">
      <c r="B30301" s="31"/>
      <c r="G30301" s="272" t="s">
        <v>1099</v>
      </c>
    </row>
    <row r="30302">
      <c r="B30302" s="31"/>
      <c r="G30302" s="272" t="s">
        <v>1099</v>
      </c>
    </row>
    <row r="30303">
      <c r="B30303" s="31"/>
      <c r="G30303" s="272" t="s">
        <v>1099</v>
      </c>
    </row>
    <row r="30304">
      <c r="B30304" s="31"/>
      <c r="G30304" s="272" t="s">
        <v>1099</v>
      </c>
    </row>
    <row r="30305">
      <c r="B30305" s="31"/>
      <c r="G30305" s="272" t="s">
        <v>1099</v>
      </c>
    </row>
    <row r="30306">
      <c r="B30306" s="31"/>
      <c r="G30306" s="272" t="s">
        <v>1099</v>
      </c>
    </row>
    <row r="30307">
      <c r="B30307" s="31"/>
      <c r="G30307" s="272" t="s">
        <v>1099</v>
      </c>
    </row>
    <row r="30308">
      <c r="B30308" s="31"/>
      <c r="G30308" s="272" t="s">
        <v>1099</v>
      </c>
    </row>
    <row r="30309">
      <c r="B30309" s="31"/>
      <c r="G30309" s="272" t="s">
        <v>1099</v>
      </c>
    </row>
    <row r="30310">
      <c r="B30310" s="31"/>
      <c r="G30310" s="272" t="s">
        <v>1099</v>
      </c>
    </row>
    <row r="30311">
      <c r="B30311" s="31"/>
      <c r="G30311" s="272" t="s">
        <v>1099</v>
      </c>
    </row>
    <row r="30312">
      <c r="B30312" s="31"/>
      <c r="G30312" s="272" t="s">
        <v>1099</v>
      </c>
    </row>
    <row r="30313">
      <c r="B30313" s="31"/>
      <c r="G30313" s="272" t="s">
        <v>1099</v>
      </c>
    </row>
    <row r="30314">
      <c r="B30314" s="31"/>
      <c r="G30314" s="272" t="s">
        <v>1099</v>
      </c>
    </row>
    <row r="30315">
      <c r="B30315" s="31"/>
      <c r="G30315" s="272" t="s">
        <v>1099</v>
      </c>
    </row>
    <row r="30316">
      <c r="B30316" s="31"/>
      <c r="G30316" s="272" t="s">
        <v>1099</v>
      </c>
    </row>
    <row r="30317">
      <c r="B30317" s="31"/>
      <c r="G30317" s="272" t="s">
        <v>1099</v>
      </c>
    </row>
    <row r="30318">
      <c r="B30318" s="31"/>
      <c r="G30318" s="272" t="s">
        <v>1099</v>
      </c>
    </row>
    <row r="30319">
      <c r="B30319" s="31"/>
      <c r="G30319" s="272" t="s">
        <v>1099</v>
      </c>
    </row>
    <row r="30320">
      <c r="B30320" s="31"/>
      <c r="G30320" s="272" t="s">
        <v>1099</v>
      </c>
    </row>
    <row r="30321">
      <c r="B30321" s="31"/>
      <c r="G30321" s="272" t="s">
        <v>1099</v>
      </c>
    </row>
    <row r="30322">
      <c r="B30322" s="31"/>
      <c r="G30322" s="272" t="s">
        <v>1099</v>
      </c>
    </row>
    <row r="30323">
      <c r="B30323" s="31"/>
      <c r="G30323" s="272" t="s">
        <v>1099</v>
      </c>
    </row>
    <row r="30324">
      <c r="B30324" s="31"/>
      <c r="G30324" s="272" t="s">
        <v>1099</v>
      </c>
    </row>
    <row r="30325">
      <c r="B30325" s="31"/>
      <c r="G30325" s="272" t="s">
        <v>1099</v>
      </c>
    </row>
    <row r="30326">
      <c r="B30326" s="31"/>
      <c r="G30326" s="272" t="s">
        <v>1099</v>
      </c>
    </row>
    <row r="30327">
      <c r="B30327" s="31"/>
      <c r="G30327" s="272" t="s">
        <v>1099</v>
      </c>
    </row>
    <row r="30328">
      <c r="B30328" s="31"/>
      <c r="G30328" s="272" t="s">
        <v>1099</v>
      </c>
    </row>
    <row r="30329">
      <c r="B30329" s="31"/>
      <c r="G30329" s="272" t="s">
        <v>1099</v>
      </c>
    </row>
    <row r="30330">
      <c r="B30330" s="31"/>
      <c r="G30330" s="272" t="s">
        <v>1099</v>
      </c>
    </row>
    <row r="30331">
      <c r="B30331" s="31"/>
      <c r="G30331" s="272" t="s">
        <v>1099</v>
      </c>
    </row>
    <row r="30332">
      <c r="B30332" s="31"/>
      <c r="G30332" s="272" t="s">
        <v>1099</v>
      </c>
    </row>
    <row r="30333">
      <c r="B30333" s="31"/>
      <c r="G30333" s="272" t="s">
        <v>1099</v>
      </c>
    </row>
    <row r="30334">
      <c r="B30334" s="31"/>
      <c r="G30334" s="272" t="s">
        <v>1099</v>
      </c>
    </row>
    <row r="30335">
      <c r="B30335" s="31"/>
      <c r="G30335" s="272" t="s">
        <v>1099</v>
      </c>
    </row>
    <row r="30336">
      <c r="B30336" s="31"/>
      <c r="G30336" s="272" t="s">
        <v>1099</v>
      </c>
    </row>
    <row r="30337">
      <c r="B30337" s="31"/>
      <c r="G30337" s="272" t="s">
        <v>1099</v>
      </c>
    </row>
    <row r="30338">
      <c r="B30338" s="31"/>
      <c r="G30338" s="272" t="s">
        <v>1099</v>
      </c>
    </row>
    <row r="30339">
      <c r="B30339" s="31"/>
      <c r="G30339" s="272" t="s">
        <v>1099</v>
      </c>
    </row>
    <row r="30340">
      <c r="B30340" s="31"/>
      <c r="G30340" s="272" t="s">
        <v>1099</v>
      </c>
    </row>
    <row r="30341">
      <c r="B30341" s="31"/>
      <c r="G30341" s="272" t="s">
        <v>1099</v>
      </c>
    </row>
    <row r="30342">
      <c r="B30342" s="31"/>
      <c r="G30342" s="272" t="s">
        <v>1099</v>
      </c>
    </row>
    <row r="30343">
      <c r="B30343" s="31"/>
      <c r="G30343" s="272" t="s">
        <v>1099</v>
      </c>
    </row>
    <row r="30344">
      <c r="B30344" s="31"/>
      <c r="G30344" s="272" t="s">
        <v>1099</v>
      </c>
    </row>
    <row r="30345">
      <c r="B30345" s="31"/>
      <c r="G30345" s="272" t="s">
        <v>1099</v>
      </c>
    </row>
    <row r="30346">
      <c r="B30346" s="31"/>
      <c r="G30346" s="272" t="s">
        <v>1099</v>
      </c>
    </row>
    <row r="30347">
      <c r="B30347" s="31"/>
      <c r="G30347" s="272" t="s">
        <v>1099</v>
      </c>
    </row>
    <row r="30348">
      <c r="B30348" s="31"/>
      <c r="G30348" s="272" t="s">
        <v>1099</v>
      </c>
    </row>
    <row r="30349">
      <c r="B30349" s="31"/>
      <c r="G30349" s="272" t="s">
        <v>1099</v>
      </c>
    </row>
    <row r="30350">
      <c r="B30350" s="31"/>
      <c r="G30350" s="272" t="s">
        <v>1099</v>
      </c>
    </row>
    <row r="30351">
      <c r="B30351" s="31"/>
      <c r="G30351" s="272" t="s">
        <v>1099</v>
      </c>
    </row>
    <row r="30352">
      <c r="B30352" s="31"/>
      <c r="G30352" s="272" t="s">
        <v>1099</v>
      </c>
    </row>
    <row r="30353">
      <c r="B30353" s="31"/>
      <c r="G30353" s="272" t="s">
        <v>1099</v>
      </c>
    </row>
    <row r="30354">
      <c r="B30354" s="31"/>
      <c r="G30354" s="272" t="s">
        <v>1099</v>
      </c>
    </row>
    <row r="30355">
      <c r="B30355" s="31"/>
      <c r="G30355" s="272" t="s">
        <v>1099</v>
      </c>
    </row>
    <row r="30356">
      <c r="B30356" s="31"/>
      <c r="G30356" s="272" t="s">
        <v>1099</v>
      </c>
    </row>
    <row r="30357">
      <c r="B30357" s="31"/>
      <c r="G30357" s="272" t="s">
        <v>1099</v>
      </c>
    </row>
    <row r="30358">
      <c r="B30358" s="31"/>
      <c r="G30358" s="272" t="s">
        <v>1099</v>
      </c>
    </row>
    <row r="30359">
      <c r="B30359" s="31"/>
      <c r="G30359" s="272" t="s">
        <v>1099</v>
      </c>
    </row>
    <row r="30360">
      <c r="B30360" s="31"/>
      <c r="G30360" s="272" t="s">
        <v>1099</v>
      </c>
    </row>
    <row r="30361">
      <c r="B30361" s="31"/>
      <c r="G30361" s="272" t="s">
        <v>1099</v>
      </c>
    </row>
    <row r="30362">
      <c r="B30362" s="31"/>
      <c r="G30362" s="272" t="s">
        <v>1099</v>
      </c>
    </row>
    <row r="30363">
      <c r="B30363" s="31"/>
      <c r="G30363" s="272" t="s">
        <v>1099</v>
      </c>
    </row>
    <row r="30364">
      <c r="B30364" s="31"/>
      <c r="G30364" s="272" t="s">
        <v>1099</v>
      </c>
    </row>
    <row r="30365">
      <c r="B30365" s="31"/>
      <c r="G30365" s="272" t="s">
        <v>1099</v>
      </c>
    </row>
    <row r="30366">
      <c r="B30366" s="31"/>
      <c r="G30366" s="272" t="s">
        <v>1099</v>
      </c>
    </row>
    <row r="30367">
      <c r="B30367" s="31"/>
      <c r="G30367" s="272" t="s">
        <v>1099</v>
      </c>
    </row>
    <row r="30368">
      <c r="B30368" s="31"/>
      <c r="G30368" s="272" t="s">
        <v>1099</v>
      </c>
    </row>
    <row r="30369">
      <c r="B30369" s="31"/>
      <c r="G30369" s="272" t="s">
        <v>1099</v>
      </c>
    </row>
    <row r="30370">
      <c r="B30370" s="31"/>
      <c r="G30370" s="272" t="s">
        <v>1099</v>
      </c>
    </row>
    <row r="30371">
      <c r="B30371" s="31"/>
      <c r="G30371" s="272" t="s">
        <v>1099</v>
      </c>
    </row>
    <row r="30372">
      <c r="B30372" s="31"/>
      <c r="G30372" s="272" t="s">
        <v>1099</v>
      </c>
    </row>
    <row r="30373">
      <c r="B30373" s="31"/>
      <c r="G30373" s="272" t="s">
        <v>1099</v>
      </c>
    </row>
    <row r="30374">
      <c r="B30374" s="31"/>
      <c r="G30374" s="272" t="s">
        <v>1099</v>
      </c>
    </row>
    <row r="30375">
      <c r="B30375" s="31"/>
      <c r="G30375" s="272" t="s">
        <v>1099</v>
      </c>
    </row>
    <row r="30376">
      <c r="B30376" s="31"/>
      <c r="G30376" s="272" t="s">
        <v>1099</v>
      </c>
    </row>
    <row r="30377">
      <c r="B30377" s="31"/>
      <c r="G30377" s="272" t="s">
        <v>1099</v>
      </c>
    </row>
    <row r="30378">
      <c r="B30378" s="31"/>
      <c r="G30378" s="272" t="s">
        <v>1099</v>
      </c>
    </row>
    <row r="30379">
      <c r="B30379" s="31"/>
      <c r="G30379" s="272" t="s">
        <v>1099</v>
      </c>
    </row>
    <row r="30380">
      <c r="B30380" s="31"/>
      <c r="G30380" s="272" t="s">
        <v>1099</v>
      </c>
    </row>
    <row r="30381">
      <c r="B30381" s="31"/>
      <c r="G30381" s="272" t="s">
        <v>1099</v>
      </c>
    </row>
    <row r="30382">
      <c r="B30382" s="31"/>
      <c r="G30382" s="272" t="s">
        <v>1099</v>
      </c>
    </row>
    <row r="30383">
      <c r="B30383" s="31"/>
      <c r="G30383" s="272" t="s">
        <v>1099</v>
      </c>
    </row>
    <row r="30384">
      <c r="B30384" s="31"/>
      <c r="G30384" s="272" t="s">
        <v>1099</v>
      </c>
    </row>
    <row r="30385">
      <c r="B30385" s="31"/>
      <c r="G30385" s="272" t="s">
        <v>1099</v>
      </c>
    </row>
    <row r="30386">
      <c r="B30386" s="31"/>
      <c r="G30386" s="272" t="s">
        <v>1099</v>
      </c>
    </row>
    <row r="30387">
      <c r="B30387" s="31"/>
      <c r="G30387" s="272" t="s">
        <v>1099</v>
      </c>
    </row>
    <row r="30388">
      <c r="B30388" s="31"/>
      <c r="G30388" s="272" t="s">
        <v>1099</v>
      </c>
    </row>
    <row r="30389">
      <c r="B30389" s="31"/>
      <c r="G30389" s="272" t="s">
        <v>1099</v>
      </c>
    </row>
    <row r="30390">
      <c r="B30390" s="31"/>
      <c r="G30390" s="272" t="s">
        <v>1099</v>
      </c>
    </row>
    <row r="30391">
      <c r="B30391" s="31"/>
      <c r="G30391" s="272" t="s">
        <v>1099</v>
      </c>
    </row>
    <row r="30392">
      <c r="B30392" s="31"/>
      <c r="G30392" s="272" t="s">
        <v>1099</v>
      </c>
    </row>
    <row r="30393">
      <c r="B30393" s="31"/>
      <c r="G30393" s="272" t="s">
        <v>1099</v>
      </c>
    </row>
    <row r="30394">
      <c r="B30394" s="31"/>
      <c r="G30394" s="272" t="s">
        <v>1099</v>
      </c>
    </row>
    <row r="30395">
      <c r="B30395" s="31"/>
      <c r="G30395" s="272" t="s">
        <v>1099</v>
      </c>
    </row>
    <row r="30396">
      <c r="B30396" s="31"/>
      <c r="G30396" s="272" t="s">
        <v>1099</v>
      </c>
    </row>
    <row r="30397">
      <c r="B30397" s="31"/>
      <c r="G30397" s="272" t="s">
        <v>1099</v>
      </c>
    </row>
    <row r="30398">
      <c r="B30398" s="31"/>
      <c r="G30398" s="272" t="s">
        <v>1099</v>
      </c>
    </row>
    <row r="30399">
      <c r="B30399" s="31"/>
      <c r="G30399" s="272" t="s">
        <v>1099</v>
      </c>
    </row>
    <row r="30400">
      <c r="B30400" s="31"/>
      <c r="G30400" s="272" t="s">
        <v>1099</v>
      </c>
    </row>
    <row r="30401">
      <c r="B30401" s="31"/>
      <c r="G30401" s="272" t="s">
        <v>1099</v>
      </c>
    </row>
    <row r="30402">
      <c r="B30402" s="31"/>
      <c r="G30402" s="272" t="s">
        <v>1099</v>
      </c>
    </row>
    <row r="30403">
      <c r="B30403" s="31"/>
      <c r="G30403" s="272" t="s">
        <v>1099</v>
      </c>
    </row>
    <row r="30404">
      <c r="B30404" s="31"/>
      <c r="G30404" s="272" t="s">
        <v>1099</v>
      </c>
    </row>
    <row r="30405">
      <c r="B30405" s="31"/>
      <c r="G30405" s="272" t="s">
        <v>1099</v>
      </c>
    </row>
    <row r="30406">
      <c r="B30406" s="31"/>
      <c r="G30406" s="272" t="s">
        <v>1099</v>
      </c>
    </row>
    <row r="30407">
      <c r="B30407" s="31"/>
      <c r="G30407" s="272" t="s">
        <v>1099</v>
      </c>
    </row>
    <row r="30408">
      <c r="B30408" s="31"/>
      <c r="G30408" s="272" t="s">
        <v>1099</v>
      </c>
    </row>
    <row r="30409">
      <c r="B30409" s="31"/>
      <c r="G30409" s="272" t="s">
        <v>1099</v>
      </c>
    </row>
    <row r="30410">
      <c r="B30410" s="31"/>
      <c r="G30410" s="272" t="s">
        <v>1099</v>
      </c>
    </row>
    <row r="30411">
      <c r="B30411" s="31"/>
      <c r="G30411" s="272" t="s">
        <v>1099</v>
      </c>
    </row>
    <row r="30412">
      <c r="B30412" s="31"/>
      <c r="G30412" s="272" t="s">
        <v>1099</v>
      </c>
    </row>
    <row r="30413">
      <c r="B30413" s="31"/>
      <c r="G30413" s="272" t="s">
        <v>1099</v>
      </c>
    </row>
    <row r="30414">
      <c r="B30414" s="31"/>
      <c r="G30414" s="272" t="s">
        <v>1099</v>
      </c>
    </row>
    <row r="30415">
      <c r="B30415" s="31"/>
      <c r="G30415" s="272" t="s">
        <v>1099</v>
      </c>
    </row>
    <row r="30416">
      <c r="B30416" s="31"/>
      <c r="G30416" s="272" t="s">
        <v>1099</v>
      </c>
    </row>
    <row r="30417">
      <c r="B30417" s="31"/>
      <c r="G30417" s="272" t="s">
        <v>1099</v>
      </c>
    </row>
    <row r="30418">
      <c r="B30418" s="31"/>
      <c r="G30418" s="272" t="s">
        <v>1099</v>
      </c>
    </row>
    <row r="30419">
      <c r="B30419" s="31"/>
      <c r="G30419" s="272" t="s">
        <v>1099</v>
      </c>
    </row>
    <row r="30420">
      <c r="B30420" s="31"/>
      <c r="G30420" s="272" t="s">
        <v>1099</v>
      </c>
    </row>
    <row r="30421">
      <c r="B30421" s="31"/>
      <c r="G30421" s="272" t="s">
        <v>1099</v>
      </c>
    </row>
    <row r="30422">
      <c r="B30422" s="31"/>
      <c r="G30422" s="272" t="s">
        <v>1099</v>
      </c>
    </row>
    <row r="30423">
      <c r="B30423" s="31"/>
      <c r="G30423" s="272" t="s">
        <v>1099</v>
      </c>
    </row>
    <row r="30424">
      <c r="B30424" s="31"/>
      <c r="G30424" s="272" t="s">
        <v>1099</v>
      </c>
    </row>
    <row r="30425">
      <c r="B30425" s="31"/>
      <c r="G30425" s="272" t="s">
        <v>1099</v>
      </c>
    </row>
    <row r="30426">
      <c r="B30426" s="31"/>
      <c r="G30426" s="272" t="s">
        <v>1099</v>
      </c>
    </row>
    <row r="30427">
      <c r="B30427" s="31"/>
      <c r="G30427" s="272" t="s">
        <v>1099</v>
      </c>
    </row>
    <row r="30428">
      <c r="B30428" s="31"/>
      <c r="G30428" s="272" t="s">
        <v>1099</v>
      </c>
    </row>
    <row r="30429">
      <c r="B30429" s="31"/>
      <c r="G30429" s="272" t="s">
        <v>1099</v>
      </c>
    </row>
    <row r="30430">
      <c r="B30430" s="31"/>
      <c r="G30430" s="272" t="s">
        <v>1099</v>
      </c>
    </row>
    <row r="30431">
      <c r="B30431" s="31"/>
      <c r="G30431" s="272" t="s">
        <v>1099</v>
      </c>
    </row>
    <row r="30432">
      <c r="B30432" s="31"/>
      <c r="G30432" s="272" t="s">
        <v>1099</v>
      </c>
    </row>
    <row r="30433">
      <c r="B30433" s="31"/>
      <c r="G30433" s="272" t="s">
        <v>1099</v>
      </c>
    </row>
    <row r="30434">
      <c r="B30434" s="31"/>
      <c r="G30434" s="272" t="s">
        <v>1099</v>
      </c>
    </row>
    <row r="30435">
      <c r="B30435" s="31"/>
      <c r="G30435" s="272" t="s">
        <v>1099</v>
      </c>
    </row>
    <row r="30436">
      <c r="B30436" s="31"/>
      <c r="G30436" s="272" t="s">
        <v>1099</v>
      </c>
    </row>
    <row r="30437">
      <c r="B30437" s="31"/>
      <c r="G30437" s="272" t="s">
        <v>1099</v>
      </c>
    </row>
    <row r="30438">
      <c r="B30438" s="31"/>
      <c r="G30438" s="272" t="s">
        <v>1099</v>
      </c>
    </row>
    <row r="30439">
      <c r="B30439" s="31"/>
      <c r="G30439" s="272" t="s">
        <v>1099</v>
      </c>
    </row>
    <row r="30440">
      <c r="B30440" s="31"/>
      <c r="G30440" s="272" t="s">
        <v>1099</v>
      </c>
    </row>
    <row r="30441">
      <c r="B30441" s="31"/>
      <c r="G30441" s="272" t="s">
        <v>1099</v>
      </c>
    </row>
    <row r="30442">
      <c r="B30442" s="31"/>
      <c r="G30442" s="272" t="s">
        <v>1099</v>
      </c>
    </row>
    <row r="30443">
      <c r="B30443" s="31"/>
      <c r="G30443" s="272" t="s">
        <v>1099</v>
      </c>
    </row>
    <row r="30444">
      <c r="B30444" s="31"/>
      <c r="G30444" s="272" t="s">
        <v>1099</v>
      </c>
    </row>
    <row r="30445">
      <c r="B30445" s="31"/>
      <c r="G30445" s="272" t="s">
        <v>1099</v>
      </c>
    </row>
    <row r="30446">
      <c r="B30446" s="31"/>
      <c r="G30446" s="272" t="s">
        <v>1099</v>
      </c>
    </row>
    <row r="30447">
      <c r="B30447" s="31"/>
      <c r="G30447" s="272" t="s">
        <v>1099</v>
      </c>
    </row>
    <row r="30448">
      <c r="B30448" s="31"/>
      <c r="G30448" s="272" t="s">
        <v>1099</v>
      </c>
    </row>
    <row r="30449">
      <c r="B30449" s="31"/>
      <c r="G30449" s="272" t="s">
        <v>1099</v>
      </c>
    </row>
    <row r="30450">
      <c r="B30450" s="31"/>
      <c r="G30450" s="272" t="s">
        <v>1099</v>
      </c>
    </row>
    <row r="30451">
      <c r="B30451" s="31"/>
      <c r="G30451" s="272" t="s">
        <v>1099</v>
      </c>
    </row>
    <row r="30452">
      <c r="B30452" s="31"/>
      <c r="G30452" s="272" t="s">
        <v>1099</v>
      </c>
    </row>
    <row r="30453">
      <c r="B30453" s="31"/>
      <c r="G30453" s="272" t="s">
        <v>1099</v>
      </c>
    </row>
    <row r="30454">
      <c r="B30454" s="31"/>
      <c r="G30454" s="272" t="s">
        <v>1099</v>
      </c>
    </row>
    <row r="30455">
      <c r="B30455" s="31"/>
      <c r="G30455" s="272" t="s">
        <v>1099</v>
      </c>
    </row>
    <row r="30456">
      <c r="B30456" s="31"/>
      <c r="G30456" s="272" t="s">
        <v>1099</v>
      </c>
    </row>
    <row r="30457">
      <c r="B30457" s="31"/>
      <c r="G30457" s="272" t="s">
        <v>1099</v>
      </c>
    </row>
    <row r="30458">
      <c r="B30458" s="31"/>
      <c r="G30458" s="272" t="s">
        <v>1099</v>
      </c>
    </row>
    <row r="30459">
      <c r="B30459" s="31"/>
      <c r="G30459" s="272" t="s">
        <v>1099</v>
      </c>
    </row>
    <row r="30460">
      <c r="B30460" s="31"/>
      <c r="G30460" s="272" t="s">
        <v>1099</v>
      </c>
    </row>
    <row r="30461">
      <c r="B30461" s="31"/>
      <c r="G30461" s="272" t="s">
        <v>1099</v>
      </c>
    </row>
    <row r="30462">
      <c r="B30462" s="31"/>
      <c r="G30462" s="272" t="s">
        <v>1099</v>
      </c>
    </row>
    <row r="30463">
      <c r="B30463" s="31"/>
      <c r="G30463" s="272" t="s">
        <v>1099</v>
      </c>
    </row>
    <row r="30464">
      <c r="B30464" s="31"/>
      <c r="G30464" s="272" t="s">
        <v>1099</v>
      </c>
    </row>
    <row r="30465">
      <c r="B30465" s="31"/>
      <c r="G30465" s="272" t="s">
        <v>1099</v>
      </c>
    </row>
    <row r="30466">
      <c r="B30466" s="31"/>
      <c r="G30466" s="272" t="s">
        <v>1099</v>
      </c>
    </row>
    <row r="30467">
      <c r="B30467" s="31"/>
      <c r="G30467" s="272" t="s">
        <v>1099</v>
      </c>
    </row>
    <row r="30468">
      <c r="B30468" s="31"/>
      <c r="G30468" s="272" t="s">
        <v>1099</v>
      </c>
    </row>
    <row r="30469">
      <c r="B30469" s="31"/>
      <c r="G30469" s="272" t="s">
        <v>1099</v>
      </c>
    </row>
    <row r="30470">
      <c r="B30470" s="31"/>
      <c r="G30470" s="272" t="s">
        <v>1099</v>
      </c>
    </row>
    <row r="30471">
      <c r="B30471" s="31"/>
      <c r="G30471" s="272" t="s">
        <v>1099</v>
      </c>
    </row>
    <row r="30472">
      <c r="B30472" s="31"/>
      <c r="G30472" s="272" t="s">
        <v>1099</v>
      </c>
    </row>
    <row r="30473">
      <c r="B30473" s="31"/>
      <c r="G30473" s="272" t="s">
        <v>1099</v>
      </c>
    </row>
    <row r="30474">
      <c r="B30474" s="31"/>
      <c r="G30474" s="272" t="s">
        <v>1099</v>
      </c>
    </row>
    <row r="30475">
      <c r="B30475" s="31"/>
      <c r="G30475" s="272" t="s">
        <v>1099</v>
      </c>
    </row>
    <row r="30476">
      <c r="B30476" s="31"/>
      <c r="G30476" s="272" t="s">
        <v>1099</v>
      </c>
    </row>
    <row r="30477">
      <c r="B30477" s="31"/>
      <c r="G30477" s="272" t="s">
        <v>1099</v>
      </c>
    </row>
    <row r="30478">
      <c r="B30478" s="31"/>
      <c r="G30478" s="272" t="s">
        <v>1099</v>
      </c>
    </row>
    <row r="30479">
      <c r="B30479" s="31"/>
      <c r="G30479" s="272" t="s">
        <v>1099</v>
      </c>
    </row>
    <row r="30480">
      <c r="B30480" s="31"/>
      <c r="G30480" s="272" t="s">
        <v>1099</v>
      </c>
    </row>
    <row r="30481">
      <c r="B30481" s="31"/>
      <c r="G30481" s="272" t="s">
        <v>1099</v>
      </c>
    </row>
    <row r="30482">
      <c r="B30482" s="31"/>
      <c r="G30482" s="272" t="s">
        <v>1099</v>
      </c>
    </row>
    <row r="30483">
      <c r="B30483" s="31"/>
      <c r="G30483" s="272" t="s">
        <v>1099</v>
      </c>
    </row>
    <row r="30484">
      <c r="B30484" s="31"/>
      <c r="G30484" s="272" t="s">
        <v>1099</v>
      </c>
    </row>
    <row r="30485">
      <c r="B30485" s="31"/>
      <c r="G30485" s="272" t="s">
        <v>1099</v>
      </c>
    </row>
    <row r="30486">
      <c r="B30486" s="31"/>
      <c r="G30486" s="272" t="s">
        <v>1099</v>
      </c>
    </row>
    <row r="30487">
      <c r="B30487" s="31"/>
      <c r="G30487" s="272" t="s">
        <v>1099</v>
      </c>
    </row>
    <row r="30488">
      <c r="B30488" s="31"/>
      <c r="G30488" s="272" t="s">
        <v>1099</v>
      </c>
    </row>
    <row r="30489">
      <c r="B30489" s="31"/>
      <c r="G30489" s="272" t="s">
        <v>1099</v>
      </c>
    </row>
    <row r="30490">
      <c r="B30490" s="31"/>
      <c r="G30490" s="272" t="s">
        <v>1099</v>
      </c>
    </row>
    <row r="30491">
      <c r="B30491" s="31"/>
      <c r="G30491" s="272" t="s">
        <v>1099</v>
      </c>
    </row>
    <row r="30492">
      <c r="B30492" s="31"/>
      <c r="G30492" s="272" t="s">
        <v>1099</v>
      </c>
    </row>
    <row r="30493">
      <c r="B30493" s="31"/>
      <c r="G30493" s="272" t="s">
        <v>1099</v>
      </c>
    </row>
    <row r="30494">
      <c r="B30494" s="31"/>
      <c r="G30494" s="272" t="s">
        <v>1099</v>
      </c>
    </row>
    <row r="30495">
      <c r="B30495" s="31"/>
      <c r="G30495" s="272" t="s">
        <v>1099</v>
      </c>
    </row>
    <row r="30496">
      <c r="B30496" s="31"/>
      <c r="G30496" s="272" t="s">
        <v>1099</v>
      </c>
    </row>
    <row r="30497">
      <c r="B30497" s="31"/>
      <c r="G30497" s="272" t="s">
        <v>1099</v>
      </c>
    </row>
    <row r="30498">
      <c r="B30498" s="31"/>
      <c r="G30498" s="272" t="s">
        <v>1099</v>
      </c>
    </row>
    <row r="30499">
      <c r="B30499" s="31"/>
      <c r="G30499" s="272" t="s">
        <v>1099</v>
      </c>
    </row>
    <row r="30500">
      <c r="B30500" s="31"/>
      <c r="G30500" s="272" t="s">
        <v>1099</v>
      </c>
    </row>
    <row r="30501">
      <c r="B30501" s="31"/>
      <c r="G30501" s="272" t="s">
        <v>1099</v>
      </c>
    </row>
    <row r="30502">
      <c r="B30502" s="31"/>
      <c r="G30502" s="272" t="s">
        <v>1099</v>
      </c>
    </row>
    <row r="30503">
      <c r="B30503" s="31"/>
      <c r="G30503" s="272" t="s">
        <v>1099</v>
      </c>
    </row>
    <row r="30504">
      <c r="B30504" s="31"/>
      <c r="G30504" s="272" t="s">
        <v>1099</v>
      </c>
    </row>
    <row r="30505">
      <c r="B30505" s="31"/>
      <c r="G30505" s="272" t="s">
        <v>1099</v>
      </c>
    </row>
    <row r="30506">
      <c r="B30506" s="31"/>
      <c r="G30506" s="272" t="s">
        <v>1099</v>
      </c>
    </row>
    <row r="30507">
      <c r="B30507" s="31"/>
      <c r="G30507" s="272" t="s">
        <v>1099</v>
      </c>
    </row>
    <row r="30508">
      <c r="B30508" s="31"/>
      <c r="G30508" s="272" t="s">
        <v>1099</v>
      </c>
    </row>
    <row r="30509">
      <c r="B30509" s="31"/>
      <c r="G30509" s="272" t="s">
        <v>1099</v>
      </c>
    </row>
    <row r="30510">
      <c r="B30510" s="31"/>
      <c r="G30510" s="272" t="s">
        <v>1099</v>
      </c>
    </row>
    <row r="30511">
      <c r="B30511" s="31"/>
      <c r="G30511" s="272" t="s">
        <v>1099</v>
      </c>
    </row>
    <row r="30512">
      <c r="B30512" s="31"/>
      <c r="G30512" s="272" t="s">
        <v>1099</v>
      </c>
    </row>
    <row r="30513">
      <c r="B30513" s="31"/>
      <c r="G30513" s="272" t="s">
        <v>1099</v>
      </c>
    </row>
    <row r="30514">
      <c r="B30514" s="31"/>
      <c r="G30514" s="272" t="s">
        <v>1099</v>
      </c>
    </row>
    <row r="30515">
      <c r="B30515" s="31"/>
      <c r="G30515" s="272" t="s">
        <v>1099</v>
      </c>
    </row>
    <row r="30516">
      <c r="B30516" s="31"/>
      <c r="G30516" s="272" t="s">
        <v>1099</v>
      </c>
    </row>
    <row r="30517">
      <c r="B30517" s="31"/>
      <c r="G30517" s="272" t="s">
        <v>1099</v>
      </c>
    </row>
    <row r="30518">
      <c r="B30518" s="31"/>
      <c r="G30518" s="272" t="s">
        <v>1099</v>
      </c>
    </row>
    <row r="30519">
      <c r="B30519" s="31"/>
      <c r="G30519" s="272" t="s">
        <v>1099</v>
      </c>
    </row>
    <row r="30520">
      <c r="B30520" s="31"/>
      <c r="G30520" s="272" t="s">
        <v>1099</v>
      </c>
    </row>
    <row r="30521">
      <c r="B30521" s="31"/>
      <c r="G30521" s="272" t="s">
        <v>1099</v>
      </c>
    </row>
    <row r="30522">
      <c r="B30522" s="31"/>
      <c r="G30522" s="272" t="s">
        <v>1099</v>
      </c>
    </row>
    <row r="30523">
      <c r="B30523" s="31"/>
      <c r="G30523" s="272" t="s">
        <v>1099</v>
      </c>
    </row>
    <row r="30524">
      <c r="B30524" s="31"/>
      <c r="G30524" s="272" t="s">
        <v>1099</v>
      </c>
    </row>
    <row r="30525">
      <c r="B30525" s="31"/>
      <c r="G30525" s="272" t="s">
        <v>1099</v>
      </c>
    </row>
    <row r="30526">
      <c r="B30526" s="31"/>
      <c r="G30526" s="272" t="s">
        <v>1099</v>
      </c>
    </row>
    <row r="30527">
      <c r="B30527" s="31"/>
      <c r="G30527" s="272" t="s">
        <v>1099</v>
      </c>
    </row>
    <row r="30528">
      <c r="B30528" s="31"/>
      <c r="G30528" s="272" t="s">
        <v>1099</v>
      </c>
    </row>
    <row r="30529">
      <c r="B30529" s="31"/>
      <c r="G30529" s="272" t="s">
        <v>1099</v>
      </c>
    </row>
    <row r="30530">
      <c r="B30530" s="31"/>
      <c r="G30530" s="272" t="s">
        <v>1099</v>
      </c>
    </row>
    <row r="30531">
      <c r="B30531" s="31"/>
      <c r="G30531" s="272" t="s">
        <v>1099</v>
      </c>
    </row>
    <row r="30532">
      <c r="B30532" s="31"/>
      <c r="G30532" s="272" t="s">
        <v>1099</v>
      </c>
    </row>
    <row r="30533">
      <c r="B30533" s="31"/>
      <c r="G30533" s="272" t="s">
        <v>1099</v>
      </c>
    </row>
    <row r="30534">
      <c r="B30534" s="31"/>
      <c r="G30534" s="272" t="s">
        <v>1099</v>
      </c>
    </row>
    <row r="30535">
      <c r="B30535" s="31"/>
      <c r="G30535" s="272" t="s">
        <v>1099</v>
      </c>
    </row>
    <row r="30536">
      <c r="B30536" s="31"/>
      <c r="G30536" s="272" t="s">
        <v>1099</v>
      </c>
    </row>
    <row r="30537">
      <c r="B30537" s="31"/>
      <c r="G30537" s="272" t="s">
        <v>1099</v>
      </c>
    </row>
    <row r="30538">
      <c r="B30538" s="31"/>
      <c r="G30538" s="272" t="s">
        <v>1099</v>
      </c>
    </row>
    <row r="30539">
      <c r="B30539" s="31"/>
      <c r="G30539" s="272" t="s">
        <v>1099</v>
      </c>
    </row>
    <row r="30540">
      <c r="B30540" s="31"/>
      <c r="G30540" s="272" t="s">
        <v>1099</v>
      </c>
    </row>
    <row r="30541">
      <c r="B30541" s="31"/>
      <c r="G30541" s="272" t="s">
        <v>1099</v>
      </c>
    </row>
    <row r="30542">
      <c r="B30542" s="31"/>
      <c r="G30542" s="272" t="s">
        <v>1099</v>
      </c>
    </row>
    <row r="30543">
      <c r="B30543" s="31"/>
      <c r="G30543" s="272" t="s">
        <v>1099</v>
      </c>
    </row>
    <row r="30544">
      <c r="B30544" s="31"/>
      <c r="G30544" s="272" t="s">
        <v>1099</v>
      </c>
    </row>
    <row r="30545">
      <c r="B30545" s="31"/>
      <c r="G30545" s="272" t="s">
        <v>1099</v>
      </c>
    </row>
    <row r="30546">
      <c r="B30546" s="31"/>
      <c r="G30546" s="272" t="s">
        <v>1099</v>
      </c>
    </row>
    <row r="30547">
      <c r="B30547" s="31"/>
      <c r="G30547" s="272" t="s">
        <v>1099</v>
      </c>
    </row>
    <row r="30548">
      <c r="B30548" s="31"/>
      <c r="G30548" s="272" t="s">
        <v>1099</v>
      </c>
    </row>
    <row r="30549">
      <c r="B30549" s="31"/>
      <c r="G30549" s="272" t="s">
        <v>1099</v>
      </c>
    </row>
    <row r="30550">
      <c r="B30550" s="31"/>
      <c r="G30550" s="272" t="s">
        <v>1099</v>
      </c>
    </row>
    <row r="30551">
      <c r="B30551" s="31"/>
      <c r="G30551" s="272" t="s">
        <v>1099</v>
      </c>
    </row>
    <row r="30552">
      <c r="B30552" s="31"/>
      <c r="G30552" s="272" t="s">
        <v>1099</v>
      </c>
    </row>
    <row r="30553">
      <c r="B30553" s="31"/>
      <c r="G30553" s="272" t="s">
        <v>1099</v>
      </c>
    </row>
    <row r="30554">
      <c r="B30554" s="31"/>
      <c r="G30554" s="272" t="s">
        <v>1099</v>
      </c>
    </row>
    <row r="30555">
      <c r="B30555" s="31"/>
      <c r="G30555" s="272" t="s">
        <v>1099</v>
      </c>
    </row>
    <row r="30556">
      <c r="B30556" s="31"/>
      <c r="G30556" s="272" t="s">
        <v>1099</v>
      </c>
    </row>
    <row r="30557">
      <c r="B30557" s="31"/>
      <c r="G30557" s="272" t="s">
        <v>1099</v>
      </c>
    </row>
    <row r="30558">
      <c r="B30558" s="31"/>
      <c r="G30558" s="272" t="s">
        <v>1099</v>
      </c>
    </row>
    <row r="30559">
      <c r="B30559" s="31"/>
      <c r="G30559" s="272" t="s">
        <v>1099</v>
      </c>
    </row>
    <row r="30560">
      <c r="B30560" s="31"/>
      <c r="G30560" s="272" t="s">
        <v>1099</v>
      </c>
    </row>
    <row r="30561">
      <c r="B30561" s="31"/>
      <c r="G30561" s="272" t="s">
        <v>1099</v>
      </c>
    </row>
    <row r="30562">
      <c r="B30562" s="31"/>
      <c r="G30562" s="272" t="s">
        <v>1099</v>
      </c>
    </row>
    <row r="30563">
      <c r="B30563" s="31"/>
      <c r="G30563" s="272" t="s">
        <v>1099</v>
      </c>
    </row>
    <row r="30564">
      <c r="B30564" s="31"/>
      <c r="G30564" s="272" t="s">
        <v>1099</v>
      </c>
    </row>
    <row r="30565">
      <c r="B30565" s="31"/>
      <c r="G30565" s="272" t="s">
        <v>1099</v>
      </c>
    </row>
    <row r="30566">
      <c r="B30566" s="31"/>
      <c r="G30566" s="272" t="s">
        <v>1099</v>
      </c>
    </row>
    <row r="30567">
      <c r="B30567" s="31"/>
      <c r="G30567" s="272" t="s">
        <v>1099</v>
      </c>
    </row>
    <row r="30568">
      <c r="B30568" s="31"/>
      <c r="G30568" s="272" t="s">
        <v>1099</v>
      </c>
    </row>
    <row r="30569">
      <c r="B30569" s="31"/>
      <c r="G30569" s="272" t="s">
        <v>1099</v>
      </c>
    </row>
    <row r="30570">
      <c r="B30570" s="31"/>
      <c r="G30570" s="272" t="s">
        <v>1099</v>
      </c>
    </row>
    <row r="30571">
      <c r="B30571" s="31"/>
      <c r="G30571" s="272" t="s">
        <v>1099</v>
      </c>
    </row>
    <row r="30572">
      <c r="B30572" s="31"/>
      <c r="G30572" s="272" t="s">
        <v>1099</v>
      </c>
    </row>
    <row r="30573">
      <c r="B30573" s="31"/>
      <c r="G30573" s="272" t="s">
        <v>1099</v>
      </c>
    </row>
    <row r="30574">
      <c r="B30574" s="31"/>
      <c r="G30574" s="272" t="s">
        <v>1099</v>
      </c>
    </row>
    <row r="30575">
      <c r="B30575" s="31"/>
      <c r="G30575" s="272" t="s">
        <v>1099</v>
      </c>
    </row>
    <row r="30576">
      <c r="B30576" s="31"/>
      <c r="G30576" s="272" t="s">
        <v>1099</v>
      </c>
    </row>
    <row r="30577">
      <c r="B30577" s="31"/>
      <c r="G30577" s="272" t="s">
        <v>1099</v>
      </c>
    </row>
    <row r="30578">
      <c r="B30578" s="31"/>
      <c r="G30578" s="272" t="s">
        <v>1099</v>
      </c>
    </row>
    <row r="30579">
      <c r="B30579" s="31"/>
      <c r="G30579" s="272" t="s">
        <v>1099</v>
      </c>
    </row>
    <row r="30580">
      <c r="B30580" s="31"/>
      <c r="G30580" s="272" t="s">
        <v>1099</v>
      </c>
    </row>
    <row r="30581">
      <c r="B30581" s="31"/>
      <c r="G30581" s="272" t="s">
        <v>1099</v>
      </c>
    </row>
    <row r="30582">
      <c r="B30582" s="31"/>
      <c r="G30582" s="272" t="s">
        <v>1099</v>
      </c>
    </row>
    <row r="30583">
      <c r="B30583" s="31"/>
      <c r="G30583" s="272" t="s">
        <v>1099</v>
      </c>
    </row>
    <row r="30584">
      <c r="B30584" s="31"/>
      <c r="G30584" s="272" t="s">
        <v>1099</v>
      </c>
    </row>
    <row r="30585">
      <c r="B30585" s="31"/>
      <c r="G30585" s="272" t="s">
        <v>1099</v>
      </c>
    </row>
    <row r="30586">
      <c r="B30586" s="31"/>
      <c r="G30586" s="272" t="s">
        <v>1099</v>
      </c>
    </row>
    <row r="30587">
      <c r="B30587" s="31"/>
      <c r="G30587" s="272" t="s">
        <v>1099</v>
      </c>
    </row>
    <row r="30588">
      <c r="B30588" s="31"/>
      <c r="G30588" s="272" t="s">
        <v>1099</v>
      </c>
    </row>
    <row r="30589">
      <c r="B30589" s="31"/>
      <c r="G30589" s="272" t="s">
        <v>1099</v>
      </c>
    </row>
    <row r="30590">
      <c r="B30590" s="31"/>
      <c r="G30590" s="272" t="s">
        <v>1099</v>
      </c>
    </row>
    <row r="30591">
      <c r="B30591" s="31"/>
      <c r="G30591" s="272" t="s">
        <v>1099</v>
      </c>
    </row>
    <row r="30592">
      <c r="B30592" s="31"/>
      <c r="G30592" s="272" t="s">
        <v>1099</v>
      </c>
    </row>
    <row r="30593">
      <c r="B30593" s="31"/>
      <c r="G30593" s="272" t="s">
        <v>1099</v>
      </c>
    </row>
    <row r="30594">
      <c r="B30594" s="31"/>
      <c r="G30594" s="272" t="s">
        <v>1099</v>
      </c>
    </row>
    <row r="30595">
      <c r="B30595" s="31"/>
      <c r="G30595" s="272" t="s">
        <v>1099</v>
      </c>
    </row>
    <row r="30596">
      <c r="B30596" s="31"/>
      <c r="G30596" s="272" t="s">
        <v>1099</v>
      </c>
    </row>
    <row r="30597">
      <c r="B30597" s="31"/>
      <c r="G30597" s="272" t="s">
        <v>1099</v>
      </c>
    </row>
    <row r="30598">
      <c r="B30598" s="31"/>
      <c r="G30598" s="272" t="s">
        <v>1099</v>
      </c>
    </row>
    <row r="30599">
      <c r="B30599" s="31"/>
      <c r="G30599" s="272" t="s">
        <v>1099</v>
      </c>
    </row>
    <row r="30600">
      <c r="B30600" s="31"/>
      <c r="G30600" s="272" t="s">
        <v>1099</v>
      </c>
    </row>
    <row r="30601">
      <c r="B30601" s="31"/>
      <c r="G30601" s="272" t="s">
        <v>1099</v>
      </c>
    </row>
    <row r="30602">
      <c r="B30602" s="31"/>
      <c r="G30602" s="272" t="s">
        <v>1099</v>
      </c>
    </row>
    <row r="30603">
      <c r="B30603" s="31"/>
      <c r="G30603" s="272" t="s">
        <v>1099</v>
      </c>
    </row>
    <row r="30604">
      <c r="B30604" s="31"/>
      <c r="G30604" s="272" t="s">
        <v>1099</v>
      </c>
    </row>
    <row r="30605">
      <c r="B30605" s="31"/>
      <c r="G30605" s="272" t="s">
        <v>1099</v>
      </c>
    </row>
    <row r="30606">
      <c r="B30606" s="31"/>
      <c r="G30606" s="272" t="s">
        <v>1099</v>
      </c>
    </row>
    <row r="30607">
      <c r="B30607" s="31"/>
      <c r="G30607" s="272" t="s">
        <v>1099</v>
      </c>
    </row>
    <row r="30608">
      <c r="B30608" s="31"/>
      <c r="G30608" s="272" t="s">
        <v>1099</v>
      </c>
    </row>
    <row r="30609">
      <c r="B30609" s="31"/>
      <c r="G30609" s="272" t="s">
        <v>1099</v>
      </c>
    </row>
    <row r="30610">
      <c r="B30610" s="31"/>
      <c r="G30610" s="272" t="s">
        <v>1099</v>
      </c>
    </row>
    <row r="30611">
      <c r="B30611" s="31"/>
      <c r="G30611" s="272" t="s">
        <v>1099</v>
      </c>
    </row>
    <row r="30612">
      <c r="B30612" s="31"/>
      <c r="G30612" s="272" t="s">
        <v>1099</v>
      </c>
    </row>
    <row r="30613">
      <c r="B30613" s="31"/>
      <c r="G30613" s="272" t="s">
        <v>1099</v>
      </c>
    </row>
    <row r="30614">
      <c r="B30614" s="31"/>
      <c r="G30614" s="272" t="s">
        <v>1099</v>
      </c>
    </row>
    <row r="30615">
      <c r="B30615" s="31"/>
      <c r="G30615" s="272" t="s">
        <v>1099</v>
      </c>
    </row>
    <row r="30616">
      <c r="B30616" s="31"/>
      <c r="G30616" s="272" t="s">
        <v>1099</v>
      </c>
    </row>
    <row r="30617">
      <c r="B30617" s="31"/>
      <c r="G30617" s="272" t="s">
        <v>1099</v>
      </c>
    </row>
    <row r="30618">
      <c r="B30618" s="31"/>
      <c r="G30618" s="272" t="s">
        <v>1099</v>
      </c>
    </row>
    <row r="30619">
      <c r="B30619" s="31"/>
      <c r="G30619" s="272" t="s">
        <v>1099</v>
      </c>
    </row>
    <row r="30620">
      <c r="B30620" s="31"/>
      <c r="G30620" s="272" t="s">
        <v>1099</v>
      </c>
    </row>
    <row r="30621">
      <c r="B30621" s="31"/>
      <c r="G30621" s="272" t="s">
        <v>1099</v>
      </c>
    </row>
    <row r="30622">
      <c r="B30622" s="31"/>
      <c r="G30622" s="272" t="s">
        <v>1099</v>
      </c>
    </row>
    <row r="30623">
      <c r="B30623" s="31"/>
      <c r="G30623" s="272" t="s">
        <v>1099</v>
      </c>
    </row>
    <row r="30624">
      <c r="B30624" s="31"/>
      <c r="G30624" s="272" t="s">
        <v>1099</v>
      </c>
    </row>
    <row r="30625">
      <c r="B30625" s="31"/>
      <c r="G30625" s="272" t="s">
        <v>1099</v>
      </c>
    </row>
    <row r="30626">
      <c r="B30626" s="31"/>
      <c r="G30626" s="272" t="s">
        <v>1099</v>
      </c>
    </row>
    <row r="30627">
      <c r="B30627" s="31"/>
      <c r="G30627" s="272" t="s">
        <v>1099</v>
      </c>
    </row>
    <row r="30628">
      <c r="B30628" s="31"/>
      <c r="G30628" s="272" t="s">
        <v>1099</v>
      </c>
    </row>
    <row r="30629">
      <c r="B30629" s="31"/>
      <c r="G30629" s="272" t="s">
        <v>1099</v>
      </c>
    </row>
    <row r="30630">
      <c r="B30630" s="31"/>
      <c r="G30630" s="272" t="s">
        <v>1099</v>
      </c>
    </row>
    <row r="30631">
      <c r="B30631" s="31"/>
      <c r="G30631" s="272" t="s">
        <v>1099</v>
      </c>
    </row>
    <row r="30632">
      <c r="B30632" s="31"/>
      <c r="G30632" s="272" t="s">
        <v>1099</v>
      </c>
    </row>
    <row r="30633">
      <c r="B30633" s="31"/>
      <c r="G30633" s="272" t="s">
        <v>1099</v>
      </c>
    </row>
    <row r="30634">
      <c r="B30634" s="31"/>
      <c r="G30634" s="272" t="s">
        <v>1099</v>
      </c>
    </row>
    <row r="30635">
      <c r="B30635" s="31"/>
      <c r="G30635" s="272" t="s">
        <v>1099</v>
      </c>
    </row>
    <row r="30636">
      <c r="B30636" s="31"/>
      <c r="G30636" s="272" t="s">
        <v>1099</v>
      </c>
    </row>
    <row r="30637">
      <c r="B30637" s="31"/>
      <c r="G30637" s="272" t="s">
        <v>1099</v>
      </c>
    </row>
    <row r="30638">
      <c r="B30638" s="31"/>
      <c r="G30638" s="272" t="s">
        <v>1099</v>
      </c>
    </row>
    <row r="30639">
      <c r="B30639" s="31"/>
      <c r="G30639" s="272" t="s">
        <v>1099</v>
      </c>
    </row>
    <row r="30640">
      <c r="B30640" s="31"/>
      <c r="G30640" s="272" t="s">
        <v>1099</v>
      </c>
    </row>
    <row r="30641">
      <c r="B30641" s="31"/>
      <c r="G30641" s="272" t="s">
        <v>1099</v>
      </c>
    </row>
    <row r="30642">
      <c r="B30642" s="31"/>
      <c r="G30642" s="272" t="s">
        <v>1099</v>
      </c>
    </row>
    <row r="30643">
      <c r="B30643" s="31"/>
      <c r="G30643" s="272" t="s">
        <v>1099</v>
      </c>
    </row>
    <row r="30644">
      <c r="B30644" s="31"/>
      <c r="G30644" s="272" t="s">
        <v>1099</v>
      </c>
    </row>
    <row r="30645">
      <c r="B30645" s="31"/>
      <c r="G30645" s="272" t="s">
        <v>1099</v>
      </c>
    </row>
    <row r="30646">
      <c r="B30646" s="31"/>
      <c r="G30646" s="272" t="s">
        <v>1099</v>
      </c>
    </row>
    <row r="30647">
      <c r="B30647" s="31"/>
      <c r="G30647" s="272" t="s">
        <v>1099</v>
      </c>
    </row>
    <row r="30648">
      <c r="B30648" s="31"/>
      <c r="G30648" s="272" t="s">
        <v>1099</v>
      </c>
    </row>
    <row r="30649">
      <c r="B30649" s="31"/>
      <c r="G30649" s="272" t="s">
        <v>1099</v>
      </c>
    </row>
    <row r="30650">
      <c r="B30650" s="31"/>
      <c r="G30650" s="272" t="s">
        <v>1099</v>
      </c>
    </row>
    <row r="30651">
      <c r="B30651" s="31"/>
      <c r="G30651" s="272" t="s">
        <v>1099</v>
      </c>
    </row>
    <row r="30652">
      <c r="B30652" s="31"/>
      <c r="G30652" s="272" t="s">
        <v>1099</v>
      </c>
    </row>
    <row r="30653">
      <c r="B30653" s="31"/>
      <c r="G30653" s="272" t="s">
        <v>1099</v>
      </c>
    </row>
    <row r="30654">
      <c r="B30654" s="31"/>
      <c r="G30654" s="272" t="s">
        <v>1099</v>
      </c>
    </row>
    <row r="30655">
      <c r="B30655" s="31"/>
      <c r="G30655" s="272" t="s">
        <v>1099</v>
      </c>
    </row>
    <row r="30656">
      <c r="B30656" s="31"/>
      <c r="G30656" s="272" t="s">
        <v>1099</v>
      </c>
    </row>
    <row r="30657">
      <c r="B30657" s="31"/>
      <c r="G30657" s="272" t="s">
        <v>1099</v>
      </c>
    </row>
    <row r="30658">
      <c r="B30658" s="31"/>
      <c r="G30658" s="272" t="s">
        <v>1099</v>
      </c>
    </row>
    <row r="30659">
      <c r="B30659" s="31"/>
      <c r="G30659" s="272" t="s">
        <v>1099</v>
      </c>
    </row>
    <row r="30660">
      <c r="B30660" s="31"/>
      <c r="G30660" s="272" t="s">
        <v>1099</v>
      </c>
    </row>
    <row r="30661">
      <c r="B30661" s="31"/>
      <c r="G30661" s="272" t="s">
        <v>1099</v>
      </c>
    </row>
    <row r="30662">
      <c r="B30662" s="31"/>
      <c r="G30662" s="272" t="s">
        <v>1099</v>
      </c>
    </row>
    <row r="30663">
      <c r="B30663" s="31"/>
      <c r="G30663" s="272" t="s">
        <v>1099</v>
      </c>
    </row>
    <row r="30664">
      <c r="B30664" s="31"/>
      <c r="G30664" s="272" t="s">
        <v>1099</v>
      </c>
    </row>
    <row r="30665">
      <c r="B30665" s="31"/>
      <c r="G30665" s="272" t="s">
        <v>1099</v>
      </c>
    </row>
    <row r="30666">
      <c r="B30666" s="31"/>
      <c r="G30666" s="272" t="s">
        <v>1099</v>
      </c>
    </row>
    <row r="30667">
      <c r="B30667" s="31"/>
      <c r="G30667" s="272" t="s">
        <v>1099</v>
      </c>
    </row>
    <row r="30668">
      <c r="B30668" s="31"/>
      <c r="G30668" s="272" t="s">
        <v>1099</v>
      </c>
    </row>
    <row r="30669">
      <c r="B30669" s="31"/>
      <c r="G30669" s="272" t="s">
        <v>1099</v>
      </c>
    </row>
    <row r="30670">
      <c r="B30670" s="31"/>
      <c r="G30670" s="272" t="s">
        <v>1099</v>
      </c>
    </row>
    <row r="30671">
      <c r="B30671" s="31"/>
      <c r="G30671" s="272" t="s">
        <v>1099</v>
      </c>
    </row>
    <row r="30672">
      <c r="B30672" s="31"/>
      <c r="G30672" s="272" t="s">
        <v>1099</v>
      </c>
    </row>
    <row r="30673">
      <c r="B30673" s="31"/>
      <c r="G30673" s="272" t="s">
        <v>1099</v>
      </c>
    </row>
    <row r="30674">
      <c r="B30674" s="31"/>
      <c r="G30674" s="272" t="s">
        <v>1099</v>
      </c>
    </row>
    <row r="30675">
      <c r="B30675" s="31"/>
      <c r="G30675" s="272" t="s">
        <v>1099</v>
      </c>
    </row>
    <row r="30676">
      <c r="B30676" s="31"/>
      <c r="G30676" s="272" t="s">
        <v>1099</v>
      </c>
    </row>
    <row r="30677">
      <c r="B30677" s="31"/>
      <c r="G30677" s="272" t="s">
        <v>1099</v>
      </c>
    </row>
    <row r="30678">
      <c r="B30678" s="31"/>
      <c r="G30678" s="272" t="s">
        <v>1099</v>
      </c>
    </row>
    <row r="30679">
      <c r="B30679" s="31"/>
      <c r="G30679" s="272" t="s">
        <v>1099</v>
      </c>
    </row>
    <row r="30680">
      <c r="B30680" s="31"/>
      <c r="G30680" s="272" t="s">
        <v>1099</v>
      </c>
    </row>
    <row r="30681">
      <c r="B30681" s="31"/>
      <c r="G30681" s="272" t="s">
        <v>1099</v>
      </c>
    </row>
    <row r="30682">
      <c r="B30682" s="31"/>
      <c r="G30682" s="272" t="s">
        <v>1099</v>
      </c>
    </row>
    <row r="30683">
      <c r="B30683" s="31"/>
      <c r="G30683" s="272" t="s">
        <v>1099</v>
      </c>
    </row>
    <row r="30684">
      <c r="B30684" s="31"/>
      <c r="G30684" s="272" t="s">
        <v>1099</v>
      </c>
    </row>
    <row r="30685">
      <c r="B30685" s="31"/>
      <c r="G30685" s="272" t="s">
        <v>1099</v>
      </c>
    </row>
    <row r="30686">
      <c r="B30686" s="31"/>
      <c r="G30686" s="272" t="s">
        <v>1099</v>
      </c>
    </row>
    <row r="30687">
      <c r="B30687" s="31"/>
      <c r="G30687" s="272" t="s">
        <v>1099</v>
      </c>
    </row>
    <row r="30688">
      <c r="B30688" s="31"/>
      <c r="G30688" s="272" t="s">
        <v>1099</v>
      </c>
    </row>
    <row r="30689">
      <c r="B30689" s="31"/>
      <c r="G30689" s="272" t="s">
        <v>1099</v>
      </c>
    </row>
    <row r="30690">
      <c r="B30690" s="31"/>
      <c r="G30690" s="272" t="s">
        <v>1099</v>
      </c>
    </row>
    <row r="30691">
      <c r="B30691" s="31"/>
      <c r="G30691" s="272" t="s">
        <v>1099</v>
      </c>
    </row>
    <row r="30692">
      <c r="B30692" s="31"/>
      <c r="G30692" s="272" t="s">
        <v>1099</v>
      </c>
    </row>
    <row r="30693">
      <c r="B30693" s="31"/>
      <c r="G30693" s="272" t="s">
        <v>1099</v>
      </c>
    </row>
    <row r="30694">
      <c r="B30694" s="31"/>
      <c r="G30694" s="272" t="s">
        <v>1099</v>
      </c>
    </row>
    <row r="30695">
      <c r="B30695" s="31"/>
      <c r="G30695" s="272" t="s">
        <v>1099</v>
      </c>
    </row>
    <row r="30696">
      <c r="B30696" s="31"/>
      <c r="G30696" s="272" t="s">
        <v>1099</v>
      </c>
    </row>
    <row r="30697">
      <c r="B30697" s="31"/>
      <c r="G30697" s="272" t="s">
        <v>1099</v>
      </c>
    </row>
    <row r="30698">
      <c r="B30698" s="31"/>
      <c r="G30698" s="272" t="s">
        <v>1099</v>
      </c>
    </row>
    <row r="30699">
      <c r="B30699" s="31"/>
      <c r="G30699" s="272" t="s">
        <v>1099</v>
      </c>
    </row>
    <row r="30700">
      <c r="B30700" s="31"/>
      <c r="G30700" s="272" t="s">
        <v>1099</v>
      </c>
    </row>
    <row r="30701">
      <c r="B30701" s="31"/>
      <c r="G30701" s="272" t="s">
        <v>1099</v>
      </c>
    </row>
    <row r="30702">
      <c r="B30702" s="31"/>
      <c r="G30702" s="272" t="s">
        <v>1099</v>
      </c>
    </row>
    <row r="30703">
      <c r="B30703" s="31"/>
      <c r="G30703" s="272" t="s">
        <v>1099</v>
      </c>
    </row>
    <row r="30704">
      <c r="B30704" s="31"/>
      <c r="G30704" s="272" t="s">
        <v>1099</v>
      </c>
    </row>
    <row r="30705">
      <c r="B30705" s="31"/>
      <c r="G30705" s="272" t="s">
        <v>1099</v>
      </c>
    </row>
    <row r="30706">
      <c r="B30706" s="31"/>
      <c r="G30706" s="272" t="s">
        <v>1099</v>
      </c>
    </row>
    <row r="30707">
      <c r="B30707" s="31"/>
      <c r="G30707" s="272" t="s">
        <v>1099</v>
      </c>
    </row>
    <row r="30708">
      <c r="B30708" s="31"/>
      <c r="G30708" s="272" t="s">
        <v>1099</v>
      </c>
    </row>
    <row r="30709">
      <c r="B30709" s="31"/>
      <c r="G30709" s="272" t="s">
        <v>1099</v>
      </c>
    </row>
    <row r="30710">
      <c r="B30710" s="31"/>
      <c r="G30710" s="272" t="s">
        <v>1099</v>
      </c>
    </row>
    <row r="30711">
      <c r="B30711" s="31"/>
      <c r="G30711" s="272" t="s">
        <v>1099</v>
      </c>
    </row>
    <row r="30712">
      <c r="B30712" s="31"/>
      <c r="G30712" s="272" t="s">
        <v>1099</v>
      </c>
    </row>
    <row r="30713">
      <c r="B30713" s="31"/>
      <c r="G30713" s="272" t="s">
        <v>1099</v>
      </c>
    </row>
    <row r="30714">
      <c r="B30714" s="31"/>
      <c r="G30714" s="272" t="s">
        <v>1099</v>
      </c>
    </row>
    <row r="30715">
      <c r="B30715" s="31"/>
      <c r="G30715" s="272" t="s">
        <v>1099</v>
      </c>
    </row>
    <row r="30716">
      <c r="B30716" s="31"/>
      <c r="G30716" s="272" t="s">
        <v>1099</v>
      </c>
    </row>
    <row r="30717">
      <c r="B30717" s="31"/>
      <c r="G30717" s="272" t="s">
        <v>1099</v>
      </c>
    </row>
    <row r="30718">
      <c r="B30718" s="31"/>
      <c r="G30718" s="272" t="s">
        <v>1099</v>
      </c>
    </row>
    <row r="30719">
      <c r="B30719" s="31"/>
      <c r="G30719" s="272" t="s">
        <v>1099</v>
      </c>
    </row>
    <row r="30720">
      <c r="B30720" s="31"/>
      <c r="G30720" s="272" t="s">
        <v>1099</v>
      </c>
    </row>
    <row r="30721">
      <c r="B30721" s="31"/>
      <c r="G30721" s="272" t="s">
        <v>1099</v>
      </c>
    </row>
    <row r="30722">
      <c r="B30722" s="31"/>
      <c r="G30722" s="272" t="s">
        <v>1099</v>
      </c>
    </row>
    <row r="30723">
      <c r="B30723" s="31"/>
      <c r="G30723" s="272" t="s">
        <v>1099</v>
      </c>
    </row>
    <row r="30724">
      <c r="B30724" s="31"/>
      <c r="G30724" s="272" t="s">
        <v>1099</v>
      </c>
    </row>
    <row r="30725">
      <c r="B30725" s="31"/>
      <c r="G30725" s="272" t="s">
        <v>1099</v>
      </c>
    </row>
    <row r="30726">
      <c r="B30726" s="31"/>
      <c r="G30726" s="272" t="s">
        <v>1099</v>
      </c>
    </row>
    <row r="30727">
      <c r="B30727" s="31"/>
      <c r="G30727" s="272" t="s">
        <v>1099</v>
      </c>
    </row>
    <row r="30728">
      <c r="B30728" s="31"/>
      <c r="G30728" s="272" t="s">
        <v>1099</v>
      </c>
    </row>
    <row r="30729">
      <c r="B30729" s="31"/>
      <c r="G30729" s="272" t="s">
        <v>1099</v>
      </c>
    </row>
    <row r="30730">
      <c r="B30730" s="31"/>
      <c r="G30730" s="272" t="s">
        <v>1099</v>
      </c>
    </row>
    <row r="30731">
      <c r="B30731" s="31"/>
      <c r="G30731" s="272" t="s">
        <v>1099</v>
      </c>
    </row>
    <row r="30732">
      <c r="B30732" s="31"/>
      <c r="G30732" s="272" t="s">
        <v>1099</v>
      </c>
    </row>
    <row r="30733">
      <c r="B30733" s="31"/>
      <c r="G30733" s="272" t="s">
        <v>1099</v>
      </c>
    </row>
    <row r="30734">
      <c r="B30734" s="31"/>
      <c r="G30734" s="272" t="s">
        <v>1099</v>
      </c>
    </row>
    <row r="30735">
      <c r="B30735" s="31"/>
      <c r="G30735" s="272" t="s">
        <v>1099</v>
      </c>
    </row>
    <row r="30736">
      <c r="B30736" s="31"/>
      <c r="G30736" s="272" t="s">
        <v>1099</v>
      </c>
    </row>
    <row r="30737">
      <c r="B30737" s="31"/>
      <c r="G30737" s="272" t="s">
        <v>1099</v>
      </c>
    </row>
    <row r="30738">
      <c r="B30738" s="31"/>
      <c r="G30738" s="272" t="s">
        <v>1099</v>
      </c>
    </row>
    <row r="30739">
      <c r="B30739" s="31"/>
      <c r="G30739" s="272" t="s">
        <v>1099</v>
      </c>
    </row>
    <row r="30740">
      <c r="B30740" s="31"/>
      <c r="G30740" s="272" t="s">
        <v>1099</v>
      </c>
    </row>
    <row r="30741">
      <c r="B30741" s="31"/>
      <c r="G30741" s="272" t="s">
        <v>1099</v>
      </c>
    </row>
    <row r="30742">
      <c r="B30742" s="31"/>
      <c r="G30742" s="272" t="s">
        <v>1099</v>
      </c>
    </row>
    <row r="30743">
      <c r="B30743" s="31"/>
      <c r="G30743" s="272" t="s">
        <v>1099</v>
      </c>
    </row>
    <row r="30744">
      <c r="B30744" s="31"/>
      <c r="G30744" s="272" t="s">
        <v>1099</v>
      </c>
    </row>
    <row r="30745">
      <c r="B30745" s="31"/>
      <c r="G30745" s="272" t="s">
        <v>1099</v>
      </c>
    </row>
    <row r="30746">
      <c r="B30746" s="31"/>
      <c r="G30746" s="272" t="s">
        <v>1099</v>
      </c>
    </row>
    <row r="30747">
      <c r="B30747" s="31"/>
      <c r="G30747" s="272" t="s">
        <v>1099</v>
      </c>
    </row>
    <row r="30748">
      <c r="B30748" s="31"/>
      <c r="G30748" s="272" t="s">
        <v>1099</v>
      </c>
    </row>
    <row r="30749">
      <c r="B30749" s="31"/>
      <c r="G30749" s="272" t="s">
        <v>1099</v>
      </c>
    </row>
    <row r="30750">
      <c r="B30750" s="31"/>
      <c r="G30750" s="272" t="s">
        <v>1099</v>
      </c>
    </row>
    <row r="30751">
      <c r="B30751" s="31"/>
      <c r="G30751" s="272" t="s">
        <v>1099</v>
      </c>
    </row>
    <row r="30752">
      <c r="B30752" s="31"/>
      <c r="G30752" s="272" t="s">
        <v>1099</v>
      </c>
    </row>
    <row r="30753">
      <c r="B30753" s="31"/>
      <c r="G30753" s="272" t="s">
        <v>1099</v>
      </c>
    </row>
    <row r="30754">
      <c r="B30754" s="31"/>
      <c r="G30754" s="272" t="s">
        <v>1099</v>
      </c>
    </row>
    <row r="30755">
      <c r="B30755" s="31"/>
      <c r="G30755" s="272" t="s">
        <v>1099</v>
      </c>
    </row>
    <row r="30756">
      <c r="B30756" s="31"/>
      <c r="G30756" s="272" t="s">
        <v>1099</v>
      </c>
    </row>
    <row r="30757">
      <c r="B30757" s="31"/>
      <c r="G30757" s="272" t="s">
        <v>1099</v>
      </c>
    </row>
    <row r="30758">
      <c r="B30758" s="31"/>
      <c r="G30758" s="272" t="s">
        <v>1099</v>
      </c>
    </row>
    <row r="30759">
      <c r="B30759" s="31"/>
      <c r="G30759" s="272" t="s">
        <v>1099</v>
      </c>
    </row>
    <row r="30760">
      <c r="B30760" s="31"/>
      <c r="G30760" s="272" t="s">
        <v>1099</v>
      </c>
    </row>
    <row r="30761">
      <c r="B30761" s="31"/>
      <c r="G30761" s="272" t="s">
        <v>1099</v>
      </c>
    </row>
    <row r="30762">
      <c r="B30762" s="31"/>
      <c r="G30762" s="272" t="s">
        <v>1099</v>
      </c>
    </row>
    <row r="30763">
      <c r="B30763" s="31"/>
      <c r="G30763" s="272" t="s">
        <v>1099</v>
      </c>
    </row>
    <row r="30764">
      <c r="B30764" s="31"/>
      <c r="G30764" s="272" t="s">
        <v>1099</v>
      </c>
    </row>
    <row r="30765">
      <c r="B30765" s="31"/>
      <c r="G30765" s="272" t="s">
        <v>1099</v>
      </c>
    </row>
    <row r="30766">
      <c r="B30766" s="31"/>
      <c r="G30766" s="272" t="s">
        <v>1099</v>
      </c>
    </row>
    <row r="30767">
      <c r="B30767" s="31"/>
      <c r="G30767" s="272" t="s">
        <v>1099</v>
      </c>
    </row>
    <row r="30768">
      <c r="B30768" s="31"/>
      <c r="G30768" s="272" t="s">
        <v>1099</v>
      </c>
    </row>
    <row r="30769">
      <c r="B30769" s="31"/>
      <c r="G30769" s="272" t="s">
        <v>1099</v>
      </c>
    </row>
    <row r="30770">
      <c r="B30770" s="31"/>
      <c r="G30770" s="272" t="s">
        <v>1099</v>
      </c>
    </row>
    <row r="30771">
      <c r="B30771" s="31"/>
      <c r="G30771" s="272" t="s">
        <v>1099</v>
      </c>
    </row>
    <row r="30772">
      <c r="B30772" s="31"/>
      <c r="G30772" s="272" t="s">
        <v>1099</v>
      </c>
    </row>
    <row r="30773">
      <c r="B30773" s="31"/>
      <c r="G30773" s="272" t="s">
        <v>1099</v>
      </c>
    </row>
    <row r="30774">
      <c r="B30774" s="31"/>
      <c r="G30774" s="272" t="s">
        <v>1099</v>
      </c>
    </row>
    <row r="30775">
      <c r="B30775" s="31"/>
      <c r="G30775" s="272" t="s">
        <v>1099</v>
      </c>
    </row>
    <row r="30776">
      <c r="B30776" s="31"/>
      <c r="G30776" s="272" t="s">
        <v>1099</v>
      </c>
    </row>
    <row r="30777">
      <c r="B30777" s="31"/>
      <c r="G30777" s="272" t="s">
        <v>1099</v>
      </c>
    </row>
    <row r="30778">
      <c r="B30778" s="31"/>
      <c r="G30778" s="272" t="s">
        <v>1099</v>
      </c>
    </row>
    <row r="30779">
      <c r="B30779" s="31"/>
      <c r="G30779" s="272" t="s">
        <v>1099</v>
      </c>
    </row>
    <row r="30780">
      <c r="B30780" s="31"/>
      <c r="G30780" s="272" t="s">
        <v>1099</v>
      </c>
    </row>
    <row r="30781">
      <c r="B30781" s="31"/>
      <c r="G30781" s="272" t="s">
        <v>1099</v>
      </c>
    </row>
    <row r="30782">
      <c r="B30782" s="31"/>
      <c r="G30782" s="272" t="s">
        <v>1099</v>
      </c>
    </row>
    <row r="30783">
      <c r="B30783" s="31"/>
      <c r="G30783" s="272" t="s">
        <v>1099</v>
      </c>
    </row>
    <row r="30784">
      <c r="B30784" s="31"/>
      <c r="G30784" s="272" t="s">
        <v>1099</v>
      </c>
    </row>
    <row r="30785">
      <c r="B30785" s="31"/>
      <c r="G30785" s="272" t="s">
        <v>1099</v>
      </c>
    </row>
    <row r="30786">
      <c r="B30786" s="31"/>
      <c r="G30786" s="272" t="s">
        <v>1099</v>
      </c>
    </row>
    <row r="30787">
      <c r="B30787" s="31"/>
      <c r="G30787" s="272" t="s">
        <v>1099</v>
      </c>
    </row>
    <row r="30788">
      <c r="B30788" s="31"/>
      <c r="G30788" s="272" t="s">
        <v>1099</v>
      </c>
    </row>
    <row r="30789">
      <c r="B30789" s="31"/>
      <c r="G30789" s="272" t="s">
        <v>1099</v>
      </c>
    </row>
    <row r="30790">
      <c r="B30790" s="31"/>
      <c r="G30790" s="272" t="s">
        <v>1099</v>
      </c>
    </row>
    <row r="30791">
      <c r="B30791" s="31"/>
      <c r="G30791" s="272" t="s">
        <v>1099</v>
      </c>
    </row>
    <row r="30792">
      <c r="B30792" s="31"/>
      <c r="G30792" s="272" t="s">
        <v>1099</v>
      </c>
    </row>
    <row r="30793">
      <c r="B30793" s="31"/>
      <c r="G30793" s="272" t="s">
        <v>1099</v>
      </c>
    </row>
    <row r="30794">
      <c r="B30794" s="31"/>
      <c r="G30794" s="272" t="s">
        <v>1099</v>
      </c>
    </row>
    <row r="30795">
      <c r="B30795" s="31"/>
      <c r="G30795" s="272" t="s">
        <v>1099</v>
      </c>
    </row>
    <row r="30796">
      <c r="B30796" s="31"/>
      <c r="G30796" s="272" t="s">
        <v>1099</v>
      </c>
    </row>
    <row r="30797">
      <c r="B30797" s="31"/>
      <c r="G30797" s="272" t="s">
        <v>1099</v>
      </c>
    </row>
    <row r="30798">
      <c r="B30798" s="31"/>
      <c r="G30798" s="272" t="s">
        <v>1099</v>
      </c>
    </row>
    <row r="30799">
      <c r="B30799" s="31"/>
      <c r="G30799" s="272" t="s">
        <v>1099</v>
      </c>
    </row>
    <row r="30800">
      <c r="B30800" s="31"/>
      <c r="G30800" s="272" t="s">
        <v>1099</v>
      </c>
    </row>
    <row r="30801">
      <c r="B30801" s="31"/>
      <c r="G30801" s="272" t="s">
        <v>1099</v>
      </c>
    </row>
    <row r="30802">
      <c r="B30802" s="31"/>
      <c r="G30802" s="272" t="s">
        <v>1099</v>
      </c>
    </row>
    <row r="30803">
      <c r="B30803" s="31"/>
      <c r="G30803" s="272" t="s">
        <v>1099</v>
      </c>
    </row>
    <row r="30804">
      <c r="B30804" s="31"/>
      <c r="G30804" s="272" t="s">
        <v>1099</v>
      </c>
    </row>
    <row r="30805">
      <c r="B30805" s="31"/>
      <c r="G30805" s="272" t="s">
        <v>1099</v>
      </c>
    </row>
    <row r="30806">
      <c r="B30806" s="31"/>
      <c r="G30806" s="272" t="s">
        <v>1099</v>
      </c>
    </row>
    <row r="30807">
      <c r="B30807" s="31"/>
      <c r="G30807" s="272" t="s">
        <v>1099</v>
      </c>
    </row>
    <row r="30808">
      <c r="B30808" s="31"/>
      <c r="G30808" s="272" t="s">
        <v>1099</v>
      </c>
    </row>
    <row r="30809">
      <c r="B30809" s="31"/>
      <c r="G30809" s="272" t="s">
        <v>1099</v>
      </c>
    </row>
    <row r="30810">
      <c r="B30810" s="31"/>
      <c r="G30810" s="272" t="s">
        <v>1099</v>
      </c>
    </row>
    <row r="30811">
      <c r="B30811" s="31"/>
      <c r="G30811" s="272" t="s">
        <v>1099</v>
      </c>
    </row>
    <row r="30812">
      <c r="B30812" s="31"/>
      <c r="G30812" s="272" t="s">
        <v>1099</v>
      </c>
    </row>
    <row r="30813">
      <c r="B30813" s="31"/>
      <c r="G30813" s="272" t="s">
        <v>1099</v>
      </c>
    </row>
    <row r="30814">
      <c r="B30814" s="31"/>
      <c r="G30814" s="272" t="s">
        <v>1099</v>
      </c>
    </row>
    <row r="30815">
      <c r="B30815" s="31"/>
      <c r="G30815" s="272" t="s">
        <v>1099</v>
      </c>
    </row>
    <row r="30816">
      <c r="B30816" s="31"/>
      <c r="G30816" s="272" t="s">
        <v>1099</v>
      </c>
    </row>
    <row r="30817">
      <c r="B30817" s="31"/>
      <c r="G30817" s="272" t="s">
        <v>1099</v>
      </c>
    </row>
    <row r="30818">
      <c r="B30818" s="31"/>
      <c r="G30818" s="272" t="s">
        <v>1099</v>
      </c>
    </row>
    <row r="30819">
      <c r="B30819" s="31"/>
      <c r="G30819" s="272" t="s">
        <v>1099</v>
      </c>
    </row>
    <row r="30820">
      <c r="B30820" s="31"/>
      <c r="G30820" s="272" t="s">
        <v>1099</v>
      </c>
    </row>
    <row r="30821">
      <c r="B30821" s="31"/>
      <c r="G30821" s="272" t="s">
        <v>1099</v>
      </c>
    </row>
    <row r="30822">
      <c r="B30822" s="31"/>
      <c r="G30822" s="272" t="s">
        <v>1099</v>
      </c>
    </row>
    <row r="30823">
      <c r="B30823" s="31"/>
      <c r="G30823" s="272" t="s">
        <v>1099</v>
      </c>
    </row>
    <row r="30824">
      <c r="B30824" s="31"/>
      <c r="G30824" s="272" t="s">
        <v>1099</v>
      </c>
    </row>
    <row r="30825">
      <c r="B30825" s="31"/>
      <c r="G30825" s="272" t="s">
        <v>1099</v>
      </c>
    </row>
    <row r="30826">
      <c r="B30826" s="31"/>
      <c r="G30826" s="272" t="s">
        <v>1099</v>
      </c>
    </row>
    <row r="30827">
      <c r="B30827" s="31"/>
      <c r="G30827" s="272" t="s">
        <v>1099</v>
      </c>
    </row>
    <row r="30828">
      <c r="B30828" s="31"/>
      <c r="G30828" s="272" t="s">
        <v>1099</v>
      </c>
    </row>
    <row r="30829">
      <c r="B30829" s="31"/>
      <c r="G30829" s="272" t="s">
        <v>1099</v>
      </c>
    </row>
    <row r="30830">
      <c r="B30830" s="31"/>
      <c r="G30830" s="272" t="s">
        <v>1099</v>
      </c>
    </row>
    <row r="30831">
      <c r="B30831" s="31"/>
      <c r="G30831" s="272" t="s">
        <v>1099</v>
      </c>
    </row>
    <row r="30832">
      <c r="B30832" s="31"/>
      <c r="G30832" s="272" t="s">
        <v>1099</v>
      </c>
    </row>
    <row r="30833">
      <c r="B30833" s="31"/>
      <c r="G30833" s="272" t="s">
        <v>1099</v>
      </c>
    </row>
    <row r="30834">
      <c r="B30834" s="31"/>
      <c r="G30834" s="272" t="s">
        <v>1099</v>
      </c>
    </row>
    <row r="30835">
      <c r="B30835" s="31"/>
      <c r="G30835" s="272" t="s">
        <v>1099</v>
      </c>
    </row>
    <row r="30836">
      <c r="B30836" s="31"/>
      <c r="G30836" s="272" t="s">
        <v>1099</v>
      </c>
    </row>
    <row r="30837">
      <c r="B30837" s="31"/>
      <c r="G30837" s="272" t="s">
        <v>1099</v>
      </c>
    </row>
    <row r="30838">
      <c r="B30838" s="31"/>
      <c r="G30838" s="272" t="s">
        <v>1099</v>
      </c>
    </row>
    <row r="30839">
      <c r="B30839" s="31"/>
      <c r="G30839" s="272" t="s">
        <v>1099</v>
      </c>
    </row>
    <row r="30840">
      <c r="B30840" s="31"/>
      <c r="G30840" s="272" t="s">
        <v>1099</v>
      </c>
    </row>
    <row r="30841">
      <c r="B30841" s="31"/>
      <c r="G30841" s="272" t="s">
        <v>1099</v>
      </c>
    </row>
    <row r="30842">
      <c r="B30842" s="31"/>
      <c r="G30842" s="272" t="s">
        <v>1099</v>
      </c>
    </row>
    <row r="30843">
      <c r="B30843" s="31"/>
      <c r="G30843" s="272" t="s">
        <v>1099</v>
      </c>
    </row>
    <row r="30844">
      <c r="B30844" s="31"/>
      <c r="G30844" s="272" t="s">
        <v>1099</v>
      </c>
    </row>
    <row r="30845">
      <c r="B30845" s="31"/>
      <c r="G30845" s="272" t="s">
        <v>1099</v>
      </c>
    </row>
    <row r="30846">
      <c r="B30846" s="31"/>
      <c r="G30846" s="272" t="s">
        <v>1099</v>
      </c>
    </row>
    <row r="30847">
      <c r="B30847" s="31"/>
      <c r="G30847" s="272" t="s">
        <v>1099</v>
      </c>
    </row>
    <row r="30848">
      <c r="B30848" s="31"/>
      <c r="G30848" s="272" t="s">
        <v>1099</v>
      </c>
    </row>
    <row r="30849">
      <c r="B30849" s="31"/>
      <c r="G30849" s="272" t="s">
        <v>1099</v>
      </c>
    </row>
    <row r="30850">
      <c r="B30850" s="31"/>
      <c r="G30850" s="272" t="s">
        <v>1099</v>
      </c>
    </row>
    <row r="30851">
      <c r="B30851" s="31"/>
      <c r="G30851" s="272" t="s">
        <v>1099</v>
      </c>
    </row>
    <row r="30852">
      <c r="B30852" s="31"/>
      <c r="G30852" s="272" t="s">
        <v>1099</v>
      </c>
    </row>
    <row r="30853">
      <c r="B30853" s="31"/>
      <c r="G30853" s="272" t="s">
        <v>1099</v>
      </c>
    </row>
    <row r="30854">
      <c r="B30854" s="31"/>
      <c r="G30854" s="272" t="s">
        <v>1099</v>
      </c>
    </row>
    <row r="30855">
      <c r="B30855" s="31"/>
      <c r="G30855" s="272" t="s">
        <v>1099</v>
      </c>
    </row>
    <row r="30856">
      <c r="B30856" s="31"/>
      <c r="G30856" s="272" t="s">
        <v>1099</v>
      </c>
    </row>
    <row r="30857">
      <c r="B30857" s="31"/>
      <c r="G30857" s="272" t="s">
        <v>1099</v>
      </c>
    </row>
    <row r="30858">
      <c r="B30858" s="31"/>
      <c r="G30858" s="272" t="s">
        <v>1099</v>
      </c>
    </row>
    <row r="30859">
      <c r="B30859" s="31"/>
      <c r="G30859" s="272" t="s">
        <v>1099</v>
      </c>
    </row>
    <row r="30860">
      <c r="B30860" s="31"/>
      <c r="G30860" s="272" t="s">
        <v>1099</v>
      </c>
    </row>
    <row r="30861">
      <c r="B30861" s="31"/>
      <c r="G30861" s="272" t="s">
        <v>1099</v>
      </c>
    </row>
    <row r="30862">
      <c r="B30862" s="31"/>
      <c r="G30862" s="272" t="s">
        <v>1099</v>
      </c>
    </row>
    <row r="30863">
      <c r="B30863" s="31"/>
      <c r="G30863" s="272" t="s">
        <v>1099</v>
      </c>
    </row>
    <row r="30864">
      <c r="B30864" s="31"/>
      <c r="G30864" s="272" t="s">
        <v>1099</v>
      </c>
    </row>
    <row r="30865">
      <c r="B30865" s="31"/>
      <c r="G30865" s="272" t="s">
        <v>1099</v>
      </c>
    </row>
    <row r="30866">
      <c r="B30866" s="31"/>
      <c r="G30866" s="272" t="s">
        <v>1099</v>
      </c>
    </row>
    <row r="30867">
      <c r="B30867" s="31"/>
      <c r="G30867" s="272" t="s">
        <v>1099</v>
      </c>
    </row>
    <row r="30868">
      <c r="B30868" s="31"/>
      <c r="G30868" s="272" t="s">
        <v>1099</v>
      </c>
    </row>
    <row r="30869">
      <c r="B30869" s="31"/>
      <c r="G30869" s="272" t="s">
        <v>1099</v>
      </c>
    </row>
    <row r="30870">
      <c r="B30870" s="31"/>
      <c r="G30870" s="272" t="s">
        <v>1099</v>
      </c>
    </row>
    <row r="30871">
      <c r="B30871" s="31"/>
      <c r="G30871" s="272" t="s">
        <v>1099</v>
      </c>
    </row>
    <row r="30872">
      <c r="B30872" s="31"/>
      <c r="G30872" s="272" t="s">
        <v>1099</v>
      </c>
    </row>
    <row r="30873">
      <c r="B30873" s="31"/>
      <c r="G30873" s="272" t="s">
        <v>1099</v>
      </c>
    </row>
    <row r="30874">
      <c r="B30874" s="31"/>
      <c r="G30874" s="272" t="s">
        <v>1099</v>
      </c>
    </row>
    <row r="30875">
      <c r="B30875" s="31"/>
      <c r="G30875" s="272" t="s">
        <v>1099</v>
      </c>
    </row>
    <row r="30876">
      <c r="B30876" s="31"/>
      <c r="G30876" s="272" t="s">
        <v>1099</v>
      </c>
    </row>
    <row r="30877">
      <c r="B30877" s="31"/>
      <c r="G30877" s="272" t="s">
        <v>1099</v>
      </c>
    </row>
    <row r="30878">
      <c r="B30878" s="31"/>
      <c r="G30878" s="272" t="s">
        <v>1099</v>
      </c>
    </row>
    <row r="30879">
      <c r="B30879" s="31"/>
      <c r="G30879" s="272" t="s">
        <v>1099</v>
      </c>
    </row>
    <row r="30880">
      <c r="B30880" s="31"/>
      <c r="G30880" s="272" t="s">
        <v>1099</v>
      </c>
    </row>
    <row r="30881">
      <c r="B30881" s="31"/>
      <c r="G30881" s="272" t="s">
        <v>1099</v>
      </c>
    </row>
    <row r="30882">
      <c r="B30882" s="31"/>
      <c r="G30882" s="272" t="s">
        <v>1099</v>
      </c>
    </row>
    <row r="30883">
      <c r="B30883" s="31"/>
      <c r="G30883" s="272" t="s">
        <v>1099</v>
      </c>
    </row>
    <row r="30884">
      <c r="B30884" s="31"/>
      <c r="G30884" s="272" t="s">
        <v>1099</v>
      </c>
    </row>
    <row r="30885">
      <c r="B30885" s="31"/>
      <c r="G30885" s="272" t="s">
        <v>1099</v>
      </c>
    </row>
    <row r="30886">
      <c r="B30886" s="31"/>
      <c r="G30886" s="272" t="s">
        <v>1099</v>
      </c>
    </row>
    <row r="30887">
      <c r="B30887" s="31"/>
      <c r="G30887" s="272" t="s">
        <v>1099</v>
      </c>
    </row>
    <row r="30888">
      <c r="B30888" s="31"/>
      <c r="G30888" s="272" t="s">
        <v>1099</v>
      </c>
    </row>
    <row r="30889">
      <c r="B30889" s="31"/>
      <c r="G30889" s="272" t="s">
        <v>1099</v>
      </c>
    </row>
    <row r="30890">
      <c r="B30890" s="31"/>
      <c r="G30890" s="272" t="s">
        <v>1099</v>
      </c>
    </row>
    <row r="30891">
      <c r="B30891" s="31"/>
      <c r="G30891" s="272" t="s">
        <v>1099</v>
      </c>
    </row>
    <row r="30892">
      <c r="B30892" s="31"/>
      <c r="G30892" s="272" t="s">
        <v>1099</v>
      </c>
    </row>
    <row r="30893">
      <c r="B30893" s="31"/>
      <c r="G30893" s="272" t="s">
        <v>1099</v>
      </c>
    </row>
    <row r="30894">
      <c r="B30894" s="31"/>
      <c r="G30894" s="272" t="s">
        <v>1099</v>
      </c>
    </row>
    <row r="30895">
      <c r="B30895" s="31"/>
      <c r="G30895" s="272" t="s">
        <v>1099</v>
      </c>
    </row>
    <row r="30896">
      <c r="B30896" s="31"/>
      <c r="G30896" s="272" t="s">
        <v>1099</v>
      </c>
    </row>
    <row r="30897">
      <c r="B30897" s="31"/>
      <c r="G30897" s="272" t="s">
        <v>1099</v>
      </c>
    </row>
    <row r="30898">
      <c r="B30898" s="31"/>
      <c r="G30898" s="272" t="s">
        <v>1099</v>
      </c>
    </row>
    <row r="30899">
      <c r="B30899" s="31"/>
      <c r="G30899" s="272" t="s">
        <v>1099</v>
      </c>
    </row>
    <row r="30900">
      <c r="B30900" s="31"/>
      <c r="G30900" s="272" t="s">
        <v>1099</v>
      </c>
    </row>
    <row r="30901">
      <c r="B30901" s="31"/>
      <c r="G30901" s="272" t="s">
        <v>1099</v>
      </c>
    </row>
    <row r="30902">
      <c r="B30902" s="31"/>
      <c r="G30902" s="272" t="s">
        <v>1099</v>
      </c>
    </row>
    <row r="30903">
      <c r="B30903" s="31"/>
      <c r="G30903" s="272" t="s">
        <v>1099</v>
      </c>
    </row>
    <row r="30904">
      <c r="B30904" s="31"/>
      <c r="G30904" s="272" t="s">
        <v>1099</v>
      </c>
    </row>
    <row r="30905">
      <c r="B30905" s="31"/>
      <c r="G30905" s="272" t="s">
        <v>1099</v>
      </c>
    </row>
    <row r="30906">
      <c r="B30906" s="31"/>
      <c r="G30906" s="272" t="s">
        <v>1099</v>
      </c>
    </row>
    <row r="30907">
      <c r="B30907" s="31"/>
      <c r="G30907" s="272" t="s">
        <v>1099</v>
      </c>
    </row>
    <row r="30908">
      <c r="B30908" s="31"/>
      <c r="G30908" s="272" t="s">
        <v>1099</v>
      </c>
    </row>
    <row r="30909">
      <c r="B30909" s="31"/>
      <c r="G30909" s="272" t="s">
        <v>1099</v>
      </c>
    </row>
    <row r="30910">
      <c r="B30910" s="31"/>
      <c r="G30910" s="272" t="s">
        <v>1099</v>
      </c>
    </row>
    <row r="30911">
      <c r="B30911" s="31"/>
      <c r="G30911" s="272" t="s">
        <v>1099</v>
      </c>
    </row>
    <row r="30912">
      <c r="B30912" s="31"/>
      <c r="G30912" s="272" t="s">
        <v>1099</v>
      </c>
    </row>
    <row r="30913">
      <c r="B30913" s="31"/>
      <c r="G30913" s="272" t="s">
        <v>1099</v>
      </c>
    </row>
    <row r="30914">
      <c r="B30914" s="31"/>
      <c r="G30914" s="272" t="s">
        <v>1099</v>
      </c>
    </row>
    <row r="30915">
      <c r="B30915" s="31"/>
      <c r="G30915" s="272" t="s">
        <v>1099</v>
      </c>
    </row>
    <row r="30916">
      <c r="B30916" s="31"/>
      <c r="G30916" s="272" t="s">
        <v>1099</v>
      </c>
    </row>
    <row r="30917">
      <c r="B30917" s="31"/>
      <c r="G30917" s="272" t="s">
        <v>1099</v>
      </c>
    </row>
    <row r="30918">
      <c r="B30918" s="31"/>
      <c r="G30918" s="272" t="s">
        <v>1099</v>
      </c>
    </row>
    <row r="30919">
      <c r="B30919" s="31"/>
      <c r="G30919" s="272" t="s">
        <v>1099</v>
      </c>
    </row>
    <row r="30920">
      <c r="B30920" s="31"/>
      <c r="G30920" s="272" t="s">
        <v>1099</v>
      </c>
    </row>
    <row r="30921">
      <c r="B30921" s="31"/>
      <c r="G30921" s="272" t="s">
        <v>1099</v>
      </c>
    </row>
    <row r="30922">
      <c r="B30922" s="31"/>
      <c r="G30922" s="272" t="s">
        <v>1099</v>
      </c>
    </row>
    <row r="30923">
      <c r="B30923" s="31"/>
      <c r="G30923" s="272" t="s">
        <v>1099</v>
      </c>
    </row>
    <row r="30924">
      <c r="B30924" s="31"/>
      <c r="G30924" s="272" t="s">
        <v>1099</v>
      </c>
    </row>
    <row r="30925">
      <c r="B30925" s="31"/>
      <c r="G30925" s="272" t="s">
        <v>1099</v>
      </c>
    </row>
    <row r="30926">
      <c r="B30926" s="31"/>
      <c r="G30926" s="272" t="s">
        <v>1099</v>
      </c>
    </row>
    <row r="30927">
      <c r="B30927" s="31"/>
      <c r="G30927" s="272" t="s">
        <v>1099</v>
      </c>
    </row>
    <row r="30928">
      <c r="B30928" s="31"/>
      <c r="G30928" s="272" t="s">
        <v>1099</v>
      </c>
    </row>
    <row r="30929">
      <c r="B30929" s="31"/>
      <c r="G30929" s="272" t="s">
        <v>1099</v>
      </c>
    </row>
    <row r="30930">
      <c r="B30930" s="31"/>
      <c r="G30930" s="272" t="s">
        <v>1099</v>
      </c>
    </row>
    <row r="30931">
      <c r="B30931" s="31"/>
      <c r="G30931" s="272" t="s">
        <v>1099</v>
      </c>
    </row>
    <row r="30932">
      <c r="B30932" s="31"/>
      <c r="G30932" s="272" t="s">
        <v>1099</v>
      </c>
    </row>
    <row r="30933">
      <c r="B30933" s="31"/>
      <c r="G30933" s="272" t="s">
        <v>1099</v>
      </c>
    </row>
    <row r="30934">
      <c r="B30934" s="31"/>
      <c r="G30934" s="272" t="s">
        <v>1099</v>
      </c>
    </row>
    <row r="30935">
      <c r="B30935" s="31"/>
      <c r="G30935" s="272" t="s">
        <v>1099</v>
      </c>
    </row>
    <row r="30936">
      <c r="B30936" s="31"/>
      <c r="G30936" s="272" t="s">
        <v>1099</v>
      </c>
    </row>
    <row r="30937">
      <c r="B30937" s="31"/>
      <c r="G30937" s="272" t="s">
        <v>1099</v>
      </c>
    </row>
    <row r="30938">
      <c r="B30938" s="31"/>
      <c r="G30938" s="272" t="s">
        <v>1099</v>
      </c>
    </row>
    <row r="30939">
      <c r="B30939" s="31"/>
      <c r="G30939" s="272" t="s">
        <v>1099</v>
      </c>
    </row>
    <row r="30940">
      <c r="B30940" s="31"/>
      <c r="G30940" s="272" t="s">
        <v>1099</v>
      </c>
    </row>
    <row r="30941">
      <c r="B30941" s="31"/>
      <c r="G30941" s="272" t="s">
        <v>1099</v>
      </c>
    </row>
    <row r="30942">
      <c r="B30942" s="31"/>
      <c r="G30942" s="272" t="s">
        <v>1099</v>
      </c>
    </row>
    <row r="30943">
      <c r="B30943" s="31"/>
      <c r="G30943" s="272" t="s">
        <v>1099</v>
      </c>
    </row>
    <row r="30944">
      <c r="B30944" s="31"/>
      <c r="G30944" s="272" t="s">
        <v>1099</v>
      </c>
    </row>
    <row r="30945">
      <c r="B30945" s="31"/>
      <c r="G30945" s="272" t="s">
        <v>1099</v>
      </c>
    </row>
    <row r="30946">
      <c r="B30946" s="31"/>
      <c r="G30946" s="272" t="s">
        <v>1099</v>
      </c>
    </row>
    <row r="30947">
      <c r="B30947" s="31"/>
      <c r="G30947" s="272" t="s">
        <v>1099</v>
      </c>
    </row>
    <row r="30948">
      <c r="B30948" s="31"/>
      <c r="G30948" s="272" t="s">
        <v>1099</v>
      </c>
    </row>
    <row r="30949">
      <c r="B30949" s="31"/>
      <c r="G30949" s="272" t="s">
        <v>1099</v>
      </c>
    </row>
    <row r="30950">
      <c r="B30950" s="31"/>
      <c r="G30950" s="272" t="s">
        <v>1099</v>
      </c>
    </row>
    <row r="30951">
      <c r="B30951" s="31"/>
      <c r="G30951" s="272" t="s">
        <v>1099</v>
      </c>
    </row>
    <row r="30952">
      <c r="B30952" s="31"/>
      <c r="G30952" s="272" t="s">
        <v>1099</v>
      </c>
    </row>
    <row r="30953">
      <c r="B30953" s="31"/>
      <c r="G30953" s="272" t="s">
        <v>1099</v>
      </c>
    </row>
    <row r="30954">
      <c r="B30954" s="31"/>
      <c r="G30954" s="272" t="s">
        <v>1099</v>
      </c>
    </row>
    <row r="30955">
      <c r="B30955" s="31"/>
      <c r="G30955" s="272" t="s">
        <v>1099</v>
      </c>
    </row>
    <row r="30956">
      <c r="B30956" s="31"/>
      <c r="G30956" s="272" t="s">
        <v>1099</v>
      </c>
    </row>
    <row r="30957">
      <c r="B30957" s="31"/>
      <c r="G30957" s="272" t="s">
        <v>1099</v>
      </c>
    </row>
    <row r="30958">
      <c r="B30958" s="31"/>
      <c r="G30958" s="272" t="s">
        <v>1099</v>
      </c>
    </row>
    <row r="30959">
      <c r="B30959" s="31"/>
      <c r="G30959" s="272" t="s">
        <v>1099</v>
      </c>
    </row>
    <row r="30960">
      <c r="B30960" s="31"/>
      <c r="G30960" s="272" t="s">
        <v>1099</v>
      </c>
    </row>
    <row r="30961">
      <c r="B30961" s="31"/>
      <c r="G30961" s="272" t="s">
        <v>1099</v>
      </c>
    </row>
    <row r="30962">
      <c r="B30962" s="31"/>
      <c r="G30962" s="272" t="s">
        <v>1099</v>
      </c>
    </row>
    <row r="30963">
      <c r="B30963" s="31"/>
      <c r="G30963" s="272" t="s">
        <v>1099</v>
      </c>
    </row>
    <row r="30964">
      <c r="B30964" s="31"/>
      <c r="G30964" s="272" t="s">
        <v>1099</v>
      </c>
    </row>
    <row r="30965">
      <c r="B30965" s="31"/>
      <c r="G30965" s="272" t="s">
        <v>1099</v>
      </c>
    </row>
    <row r="30966">
      <c r="B30966" s="31"/>
      <c r="G30966" s="272" t="s">
        <v>1099</v>
      </c>
    </row>
    <row r="30967">
      <c r="B30967" s="31"/>
      <c r="G30967" s="272" t="s">
        <v>1099</v>
      </c>
    </row>
    <row r="30968">
      <c r="B30968" s="31"/>
      <c r="G30968" s="272" t="s">
        <v>1099</v>
      </c>
    </row>
    <row r="30969">
      <c r="B30969" s="31"/>
      <c r="G30969" s="272" t="s">
        <v>1099</v>
      </c>
    </row>
    <row r="30970">
      <c r="B30970" s="31"/>
      <c r="G30970" s="272" t="s">
        <v>1099</v>
      </c>
    </row>
    <row r="30971">
      <c r="B30971" s="31"/>
      <c r="G30971" s="272" t="s">
        <v>1099</v>
      </c>
    </row>
    <row r="30972">
      <c r="B30972" s="31"/>
      <c r="G30972" s="272" t="s">
        <v>1099</v>
      </c>
    </row>
    <row r="30973">
      <c r="B30973" s="31"/>
      <c r="G30973" s="272" t="s">
        <v>1099</v>
      </c>
    </row>
    <row r="30974">
      <c r="B30974" s="31"/>
      <c r="G30974" s="272" t="s">
        <v>1099</v>
      </c>
    </row>
    <row r="30975">
      <c r="B30975" s="31"/>
      <c r="G30975" s="272" t="s">
        <v>1099</v>
      </c>
    </row>
    <row r="30976">
      <c r="B30976" s="31"/>
      <c r="G30976" s="272" t="s">
        <v>1099</v>
      </c>
    </row>
    <row r="30977">
      <c r="B30977" s="31"/>
      <c r="G30977" s="272" t="s">
        <v>1099</v>
      </c>
    </row>
    <row r="30978">
      <c r="B30978" s="31"/>
      <c r="G30978" s="272" t="s">
        <v>1099</v>
      </c>
    </row>
    <row r="30979">
      <c r="B30979" s="31"/>
      <c r="G30979" s="272" t="s">
        <v>1099</v>
      </c>
    </row>
    <row r="30980">
      <c r="B30980" s="31"/>
      <c r="G30980" s="272" t="s">
        <v>1099</v>
      </c>
    </row>
    <row r="30981">
      <c r="B30981" s="31"/>
      <c r="G30981" s="272" t="s">
        <v>1099</v>
      </c>
    </row>
    <row r="30982">
      <c r="B30982" s="31"/>
      <c r="G30982" s="272" t="s">
        <v>1099</v>
      </c>
    </row>
    <row r="30983">
      <c r="B30983" s="31"/>
      <c r="G30983" s="272" t="s">
        <v>1099</v>
      </c>
    </row>
    <row r="30984">
      <c r="B30984" s="31"/>
      <c r="G30984" s="272" t="s">
        <v>1099</v>
      </c>
    </row>
    <row r="30985">
      <c r="B30985" s="31"/>
      <c r="G30985" s="272" t="s">
        <v>1099</v>
      </c>
    </row>
    <row r="30986">
      <c r="B30986" s="31"/>
      <c r="G30986" s="272" t="s">
        <v>1099</v>
      </c>
    </row>
    <row r="30987">
      <c r="B30987" s="31"/>
      <c r="G30987" s="272" t="s">
        <v>1099</v>
      </c>
    </row>
    <row r="30988">
      <c r="B30988" s="31"/>
      <c r="G30988" s="272" t="s">
        <v>1099</v>
      </c>
    </row>
    <row r="30989">
      <c r="B30989" s="31"/>
      <c r="G30989" s="272" t="s">
        <v>1099</v>
      </c>
    </row>
    <row r="30990">
      <c r="B30990" s="31"/>
      <c r="G30990" s="272" t="s">
        <v>1099</v>
      </c>
    </row>
    <row r="30991">
      <c r="B30991" s="31"/>
      <c r="G30991" s="272" t="s">
        <v>1099</v>
      </c>
    </row>
    <row r="30992">
      <c r="B30992" s="31"/>
      <c r="G30992" s="272" t="s">
        <v>1099</v>
      </c>
    </row>
    <row r="30993">
      <c r="B30993" s="31"/>
      <c r="G30993" s="272" t="s">
        <v>1099</v>
      </c>
    </row>
    <row r="30994">
      <c r="B30994" s="31"/>
      <c r="G30994" s="272" t="s">
        <v>1099</v>
      </c>
    </row>
    <row r="30995">
      <c r="B30995" s="31"/>
      <c r="G30995" s="272" t="s">
        <v>1099</v>
      </c>
    </row>
    <row r="30996">
      <c r="B30996" s="31"/>
      <c r="G30996" s="272" t="s">
        <v>1099</v>
      </c>
    </row>
    <row r="30997">
      <c r="B30997" s="31"/>
      <c r="G30997" s="272" t="s">
        <v>1099</v>
      </c>
    </row>
    <row r="30998">
      <c r="B30998" s="31"/>
      <c r="G30998" s="272" t="s">
        <v>1099</v>
      </c>
    </row>
    <row r="30999">
      <c r="B30999" s="31"/>
      <c r="G30999" s="272" t="s">
        <v>1099</v>
      </c>
    </row>
    <row r="31000">
      <c r="B31000" s="31"/>
      <c r="G31000" s="272" t="s">
        <v>1099</v>
      </c>
    </row>
    <row r="31001">
      <c r="B31001" s="31"/>
      <c r="G31001" s="272" t="s">
        <v>1099</v>
      </c>
    </row>
    <row r="31002">
      <c r="B31002" s="31"/>
      <c r="G31002" s="272" t="s">
        <v>1099</v>
      </c>
    </row>
    <row r="31003">
      <c r="B31003" s="31"/>
      <c r="G31003" s="272" t="s">
        <v>1099</v>
      </c>
    </row>
    <row r="31004">
      <c r="B31004" s="31"/>
      <c r="G31004" s="272" t="s">
        <v>1099</v>
      </c>
    </row>
    <row r="31005">
      <c r="B31005" s="31"/>
      <c r="G31005" s="272" t="s">
        <v>1099</v>
      </c>
    </row>
    <row r="31006">
      <c r="B31006" s="31"/>
      <c r="G31006" s="272" t="s">
        <v>1099</v>
      </c>
    </row>
    <row r="31007">
      <c r="B31007" s="31"/>
      <c r="G31007" s="272" t="s">
        <v>1099</v>
      </c>
    </row>
    <row r="31008">
      <c r="B31008" s="31"/>
      <c r="G31008" s="272" t="s">
        <v>1099</v>
      </c>
    </row>
    <row r="31009">
      <c r="B31009" s="31"/>
      <c r="G31009" s="272" t="s">
        <v>1099</v>
      </c>
    </row>
    <row r="31010">
      <c r="B31010" s="31"/>
      <c r="G31010" s="272" t="s">
        <v>1099</v>
      </c>
    </row>
    <row r="31011">
      <c r="B31011" s="31"/>
      <c r="G31011" s="272" t="s">
        <v>1099</v>
      </c>
    </row>
    <row r="31012">
      <c r="B31012" s="31"/>
      <c r="G31012" s="272" t="s">
        <v>1099</v>
      </c>
    </row>
    <row r="31013">
      <c r="B31013" s="31"/>
      <c r="G31013" s="272" t="s">
        <v>1099</v>
      </c>
    </row>
    <row r="31014">
      <c r="B31014" s="31"/>
      <c r="G31014" s="272" t="s">
        <v>1099</v>
      </c>
    </row>
    <row r="31015">
      <c r="B31015" s="31"/>
      <c r="G31015" s="272" t="s">
        <v>1099</v>
      </c>
    </row>
    <row r="31016">
      <c r="B31016" s="31"/>
      <c r="G31016" s="272" t="s">
        <v>1099</v>
      </c>
    </row>
    <row r="31017">
      <c r="B31017" s="31"/>
      <c r="G31017" s="272" t="s">
        <v>1099</v>
      </c>
    </row>
    <row r="31018">
      <c r="B31018" s="31"/>
      <c r="G31018" s="272" t="s">
        <v>1099</v>
      </c>
    </row>
    <row r="31019">
      <c r="B31019" s="31"/>
      <c r="G31019" s="272" t="s">
        <v>1099</v>
      </c>
    </row>
    <row r="31020">
      <c r="B31020" s="31"/>
      <c r="G31020" s="272" t="s">
        <v>1099</v>
      </c>
    </row>
    <row r="31021">
      <c r="B31021" s="31"/>
      <c r="G31021" s="272" t="s">
        <v>1099</v>
      </c>
    </row>
    <row r="31022">
      <c r="B31022" s="31"/>
      <c r="G31022" s="272" t="s">
        <v>1099</v>
      </c>
    </row>
    <row r="31023">
      <c r="B31023" s="31"/>
      <c r="G31023" s="272" t="s">
        <v>1099</v>
      </c>
    </row>
    <row r="31024">
      <c r="B31024" s="31"/>
      <c r="G31024" s="272" t="s">
        <v>1099</v>
      </c>
    </row>
    <row r="31025">
      <c r="B31025" s="31"/>
      <c r="G31025" s="272" t="s">
        <v>1099</v>
      </c>
    </row>
    <row r="31026">
      <c r="B31026" s="31"/>
      <c r="G31026" s="272" t="s">
        <v>1099</v>
      </c>
    </row>
    <row r="31027">
      <c r="B31027" s="31"/>
      <c r="G31027" s="272" t="s">
        <v>1099</v>
      </c>
    </row>
    <row r="31028">
      <c r="B31028" s="31"/>
      <c r="G31028" s="272" t="s">
        <v>1099</v>
      </c>
    </row>
    <row r="31029">
      <c r="B31029" s="31"/>
      <c r="G31029" s="272" t="s">
        <v>1099</v>
      </c>
    </row>
    <row r="31030">
      <c r="B31030" s="31"/>
      <c r="G31030" s="272" t="s">
        <v>1099</v>
      </c>
    </row>
    <row r="31031">
      <c r="B31031" s="31"/>
      <c r="G31031" s="272" t="s">
        <v>1099</v>
      </c>
    </row>
    <row r="31032">
      <c r="B31032" s="31"/>
      <c r="G31032" s="272" t="s">
        <v>1099</v>
      </c>
    </row>
    <row r="31033">
      <c r="B31033" s="31"/>
      <c r="G31033" s="272" t="s">
        <v>1099</v>
      </c>
    </row>
    <row r="31034">
      <c r="B31034" s="31"/>
      <c r="G31034" s="272" t="s">
        <v>1099</v>
      </c>
    </row>
    <row r="31035">
      <c r="B31035" s="31"/>
      <c r="G31035" s="272" t="s">
        <v>1099</v>
      </c>
    </row>
    <row r="31036">
      <c r="B31036" s="31"/>
      <c r="G31036" s="272" t="s">
        <v>1099</v>
      </c>
    </row>
    <row r="31037">
      <c r="B31037" s="31"/>
      <c r="G31037" s="272" t="s">
        <v>1099</v>
      </c>
    </row>
    <row r="31038">
      <c r="B31038" s="31"/>
      <c r="G31038" s="272" t="s">
        <v>1099</v>
      </c>
    </row>
    <row r="31039">
      <c r="B31039" s="31"/>
      <c r="G31039" s="272" t="s">
        <v>1099</v>
      </c>
    </row>
    <row r="31040">
      <c r="B31040" s="31"/>
      <c r="G31040" s="272" t="s">
        <v>1099</v>
      </c>
    </row>
    <row r="31041">
      <c r="B31041" s="31"/>
      <c r="G31041" s="272" t="s">
        <v>1099</v>
      </c>
    </row>
    <row r="31042">
      <c r="B31042" s="31"/>
      <c r="G31042" s="272" t="s">
        <v>1099</v>
      </c>
    </row>
    <row r="31043">
      <c r="B31043" s="31"/>
      <c r="G31043" s="272" t="s">
        <v>1099</v>
      </c>
    </row>
    <row r="31044">
      <c r="B31044" s="31"/>
      <c r="G31044" s="272" t="s">
        <v>1099</v>
      </c>
    </row>
    <row r="31045">
      <c r="B31045" s="31"/>
      <c r="G31045" s="272" t="s">
        <v>1099</v>
      </c>
    </row>
    <row r="31046">
      <c r="B31046" s="31"/>
      <c r="G31046" s="272" t="s">
        <v>1099</v>
      </c>
    </row>
    <row r="31047">
      <c r="B31047" s="31"/>
      <c r="G31047" s="272" t="s">
        <v>1099</v>
      </c>
    </row>
    <row r="31048">
      <c r="B31048" s="31"/>
      <c r="G31048" s="272" t="s">
        <v>1099</v>
      </c>
    </row>
    <row r="31049">
      <c r="B31049" s="31"/>
      <c r="G31049" s="272" t="s">
        <v>1099</v>
      </c>
    </row>
    <row r="31050">
      <c r="B31050" s="31"/>
      <c r="G31050" s="272" t="s">
        <v>1099</v>
      </c>
    </row>
    <row r="31051">
      <c r="B31051" s="31"/>
      <c r="G31051" s="272" t="s">
        <v>1099</v>
      </c>
    </row>
    <row r="31052">
      <c r="B31052" s="31"/>
      <c r="G31052" s="272" t="s">
        <v>1099</v>
      </c>
    </row>
    <row r="31053">
      <c r="B31053" s="31"/>
      <c r="G31053" s="272" t="s">
        <v>1099</v>
      </c>
    </row>
    <row r="31054">
      <c r="B31054" s="31"/>
      <c r="G31054" s="272" t="s">
        <v>1099</v>
      </c>
    </row>
    <row r="31055">
      <c r="B31055" s="31"/>
      <c r="G31055" s="272" t="s">
        <v>1099</v>
      </c>
    </row>
    <row r="31056">
      <c r="B31056" s="31"/>
      <c r="G31056" s="272" t="s">
        <v>1099</v>
      </c>
    </row>
    <row r="31057">
      <c r="B31057" s="31"/>
      <c r="G31057" s="272" t="s">
        <v>1099</v>
      </c>
    </row>
    <row r="31058">
      <c r="B31058" s="31"/>
      <c r="G31058" s="272" t="s">
        <v>1099</v>
      </c>
    </row>
    <row r="31059">
      <c r="B31059" s="31"/>
      <c r="G31059" s="272" t="s">
        <v>1099</v>
      </c>
    </row>
    <row r="31060">
      <c r="B31060" s="31"/>
      <c r="G31060" s="272" t="s">
        <v>1099</v>
      </c>
    </row>
    <row r="31061">
      <c r="B31061" s="31"/>
      <c r="G31061" s="272" t="s">
        <v>1099</v>
      </c>
    </row>
    <row r="31062">
      <c r="B31062" s="31"/>
      <c r="G31062" s="272" t="s">
        <v>1099</v>
      </c>
    </row>
    <row r="31063">
      <c r="B31063" s="31"/>
      <c r="G31063" s="272" t="s">
        <v>1099</v>
      </c>
    </row>
    <row r="31064">
      <c r="B31064" s="31"/>
      <c r="G31064" s="272" t="s">
        <v>1099</v>
      </c>
    </row>
    <row r="31065">
      <c r="B31065" s="31"/>
      <c r="G31065" s="272" t="s">
        <v>1099</v>
      </c>
    </row>
    <row r="31066">
      <c r="B31066" s="31"/>
      <c r="G31066" s="272" t="s">
        <v>1099</v>
      </c>
    </row>
    <row r="31067">
      <c r="B31067" s="31"/>
      <c r="G31067" s="272" t="s">
        <v>1099</v>
      </c>
    </row>
    <row r="31068">
      <c r="B31068" s="31"/>
      <c r="G31068" s="272" t="s">
        <v>1099</v>
      </c>
    </row>
    <row r="31069">
      <c r="B31069" s="31"/>
      <c r="G31069" s="272" t="s">
        <v>1099</v>
      </c>
    </row>
    <row r="31070">
      <c r="B31070" s="31"/>
      <c r="G31070" s="272" t="s">
        <v>1099</v>
      </c>
    </row>
    <row r="31071">
      <c r="B31071" s="31"/>
      <c r="G31071" s="272" t="s">
        <v>1099</v>
      </c>
    </row>
    <row r="31072">
      <c r="B31072" s="31"/>
      <c r="G31072" s="272" t="s">
        <v>1099</v>
      </c>
    </row>
    <row r="31073">
      <c r="B31073" s="31"/>
      <c r="G31073" s="272" t="s">
        <v>1099</v>
      </c>
    </row>
    <row r="31074">
      <c r="B31074" s="31"/>
      <c r="G31074" s="272" t="s">
        <v>1099</v>
      </c>
    </row>
    <row r="31075">
      <c r="B31075" s="31"/>
      <c r="G31075" s="272" t="s">
        <v>1099</v>
      </c>
    </row>
    <row r="31076">
      <c r="B31076" s="31"/>
      <c r="G31076" s="272" t="s">
        <v>1099</v>
      </c>
    </row>
    <row r="31077">
      <c r="B31077" s="31"/>
      <c r="G31077" s="272" t="s">
        <v>1099</v>
      </c>
    </row>
    <row r="31078">
      <c r="B31078" s="31"/>
      <c r="G31078" s="272" t="s">
        <v>1099</v>
      </c>
    </row>
    <row r="31079">
      <c r="B31079" s="31"/>
      <c r="G31079" s="272" t="s">
        <v>1099</v>
      </c>
    </row>
    <row r="31080">
      <c r="B31080" s="31"/>
      <c r="G31080" s="272" t="s">
        <v>1099</v>
      </c>
    </row>
    <row r="31081">
      <c r="B31081" s="31"/>
      <c r="G31081" s="272" t="s">
        <v>1099</v>
      </c>
    </row>
    <row r="31082">
      <c r="B31082" s="31"/>
      <c r="G31082" s="272" t="s">
        <v>1099</v>
      </c>
    </row>
    <row r="31083">
      <c r="B31083" s="31"/>
      <c r="G31083" s="272" t="s">
        <v>1099</v>
      </c>
    </row>
    <row r="31084">
      <c r="B31084" s="31"/>
      <c r="G31084" s="272" t="s">
        <v>1099</v>
      </c>
    </row>
    <row r="31085">
      <c r="B31085" s="31"/>
      <c r="G31085" s="272" t="s">
        <v>1099</v>
      </c>
    </row>
    <row r="31086">
      <c r="B31086" s="31"/>
      <c r="G31086" s="272" t="s">
        <v>1099</v>
      </c>
    </row>
    <row r="31087">
      <c r="B31087" s="31"/>
      <c r="G31087" s="272" t="s">
        <v>1099</v>
      </c>
    </row>
    <row r="31088">
      <c r="B31088" s="31"/>
      <c r="G31088" s="272" t="s">
        <v>1099</v>
      </c>
    </row>
    <row r="31089">
      <c r="B31089" s="31"/>
      <c r="G31089" s="272" t="s">
        <v>1099</v>
      </c>
    </row>
    <row r="31090">
      <c r="B31090" s="31"/>
      <c r="G31090" s="272" t="s">
        <v>1099</v>
      </c>
    </row>
    <row r="31091">
      <c r="B31091" s="31"/>
      <c r="G31091" s="272" t="s">
        <v>1099</v>
      </c>
    </row>
    <row r="31092">
      <c r="B31092" s="31"/>
      <c r="G31092" s="272" t="s">
        <v>1099</v>
      </c>
    </row>
    <row r="31093">
      <c r="B31093" s="31"/>
      <c r="G31093" s="272" t="s">
        <v>1099</v>
      </c>
    </row>
    <row r="31094">
      <c r="B31094" s="31"/>
      <c r="G31094" s="272" t="s">
        <v>1099</v>
      </c>
    </row>
    <row r="31095">
      <c r="B31095" s="31"/>
      <c r="G31095" s="272" t="s">
        <v>1099</v>
      </c>
    </row>
    <row r="31096">
      <c r="B31096" s="31"/>
      <c r="G31096" s="272" t="s">
        <v>1099</v>
      </c>
    </row>
    <row r="31097">
      <c r="B31097" s="31"/>
      <c r="G31097" s="272" t="s">
        <v>1099</v>
      </c>
    </row>
    <row r="31098">
      <c r="B31098" s="31"/>
      <c r="G31098" s="272" t="s">
        <v>1099</v>
      </c>
    </row>
    <row r="31099">
      <c r="B31099" s="31"/>
      <c r="G31099" s="272" t="s">
        <v>1099</v>
      </c>
    </row>
    <row r="31100">
      <c r="B31100" s="31"/>
      <c r="G31100" s="272" t="s">
        <v>1099</v>
      </c>
    </row>
    <row r="31101">
      <c r="B31101" s="31"/>
      <c r="G31101" s="272" t="s">
        <v>1099</v>
      </c>
    </row>
    <row r="31102">
      <c r="B31102" s="31"/>
      <c r="G31102" s="272" t="s">
        <v>1099</v>
      </c>
    </row>
    <row r="31103">
      <c r="B31103" s="31"/>
      <c r="G31103" s="272" t="s">
        <v>1099</v>
      </c>
    </row>
    <row r="31104">
      <c r="B31104" s="31"/>
      <c r="G31104" s="272" t="s">
        <v>1099</v>
      </c>
    </row>
    <row r="31105">
      <c r="B31105" s="31"/>
      <c r="G31105" s="272" t="s">
        <v>1099</v>
      </c>
    </row>
    <row r="31106">
      <c r="B31106" s="31"/>
      <c r="G31106" s="272" t="s">
        <v>1099</v>
      </c>
    </row>
    <row r="31107">
      <c r="B31107" s="31"/>
      <c r="G31107" s="272" t="s">
        <v>1099</v>
      </c>
    </row>
    <row r="31108">
      <c r="B31108" s="31"/>
      <c r="G31108" s="272" t="s">
        <v>1099</v>
      </c>
    </row>
    <row r="31109">
      <c r="B31109" s="31"/>
      <c r="G31109" s="272" t="s">
        <v>1099</v>
      </c>
    </row>
    <row r="31110">
      <c r="B31110" s="31"/>
      <c r="G31110" s="272" t="s">
        <v>1099</v>
      </c>
    </row>
    <row r="31111">
      <c r="B31111" s="31"/>
      <c r="G31111" s="272" t="s">
        <v>1099</v>
      </c>
    </row>
    <row r="31112">
      <c r="B31112" s="31"/>
      <c r="G31112" s="272" t="s">
        <v>1099</v>
      </c>
    </row>
    <row r="31113">
      <c r="B31113" s="31"/>
      <c r="G31113" s="272" t="s">
        <v>1099</v>
      </c>
    </row>
    <row r="31114">
      <c r="B31114" s="31"/>
      <c r="G31114" s="272" t="s">
        <v>1099</v>
      </c>
    </row>
    <row r="31115">
      <c r="B31115" s="31"/>
      <c r="G31115" s="272" t="s">
        <v>1099</v>
      </c>
    </row>
    <row r="31116">
      <c r="B31116" s="31"/>
      <c r="G31116" s="272" t="s">
        <v>1099</v>
      </c>
    </row>
    <row r="31117">
      <c r="B31117" s="31"/>
      <c r="G31117" s="272" t="s">
        <v>1099</v>
      </c>
    </row>
    <row r="31118">
      <c r="B31118" s="31"/>
      <c r="G31118" s="272" t="s">
        <v>1099</v>
      </c>
    </row>
    <row r="31119">
      <c r="B31119" s="31"/>
      <c r="G31119" s="272" t="s">
        <v>1099</v>
      </c>
    </row>
    <row r="31120">
      <c r="B31120" s="31"/>
      <c r="G31120" s="272" t="s">
        <v>1099</v>
      </c>
    </row>
    <row r="31121">
      <c r="B31121" s="31"/>
      <c r="G31121" s="272" t="s">
        <v>1099</v>
      </c>
    </row>
    <row r="31122">
      <c r="B31122" s="31"/>
      <c r="G31122" s="272" t="s">
        <v>1099</v>
      </c>
    </row>
    <row r="31123">
      <c r="B31123" s="31"/>
      <c r="G31123" s="272" t="s">
        <v>1099</v>
      </c>
    </row>
    <row r="31124">
      <c r="B31124" s="31"/>
      <c r="G31124" s="272" t="s">
        <v>1099</v>
      </c>
    </row>
    <row r="31125">
      <c r="B31125" s="31"/>
      <c r="G31125" s="272" t="s">
        <v>1099</v>
      </c>
    </row>
    <row r="31126">
      <c r="B31126" s="31"/>
      <c r="G31126" s="272" t="s">
        <v>1099</v>
      </c>
    </row>
    <row r="31127">
      <c r="B31127" s="31"/>
      <c r="G31127" s="272" t="s">
        <v>1099</v>
      </c>
    </row>
    <row r="31128">
      <c r="B31128" s="31"/>
      <c r="G31128" s="272" t="s">
        <v>1099</v>
      </c>
    </row>
    <row r="31129">
      <c r="B31129" s="31"/>
      <c r="G31129" s="272" t="s">
        <v>1099</v>
      </c>
    </row>
    <row r="31130">
      <c r="B31130" s="31"/>
      <c r="G31130" s="272" t="s">
        <v>1099</v>
      </c>
    </row>
    <row r="31131">
      <c r="B31131" s="31"/>
      <c r="G31131" s="272" t="s">
        <v>1099</v>
      </c>
    </row>
    <row r="31132">
      <c r="B31132" s="31"/>
      <c r="G31132" s="272" t="s">
        <v>1099</v>
      </c>
    </row>
    <row r="31133">
      <c r="B31133" s="31"/>
      <c r="G31133" s="272" t="s">
        <v>1099</v>
      </c>
    </row>
    <row r="31134">
      <c r="B31134" s="31"/>
      <c r="G31134" s="272" t="s">
        <v>1099</v>
      </c>
    </row>
    <row r="31135">
      <c r="B31135" s="31"/>
      <c r="G31135" s="272" t="s">
        <v>1099</v>
      </c>
    </row>
    <row r="31136">
      <c r="B31136" s="31"/>
      <c r="G31136" s="272" t="s">
        <v>1099</v>
      </c>
    </row>
    <row r="31137">
      <c r="B31137" s="31"/>
      <c r="G31137" s="272" t="s">
        <v>1099</v>
      </c>
    </row>
    <row r="31138">
      <c r="B31138" s="31"/>
      <c r="G31138" s="272" t="s">
        <v>1099</v>
      </c>
    </row>
    <row r="31139">
      <c r="B31139" s="31"/>
      <c r="G31139" s="272" t="s">
        <v>1099</v>
      </c>
    </row>
    <row r="31140">
      <c r="B31140" s="31"/>
      <c r="G31140" s="272" t="s">
        <v>1099</v>
      </c>
    </row>
    <row r="31141">
      <c r="B31141" s="31"/>
      <c r="G31141" s="272" t="s">
        <v>1099</v>
      </c>
    </row>
    <row r="31142">
      <c r="B31142" s="31"/>
      <c r="G31142" s="272" t="s">
        <v>1099</v>
      </c>
    </row>
    <row r="31143">
      <c r="B31143" s="31"/>
      <c r="G31143" s="272" t="s">
        <v>1099</v>
      </c>
    </row>
    <row r="31144">
      <c r="B31144" s="31"/>
      <c r="G31144" s="272" t="s">
        <v>1099</v>
      </c>
    </row>
    <row r="31145">
      <c r="B31145" s="31"/>
      <c r="G31145" s="272" t="s">
        <v>1099</v>
      </c>
    </row>
    <row r="31146">
      <c r="B31146" s="31"/>
      <c r="G31146" s="272" t="s">
        <v>1099</v>
      </c>
    </row>
    <row r="31147">
      <c r="B31147" s="31"/>
      <c r="G31147" s="272" t="s">
        <v>1099</v>
      </c>
    </row>
    <row r="31148">
      <c r="B31148" s="31"/>
      <c r="G31148" s="272" t="s">
        <v>1099</v>
      </c>
    </row>
    <row r="31149">
      <c r="B31149" s="31"/>
      <c r="G31149" s="272" t="s">
        <v>1099</v>
      </c>
    </row>
    <row r="31150">
      <c r="B31150" s="31"/>
      <c r="G31150" s="272" t="s">
        <v>1099</v>
      </c>
    </row>
    <row r="31151">
      <c r="B31151" s="31"/>
      <c r="G31151" s="272" t="s">
        <v>1099</v>
      </c>
    </row>
    <row r="31152">
      <c r="B31152" s="31"/>
      <c r="G31152" s="272" t="s">
        <v>1099</v>
      </c>
    </row>
    <row r="31153">
      <c r="B31153" s="31"/>
      <c r="G31153" s="272" t="s">
        <v>1099</v>
      </c>
    </row>
    <row r="31154">
      <c r="B31154" s="31"/>
      <c r="G31154" s="272" t="s">
        <v>1099</v>
      </c>
    </row>
    <row r="31155">
      <c r="B31155" s="31"/>
      <c r="G31155" s="272" t="s">
        <v>1099</v>
      </c>
    </row>
    <row r="31156">
      <c r="B31156" s="31"/>
      <c r="G31156" s="272" t="s">
        <v>1099</v>
      </c>
    </row>
    <row r="31157">
      <c r="B31157" s="31"/>
      <c r="G31157" s="272" t="s">
        <v>1099</v>
      </c>
    </row>
    <row r="31158">
      <c r="B31158" s="31"/>
      <c r="G31158" s="272" t="s">
        <v>1099</v>
      </c>
    </row>
    <row r="31159">
      <c r="B31159" s="31"/>
      <c r="G31159" s="272" t="s">
        <v>1099</v>
      </c>
    </row>
    <row r="31160">
      <c r="B31160" s="31"/>
      <c r="G31160" s="272" t="s">
        <v>1099</v>
      </c>
    </row>
    <row r="31161">
      <c r="B31161" s="31"/>
      <c r="G31161" s="272" t="s">
        <v>1099</v>
      </c>
    </row>
    <row r="31162">
      <c r="B31162" s="31"/>
      <c r="G31162" s="272" t="s">
        <v>1099</v>
      </c>
    </row>
    <row r="31163">
      <c r="B31163" s="31"/>
      <c r="G31163" s="272" t="s">
        <v>1099</v>
      </c>
    </row>
    <row r="31164">
      <c r="B31164" s="31"/>
      <c r="G31164" s="272" t="s">
        <v>1099</v>
      </c>
    </row>
    <row r="31165">
      <c r="B31165" s="31"/>
      <c r="G31165" s="272" t="s">
        <v>1099</v>
      </c>
    </row>
    <row r="31166">
      <c r="B31166" s="31"/>
      <c r="G31166" s="272" t="s">
        <v>1099</v>
      </c>
    </row>
    <row r="31167">
      <c r="B31167" s="31"/>
      <c r="G31167" s="272" t="s">
        <v>1099</v>
      </c>
    </row>
    <row r="31168">
      <c r="B31168" s="31"/>
      <c r="G31168" s="272" t="s">
        <v>1099</v>
      </c>
    </row>
    <row r="31169">
      <c r="B31169" s="31"/>
      <c r="G31169" s="272" t="s">
        <v>1099</v>
      </c>
    </row>
    <row r="31170">
      <c r="B31170" s="31"/>
      <c r="G31170" s="272" t="s">
        <v>1099</v>
      </c>
    </row>
    <row r="31171">
      <c r="B31171" s="31"/>
      <c r="G31171" s="272" t="s">
        <v>1099</v>
      </c>
    </row>
    <row r="31172">
      <c r="B31172" s="31"/>
      <c r="G31172" s="272" t="s">
        <v>1099</v>
      </c>
    </row>
    <row r="31173">
      <c r="B31173" s="31"/>
      <c r="G31173" s="272" t="s">
        <v>1099</v>
      </c>
    </row>
    <row r="31174">
      <c r="B31174" s="31"/>
      <c r="G31174" s="272" t="s">
        <v>1099</v>
      </c>
    </row>
    <row r="31175">
      <c r="B31175" s="31"/>
      <c r="G31175" s="272" t="s">
        <v>1099</v>
      </c>
    </row>
    <row r="31176">
      <c r="B31176" s="31"/>
      <c r="G31176" s="272" t="s">
        <v>1099</v>
      </c>
    </row>
    <row r="31177">
      <c r="B31177" s="31"/>
      <c r="G31177" s="272" t="s">
        <v>1099</v>
      </c>
    </row>
    <row r="31178">
      <c r="B31178" s="31"/>
      <c r="G31178" s="272" t="s">
        <v>1099</v>
      </c>
    </row>
    <row r="31179">
      <c r="B31179" s="31"/>
      <c r="G31179" s="272" t="s">
        <v>1099</v>
      </c>
    </row>
    <row r="31180">
      <c r="B31180" s="31"/>
      <c r="G31180" s="272" t="s">
        <v>1099</v>
      </c>
    </row>
    <row r="31181">
      <c r="B31181" s="31"/>
      <c r="G31181" s="272" t="s">
        <v>1099</v>
      </c>
    </row>
    <row r="31182">
      <c r="B31182" s="31"/>
      <c r="G31182" s="272" t="s">
        <v>1099</v>
      </c>
    </row>
    <row r="31183">
      <c r="B31183" s="31"/>
      <c r="G31183" s="272" t="s">
        <v>1099</v>
      </c>
    </row>
    <row r="31184">
      <c r="B31184" s="31"/>
      <c r="G31184" s="272" t="s">
        <v>1099</v>
      </c>
    </row>
    <row r="31185">
      <c r="B31185" s="31"/>
      <c r="G31185" s="272" t="s">
        <v>1099</v>
      </c>
    </row>
    <row r="31186">
      <c r="B31186" s="31"/>
      <c r="G31186" s="272" t="s">
        <v>1099</v>
      </c>
    </row>
    <row r="31187">
      <c r="B31187" s="31"/>
      <c r="G31187" s="272" t="s">
        <v>1099</v>
      </c>
    </row>
    <row r="31188">
      <c r="B31188" s="31"/>
      <c r="G31188" s="272" t="s">
        <v>1099</v>
      </c>
    </row>
    <row r="31189">
      <c r="B31189" s="31"/>
      <c r="G31189" s="272" t="s">
        <v>1099</v>
      </c>
    </row>
    <row r="31190">
      <c r="B31190" s="31"/>
      <c r="G31190" s="272" t="s">
        <v>1099</v>
      </c>
    </row>
    <row r="31191">
      <c r="B31191" s="31"/>
      <c r="G31191" s="272" t="s">
        <v>1099</v>
      </c>
    </row>
    <row r="31192">
      <c r="B31192" s="31"/>
      <c r="G31192" s="272" t="s">
        <v>1099</v>
      </c>
    </row>
    <row r="31193">
      <c r="B31193" s="31"/>
      <c r="G31193" s="272" t="s">
        <v>1099</v>
      </c>
    </row>
    <row r="31194">
      <c r="B31194" s="31"/>
      <c r="G31194" s="272" t="s">
        <v>1099</v>
      </c>
    </row>
    <row r="31195">
      <c r="B31195" s="31"/>
      <c r="G31195" s="272" t="s">
        <v>1099</v>
      </c>
    </row>
    <row r="31196">
      <c r="B31196" s="31"/>
      <c r="G31196" s="272" t="s">
        <v>1099</v>
      </c>
    </row>
    <row r="31197">
      <c r="B31197" s="31"/>
      <c r="G31197" s="272" t="s">
        <v>1099</v>
      </c>
    </row>
    <row r="31198">
      <c r="B31198" s="31"/>
      <c r="G31198" s="272" t="s">
        <v>1099</v>
      </c>
    </row>
    <row r="31199">
      <c r="B31199" s="31"/>
      <c r="G31199" s="272" t="s">
        <v>1099</v>
      </c>
    </row>
    <row r="31200">
      <c r="B31200" s="31"/>
      <c r="G31200" s="272" t="s">
        <v>1099</v>
      </c>
    </row>
    <row r="31201">
      <c r="B31201" s="31"/>
      <c r="G31201" s="272" t="s">
        <v>1099</v>
      </c>
    </row>
    <row r="31202">
      <c r="B31202" s="31"/>
      <c r="G31202" s="272" t="s">
        <v>1099</v>
      </c>
    </row>
    <row r="31203">
      <c r="B31203" s="31"/>
      <c r="G31203" s="272" t="s">
        <v>1099</v>
      </c>
    </row>
    <row r="31204">
      <c r="B31204" s="31"/>
      <c r="G31204" s="272" t="s">
        <v>1099</v>
      </c>
    </row>
    <row r="31205">
      <c r="B31205" s="31"/>
      <c r="G31205" s="272" t="s">
        <v>1099</v>
      </c>
    </row>
    <row r="31206">
      <c r="B31206" s="31"/>
      <c r="G31206" s="272" t="s">
        <v>1099</v>
      </c>
    </row>
    <row r="31207">
      <c r="B31207" s="31"/>
      <c r="G31207" s="272" t="s">
        <v>1099</v>
      </c>
    </row>
    <row r="31208">
      <c r="B31208" s="31"/>
      <c r="G31208" s="272" t="s">
        <v>1099</v>
      </c>
    </row>
    <row r="31209">
      <c r="B31209" s="31"/>
      <c r="G31209" s="272" t="s">
        <v>1099</v>
      </c>
    </row>
    <row r="31210">
      <c r="B31210" s="31"/>
      <c r="G31210" s="272" t="s">
        <v>1099</v>
      </c>
    </row>
    <row r="31211">
      <c r="B31211" s="31"/>
      <c r="G31211" s="272" t="s">
        <v>1099</v>
      </c>
    </row>
    <row r="31212">
      <c r="B31212" s="31"/>
      <c r="G31212" s="272" t="s">
        <v>1099</v>
      </c>
    </row>
    <row r="31213">
      <c r="B31213" s="31"/>
      <c r="G31213" s="272" t="s">
        <v>1099</v>
      </c>
    </row>
    <row r="31214">
      <c r="B31214" s="31"/>
      <c r="G31214" s="272" t="s">
        <v>1099</v>
      </c>
    </row>
    <row r="31215">
      <c r="B31215" s="31"/>
      <c r="G31215" s="272" t="s">
        <v>1099</v>
      </c>
    </row>
    <row r="31216">
      <c r="B31216" s="31"/>
      <c r="G31216" s="272" t="s">
        <v>1099</v>
      </c>
    </row>
    <row r="31217">
      <c r="B31217" s="31"/>
      <c r="G31217" s="272" t="s">
        <v>1099</v>
      </c>
    </row>
    <row r="31218">
      <c r="B31218" s="31"/>
      <c r="G31218" s="272" t="s">
        <v>1099</v>
      </c>
    </row>
    <row r="31219">
      <c r="B31219" s="31"/>
      <c r="G31219" s="272" t="s">
        <v>1099</v>
      </c>
    </row>
    <row r="31220">
      <c r="B31220" s="31"/>
      <c r="G31220" s="272" t="s">
        <v>1099</v>
      </c>
    </row>
    <row r="31221">
      <c r="B31221" s="31"/>
      <c r="G31221" s="272" t="s">
        <v>1099</v>
      </c>
    </row>
    <row r="31222">
      <c r="B31222" s="31"/>
      <c r="G31222" s="272" t="s">
        <v>1099</v>
      </c>
    </row>
    <row r="31223">
      <c r="B31223" s="31"/>
      <c r="G31223" s="272" t="s">
        <v>1099</v>
      </c>
    </row>
    <row r="31224">
      <c r="B31224" s="31"/>
      <c r="G31224" s="272" t="s">
        <v>1099</v>
      </c>
    </row>
    <row r="31225">
      <c r="B31225" s="31"/>
      <c r="G31225" s="272" t="s">
        <v>1099</v>
      </c>
    </row>
    <row r="31226">
      <c r="B31226" s="31"/>
      <c r="G31226" s="272" t="s">
        <v>1099</v>
      </c>
    </row>
    <row r="31227">
      <c r="B31227" s="31"/>
      <c r="G31227" s="272" t="s">
        <v>1099</v>
      </c>
    </row>
    <row r="31228">
      <c r="B31228" s="31"/>
      <c r="G31228" s="272" t="s">
        <v>1099</v>
      </c>
    </row>
    <row r="31229">
      <c r="B31229" s="31"/>
      <c r="G31229" s="272" t="s">
        <v>1099</v>
      </c>
    </row>
    <row r="31230">
      <c r="B31230" s="31"/>
      <c r="G31230" s="272" t="s">
        <v>1099</v>
      </c>
    </row>
    <row r="31231">
      <c r="B31231" s="31"/>
      <c r="G31231" s="272" t="s">
        <v>1099</v>
      </c>
    </row>
    <row r="31232">
      <c r="B31232" s="31"/>
      <c r="G31232" s="272" t="s">
        <v>1099</v>
      </c>
    </row>
    <row r="31233">
      <c r="B31233" s="31"/>
      <c r="G31233" s="272" t="s">
        <v>1099</v>
      </c>
    </row>
    <row r="31234">
      <c r="B31234" s="31"/>
      <c r="G31234" s="272" t="s">
        <v>1099</v>
      </c>
    </row>
    <row r="31235">
      <c r="B31235" s="31"/>
      <c r="G31235" s="272" t="s">
        <v>1099</v>
      </c>
    </row>
    <row r="31236">
      <c r="B31236" s="31"/>
      <c r="G31236" s="272" t="s">
        <v>1099</v>
      </c>
    </row>
    <row r="31237">
      <c r="B31237" s="31"/>
      <c r="G31237" s="272" t="s">
        <v>1099</v>
      </c>
    </row>
    <row r="31238">
      <c r="B31238" s="31"/>
      <c r="G31238" s="272" t="s">
        <v>1099</v>
      </c>
    </row>
    <row r="31239">
      <c r="B31239" s="31"/>
      <c r="G31239" s="272" t="s">
        <v>1099</v>
      </c>
    </row>
    <row r="31240">
      <c r="B31240" s="31"/>
      <c r="G31240" s="272" t="s">
        <v>1099</v>
      </c>
    </row>
    <row r="31241">
      <c r="B31241" s="31"/>
      <c r="G31241" s="272" t="s">
        <v>1099</v>
      </c>
    </row>
    <row r="31242">
      <c r="B31242" s="31"/>
      <c r="G31242" s="272" t="s">
        <v>1099</v>
      </c>
    </row>
    <row r="31243">
      <c r="B31243" s="31"/>
      <c r="G31243" s="272" t="s">
        <v>1099</v>
      </c>
    </row>
    <row r="31244">
      <c r="B31244" s="31"/>
      <c r="G31244" s="272" t="s">
        <v>1099</v>
      </c>
    </row>
    <row r="31245">
      <c r="B31245" s="31"/>
      <c r="G31245" s="272" t="s">
        <v>1099</v>
      </c>
    </row>
    <row r="31246">
      <c r="B31246" s="31"/>
      <c r="G31246" s="272" t="s">
        <v>1099</v>
      </c>
    </row>
    <row r="31247">
      <c r="B31247" s="31"/>
      <c r="G31247" s="272" t="s">
        <v>1099</v>
      </c>
    </row>
    <row r="31248">
      <c r="B31248" s="31"/>
      <c r="G31248" s="272" t="s">
        <v>1099</v>
      </c>
    </row>
    <row r="31249">
      <c r="B31249" s="31"/>
      <c r="G31249" s="272" t="s">
        <v>1099</v>
      </c>
    </row>
    <row r="31250">
      <c r="B31250" s="31"/>
      <c r="G31250" s="272" t="s">
        <v>1099</v>
      </c>
    </row>
    <row r="31251">
      <c r="B31251" s="31"/>
      <c r="G31251" s="272" t="s">
        <v>1099</v>
      </c>
    </row>
    <row r="31252">
      <c r="B31252" s="31"/>
      <c r="G31252" s="272" t="s">
        <v>1099</v>
      </c>
    </row>
    <row r="31253">
      <c r="B31253" s="31"/>
      <c r="G31253" s="272" t="s">
        <v>1099</v>
      </c>
    </row>
    <row r="31254">
      <c r="B31254" s="31"/>
      <c r="G31254" s="272" t="s">
        <v>1099</v>
      </c>
    </row>
    <row r="31255">
      <c r="B31255" s="31"/>
      <c r="G31255" s="272" t="s">
        <v>1099</v>
      </c>
    </row>
    <row r="31256">
      <c r="B31256" s="31"/>
      <c r="G31256" s="272" t="s">
        <v>1099</v>
      </c>
    </row>
    <row r="31257">
      <c r="B31257" s="31"/>
      <c r="G31257" s="272" t="s">
        <v>1099</v>
      </c>
    </row>
    <row r="31258">
      <c r="B31258" s="31"/>
      <c r="G31258" s="272" t="s">
        <v>1099</v>
      </c>
    </row>
    <row r="31259">
      <c r="B31259" s="31"/>
      <c r="G31259" s="272" t="s">
        <v>1099</v>
      </c>
    </row>
    <row r="31260">
      <c r="B31260" s="31"/>
      <c r="G31260" s="272" t="s">
        <v>1099</v>
      </c>
    </row>
    <row r="31261">
      <c r="B31261" s="31"/>
      <c r="G31261" s="272" t="s">
        <v>1099</v>
      </c>
    </row>
    <row r="31262">
      <c r="B31262" s="31"/>
      <c r="G31262" s="272" t="s">
        <v>1099</v>
      </c>
    </row>
    <row r="31263">
      <c r="B31263" s="31"/>
      <c r="G31263" s="272" t="s">
        <v>1099</v>
      </c>
    </row>
    <row r="31264">
      <c r="B31264" s="31"/>
      <c r="G31264" s="272" t="s">
        <v>1099</v>
      </c>
    </row>
    <row r="31265">
      <c r="B31265" s="31"/>
      <c r="G31265" s="272" t="s">
        <v>1099</v>
      </c>
    </row>
    <row r="31266">
      <c r="B31266" s="31"/>
      <c r="G31266" s="272" t="s">
        <v>1099</v>
      </c>
    </row>
    <row r="31267">
      <c r="B31267" s="31"/>
      <c r="G31267" s="272" t="s">
        <v>1099</v>
      </c>
    </row>
    <row r="31268">
      <c r="B31268" s="31"/>
      <c r="G31268" s="272" t="s">
        <v>1099</v>
      </c>
    </row>
    <row r="31269">
      <c r="B31269" s="31"/>
      <c r="G31269" s="272" t="s">
        <v>1099</v>
      </c>
    </row>
    <row r="31270">
      <c r="B31270" s="31"/>
      <c r="G31270" s="272" t="s">
        <v>1099</v>
      </c>
    </row>
    <row r="31271">
      <c r="B31271" s="31"/>
      <c r="G31271" s="272" t="s">
        <v>1099</v>
      </c>
    </row>
    <row r="31272">
      <c r="B31272" s="31"/>
      <c r="G31272" s="272" t="s">
        <v>1099</v>
      </c>
    </row>
    <row r="31273">
      <c r="B31273" s="31"/>
      <c r="G31273" s="272" t="s">
        <v>1099</v>
      </c>
    </row>
    <row r="31274">
      <c r="B31274" s="31"/>
      <c r="G31274" s="272" t="s">
        <v>1099</v>
      </c>
    </row>
    <row r="31275">
      <c r="B31275" s="31"/>
      <c r="G31275" s="272" t="s">
        <v>1099</v>
      </c>
    </row>
    <row r="31276">
      <c r="B31276" s="31"/>
      <c r="G31276" s="272" t="s">
        <v>1099</v>
      </c>
    </row>
    <row r="31277">
      <c r="B31277" s="31"/>
      <c r="G31277" s="272" t="s">
        <v>1099</v>
      </c>
    </row>
    <row r="31278">
      <c r="B31278" s="31"/>
      <c r="G31278" s="272" t="s">
        <v>1099</v>
      </c>
    </row>
    <row r="31279">
      <c r="B31279" s="31"/>
      <c r="G31279" s="272" t="s">
        <v>1099</v>
      </c>
    </row>
    <row r="31280">
      <c r="B31280" s="31"/>
      <c r="G31280" s="272" t="s">
        <v>1099</v>
      </c>
    </row>
    <row r="31281">
      <c r="B31281" s="31"/>
      <c r="G31281" s="272" t="s">
        <v>1099</v>
      </c>
    </row>
    <row r="31282">
      <c r="B31282" s="31"/>
      <c r="G31282" s="272" t="s">
        <v>1099</v>
      </c>
    </row>
    <row r="31283">
      <c r="B31283" s="31"/>
      <c r="G31283" s="272" t="s">
        <v>1099</v>
      </c>
    </row>
    <row r="31284">
      <c r="B31284" s="31"/>
      <c r="G31284" s="272" t="s">
        <v>1099</v>
      </c>
    </row>
    <row r="31285">
      <c r="B31285" s="31"/>
      <c r="G31285" s="272" t="s">
        <v>1099</v>
      </c>
    </row>
    <row r="31286">
      <c r="B31286" s="31"/>
      <c r="G31286" s="272" t="s">
        <v>1099</v>
      </c>
    </row>
    <row r="31287">
      <c r="B31287" s="31"/>
      <c r="G31287" s="272" t="s">
        <v>1099</v>
      </c>
    </row>
    <row r="31288">
      <c r="B31288" s="31"/>
      <c r="G31288" s="272" t="s">
        <v>1099</v>
      </c>
    </row>
    <row r="31289">
      <c r="B31289" s="31"/>
      <c r="G31289" s="272" t="s">
        <v>1099</v>
      </c>
    </row>
    <row r="31290">
      <c r="B31290" s="31"/>
      <c r="G31290" s="272" t="s">
        <v>1099</v>
      </c>
    </row>
    <row r="31291">
      <c r="B31291" s="31"/>
      <c r="G31291" s="272" t="s">
        <v>1099</v>
      </c>
    </row>
    <row r="31292">
      <c r="B31292" s="31"/>
      <c r="G31292" s="272" t="s">
        <v>1099</v>
      </c>
    </row>
    <row r="31293">
      <c r="B31293" s="31"/>
      <c r="G31293" s="272" t="s">
        <v>1099</v>
      </c>
    </row>
    <row r="31294">
      <c r="B31294" s="31"/>
      <c r="G31294" s="272" t="s">
        <v>1099</v>
      </c>
    </row>
    <row r="31295">
      <c r="B31295" s="31"/>
      <c r="G31295" s="272" t="s">
        <v>1099</v>
      </c>
    </row>
    <row r="31296">
      <c r="B31296" s="31"/>
      <c r="G31296" s="272" t="s">
        <v>1099</v>
      </c>
    </row>
    <row r="31297">
      <c r="B31297" s="31"/>
      <c r="G31297" s="272" t="s">
        <v>1099</v>
      </c>
    </row>
    <row r="31298">
      <c r="B31298" s="31"/>
      <c r="G31298" s="272" t="s">
        <v>1099</v>
      </c>
    </row>
    <row r="31299">
      <c r="B31299" s="31"/>
      <c r="G31299" s="272" t="s">
        <v>1099</v>
      </c>
    </row>
    <row r="31300">
      <c r="B31300" s="31"/>
      <c r="G31300" s="272" t="s">
        <v>1099</v>
      </c>
    </row>
    <row r="31301">
      <c r="B31301" s="31"/>
      <c r="G31301" s="272" t="s">
        <v>1099</v>
      </c>
    </row>
    <row r="31302">
      <c r="B31302" s="31"/>
      <c r="G31302" s="272" t="s">
        <v>1099</v>
      </c>
    </row>
    <row r="31303">
      <c r="B31303" s="31"/>
      <c r="G31303" s="272" t="s">
        <v>1099</v>
      </c>
    </row>
    <row r="31304">
      <c r="B31304" s="31"/>
      <c r="G31304" s="272" t="s">
        <v>1099</v>
      </c>
    </row>
    <row r="31305">
      <c r="B31305" s="31"/>
      <c r="G31305" s="272" t="s">
        <v>1099</v>
      </c>
    </row>
    <row r="31306">
      <c r="B31306" s="31"/>
      <c r="G31306" s="272" t="s">
        <v>1099</v>
      </c>
    </row>
    <row r="31307">
      <c r="B31307" s="31"/>
      <c r="G31307" s="272" t="s">
        <v>1099</v>
      </c>
    </row>
    <row r="31308">
      <c r="B31308" s="31"/>
      <c r="G31308" s="272" t="s">
        <v>1099</v>
      </c>
    </row>
    <row r="31309">
      <c r="B31309" s="31"/>
      <c r="G31309" s="272" t="s">
        <v>1099</v>
      </c>
    </row>
    <row r="31310">
      <c r="B31310" s="31"/>
      <c r="G31310" s="272" t="s">
        <v>1099</v>
      </c>
    </row>
    <row r="31311">
      <c r="B31311" s="31"/>
      <c r="G31311" s="272" t="s">
        <v>1099</v>
      </c>
    </row>
    <row r="31312">
      <c r="B31312" s="31"/>
      <c r="G31312" s="272" t="s">
        <v>1099</v>
      </c>
    </row>
    <row r="31313">
      <c r="B31313" s="31"/>
      <c r="G31313" s="272" t="s">
        <v>1099</v>
      </c>
    </row>
    <row r="31314">
      <c r="B31314" s="31"/>
      <c r="G31314" s="272" t="s">
        <v>1099</v>
      </c>
    </row>
    <row r="31315">
      <c r="B31315" s="31"/>
      <c r="G31315" s="272" t="s">
        <v>1099</v>
      </c>
    </row>
    <row r="31316">
      <c r="B31316" s="31"/>
      <c r="G31316" s="272" t="s">
        <v>1099</v>
      </c>
    </row>
    <row r="31317">
      <c r="B31317" s="31"/>
      <c r="G31317" s="272" t="s">
        <v>1099</v>
      </c>
    </row>
    <row r="31318">
      <c r="B31318" s="31"/>
      <c r="G31318" s="272" t="s">
        <v>1099</v>
      </c>
    </row>
    <row r="31319">
      <c r="B31319" s="31"/>
      <c r="G31319" s="272" t="s">
        <v>1099</v>
      </c>
    </row>
    <row r="31320">
      <c r="B31320" s="31"/>
      <c r="G31320" s="272" t="s">
        <v>1099</v>
      </c>
    </row>
    <row r="31321">
      <c r="B31321" s="31"/>
      <c r="G31321" s="272" t="s">
        <v>1099</v>
      </c>
    </row>
    <row r="31322">
      <c r="B31322" s="31"/>
      <c r="G31322" s="272" t="s">
        <v>1099</v>
      </c>
    </row>
    <row r="31323">
      <c r="B31323" s="31"/>
      <c r="G31323" s="272" t="s">
        <v>1099</v>
      </c>
    </row>
    <row r="31324">
      <c r="B31324" s="31"/>
      <c r="G31324" s="272" t="s">
        <v>1099</v>
      </c>
    </row>
    <row r="31325">
      <c r="B31325" s="31"/>
      <c r="G31325" s="272" t="s">
        <v>1099</v>
      </c>
    </row>
    <row r="31326">
      <c r="B31326" s="31"/>
      <c r="G31326" s="272" t="s">
        <v>1099</v>
      </c>
    </row>
    <row r="31327">
      <c r="B31327" s="31"/>
      <c r="G31327" s="272" t="s">
        <v>1099</v>
      </c>
    </row>
    <row r="31328">
      <c r="B31328" s="31"/>
      <c r="G31328" s="272" t="s">
        <v>1099</v>
      </c>
    </row>
    <row r="31329">
      <c r="B31329" s="31"/>
      <c r="G31329" s="272" t="s">
        <v>1099</v>
      </c>
    </row>
    <row r="31330">
      <c r="B31330" s="31"/>
      <c r="G31330" s="272" t="s">
        <v>1099</v>
      </c>
    </row>
    <row r="31331">
      <c r="B31331" s="31"/>
      <c r="G31331" s="272" t="s">
        <v>1099</v>
      </c>
    </row>
    <row r="31332">
      <c r="B31332" s="31"/>
      <c r="G31332" s="272" t="s">
        <v>1099</v>
      </c>
    </row>
    <row r="31333">
      <c r="B31333" s="31"/>
      <c r="G31333" s="272" t="s">
        <v>1099</v>
      </c>
    </row>
    <row r="31334">
      <c r="B31334" s="31"/>
      <c r="G31334" s="272" t="s">
        <v>1099</v>
      </c>
    </row>
    <row r="31335">
      <c r="B31335" s="31"/>
      <c r="G31335" s="272" t="s">
        <v>1099</v>
      </c>
    </row>
    <row r="31336">
      <c r="B31336" s="31"/>
      <c r="G31336" s="272" t="s">
        <v>1099</v>
      </c>
    </row>
    <row r="31337">
      <c r="B31337" s="31"/>
      <c r="G31337" s="272" t="s">
        <v>1099</v>
      </c>
    </row>
    <row r="31338">
      <c r="B31338" s="31"/>
      <c r="G31338" s="272" t="s">
        <v>1099</v>
      </c>
    </row>
    <row r="31339">
      <c r="B31339" s="31"/>
      <c r="G31339" s="272" t="s">
        <v>1099</v>
      </c>
    </row>
    <row r="31340">
      <c r="B31340" s="31"/>
      <c r="G31340" s="272" t="s">
        <v>1099</v>
      </c>
    </row>
    <row r="31341">
      <c r="B31341" s="31"/>
      <c r="G31341" s="272" t="s">
        <v>1099</v>
      </c>
    </row>
    <row r="31342">
      <c r="B31342" s="31"/>
      <c r="G31342" s="272" t="s">
        <v>1099</v>
      </c>
    </row>
    <row r="31343">
      <c r="B31343" s="31"/>
      <c r="G31343" s="272" t="s">
        <v>1099</v>
      </c>
    </row>
    <row r="31344">
      <c r="B31344" s="31"/>
      <c r="G31344" s="272" t="s">
        <v>1099</v>
      </c>
    </row>
    <row r="31345">
      <c r="B31345" s="31"/>
      <c r="G31345" s="272" t="s">
        <v>1099</v>
      </c>
    </row>
    <row r="31346">
      <c r="B31346" s="31"/>
      <c r="G31346" s="272" t="s">
        <v>1099</v>
      </c>
    </row>
    <row r="31347">
      <c r="B31347" s="31"/>
      <c r="G31347" s="272" t="s">
        <v>1099</v>
      </c>
    </row>
    <row r="31348">
      <c r="B31348" s="31"/>
      <c r="G31348" s="272" t="s">
        <v>1099</v>
      </c>
    </row>
    <row r="31349">
      <c r="B31349" s="31"/>
      <c r="G31349" s="272" t="s">
        <v>1099</v>
      </c>
    </row>
    <row r="31350">
      <c r="B31350" s="31"/>
      <c r="G31350" s="272" t="s">
        <v>1099</v>
      </c>
    </row>
    <row r="31351">
      <c r="B31351" s="31"/>
      <c r="G31351" s="272" t="s">
        <v>1099</v>
      </c>
    </row>
    <row r="31352">
      <c r="B31352" s="31"/>
      <c r="G31352" s="272" t="s">
        <v>1099</v>
      </c>
    </row>
    <row r="31353">
      <c r="B31353" s="31"/>
      <c r="G31353" s="272" t="s">
        <v>1099</v>
      </c>
    </row>
    <row r="31354">
      <c r="B31354" s="31"/>
      <c r="G31354" s="272" t="s">
        <v>1099</v>
      </c>
    </row>
    <row r="31355">
      <c r="B31355" s="31"/>
      <c r="G31355" s="272" t="s">
        <v>1099</v>
      </c>
    </row>
    <row r="31356">
      <c r="B31356" s="31"/>
      <c r="G31356" s="272" t="s">
        <v>1099</v>
      </c>
    </row>
    <row r="31357">
      <c r="B31357" s="31"/>
      <c r="G31357" s="272" t="s">
        <v>1099</v>
      </c>
    </row>
    <row r="31358">
      <c r="B31358" s="31"/>
      <c r="G31358" s="272" t="s">
        <v>1099</v>
      </c>
    </row>
    <row r="31359">
      <c r="B31359" s="31"/>
      <c r="G31359" s="272" t="s">
        <v>1099</v>
      </c>
    </row>
    <row r="31360">
      <c r="B31360" s="31"/>
      <c r="G31360" s="272" t="s">
        <v>1099</v>
      </c>
    </row>
    <row r="31361">
      <c r="B31361" s="31"/>
      <c r="G31361" s="272" t="s">
        <v>1099</v>
      </c>
    </row>
    <row r="31362">
      <c r="B31362" s="31"/>
      <c r="G31362" s="272" t="s">
        <v>1099</v>
      </c>
    </row>
    <row r="31363">
      <c r="B31363" s="31"/>
      <c r="G31363" s="272" t="s">
        <v>1099</v>
      </c>
    </row>
    <row r="31364">
      <c r="B31364" s="31"/>
      <c r="G31364" s="272" t="s">
        <v>1099</v>
      </c>
    </row>
    <row r="31365">
      <c r="B31365" s="31"/>
      <c r="G31365" s="272" t="s">
        <v>1099</v>
      </c>
    </row>
    <row r="31366">
      <c r="B31366" s="31"/>
      <c r="G31366" s="272" t="s">
        <v>1099</v>
      </c>
    </row>
    <row r="31367">
      <c r="B31367" s="31"/>
      <c r="G31367" s="272" t="s">
        <v>1099</v>
      </c>
    </row>
    <row r="31368">
      <c r="B31368" s="31"/>
      <c r="G31368" s="272" t="s">
        <v>1099</v>
      </c>
    </row>
    <row r="31369">
      <c r="B31369" s="31"/>
      <c r="G31369" s="272" t="s">
        <v>1099</v>
      </c>
    </row>
    <row r="31370">
      <c r="B31370" s="31"/>
      <c r="G31370" s="272" t="s">
        <v>1099</v>
      </c>
    </row>
    <row r="31371">
      <c r="B31371" s="31"/>
      <c r="G31371" s="272" t="s">
        <v>1099</v>
      </c>
    </row>
    <row r="31372">
      <c r="B31372" s="31"/>
      <c r="G31372" s="272" t="s">
        <v>1099</v>
      </c>
    </row>
    <row r="31373">
      <c r="B31373" s="31"/>
      <c r="G31373" s="272" t="s">
        <v>1099</v>
      </c>
    </row>
    <row r="31374">
      <c r="B31374" s="31"/>
      <c r="G31374" s="272" t="s">
        <v>1099</v>
      </c>
    </row>
    <row r="31375">
      <c r="B31375" s="31"/>
      <c r="G31375" s="272" t="s">
        <v>1099</v>
      </c>
    </row>
    <row r="31376">
      <c r="B31376" s="31"/>
      <c r="G31376" s="272" t="s">
        <v>1099</v>
      </c>
    </row>
    <row r="31377">
      <c r="B31377" s="31"/>
      <c r="G31377" s="272" t="s">
        <v>1099</v>
      </c>
    </row>
    <row r="31378">
      <c r="B31378" s="31"/>
      <c r="G31378" s="272" t="s">
        <v>1099</v>
      </c>
    </row>
    <row r="31379">
      <c r="B31379" s="31"/>
      <c r="G31379" s="272" t="s">
        <v>1099</v>
      </c>
    </row>
    <row r="31380">
      <c r="B31380" s="31"/>
      <c r="G31380" s="272" t="s">
        <v>1099</v>
      </c>
    </row>
    <row r="31381">
      <c r="B31381" s="31"/>
      <c r="G31381" s="272" t="s">
        <v>1099</v>
      </c>
    </row>
    <row r="31382">
      <c r="B31382" s="31"/>
      <c r="G31382" s="272" t="s">
        <v>1099</v>
      </c>
    </row>
    <row r="31383">
      <c r="B31383" s="31"/>
      <c r="G31383" s="272" t="s">
        <v>1099</v>
      </c>
    </row>
    <row r="31384">
      <c r="B31384" s="31"/>
      <c r="G31384" s="272" t="s">
        <v>1099</v>
      </c>
    </row>
    <row r="31385">
      <c r="B31385" s="31"/>
      <c r="G31385" s="272" t="s">
        <v>1099</v>
      </c>
    </row>
    <row r="31386">
      <c r="B31386" s="31"/>
      <c r="G31386" s="272" t="s">
        <v>1099</v>
      </c>
    </row>
    <row r="31387">
      <c r="B31387" s="31"/>
      <c r="G31387" s="272" t="s">
        <v>1099</v>
      </c>
    </row>
    <row r="31388">
      <c r="B31388" s="31"/>
      <c r="G31388" s="272" t="s">
        <v>1099</v>
      </c>
    </row>
    <row r="31389">
      <c r="B31389" s="31"/>
      <c r="G31389" s="272" t="s">
        <v>1099</v>
      </c>
    </row>
    <row r="31390">
      <c r="B31390" s="31"/>
      <c r="G31390" s="272" t="s">
        <v>1099</v>
      </c>
    </row>
    <row r="31391">
      <c r="B31391" s="31"/>
      <c r="G31391" s="272" t="s">
        <v>1099</v>
      </c>
    </row>
    <row r="31392">
      <c r="B31392" s="31"/>
      <c r="G31392" s="272" t="s">
        <v>1099</v>
      </c>
    </row>
    <row r="31393">
      <c r="B31393" s="31"/>
      <c r="G31393" s="272" t="s">
        <v>1099</v>
      </c>
    </row>
    <row r="31394">
      <c r="B31394" s="31"/>
      <c r="G31394" s="272" t="s">
        <v>1099</v>
      </c>
    </row>
    <row r="31395">
      <c r="B31395" s="31"/>
      <c r="G31395" s="272" t="s">
        <v>1099</v>
      </c>
    </row>
    <row r="31396">
      <c r="B31396" s="31"/>
      <c r="G31396" s="272" t="s">
        <v>1099</v>
      </c>
    </row>
    <row r="31397">
      <c r="B31397" s="31"/>
      <c r="G31397" s="272" t="s">
        <v>1099</v>
      </c>
    </row>
    <row r="31398">
      <c r="B31398" s="31"/>
      <c r="G31398" s="272" t="s">
        <v>1099</v>
      </c>
    </row>
    <row r="31399">
      <c r="B31399" s="31"/>
      <c r="G31399" s="272" t="s">
        <v>1099</v>
      </c>
    </row>
    <row r="31400">
      <c r="B31400" s="31"/>
      <c r="G31400" s="272" t="s">
        <v>1099</v>
      </c>
    </row>
    <row r="31401">
      <c r="B31401" s="31"/>
      <c r="G31401" s="272" t="s">
        <v>1099</v>
      </c>
    </row>
    <row r="31402">
      <c r="B31402" s="31"/>
      <c r="G31402" s="272" t="s">
        <v>1099</v>
      </c>
    </row>
    <row r="31403">
      <c r="B31403" s="31"/>
      <c r="G31403" s="272" t="s">
        <v>1099</v>
      </c>
    </row>
    <row r="31404">
      <c r="B31404" s="31"/>
      <c r="G31404" s="272" t="s">
        <v>1099</v>
      </c>
    </row>
    <row r="31405">
      <c r="B31405" s="31"/>
      <c r="G31405" s="272" t="s">
        <v>1099</v>
      </c>
    </row>
    <row r="31406">
      <c r="B31406" s="31"/>
      <c r="G31406" s="272" t="s">
        <v>1099</v>
      </c>
    </row>
    <row r="31407">
      <c r="B31407" s="31"/>
      <c r="G31407" s="272" t="s">
        <v>1099</v>
      </c>
    </row>
    <row r="31408">
      <c r="B31408" s="31"/>
      <c r="G31408" s="272" t="s">
        <v>1099</v>
      </c>
    </row>
    <row r="31409">
      <c r="B31409" s="31"/>
      <c r="G31409" s="272" t="s">
        <v>1099</v>
      </c>
    </row>
    <row r="31410">
      <c r="B31410" s="31"/>
      <c r="G31410" s="272" t="s">
        <v>1099</v>
      </c>
    </row>
    <row r="31411">
      <c r="B31411" s="31"/>
      <c r="G31411" s="272" t="s">
        <v>1099</v>
      </c>
    </row>
    <row r="31412">
      <c r="B31412" s="31"/>
      <c r="G31412" s="272" t="s">
        <v>1099</v>
      </c>
    </row>
    <row r="31413">
      <c r="B31413" s="31"/>
      <c r="G31413" s="272" t="s">
        <v>1099</v>
      </c>
    </row>
    <row r="31414">
      <c r="B31414" s="31"/>
      <c r="G31414" s="272" t="s">
        <v>1099</v>
      </c>
    </row>
    <row r="31415">
      <c r="B31415" s="31"/>
      <c r="G31415" s="272" t="s">
        <v>1099</v>
      </c>
    </row>
    <row r="31416">
      <c r="B31416" s="31"/>
      <c r="G31416" s="272" t="s">
        <v>1099</v>
      </c>
    </row>
    <row r="31417">
      <c r="B31417" s="31"/>
      <c r="G31417" s="272" t="s">
        <v>1099</v>
      </c>
    </row>
    <row r="31418">
      <c r="B31418" s="31"/>
      <c r="G31418" s="272" t="s">
        <v>1099</v>
      </c>
    </row>
    <row r="31419">
      <c r="B31419" s="31"/>
      <c r="G31419" s="272" t="s">
        <v>1099</v>
      </c>
    </row>
    <row r="31420">
      <c r="B31420" s="31"/>
      <c r="G31420" s="272" t="s">
        <v>1099</v>
      </c>
    </row>
    <row r="31421">
      <c r="B31421" s="31"/>
      <c r="G31421" s="272" t="s">
        <v>1099</v>
      </c>
    </row>
    <row r="31422">
      <c r="B31422" s="31"/>
      <c r="G31422" s="272" t="s">
        <v>1099</v>
      </c>
    </row>
    <row r="31423">
      <c r="B31423" s="31"/>
      <c r="G31423" s="272" t="s">
        <v>1099</v>
      </c>
    </row>
    <row r="31424">
      <c r="B31424" s="31"/>
      <c r="G31424" s="272" t="s">
        <v>1099</v>
      </c>
    </row>
    <row r="31425">
      <c r="B31425" s="31"/>
      <c r="G31425" s="272" t="s">
        <v>1099</v>
      </c>
    </row>
    <row r="31426">
      <c r="B31426" s="31"/>
      <c r="G31426" s="272" t="s">
        <v>1099</v>
      </c>
    </row>
    <row r="31427">
      <c r="B31427" s="31"/>
      <c r="G31427" s="272" t="s">
        <v>1099</v>
      </c>
    </row>
    <row r="31428">
      <c r="B31428" s="31"/>
      <c r="G31428" s="272" t="s">
        <v>1099</v>
      </c>
    </row>
    <row r="31429">
      <c r="B31429" s="31"/>
      <c r="G31429" s="272" t="s">
        <v>1099</v>
      </c>
    </row>
    <row r="31430">
      <c r="B31430" s="31"/>
      <c r="G31430" s="272" t="s">
        <v>1099</v>
      </c>
    </row>
    <row r="31431">
      <c r="B31431" s="31"/>
      <c r="G31431" s="272" t="s">
        <v>1099</v>
      </c>
    </row>
    <row r="31432">
      <c r="B31432" s="31"/>
      <c r="G31432" s="272" t="s">
        <v>1099</v>
      </c>
    </row>
    <row r="31433">
      <c r="B31433" s="31"/>
      <c r="G31433" s="272" t="s">
        <v>1099</v>
      </c>
    </row>
    <row r="31434">
      <c r="B31434" s="31"/>
      <c r="G31434" s="272" t="s">
        <v>1099</v>
      </c>
    </row>
    <row r="31435">
      <c r="B31435" s="31"/>
      <c r="G31435" s="272" t="s">
        <v>1099</v>
      </c>
    </row>
    <row r="31436">
      <c r="B31436" s="31"/>
      <c r="G31436" s="272" t="s">
        <v>1099</v>
      </c>
    </row>
    <row r="31437">
      <c r="B31437" s="31"/>
      <c r="G31437" s="272" t="s">
        <v>1099</v>
      </c>
    </row>
    <row r="31438">
      <c r="B31438" s="31"/>
      <c r="G31438" s="272" t="s">
        <v>1099</v>
      </c>
    </row>
    <row r="31439">
      <c r="B31439" s="31"/>
      <c r="G31439" s="272" t="s">
        <v>1099</v>
      </c>
    </row>
    <row r="31440">
      <c r="B31440" s="31"/>
      <c r="G31440" s="272" t="s">
        <v>1099</v>
      </c>
    </row>
    <row r="31441">
      <c r="B31441" s="31"/>
      <c r="G31441" s="272" t="s">
        <v>1099</v>
      </c>
    </row>
    <row r="31442">
      <c r="B31442" s="31"/>
      <c r="G31442" s="272" t="s">
        <v>1099</v>
      </c>
    </row>
    <row r="31443">
      <c r="B31443" s="31"/>
      <c r="G31443" s="272" t="s">
        <v>1099</v>
      </c>
    </row>
    <row r="31444">
      <c r="B31444" s="31"/>
      <c r="G31444" s="272" t="s">
        <v>1099</v>
      </c>
    </row>
    <row r="31445">
      <c r="B31445" s="31"/>
      <c r="G31445" s="272" t="s">
        <v>1099</v>
      </c>
    </row>
    <row r="31446">
      <c r="B31446" s="31"/>
      <c r="G31446" s="272" t="s">
        <v>1099</v>
      </c>
    </row>
    <row r="31447">
      <c r="B31447" s="31"/>
      <c r="G31447" s="272" t="s">
        <v>1099</v>
      </c>
    </row>
    <row r="31448">
      <c r="B31448" s="31"/>
      <c r="G31448" s="272" t="s">
        <v>1099</v>
      </c>
    </row>
    <row r="31449">
      <c r="B31449" s="31"/>
      <c r="G31449" s="272" t="s">
        <v>1099</v>
      </c>
    </row>
    <row r="31450">
      <c r="B31450" s="31"/>
      <c r="G31450" s="272" t="s">
        <v>1099</v>
      </c>
    </row>
    <row r="31451">
      <c r="B31451" s="31"/>
      <c r="G31451" s="272" t="s">
        <v>1099</v>
      </c>
    </row>
    <row r="31452">
      <c r="B31452" s="31"/>
      <c r="G31452" s="272" t="s">
        <v>1099</v>
      </c>
    </row>
    <row r="31453">
      <c r="B31453" s="31"/>
      <c r="G31453" s="272" t="s">
        <v>1099</v>
      </c>
    </row>
    <row r="31454">
      <c r="B31454" s="31"/>
      <c r="G31454" s="272" t="s">
        <v>1099</v>
      </c>
    </row>
    <row r="31455">
      <c r="B31455" s="31"/>
      <c r="G31455" s="272" t="s">
        <v>1099</v>
      </c>
    </row>
    <row r="31456">
      <c r="B31456" s="31"/>
      <c r="G31456" s="272" t="s">
        <v>1099</v>
      </c>
    </row>
    <row r="31457">
      <c r="B31457" s="31"/>
      <c r="G31457" s="272" t="s">
        <v>1099</v>
      </c>
    </row>
    <row r="31458">
      <c r="B31458" s="31"/>
      <c r="G31458" s="272" t="s">
        <v>1099</v>
      </c>
    </row>
    <row r="31459">
      <c r="B31459" s="31"/>
      <c r="G31459" s="272" t="s">
        <v>1099</v>
      </c>
    </row>
    <row r="31460">
      <c r="B31460" s="31"/>
      <c r="G31460" s="272" t="s">
        <v>1099</v>
      </c>
    </row>
    <row r="31461">
      <c r="B31461" s="31"/>
      <c r="G31461" s="272" t="s">
        <v>1099</v>
      </c>
    </row>
    <row r="31462">
      <c r="B31462" s="31"/>
      <c r="G31462" s="272" t="s">
        <v>1099</v>
      </c>
    </row>
    <row r="31463">
      <c r="B31463" s="31"/>
      <c r="G31463" s="272" t="s">
        <v>1099</v>
      </c>
    </row>
    <row r="31464">
      <c r="B31464" s="31"/>
      <c r="G31464" s="272" t="s">
        <v>1099</v>
      </c>
    </row>
    <row r="31465">
      <c r="B31465" s="31"/>
      <c r="G31465" s="272" t="s">
        <v>1099</v>
      </c>
    </row>
    <row r="31466">
      <c r="B31466" s="31"/>
      <c r="G31466" s="272" t="s">
        <v>1099</v>
      </c>
    </row>
    <row r="31467">
      <c r="B31467" s="31"/>
      <c r="G31467" s="272" t="s">
        <v>1099</v>
      </c>
    </row>
    <row r="31468">
      <c r="B31468" s="31"/>
      <c r="G31468" s="272" t="s">
        <v>1099</v>
      </c>
    </row>
    <row r="31469">
      <c r="B31469" s="31"/>
      <c r="G31469" s="272" t="s">
        <v>1099</v>
      </c>
    </row>
    <row r="31470">
      <c r="B31470" s="31"/>
      <c r="G31470" s="272" t="s">
        <v>1099</v>
      </c>
    </row>
    <row r="31471">
      <c r="B31471" s="31"/>
      <c r="G31471" s="272" t="s">
        <v>1099</v>
      </c>
    </row>
    <row r="31472">
      <c r="B31472" s="31"/>
      <c r="G31472" s="272" t="s">
        <v>1099</v>
      </c>
    </row>
    <row r="31473">
      <c r="B31473" s="31"/>
      <c r="G31473" s="272" t="s">
        <v>1099</v>
      </c>
    </row>
    <row r="31474">
      <c r="B31474" s="31"/>
      <c r="G31474" s="272" t="s">
        <v>1099</v>
      </c>
    </row>
    <row r="31475">
      <c r="B31475" s="31"/>
      <c r="G31475" s="272" t="s">
        <v>1099</v>
      </c>
    </row>
    <row r="31476">
      <c r="B31476" s="31"/>
      <c r="G31476" s="272" t="s">
        <v>1099</v>
      </c>
    </row>
    <row r="31477">
      <c r="B31477" s="31"/>
      <c r="G31477" s="272" t="s">
        <v>1099</v>
      </c>
    </row>
    <row r="31478">
      <c r="B31478" s="31"/>
      <c r="G31478" s="272" t="s">
        <v>1099</v>
      </c>
    </row>
    <row r="31479">
      <c r="B31479" s="31"/>
      <c r="G31479" s="272" t="s">
        <v>1099</v>
      </c>
    </row>
    <row r="31480">
      <c r="B31480" s="31"/>
      <c r="G31480" s="272" t="s">
        <v>1099</v>
      </c>
    </row>
    <row r="31481">
      <c r="B31481" s="31"/>
      <c r="G31481" s="272" t="s">
        <v>1099</v>
      </c>
    </row>
    <row r="31482">
      <c r="B31482" s="31"/>
      <c r="G31482" s="272" t="s">
        <v>1099</v>
      </c>
    </row>
    <row r="31483">
      <c r="B31483" s="31"/>
      <c r="G31483" s="272" t="s">
        <v>1099</v>
      </c>
    </row>
    <row r="31484">
      <c r="B31484" s="31"/>
      <c r="G31484" s="272" t="s">
        <v>1099</v>
      </c>
    </row>
    <row r="31485">
      <c r="B31485" s="31"/>
      <c r="G31485" s="272" t="s">
        <v>1099</v>
      </c>
    </row>
    <row r="31486">
      <c r="B31486" s="31"/>
      <c r="G31486" s="272" t="s">
        <v>1099</v>
      </c>
    </row>
    <row r="31487">
      <c r="B31487" s="31"/>
      <c r="G31487" s="272" t="s">
        <v>1099</v>
      </c>
    </row>
    <row r="31488">
      <c r="B31488" s="31"/>
      <c r="G31488" s="272" t="s">
        <v>1099</v>
      </c>
    </row>
    <row r="31489">
      <c r="B31489" s="31"/>
      <c r="G31489" s="272" t="s">
        <v>1099</v>
      </c>
    </row>
    <row r="31490">
      <c r="B31490" s="31"/>
      <c r="G31490" s="272" t="s">
        <v>1099</v>
      </c>
    </row>
    <row r="31491">
      <c r="B31491" s="31"/>
      <c r="G31491" s="272" t="s">
        <v>1099</v>
      </c>
    </row>
    <row r="31492">
      <c r="B31492" s="31"/>
      <c r="G31492" s="272" t="s">
        <v>1099</v>
      </c>
    </row>
    <row r="31493">
      <c r="B31493" s="31"/>
      <c r="G31493" s="272" t="s">
        <v>1099</v>
      </c>
    </row>
    <row r="31494">
      <c r="B31494" s="31"/>
      <c r="G31494" s="272" t="s">
        <v>1099</v>
      </c>
    </row>
    <row r="31495">
      <c r="B31495" s="31"/>
      <c r="G31495" s="272" t="s">
        <v>1099</v>
      </c>
    </row>
    <row r="31496">
      <c r="B31496" s="31"/>
      <c r="G31496" s="272" t="s">
        <v>1099</v>
      </c>
    </row>
    <row r="31497">
      <c r="B31497" s="31"/>
      <c r="G31497" s="272" t="s">
        <v>1099</v>
      </c>
    </row>
    <row r="31498">
      <c r="B31498" s="31"/>
      <c r="G31498" s="272" t="s">
        <v>1099</v>
      </c>
    </row>
    <row r="31499">
      <c r="B31499" s="31"/>
      <c r="G31499" s="272" t="s">
        <v>1099</v>
      </c>
    </row>
    <row r="31500">
      <c r="B31500" s="31"/>
      <c r="G31500" s="272" t="s">
        <v>1099</v>
      </c>
    </row>
    <row r="31501">
      <c r="B31501" s="31"/>
      <c r="G31501" s="272" t="s">
        <v>1099</v>
      </c>
    </row>
    <row r="31502">
      <c r="B31502" s="31"/>
      <c r="G31502" s="272" t="s">
        <v>1099</v>
      </c>
    </row>
    <row r="31503">
      <c r="B31503" s="31"/>
      <c r="G31503" s="272" t="s">
        <v>1099</v>
      </c>
    </row>
    <row r="31504">
      <c r="B31504" s="31"/>
      <c r="G31504" s="272" t="s">
        <v>1099</v>
      </c>
    </row>
    <row r="31505">
      <c r="B31505" s="31"/>
      <c r="G31505" s="272" t="s">
        <v>1099</v>
      </c>
    </row>
    <row r="31506">
      <c r="B31506" s="31"/>
      <c r="G31506" s="272" t="s">
        <v>1099</v>
      </c>
    </row>
    <row r="31507">
      <c r="B31507" s="31"/>
      <c r="G31507" s="272" t="s">
        <v>1099</v>
      </c>
    </row>
    <row r="31508">
      <c r="B31508" s="31"/>
      <c r="G31508" s="272" t="s">
        <v>1099</v>
      </c>
    </row>
    <row r="31509">
      <c r="B31509" s="31"/>
      <c r="G31509" s="272" t="s">
        <v>1099</v>
      </c>
    </row>
    <row r="31510">
      <c r="B31510" s="31"/>
      <c r="G31510" s="272" t="s">
        <v>1099</v>
      </c>
    </row>
    <row r="31511">
      <c r="B31511" s="31"/>
      <c r="G31511" s="272" t="s">
        <v>1099</v>
      </c>
    </row>
    <row r="31512">
      <c r="B31512" s="31"/>
      <c r="G31512" s="272" t="s">
        <v>1099</v>
      </c>
    </row>
    <row r="31513">
      <c r="B31513" s="31"/>
      <c r="G31513" s="272" t="s">
        <v>1099</v>
      </c>
    </row>
    <row r="31514">
      <c r="B31514" s="31"/>
      <c r="G31514" s="272" t="s">
        <v>1099</v>
      </c>
    </row>
    <row r="31515">
      <c r="B31515" s="31"/>
      <c r="G31515" s="272" t="s">
        <v>1099</v>
      </c>
    </row>
    <row r="31516">
      <c r="B31516" s="31"/>
      <c r="G31516" s="272" t="s">
        <v>1099</v>
      </c>
    </row>
    <row r="31517">
      <c r="B31517" s="31"/>
      <c r="G31517" s="272" t="s">
        <v>1099</v>
      </c>
    </row>
    <row r="31518">
      <c r="B31518" s="31"/>
      <c r="G31518" s="272" t="s">
        <v>1099</v>
      </c>
    </row>
    <row r="31519">
      <c r="B31519" s="31"/>
      <c r="G31519" s="272" t="s">
        <v>1099</v>
      </c>
    </row>
    <row r="31520">
      <c r="B31520" s="31"/>
      <c r="G31520" s="272" t="s">
        <v>1099</v>
      </c>
    </row>
    <row r="31521">
      <c r="B31521" s="31"/>
      <c r="G31521" s="272" t="s">
        <v>1099</v>
      </c>
    </row>
    <row r="31522">
      <c r="B31522" s="31"/>
      <c r="G31522" s="272" t="s">
        <v>1099</v>
      </c>
    </row>
    <row r="31523">
      <c r="B31523" s="31"/>
      <c r="G31523" s="272" t="s">
        <v>1099</v>
      </c>
    </row>
    <row r="31524">
      <c r="B31524" s="31"/>
      <c r="G31524" s="272" t="s">
        <v>1099</v>
      </c>
    </row>
    <row r="31525">
      <c r="B31525" s="31"/>
      <c r="G31525" s="272" t="s">
        <v>1099</v>
      </c>
    </row>
    <row r="31526">
      <c r="B31526" s="31"/>
      <c r="G31526" s="272" t="s">
        <v>1099</v>
      </c>
    </row>
    <row r="31527">
      <c r="B31527" s="31"/>
      <c r="G31527" s="272" t="s">
        <v>1099</v>
      </c>
    </row>
    <row r="31528">
      <c r="B31528" s="31"/>
      <c r="G31528" s="272" t="s">
        <v>1099</v>
      </c>
    </row>
    <row r="31529">
      <c r="B31529" s="31"/>
      <c r="G31529" s="272" t="s">
        <v>1099</v>
      </c>
    </row>
    <row r="31530">
      <c r="B31530" s="31"/>
      <c r="G31530" s="272" t="s">
        <v>1099</v>
      </c>
    </row>
    <row r="31531">
      <c r="B31531" s="31"/>
      <c r="G31531" s="272" t="s">
        <v>1099</v>
      </c>
    </row>
    <row r="31532">
      <c r="B31532" s="31"/>
      <c r="G31532" s="272" t="s">
        <v>1099</v>
      </c>
    </row>
    <row r="31533">
      <c r="B31533" s="31"/>
      <c r="G31533" s="272" t="s">
        <v>1099</v>
      </c>
    </row>
    <row r="31534">
      <c r="B31534" s="31"/>
      <c r="G31534" s="272" t="s">
        <v>1099</v>
      </c>
    </row>
    <row r="31535">
      <c r="B31535" s="31"/>
      <c r="G31535" s="272" t="s">
        <v>1099</v>
      </c>
    </row>
    <row r="31536">
      <c r="B31536" s="31"/>
      <c r="G31536" s="272" t="s">
        <v>1099</v>
      </c>
    </row>
    <row r="31537">
      <c r="B31537" s="31"/>
      <c r="G31537" s="272" t="s">
        <v>1099</v>
      </c>
    </row>
    <row r="31538">
      <c r="B31538" s="31"/>
      <c r="G31538" s="272" t="s">
        <v>1099</v>
      </c>
    </row>
    <row r="31539">
      <c r="B31539" s="31"/>
      <c r="G31539" s="272" t="s">
        <v>1099</v>
      </c>
    </row>
    <row r="31540">
      <c r="B31540" s="31"/>
      <c r="G31540" s="272" t="s">
        <v>1099</v>
      </c>
    </row>
    <row r="31541">
      <c r="B31541" s="31"/>
      <c r="G31541" s="272" t="s">
        <v>1099</v>
      </c>
    </row>
    <row r="31542">
      <c r="B31542" s="31"/>
      <c r="G31542" s="272" t="s">
        <v>1099</v>
      </c>
    </row>
    <row r="31543">
      <c r="B31543" s="31"/>
      <c r="G31543" s="272" t="s">
        <v>1099</v>
      </c>
    </row>
    <row r="31544">
      <c r="B31544" s="31"/>
      <c r="G31544" s="272" t="s">
        <v>1099</v>
      </c>
    </row>
    <row r="31545">
      <c r="B31545" s="31"/>
      <c r="G31545" s="272" t="s">
        <v>1099</v>
      </c>
    </row>
    <row r="31546">
      <c r="B31546" s="31"/>
      <c r="G31546" s="272" t="s">
        <v>1099</v>
      </c>
    </row>
    <row r="31547">
      <c r="B31547" s="31"/>
      <c r="G31547" s="272" t="s">
        <v>1099</v>
      </c>
    </row>
    <row r="31548">
      <c r="B31548" s="31"/>
      <c r="G31548" s="272" t="s">
        <v>1099</v>
      </c>
    </row>
    <row r="31549">
      <c r="B31549" s="31"/>
      <c r="G31549" s="272" t="s">
        <v>1099</v>
      </c>
    </row>
    <row r="31550">
      <c r="B31550" s="31"/>
      <c r="G31550" s="272" t="s">
        <v>1099</v>
      </c>
    </row>
    <row r="31551">
      <c r="B31551" s="31"/>
      <c r="G31551" s="272" t="s">
        <v>1099</v>
      </c>
    </row>
    <row r="31552">
      <c r="B31552" s="31"/>
      <c r="G31552" s="272" t="s">
        <v>1099</v>
      </c>
    </row>
    <row r="31553">
      <c r="B31553" s="31"/>
      <c r="G31553" s="272" t="s">
        <v>1099</v>
      </c>
    </row>
    <row r="31554">
      <c r="B31554" s="31"/>
      <c r="G31554" s="272" t="s">
        <v>1099</v>
      </c>
    </row>
    <row r="31555">
      <c r="B31555" s="31"/>
      <c r="G31555" s="272" t="s">
        <v>1099</v>
      </c>
    </row>
    <row r="31556">
      <c r="B31556" s="31"/>
      <c r="G31556" s="272" t="s">
        <v>1099</v>
      </c>
    </row>
    <row r="31557">
      <c r="B31557" s="31"/>
      <c r="G31557" s="272" t="s">
        <v>1099</v>
      </c>
    </row>
    <row r="31558">
      <c r="B31558" s="31"/>
      <c r="G31558" s="272" t="s">
        <v>1099</v>
      </c>
    </row>
    <row r="31559">
      <c r="B31559" s="31"/>
      <c r="G31559" s="272" t="s">
        <v>1099</v>
      </c>
    </row>
    <row r="31560">
      <c r="B31560" s="31"/>
      <c r="G31560" s="272" t="s">
        <v>1099</v>
      </c>
    </row>
    <row r="31561">
      <c r="B31561" s="31"/>
      <c r="G31561" s="272" t="s">
        <v>1099</v>
      </c>
    </row>
    <row r="31562">
      <c r="B31562" s="31"/>
      <c r="G31562" s="272" t="s">
        <v>1099</v>
      </c>
    </row>
    <row r="31563">
      <c r="B31563" s="31"/>
      <c r="G31563" s="272" t="s">
        <v>1099</v>
      </c>
    </row>
    <row r="31564">
      <c r="B31564" s="31"/>
      <c r="G31564" s="272" t="s">
        <v>1099</v>
      </c>
    </row>
    <row r="31565">
      <c r="B31565" s="31"/>
      <c r="G31565" s="272" t="s">
        <v>1099</v>
      </c>
    </row>
    <row r="31566">
      <c r="B31566" s="31"/>
      <c r="G31566" s="272" t="s">
        <v>1099</v>
      </c>
    </row>
    <row r="31567">
      <c r="B31567" s="31"/>
      <c r="G31567" s="272" t="s">
        <v>1099</v>
      </c>
    </row>
    <row r="31568">
      <c r="B31568" s="31"/>
      <c r="G31568" s="272" t="s">
        <v>1099</v>
      </c>
    </row>
    <row r="31569">
      <c r="B31569" s="31"/>
      <c r="G31569" s="272" t="s">
        <v>1099</v>
      </c>
    </row>
    <row r="31570">
      <c r="B31570" s="31"/>
      <c r="G31570" s="272" t="s">
        <v>1099</v>
      </c>
    </row>
    <row r="31571">
      <c r="B31571" s="31"/>
      <c r="G31571" s="272" t="s">
        <v>1099</v>
      </c>
    </row>
    <row r="31572">
      <c r="B31572" s="31"/>
      <c r="G31572" s="272" t="s">
        <v>1099</v>
      </c>
    </row>
    <row r="31573">
      <c r="B31573" s="31"/>
      <c r="G31573" s="272" t="s">
        <v>1099</v>
      </c>
    </row>
    <row r="31574">
      <c r="B31574" s="31"/>
      <c r="G31574" s="272" t="s">
        <v>1099</v>
      </c>
    </row>
    <row r="31575">
      <c r="B31575" s="31"/>
      <c r="G31575" s="272" t="s">
        <v>1099</v>
      </c>
    </row>
    <row r="31576">
      <c r="B31576" s="31"/>
      <c r="G31576" s="272" t="s">
        <v>1099</v>
      </c>
    </row>
    <row r="31577">
      <c r="B31577" s="31"/>
      <c r="G31577" s="272" t="s">
        <v>1099</v>
      </c>
    </row>
    <row r="31578">
      <c r="B31578" s="31"/>
      <c r="G31578" s="272" t="s">
        <v>1099</v>
      </c>
    </row>
    <row r="31579">
      <c r="B31579" s="31"/>
      <c r="G31579" s="272" t="s">
        <v>1099</v>
      </c>
    </row>
    <row r="31580">
      <c r="B31580" s="31"/>
      <c r="G31580" s="272" t="s">
        <v>1099</v>
      </c>
    </row>
    <row r="31581">
      <c r="B31581" s="31"/>
      <c r="G31581" s="272" t="s">
        <v>1099</v>
      </c>
    </row>
    <row r="31582">
      <c r="B31582" s="31"/>
      <c r="G31582" s="272" t="s">
        <v>1099</v>
      </c>
    </row>
    <row r="31583">
      <c r="B31583" s="31"/>
      <c r="G31583" s="272" t="s">
        <v>1099</v>
      </c>
    </row>
    <row r="31584">
      <c r="B31584" s="31"/>
      <c r="G31584" s="272" t="s">
        <v>1099</v>
      </c>
    </row>
    <row r="31585">
      <c r="B31585" s="31"/>
      <c r="G31585" s="272" t="s">
        <v>1099</v>
      </c>
    </row>
    <row r="31586">
      <c r="B31586" s="31"/>
      <c r="G31586" s="272" t="s">
        <v>1099</v>
      </c>
    </row>
    <row r="31587">
      <c r="B31587" s="31"/>
      <c r="G31587" s="272" t="s">
        <v>1099</v>
      </c>
    </row>
    <row r="31588">
      <c r="B31588" s="31"/>
      <c r="G31588" s="272" t="s">
        <v>1099</v>
      </c>
    </row>
    <row r="31589">
      <c r="B31589" s="31"/>
      <c r="G31589" s="272" t="s">
        <v>1099</v>
      </c>
    </row>
    <row r="31590">
      <c r="B31590" s="31"/>
      <c r="G31590" s="272" t="s">
        <v>1099</v>
      </c>
    </row>
    <row r="31591">
      <c r="B31591" s="31"/>
      <c r="G31591" s="272" t="s">
        <v>1099</v>
      </c>
    </row>
    <row r="31592">
      <c r="B31592" s="31"/>
      <c r="G31592" s="272" t="s">
        <v>1099</v>
      </c>
    </row>
    <row r="31593">
      <c r="B31593" s="31"/>
      <c r="G31593" s="272" t="s">
        <v>1099</v>
      </c>
    </row>
    <row r="31594">
      <c r="B31594" s="31"/>
      <c r="G31594" s="272" t="s">
        <v>1099</v>
      </c>
    </row>
    <row r="31595">
      <c r="B31595" s="31"/>
      <c r="G31595" s="272" t="s">
        <v>1099</v>
      </c>
    </row>
    <row r="31596">
      <c r="B31596" s="31"/>
      <c r="G31596" s="272" t="s">
        <v>1099</v>
      </c>
    </row>
    <row r="31597">
      <c r="B31597" s="31"/>
      <c r="G31597" s="272" t="s">
        <v>1099</v>
      </c>
    </row>
    <row r="31598">
      <c r="B31598" s="31"/>
      <c r="G31598" s="272" t="s">
        <v>1099</v>
      </c>
    </row>
    <row r="31599">
      <c r="B31599" s="31"/>
      <c r="G31599" s="272" t="s">
        <v>1099</v>
      </c>
    </row>
    <row r="31600">
      <c r="B31600" s="31"/>
      <c r="G31600" s="272" t="s">
        <v>1099</v>
      </c>
    </row>
    <row r="31601">
      <c r="B31601" s="31"/>
      <c r="G31601" s="272" t="s">
        <v>1099</v>
      </c>
    </row>
    <row r="31602">
      <c r="B31602" s="31"/>
      <c r="G31602" s="272" t="s">
        <v>1099</v>
      </c>
    </row>
    <row r="31603">
      <c r="B31603" s="31"/>
      <c r="G31603" s="272" t="s">
        <v>1099</v>
      </c>
    </row>
    <row r="31604">
      <c r="B31604" s="31"/>
      <c r="G31604" s="272" t="s">
        <v>1099</v>
      </c>
    </row>
    <row r="31605">
      <c r="B31605" s="31"/>
      <c r="G31605" s="272" t="s">
        <v>1099</v>
      </c>
    </row>
    <row r="31606">
      <c r="B31606" s="31"/>
      <c r="G31606" s="272" t="s">
        <v>1099</v>
      </c>
    </row>
    <row r="31607">
      <c r="B31607" s="31"/>
      <c r="G31607" s="272" t="s">
        <v>1099</v>
      </c>
    </row>
    <row r="31608">
      <c r="B31608" s="31"/>
      <c r="G31608" s="272" t="s">
        <v>1099</v>
      </c>
    </row>
    <row r="31609">
      <c r="B31609" s="31"/>
      <c r="G31609" s="272" t="s">
        <v>1099</v>
      </c>
    </row>
    <row r="31610">
      <c r="B31610" s="31"/>
      <c r="G31610" s="272" t="s">
        <v>1099</v>
      </c>
    </row>
    <row r="31611">
      <c r="B31611" s="31"/>
      <c r="G31611" s="272" t="s">
        <v>1099</v>
      </c>
    </row>
    <row r="31612">
      <c r="B31612" s="31"/>
      <c r="G31612" s="272" t="s">
        <v>1099</v>
      </c>
    </row>
    <row r="31613">
      <c r="B31613" s="31"/>
      <c r="G31613" s="272" t="s">
        <v>1099</v>
      </c>
    </row>
    <row r="31614">
      <c r="B31614" s="31"/>
      <c r="G31614" s="272" t="s">
        <v>1099</v>
      </c>
    </row>
    <row r="31615">
      <c r="B31615" s="31"/>
      <c r="G31615" s="272" t="s">
        <v>1099</v>
      </c>
    </row>
    <row r="31616">
      <c r="B31616" s="31"/>
      <c r="G31616" s="272" t="s">
        <v>1099</v>
      </c>
    </row>
    <row r="31617">
      <c r="B31617" s="31"/>
      <c r="G31617" s="272" t="s">
        <v>1099</v>
      </c>
    </row>
    <row r="31618">
      <c r="B31618" s="31"/>
      <c r="G31618" s="272" t="s">
        <v>1099</v>
      </c>
    </row>
    <row r="31619">
      <c r="B31619" s="31"/>
      <c r="G31619" s="272" t="s">
        <v>1099</v>
      </c>
    </row>
    <row r="31620">
      <c r="B31620" s="31"/>
      <c r="G31620" s="272" t="s">
        <v>1099</v>
      </c>
    </row>
    <row r="31621">
      <c r="B31621" s="31"/>
      <c r="G31621" s="272" t="s">
        <v>1099</v>
      </c>
    </row>
    <row r="31622">
      <c r="B31622" s="31"/>
      <c r="G31622" s="272" t="s">
        <v>1099</v>
      </c>
    </row>
    <row r="31623">
      <c r="B31623" s="31"/>
      <c r="G31623" s="272" t="s">
        <v>1099</v>
      </c>
    </row>
    <row r="31624">
      <c r="B31624" s="31"/>
      <c r="G31624" s="272" t="s">
        <v>1099</v>
      </c>
    </row>
    <row r="31625">
      <c r="B31625" s="31"/>
      <c r="G31625" s="272" t="s">
        <v>1099</v>
      </c>
    </row>
    <row r="31626">
      <c r="B31626" s="31"/>
      <c r="G31626" s="272" t="s">
        <v>1099</v>
      </c>
    </row>
    <row r="31627">
      <c r="B31627" s="31"/>
      <c r="G31627" s="272" t="s">
        <v>1099</v>
      </c>
    </row>
    <row r="31628">
      <c r="B31628" s="31"/>
      <c r="G31628" s="272" t="s">
        <v>1099</v>
      </c>
    </row>
    <row r="31629">
      <c r="B31629" s="31"/>
      <c r="G31629" s="272" t="s">
        <v>1099</v>
      </c>
    </row>
    <row r="31630">
      <c r="B31630" s="31"/>
      <c r="G31630" s="272" t="s">
        <v>1099</v>
      </c>
    </row>
    <row r="31631">
      <c r="B31631" s="31"/>
      <c r="G31631" s="272" t="s">
        <v>1099</v>
      </c>
    </row>
    <row r="31632">
      <c r="B31632" s="31"/>
      <c r="G31632" s="272" t="s">
        <v>1099</v>
      </c>
    </row>
    <row r="31633">
      <c r="B31633" s="31"/>
      <c r="G31633" s="272" t="s">
        <v>1099</v>
      </c>
    </row>
    <row r="31634">
      <c r="B31634" s="31"/>
      <c r="G31634" s="272" t="s">
        <v>1099</v>
      </c>
    </row>
    <row r="31635">
      <c r="B31635" s="31"/>
      <c r="G31635" s="272" t="s">
        <v>1099</v>
      </c>
    </row>
    <row r="31636">
      <c r="B31636" s="31"/>
      <c r="G31636" s="272" t="s">
        <v>1099</v>
      </c>
    </row>
    <row r="31637">
      <c r="B31637" s="31"/>
      <c r="G31637" s="272" t="s">
        <v>1099</v>
      </c>
    </row>
    <row r="31638">
      <c r="B31638" s="31"/>
      <c r="G31638" s="272" t="s">
        <v>1099</v>
      </c>
    </row>
    <row r="31639">
      <c r="B31639" s="31"/>
      <c r="G31639" s="272" t="s">
        <v>1099</v>
      </c>
    </row>
    <row r="31640">
      <c r="B31640" s="31"/>
      <c r="G31640" s="272" t="s">
        <v>1099</v>
      </c>
    </row>
    <row r="31641">
      <c r="B31641" s="31"/>
      <c r="G31641" s="272" t="s">
        <v>1099</v>
      </c>
    </row>
    <row r="31642">
      <c r="B31642" s="31"/>
      <c r="G31642" s="272" t="s">
        <v>1099</v>
      </c>
    </row>
    <row r="31643">
      <c r="B31643" s="31"/>
      <c r="G31643" s="272" t="s">
        <v>1099</v>
      </c>
    </row>
    <row r="31644">
      <c r="B31644" s="31"/>
      <c r="G31644" s="272" t="s">
        <v>1099</v>
      </c>
    </row>
    <row r="31645">
      <c r="B31645" s="31"/>
      <c r="G31645" s="272" t="s">
        <v>1099</v>
      </c>
    </row>
    <row r="31646">
      <c r="B31646" s="31"/>
      <c r="G31646" s="272" t="s">
        <v>1099</v>
      </c>
    </row>
    <row r="31647">
      <c r="B31647" s="31"/>
      <c r="G31647" s="272" t="s">
        <v>1099</v>
      </c>
    </row>
    <row r="31648">
      <c r="B31648" s="31"/>
      <c r="G31648" s="272" t="s">
        <v>1099</v>
      </c>
    </row>
    <row r="31649">
      <c r="B31649" s="31"/>
      <c r="G31649" s="272" t="s">
        <v>1099</v>
      </c>
    </row>
    <row r="31650">
      <c r="B31650" s="31"/>
      <c r="G31650" s="272" t="s">
        <v>1099</v>
      </c>
    </row>
    <row r="31651">
      <c r="B31651" s="31"/>
      <c r="G31651" s="272" t="s">
        <v>1099</v>
      </c>
    </row>
    <row r="31652">
      <c r="B31652" s="31"/>
      <c r="G31652" s="272" t="s">
        <v>1099</v>
      </c>
    </row>
    <row r="31653">
      <c r="B31653" s="31"/>
      <c r="G31653" s="272" t="s">
        <v>1099</v>
      </c>
    </row>
    <row r="31654">
      <c r="B31654" s="31"/>
      <c r="G31654" s="272" t="s">
        <v>1099</v>
      </c>
    </row>
    <row r="31655">
      <c r="B31655" s="31"/>
      <c r="G31655" s="272" t="s">
        <v>1099</v>
      </c>
    </row>
    <row r="31656">
      <c r="B31656" s="31"/>
      <c r="G31656" s="272" t="s">
        <v>1099</v>
      </c>
    </row>
    <row r="31657">
      <c r="B31657" s="31"/>
      <c r="G31657" s="272" t="s">
        <v>1099</v>
      </c>
    </row>
    <row r="31658">
      <c r="B31658" s="31"/>
      <c r="G31658" s="272" t="s">
        <v>1099</v>
      </c>
    </row>
    <row r="31659">
      <c r="B31659" s="31"/>
      <c r="G31659" s="272" t="s">
        <v>1099</v>
      </c>
    </row>
    <row r="31660">
      <c r="B31660" s="31"/>
      <c r="G31660" s="272" t="s">
        <v>1099</v>
      </c>
    </row>
    <row r="31661">
      <c r="B31661" s="31"/>
      <c r="G31661" s="272" t="s">
        <v>1099</v>
      </c>
    </row>
    <row r="31662">
      <c r="B31662" s="31"/>
      <c r="G31662" s="272" t="s">
        <v>1099</v>
      </c>
    </row>
    <row r="31663">
      <c r="B31663" s="31"/>
      <c r="G31663" s="272" t="s">
        <v>1099</v>
      </c>
    </row>
    <row r="31664">
      <c r="B31664" s="31"/>
      <c r="G31664" s="272" t="s">
        <v>1099</v>
      </c>
    </row>
    <row r="31665">
      <c r="B31665" s="31"/>
      <c r="G31665" s="272" t="s">
        <v>1099</v>
      </c>
    </row>
    <row r="31666">
      <c r="B31666" s="31"/>
      <c r="G31666" s="272" t="s">
        <v>1099</v>
      </c>
    </row>
    <row r="31667">
      <c r="B31667" s="31"/>
      <c r="G31667" s="272" t="s">
        <v>1099</v>
      </c>
    </row>
    <row r="31668">
      <c r="B31668" s="31"/>
      <c r="G31668" s="272" t="s">
        <v>1099</v>
      </c>
    </row>
    <row r="31669">
      <c r="B31669" s="31"/>
      <c r="G31669" s="272" t="s">
        <v>1099</v>
      </c>
    </row>
    <row r="31670">
      <c r="B31670" s="31"/>
      <c r="G31670" s="272" t="s">
        <v>1099</v>
      </c>
    </row>
    <row r="31671">
      <c r="B31671" s="31"/>
      <c r="G31671" s="272" t="s">
        <v>1099</v>
      </c>
    </row>
    <row r="31672">
      <c r="B31672" s="31"/>
      <c r="G31672" s="272" t="s">
        <v>1099</v>
      </c>
    </row>
    <row r="31673">
      <c r="B31673" s="31"/>
      <c r="G31673" s="272" t="s">
        <v>1099</v>
      </c>
    </row>
    <row r="31674">
      <c r="B31674" s="31"/>
      <c r="G31674" s="272" t="s">
        <v>1099</v>
      </c>
    </row>
    <row r="31675">
      <c r="B31675" s="31"/>
      <c r="G31675" s="272" t="s">
        <v>1099</v>
      </c>
    </row>
    <row r="31676">
      <c r="B31676" s="31"/>
      <c r="G31676" s="272" t="s">
        <v>1099</v>
      </c>
    </row>
    <row r="31677">
      <c r="B31677" s="31"/>
      <c r="G31677" s="272" t="s">
        <v>1099</v>
      </c>
    </row>
    <row r="31678">
      <c r="B31678" s="31"/>
      <c r="G31678" s="272" t="s">
        <v>1099</v>
      </c>
    </row>
    <row r="31679">
      <c r="B31679" s="31"/>
      <c r="G31679" s="272" t="s">
        <v>1099</v>
      </c>
    </row>
    <row r="31680">
      <c r="B31680" s="31"/>
      <c r="G31680" s="272" t="s">
        <v>1099</v>
      </c>
    </row>
    <row r="31681">
      <c r="B31681" s="31"/>
      <c r="G31681" s="272" t="s">
        <v>1099</v>
      </c>
    </row>
    <row r="31682">
      <c r="B31682" s="31"/>
      <c r="G31682" s="272" t="s">
        <v>1099</v>
      </c>
    </row>
    <row r="31683">
      <c r="B31683" s="31"/>
      <c r="G31683" s="272" t="s">
        <v>1099</v>
      </c>
    </row>
    <row r="31684">
      <c r="B31684" s="31"/>
      <c r="G31684" s="272" t="s">
        <v>1099</v>
      </c>
    </row>
    <row r="31685">
      <c r="B31685" s="31"/>
      <c r="G31685" s="272" t="s">
        <v>1099</v>
      </c>
    </row>
    <row r="31686">
      <c r="B31686" s="31"/>
      <c r="G31686" s="272" t="s">
        <v>1099</v>
      </c>
    </row>
    <row r="31687">
      <c r="B31687" s="31"/>
      <c r="G31687" s="272" t="s">
        <v>1099</v>
      </c>
    </row>
    <row r="31688">
      <c r="B31688" s="31"/>
      <c r="G31688" s="272" t="s">
        <v>1099</v>
      </c>
    </row>
    <row r="31689">
      <c r="B31689" s="31"/>
      <c r="G31689" s="272" t="s">
        <v>1099</v>
      </c>
    </row>
    <row r="31690">
      <c r="B31690" s="31"/>
      <c r="G31690" s="272" t="s">
        <v>1099</v>
      </c>
    </row>
    <row r="31691">
      <c r="B31691" s="31"/>
      <c r="G31691" s="272" t="s">
        <v>1099</v>
      </c>
    </row>
    <row r="31692">
      <c r="B31692" s="31"/>
      <c r="G31692" s="272" t="s">
        <v>1099</v>
      </c>
    </row>
    <row r="31693">
      <c r="B31693" s="31"/>
      <c r="G31693" s="272" t="s">
        <v>1099</v>
      </c>
    </row>
    <row r="31694">
      <c r="B31694" s="31"/>
      <c r="G31694" s="272" t="s">
        <v>1099</v>
      </c>
    </row>
    <row r="31695">
      <c r="B31695" s="31"/>
      <c r="G31695" s="272" t="s">
        <v>1099</v>
      </c>
    </row>
    <row r="31696">
      <c r="B31696" s="31"/>
      <c r="G31696" s="272" t="s">
        <v>1099</v>
      </c>
    </row>
    <row r="31697">
      <c r="B31697" s="31"/>
      <c r="G31697" s="272" t="s">
        <v>1099</v>
      </c>
    </row>
    <row r="31698">
      <c r="B31698" s="31"/>
      <c r="G31698" s="272" t="s">
        <v>1099</v>
      </c>
    </row>
    <row r="31699">
      <c r="B31699" s="31"/>
      <c r="G31699" s="272" t="s">
        <v>1099</v>
      </c>
    </row>
    <row r="31700">
      <c r="B31700" s="31"/>
      <c r="G31700" s="272" t="s">
        <v>1099</v>
      </c>
    </row>
    <row r="31701">
      <c r="B31701" s="31"/>
      <c r="G31701" s="272" t="s">
        <v>1099</v>
      </c>
    </row>
    <row r="31702">
      <c r="B31702" s="31"/>
      <c r="G31702" s="272" t="s">
        <v>1099</v>
      </c>
    </row>
    <row r="31703">
      <c r="B31703" s="31"/>
      <c r="G31703" s="272" t="s">
        <v>1099</v>
      </c>
    </row>
    <row r="31704">
      <c r="B31704" s="31"/>
      <c r="G31704" s="272" t="s">
        <v>1099</v>
      </c>
    </row>
    <row r="31705">
      <c r="B31705" s="31"/>
      <c r="G31705" s="272" t="s">
        <v>1099</v>
      </c>
    </row>
    <row r="31706">
      <c r="B31706" s="31"/>
      <c r="G31706" s="272" t="s">
        <v>1099</v>
      </c>
    </row>
    <row r="31707">
      <c r="B31707" s="31"/>
      <c r="G31707" s="272" t="s">
        <v>1099</v>
      </c>
    </row>
    <row r="31708">
      <c r="B31708" s="31"/>
      <c r="G31708" s="272" t="s">
        <v>1099</v>
      </c>
    </row>
    <row r="31709">
      <c r="B31709" s="31"/>
      <c r="G31709" s="272" t="s">
        <v>1099</v>
      </c>
    </row>
    <row r="31710">
      <c r="B31710" s="31"/>
      <c r="G31710" s="272" t="s">
        <v>1099</v>
      </c>
    </row>
    <row r="31711">
      <c r="B31711" s="31"/>
      <c r="G31711" s="272" t="s">
        <v>1099</v>
      </c>
    </row>
    <row r="31712">
      <c r="B31712" s="31"/>
      <c r="G31712" s="272" t="s">
        <v>1099</v>
      </c>
    </row>
    <row r="31713">
      <c r="B31713" s="31"/>
      <c r="G31713" s="272" t="s">
        <v>1099</v>
      </c>
    </row>
    <row r="31714">
      <c r="B31714" s="31"/>
      <c r="G31714" s="272" t="s">
        <v>1099</v>
      </c>
    </row>
    <row r="31715">
      <c r="B31715" s="31"/>
      <c r="G31715" s="272" t="s">
        <v>1099</v>
      </c>
    </row>
    <row r="31716">
      <c r="B31716" s="31"/>
      <c r="G31716" s="272" t="s">
        <v>1099</v>
      </c>
    </row>
    <row r="31717">
      <c r="B31717" s="31"/>
      <c r="G31717" s="272" t="s">
        <v>1099</v>
      </c>
    </row>
    <row r="31718">
      <c r="B31718" s="31"/>
      <c r="G31718" s="272" t="s">
        <v>1099</v>
      </c>
    </row>
    <row r="31719">
      <c r="B31719" s="31"/>
      <c r="G31719" s="272" t="s">
        <v>1099</v>
      </c>
    </row>
    <row r="31720">
      <c r="B31720" s="31"/>
      <c r="G31720" s="272" t="s">
        <v>1099</v>
      </c>
    </row>
    <row r="31721">
      <c r="B31721" s="31"/>
      <c r="G31721" s="272" t="s">
        <v>1099</v>
      </c>
    </row>
    <row r="31722">
      <c r="B31722" s="31"/>
      <c r="G31722" s="272" t="s">
        <v>1099</v>
      </c>
    </row>
    <row r="31723">
      <c r="B31723" s="31"/>
      <c r="G31723" s="272" t="s">
        <v>1099</v>
      </c>
    </row>
    <row r="31724">
      <c r="B31724" s="31"/>
      <c r="G31724" s="272" t="s">
        <v>1099</v>
      </c>
    </row>
    <row r="31725">
      <c r="B31725" s="31"/>
      <c r="G31725" s="272" t="s">
        <v>1099</v>
      </c>
    </row>
    <row r="31726">
      <c r="B31726" s="31"/>
      <c r="G31726" s="272" t="s">
        <v>1099</v>
      </c>
    </row>
    <row r="31727">
      <c r="B31727" s="31"/>
      <c r="G31727" s="272" t="s">
        <v>1099</v>
      </c>
    </row>
    <row r="31728">
      <c r="B31728" s="31"/>
      <c r="G31728" s="272" t="s">
        <v>1099</v>
      </c>
    </row>
    <row r="31729">
      <c r="B31729" s="31"/>
      <c r="G31729" s="272" t="s">
        <v>1099</v>
      </c>
    </row>
    <row r="31730">
      <c r="B31730" s="31"/>
      <c r="G31730" s="272" t="s">
        <v>1099</v>
      </c>
    </row>
    <row r="31731">
      <c r="B31731" s="31"/>
      <c r="G31731" s="272" t="s">
        <v>1099</v>
      </c>
    </row>
    <row r="31732">
      <c r="B31732" s="31"/>
      <c r="G31732" s="272" t="s">
        <v>1099</v>
      </c>
    </row>
    <row r="31733">
      <c r="B31733" s="31"/>
      <c r="G31733" s="272" t="s">
        <v>1099</v>
      </c>
    </row>
    <row r="31734">
      <c r="B31734" s="31"/>
      <c r="G31734" s="272" t="s">
        <v>1099</v>
      </c>
    </row>
    <row r="31735">
      <c r="B31735" s="31"/>
      <c r="G31735" s="272" t="s">
        <v>1099</v>
      </c>
    </row>
    <row r="31736">
      <c r="B31736" s="31"/>
      <c r="G31736" s="272" t="s">
        <v>1099</v>
      </c>
    </row>
    <row r="31737">
      <c r="B31737" s="31"/>
      <c r="G31737" s="272" t="s">
        <v>1099</v>
      </c>
    </row>
    <row r="31738">
      <c r="B31738" s="31"/>
      <c r="G31738" s="272" t="s">
        <v>1099</v>
      </c>
    </row>
    <row r="31739">
      <c r="B31739" s="31"/>
      <c r="G31739" s="272" t="s">
        <v>1099</v>
      </c>
    </row>
    <row r="31740">
      <c r="B31740" s="31"/>
      <c r="G31740" s="272" t="s">
        <v>1099</v>
      </c>
    </row>
    <row r="31741">
      <c r="B31741" s="31"/>
      <c r="G31741" s="272" t="s">
        <v>1099</v>
      </c>
    </row>
    <row r="31742">
      <c r="B31742" s="31"/>
      <c r="G31742" s="272" t="s">
        <v>1099</v>
      </c>
    </row>
    <row r="31743">
      <c r="B31743" s="31"/>
      <c r="G31743" s="272" t="s">
        <v>1099</v>
      </c>
    </row>
    <row r="31744">
      <c r="B31744" s="31"/>
      <c r="G31744" s="272" t="s">
        <v>1099</v>
      </c>
    </row>
    <row r="31745">
      <c r="B31745" s="31"/>
      <c r="G31745" s="272" t="s">
        <v>1099</v>
      </c>
    </row>
    <row r="31746">
      <c r="B31746" s="31"/>
      <c r="G31746" s="272" t="s">
        <v>1099</v>
      </c>
    </row>
    <row r="31747">
      <c r="B31747" s="31"/>
      <c r="G31747" s="272" t="s">
        <v>1099</v>
      </c>
    </row>
    <row r="31748">
      <c r="B31748" s="31"/>
      <c r="G31748" s="272" t="s">
        <v>1099</v>
      </c>
    </row>
    <row r="31749">
      <c r="B31749" s="31"/>
      <c r="G31749" s="272" t="s">
        <v>1099</v>
      </c>
    </row>
    <row r="31750">
      <c r="B31750" s="31"/>
      <c r="G31750" s="272" t="s">
        <v>1099</v>
      </c>
    </row>
    <row r="31751">
      <c r="B31751" s="31"/>
      <c r="G31751" s="272" t="s">
        <v>1099</v>
      </c>
    </row>
    <row r="31752">
      <c r="B31752" s="31"/>
      <c r="G31752" s="272" t="s">
        <v>1099</v>
      </c>
    </row>
    <row r="31753">
      <c r="B31753" s="31"/>
      <c r="G31753" s="272" t="s">
        <v>1099</v>
      </c>
    </row>
    <row r="31754">
      <c r="B31754" s="31"/>
      <c r="G31754" s="272" t="s">
        <v>1099</v>
      </c>
    </row>
    <row r="31755">
      <c r="B31755" s="31"/>
      <c r="G31755" s="272" t="s">
        <v>1099</v>
      </c>
    </row>
    <row r="31756">
      <c r="B31756" s="31"/>
      <c r="G31756" s="272" t="s">
        <v>1099</v>
      </c>
    </row>
    <row r="31757">
      <c r="B31757" s="31"/>
      <c r="G31757" s="272" t="s">
        <v>1099</v>
      </c>
    </row>
    <row r="31758">
      <c r="B31758" s="31"/>
      <c r="G31758" s="272" t="s">
        <v>1099</v>
      </c>
    </row>
    <row r="31759">
      <c r="B31759" s="31"/>
      <c r="G31759" s="272" t="s">
        <v>1099</v>
      </c>
    </row>
    <row r="31760">
      <c r="B31760" s="31"/>
      <c r="G31760" s="272" t="s">
        <v>1099</v>
      </c>
    </row>
    <row r="31761">
      <c r="B31761" s="31"/>
      <c r="G31761" s="272" t="s">
        <v>1099</v>
      </c>
    </row>
    <row r="31762">
      <c r="B31762" s="31"/>
      <c r="G31762" s="272" t="s">
        <v>1099</v>
      </c>
    </row>
    <row r="31763">
      <c r="B31763" s="31"/>
      <c r="G31763" s="272" t="s">
        <v>1099</v>
      </c>
    </row>
    <row r="31764">
      <c r="B31764" s="31"/>
      <c r="G31764" s="272" t="s">
        <v>1099</v>
      </c>
    </row>
    <row r="31765">
      <c r="B31765" s="31"/>
      <c r="G31765" s="272" t="s">
        <v>1099</v>
      </c>
    </row>
    <row r="31766">
      <c r="B31766" s="31"/>
      <c r="G31766" s="272" t="s">
        <v>1099</v>
      </c>
    </row>
    <row r="31767">
      <c r="B31767" s="31"/>
      <c r="G31767" s="272" t="s">
        <v>1099</v>
      </c>
    </row>
    <row r="31768">
      <c r="B31768" s="31"/>
      <c r="G31768" s="272" t="s">
        <v>1099</v>
      </c>
    </row>
    <row r="31769">
      <c r="B31769" s="31"/>
      <c r="G31769" s="272" t="s">
        <v>1099</v>
      </c>
    </row>
    <row r="31770">
      <c r="B31770" s="31"/>
      <c r="G31770" s="272" t="s">
        <v>1099</v>
      </c>
    </row>
    <row r="31771">
      <c r="B31771" s="31"/>
      <c r="G31771" s="272" t="s">
        <v>1099</v>
      </c>
    </row>
    <row r="31772">
      <c r="B31772" s="31"/>
      <c r="G31772" s="272" t="s">
        <v>1099</v>
      </c>
    </row>
    <row r="31773">
      <c r="B31773" s="31"/>
      <c r="G31773" s="272" t="s">
        <v>1099</v>
      </c>
    </row>
    <row r="31774">
      <c r="B31774" s="31"/>
      <c r="G31774" s="272" t="s">
        <v>1099</v>
      </c>
    </row>
    <row r="31775">
      <c r="B31775" s="31"/>
      <c r="G31775" s="272" t="s">
        <v>1099</v>
      </c>
    </row>
    <row r="31776">
      <c r="B31776" s="31"/>
      <c r="G31776" s="272" t="s">
        <v>1099</v>
      </c>
    </row>
    <row r="31777">
      <c r="B31777" s="31"/>
      <c r="G31777" s="272" t="s">
        <v>1099</v>
      </c>
    </row>
    <row r="31778">
      <c r="B31778" s="31"/>
      <c r="G31778" s="272" t="s">
        <v>1099</v>
      </c>
    </row>
    <row r="31779">
      <c r="B31779" s="31"/>
      <c r="G31779" s="272" t="s">
        <v>1099</v>
      </c>
    </row>
    <row r="31780">
      <c r="B31780" s="31"/>
      <c r="G31780" s="272" t="s">
        <v>1099</v>
      </c>
    </row>
    <row r="31781">
      <c r="B31781" s="31"/>
      <c r="G31781" s="272" t="s">
        <v>1099</v>
      </c>
    </row>
    <row r="31782">
      <c r="B31782" s="31"/>
      <c r="G31782" s="272" t="s">
        <v>1099</v>
      </c>
    </row>
    <row r="31783">
      <c r="B31783" s="31"/>
      <c r="G31783" s="272" t="s">
        <v>1099</v>
      </c>
    </row>
    <row r="31784">
      <c r="B31784" s="31"/>
      <c r="G31784" s="272" t="s">
        <v>1099</v>
      </c>
    </row>
    <row r="31785">
      <c r="B31785" s="31"/>
      <c r="G31785" s="272" t="s">
        <v>1099</v>
      </c>
    </row>
    <row r="31786">
      <c r="B31786" s="31"/>
      <c r="G31786" s="272" t="s">
        <v>1099</v>
      </c>
    </row>
    <row r="31787">
      <c r="B31787" s="31"/>
      <c r="G31787" s="272" t="s">
        <v>1099</v>
      </c>
    </row>
    <row r="31788">
      <c r="B31788" s="31"/>
      <c r="G31788" s="272" t="s">
        <v>1099</v>
      </c>
    </row>
    <row r="31789">
      <c r="B31789" s="31"/>
      <c r="G31789" s="272" t="s">
        <v>1099</v>
      </c>
    </row>
    <row r="31790">
      <c r="B31790" s="31"/>
      <c r="G31790" s="272" t="s">
        <v>1099</v>
      </c>
    </row>
    <row r="31791">
      <c r="B31791" s="31"/>
      <c r="G31791" s="272" t="s">
        <v>1099</v>
      </c>
    </row>
    <row r="31792">
      <c r="B31792" s="31"/>
      <c r="G31792" s="272" t="s">
        <v>1099</v>
      </c>
    </row>
    <row r="31793">
      <c r="B31793" s="31"/>
      <c r="G31793" s="272" t="s">
        <v>1099</v>
      </c>
    </row>
    <row r="31794">
      <c r="B31794" s="31"/>
      <c r="G31794" s="272" t="s">
        <v>1099</v>
      </c>
    </row>
    <row r="31795">
      <c r="B31795" s="31"/>
      <c r="G31795" s="272" t="s">
        <v>1099</v>
      </c>
    </row>
    <row r="31796">
      <c r="B31796" s="31"/>
      <c r="G31796" s="272" t="s">
        <v>1099</v>
      </c>
    </row>
    <row r="31797">
      <c r="B31797" s="31"/>
      <c r="G31797" s="272" t="s">
        <v>1099</v>
      </c>
    </row>
    <row r="31798">
      <c r="B31798" s="31"/>
      <c r="G31798" s="272" t="s">
        <v>1099</v>
      </c>
    </row>
    <row r="31799">
      <c r="B31799" s="31"/>
      <c r="G31799" s="272" t="s">
        <v>1099</v>
      </c>
    </row>
    <row r="31800">
      <c r="B31800" s="31"/>
      <c r="G31800" s="272" t="s">
        <v>1099</v>
      </c>
    </row>
    <row r="31801">
      <c r="B31801" s="31"/>
      <c r="G31801" s="272" t="s">
        <v>1099</v>
      </c>
    </row>
    <row r="31802">
      <c r="B31802" s="31"/>
      <c r="G31802" s="272" t="s">
        <v>1099</v>
      </c>
    </row>
    <row r="31803">
      <c r="B31803" s="31"/>
      <c r="G31803" s="272" t="s">
        <v>1099</v>
      </c>
    </row>
    <row r="31804">
      <c r="B31804" s="31"/>
      <c r="G31804" s="272" t="s">
        <v>1099</v>
      </c>
    </row>
    <row r="31805">
      <c r="B31805" s="31"/>
      <c r="G31805" s="272" t="s">
        <v>1099</v>
      </c>
    </row>
    <row r="31806">
      <c r="B31806" s="31"/>
      <c r="G31806" s="272" t="s">
        <v>1099</v>
      </c>
    </row>
    <row r="31807">
      <c r="B31807" s="31"/>
      <c r="G31807" s="272" t="s">
        <v>1099</v>
      </c>
    </row>
    <row r="31808">
      <c r="B31808" s="31"/>
      <c r="G31808" s="272" t="s">
        <v>1099</v>
      </c>
    </row>
    <row r="31809">
      <c r="B31809" s="31"/>
      <c r="G31809" s="272" t="s">
        <v>1099</v>
      </c>
    </row>
    <row r="31810">
      <c r="B31810" s="31"/>
      <c r="G31810" s="272" t="s">
        <v>1099</v>
      </c>
    </row>
    <row r="31811">
      <c r="B31811" s="31"/>
      <c r="G31811" s="272" t="s">
        <v>1099</v>
      </c>
    </row>
    <row r="31812">
      <c r="B31812" s="31"/>
      <c r="G31812" s="272" t="s">
        <v>1099</v>
      </c>
    </row>
    <row r="31813">
      <c r="B31813" s="31"/>
      <c r="G31813" s="272" t="s">
        <v>1099</v>
      </c>
    </row>
    <row r="31814">
      <c r="B31814" s="31"/>
      <c r="G31814" s="272" t="s">
        <v>1099</v>
      </c>
    </row>
    <row r="31815">
      <c r="B31815" s="31"/>
      <c r="G31815" s="272" t="s">
        <v>1099</v>
      </c>
    </row>
    <row r="31816">
      <c r="B31816" s="31"/>
      <c r="G31816" s="272" t="s">
        <v>1099</v>
      </c>
    </row>
    <row r="31817">
      <c r="B31817" s="31"/>
      <c r="G31817" s="272" t="s">
        <v>1099</v>
      </c>
    </row>
    <row r="31818">
      <c r="B31818" s="31"/>
      <c r="G31818" s="272" t="s">
        <v>1099</v>
      </c>
    </row>
    <row r="31819">
      <c r="B31819" s="31"/>
      <c r="G31819" s="272" t="s">
        <v>1099</v>
      </c>
    </row>
    <row r="31820">
      <c r="B31820" s="31"/>
      <c r="G31820" s="272" t="s">
        <v>1099</v>
      </c>
    </row>
    <row r="31821">
      <c r="B31821" s="31"/>
      <c r="G31821" s="272" t="s">
        <v>1099</v>
      </c>
    </row>
    <row r="31822">
      <c r="B31822" s="31"/>
      <c r="G31822" s="272" t="s">
        <v>1099</v>
      </c>
    </row>
    <row r="31823">
      <c r="B31823" s="31"/>
      <c r="G31823" s="272" t="s">
        <v>1099</v>
      </c>
    </row>
    <row r="31824">
      <c r="B31824" s="31"/>
      <c r="G31824" s="272" t="s">
        <v>1099</v>
      </c>
    </row>
    <row r="31825">
      <c r="B31825" s="31"/>
      <c r="G31825" s="272" t="s">
        <v>1099</v>
      </c>
    </row>
    <row r="31826">
      <c r="B31826" s="31"/>
      <c r="G31826" s="272" t="s">
        <v>1099</v>
      </c>
    </row>
    <row r="31827">
      <c r="B31827" s="31"/>
      <c r="G31827" s="272" t="s">
        <v>1099</v>
      </c>
    </row>
    <row r="31828">
      <c r="B31828" s="31"/>
      <c r="G31828" s="272" t="s">
        <v>1099</v>
      </c>
    </row>
    <row r="31829">
      <c r="B31829" s="31"/>
      <c r="G31829" s="272" t="s">
        <v>1099</v>
      </c>
    </row>
    <row r="31830">
      <c r="B31830" s="31"/>
      <c r="G31830" s="272" t="s">
        <v>1099</v>
      </c>
    </row>
    <row r="31831">
      <c r="B31831" s="31"/>
      <c r="G31831" s="272" t="s">
        <v>1099</v>
      </c>
    </row>
    <row r="31832">
      <c r="B31832" s="31"/>
      <c r="G31832" s="272" t="s">
        <v>1099</v>
      </c>
    </row>
    <row r="31833">
      <c r="B31833" s="31"/>
      <c r="G31833" s="272" t="s">
        <v>1099</v>
      </c>
    </row>
    <row r="31834">
      <c r="B31834" s="31"/>
      <c r="G31834" s="272" t="s">
        <v>1099</v>
      </c>
    </row>
    <row r="31835">
      <c r="B31835" s="31"/>
      <c r="G31835" s="272" t="s">
        <v>1099</v>
      </c>
    </row>
    <row r="31836">
      <c r="B31836" s="31"/>
      <c r="G31836" s="272" t="s">
        <v>1099</v>
      </c>
    </row>
    <row r="31837">
      <c r="B31837" s="31"/>
      <c r="G31837" s="272" t="s">
        <v>1099</v>
      </c>
    </row>
    <row r="31838">
      <c r="B31838" s="31"/>
      <c r="G31838" s="272" t="s">
        <v>1099</v>
      </c>
    </row>
    <row r="31839">
      <c r="B31839" s="31"/>
      <c r="G31839" s="272" t="s">
        <v>1099</v>
      </c>
    </row>
    <row r="31840">
      <c r="B31840" s="31"/>
      <c r="G31840" s="272" t="s">
        <v>1099</v>
      </c>
    </row>
    <row r="31841">
      <c r="B31841" s="31"/>
      <c r="G31841" s="272" t="s">
        <v>1099</v>
      </c>
    </row>
    <row r="31842">
      <c r="B31842" s="31"/>
      <c r="G31842" s="272" t="s">
        <v>1099</v>
      </c>
    </row>
    <row r="31843">
      <c r="B31843" s="31"/>
      <c r="G31843" s="272" t="s">
        <v>1099</v>
      </c>
    </row>
    <row r="31844">
      <c r="B31844" s="31"/>
      <c r="G31844" s="272" t="s">
        <v>1099</v>
      </c>
    </row>
    <row r="31845">
      <c r="B31845" s="31"/>
      <c r="G31845" s="272" t="s">
        <v>1099</v>
      </c>
    </row>
    <row r="31846">
      <c r="B31846" s="31"/>
      <c r="G31846" s="272" t="s">
        <v>1099</v>
      </c>
    </row>
    <row r="31847">
      <c r="B31847" s="31"/>
      <c r="G31847" s="272" t="s">
        <v>1099</v>
      </c>
    </row>
    <row r="31848">
      <c r="B31848" s="31"/>
      <c r="G31848" s="272" t="s">
        <v>1099</v>
      </c>
    </row>
    <row r="31849">
      <c r="B31849" s="31"/>
      <c r="G31849" s="272" t="s">
        <v>1099</v>
      </c>
    </row>
    <row r="31850">
      <c r="B31850" s="31"/>
      <c r="G31850" s="272" t="s">
        <v>1099</v>
      </c>
    </row>
    <row r="31851">
      <c r="B31851" s="31"/>
      <c r="G31851" s="272" t="s">
        <v>1099</v>
      </c>
    </row>
    <row r="31852">
      <c r="B31852" s="31"/>
      <c r="G31852" s="272" t="s">
        <v>1099</v>
      </c>
    </row>
    <row r="31853">
      <c r="B31853" s="31"/>
      <c r="G31853" s="272" t="s">
        <v>1099</v>
      </c>
    </row>
    <row r="31854">
      <c r="B31854" s="31"/>
      <c r="G31854" s="272" t="s">
        <v>1099</v>
      </c>
    </row>
    <row r="31855">
      <c r="B31855" s="31"/>
      <c r="G31855" s="272" t="s">
        <v>1099</v>
      </c>
    </row>
    <row r="31856">
      <c r="B31856" s="31"/>
      <c r="G31856" s="272" t="s">
        <v>1099</v>
      </c>
    </row>
    <row r="31857">
      <c r="B31857" s="31"/>
      <c r="G31857" s="272" t="s">
        <v>1099</v>
      </c>
    </row>
    <row r="31858">
      <c r="B31858" s="31"/>
      <c r="G31858" s="272" t="s">
        <v>1099</v>
      </c>
    </row>
    <row r="31859">
      <c r="B31859" s="31"/>
      <c r="G31859" s="272" t="s">
        <v>1099</v>
      </c>
    </row>
    <row r="31860">
      <c r="B31860" s="31"/>
      <c r="G31860" s="272" t="s">
        <v>1099</v>
      </c>
    </row>
    <row r="31861">
      <c r="B31861" s="31"/>
      <c r="G31861" s="272" t="s">
        <v>1099</v>
      </c>
    </row>
    <row r="31862">
      <c r="B31862" s="31"/>
      <c r="G31862" s="272" t="s">
        <v>1099</v>
      </c>
    </row>
    <row r="31863">
      <c r="B31863" s="31"/>
      <c r="G31863" s="272" t="s">
        <v>1099</v>
      </c>
    </row>
    <row r="31864">
      <c r="B31864" s="31"/>
      <c r="G31864" s="272" t="s">
        <v>1099</v>
      </c>
    </row>
    <row r="31865">
      <c r="B31865" s="31"/>
      <c r="G31865" s="272" t="s">
        <v>1099</v>
      </c>
    </row>
    <row r="31866">
      <c r="B31866" s="31"/>
      <c r="G31866" s="272" t="s">
        <v>1099</v>
      </c>
    </row>
    <row r="31867">
      <c r="B31867" s="31"/>
      <c r="G31867" s="272" t="s">
        <v>1099</v>
      </c>
    </row>
    <row r="31868">
      <c r="B31868" s="31"/>
      <c r="G31868" s="272" t="s">
        <v>1099</v>
      </c>
    </row>
    <row r="31869">
      <c r="B31869" s="31"/>
      <c r="G31869" s="272" t="s">
        <v>1099</v>
      </c>
    </row>
    <row r="31870">
      <c r="B31870" s="31"/>
      <c r="G31870" s="272" t="s">
        <v>1099</v>
      </c>
    </row>
    <row r="31871">
      <c r="B31871" s="31"/>
      <c r="G31871" s="272" t="s">
        <v>1099</v>
      </c>
    </row>
    <row r="31872">
      <c r="B31872" s="31"/>
      <c r="G31872" s="272" t="s">
        <v>1099</v>
      </c>
    </row>
    <row r="31873">
      <c r="B31873" s="31"/>
      <c r="G31873" s="272" t="s">
        <v>1099</v>
      </c>
    </row>
    <row r="31874">
      <c r="B31874" s="31"/>
      <c r="G31874" s="272" t="s">
        <v>1099</v>
      </c>
    </row>
    <row r="31875">
      <c r="B31875" s="31"/>
      <c r="G31875" s="272" t="s">
        <v>1099</v>
      </c>
    </row>
    <row r="31876">
      <c r="B31876" s="31"/>
      <c r="G31876" s="272" t="s">
        <v>1099</v>
      </c>
    </row>
    <row r="31877">
      <c r="B31877" s="31"/>
      <c r="G31877" s="272" t="s">
        <v>1099</v>
      </c>
    </row>
    <row r="31878">
      <c r="B31878" s="31"/>
      <c r="G31878" s="272" t="s">
        <v>1099</v>
      </c>
    </row>
    <row r="31879">
      <c r="B31879" s="31"/>
      <c r="G31879" s="272" t="s">
        <v>1099</v>
      </c>
    </row>
    <row r="31880">
      <c r="B31880" s="31"/>
      <c r="G31880" s="272" t="s">
        <v>1099</v>
      </c>
    </row>
    <row r="31881">
      <c r="B31881" s="31"/>
      <c r="G31881" s="272" t="s">
        <v>1099</v>
      </c>
    </row>
    <row r="31882">
      <c r="B31882" s="31"/>
      <c r="G31882" s="272" t="s">
        <v>1099</v>
      </c>
    </row>
    <row r="31883">
      <c r="B31883" s="31"/>
      <c r="G31883" s="272" t="s">
        <v>1099</v>
      </c>
    </row>
    <row r="31884">
      <c r="B31884" s="31"/>
      <c r="G31884" s="272" t="s">
        <v>1099</v>
      </c>
    </row>
    <row r="31885">
      <c r="B31885" s="31"/>
      <c r="G31885" s="272" t="s">
        <v>1099</v>
      </c>
    </row>
    <row r="31886">
      <c r="B31886" s="31"/>
      <c r="G31886" s="272" t="s">
        <v>1099</v>
      </c>
    </row>
    <row r="31887">
      <c r="B31887" s="31"/>
      <c r="G31887" s="272" t="s">
        <v>1099</v>
      </c>
    </row>
    <row r="31888">
      <c r="B31888" s="31"/>
      <c r="G31888" s="272" t="s">
        <v>1099</v>
      </c>
    </row>
    <row r="31889">
      <c r="B31889" s="31"/>
      <c r="G31889" s="272" t="s">
        <v>1099</v>
      </c>
    </row>
    <row r="31890">
      <c r="B31890" s="31"/>
      <c r="G31890" s="272" t="s">
        <v>1099</v>
      </c>
    </row>
    <row r="31891">
      <c r="B31891" s="31"/>
      <c r="G31891" s="272" t="s">
        <v>1099</v>
      </c>
    </row>
    <row r="31892">
      <c r="B31892" s="31"/>
      <c r="G31892" s="272" t="s">
        <v>1099</v>
      </c>
    </row>
    <row r="31893">
      <c r="B31893" s="31"/>
      <c r="G31893" s="272" t="s">
        <v>1099</v>
      </c>
    </row>
    <row r="31894">
      <c r="B31894" s="31"/>
      <c r="G31894" s="272" t="s">
        <v>1099</v>
      </c>
    </row>
    <row r="31895">
      <c r="B31895" s="31"/>
      <c r="G31895" s="272" t="s">
        <v>1099</v>
      </c>
    </row>
    <row r="31896">
      <c r="B31896" s="31"/>
      <c r="G31896" s="272" t="s">
        <v>1099</v>
      </c>
    </row>
    <row r="31897">
      <c r="B31897" s="31"/>
      <c r="G31897" s="272" t="s">
        <v>1099</v>
      </c>
    </row>
    <row r="31898">
      <c r="B31898" s="31"/>
      <c r="G31898" s="272" t="s">
        <v>1099</v>
      </c>
    </row>
    <row r="31899">
      <c r="B31899" s="31"/>
      <c r="G31899" s="272" t="s">
        <v>1099</v>
      </c>
    </row>
    <row r="31900">
      <c r="B31900" s="31"/>
      <c r="G31900" s="272" t="s">
        <v>1099</v>
      </c>
    </row>
    <row r="31901">
      <c r="B31901" s="31"/>
      <c r="G31901" s="272" t="s">
        <v>1099</v>
      </c>
    </row>
    <row r="31902">
      <c r="B31902" s="31"/>
      <c r="G31902" s="272" t="s">
        <v>1099</v>
      </c>
    </row>
    <row r="31903">
      <c r="B31903" s="31"/>
      <c r="G31903" s="272" t="s">
        <v>1099</v>
      </c>
    </row>
    <row r="31904">
      <c r="B31904" s="31"/>
      <c r="G31904" s="272" t="s">
        <v>1099</v>
      </c>
    </row>
    <row r="31905">
      <c r="B31905" s="31"/>
      <c r="G31905" s="272" t="s">
        <v>1099</v>
      </c>
    </row>
    <row r="31906">
      <c r="B31906" s="31"/>
      <c r="G31906" s="272" t="s">
        <v>1099</v>
      </c>
    </row>
    <row r="31907">
      <c r="B31907" s="31"/>
      <c r="G31907" s="272" t="s">
        <v>1099</v>
      </c>
    </row>
    <row r="31908">
      <c r="B31908" s="31"/>
      <c r="G31908" s="272" t="s">
        <v>1099</v>
      </c>
    </row>
    <row r="31909">
      <c r="B31909" s="31"/>
      <c r="G31909" s="272" t="s">
        <v>1099</v>
      </c>
    </row>
    <row r="31910">
      <c r="B31910" s="31"/>
      <c r="G31910" s="272" t="s">
        <v>1099</v>
      </c>
    </row>
    <row r="31911">
      <c r="B31911" s="31"/>
      <c r="G31911" s="272" t="s">
        <v>1099</v>
      </c>
    </row>
    <row r="31912">
      <c r="B31912" s="31"/>
      <c r="G31912" s="272" t="s">
        <v>1099</v>
      </c>
    </row>
    <row r="31913">
      <c r="B31913" s="31"/>
      <c r="G31913" s="272" t="s">
        <v>1099</v>
      </c>
    </row>
    <row r="31914">
      <c r="B31914" s="31"/>
      <c r="G31914" s="272" t="s">
        <v>1099</v>
      </c>
    </row>
    <row r="31915">
      <c r="B31915" s="31"/>
      <c r="G31915" s="272" t="s">
        <v>1099</v>
      </c>
    </row>
    <row r="31916">
      <c r="B31916" s="31"/>
      <c r="G31916" s="272" t="s">
        <v>1099</v>
      </c>
    </row>
    <row r="31917">
      <c r="B31917" s="31"/>
      <c r="G31917" s="272" t="s">
        <v>1099</v>
      </c>
    </row>
    <row r="31918">
      <c r="B31918" s="31"/>
      <c r="G31918" s="272" t="s">
        <v>1099</v>
      </c>
    </row>
    <row r="31919">
      <c r="B31919" s="31"/>
      <c r="G31919" s="272" t="s">
        <v>1099</v>
      </c>
    </row>
    <row r="31920">
      <c r="B31920" s="31"/>
      <c r="G31920" s="272" t="s">
        <v>1099</v>
      </c>
    </row>
    <row r="31921">
      <c r="B31921" s="31"/>
      <c r="G31921" s="272" t="s">
        <v>1099</v>
      </c>
    </row>
    <row r="31922">
      <c r="B31922" s="31"/>
      <c r="G31922" s="272" t="s">
        <v>1099</v>
      </c>
    </row>
    <row r="31923">
      <c r="B31923" s="31"/>
      <c r="G31923" s="272" t="s">
        <v>1099</v>
      </c>
    </row>
    <row r="31924">
      <c r="B31924" s="31"/>
      <c r="G31924" s="272" t="s">
        <v>1099</v>
      </c>
    </row>
    <row r="31925">
      <c r="B31925" s="31"/>
      <c r="G31925" s="272" t="s">
        <v>1099</v>
      </c>
    </row>
    <row r="31926">
      <c r="B31926" s="31"/>
      <c r="G31926" s="272" t="s">
        <v>1099</v>
      </c>
    </row>
    <row r="31927">
      <c r="B31927" s="31"/>
      <c r="G31927" s="272" t="s">
        <v>1099</v>
      </c>
    </row>
    <row r="31928">
      <c r="B31928" s="31"/>
      <c r="G31928" s="272" t="s">
        <v>1099</v>
      </c>
    </row>
    <row r="31929">
      <c r="B31929" s="31"/>
      <c r="G31929" s="272" t="s">
        <v>1099</v>
      </c>
    </row>
    <row r="31930">
      <c r="B31930" s="31"/>
      <c r="G31930" s="272" t="s">
        <v>1099</v>
      </c>
    </row>
    <row r="31931">
      <c r="B31931" s="31"/>
      <c r="G31931" s="272" t="s">
        <v>1099</v>
      </c>
    </row>
    <row r="31932">
      <c r="B31932" s="31"/>
      <c r="G31932" s="272" t="s">
        <v>1099</v>
      </c>
    </row>
    <row r="31933">
      <c r="B31933" s="31"/>
      <c r="G31933" s="272" t="s">
        <v>1099</v>
      </c>
    </row>
    <row r="31934">
      <c r="B31934" s="31"/>
      <c r="G31934" s="272" t="s">
        <v>1099</v>
      </c>
    </row>
    <row r="31935">
      <c r="B31935" s="31"/>
      <c r="G31935" s="272" t="s">
        <v>1099</v>
      </c>
    </row>
    <row r="31936">
      <c r="B31936" s="31"/>
      <c r="G31936" s="272" t="s">
        <v>1099</v>
      </c>
    </row>
    <row r="31937">
      <c r="B31937" s="31"/>
      <c r="G31937" s="272" t="s">
        <v>1099</v>
      </c>
    </row>
    <row r="31938">
      <c r="B31938" s="31"/>
      <c r="G31938" s="272" t="s">
        <v>1099</v>
      </c>
    </row>
    <row r="31939">
      <c r="B31939" s="31"/>
      <c r="G31939" s="272" t="s">
        <v>1099</v>
      </c>
    </row>
    <row r="31940">
      <c r="B31940" s="31"/>
      <c r="G31940" s="272" t="s">
        <v>1099</v>
      </c>
    </row>
    <row r="31941">
      <c r="B31941" s="31"/>
      <c r="G31941" s="272" t="s">
        <v>1099</v>
      </c>
    </row>
    <row r="31942">
      <c r="B31942" s="31"/>
      <c r="G31942" s="272" t="s">
        <v>1099</v>
      </c>
    </row>
    <row r="31943">
      <c r="B31943" s="31"/>
      <c r="G31943" s="272" t="s">
        <v>1099</v>
      </c>
    </row>
    <row r="31944">
      <c r="B31944" s="31"/>
      <c r="G31944" s="272" t="s">
        <v>1099</v>
      </c>
    </row>
    <row r="31945">
      <c r="B31945" s="31"/>
      <c r="G31945" s="272" t="s">
        <v>1099</v>
      </c>
    </row>
    <row r="31946">
      <c r="B31946" s="31"/>
      <c r="G31946" s="272" t="s">
        <v>1099</v>
      </c>
    </row>
    <row r="31947">
      <c r="B31947" s="31"/>
      <c r="G31947" s="272" t="s">
        <v>1099</v>
      </c>
    </row>
    <row r="31948">
      <c r="B31948" s="31"/>
      <c r="G31948" s="272" t="s">
        <v>1099</v>
      </c>
    </row>
    <row r="31949">
      <c r="B31949" s="31"/>
      <c r="G31949" s="272" t="s">
        <v>1099</v>
      </c>
    </row>
    <row r="31950">
      <c r="B31950" s="31"/>
      <c r="G31950" s="272" t="s">
        <v>1099</v>
      </c>
    </row>
    <row r="31951">
      <c r="B31951" s="31"/>
      <c r="G31951" s="272" t="s">
        <v>1099</v>
      </c>
    </row>
    <row r="31952">
      <c r="B31952" s="31"/>
      <c r="G31952" s="272" t="s">
        <v>1099</v>
      </c>
    </row>
    <row r="31953">
      <c r="B31953" s="31"/>
      <c r="G31953" s="272" t="s">
        <v>1099</v>
      </c>
    </row>
    <row r="31954">
      <c r="B31954" s="31"/>
      <c r="G31954" s="272" t="s">
        <v>1099</v>
      </c>
    </row>
    <row r="31955">
      <c r="B31955" s="31"/>
      <c r="G31955" s="272" t="s">
        <v>1099</v>
      </c>
    </row>
    <row r="31956">
      <c r="B31956" s="31"/>
      <c r="G31956" s="272" t="s">
        <v>1099</v>
      </c>
    </row>
    <row r="31957">
      <c r="B31957" s="31"/>
      <c r="G31957" s="272" t="s">
        <v>1099</v>
      </c>
    </row>
    <row r="31958">
      <c r="B31958" s="31"/>
      <c r="G31958" s="272" t="s">
        <v>1099</v>
      </c>
    </row>
    <row r="31959">
      <c r="B31959" s="31"/>
      <c r="G31959" s="272" t="s">
        <v>1099</v>
      </c>
    </row>
    <row r="31960">
      <c r="B31960" s="31"/>
      <c r="G31960" s="272" t="s">
        <v>1099</v>
      </c>
    </row>
    <row r="31961">
      <c r="B31961" s="31"/>
      <c r="G31961" s="272" t="s">
        <v>1099</v>
      </c>
    </row>
    <row r="31962">
      <c r="B31962" s="31"/>
      <c r="G31962" s="272" t="s">
        <v>1099</v>
      </c>
    </row>
    <row r="31963">
      <c r="B31963" s="31"/>
      <c r="G31963" s="272" t="s">
        <v>1099</v>
      </c>
    </row>
    <row r="31964">
      <c r="B31964" s="31"/>
      <c r="G31964" s="272" t="s">
        <v>1099</v>
      </c>
    </row>
    <row r="31965">
      <c r="B31965" s="31"/>
      <c r="G31965" s="272" t="s">
        <v>1099</v>
      </c>
    </row>
    <row r="31966">
      <c r="B31966" s="31"/>
      <c r="G31966" s="272" t="s">
        <v>1099</v>
      </c>
    </row>
    <row r="31967">
      <c r="B31967" s="31"/>
      <c r="G31967" s="272" t="s">
        <v>1099</v>
      </c>
    </row>
    <row r="31968">
      <c r="B31968" s="31"/>
      <c r="G31968" s="272" t="s">
        <v>1099</v>
      </c>
    </row>
    <row r="31969">
      <c r="B31969" s="31"/>
      <c r="G31969" s="272" t="s">
        <v>1099</v>
      </c>
    </row>
    <row r="31970">
      <c r="B31970" s="31"/>
      <c r="G31970" s="272" t="s">
        <v>1099</v>
      </c>
    </row>
    <row r="31971">
      <c r="B31971" s="31"/>
      <c r="G31971" s="272" t="s">
        <v>1099</v>
      </c>
    </row>
    <row r="31972">
      <c r="B31972" s="31"/>
      <c r="G31972" s="272" t="s">
        <v>1099</v>
      </c>
    </row>
    <row r="31973">
      <c r="B31973" s="31"/>
      <c r="G31973" s="272" t="s">
        <v>1099</v>
      </c>
    </row>
    <row r="31974">
      <c r="B31974" s="31"/>
      <c r="G31974" s="272" t="s">
        <v>1099</v>
      </c>
    </row>
    <row r="31975">
      <c r="B31975" s="31"/>
      <c r="G31975" s="272" t="s">
        <v>1099</v>
      </c>
    </row>
    <row r="31976">
      <c r="B31976" s="31"/>
      <c r="G31976" s="272" t="s">
        <v>1099</v>
      </c>
    </row>
    <row r="31977">
      <c r="B31977" s="31"/>
      <c r="G31977" s="272" t="s">
        <v>1099</v>
      </c>
    </row>
    <row r="31978">
      <c r="B31978" s="31"/>
      <c r="G31978" s="272" t="s">
        <v>1099</v>
      </c>
    </row>
    <row r="31979">
      <c r="B31979" s="31"/>
      <c r="G31979" s="272" t="s">
        <v>1099</v>
      </c>
    </row>
    <row r="31980">
      <c r="B31980" s="31"/>
      <c r="G31980" s="272" t="s">
        <v>1099</v>
      </c>
    </row>
    <row r="31981">
      <c r="B31981" s="31"/>
      <c r="G31981" s="272" t="s">
        <v>1099</v>
      </c>
    </row>
    <row r="31982">
      <c r="B31982" s="31"/>
      <c r="G31982" s="272" t="s">
        <v>1099</v>
      </c>
    </row>
    <row r="31983">
      <c r="B31983" s="31"/>
      <c r="G31983" s="272" t="s">
        <v>1099</v>
      </c>
    </row>
    <row r="31984">
      <c r="B31984" s="31"/>
      <c r="G31984" s="272" t="s">
        <v>1099</v>
      </c>
    </row>
    <row r="31985">
      <c r="B31985" s="31"/>
      <c r="G31985" s="272" t="s">
        <v>1099</v>
      </c>
    </row>
    <row r="31986">
      <c r="B31986" s="31"/>
      <c r="G31986" s="272" t="s">
        <v>1099</v>
      </c>
    </row>
    <row r="31987">
      <c r="B31987" s="31"/>
      <c r="G31987" s="272" t="s">
        <v>1099</v>
      </c>
    </row>
    <row r="31988">
      <c r="B31988" s="31"/>
      <c r="G31988" s="272" t="s">
        <v>1099</v>
      </c>
    </row>
    <row r="31989">
      <c r="B31989" s="31"/>
      <c r="G31989" s="272" t="s">
        <v>1099</v>
      </c>
    </row>
    <row r="31990">
      <c r="B31990" s="31"/>
      <c r="G31990" s="272" t="s">
        <v>1099</v>
      </c>
    </row>
    <row r="31991">
      <c r="B31991" s="31"/>
      <c r="G31991" s="272" t="s">
        <v>1099</v>
      </c>
    </row>
    <row r="31992">
      <c r="B31992" s="31"/>
      <c r="G31992" s="272" t="s">
        <v>1099</v>
      </c>
    </row>
    <row r="31993">
      <c r="B31993" s="31"/>
      <c r="G31993" s="272" t="s">
        <v>1099</v>
      </c>
    </row>
    <row r="31994">
      <c r="B31994" s="31"/>
      <c r="G31994" s="272" t="s">
        <v>1099</v>
      </c>
    </row>
    <row r="31995">
      <c r="B31995" s="31"/>
      <c r="G31995" s="272" t="s">
        <v>1099</v>
      </c>
    </row>
    <row r="31996">
      <c r="B31996" s="31"/>
      <c r="G31996" s="272" t="s">
        <v>1099</v>
      </c>
    </row>
    <row r="31997">
      <c r="B31997" s="31"/>
      <c r="G31997" s="272" t="s">
        <v>1099</v>
      </c>
    </row>
    <row r="31998">
      <c r="B31998" s="31"/>
      <c r="G31998" s="272" t="s">
        <v>1099</v>
      </c>
    </row>
    <row r="31999">
      <c r="B31999" s="31"/>
      <c r="G31999" s="272" t="s">
        <v>1099</v>
      </c>
    </row>
    <row r="32000">
      <c r="B32000" s="31"/>
      <c r="G32000" s="272" t="s">
        <v>1099</v>
      </c>
    </row>
    <row r="32001">
      <c r="B32001" s="31"/>
      <c r="G32001" s="272" t="s">
        <v>1099</v>
      </c>
    </row>
    <row r="32002">
      <c r="B32002" s="31"/>
      <c r="G32002" s="272" t="s">
        <v>1099</v>
      </c>
    </row>
    <row r="32003">
      <c r="B32003" s="31"/>
      <c r="G32003" s="272" t="s">
        <v>1099</v>
      </c>
    </row>
    <row r="32004">
      <c r="B32004" s="31"/>
      <c r="G32004" s="272" t="s">
        <v>1099</v>
      </c>
    </row>
    <row r="32005">
      <c r="B32005" s="31"/>
      <c r="G32005" s="272" t="s">
        <v>1099</v>
      </c>
    </row>
    <row r="32006">
      <c r="B32006" s="31"/>
      <c r="G32006" s="272" t="s">
        <v>1099</v>
      </c>
    </row>
    <row r="32007">
      <c r="B32007" s="31"/>
      <c r="G32007" s="272" t="s">
        <v>1099</v>
      </c>
    </row>
    <row r="32008">
      <c r="B32008" s="31"/>
      <c r="G32008" s="272" t="s">
        <v>1099</v>
      </c>
    </row>
    <row r="32009">
      <c r="B32009" s="31"/>
      <c r="G32009" s="272" t="s">
        <v>1099</v>
      </c>
    </row>
    <row r="32010">
      <c r="B32010" s="31"/>
      <c r="G32010" s="272" t="s">
        <v>1099</v>
      </c>
    </row>
    <row r="32011">
      <c r="B32011" s="31"/>
      <c r="G32011" s="272" t="s">
        <v>1099</v>
      </c>
    </row>
    <row r="32012">
      <c r="B32012" s="31"/>
      <c r="G32012" s="272" t="s">
        <v>1099</v>
      </c>
    </row>
    <row r="32013">
      <c r="B32013" s="31"/>
      <c r="G32013" s="272" t="s">
        <v>1099</v>
      </c>
    </row>
    <row r="32014">
      <c r="B32014" s="31"/>
      <c r="G32014" s="272" t="s">
        <v>1099</v>
      </c>
    </row>
    <row r="32015">
      <c r="B32015" s="31"/>
      <c r="G32015" s="272" t="s">
        <v>1099</v>
      </c>
    </row>
    <row r="32016">
      <c r="B32016" s="31"/>
      <c r="G32016" s="272" t="s">
        <v>1099</v>
      </c>
    </row>
    <row r="32017">
      <c r="B32017" s="31"/>
      <c r="G32017" s="272" t="s">
        <v>1099</v>
      </c>
    </row>
    <row r="32018">
      <c r="B32018" s="31"/>
      <c r="G32018" s="272" t="s">
        <v>1099</v>
      </c>
    </row>
    <row r="32019">
      <c r="B32019" s="31"/>
      <c r="G32019" s="272" t="s">
        <v>1099</v>
      </c>
    </row>
    <row r="32020">
      <c r="B32020" s="31"/>
      <c r="G32020" s="272" t="s">
        <v>1099</v>
      </c>
    </row>
    <row r="32021">
      <c r="B32021" s="31"/>
      <c r="G32021" s="272" t="s">
        <v>1099</v>
      </c>
    </row>
    <row r="32022">
      <c r="B32022" s="31"/>
      <c r="G32022" s="272" t="s">
        <v>1099</v>
      </c>
    </row>
    <row r="32023">
      <c r="B32023" s="31"/>
      <c r="G32023" s="272" t="s">
        <v>1099</v>
      </c>
    </row>
    <row r="32024">
      <c r="B32024" s="31"/>
      <c r="G32024" s="272" t="s">
        <v>1099</v>
      </c>
    </row>
    <row r="32025">
      <c r="B32025" s="31"/>
      <c r="G32025" s="272" t="s">
        <v>1099</v>
      </c>
    </row>
    <row r="32026">
      <c r="B32026" s="31"/>
      <c r="G32026" s="272" t="s">
        <v>1099</v>
      </c>
    </row>
    <row r="32027">
      <c r="B32027" s="31"/>
      <c r="G32027" s="272" t="s">
        <v>1099</v>
      </c>
    </row>
    <row r="32028">
      <c r="B32028" s="31"/>
      <c r="G32028" s="272" t="s">
        <v>1099</v>
      </c>
    </row>
    <row r="32029">
      <c r="B32029" s="31"/>
      <c r="G32029" s="272" t="s">
        <v>1099</v>
      </c>
    </row>
    <row r="32030">
      <c r="B32030" s="31"/>
      <c r="G32030" s="272" t="s">
        <v>1099</v>
      </c>
    </row>
    <row r="32031">
      <c r="B32031" s="31"/>
      <c r="G32031" s="272" t="s">
        <v>1099</v>
      </c>
    </row>
    <row r="32032">
      <c r="B32032" s="31"/>
      <c r="G32032" s="272" t="s">
        <v>1099</v>
      </c>
    </row>
    <row r="32033">
      <c r="B32033" s="31"/>
      <c r="G32033" s="272" t="s">
        <v>1099</v>
      </c>
    </row>
    <row r="32034">
      <c r="B32034" s="31"/>
      <c r="G32034" s="272" t="s">
        <v>1099</v>
      </c>
    </row>
    <row r="32035">
      <c r="B32035" s="31"/>
      <c r="G32035" s="272" t="s">
        <v>1099</v>
      </c>
    </row>
    <row r="32036">
      <c r="B32036" s="31"/>
      <c r="G32036" s="272" t="s">
        <v>1099</v>
      </c>
    </row>
    <row r="32037">
      <c r="B32037" s="31"/>
      <c r="G32037" s="272" t="s">
        <v>1099</v>
      </c>
    </row>
    <row r="32038">
      <c r="B32038" s="31"/>
      <c r="G32038" s="272" t="s">
        <v>1099</v>
      </c>
    </row>
    <row r="32039">
      <c r="B32039" s="31"/>
      <c r="G32039" s="272" t="s">
        <v>1099</v>
      </c>
    </row>
    <row r="32040">
      <c r="B32040" s="31"/>
      <c r="G32040" s="272" t="s">
        <v>1099</v>
      </c>
    </row>
    <row r="32041">
      <c r="B32041" s="31"/>
      <c r="G32041" s="272" t="s">
        <v>1099</v>
      </c>
    </row>
    <row r="32042">
      <c r="B32042" s="31"/>
      <c r="G32042" s="272" t="s">
        <v>1099</v>
      </c>
    </row>
    <row r="32043">
      <c r="B32043" s="31"/>
      <c r="G32043" s="272" t="s">
        <v>1099</v>
      </c>
    </row>
    <row r="32044">
      <c r="B32044" s="31"/>
      <c r="G32044" s="272" t="s">
        <v>1099</v>
      </c>
    </row>
    <row r="32045">
      <c r="B32045" s="31"/>
      <c r="G32045" s="272" t="s">
        <v>1099</v>
      </c>
    </row>
    <row r="32046">
      <c r="B32046" s="31"/>
      <c r="G32046" s="272" t="s">
        <v>1099</v>
      </c>
    </row>
    <row r="32047">
      <c r="B32047" s="31"/>
      <c r="G32047" s="272" t="s">
        <v>1099</v>
      </c>
    </row>
    <row r="32048">
      <c r="B32048" s="31"/>
      <c r="G32048" s="272" t="s">
        <v>1099</v>
      </c>
    </row>
    <row r="32049">
      <c r="B32049" s="31"/>
      <c r="G32049" s="272" t="s">
        <v>1099</v>
      </c>
    </row>
    <row r="32050">
      <c r="B32050" s="31"/>
      <c r="G32050" s="272" t="s">
        <v>1099</v>
      </c>
    </row>
    <row r="32051">
      <c r="B32051" s="31"/>
      <c r="G32051" s="272" t="s">
        <v>1099</v>
      </c>
    </row>
    <row r="32052">
      <c r="B32052" s="31"/>
      <c r="G32052" s="272" t="s">
        <v>1099</v>
      </c>
    </row>
    <row r="32053">
      <c r="B32053" s="31"/>
      <c r="G32053" s="272" t="s">
        <v>1099</v>
      </c>
    </row>
    <row r="32054">
      <c r="B32054" s="31"/>
      <c r="G32054" s="272" t="s">
        <v>1099</v>
      </c>
    </row>
    <row r="32055">
      <c r="B32055" s="31"/>
      <c r="G32055" s="272" t="s">
        <v>1099</v>
      </c>
    </row>
    <row r="32056">
      <c r="B32056" s="31"/>
      <c r="G32056" s="272" t="s">
        <v>1099</v>
      </c>
    </row>
    <row r="32057">
      <c r="B32057" s="31"/>
      <c r="G32057" s="272" t="s">
        <v>1099</v>
      </c>
    </row>
    <row r="32058">
      <c r="B32058" s="31"/>
      <c r="G32058" s="272" t="s">
        <v>1099</v>
      </c>
    </row>
    <row r="32059">
      <c r="B32059" s="31"/>
      <c r="G32059" s="272" t="s">
        <v>1099</v>
      </c>
    </row>
    <row r="32060">
      <c r="B32060" s="31"/>
      <c r="G32060" s="272" t="s">
        <v>1099</v>
      </c>
    </row>
    <row r="32061">
      <c r="B32061" s="31"/>
      <c r="G32061" s="272" t="s">
        <v>1099</v>
      </c>
    </row>
    <row r="32062">
      <c r="B32062" s="31"/>
      <c r="G32062" s="272" t="s">
        <v>1099</v>
      </c>
    </row>
    <row r="32063">
      <c r="B32063" s="31"/>
      <c r="G32063" s="272" t="s">
        <v>1099</v>
      </c>
    </row>
    <row r="32064">
      <c r="B32064" s="31"/>
      <c r="G32064" s="272" t="s">
        <v>1099</v>
      </c>
    </row>
    <row r="32065">
      <c r="B32065" s="31"/>
      <c r="G32065" s="272" t="s">
        <v>1099</v>
      </c>
    </row>
    <row r="32066">
      <c r="B32066" s="31"/>
      <c r="G32066" s="272" t="s">
        <v>1099</v>
      </c>
    </row>
    <row r="32067">
      <c r="B32067" s="31"/>
      <c r="G32067" s="272" t="s">
        <v>1099</v>
      </c>
    </row>
    <row r="32068">
      <c r="B32068" s="31"/>
      <c r="G32068" s="272" t="s">
        <v>1099</v>
      </c>
    </row>
    <row r="32069">
      <c r="B32069" s="31"/>
      <c r="G32069" s="272" t="s">
        <v>1099</v>
      </c>
    </row>
    <row r="32070">
      <c r="B32070" s="31"/>
      <c r="G32070" s="272" t="s">
        <v>1099</v>
      </c>
    </row>
    <row r="32071">
      <c r="B32071" s="31"/>
      <c r="G32071" s="272" t="s">
        <v>1099</v>
      </c>
    </row>
    <row r="32072">
      <c r="B32072" s="31"/>
      <c r="G32072" s="272" t="s">
        <v>1099</v>
      </c>
    </row>
    <row r="32073">
      <c r="B32073" s="31"/>
      <c r="G32073" s="272" t="s">
        <v>1099</v>
      </c>
    </row>
    <row r="32074">
      <c r="B32074" s="31"/>
      <c r="G32074" s="272" t="s">
        <v>1099</v>
      </c>
    </row>
    <row r="32075">
      <c r="B32075" s="31"/>
      <c r="G32075" s="272" t="s">
        <v>1099</v>
      </c>
    </row>
    <row r="32076">
      <c r="B32076" s="31"/>
      <c r="G32076" s="272" t="s">
        <v>1099</v>
      </c>
    </row>
    <row r="32077">
      <c r="B32077" s="31"/>
      <c r="G32077" s="272" t="s">
        <v>1099</v>
      </c>
    </row>
    <row r="32078">
      <c r="B32078" s="31"/>
      <c r="G32078" s="272" t="s">
        <v>1099</v>
      </c>
    </row>
    <row r="32079">
      <c r="B32079" s="31"/>
      <c r="G32079" s="272" t="s">
        <v>1099</v>
      </c>
    </row>
    <row r="32080">
      <c r="B32080" s="31"/>
      <c r="G32080" s="272" t="s">
        <v>1099</v>
      </c>
    </row>
    <row r="32081">
      <c r="B32081" s="31"/>
      <c r="G32081" s="272" t="s">
        <v>1099</v>
      </c>
    </row>
    <row r="32082">
      <c r="B32082" s="31"/>
      <c r="G32082" s="272" t="s">
        <v>1099</v>
      </c>
    </row>
    <row r="32083">
      <c r="B32083" s="31"/>
      <c r="G32083" s="272" t="s">
        <v>1099</v>
      </c>
    </row>
    <row r="32084">
      <c r="B32084" s="31"/>
      <c r="G32084" s="272" t="s">
        <v>1099</v>
      </c>
    </row>
    <row r="32085">
      <c r="B32085" s="31"/>
      <c r="G32085" s="272" t="s">
        <v>1099</v>
      </c>
    </row>
    <row r="32086">
      <c r="B32086" s="31"/>
      <c r="G32086" s="272" t="s">
        <v>1099</v>
      </c>
    </row>
    <row r="32087">
      <c r="B32087" s="31"/>
      <c r="G32087" s="272" t="s">
        <v>1099</v>
      </c>
    </row>
    <row r="32088">
      <c r="B32088" s="31"/>
      <c r="G32088" s="272" t="s">
        <v>1099</v>
      </c>
    </row>
    <row r="32089">
      <c r="B32089" s="31"/>
      <c r="G32089" s="272" t="s">
        <v>1099</v>
      </c>
    </row>
    <row r="32090">
      <c r="B32090" s="31"/>
      <c r="G32090" s="272" t="s">
        <v>1099</v>
      </c>
    </row>
    <row r="32091">
      <c r="B32091" s="31"/>
      <c r="G32091" s="272" t="s">
        <v>1099</v>
      </c>
    </row>
    <row r="32092">
      <c r="B32092" s="31"/>
      <c r="G32092" s="272" t="s">
        <v>1099</v>
      </c>
    </row>
    <row r="32093">
      <c r="B32093" s="31"/>
      <c r="G32093" s="272" t="s">
        <v>1099</v>
      </c>
    </row>
    <row r="32094">
      <c r="B32094" s="31"/>
      <c r="G32094" s="272" t="s">
        <v>1099</v>
      </c>
    </row>
    <row r="32095">
      <c r="B32095" s="31"/>
      <c r="G32095" s="272" t="s">
        <v>1099</v>
      </c>
    </row>
    <row r="32096">
      <c r="B32096" s="31"/>
      <c r="G32096" s="272" t="s">
        <v>1099</v>
      </c>
    </row>
    <row r="32097">
      <c r="B32097" s="31"/>
      <c r="G32097" s="272" t="s">
        <v>1099</v>
      </c>
    </row>
    <row r="32098">
      <c r="B32098" s="31"/>
      <c r="G32098" s="272" t="s">
        <v>1099</v>
      </c>
    </row>
    <row r="32099">
      <c r="B32099" s="31"/>
      <c r="G32099" s="272" t="s">
        <v>1099</v>
      </c>
    </row>
    <row r="32100">
      <c r="B32100" s="31"/>
      <c r="G32100" s="272" t="s">
        <v>1099</v>
      </c>
    </row>
    <row r="32101">
      <c r="B32101" s="31"/>
      <c r="G32101" s="272" t="s">
        <v>1099</v>
      </c>
    </row>
    <row r="32102">
      <c r="B32102" s="31"/>
      <c r="G32102" s="272" t="s">
        <v>1099</v>
      </c>
    </row>
    <row r="32103">
      <c r="B32103" s="31"/>
      <c r="G32103" s="272" t="s">
        <v>1099</v>
      </c>
    </row>
    <row r="32104">
      <c r="B32104" s="31"/>
      <c r="G32104" s="272" t="s">
        <v>1099</v>
      </c>
    </row>
    <row r="32105">
      <c r="B32105" s="31"/>
      <c r="G32105" s="272" t="s">
        <v>1099</v>
      </c>
    </row>
    <row r="32106">
      <c r="B32106" s="31"/>
      <c r="G32106" s="272" t="s">
        <v>1099</v>
      </c>
    </row>
    <row r="32107">
      <c r="B32107" s="31"/>
      <c r="G32107" s="272" t="s">
        <v>1099</v>
      </c>
    </row>
    <row r="32108">
      <c r="B32108" s="31"/>
      <c r="G32108" s="272" t="s">
        <v>1099</v>
      </c>
    </row>
    <row r="32109">
      <c r="B32109" s="31"/>
      <c r="G32109" s="272" t="s">
        <v>1099</v>
      </c>
    </row>
    <row r="32110">
      <c r="B32110" s="31"/>
      <c r="G32110" s="272" t="s">
        <v>1099</v>
      </c>
    </row>
    <row r="32111">
      <c r="B32111" s="31"/>
      <c r="G32111" s="272" t="s">
        <v>1099</v>
      </c>
    </row>
    <row r="32112">
      <c r="B32112" s="31"/>
      <c r="G32112" s="272" t="s">
        <v>1099</v>
      </c>
    </row>
    <row r="32113">
      <c r="B32113" s="31"/>
      <c r="G32113" s="272" t="s">
        <v>1099</v>
      </c>
    </row>
    <row r="32114">
      <c r="B32114" s="31"/>
      <c r="G32114" s="272" t="s">
        <v>1099</v>
      </c>
    </row>
    <row r="32115">
      <c r="B32115" s="31"/>
      <c r="G32115" s="272" t="s">
        <v>1099</v>
      </c>
    </row>
    <row r="32116">
      <c r="B32116" s="31"/>
      <c r="G32116" s="272" t="s">
        <v>1099</v>
      </c>
    </row>
    <row r="32117">
      <c r="B32117" s="31"/>
      <c r="G32117" s="272" t="s">
        <v>1099</v>
      </c>
    </row>
    <row r="32118">
      <c r="B32118" s="31"/>
      <c r="G32118" s="272" t="s">
        <v>1099</v>
      </c>
    </row>
    <row r="32119">
      <c r="B32119" s="31"/>
      <c r="G32119" s="272" t="s">
        <v>1099</v>
      </c>
    </row>
    <row r="32120">
      <c r="B32120" s="31"/>
      <c r="G32120" s="272" t="s">
        <v>1099</v>
      </c>
    </row>
    <row r="32121">
      <c r="B32121" s="31"/>
      <c r="G32121" s="272" t="s">
        <v>1099</v>
      </c>
    </row>
    <row r="32122">
      <c r="B32122" s="31"/>
      <c r="G32122" s="272" t="s">
        <v>1099</v>
      </c>
    </row>
    <row r="32123">
      <c r="B32123" s="31"/>
      <c r="G32123" s="272" t="s">
        <v>1099</v>
      </c>
    </row>
    <row r="32124">
      <c r="B32124" s="31"/>
      <c r="G32124" s="272" t="s">
        <v>1099</v>
      </c>
    </row>
    <row r="32125">
      <c r="B32125" s="31"/>
      <c r="G32125" s="272" t="s">
        <v>1099</v>
      </c>
    </row>
    <row r="32126">
      <c r="B32126" s="31"/>
      <c r="G32126" s="272" t="s">
        <v>1099</v>
      </c>
    </row>
    <row r="32127">
      <c r="B32127" s="31"/>
      <c r="G32127" s="272" t="s">
        <v>1099</v>
      </c>
    </row>
    <row r="32128">
      <c r="B32128" s="31"/>
      <c r="G32128" s="272" t="s">
        <v>1099</v>
      </c>
    </row>
    <row r="32129">
      <c r="B32129" s="31"/>
      <c r="G32129" s="272" t="s">
        <v>1099</v>
      </c>
    </row>
    <row r="32130">
      <c r="B32130" s="31"/>
      <c r="G32130" s="272" t="s">
        <v>1099</v>
      </c>
    </row>
    <row r="32131">
      <c r="B32131" s="31"/>
      <c r="G32131" s="272" t="s">
        <v>1099</v>
      </c>
    </row>
    <row r="32132">
      <c r="B32132" s="31"/>
      <c r="G32132" s="272" t="s">
        <v>1099</v>
      </c>
    </row>
    <row r="32133">
      <c r="B32133" s="31"/>
      <c r="G32133" s="272" t="s">
        <v>1099</v>
      </c>
    </row>
    <row r="32134">
      <c r="B32134" s="31"/>
      <c r="G32134" s="272" t="s">
        <v>1099</v>
      </c>
    </row>
    <row r="32135">
      <c r="B32135" s="31"/>
      <c r="G32135" s="272" t="s">
        <v>1099</v>
      </c>
    </row>
    <row r="32136">
      <c r="B32136" s="31"/>
      <c r="G32136" s="272" t="s">
        <v>1099</v>
      </c>
    </row>
    <row r="32137">
      <c r="B32137" s="31"/>
      <c r="G32137" s="272" t="s">
        <v>1099</v>
      </c>
    </row>
    <row r="32138">
      <c r="B32138" s="31"/>
      <c r="G32138" s="272" t="s">
        <v>1099</v>
      </c>
    </row>
    <row r="32139">
      <c r="B32139" s="31"/>
      <c r="G32139" s="272" t="s">
        <v>1099</v>
      </c>
    </row>
    <row r="32140">
      <c r="B32140" s="31"/>
      <c r="G32140" s="272" t="s">
        <v>1099</v>
      </c>
    </row>
    <row r="32141">
      <c r="B32141" s="31"/>
      <c r="G32141" s="272" t="s">
        <v>1099</v>
      </c>
    </row>
    <row r="32142">
      <c r="B32142" s="31"/>
      <c r="G32142" s="272" t="s">
        <v>1099</v>
      </c>
    </row>
    <row r="32143">
      <c r="B32143" s="31"/>
      <c r="G32143" s="272" t="s">
        <v>1099</v>
      </c>
    </row>
    <row r="32144">
      <c r="B32144" s="31"/>
      <c r="G32144" s="272" t="s">
        <v>1099</v>
      </c>
    </row>
    <row r="32145">
      <c r="B32145" s="31"/>
      <c r="G32145" s="272" t="s">
        <v>1099</v>
      </c>
    </row>
    <row r="32146">
      <c r="B32146" s="31"/>
      <c r="G32146" s="272" t="s">
        <v>1099</v>
      </c>
    </row>
    <row r="32147">
      <c r="B32147" s="31"/>
      <c r="G32147" s="272" t="s">
        <v>1099</v>
      </c>
    </row>
    <row r="32148">
      <c r="B32148" s="31"/>
      <c r="G32148" s="272" t="s">
        <v>1099</v>
      </c>
    </row>
    <row r="32149">
      <c r="B32149" s="31"/>
      <c r="G32149" s="272" t="s">
        <v>1099</v>
      </c>
    </row>
    <row r="32150">
      <c r="B32150" s="31"/>
      <c r="G32150" s="272" t="s">
        <v>1099</v>
      </c>
    </row>
    <row r="32151">
      <c r="B32151" s="31"/>
      <c r="G32151" s="272" t="s">
        <v>1099</v>
      </c>
    </row>
    <row r="32152">
      <c r="B32152" s="31"/>
      <c r="G32152" s="272" t="s">
        <v>1099</v>
      </c>
    </row>
    <row r="32153">
      <c r="B32153" s="31"/>
      <c r="G32153" s="272" t="s">
        <v>1099</v>
      </c>
    </row>
    <row r="32154">
      <c r="B32154" s="31"/>
      <c r="G32154" s="272" t="s">
        <v>1099</v>
      </c>
    </row>
    <row r="32155">
      <c r="B32155" s="31"/>
      <c r="G32155" s="272" t="s">
        <v>1099</v>
      </c>
    </row>
    <row r="32156">
      <c r="B32156" s="31"/>
      <c r="G32156" s="272" t="s">
        <v>1099</v>
      </c>
    </row>
    <row r="32157">
      <c r="B32157" s="31"/>
      <c r="G32157" s="272" t="s">
        <v>1099</v>
      </c>
    </row>
    <row r="32158">
      <c r="B32158" s="31"/>
      <c r="G32158" s="272" t="s">
        <v>1099</v>
      </c>
    </row>
    <row r="32159">
      <c r="B32159" s="31"/>
      <c r="G32159" s="272" t="s">
        <v>1099</v>
      </c>
    </row>
    <row r="32160">
      <c r="B32160" s="31"/>
      <c r="G32160" s="272" t="s">
        <v>1099</v>
      </c>
    </row>
    <row r="32161">
      <c r="B32161" s="31"/>
      <c r="G32161" s="272" t="s">
        <v>1099</v>
      </c>
    </row>
    <row r="32162">
      <c r="B32162" s="31"/>
      <c r="G32162" s="272" t="s">
        <v>1099</v>
      </c>
    </row>
    <row r="32163">
      <c r="B32163" s="31"/>
      <c r="G32163" s="272" t="s">
        <v>1099</v>
      </c>
    </row>
    <row r="32164">
      <c r="B32164" s="31"/>
      <c r="G32164" s="272" t="s">
        <v>1099</v>
      </c>
    </row>
    <row r="32165">
      <c r="B32165" s="31"/>
      <c r="G32165" s="272" t="s">
        <v>1099</v>
      </c>
    </row>
    <row r="32166">
      <c r="B32166" s="31"/>
      <c r="G32166" s="272" t="s">
        <v>1099</v>
      </c>
    </row>
    <row r="32167">
      <c r="B32167" s="31"/>
      <c r="G32167" s="272" t="s">
        <v>1099</v>
      </c>
    </row>
    <row r="32168">
      <c r="B32168" s="31"/>
      <c r="G32168" s="272" t="s">
        <v>1099</v>
      </c>
    </row>
    <row r="32169">
      <c r="B32169" s="31"/>
      <c r="G32169" s="272" t="s">
        <v>1099</v>
      </c>
    </row>
    <row r="32170">
      <c r="B32170" s="31"/>
      <c r="G32170" s="272" t="s">
        <v>1099</v>
      </c>
    </row>
    <row r="32171">
      <c r="B32171" s="31"/>
      <c r="G32171" s="272" t="s">
        <v>1099</v>
      </c>
    </row>
    <row r="32172">
      <c r="B32172" s="31"/>
      <c r="G32172" s="272" t="s">
        <v>1099</v>
      </c>
    </row>
    <row r="32173">
      <c r="B32173" s="31"/>
      <c r="G32173" s="272" t="s">
        <v>1099</v>
      </c>
    </row>
    <row r="32174">
      <c r="B32174" s="31"/>
      <c r="G32174" s="272" t="s">
        <v>1099</v>
      </c>
    </row>
    <row r="32175">
      <c r="B32175" s="31"/>
      <c r="G32175" s="272" t="s">
        <v>1099</v>
      </c>
    </row>
    <row r="32176">
      <c r="B32176" s="31"/>
      <c r="G32176" s="272" t="s">
        <v>1099</v>
      </c>
    </row>
    <row r="32177">
      <c r="B32177" s="31"/>
      <c r="G32177" s="272" t="s">
        <v>1099</v>
      </c>
    </row>
    <row r="32178">
      <c r="B32178" s="31"/>
      <c r="G32178" s="272" t="s">
        <v>1099</v>
      </c>
    </row>
    <row r="32179">
      <c r="B32179" s="31"/>
      <c r="G32179" s="272" t="s">
        <v>1099</v>
      </c>
    </row>
    <row r="32180">
      <c r="B32180" s="31"/>
      <c r="G32180" s="272" t="s">
        <v>1099</v>
      </c>
    </row>
    <row r="32181">
      <c r="B32181" s="31"/>
      <c r="G32181" s="272" t="s">
        <v>1099</v>
      </c>
    </row>
    <row r="32182">
      <c r="B32182" s="31"/>
      <c r="G32182" s="272" t="s">
        <v>1099</v>
      </c>
    </row>
    <row r="32183">
      <c r="B32183" s="31"/>
      <c r="G32183" s="272" t="s">
        <v>1099</v>
      </c>
    </row>
    <row r="32184">
      <c r="B32184" s="31"/>
      <c r="G32184" s="272" t="s">
        <v>1099</v>
      </c>
    </row>
    <row r="32185">
      <c r="B32185" s="31"/>
      <c r="G32185" s="272" t="s">
        <v>1099</v>
      </c>
    </row>
    <row r="32186">
      <c r="B32186" s="31"/>
      <c r="G32186" s="272" t="s">
        <v>1099</v>
      </c>
    </row>
    <row r="32187">
      <c r="B32187" s="31"/>
      <c r="G32187" s="272" t="s">
        <v>1099</v>
      </c>
    </row>
    <row r="32188">
      <c r="B32188" s="31"/>
      <c r="G32188" s="272" t="s">
        <v>1099</v>
      </c>
    </row>
    <row r="32189">
      <c r="B32189" s="31"/>
      <c r="G32189" s="272" t="s">
        <v>1099</v>
      </c>
    </row>
    <row r="32190">
      <c r="B32190" s="31"/>
      <c r="G32190" s="272" t="s">
        <v>1099</v>
      </c>
    </row>
    <row r="32191">
      <c r="B32191" s="31"/>
      <c r="G32191" s="272" t="s">
        <v>1099</v>
      </c>
    </row>
    <row r="32192">
      <c r="B32192" s="31"/>
      <c r="G32192" s="272" t="s">
        <v>1099</v>
      </c>
    </row>
    <row r="32193">
      <c r="B32193" s="31"/>
      <c r="G32193" s="272" t="s">
        <v>1099</v>
      </c>
    </row>
    <row r="32194">
      <c r="B32194" s="31"/>
      <c r="G32194" s="272" t="s">
        <v>1099</v>
      </c>
    </row>
    <row r="32195">
      <c r="B32195" s="31"/>
      <c r="G32195" s="272" t="s">
        <v>1099</v>
      </c>
    </row>
    <row r="32196">
      <c r="B32196" s="31"/>
      <c r="G32196" s="272" t="s">
        <v>1099</v>
      </c>
    </row>
    <row r="32197">
      <c r="B32197" s="31"/>
      <c r="G32197" s="272" t="s">
        <v>1099</v>
      </c>
    </row>
    <row r="32198">
      <c r="B32198" s="31"/>
      <c r="G32198" s="272" t="s">
        <v>1099</v>
      </c>
    </row>
    <row r="32199">
      <c r="B32199" s="31"/>
      <c r="G32199" s="272" t="s">
        <v>1099</v>
      </c>
    </row>
    <row r="32200">
      <c r="B32200" s="31"/>
      <c r="G32200" s="272" t="s">
        <v>1099</v>
      </c>
    </row>
    <row r="32201">
      <c r="B32201" s="31"/>
      <c r="G32201" s="272" t="s">
        <v>1099</v>
      </c>
    </row>
    <row r="32202">
      <c r="B32202" s="31"/>
      <c r="G32202" s="272" t="s">
        <v>1099</v>
      </c>
    </row>
    <row r="32203">
      <c r="B32203" s="31"/>
      <c r="G32203" s="272" t="s">
        <v>1099</v>
      </c>
    </row>
    <row r="32204">
      <c r="B32204" s="31"/>
      <c r="G32204" s="272" t="s">
        <v>1099</v>
      </c>
    </row>
    <row r="32205">
      <c r="B32205" s="31"/>
      <c r="G32205" s="272" t="s">
        <v>1099</v>
      </c>
    </row>
    <row r="32206">
      <c r="B32206" s="31"/>
      <c r="G32206" s="272" t="s">
        <v>1099</v>
      </c>
    </row>
    <row r="32207">
      <c r="B32207" s="31"/>
      <c r="G32207" s="272" t="s">
        <v>1099</v>
      </c>
    </row>
    <row r="32208">
      <c r="B32208" s="31"/>
      <c r="G32208" s="272" t="s">
        <v>1099</v>
      </c>
    </row>
    <row r="32209">
      <c r="B32209" s="31"/>
      <c r="G32209" s="272" t="s">
        <v>1099</v>
      </c>
    </row>
    <row r="32210">
      <c r="B32210" s="31"/>
      <c r="G32210" s="272" t="s">
        <v>1099</v>
      </c>
    </row>
    <row r="32211">
      <c r="B32211" s="31"/>
      <c r="G32211" s="272" t="s">
        <v>1099</v>
      </c>
    </row>
    <row r="32212">
      <c r="B32212" s="31"/>
      <c r="G32212" s="272" t="s">
        <v>1099</v>
      </c>
    </row>
    <row r="32213">
      <c r="B32213" s="31"/>
      <c r="G32213" s="272" t="s">
        <v>1099</v>
      </c>
    </row>
    <row r="32214">
      <c r="B32214" s="31"/>
      <c r="G32214" s="272" t="s">
        <v>1099</v>
      </c>
    </row>
    <row r="32215">
      <c r="B32215" s="31"/>
      <c r="G32215" s="272" t="s">
        <v>1099</v>
      </c>
    </row>
    <row r="32216">
      <c r="B32216" s="31"/>
      <c r="G32216" s="272" t="s">
        <v>1099</v>
      </c>
    </row>
    <row r="32217">
      <c r="B32217" s="31"/>
      <c r="G32217" s="272" t="s">
        <v>1099</v>
      </c>
    </row>
    <row r="32218">
      <c r="B32218" s="31"/>
      <c r="G32218" s="272" t="s">
        <v>1099</v>
      </c>
    </row>
    <row r="32219">
      <c r="B32219" s="31"/>
      <c r="G32219" s="272" t="s">
        <v>1099</v>
      </c>
    </row>
    <row r="32220">
      <c r="B32220" s="31"/>
      <c r="G32220" s="272" t="s">
        <v>1099</v>
      </c>
    </row>
    <row r="32221">
      <c r="B32221" s="31"/>
      <c r="G32221" s="272" t="s">
        <v>1099</v>
      </c>
    </row>
    <row r="32222">
      <c r="B32222" s="31"/>
      <c r="G32222" s="272" t="s">
        <v>1099</v>
      </c>
    </row>
    <row r="32223">
      <c r="B32223" s="31"/>
      <c r="G32223" s="272" t="s">
        <v>1099</v>
      </c>
    </row>
    <row r="32224">
      <c r="B32224" s="31"/>
      <c r="G32224" s="272" t="s">
        <v>1099</v>
      </c>
    </row>
    <row r="32225">
      <c r="B32225" s="31"/>
      <c r="G32225" s="272" t="s">
        <v>1099</v>
      </c>
    </row>
    <row r="32226">
      <c r="B32226" s="31"/>
      <c r="G32226" s="272" t="s">
        <v>1099</v>
      </c>
    </row>
    <row r="32227">
      <c r="B32227" s="31"/>
      <c r="G32227" s="272" t="s">
        <v>1099</v>
      </c>
    </row>
    <row r="32228">
      <c r="B32228" s="31"/>
      <c r="G32228" s="272" t="s">
        <v>1099</v>
      </c>
    </row>
    <row r="32229">
      <c r="B32229" s="31"/>
      <c r="G32229" s="272" t="s">
        <v>1099</v>
      </c>
    </row>
    <row r="32230">
      <c r="B32230" s="31"/>
      <c r="G32230" s="272" t="s">
        <v>1099</v>
      </c>
    </row>
    <row r="32231">
      <c r="B32231" s="31"/>
      <c r="G32231" s="272" t="s">
        <v>1099</v>
      </c>
    </row>
    <row r="32232">
      <c r="B32232" s="31"/>
      <c r="G32232" s="272" t="s">
        <v>1099</v>
      </c>
    </row>
    <row r="32233">
      <c r="B32233" s="31"/>
      <c r="G32233" s="272" t="s">
        <v>1099</v>
      </c>
    </row>
    <row r="32234">
      <c r="B32234" s="31"/>
      <c r="G32234" s="272" t="s">
        <v>1099</v>
      </c>
    </row>
    <row r="32235">
      <c r="B32235" s="31"/>
      <c r="G32235" s="272" t="s">
        <v>1099</v>
      </c>
    </row>
    <row r="32236">
      <c r="B32236" s="31"/>
      <c r="G32236" s="272" t="s">
        <v>1099</v>
      </c>
    </row>
    <row r="32237">
      <c r="B32237" s="31"/>
      <c r="G32237" s="272" t="s">
        <v>1099</v>
      </c>
    </row>
    <row r="32238">
      <c r="B32238" s="31"/>
      <c r="G32238" s="272" t="s">
        <v>1099</v>
      </c>
    </row>
    <row r="32239">
      <c r="B32239" s="31"/>
      <c r="G32239" s="272" t="s">
        <v>1099</v>
      </c>
    </row>
    <row r="32240">
      <c r="B32240" s="31"/>
      <c r="G32240" s="272" t="s">
        <v>1099</v>
      </c>
    </row>
    <row r="32241">
      <c r="B32241" s="31"/>
      <c r="G32241" s="272" t="s">
        <v>1099</v>
      </c>
    </row>
    <row r="32242">
      <c r="B32242" s="31"/>
      <c r="G32242" s="272" t="s">
        <v>1099</v>
      </c>
    </row>
    <row r="32243">
      <c r="B32243" s="31"/>
      <c r="G32243" s="272" t="s">
        <v>1099</v>
      </c>
    </row>
    <row r="32244">
      <c r="B32244" s="31"/>
      <c r="G32244" s="272" t="s">
        <v>1099</v>
      </c>
    </row>
    <row r="32245">
      <c r="B32245" s="31"/>
      <c r="G32245" s="272" t="s">
        <v>1099</v>
      </c>
    </row>
    <row r="32246">
      <c r="B32246" s="31"/>
      <c r="G32246" s="272" t="s">
        <v>1099</v>
      </c>
    </row>
    <row r="32247">
      <c r="B32247" s="31"/>
      <c r="G32247" s="272" t="s">
        <v>1099</v>
      </c>
    </row>
    <row r="32248">
      <c r="B32248" s="31"/>
      <c r="G32248" s="272" t="s">
        <v>1099</v>
      </c>
    </row>
    <row r="32249">
      <c r="B32249" s="31"/>
      <c r="G32249" s="272" t="s">
        <v>1099</v>
      </c>
    </row>
    <row r="32250">
      <c r="B32250" s="31"/>
      <c r="G32250" s="272" t="s">
        <v>1099</v>
      </c>
    </row>
    <row r="32251">
      <c r="B32251" s="31"/>
      <c r="G32251" s="272" t="s">
        <v>1099</v>
      </c>
    </row>
    <row r="32252">
      <c r="B32252" s="31"/>
      <c r="G32252" s="272" t="s">
        <v>1099</v>
      </c>
    </row>
    <row r="32253">
      <c r="B32253" s="31"/>
      <c r="G32253" s="272" t="s">
        <v>1099</v>
      </c>
    </row>
    <row r="32254">
      <c r="B32254" s="31"/>
      <c r="G32254" s="272" t="s">
        <v>1099</v>
      </c>
    </row>
    <row r="32255">
      <c r="B32255" s="31"/>
      <c r="G32255" s="272" t="s">
        <v>1099</v>
      </c>
    </row>
    <row r="32256">
      <c r="B32256" s="31"/>
      <c r="G32256" s="272" t="s">
        <v>1099</v>
      </c>
    </row>
    <row r="32257">
      <c r="B32257" s="31"/>
      <c r="G32257" s="272" t="s">
        <v>1099</v>
      </c>
    </row>
    <row r="32258">
      <c r="B32258" s="31"/>
      <c r="G32258" s="272" t="s">
        <v>1099</v>
      </c>
    </row>
    <row r="32259">
      <c r="B32259" s="31"/>
      <c r="G32259" s="272" t="s">
        <v>1099</v>
      </c>
    </row>
    <row r="32260">
      <c r="B32260" s="31"/>
      <c r="G32260" s="272" t="s">
        <v>1099</v>
      </c>
    </row>
    <row r="32261">
      <c r="B32261" s="31"/>
      <c r="G32261" s="272" t="s">
        <v>1099</v>
      </c>
    </row>
    <row r="32262">
      <c r="B32262" s="31"/>
      <c r="G32262" s="272" t="s">
        <v>1099</v>
      </c>
    </row>
    <row r="32263">
      <c r="B32263" s="31"/>
      <c r="G32263" s="272" t="s">
        <v>1099</v>
      </c>
    </row>
    <row r="32264">
      <c r="B32264" s="31"/>
      <c r="G32264" s="272" t="s">
        <v>1099</v>
      </c>
    </row>
    <row r="32265">
      <c r="B32265" s="31"/>
      <c r="G32265" s="272" t="s">
        <v>1099</v>
      </c>
    </row>
    <row r="32266">
      <c r="B32266" s="31"/>
      <c r="G32266" s="272" t="s">
        <v>1099</v>
      </c>
    </row>
    <row r="32267">
      <c r="B32267" s="31"/>
      <c r="G32267" s="272" t="s">
        <v>1099</v>
      </c>
    </row>
    <row r="32268">
      <c r="B32268" s="31"/>
      <c r="G32268" s="272" t="s">
        <v>1099</v>
      </c>
    </row>
    <row r="32269">
      <c r="B32269" s="31"/>
      <c r="G32269" s="272" t="s">
        <v>1099</v>
      </c>
    </row>
    <row r="32270">
      <c r="B32270" s="31"/>
      <c r="G32270" s="272" t="s">
        <v>1099</v>
      </c>
    </row>
    <row r="32271">
      <c r="B32271" s="31"/>
      <c r="G32271" s="272" t="s">
        <v>1099</v>
      </c>
    </row>
    <row r="32272">
      <c r="B32272" s="31"/>
      <c r="G32272" s="272" t="s">
        <v>1099</v>
      </c>
    </row>
    <row r="32273">
      <c r="B32273" s="31"/>
      <c r="G32273" s="272" t="s">
        <v>1099</v>
      </c>
    </row>
    <row r="32274">
      <c r="B32274" s="31"/>
      <c r="G32274" s="272" t="s">
        <v>1099</v>
      </c>
    </row>
    <row r="32275">
      <c r="B32275" s="31"/>
      <c r="G32275" s="272" t="s">
        <v>1099</v>
      </c>
    </row>
    <row r="32276">
      <c r="B32276" s="31"/>
      <c r="G32276" s="272" t="s">
        <v>1099</v>
      </c>
    </row>
    <row r="32277">
      <c r="B32277" s="31"/>
      <c r="G32277" s="272" t="s">
        <v>1099</v>
      </c>
    </row>
    <row r="32278">
      <c r="B32278" s="31"/>
      <c r="G32278" s="272" t="s">
        <v>1099</v>
      </c>
    </row>
    <row r="32279">
      <c r="B32279" s="31"/>
      <c r="G32279" s="272" t="s">
        <v>1099</v>
      </c>
    </row>
    <row r="32280">
      <c r="B32280" s="31"/>
      <c r="G32280" s="272" t="s">
        <v>1099</v>
      </c>
    </row>
    <row r="32281">
      <c r="B32281" s="31"/>
      <c r="G32281" s="272" t="s">
        <v>1099</v>
      </c>
    </row>
    <row r="32282">
      <c r="B32282" s="31"/>
      <c r="G32282" s="272" t="s">
        <v>1099</v>
      </c>
    </row>
    <row r="32283">
      <c r="B32283" s="31"/>
      <c r="G32283" s="272" t="s">
        <v>1099</v>
      </c>
    </row>
    <row r="32284">
      <c r="B32284" s="31"/>
      <c r="G32284" s="272" t="s">
        <v>1099</v>
      </c>
    </row>
    <row r="32285">
      <c r="B32285" s="31"/>
      <c r="G32285" s="272" t="s">
        <v>1099</v>
      </c>
    </row>
    <row r="32286">
      <c r="B32286" s="31"/>
      <c r="G32286" s="272" t="s">
        <v>1099</v>
      </c>
    </row>
    <row r="32287">
      <c r="B32287" s="31"/>
      <c r="G32287" s="272" t="s">
        <v>1099</v>
      </c>
    </row>
    <row r="32288">
      <c r="B32288" s="31"/>
      <c r="G32288" s="272" t="s">
        <v>1099</v>
      </c>
    </row>
    <row r="32289">
      <c r="B32289" s="31"/>
      <c r="G32289" s="272" t="s">
        <v>1099</v>
      </c>
    </row>
    <row r="32290">
      <c r="B32290" s="31"/>
      <c r="G32290" s="272" t="s">
        <v>1099</v>
      </c>
    </row>
    <row r="32291">
      <c r="B32291" s="31"/>
      <c r="G32291" s="272" t="s">
        <v>1099</v>
      </c>
    </row>
    <row r="32292">
      <c r="B32292" s="31"/>
      <c r="G32292" s="272" t="s">
        <v>1099</v>
      </c>
    </row>
    <row r="32293">
      <c r="B32293" s="31"/>
      <c r="G32293" s="272" t="s">
        <v>1099</v>
      </c>
    </row>
    <row r="32294">
      <c r="B32294" s="31"/>
      <c r="G32294" s="272" t="s">
        <v>1099</v>
      </c>
    </row>
    <row r="32295">
      <c r="B32295" s="31"/>
      <c r="G32295" s="272" t="s">
        <v>1099</v>
      </c>
    </row>
    <row r="32296">
      <c r="B32296" s="31"/>
      <c r="G32296" s="272" t="s">
        <v>1099</v>
      </c>
    </row>
    <row r="32297">
      <c r="B32297" s="31"/>
      <c r="G32297" s="272" t="s">
        <v>1099</v>
      </c>
    </row>
    <row r="32298">
      <c r="B32298" s="31"/>
      <c r="G32298" s="272" t="s">
        <v>1099</v>
      </c>
    </row>
    <row r="32299">
      <c r="B32299" s="31"/>
      <c r="G32299" s="272" t="s">
        <v>1099</v>
      </c>
    </row>
    <row r="32300">
      <c r="B32300" s="31"/>
      <c r="G32300" s="272" t="s">
        <v>1099</v>
      </c>
    </row>
    <row r="32301">
      <c r="B32301" s="31"/>
      <c r="G32301" s="272" t="s">
        <v>1099</v>
      </c>
    </row>
    <row r="32302">
      <c r="B32302" s="31"/>
      <c r="G32302" s="272" t="s">
        <v>1099</v>
      </c>
    </row>
    <row r="32303">
      <c r="B32303" s="31"/>
      <c r="G32303" s="272" t="s">
        <v>1099</v>
      </c>
    </row>
    <row r="32304">
      <c r="B32304" s="31"/>
      <c r="G32304" s="272" t="s">
        <v>1099</v>
      </c>
    </row>
    <row r="32305">
      <c r="B32305" s="31"/>
      <c r="G32305" s="272" t="s">
        <v>1099</v>
      </c>
    </row>
    <row r="32306">
      <c r="B32306" s="31"/>
      <c r="G32306" s="272" t="s">
        <v>1099</v>
      </c>
    </row>
    <row r="32307">
      <c r="B32307" s="31"/>
      <c r="G32307" s="272" t="s">
        <v>1099</v>
      </c>
    </row>
    <row r="32308">
      <c r="B32308" s="31"/>
      <c r="G32308" s="272" t="s">
        <v>1099</v>
      </c>
    </row>
    <row r="32309">
      <c r="B32309" s="31"/>
      <c r="G32309" s="272" t="s">
        <v>1099</v>
      </c>
    </row>
    <row r="32310">
      <c r="B32310" s="31"/>
      <c r="G32310" s="272" t="s">
        <v>1099</v>
      </c>
    </row>
    <row r="32311">
      <c r="B32311" s="31"/>
      <c r="G32311" s="272" t="s">
        <v>1099</v>
      </c>
    </row>
    <row r="32312">
      <c r="B32312" s="31"/>
      <c r="G32312" s="272" t="s">
        <v>1099</v>
      </c>
    </row>
    <row r="32313">
      <c r="B32313" s="31"/>
      <c r="G32313" s="272" t="s">
        <v>1099</v>
      </c>
    </row>
    <row r="32314">
      <c r="B32314" s="31"/>
      <c r="G32314" s="272" t="s">
        <v>1099</v>
      </c>
    </row>
    <row r="32315">
      <c r="B32315" s="31"/>
      <c r="G32315" s="272" t="s">
        <v>1099</v>
      </c>
    </row>
    <row r="32316">
      <c r="B32316" s="31"/>
      <c r="G32316" s="272" t="s">
        <v>1099</v>
      </c>
    </row>
    <row r="32317">
      <c r="B32317" s="31"/>
      <c r="G32317" s="272" t="s">
        <v>1099</v>
      </c>
    </row>
    <row r="32318">
      <c r="B32318" s="31"/>
      <c r="G32318" s="272" t="s">
        <v>1099</v>
      </c>
    </row>
    <row r="32319">
      <c r="B32319" s="31"/>
      <c r="G32319" s="272" t="s">
        <v>1099</v>
      </c>
    </row>
    <row r="32320">
      <c r="B32320" s="31"/>
      <c r="G32320" s="272" t="s">
        <v>1099</v>
      </c>
    </row>
    <row r="32321">
      <c r="B32321" s="31"/>
      <c r="G32321" s="272" t="s">
        <v>1099</v>
      </c>
    </row>
    <row r="32322">
      <c r="B32322" s="31"/>
      <c r="G32322" s="272" t="s">
        <v>1099</v>
      </c>
    </row>
    <row r="32323">
      <c r="B32323" s="31"/>
      <c r="G32323" s="272" t="s">
        <v>1099</v>
      </c>
    </row>
    <row r="32324">
      <c r="B32324" s="31"/>
      <c r="G32324" s="272" t="s">
        <v>1099</v>
      </c>
    </row>
    <row r="32325">
      <c r="B32325" s="31"/>
      <c r="G32325" s="272" t="s">
        <v>1099</v>
      </c>
    </row>
    <row r="32326">
      <c r="B32326" s="31"/>
      <c r="G32326" s="272" t="s">
        <v>1099</v>
      </c>
    </row>
    <row r="32327">
      <c r="B32327" s="31"/>
      <c r="G32327" s="272" t="s">
        <v>1099</v>
      </c>
    </row>
    <row r="32328">
      <c r="B32328" s="31"/>
      <c r="G32328" s="272" t="s">
        <v>1099</v>
      </c>
    </row>
    <row r="32329">
      <c r="B32329" s="31"/>
      <c r="G32329" s="272" t="s">
        <v>1099</v>
      </c>
    </row>
    <row r="32330">
      <c r="B32330" s="31"/>
      <c r="G32330" s="272" t="s">
        <v>1099</v>
      </c>
    </row>
    <row r="32331">
      <c r="B32331" s="31"/>
      <c r="G32331" s="272" t="s">
        <v>1099</v>
      </c>
    </row>
    <row r="32332">
      <c r="B32332" s="31"/>
      <c r="G32332" s="272" t="s">
        <v>1099</v>
      </c>
    </row>
    <row r="32333">
      <c r="B32333" s="31"/>
      <c r="G32333" s="272" t="s">
        <v>1099</v>
      </c>
    </row>
    <row r="32334">
      <c r="B32334" s="31"/>
      <c r="G32334" s="272" t="s">
        <v>1099</v>
      </c>
    </row>
    <row r="32335">
      <c r="B32335" s="31"/>
      <c r="G32335" s="272" t="s">
        <v>1099</v>
      </c>
    </row>
    <row r="32336">
      <c r="B32336" s="31"/>
      <c r="G32336" s="272" t="s">
        <v>1099</v>
      </c>
    </row>
    <row r="32337">
      <c r="B32337" s="31"/>
      <c r="G32337" s="272" t="s">
        <v>1099</v>
      </c>
    </row>
    <row r="32338">
      <c r="B32338" s="31"/>
      <c r="G32338" s="272" t="s">
        <v>1099</v>
      </c>
    </row>
    <row r="32339">
      <c r="B32339" s="31"/>
      <c r="G32339" s="272" t="s">
        <v>1099</v>
      </c>
    </row>
    <row r="32340">
      <c r="B32340" s="31"/>
      <c r="G32340" s="272" t="s">
        <v>1099</v>
      </c>
    </row>
    <row r="32341">
      <c r="B32341" s="31"/>
      <c r="G32341" s="272" t="s">
        <v>1099</v>
      </c>
    </row>
    <row r="32342">
      <c r="B32342" s="31"/>
      <c r="G32342" s="272" t="s">
        <v>1099</v>
      </c>
    </row>
    <row r="32343">
      <c r="B32343" s="31"/>
      <c r="G32343" s="272" t="s">
        <v>1099</v>
      </c>
    </row>
    <row r="32344">
      <c r="B32344" s="31"/>
      <c r="G32344" s="272" t="s">
        <v>1099</v>
      </c>
    </row>
    <row r="32345">
      <c r="B32345" s="31"/>
      <c r="G32345" s="272" t="s">
        <v>1099</v>
      </c>
    </row>
    <row r="32346">
      <c r="B32346" s="31"/>
      <c r="G32346" s="272" t="s">
        <v>1099</v>
      </c>
    </row>
    <row r="32347">
      <c r="B32347" s="31"/>
      <c r="G32347" s="272" t="s">
        <v>1099</v>
      </c>
    </row>
    <row r="32348">
      <c r="B32348" s="31"/>
      <c r="G32348" s="272" t="s">
        <v>1099</v>
      </c>
    </row>
    <row r="32349">
      <c r="B32349" s="31"/>
      <c r="G32349" s="272" t="s">
        <v>1099</v>
      </c>
    </row>
    <row r="32350">
      <c r="B32350" s="31"/>
      <c r="G32350" s="272" t="s">
        <v>1099</v>
      </c>
    </row>
    <row r="32351">
      <c r="B32351" s="31"/>
      <c r="G32351" s="272" t="s">
        <v>1099</v>
      </c>
    </row>
    <row r="32352">
      <c r="B32352" s="31"/>
      <c r="G32352" s="272" t="s">
        <v>1099</v>
      </c>
    </row>
    <row r="32353">
      <c r="B32353" s="31"/>
      <c r="G32353" s="272" t="s">
        <v>1099</v>
      </c>
    </row>
    <row r="32354">
      <c r="B32354" s="31"/>
      <c r="G32354" s="272" t="s">
        <v>1099</v>
      </c>
    </row>
    <row r="32355">
      <c r="B32355" s="31"/>
      <c r="G32355" s="272" t="s">
        <v>1099</v>
      </c>
    </row>
    <row r="32356">
      <c r="B32356" s="31"/>
      <c r="G32356" s="272" t="s">
        <v>1099</v>
      </c>
    </row>
    <row r="32357">
      <c r="B32357" s="31"/>
      <c r="G32357" s="272" t="s">
        <v>1099</v>
      </c>
    </row>
    <row r="32358">
      <c r="B32358" s="31"/>
      <c r="G32358" s="272" t="s">
        <v>1099</v>
      </c>
    </row>
    <row r="32359">
      <c r="B32359" s="31"/>
      <c r="G32359" s="272" t="s">
        <v>1099</v>
      </c>
    </row>
    <row r="32360">
      <c r="B32360" s="31"/>
      <c r="G32360" s="272" t="s">
        <v>1099</v>
      </c>
    </row>
    <row r="32361">
      <c r="B32361" s="31"/>
      <c r="G32361" s="272" t="s">
        <v>1099</v>
      </c>
    </row>
    <row r="32362">
      <c r="B32362" s="31"/>
      <c r="G32362" s="272" t="s">
        <v>1099</v>
      </c>
    </row>
    <row r="32363">
      <c r="B32363" s="31"/>
      <c r="G32363" s="272" t="s">
        <v>1099</v>
      </c>
    </row>
    <row r="32364">
      <c r="B32364" s="31"/>
      <c r="G32364" s="272" t="s">
        <v>1099</v>
      </c>
    </row>
    <row r="32365">
      <c r="B32365" s="31"/>
      <c r="G32365" s="272" t="s">
        <v>1099</v>
      </c>
    </row>
    <row r="32366">
      <c r="B32366" s="31"/>
      <c r="G32366" s="272" t="s">
        <v>1099</v>
      </c>
    </row>
    <row r="32367">
      <c r="B32367" s="31"/>
      <c r="G32367" s="272" t="s">
        <v>1099</v>
      </c>
    </row>
    <row r="32368">
      <c r="B32368" s="31"/>
      <c r="G32368" s="272" t="s">
        <v>1099</v>
      </c>
    </row>
    <row r="32369">
      <c r="B32369" s="31"/>
      <c r="G32369" s="272" t="s">
        <v>1099</v>
      </c>
    </row>
    <row r="32370">
      <c r="B32370" s="31"/>
      <c r="G32370" s="272" t="s">
        <v>1099</v>
      </c>
    </row>
    <row r="32371">
      <c r="B32371" s="31"/>
      <c r="G32371" s="272" t="s">
        <v>1099</v>
      </c>
    </row>
    <row r="32372">
      <c r="B32372" s="31"/>
      <c r="G32372" s="272" t="s">
        <v>1099</v>
      </c>
    </row>
    <row r="32373">
      <c r="B32373" s="31"/>
      <c r="G32373" s="272" t="s">
        <v>1099</v>
      </c>
    </row>
    <row r="32374">
      <c r="B32374" s="31"/>
      <c r="G32374" s="272" t="s">
        <v>1099</v>
      </c>
    </row>
    <row r="32375">
      <c r="B32375" s="31"/>
      <c r="G32375" s="272" t="s">
        <v>1099</v>
      </c>
    </row>
    <row r="32376">
      <c r="B32376" s="31"/>
      <c r="G32376" s="272" t="s">
        <v>1099</v>
      </c>
    </row>
    <row r="32377">
      <c r="B32377" s="31"/>
      <c r="G32377" s="272" t="s">
        <v>1099</v>
      </c>
    </row>
    <row r="32378">
      <c r="B32378" s="31"/>
      <c r="G32378" s="272" t="s">
        <v>1099</v>
      </c>
    </row>
    <row r="32379">
      <c r="B32379" s="31"/>
      <c r="G32379" s="272" t="s">
        <v>1099</v>
      </c>
    </row>
    <row r="32380">
      <c r="B32380" s="31"/>
      <c r="G32380" s="272" t="s">
        <v>1099</v>
      </c>
    </row>
    <row r="32381">
      <c r="B32381" s="31"/>
      <c r="G32381" s="272" t="s">
        <v>1099</v>
      </c>
    </row>
    <row r="32382">
      <c r="B32382" s="31"/>
      <c r="G32382" s="272" t="s">
        <v>1099</v>
      </c>
    </row>
    <row r="32383">
      <c r="B32383" s="31"/>
      <c r="G32383" s="272" t="s">
        <v>1099</v>
      </c>
    </row>
    <row r="32384">
      <c r="B32384" s="31"/>
      <c r="G32384" s="272" t="s">
        <v>1099</v>
      </c>
    </row>
    <row r="32385">
      <c r="B32385" s="31"/>
      <c r="G32385" s="272" t="s">
        <v>1099</v>
      </c>
    </row>
    <row r="32386">
      <c r="B32386" s="31"/>
      <c r="G32386" s="272" t="s">
        <v>1099</v>
      </c>
    </row>
    <row r="32387">
      <c r="B32387" s="31"/>
      <c r="G32387" s="272" t="s">
        <v>1099</v>
      </c>
    </row>
    <row r="32388">
      <c r="B32388" s="31"/>
      <c r="G32388" s="272" t="s">
        <v>1099</v>
      </c>
    </row>
    <row r="32389">
      <c r="B32389" s="31"/>
      <c r="G32389" s="272" t="s">
        <v>1099</v>
      </c>
    </row>
    <row r="32390">
      <c r="B32390" s="31"/>
      <c r="G32390" s="272" t="s">
        <v>1099</v>
      </c>
    </row>
    <row r="32391">
      <c r="B32391" s="31"/>
      <c r="G32391" s="272" t="s">
        <v>1099</v>
      </c>
    </row>
    <row r="32392">
      <c r="B32392" s="31"/>
      <c r="G32392" s="272" t="s">
        <v>1099</v>
      </c>
    </row>
    <row r="32393">
      <c r="B32393" s="31"/>
      <c r="G32393" s="272" t="s">
        <v>1099</v>
      </c>
    </row>
    <row r="32394">
      <c r="B32394" s="31"/>
      <c r="G32394" s="272" t="s">
        <v>1099</v>
      </c>
    </row>
    <row r="32395">
      <c r="B32395" s="31"/>
      <c r="G32395" s="272" t="s">
        <v>1099</v>
      </c>
    </row>
    <row r="32396">
      <c r="B32396" s="31"/>
      <c r="G32396" s="272" t="s">
        <v>1099</v>
      </c>
    </row>
    <row r="32397">
      <c r="B32397" s="31"/>
      <c r="G32397" s="272" t="s">
        <v>1099</v>
      </c>
    </row>
    <row r="32398">
      <c r="B32398" s="31"/>
      <c r="G32398" s="272" t="s">
        <v>1099</v>
      </c>
    </row>
    <row r="32399">
      <c r="B32399" s="31"/>
      <c r="G32399" s="272" t="s">
        <v>1099</v>
      </c>
    </row>
    <row r="32400">
      <c r="B32400" s="31"/>
      <c r="G32400" s="272" t="s">
        <v>1099</v>
      </c>
    </row>
    <row r="32401">
      <c r="B32401" s="31"/>
      <c r="G32401" s="272" t="s">
        <v>1099</v>
      </c>
    </row>
    <row r="32402">
      <c r="B32402" s="31"/>
      <c r="G32402" s="272" t="s">
        <v>1099</v>
      </c>
    </row>
    <row r="32403">
      <c r="B32403" s="31"/>
      <c r="G32403" s="272" t="s">
        <v>1099</v>
      </c>
    </row>
    <row r="32404">
      <c r="B32404" s="31"/>
      <c r="G32404" s="272" t="s">
        <v>1099</v>
      </c>
    </row>
    <row r="32405">
      <c r="B32405" s="31"/>
      <c r="G32405" s="272" t="s">
        <v>1099</v>
      </c>
    </row>
    <row r="32406">
      <c r="B32406" s="31"/>
      <c r="G32406" s="272" t="s">
        <v>1099</v>
      </c>
    </row>
    <row r="32407">
      <c r="B32407" s="31"/>
      <c r="G32407" s="272" t="s">
        <v>1099</v>
      </c>
    </row>
    <row r="32408">
      <c r="B32408" s="31"/>
      <c r="G32408" s="272" t="s">
        <v>1099</v>
      </c>
    </row>
    <row r="32409">
      <c r="B32409" s="31"/>
      <c r="G32409" s="272" t="s">
        <v>1099</v>
      </c>
    </row>
    <row r="32410">
      <c r="B32410" s="31"/>
      <c r="G32410" s="272" t="s">
        <v>1099</v>
      </c>
    </row>
    <row r="32411">
      <c r="B32411" s="31"/>
      <c r="G32411" s="272" t="s">
        <v>1099</v>
      </c>
    </row>
    <row r="32412">
      <c r="B32412" s="31"/>
      <c r="G32412" s="272" t="s">
        <v>1099</v>
      </c>
    </row>
    <row r="32413">
      <c r="B32413" s="31"/>
      <c r="G32413" s="272" t="s">
        <v>1099</v>
      </c>
    </row>
    <row r="32414">
      <c r="B32414" s="31"/>
      <c r="G32414" s="272" t="s">
        <v>1099</v>
      </c>
    </row>
    <row r="32415">
      <c r="B32415" s="31"/>
      <c r="G32415" s="272" t="s">
        <v>1099</v>
      </c>
    </row>
    <row r="32416">
      <c r="B32416" s="31"/>
      <c r="G32416" s="272" t="s">
        <v>1099</v>
      </c>
    </row>
    <row r="32417">
      <c r="B32417" s="31"/>
      <c r="G32417" s="272" t="s">
        <v>1099</v>
      </c>
    </row>
    <row r="32418">
      <c r="B32418" s="31"/>
      <c r="G32418" s="272" t="s">
        <v>1099</v>
      </c>
    </row>
    <row r="32419">
      <c r="B32419" s="31"/>
      <c r="G32419" s="272" t="s">
        <v>1099</v>
      </c>
    </row>
    <row r="32420">
      <c r="B32420" s="31"/>
      <c r="G32420" s="272" t="s">
        <v>1099</v>
      </c>
    </row>
    <row r="32421">
      <c r="B32421" s="31"/>
      <c r="G32421" s="272" t="s">
        <v>1099</v>
      </c>
    </row>
    <row r="32422">
      <c r="B32422" s="31"/>
      <c r="G32422" s="272" t="s">
        <v>1099</v>
      </c>
    </row>
    <row r="32423">
      <c r="B32423" s="31"/>
      <c r="G32423" s="272" t="s">
        <v>1099</v>
      </c>
    </row>
    <row r="32424">
      <c r="B32424" s="31"/>
      <c r="G32424" s="272" t="s">
        <v>1099</v>
      </c>
    </row>
    <row r="32425">
      <c r="B32425" s="31"/>
      <c r="G32425" s="272" t="s">
        <v>1099</v>
      </c>
    </row>
    <row r="32426">
      <c r="B32426" s="31"/>
      <c r="G32426" s="272" t="s">
        <v>1099</v>
      </c>
    </row>
    <row r="32427">
      <c r="B32427" s="31"/>
      <c r="G32427" s="272" t="s">
        <v>1099</v>
      </c>
    </row>
    <row r="32428">
      <c r="B32428" s="31"/>
      <c r="G32428" s="272" t="s">
        <v>1099</v>
      </c>
    </row>
    <row r="32429">
      <c r="B32429" s="31"/>
      <c r="G32429" s="272" t="s">
        <v>1099</v>
      </c>
    </row>
    <row r="32430">
      <c r="B32430" s="31"/>
      <c r="G32430" s="272" t="s">
        <v>1099</v>
      </c>
    </row>
    <row r="32431">
      <c r="B32431" s="31"/>
      <c r="G32431" s="272" t="s">
        <v>1099</v>
      </c>
    </row>
    <row r="32432">
      <c r="B32432" s="31"/>
      <c r="G32432" s="272" t="s">
        <v>1099</v>
      </c>
    </row>
    <row r="32433">
      <c r="B32433" s="31"/>
      <c r="G32433" s="272" t="s">
        <v>1099</v>
      </c>
    </row>
    <row r="32434">
      <c r="B32434" s="31"/>
      <c r="G32434" s="272" t="s">
        <v>1099</v>
      </c>
    </row>
    <row r="32435">
      <c r="B32435" s="31"/>
      <c r="G32435" s="272" t="s">
        <v>1099</v>
      </c>
    </row>
    <row r="32436">
      <c r="B32436" s="31"/>
      <c r="G32436" s="272" t="s">
        <v>1099</v>
      </c>
    </row>
    <row r="32437">
      <c r="B32437" s="31"/>
      <c r="G32437" s="272" t="s">
        <v>1099</v>
      </c>
    </row>
    <row r="32438">
      <c r="B32438" s="31"/>
      <c r="G32438" s="272" t="s">
        <v>1099</v>
      </c>
    </row>
    <row r="32439">
      <c r="B32439" s="31"/>
      <c r="G32439" s="272" t="s">
        <v>1099</v>
      </c>
    </row>
    <row r="32440">
      <c r="B32440" s="31"/>
      <c r="G32440" s="272" t="s">
        <v>1099</v>
      </c>
    </row>
    <row r="32441">
      <c r="B32441" s="31"/>
      <c r="G32441" s="272" t="s">
        <v>1099</v>
      </c>
    </row>
    <row r="32442">
      <c r="B32442" s="31"/>
      <c r="G32442" s="272" t="s">
        <v>1099</v>
      </c>
    </row>
    <row r="32443">
      <c r="B32443" s="31"/>
      <c r="G32443" s="272" t="s">
        <v>1099</v>
      </c>
    </row>
    <row r="32444">
      <c r="B32444" s="31"/>
      <c r="G32444" s="272" t="s">
        <v>1099</v>
      </c>
    </row>
    <row r="32445">
      <c r="B32445" s="31"/>
      <c r="G32445" s="272" t="s">
        <v>1099</v>
      </c>
    </row>
    <row r="32446">
      <c r="B32446" s="31"/>
      <c r="G32446" s="272" t="s">
        <v>1099</v>
      </c>
    </row>
    <row r="32447">
      <c r="B32447" s="31"/>
      <c r="G32447" s="272" t="s">
        <v>1099</v>
      </c>
    </row>
    <row r="32448">
      <c r="B32448" s="31"/>
      <c r="G32448" s="272" t="s">
        <v>1099</v>
      </c>
    </row>
    <row r="32449">
      <c r="B32449" s="31"/>
      <c r="G32449" s="272" t="s">
        <v>1099</v>
      </c>
    </row>
    <row r="32450">
      <c r="B32450" s="31"/>
      <c r="G32450" s="272" t="s">
        <v>1099</v>
      </c>
    </row>
    <row r="32451">
      <c r="B32451" s="31"/>
      <c r="G32451" s="272" t="s">
        <v>1099</v>
      </c>
    </row>
    <row r="32452">
      <c r="B32452" s="31"/>
      <c r="G32452" s="272" t="s">
        <v>1099</v>
      </c>
    </row>
    <row r="32453">
      <c r="B32453" s="31"/>
      <c r="G32453" s="272" t="s">
        <v>1099</v>
      </c>
    </row>
    <row r="32454">
      <c r="B32454" s="31"/>
      <c r="G32454" s="272" t="s">
        <v>1099</v>
      </c>
    </row>
    <row r="32455">
      <c r="B32455" s="31"/>
      <c r="G32455" s="272" t="s">
        <v>1099</v>
      </c>
    </row>
    <row r="32456">
      <c r="B32456" s="31"/>
      <c r="G32456" s="272" t="s">
        <v>1099</v>
      </c>
    </row>
    <row r="32457">
      <c r="B32457" s="31"/>
      <c r="G32457" s="272" t="s">
        <v>1099</v>
      </c>
    </row>
    <row r="32458">
      <c r="B32458" s="31"/>
      <c r="G32458" s="272" t="s">
        <v>1099</v>
      </c>
    </row>
    <row r="32459">
      <c r="B32459" s="31"/>
      <c r="G32459" s="272" t="s">
        <v>1099</v>
      </c>
    </row>
    <row r="32460">
      <c r="B32460" s="31"/>
      <c r="G32460" s="272" t="s">
        <v>1099</v>
      </c>
    </row>
    <row r="32461">
      <c r="B32461" s="31"/>
      <c r="G32461" s="272" t="s">
        <v>1099</v>
      </c>
    </row>
    <row r="32462">
      <c r="B32462" s="31"/>
      <c r="G32462" s="272" t="s">
        <v>1099</v>
      </c>
    </row>
    <row r="32463">
      <c r="B32463" s="31"/>
      <c r="G32463" s="272" t="s">
        <v>1099</v>
      </c>
    </row>
    <row r="32464">
      <c r="B32464" s="31"/>
      <c r="G32464" s="272" t="s">
        <v>1099</v>
      </c>
    </row>
    <row r="32465">
      <c r="B32465" s="31"/>
      <c r="G32465" s="272" t="s">
        <v>1099</v>
      </c>
    </row>
    <row r="32466">
      <c r="B32466" s="31"/>
      <c r="G32466" s="272" t="s">
        <v>1099</v>
      </c>
    </row>
    <row r="32467">
      <c r="B32467" s="31"/>
      <c r="G32467" s="272" t="s">
        <v>1099</v>
      </c>
    </row>
    <row r="32468">
      <c r="B32468" s="31"/>
      <c r="G32468" s="272" t="s">
        <v>1099</v>
      </c>
    </row>
    <row r="32469">
      <c r="B32469" s="31"/>
      <c r="G32469" s="272" t="s">
        <v>1099</v>
      </c>
    </row>
    <row r="32470">
      <c r="B32470" s="31"/>
      <c r="G32470" s="272" t="s">
        <v>1099</v>
      </c>
    </row>
    <row r="32471">
      <c r="B32471" s="31"/>
      <c r="G32471" s="272" t="s">
        <v>1099</v>
      </c>
    </row>
    <row r="32472">
      <c r="B32472" s="31"/>
      <c r="G32472" s="272" t="s">
        <v>1099</v>
      </c>
    </row>
    <row r="32473">
      <c r="B32473" s="31"/>
      <c r="G32473" s="272" t="s">
        <v>1099</v>
      </c>
    </row>
    <row r="32474">
      <c r="B32474" s="31"/>
      <c r="G32474" s="272" t="s">
        <v>1099</v>
      </c>
    </row>
    <row r="32475">
      <c r="B32475" s="31"/>
      <c r="G32475" s="272" t="s">
        <v>1099</v>
      </c>
    </row>
    <row r="32476">
      <c r="B32476" s="31"/>
      <c r="G32476" s="272" t="s">
        <v>1099</v>
      </c>
    </row>
    <row r="32477">
      <c r="B32477" s="31"/>
      <c r="G32477" s="272" t="s">
        <v>1099</v>
      </c>
    </row>
    <row r="32478">
      <c r="B32478" s="31"/>
      <c r="G32478" s="272" t="s">
        <v>1099</v>
      </c>
    </row>
    <row r="32479">
      <c r="B32479" s="31"/>
      <c r="G32479" s="272" t="s">
        <v>1099</v>
      </c>
    </row>
    <row r="32480">
      <c r="B32480" s="31"/>
      <c r="G32480" s="272" t="s">
        <v>1099</v>
      </c>
    </row>
    <row r="32481">
      <c r="B32481" s="31"/>
      <c r="G32481" s="272" t="s">
        <v>1099</v>
      </c>
    </row>
    <row r="32482">
      <c r="B32482" s="31"/>
      <c r="G32482" s="272" t="s">
        <v>1099</v>
      </c>
    </row>
    <row r="32483">
      <c r="B32483" s="31"/>
      <c r="G32483" s="272" t="s">
        <v>1099</v>
      </c>
    </row>
    <row r="32484">
      <c r="B32484" s="31"/>
      <c r="G32484" s="272" t="s">
        <v>1099</v>
      </c>
    </row>
    <row r="32485">
      <c r="B32485" s="31"/>
      <c r="G32485" s="272" t="s">
        <v>1099</v>
      </c>
    </row>
    <row r="32486">
      <c r="B32486" s="31"/>
      <c r="G32486" s="272" t="s">
        <v>1099</v>
      </c>
    </row>
    <row r="32487">
      <c r="B32487" s="31"/>
      <c r="G32487" s="272" t="s">
        <v>1099</v>
      </c>
    </row>
    <row r="32488">
      <c r="B32488" s="31"/>
      <c r="G32488" s="272" t="s">
        <v>1099</v>
      </c>
    </row>
    <row r="32489">
      <c r="B32489" s="31"/>
      <c r="G32489" s="272" t="s">
        <v>1099</v>
      </c>
    </row>
    <row r="32490">
      <c r="B32490" s="31"/>
      <c r="G32490" s="272" t="s">
        <v>1099</v>
      </c>
    </row>
    <row r="32491">
      <c r="B32491" s="31"/>
      <c r="G32491" s="272" t="s">
        <v>1099</v>
      </c>
    </row>
    <row r="32492">
      <c r="B32492" s="31"/>
      <c r="G32492" s="272" t="s">
        <v>1099</v>
      </c>
    </row>
    <row r="32493">
      <c r="B32493" s="31"/>
      <c r="G32493" s="272" t="s">
        <v>1099</v>
      </c>
    </row>
    <row r="32494">
      <c r="B32494" s="31"/>
      <c r="G32494" s="272" t="s">
        <v>1099</v>
      </c>
    </row>
    <row r="32495">
      <c r="B32495" s="31"/>
      <c r="G32495" s="272" t="s">
        <v>1099</v>
      </c>
    </row>
    <row r="32496">
      <c r="B32496" s="31"/>
      <c r="G32496" s="272" t="s">
        <v>1099</v>
      </c>
    </row>
    <row r="32497">
      <c r="B32497" s="31"/>
      <c r="G32497" s="272" t="s">
        <v>1099</v>
      </c>
    </row>
    <row r="32498">
      <c r="B32498" s="31"/>
      <c r="G32498" s="272" t="s">
        <v>1099</v>
      </c>
    </row>
    <row r="32499">
      <c r="B32499" s="31"/>
      <c r="G32499" s="272" t="s">
        <v>1099</v>
      </c>
    </row>
    <row r="32500">
      <c r="B32500" s="31"/>
      <c r="G32500" s="272" t="s">
        <v>1099</v>
      </c>
    </row>
    <row r="32501">
      <c r="B32501" s="31"/>
      <c r="G32501" s="272" t="s">
        <v>1099</v>
      </c>
    </row>
    <row r="32502">
      <c r="B32502" s="31"/>
      <c r="G32502" s="272" t="s">
        <v>1099</v>
      </c>
    </row>
    <row r="32503">
      <c r="B32503" s="31"/>
      <c r="G32503" s="272" t="s">
        <v>1099</v>
      </c>
    </row>
    <row r="32504">
      <c r="B32504" s="31"/>
      <c r="G32504" s="272" t="s">
        <v>1099</v>
      </c>
    </row>
    <row r="32505">
      <c r="B32505" s="31"/>
      <c r="G32505" s="272" t="s">
        <v>1099</v>
      </c>
    </row>
    <row r="32506">
      <c r="B32506" s="31"/>
      <c r="G32506" s="272" t="s">
        <v>1099</v>
      </c>
    </row>
    <row r="32507">
      <c r="B32507" s="31"/>
      <c r="G32507" s="272" t="s">
        <v>1099</v>
      </c>
    </row>
    <row r="32508">
      <c r="B32508" s="31"/>
      <c r="G32508" s="272" t="s">
        <v>1099</v>
      </c>
    </row>
    <row r="32509">
      <c r="B32509" s="31"/>
      <c r="G32509" s="272" t="s">
        <v>1099</v>
      </c>
    </row>
    <row r="32510">
      <c r="B32510" s="31"/>
      <c r="G32510" s="272" t="s">
        <v>1099</v>
      </c>
    </row>
    <row r="32511">
      <c r="B32511" s="31"/>
      <c r="G32511" s="272" t="s">
        <v>1099</v>
      </c>
    </row>
    <row r="32512">
      <c r="B32512" s="31"/>
      <c r="G32512" s="272" t="s">
        <v>1099</v>
      </c>
    </row>
    <row r="32513">
      <c r="B32513" s="31"/>
      <c r="G32513" s="272" t="s">
        <v>1099</v>
      </c>
    </row>
    <row r="32514">
      <c r="B32514" s="31"/>
      <c r="G32514" s="272" t="s">
        <v>1099</v>
      </c>
    </row>
    <row r="32515">
      <c r="B32515" s="31"/>
      <c r="G32515" s="272" t="s">
        <v>1099</v>
      </c>
    </row>
    <row r="32516">
      <c r="B32516" s="31"/>
      <c r="G32516" s="272" t="s">
        <v>1099</v>
      </c>
    </row>
    <row r="32517">
      <c r="B32517" s="31"/>
      <c r="G32517" s="272" t="s">
        <v>1099</v>
      </c>
    </row>
    <row r="32518">
      <c r="B32518" s="31"/>
      <c r="G32518" s="272" t="s">
        <v>1099</v>
      </c>
    </row>
    <row r="32519">
      <c r="B32519" s="31"/>
      <c r="G32519" s="272" t="s">
        <v>1099</v>
      </c>
    </row>
    <row r="32520">
      <c r="B32520" s="31"/>
      <c r="G32520" s="272" t="s">
        <v>1099</v>
      </c>
    </row>
    <row r="32521">
      <c r="B32521" s="31"/>
      <c r="G32521" s="272" t="s">
        <v>1099</v>
      </c>
    </row>
    <row r="32522">
      <c r="B32522" s="31"/>
      <c r="G32522" s="272" t="s">
        <v>1099</v>
      </c>
    </row>
    <row r="32523">
      <c r="B32523" s="31"/>
      <c r="G32523" s="272" t="s">
        <v>1099</v>
      </c>
    </row>
    <row r="32524">
      <c r="B32524" s="31"/>
      <c r="G32524" s="272" t="s">
        <v>1099</v>
      </c>
    </row>
    <row r="32525">
      <c r="B32525" s="31"/>
      <c r="G32525" s="272" t="s">
        <v>1099</v>
      </c>
    </row>
    <row r="32526">
      <c r="B32526" s="31"/>
      <c r="G32526" s="272" t="s">
        <v>1099</v>
      </c>
    </row>
    <row r="32527">
      <c r="B32527" s="31"/>
      <c r="G32527" s="272" t="s">
        <v>1099</v>
      </c>
    </row>
    <row r="32528">
      <c r="B32528" s="31"/>
      <c r="G32528" s="272" t="s">
        <v>1099</v>
      </c>
    </row>
    <row r="32529">
      <c r="B32529" s="31"/>
      <c r="G32529" s="272" t="s">
        <v>1099</v>
      </c>
    </row>
    <row r="32530">
      <c r="B32530" s="31"/>
      <c r="G32530" s="272" t="s">
        <v>1099</v>
      </c>
    </row>
    <row r="32531">
      <c r="B32531" s="31"/>
      <c r="G32531" s="272" t="s">
        <v>1099</v>
      </c>
    </row>
    <row r="32532">
      <c r="B32532" s="31"/>
      <c r="G32532" s="272" t="s">
        <v>1099</v>
      </c>
    </row>
    <row r="32533">
      <c r="B32533" s="31"/>
      <c r="G32533" s="272" t="s">
        <v>1099</v>
      </c>
    </row>
    <row r="32534">
      <c r="B32534" s="31"/>
      <c r="G32534" s="272" t="s">
        <v>1099</v>
      </c>
    </row>
    <row r="32535">
      <c r="B32535" s="31"/>
      <c r="G32535" s="272" t="s">
        <v>1099</v>
      </c>
    </row>
    <row r="32536">
      <c r="B32536" s="31"/>
      <c r="G32536" s="272" t="s">
        <v>1099</v>
      </c>
    </row>
    <row r="32537">
      <c r="B32537" s="31"/>
      <c r="G32537" s="272" t="s">
        <v>1099</v>
      </c>
    </row>
    <row r="32538">
      <c r="B32538" s="31"/>
      <c r="G32538" s="272" t="s">
        <v>1099</v>
      </c>
    </row>
    <row r="32539">
      <c r="B32539" s="31"/>
      <c r="G32539" s="272" t="s">
        <v>1099</v>
      </c>
    </row>
    <row r="32540">
      <c r="B32540" s="31"/>
      <c r="G32540" s="272" t="s">
        <v>1099</v>
      </c>
    </row>
    <row r="32541">
      <c r="B32541" s="31"/>
      <c r="G32541" s="272" t="s">
        <v>1099</v>
      </c>
    </row>
    <row r="32542">
      <c r="B32542" s="31"/>
      <c r="G32542" s="272" t="s">
        <v>1099</v>
      </c>
    </row>
    <row r="32543">
      <c r="B32543" s="31"/>
      <c r="G32543" s="272" t="s">
        <v>1099</v>
      </c>
    </row>
    <row r="32544">
      <c r="B32544" s="31"/>
      <c r="G32544" s="272" t="s">
        <v>1099</v>
      </c>
    </row>
    <row r="32545">
      <c r="B32545" s="31"/>
      <c r="G32545" s="272" t="s">
        <v>1099</v>
      </c>
    </row>
    <row r="32546">
      <c r="B32546" s="31"/>
      <c r="G32546" s="272" t="s">
        <v>1099</v>
      </c>
    </row>
    <row r="32547">
      <c r="B32547" s="31"/>
      <c r="G32547" s="272" t="s">
        <v>1099</v>
      </c>
    </row>
    <row r="32548">
      <c r="B32548" s="31"/>
      <c r="G32548" s="272" t="s">
        <v>1099</v>
      </c>
    </row>
    <row r="32549">
      <c r="B32549" s="31"/>
      <c r="G32549" s="272" t="s">
        <v>1099</v>
      </c>
    </row>
    <row r="32550">
      <c r="B32550" s="31"/>
      <c r="G32550" s="272" t="s">
        <v>1099</v>
      </c>
    </row>
    <row r="32551">
      <c r="B32551" s="31"/>
      <c r="G32551" s="272" t="s">
        <v>1099</v>
      </c>
    </row>
    <row r="32552">
      <c r="B32552" s="31"/>
      <c r="G32552" s="272" t="s">
        <v>1099</v>
      </c>
    </row>
    <row r="32553">
      <c r="B32553" s="31"/>
      <c r="G32553" s="272" t="s">
        <v>1099</v>
      </c>
    </row>
    <row r="32554">
      <c r="B32554" s="31"/>
      <c r="G32554" s="272" t="s">
        <v>1099</v>
      </c>
    </row>
    <row r="32555">
      <c r="B32555" s="31"/>
      <c r="G32555" s="272" t="s">
        <v>1099</v>
      </c>
    </row>
    <row r="32556">
      <c r="B32556" s="31"/>
      <c r="G32556" s="272" t="s">
        <v>1099</v>
      </c>
    </row>
    <row r="32557">
      <c r="B32557" s="31"/>
      <c r="G32557" s="272" t="s">
        <v>1099</v>
      </c>
    </row>
    <row r="32558">
      <c r="B32558" s="31"/>
      <c r="G32558" s="272" t="s">
        <v>1099</v>
      </c>
    </row>
    <row r="32559">
      <c r="B32559" s="31"/>
      <c r="G32559" s="272" t="s">
        <v>1099</v>
      </c>
    </row>
    <row r="32560">
      <c r="B32560" s="31"/>
      <c r="G32560" s="272" t="s">
        <v>1099</v>
      </c>
    </row>
    <row r="32561">
      <c r="B32561" s="31"/>
      <c r="G32561" s="272" t="s">
        <v>1099</v>
      </c>
    </row>
    <row r="32562">
      <c r="B32562" s="31"/>
      <c r="G32562" s="272" t="s">
        <v>1099</v>
      </c>
    </row>
    <row r="32563">
      <c r="B32563" s="31"/>
      <c r="G32563" s="272" t="s">
        <v>1099</v>
      </c>
    </row>
    <row r="32564">
      <c r="B32564" s="31"/>
      <c r="G32564" s="272" t="s">
        <v>1099</v>
      </c>
    </row>
    <row r="32565">
      <c r="B32565" s="31"/>
      <c r="G32565" s="272" t="s">
        <v>1099</v>
      </c>
    </row>
    <row r="32566">
      <c r="B32566" s="31"/>
      <c r="G32566" s="272" t="s">
        <v>1099</v>
      </c>
    </row>
    <row r="32567">
      <c r="B32567" s="31"/>
      <c r="G32567" s="272" t="s">
        <v>1099</v>
      </c>
    </row>
    <row r="32568">
      <c r="B32568" s="31"/>
      <c r="G32568" s="272" t="s">
        <v>1099</v>
      </c>
    </row>
    <row r="32569">
      <c r="B32569" s="31"/>
      <c r="G32569" s="272" t="s">
        <v>1099</v>
      </c>
    </row>
    <row r="32570">
      <c r="B32570" s="31"/>
      <c r="G32570" s="272" t="s">
        <v>1099</v>
      </c>
    </row>
    <row r="32571">
      <c r="B32571" s="31"/>
      <c r="G32571" s="272" t="s">
        <v>1099</v>
      </c>
    </row>
    <row r="32572">
      <c r="B32572" s="31"/>
      <c r="G32572" s="272" t="s">
        <v>1099</v>
      </c>
    </row>
    <row r="32573">
      <c r="B32573" s="31"/>
      <c r="G32573" s="272" t="s">
        <v>1099</v>
      </c>
    </row>
    <row r="32574">
      <c r="B32574" s="31"/>
      <c r="G32574" s="272" t="s">
        <v>1099</v>
      </c>
    </row>
    <row r="32575">
      <c r="B32575" s="31"/>
      <c r="G32575" s="272" t="s">
        <v>1099</v>
      </c>
    </row>
    <row r="32576">
      <c r="B32576" s="31"/>
      <c r="G32576" s="272" t="s">
        <v>1099</v>
      </c>
    </row>
    <row r="32577">
      <c r="B32577" s="31"/>
      <c r="G32577" s="272" t="s">
        <v>1099</v>
      </c>
    </row>
    <row r="32578">
      <c r="B32578" s="31"/>
      <c r="G32578" s="272" t="s">
        <v>1099</v>
      </c>
    </row>
    <row r="32579">
      <c r="B32579" s="31"/>
      <c r="G32579" s="272" t="s">
        <v>1099</v>
      </c>
    </row>
    <row r="32580">
      <c r="B32580" s="31"/>
      <c r="G32580" s="272" t="s">
        <v>1099</v>
      </c>
    </row>
    <row r="32581">
      <c r="B32581" s="31"/>
      <c r="G32581" s="272" t="s">
        <v>1099</v>
      </c>
    </row>
    <row r="32582">
      <c r="B32582" s="31"/>
      <c r="G32582" s="272" t="s">
        <v>1099</v>
      </c>
    </row>
    <row r="32583">
      <c r="B32583" s="31"/>
      <c r="G32583" s="272" t="s">
        <v>1099</v>
      </c>
    </row>
    <row r="32584">
      <c r="B32584" s="31"/>
      <c r="G32584" s="272" t="s">
        <v>1099</v>
      </c>
    </row>
    <row r="32585">
      <c r="B32585" s="31"/>
      <c r="G32585" s="272" t="s">
        <v>1099</v>
      </c>
    </row>
    <row r="32586">
      <c r="B32586" s="31"/>
      <c r="G32586" s="272" t="s">
        <v>1099</v>
      </c>
    </row>
    <row r="32587">
      <c r="B32587" s="31"/>
      <c r="G32587" s="272" t="s">
        <v>1099</v>
      </c>
    </row>
    <row r="32588">
      <c r="B32588" s="31"/>
      <c r="G32588" s="272" t="s">
        <v>1099</v>
      </c>
    </row>
    <row r="32589">
      <c r="B32589" s="31"/>
      <c r="G32589" s="272" t="s">
        <v>1099</v>
      </c>
    </row>
    <row r="32590">
      <c r="B32590" s="31"/>
      <c r="G32590" s="272" t="s">
        <v>1099</v>
      </c>
    </row>
    <row r="32591">
      <c r="B32591" s="31"/>
      <c r="G32591" s="272" t="s">
        <v>1099</v>
      </c>
    </row>
    <row r="32592">
      <c r="B32592" s="31"/>
      <c r="G32592" s="272" t="s">
        <v>1099</v>
      </c>
    </row>
    <row r="32593">
      <c r="B32593" s="31"/>
      <c r="G32593" s="272" t="s">
        <v>1099</v>
      </c>
    </row>
    <row r="32594">
      <c r="B32594" s="31"/>
      <c r="G32594" s="272" t="s">
        <v>1099</v>
      </c>
    </row>
    <row r="32595">
      <c r="B32595" s="31"/>
      <c r="G32595" s="272" t="s">
        <v>1099</v>
      </c>
    </row>
    <row r="32596">
      <c r="B32596" s="31"/>
      <c r="G32596" s="272" t="s">
        <v>1099</v>
      </c>
    </row>
    <row r="32597">
      <c r="B32597" s="31"/>
      <c r="G32597" s="272" t="s">
        <v>1099</v>
      </c>
    </row>
    <row r="32598">
      <c r="B32598" s="31"/>
      <c r="G32598" s="272" t="s">
        <v>1099</v>
      </c>
    </row>
    <row r="32599">
      <c r="B32599" s="31"/>
      <c r="G32599" s="272" t="s">
        <v>1099</v>
      </c>
    </row>
    <row r="32600">
      <c r="B32600" s="31"/>
      <c r="G32600" s="272" t="s">
        <v>1099</v>
      </c>
    </row>
    <row r="32601">
      <c r="B32601" s="31"/>
      <c r="G32601" s="272" t="s">
        <v>1099</v>
      </c>
    </row>
    <row r="32602">
      <c r="B32602" s="31"/>
      <c r="G32602" s="272" t="s">
        <v>1099</v>
      </c>
    </row>
    <row r="32603">
      <c r="B32603" s="31"/>
      <c r="G32603" s="272" t="s">
        <v>1099</v>
      </c>
    </row>
    <row r="32604">
      <c r="B32604" s="31"/>
      <c r="G32604" s="272" t="s">
        <v>1099</v>
      </c>
    </row>
    <row r="32605">
      <c r="B32605" s="31"/>
      <c r="G32605" s="272" t="s">
        <v>1099</v>
      </c>
    </row>
    <row r="32606">
      <c r="B32606" s="31"/>
      <c r="G32606" s="272" t="s">
        <v>1099</v>
      </c>
    </row>
    <row r="32607">
      <c r="B32607" s="31"/>
      <c r="G32607" s="272" t="s">
        <v>1099</v>
      </c>
    </row>
    <row r="32608">
      <c r="B32608" s="31"/>
      <c r="G32608" s="272" t="s">
        <v>1099</v>
      </c>
    </row>
    <row r="32609">
      <c r="B32609" s="31"/>
      <c r="G32609" s="272" t="s">
        <v>1099</v>
      </c>
    </row>
    <row r="32610">
      <c r="B32610" s="31"/>
      <c r="G32610" s="272" t="s">
        <v>1099</v>
      </c>
    </row>
    <row r="32611">
      <c r="B32611" s="31"/>
      <c r="G32611" s="272" t="s">
        <v>1099</v>
      </c>
    </row>
    <row r="32612">
      <c r="B32612" s="31"/>
      <c r="G32612" s="272" t="s">
        <v>1099</v>
      </c>
    </row>
    <row r="32613">
      <c r="B32613" s="31"/>
      <c r="G32613" s="272" t="s">
        <v>1099</v>
      </c>
    </row>
    <row r="32614">
      <c r="B32614" s="31"/>
      <c r="G32614" s="272" t="s">
        <v>1099</v>
      </c>
    </row>
    <row r="32615">
      <c r="B32615" s="31"/>
      <c r="G32615" s="272" t="s">
        <v>1099</v>
      </c>
    </row>
    <row r="32616">
      <c r="B32616" s="31"/>
      <c r="G32616" s="272" t="s">
        <v>1099</v>
      </c>
    </row>
    <row r="32617">
      <c r="B32617" s="31"/>
      <c r="G32617" s="272" t="s">
        <v>1099</v>
      </c>
    </row>
    <row r="32618">
      <c r="B32618" s="31"/>
      <c r="G32618" s="272" t="s">
        <v>1099</v>
      </c>
    </row>
    <row r="32619">
      <c r="B32619" s="31"/>
      <c r="G32619" s="272" t="s">
        <v>1099</v>
      </c>
    </row>
    <row r="32620">
      <c r="B32620" s="31"/>
      <c r="G32620" s="272" t="s">
        <v>1099</v>
      </c>
    </row>
    <row r="32621">
      <c r="B32621" s="31"/>
      <c r="G32621" s="272" t="s">
        <v>1099</v>
      </c>
    </row>
    <row r="32622">
      <c r="B32622" s="31"/>
      <c r="G32622" s="272" t="s">
        <v>1099</v>
      </c>
    </row>
    <row r="32623">
      <c r="B32623" s="31"/>
      <c r="G32623" s="272" t="s">
        <v>1099</v>
      </c>
    </row>
    <row r="32624">
      <c r="B32624" s="31"/>
      <c r="G32624" s="272" t="s">
        <v>1099</v>
      </c>
    </row>
    <row r="32625">
      <c r="B32625" s="31"/>
      <c r="G32625" s="272" t="s">
        <v>1099</v>
      </c>
    </row>
    <row r="32626">
      <c r="B32626" s="31"/>
      <c r="G32626" s="272" t="s">
        <v>1099</v>
      </c>
    </row>
    <row r="32627">
      <c r="B32627" s="31"/>
      <c r="G32627" s="272" t="s">
        <v>1099</v>
      </c>
    </row>
    <row r="32628">
      <c r="B32628" s="31"/>
      <c r="G32628" s="272" t="s">
        <v>1099</v>
      </c>
    </row>
    <row r="32629">
      <c r="B32629" s="31"/>
      <c r="G32629" s="272" t="s">
        <v>1099</v>
      </c>
    </row>
    <row r="32630">
      <c r="B32630" s="31"/>
      <c r="G32630" s="272" t="s">
        <v>1099</v>
      </c>
    </row>
    <row r="32631">
      <c r="B32631" s="31"/>
      <c r="G32631" s="272" t="s">
        <v>1099</v>
      </c>
    </row>
    <row r="32632">
      <c r="B32632" s="31"/>
      <c r="G32632" s="272" t="s">
        <v>1099</v>
      </c>
    </row>
    <row r="32633">
      <c r="B32633" s="31"/>
      <c r="G32633" s="272" t="s">
        <v>1099</v>
      </c>
    </row>
    <row r="32634">
      <c r="B32634" s="31"/>
      <c r="G32634" s="272" t="s">
        <v>1099</v>
      </c>
    </row>
    <row r="32635">
      <c r="B32635" s="31"/>
      <c r="G32635" s="272" t="s">
        <v>1099</v>
      </c>
    </row>
    <row r="32636">
      <c r="B32636" s="31"/>
      <c r="G32636" s="272" t="s">
        <v>1099</v>
      </c>
    </row>
    <row r="32637">
      <c r="B32637" s="31"/>
      <c r="G32637" s="272" t="s">
        <v>1099</v>
      </c>
    </row>
    <row r="32638">
      <c r="B32638" s="31"/>
      <c r="G32638" s="272" t="s">
        <v>1099</v>
      </c>
    </row>
    <row r="32639">
      <c r="B32639" s="31"/>
      <c r="G32639" s="272" t="s">
        <v>1099</v>
      </c>
    </row>
    <row r="32640">
      <c r="B32640" s="31"/>
      <c r="G32640" s="272" t="s">
        <v>1099</v>
      </c>
    </row>
    <row r="32641">
      <c r="B32641" s="31"/>
      <c r="G32641" s="272" t="s">
        <v>1099</v>
      </c>
    </row>
    <row r="32642">
      <c r="B32642" s="31"/>
      <c r="G32642" s="272" t="s">
        <v>1099</v>
      </c>
    </row>
    <row r="32643">
      <c r="B32643" s="31"/>
      <c r="G32643" s="272" t="s">
        <v>1099</v>
      </c>
    </row>
    <row r="32644">
      <c r="B32644" s="31"/>
      <c r="G32644" s="272" t="s">
        <v>1099</v>
      </c>
    </row>
    <row r="32645">
      <c r="B32645" s="31"/>
      <c r="G32645" s="272" t="s">
        <v>1099</v>
      </c>
    </row>
    <row r="32646">
      <c r="B32646" s="31"/>
      <c r="G32646" s="272" t="s">
        <v>1099</v>
      </c>
    </row>
    <row r="32647">
      <c r="B32647" s="31"/>
      <c r="G32647" s="272" t="s">
        <v>1099</v>
      </c>
    </row>
    <row r="32648">
      <c r="B32648" s="31"/>
      <c r="G32648" s="272" t="s">
        <v>1099</v>
      </c>
    </row>
    <row r="32649">
      <c r="B32649" s="31"/>
      <c r="G32649" s="272" t="s">
        <v>1099</v>
      </c>
    </row>
    <row r="32650">
      <c r="B32650" s="31"/>
      <c r="G32650" s="272" t="s">
        <v>1099</v>
      </c>
    </row>
    <row r="32651">
      <c r="B32651" s="31"/>
      <c r="G32651" s="272" t="s">
        <v>1099</v>
      </c>
    </row>
    <row r="32652">
      <c r="B32652" s="31"/>
      <c r="G32652" s="272" t="s">
        <v>1099</v>
      </c>
    </row>
    <row r="32653">
      <c r="B32653" s="31"/>
      <c r="G32653" s="272" t="s">
        <v>1099</v>
      </c>
    </row>
    <row r="32654">
      <c r="B32654" s="31"/>
      <c r="G32654" s="272" t="s">
        <v>1099</v>
      </c>
    </row>
    <row r="32655">
      <c r="B32655" s="31"/>
      <c r="G32655" s="272" t="s">
        <v>1099</v>
      </c>
    </row>
    <row r="32656">
      <c r="B32656" s="31"/>
      <c r="G32656" s="272" t="s">
        <v>1099</v>
      </c>
    </row>
    <row r="32657">
      <c r="B32657" s="31"/>
      <c r="G32657" s="272" t="s">
        <v>1099</v>
      </c>
    </row>
    <row r="32658">
      <c r="B32658" s="31"/>
      <c r="G32658" s="272" t="s">
        <v>1099</v>
      </c>
    </row>
    <row r="32659">
      <c r="B32659" s="31"/>
      <c r="G32659" s="272" t="s">
        <v>1099</v>
      </c>
    </row>
    <row r="32660">
      <c r="B32660" s="31"/>
      <c r="G32660" s="272" t="s">
        <v>1099</v>
      </c>
    </row>
    <row r="32661">
      <c r="B32661" s="31"/>
      <c r="G32661" s="272" t="s">
        <v>1099</v>
      </c>
    </row>
    <row r="32662">
      <c r="B32662" s="31"/>
      <c r="G32662" s="272" t="s">
        <v>1099</v>
      </c>
    </row>
    <row r="32663">
      <c r="B32663" s="31"/>
      <c r="G32663" s="272" t="s">
        <v>1099</v>
      </c>
    </row>
    <row r="32664">
      <c r="B32664" s="31"/>
      <c r="G32664" s="272" t="s">
        <v>1099</v>
      </c>
    </row>
    <row r="32665">
      <c r="B32665" s="31"/>
      <c r="G32665" s="272" t="s">
        <v>1099</v>
      </c>
    </row>
    <row r="32666">
      <c r="B32666" s="31"/>
      <c r="G32666" s="272" t="s">
        <v>1099</v>
      </c>
    </row>
    <row r="32667">
      <c r="B32667" s="31"/>
      <c r="G32667" s="272" t="s">
        <v>1099</v>
      </c>
    </row>
    <row r="32668">
      <c r="B32668" s="31"/>
      <c r="G32668" s="272" t="s">
        <v>1099</v>
      </c>
    </row>
    <row r="32669">
      <c r="B32669" s="31"/>
      <c r="G32669" s="272" t="s">
        <v>1099</v>
      </c>
    </row>
    <row r="32670">
      <c r="B32670" s="31"/>
      <c r="G32670" s="272" t="s">
        <v>1099</v>
      </c>
    </row>
    <row r="32671">
      <c r="B32671" s="31"/>
      <c r="G32671" s="272" t="s">
        <v>1099</v>
      </c>
    </row>
    <row r="32672">
      <c r="B32672" s="31"/>
      <c r="G32672" s="272" t="s">
        <v>1099</v>
      </c>
    </row>
    <row r="32673">
      <c r="B32673" s="31"/>
      <c r="G32673" s="272" t="s">
        <v>1099</v>
      </c>
    </row>
    <row r="32674">
      <c r="B32674" s="31"/>
      <c r="G32674" s="272" t="s">
        <v>1099</v>
      </c>
    </row>
    <row r="32675">
      <c r="B32675" s="31"/>
      <c r="G32675" s="272" t="s">
        <v>1099</v>
      </c>
    </row>
    <row r="32676">
      <c r="B32676" s="31"/>
      <c r="G32676" s="272" t="s">
        <v>1099</v>
      </c>
    </row>
    <row r="32677">
      <c r="B32677" s="31"/>
      <c r="G32677" s="272" t="s">
        <v>1099</v>
      </c>
    </row>
    <row r="32678">
      <c r="B32678" s="31"/>
      <c r="G32678" s="272" t="s">
        <v>1099</v>
      </c>
    </row>
    <row r="32679">
      <c r="B32679" s="31"/>
      <c r="G32679" s="272" t="s">
        <v>1099</v>
      </c>
    </row>
    <row r="32680">
      <c r="B32680" s="31"/>
      <c r="G32680" s="272" t="s">
        <v>1099</v>
      </c>
    </row>
    <row r="32681">
      <c r="B32681" s="31"/>
      <c r="G32681" s="272" t="s">
        <v>1099</v>
      </c>
    </row>
    <row r="32682">
      <c r="B32682" s="31"/>
      <c r="G32682" s="272" t="s">
        <v>1099</v>
      </c>
    </row>
    <row r="32683">
      <c r="B32683" s="31"/>
      <c r="G32683" s="272" t="s">
        <v>1099</v>
      </c>
    </row>
    <row r="32684">
      <c r="B32684" s="31"/>
      <c r="G32684" s="272" t="s">
        <v>1099</v>
      </c>
    </row>
    <row r="32685">
      <c r="B32685" s="31"/>
      <c r="G32685" s="272" t="s">
        <v>1099</v>
      </c>
    </row>
    <row r="32686">
      <c r="B32686" s="31"/>
      <c r="G32686" s="272" t="s">
        <v>1099</v>
      </c>
    </row>
    <row r="32687">
      <c r="B32687" s="31"/>
      <c r="G32687" s="272" t="s">
        <v>1099</v>
      </c>
    </row>
    <row r="32688">
      <c r="B32688" s="31"/>
      <c r="G32688" s="272" t="s">
        <v>1099</v>
      </c>
    </row>
    <row r="32689">
      <c r="B32689" s="31"/>
      <c r="G32689" s="272" t="s">
        <v>1099</v>
      </c>
    </row>
    <row r="32690">
      <c r="B32690" s="31"/>
      <c r="G32690" s="272" t="s">
        <v>1099</v>
      </c>
    </row>
    <row r="32691">
      <c r="B32691" s="31"/>
      <c r="G32691" s="272" t="s">
        <v>1099</v>
      </c>
    </row>
    <row r="32692">
      <c r="B32692" s="31"/>
      <c r="G32692" s="272" t="s">
        <v>1099</v>
      </c>
    </row>
    <row r="32693">
      <c r="B32693" s="31"/>
      <c r="G32693" s="272" t="s">
        <v>1099</v>
      </c>
    </row>
    <row r="32694">
      <c r="B32694" s="31"/>
      <c r="G32694" s="272" t="s">
        <v>1099</v>
      </c>
    </row>
    <row r="32695">
      <c r="B32695" s="31"/>
      <c r="G32695" s="272" t="s">
        <v>1099</v>
      </c>
    </row>
    <row r="32696">
      <c r="B32696" s="31"/>
      <c r="G32696" s="272" t="s">
        <v>1099</v>
      </c>
    </row>
    <row r="32697">
      <c r="B32697" s="31"/>
      <c r="G32697" s="272" t="s">
        <v>1099</v>
      </c>
    </row>
    <row r="32698">
      <c r="B32698" s="31"/>
      <c r="G32698" s="272" t="s">
        <v>1099</v>
      </c>
    </row>
    <row r="32699">
      <c r="B32699" s="31"/>
      <c r="G32699" s="272" t="s">
        <v>1099</v>
      </c>
    </row>
    <row r="32700">
      <c r="B32700" s="31"/>
      <c r="G32700" s="272" t="s">
        <v>1099</v>
      </c>
    </row>
    <row r="32701">
      <c r="B32701" s="31"/>
      <c r="G32701" s="272" t="s">
        <v>1099</v>
      </c>
    </row>
    <row r="32702">
      <c r="B32702" s="31"/>
      <c r="G32702" s="272" t="s">
        <v>1099</v>
      </c>
    </row>
    <row r="32703">
      <c r="B32703" s="31"/>
      <c r="G32703" s="272" t="s">
        <v>1099</v>
      </c>
    </row>
    <row r="32704">
      <c r="B32704" s="31"/>
      <c r="G32704" s="272" t="s">
        <v>1099</v>
      </c>
    </row>
    <row r="32705">
      <c r="B32705" s="31"/>
      <c r="G32705" s="272" t="s">
        <v>1099</v>
      </c>
    </row>
    <row r="32706">
      <c r="B32706" s="31"/>
      <c r="G32706" s="272" t="s">
        <v>1099</v>
      </c>
    </row>
    <row r="32707">
      <c r="B32707" s="31"/>
      <c r="G32707" s="272" t="s">
        <v>1099</v>
      </c>
    </row>
    <row r="32708">
      <c r="B32708" s="31"/>
      <c r="G32708" s="272" t="s">
        <v>1099</v>
      </c>
    </row>
    <row r="32709">
      <c r="B32709" s="31"/>
      <c r="G32709" s="272" t="s">
        <v>1099</v>
      </c>
    </row>
    <row r="32710">
      <c r="B32710" s="31"/>
      <c r="G32710" s="272" t="s">
        <v>1099</v>
      </c>
    </row>
    <row r="32711">
      <c r="B32711" s="31"/>
      <c r="G32711" s="272" t="s">
        <v>1099</v>
      </c>
    </row>
    <row r="32712">
      <c r="B32712" s="31"/>
      <c r="G32712" s="272" t="s">
        <v>1099</v>
      </c>
    </row>
    <row r="32713">
      <c r="B32713" s="31"/>
      <c r="G32713" s="272" t="s">
        <v>1099</v>
      </c>
    </row>
    <row r="32714">
      <c r="B32714" s="31"/>
      <c r="G32714" s="272" t="s">
        <v>1099</v>
      </c>
    </row>
    <row r="32715">
      <c r="B32715" s="31"/>
      <c r="G32715" s="272" t="s">
        <v>1099</v>
      </c>
    </row>
    <row r="32716">
      <c r="B32716" s="31"/>
      <c r="G32716" s="272" t="s">
        <v>1099</v>
      </c>
    </row>
    <row r="32717">
      <c r="B32717" s="31"/>
      <c r="G32717" s="272" t="s">
        <v>1099</v>
      </c>
    </row>
    <row r="32718">
      <c r="B32718" s="31"/>
      <c r="G32718" s="272" t="s">
        <v>1099</v>
      </c>
    </row>
    <row r="32719">
      <c r="B32719" s="31"/>
      <c r="G32719" s="272" t="s">
        <v>1099</v>
      </c>
    </row>
    <row r="32720">
      <c r="B32720" s="31"/>
      <c r="G32720" s="272" t="s">
        <v>1099</v>
      </c>
    </row>
    <row r="32721">
      <c r="B32721" s="31"/>
      <c r="G32721" s="272" t="s">
        <v>1099</v>
      </c>
    </row>
    <row r="32722">
      <c r="B32722" s="31"/>
      <c r="G32722" s="272" t="s">
        <v>1099</v>
      </c>
    </row>
    <row r="32723">
      <c r="B32723" s="31"/>
      <c r="G32723" s="272" t="s">
        <v>1099</v>
      </c>
    </row>
    <row r="32724">
      <c r="B32724" s="31"/>
      <c r="G32724" s="272" t="s">
        <v>1099</v>
      </c>
    </row>
    <row r="32725">
      <c r="B32725" s="31"/>
      <c r="G32725" s="272" t="s">
        <v>1099</v>
      </c>
    </row>
    <row r="32726">
      <c r="B32726" s="31"/>
      <c r="G32726" s="272" t="s">
        <v>1099</v>
      </c>
    </row>
    <row r="32727">
      <c r="B32727" s="31"/>
      <c r="G32727" s="272" t="s">
        <v>1099</v>
      </c>
    </row>
    <row r="32728">
      <c r="B32728" s="31"/>
      <c r="G32728" s="272" t="s">
        <v>1099</v>
      </c>
    </row>
    <row r="32729">
      <c r="B32729" s="31"/>
      <c r="G32729" s="272" t="s">
        <v>1099</v>
      </c>
    </row>
    <row r="32730">
      <c r="B32730" s="31"/>
      <c r="G32730" s="272" t="s">
        <v>1099</v>
      </c>
    </row>
    <row r="32731">
      <c r="B32731" s="31"/>
      <c r="G32731" s="272" t="s">
        <v>1099</v>
      </c>
    </row>
    <row r="32732">
      <c r="B32732" s="31"/>
      <c r="G32732" s="272" t="s">
        <v>1099</v>
      </c>
    </row>
    <row r="32733">
      <c r="B32733" s="31"/>
      <c r="G32733" s="272" t="s">
        <v>1099</v>
      </c>
    </row>
    <row r="32734">
      <c r="B32734" s="31"/>
      <c r="G32734" s="272" t="s">
        <v>1099</v>
      </c>
    </row>
    <row r="32735">
      <c r="B32735" s="31"/>
      <c r="G32735" s="272" t="s">
        <v>1099</v>
      </c>
    </row>
    <row r="32736">
      <c r="B32736" s="31"/>
      <c r="G32736" s="272" t="s">
        <v>1099</v>
      </c>
    </row>
    <row r="32737">
      <c r="B32737" s="31"/>
      <c r="G32737" s="272" t="s">
        <v>1099</v>
      </c>
    </row>
    <row r="32738">
      <c r="B32738" s="31"/>
      <c r="G32738" s="272" t="s">
        <v>1099</v>
      </c>
    </row>
    <row r="32739">
      <c r="B32739" s="31"/>
      <c r="G32739" s="272" t="s">
        <v>1099</v>
      </c>
    </row>
    <row r="32740">
      <c r="B32740" s="31"/>
      <c r="G32740" s="272" t="s">
        <v>1099</v>
      </c>
    </row>
    <row r="32741">
      <c r="B32741" s="31"/>
      <c r="G32741" s="272" t="s">
        <v>1099</v>
      </c>
    </row>
    <row r="32742">
      <c r="B32742" s="31"/>
      <c r="G32742" s="272" t="s">
        <v>1099</v>
      </c>
    </row>
    <row r="32743">
      <c r="B32743" s="31"/>
      <c r="G32743" s="272" t="s">
        <v>1099</v>
      </c>
    </row>
    <row r="32744">
      <c r="B32744" s="31"/>
      <c r="G32744" s="272" t="s">
        <v>1099</v>
      </c>
    </row>
    <row r="32745">
      <c r="B32745" s="31"/>
      <c r="G32745" s="272" t="s">
        <v>1099</v>
      </c>
    </row>
    <row r="32746">
      <c r="B32746" s="31"/>
      <c r="G32746" s="272" t="s">
        <v>1099</v>
      </c>
    </row>
    <row r="32747">
      <c r="B32747" s="31"/>
      <c r="G32747" s="272" t="s">
        <v>1099</v>
      </c>
    </row>
    <row r="32748">
      <c r="B32748" s="31"/>
      <c r="G32748" s="272" t="s">
        <v>1099</v>
      </c>
    </row>
    <row r="32749">
      <c r="B32749" s="31"/>
      <c r="G32749" s="272" t="s">
        <v>1099</v>
      </c>
    </row>
    <row r="32750">
      <c r="B32750" s="31"/>
      <c r="G32750" s="272" t="s">
        <v>1099</v>
      </c>
    </row>
    <row r="32751">
      <c r="B32751" s="31"/>
      <c r="G32751" s="272" t="s">
        <v>1099</v>
      </c>
    </row>
    <row r="32752">
      <c r="B32752" s="31"/>
      <c r="G32752" s="272" t="s">
        <v>1099</v>
      </c>
    </row>
    <row r="32753">
      <c r="B32753" s="31"/>
      <c r="G32753" s="272" t="s">
        <v>1099</v>
      </c>
    </row>
    <row r="32754">
      <c r="B32754" s="31"/>
      <c r="G32754" s="272" t="s">
        <v>1099</v>
      </c>
    </row>
    <row r="32755">
      <c r="B32755" s="31"/>
      <c r="G32755" s="272" t="s">
        <v>1099</v>
      </c>
    </row>
    <row r="32756">
      <c r="B32756" s="31"/>
      <c r="G32756" s="272" t="s">
        <v>1099</v>
      </c>
    </row>
    <row r="32757">
      <c r="B32757" s="31"/>
      <c r="G32757" s="272" t="s">
        <v>1099</v>
      </c>
    </row>
    <row r="32758">
      <c r="B32758" s="31"/>
      <c r="G32758" s="272" t="s">
        <v>1099</v>
      </c>
    </row>
    <row r="32759">
      <c r="B32759" s="31"/>
      <c r="G32759" s="272" t="s">
        <v>1099</v>
      </c>
    </row>
    <row r="32760">
      <c r="B32760" s="31"/>
      <c r="G32760" s="272" t="s">
        <v>1099</v>
      </c>
    </row>
    <row r="32761">
      <c r="B32761" s="31"/>
      <c r="G32761" s="272" t="s">
        <v>1099</v>
      </c>
    </row>
    <row r="32762">
      <c r="B32762" s="31"/>
      <c r="G32762" s="272" t="s">
        <v>1099</v>
      </c>
    </row>
    <row r="32763">
      <c r="B32763" s="31"/>
      <c r="G32763" s="272" t="s">
        <v>1099</v>
      </c>
    </row>
    <row r="32764">
      <c r="B32764" s="31"/>
      <c r="G32764" s="272" t="s">
        <v>1099</v>
      </c>
    </row>
    <row r="32765">
      <c r="B32765" s="31"/>
      <c r="G32765" s="272" t="s">
        <v>1099</v>
      </c>
    </row>
    <row r="32766">
      <c r="B32766" s="31"/>
      <c r="G32766" s="272" t="s">
        <v>1099</v>
      </c>
    </row>
    <row r="32767">
      <c r="B32767" s="31"/>
      <c r="G32767" s="272" t="s">
        <v>1099</v>
      </c>
    </row>
    <row r="32768">
      <c r="B32768" s="31"/>
      <c r="G32768" s="272" t="s">
        <v>1099</v>
      </c>
    </row>
    <row r="32769">
      <c r="B32769" s="31"/>
      <c r="G32769" s="272" t="s">
        <v>1099</v>
      </c>
    </row>
    <row r="32770">
      <c r="B32770" s="31"/>
      <c r="G32770" s="272" t="s">
        <v>1099</v>
      </c>
    </row>
    <row r="32771">
      <c r="B32771" s="31"/>
      <c r="G32771" s="272" t="s">
        <v>1099</v>
      </c>
    </row>
    <row r="32772">
      <c r="B32772" s="31"/>
      <c r="G32772" s="272" t="s">
        <v>1099</v>
      </c>
    </row>
    <row r="32773">
      <c r="B32773" s="31"/>
      <c r="G32773" s="272" t="s">
        <v>1099</v>
      </c>
    </row>
    <row r="32774">
      <c r="B32774" s="31"/>
      <c r="G32774" s="272" t="s">
        <v>1099</v>
      </c>
    </row>
    <row r="32775">
      <c r="B32775" s="31"/>
      <c r="G32775" s="272" t="s">
        <v>1099</v>
      </c>
    </row>
    <row r="32776">
      <c r="B32776" s="31"/>
      <c r="G32776" s="272" t="s">
        <v>1099</v>
      </c>
    </row>
    <row r="32777">
      <c r="B32777" s="31"/>
      <c r="G32777" s="272" t="s">
        <v>1099</v>
      </c>
    </row>
    <row r="32778">
      <c r="B32778" s="31"/>
      <c r="G32778" s="272" t="s">
        <v>1099</v>
      </c>
    </row>
    <row r="32779">
      <c r="B32779" s="31"/>
      <c r="G32779" s="272" t="s">
        <v>1099</v>
      </c>
    </row>
    <row r="32780">
      <c r="B32780" s="31"/>
      <c r="G32780" s="272" t="s">
        <v>1099</v>
      </c>
    </row>
    <row r="32781">
      <c r="B32781" s="31"/>
      <c r="G32781" s="272" t="s">
        <v>1099</v>
      </c>
    </row>
    <row r="32782">
      <c r="B32782" s="31"/>
      <c r="G32782" s="272" t="s">
        <v>1099</v>
      </c>
    </row>
    <row r="32783">
      <c r="B32783" s="31"/>
      <c r="G32783" s="272" t="s">
        <v>1099</v>
      </c>
    </row>
    <row r="32784">
      <c r="B32784" s="31"/>
      <c r="G32784" s="272" t="s">
        <v>1099</v>
      </c>
    </row>
    <row r="32785">
      <c r="B32785" s="31"/>
      <c r="G32785" s="272" t="s">
        <v>1099</v>
      </c>
    </row>
    <row r="32786">
      <c r="B32786" s="31"/>
      <c r="G32786" s="272" t="s">
        <v>1099</v>
      </c>
    </row>
    <row r="32787">
      <c r="B32787" s="31"/>
      <c r="G32787" s="272" t="s">
        <v>1099</v>
      </c>
    </row>
    <row r="32788">
      <c r="B32788" s="31"/>
      <c r="G32788" s="272" t="s">
        <v>1099</v>
      </c>
    </row>
    <row r="32789">
      <c r="B32789" s="31"/>
      <c r="G32789" s="272" t="s">
        <v>1099</v>
      </c>
    </row>
    <row r="32790">
      <c r="B32790" s="31"/>
      <c r="G32790" s="272" t="s">
        <v>1099</v>
      </c>
    </row>
    <row r="32791">
      <c r="B32791" s="31"/>
      <c r="G32791" s="272" t="s">
        <v>1099</v>
      </c>
    </row>
    <row r="32792">
      <c r="B32792" s="31"/>
      <c r="G32792" s="272" t="s">
        <v>1099</v>
      </c>
    </row>
    <row r="32793">
      <c r="B32793" s="31"/>
      <c r="G32793" s="272" t="s">
        <v>1099</v>
      </c>
    </row>
    <row r="32794">
      <c r="B32794" s="31"/>
      <c r="G32794" s="272" t="s">
        <v>1099</v>
      </c>
    </row>
    <row r="32795">
      <c r="B32795" s="31"/>
      <c r="G32795" s="272" t="s">
        <v>1099</v>
      </c>
    </row>
    <row r="32796">
      <c r="B32796" s="31"/>
      <c r="G32796" s="272" t="s">
        <v>1099</v>
      </c>
    </row>
    <row r="32797">
      <c r="B32797" s="31"/>
      <c r="G32797" s="272" t="s">
        <v>1099</v>
      </c>
    </row>
    <row r="32798">
      <c r="B32798" s="31"/>
      <c r="G32798" s="272" t="s">
        <v>1099</v>
      </c>
    </row>
    <row r="32799">
      <c r="B32799" s="31"/>
      <c r="G32799" s="272" t="s">
        <v>1099</v>
      </c>
    </row>
    <row r="32800">
      <c r="B32800" s="31"/>
      <c r="G32800" s="272" t="s">
        <v>1099</v>
      </c>
    </row>
    <row r="32801">
      <c r="B32801" s="31"/>
      <c r="G32801" s="272" t="s">
        <v>1099</v>
      </c>
    </row>
    <row r="32802">
      <c r="B32802" s="31"/>
      <c r="G32802" s="272" t="s">
        <v>1099</v>
      </c>
    </row>
    <row r="32803">
      <c r="B32803" s="31"/>
      <c r="G32803" s="272" t="s">
        <v>1099</v>
      </c>
    </row>
    <row r="32804">
      <c r="B32804" s="31"/>
      <c r="G32804" s="272" t="s">
        <v>1099</v>
      </c>
    </row>
    <row r="32805">
      <c r="B32805" s="31"/>
      <c r="G32805" s="272" t="s">
        <v>1099</v>
      </c>
    </row>
    <row r="32806">
      <c r="B32806" s="31"/>
      <c r="G32806" s="272" t="s">
        <v>1099</v>
      </c>
    </row>
    <row r="32807">
      <c r="B32807" s="31"/>
      <c r="G32807" s="272" t="s">
        <v>1099</v>
      </c>
    </row>
    <row r="32808">
      <c r="B32808" s="31"/>
      <c r="G32808" s="272" t="s">
        <v>1099</v>
      </c>
    </row>
    <row r="32809">
      <c r="B32809" s="31"/>
      <c r="G32809" s="272" t="s">
        <v>1099</v>
      </c>
    </row>
    <row r="32810">
      <c r="B32810" s="31"/>
      <c r="G32810" s="272" t="s">
        <v>1099</v>
      </c>
    </row>
    <row r="32811">
      <c r="B32811" s="31"/>
      <c r="G32811" s="272" t="s">
        <v>1099</v>
      </c>
    </row>
    <row r="32812">
      <c r="B32812" s="31"/>
      <c r="G32812" s="272" t="s">
        <v>1099</v>
      </c>
    </row>
    <row r="32813">
      <c r="B32813" s="31"/>
      <c r="G32813" s="272" t="s">
        <v>1099</v>
      </c>
    </row>
    <row r="32814">
      <c r="B32814" s="31"/>
      <c r="G32814" s="272" t="s">
        <v>1099</v>
      </c>
    </row>
    <row r="32815">
      <c r="B32815" s="31"/>
      <c r="G32815" s="272" t="s">
        <v>1099</v>
      </c>
    </row>
    <row r="32816">
      <c r="B32816" s="31"/>
      <c r="G32816" s="272" t="s">
        <v>1099</v>
      </c>
    </row>
    <row r="32817">
      <c r="B32817" s="31"/>
      <c r="G32817" s="272" t="s">
        <v>1099</v>
      </c>
    </row>
    <row r="32818">
      <c r="B32818" s="31"/>
      <c r="G32818" s="272" t="s">
        <v>1099</v>
      </c>
    </row>
    <row r="32819">
      <c r="B32819" s="31"/>
      <c r="G32819" s="272" t="s">
        <v>1099</v>
      </c>
    </row>
    <row r="32820">
      <c r="B32820" s="31"/>
      <c r="G32820" s="272" t="s">
        <v>1099</v>
      </c>
    </row>
    <row r="32821">
      <c r="B32821" s="31"/>
      <c r="G32821" s="272" t="s">
        <v>1099</v>
      </c>
    </row>
    <row r="32822">
      <c r="B32822" s="31"/>
      <c r="G32822" s="272" t="s">
        <v>1099</v>
      </c>
    </row>
    <row r="32823">
      <c r="B32823" s="31"/>
      <c r="G32823" s="272" t="s">
        <v>1099</v>
      </c>
    </row>
    <row r="32824">
      <c r="B32824" s="31"/>
      <c r="G32824" s="272" t="s">
        <v>1099</v>
      </c>
    </row>
    <row r="32825">
      <c r="B32825" s="31"/>
      <c r="G32825" s="272" t="s">
        <v>1099</v>
      </c>
    </row>
    <row r="32826">
      <c r="B32826" s="31"/>
      <c r="G32826" s="272" t="s">
        <v>1099</v>
      </c>
    </row>
    <row r="32827">
      <c r="B32827" s="31"/>
      <c r="G32827" s="272" t="s">
        <v>1099</v>
      </c>
    </row>
    <row r="32828">
      <c r="B32828" s="31"/>
      <c r="G32828" s="272" t="s">
        <v>1099</v>
      </c>
    </row>
    <row r="32829">
      <c r="B32829" s="31"/>
      <c r="G32829" s="272" t="s">
        <v>1099</v>
      </c>
    </row>
    <row r="32830">
      <c r="B32830" s="31"/>
      <c r="G32830" s="272" t="s">
        <v>1099</v>
      </c>
    </row>
    <row r="32831">
      <c r="B32831" s="31"/>
      <c r="G32831" s="272" t="s">
        <v>1099</v>
      </c>
    </row>
    <row r="32832">
      <c r="B32832" s="31"/>
      <c r="G32832" s="272" t="s">
        <v>1099</v>
      </c>
    </row>
    <row r="32833">
      <c r="B32833" s="31"/>
      <c r="G32833" s="272" t="s">
        <v>1099</v>
      </c>
    </row>
    <row r="32834">
      <c r="B32834" s="31"/>
      <c r="G32834" s="272" t="s">
        <v>1099</v>
      </c>
    </row>
    <row r="32835">
      <c r="B32835" s="31"/>
      <c r="G32835" s="272" t="s">
        <v>1099</v>
      </c>
    </row>
    <row r="32836">
      <c r="B32836" s="31"/>
      <c r="G32836" s="272" t="s">
        <v>1099</v>
      </c>
    </row>
    <row r="32837">
      <c r="B32837" s="31"/>
      <c r="G32837" s="272" t="s">
        <v>1099</v>
      </c>
    </row>
    <row r="32838">
      <c r="B32838" s="31"/>
      <c r="G32838" s="272" t="s">
        <v>1099</v>
      </c>
    </row>
    <row r="32839">
      <c r="B32839" s="31"/>
      <c r="G32839" s="272" t="s">
        <v>1099</v>
      </c>
    </row>
    <row r="32840">
      <c r="B32840" s="31"/>
      <c r="G32840" s="272" t="s">
        <v>1099</v>
      </c>
    </row>
    <row r="32841">
      <c r="B32841" s="31"/>
      <c r="G32841" s="272" t="s">
        <v>1099</v>
      </c>
    </row>
    <row r="32842">
      <c r="B32842" s="31"/>
      <c r="G32842" s="272" t="s">
        <v>1099</v>
      </c>
    </row>
    <row r="32843">
      <c r="B32843" s="31"/>
      <c r="G32843" s="272" t="s">
        <v>1099</v>
      </c>
    </row>
    <row r="32844">
      <c r="B32844" s="31"/>
      <c r="G32844" s="272" t="s">
        <v>1099</v>
      </c>
    </row>
    <row r="32845">
      <c r="B32845" s="31"/>
      <c r="G32845" s="272" t="s">
        <v>1099</v>
      </c>
    </row>
    <row r="32846">
      <c r="B32846" s="31"/>
      <c r="G32846" s="272" t="s">
        <v>1099</v>
      </c>
    </row>
    <row r="32847">
      <c r="B32847" s="31"/>
      <c r="G32847" s="272" t="s">
        <v>1099</v>
      </c>
    </row>
    <row r="32848">
      <c r="B32848" s="31"/>
      <c r="G32848" s="272" t="s">
        <v>1099</v>
      </c>
    </row>
    <row r="32849">
      <c r="B32849" s="31"/>
      <c r="G32849" s="272" t="s">
        <v>1099</v>
      </c>
    </row>
    <row r="32850">
      <c r="B32850" s="31"/>
      <c r="G32850" s="272" t="s">
        <v>1099</v>
      </c>
    </row>
    <row r="32851">
      <c r="B32851" s="31"/>
      <c r="G32851" s="272" t="s">
        <v>1099</v>
      </c>
    </row>
    <row r="32852">
      <c r="B32852" s="31"/>
      <c r="G32852" s="272" t="s">
        <v>1099</v>
      </c>
    </row>
    <row r="32853">
      <c r="B32853" s="31"/>
      <c r="G32853" s="272" t="s">
        <v>1099</v>
      </c>
    </row>
    <row r="32854">
      <c r="B32854" s="31"/>
      <c r="G32854" s="272" t="s">
        <v>1099</v>
      </c>
    </row>
    <row r="32855">
      <c r="B32855" s="31"/>
      <c r="G32855" s="272" t="s">
        <v>1099</v>
      </c>
    </row>
    <row r="32856">
      <c r="B32856" s="31"/>
      <c r="G32856" s="272" t="s">
        <v>1099</v>
      </c>
    </row>
    <row r="32857">
      <c r="B32857" s="31"/>
      <c r="G32857" s="272" t="s">
        <v>1099</v>
      </c>
    </row>
    <row r="32858">
      <c r="B32858" s="31"/>
      <c r="G32858" s="272" t="s">
        <v>1099</v>
      </c>
    </row>
    <row r="32859">
      <c r="B32859" s="31"/>
      <c r="G32859" s="272" t="s">
        <v>1099</v>
      </c>
    </row>
    <row r="32860">
      <c r="B32860" s="31"/>
      <c r="G32860" s="272" t="s">
        <v>1099</v>
      </c>
    </row>
    <row r="32861">
      <c r="B32861" s="31"/>
      <c r="G32861" s="272" t="s">
        <v>1099</v>
      </c>
    </row>
    <row r="32862">
      <c r="B32862" s="31"/>
      <c r="G32862" s="272" t="s">
        <v>1099</v>
      </c>
    </row>
    <row r="32863">
      <c r="B32863" s="31"/>
      <c r="G32863" s="272" t="s">
        <v>1099</v>
      </c>
    </row>
    <row r="32864">
      <c r="B32864" s="31"/>
      <c r="G32864" s="272" t="s">
        <v>1099</v>
      </c>
    </row>
    <row r="32865">
      <c r="B32865" s="31"/>
      <c r="G32865" s="272" t="s">
        <v>1099</v>
      </c>
    </row>
    <row r="32866">
      <c r="B32866" s="31"/>
      <c r="G32866" s="272" t="s">
        <v>1099</v>
      </c>
    </row>
    <row r="32867">
      <c r="B32867" s="31"/>
      <c r="G32867" s="272" t="s">
        <v>1099</v>
      </c>
    </row>
    <row r="32868">
      <c r="B32868" s="31"/>
      <c r="G32868" s="272" t="s">
        <v>1099</v>
      </c>
    </row>
    <row r="32869">
      <c r="B32869" s="31"/>
      <c r="G32869" s="272" t="s">
        <v>1099</v>
      </c>
    </row>
    <row r="32870">
      <c r="B32870" s="31"/>
      <c r="G32870" s="272" t="s">
        <v>1099</v>
      </c>
    </row>
    <row r="32871">
      <c r="B32871" s="31"/>
      <c r="G32871" s="272" t="s">
        <v>1099</v>
      </c>
    </row>
    <row r="32872">
      <c r="B32872" s="31"/>
      <c r="G32872" s="272" t="s">
        <v>1099</v>
      </c>
    </row>
    <row r="32873">
      <c r="B32873" s="31"/>
      <c r="G32873" s="272" t="s">
        <v>1099</v>
      </c>
    </row>
    <row r="32874">
      <c r="B32874" s="31"/>
      <c r="G32874" s="272" t="s">
        <v>1099</v>
      </c>
    </row>
    <row r="32875">
      <c r="B32875" s="31"/>
      <c r="G32875" s="272" t="s">
        <v>1099</v>
      </c>
    </row>
    <row r="32876">
      <c r="B32876" s="31"/>
      <c r="G32876" s="272" t="s">
        <v>1099</v>
      </c>
    </row>
    <row r="32877">
      <c r="B32877" s="31"/>
      <c r="G32877" s="272" t="s">
        <v>1099</v>
      </c>
    </row>
    <row r="32878">
      <c r="B32878" s="31"/>
      <c r="G32878" s="272" t="s">
        <v>1099</v>
      </c>
    </row>
    <row r="32879">
      <c r="B32879" s="31"/>
      <c r="G32879" s="272" t="s">
        <v>1099</v>
      </c>
    </row>
    <row r="32880">
      <c r="B32880" s="31"/>
      <c r="G32880" s="272" t="s">
        <v>1099</v>
      </c>
    </row>
    <row r="32881">
      <c r="B32881" s="31"/>
      <c r="G32881" s="272" t="s">
        <v>1099</v>
      </c>
    </row>
    <row r="32882">
      <c r="B32882" s="31"/>
      <c r="G32882" s="272" t="s">
        <v>1099</v>
      </c>
    </row>
    <row r="32883">
      <c r="B32883" s="31"/>
      <c r="G32883" s="272" t="s">
        <v>1099</v>
      </c>
    </row>
    <row r="32884">
      <c r="B32884" s="31"/>
      <c r="G32884" s="272" t="s">
        <v>1099</v>
      </c>
    </row>
    <row r="32885">
      <c r="B32885" s="31"/>
      <c r="G32885" s="272" t="s">
        <v>1099</v>
      </c>
    </row>
    <row r="32886">
      <c r="B32886" s="31"/>
      <c r="G32886" s="272" t="s">
        <v>1099</v>
      </c>
    </row>
    <row r="32887">
      <c r="B32887" s="31"/>
      <c r="G32887" s="272" t="s">
        <v>1099</v>
      </c>
    </row>
    <row r="32888">
      <c r="B32888" s="31"/>
      <c r="G32888" s="272" t="s">
        <v>1099</v>
      </c>
    </row>
    <row r="32889">
      <c r="B32889" s="31"/>
      <c r="G32889" s="272" t="s">
        <v>1099</v>
      </c>
    </row>
    <row r="32890">
      <c r="B32890" s="31"/>
      <c r="G32890" s="272" t="s">
        <v>1099</v>
      </c>
    </row>
    <row r="32891">
      <c r="B32891" s="31"/>
      <c r="G32891" s="272" t="s">
        <v>1099</v>
      </c>
    </row>
    <row r="32892">
      <c r="B32892" s="31"/>
      <c r="G32892" s="272" t="s">
        <v>1099</v>
      </c>
    </row>
    <row r="32893">
      <c r="B32893" s="31"/>
      <c r="G32893" s="272" t="s">
        <v>1099</v>
      </c>
    </row>
    <row r="32894">
      <c r="B32894" s="31"/>
      <c r="G32894" s="272" t="s">
        <v>1099</v>
      </c>
    </row>
    <row r="32895">
      <c r="B32895" s="31"/>
      <c r="G32895" s="272" t="s">
        <v>1099</v>
      </c>
    </row>
    <row r="32896">
      <c r="B32896" s="31"/>
      <c r="G32896" s="272" t="s">
        <v>1099</v>
      </c>
    </row>
    <row r="32897">
      <c r="B32897" s="31"/>
      <c r="G32897" s="272" t="s">
        <v>1099</v>
      </c>
    </row>
    <row r="32898">
      <c r="B32898" s="31"/>
      <c r="G32898" s="272" t="s">
        <v>1099</v>
      </c>
    </row>
    <row r="32899">
      <c r="B32899" s="31"/>
      <c r="G32899" s="272" t="s">
        <v>1099</v>
      </c>
    </row>
    <row r="32900">
      <c r="B32900" s="31"/>
      <c r="G32900" s="272" t="s">
        <v>1099</v>
      </c>
    </row>
    <row r="32901">
      <c r="B32901" s="31"/>
      <c r="G32901" s="272" t="s">
        <v>1099</v>
      </c>
    </row>
    <row r="32902">
      <c r="B32902" s="31"/>
      <c r="G32902" s="272" t="s">
        <v>1099</v>
      </c>
    </row>
    <row r="32903">
      <c r="B32903" s="31"/>
      <c r="G32903" s="272" t="s">
        <v>1099</v>
      </c>
    </row>
    <row r="32904">
      <c r="B32904" s="31"/>
      <c r="G32904" s="272" t="s">
        <v>1099</v>
      </c>
    </row>
    <row r="32905">
      <c r="B32905" s="31"/>
      <c r="G32905" s="272" t="s">
        <v>1099</v>
      </c>
    </row>
    <row r="32906">
      <c r="B32906" s="31"/>
      <c r="G32906" s="272" t="s">
        <v>1099</v>
      </c>
    </row>
    <row r="32907">
      <c r="B32907" s="31"/>
      <c r="G32907" s="272" t="s">
        <v>1099</v>
      </c>
    </row>
    <row r="32908">
      <c r="B32908" s="31"/>
      <c r="G32908" s="272" t="s">
        <v>1099</v>
      </c>
    </row>
    <row r="32909">
      <c r="B32909" s="31"/>
      <c r="G32909" s="272" t="s">
        <v>1099</v>
      </c>
    </row>
    <row r="32910">
      <c r="B32910" s="31"/>
      <c r="G32910" s="272" t="s">
        <v>1099</v>
      </c>
    </row>
    <row r="32911">
      <c r="B32911" s="31"/>
      <c r="G32911" s="272" t="s">
        <v>1099</v>
      </c>
    </row>
    <row r="32912">
      <c r="B32912" s="31"/>
      <c r="G32912" s="272" t="s">
        <v>1099</v>
      </c>
    </row>
    <row r="32913">
      <c r="B32913" s="31"/>
      <c r="G32913" s="272" t="s">
        <v>1099</v>
      </c>
    </row>
    <row r="32914">
      <c r="B32914" s="31"/>
      <c r="G32914" s="272" t="s">
        <v>1099</v>
      </c>
    </row>
    <row r="32915">
      <c r="B32915" s="31"/>
      <c r="G32915" s="272" t="s">
        <v>1099</v>
      </c>
    </row>
    <row r="32916">
      <c r="B32916" s="31"/>
      <c r="G32916" s="272" t="s">
        <v>1099</v>
      </c>
    </row>
    <row r="32917">
      <c r="B32917" s="31"/>
      <c r="G32917" s="272" t="s">
        <v>1099</v>
      </c>
    </row>
    <row r="32918">
      <c r="B32918" s="31"/>
      <c r="G32918" s="272" t="s">
        <v>1099</v>
      </c>
    </row>
    <row r="32919">
      <c r="B32919" s="31"/>
      <c r="G32919" s="272" t="s">
        <v>1099</v>
      </c>
    </row>
    <row r="32920">
      <c r="B32920" s="31"/>
      <c r="G32920" s="272" t="s">
        <v>1099</v>
      </c>
    </row>
    <row r="32921">
      <c r="B32921" s="31"/>
      <c r="G32921" s="272" t="s">
        <v>1099</v>
      </c>
    </row>
    <row r="32922">
      <c r="B32922" s="31"/>
      <c r="G32922" s="272" t="s">
        <v>1099</v>
      </c>
    </row>
    <row r="32923">
      <c r="B32923" s="31"/>
      <c r="G32923" s="272" t="s">
        <v>1099</v>
      </c>
    </row>
    <row r="32924">
      <c r="B32924" s="31"/>
      <c r="G32924" s="272" t="s">
        <v>1099</v>
      </c>
    </row>
    <row r="32925">
      <c r="B32925" s="31"/>
      <c r="G32925" s="272" t="s">
        <v>1099</v>
      </c>
    </row>
    <row r="32926">
      <c r="B32926" s="31"/>
      <c r="G32926" s="272" t="s">
        <v>1099</v>
      </c>
    </row>
    <row r="32927">
      <c r="B32927" s="31"/>
      <c r="G32927" s="272" t="s">
        <v>1099</v>
      </c>
    </row>
    <row r="32928">
      <c r="B32928" s="31"/>
      <c r="G32928" s="272" t="s">
        <v>1099</v>
      </c>
    </row>
    <row r="32929">
      <c r="B32929" s="31"/>
      <c r="G32929" s="272" t="s">
        <v>1099</v>
      </c>
    </row>
    <row r="32930">
      <c r="B32930" s="31"/>
      <c r="G32930" s="272" t="s">
        <v>1099</v>
      </c>
    </row>
    <row r="32931">
      <c r="B32931" s="31"/>
      <c r="G32931" s="272" t="s">
        <v>1099</v>
      </c>
    </row>
    <row r="32932">
      <c r="B32932" s="31"/>
      <c r="G32932" s="272" t="s">
        <v>1099</v>
      </c>
    </row>
    <row r="32933">
      <c r="B32933" s="31"/>
      <c r="G32933" s="272" t="s">
        <v>1099</v>
      </c>
    </row>
    <row r="32934">
      <c r="B32934" s="31"/>
      <c r="G32934" s="272" t="s">
        <v>1099</v>
      </c>
    </row>
    <row r="32935">
      <c r="B32935" s="31"/>
      <c r="G32935" s="272" t="s">
        <v>1099</v>
      </c>
    </row>
    <row r="32936">
      <c r="B32936" s="31"/>
      <c r="G32936" s="272" t="s">
        <v>1099</v>
      </c>
    </row>
    <row r="32937">
      <c r="B32937" s="31"/>
      <c r="G32937" s="272" t="s">
        <v>1099</v>
      </c>
    </row>
    <row r="32938">
      <c r="B32938" s="31"/>
      <c r="G32938" s="272" t="s">
        <v>1099</v>
      </c>
    </row>
    <row r="32939">
      <c r="B32939" s="31"/>
      <c r="G32939" s="272" t="s">
        <v>1099</v>
      </c>
    </row>
    <row r="32940">
      <c r="B32940" s="31"/>
      <c r="G32940" s="272" t="s">
        <v>1099</v>
      </c>
    </row>
    <row r="32941">
      <c r="B32941" s="31"/>
      <c r="G32941" s="272" t="s">
        <v>1099</v>
      </c>
    </row>
    <row r="32942">
      <c r="B32942" s="31"/>
      <c r="G32942" s="272" t="s">
        <v>1099</v>
      </c>
    </row>
    <row r="32943">
      <c r="B32943" s="31"/>
      <c r="G32943" s="272" t="s">
        <v>1099</v>
      </c>
    </row>
    <row r="32944">
      <c r="B32944" s="31"/>
      <c r="G32944" s="272" t="s">
        <v>1099</v>
      </c>
    </row>
    <row r="32945">
      <c r="B32945" s="31"/>
      <c r="G32945" s="272" t="s">
        <v>1099</v>
      </c>
    </row>
    <row r="32946">
      <c r="B32946" s="31"/>
      <c r="G32946" s="272" t="s">
        <v>1099</v>
      </c>
    </row>
    <row r="32947">
      <c r="B32947" s="31"/>
      <c r="G32947" s="272" t="s">
        <v>1099</v>
      </c>
    </row>
    <row r="32948">
      <c r="B32948" s="31"/>
      <c r="G32948" s="272" t="s">
        <v>1099</v>
      </c>
    </row>
    <row r="32949">
      <c r="B32949" s="31"/>
      <c r="G32949" s="272" t="s">
        <v>1099</v>
      </c>
    </row>
    <row r="32950">
      <c r="B32950" s="31"/>
      <c r="G32950" s="272" t="s">
        <v>1099</v>
      </c>
    </row>
    <row r="32951">
      <c r="B32951" s="31"/>
      <c r="G32951" s="272" t="s">
        <v>1099</v>
      </c>
    </row>
    <row r="32952">
      <c r="B32952" s="31"/>
      <c r="G32952" s="272" t="s">
        <v>1099</v>
      </c>
    </row>
    <row r="32953">
      <c r="B32953" s="31"/>
      <c r="G32953" s="272" t="s">
        <v>1099</v>
      </c>
    </row>
    <row r="32954">
      <c r="B32954" s="31"/>
      <c r="G32954" s="272" t="s">
        <v>1099</v>
      </c>
    </row>
    <row r="32955">
      <c r="B32955" s="31"/>
      <c r="G32955" s="272" t="s">
        <v>1099</v>
      </c>
    </row>
    <row r="32956">
      <c r="B32956" s="31"/>
      <c r="G32956" s="272" t="s">
        <v>1099</v>
      </c>
    </row>
    <row r="32957">
      <c r="B32957" s="31"/>
      <c r="G32957" s="272" t="s">
        <v>1099</v>
      </c>
    </row>
    <row r="32958">
      <c r="B32958" s="31"/>
      <c r="G32958" s="272" t="s">
        <v>1099</v>
      </c>
    </row>
    <row r="32959">
      <c r="B32959" s="31"/>
      <c r="G32959" s="272" t="s">
        <v>1099</v>
      </c>
    </row>
    <row r="32960">
      <c r="B32960" s="31"/>
      <c r="G32960" s="272" t="s">
        <v>1099</v>
      </c>
    </row>
    <row r="32961">
      <c r="B32961" s="31"/>
      <c r="G32961" s="272" t="s">
        <v>1099</v>
      </c>
    </row>
    <row r="32962">
      <c r="B32962" s="31"/>
      <c r="G32962" s="272" t="s">
        <v>1099</v>
      </c>
    </row>
    <row r="32963">
      <c r="B32963" s="31"/>
      <c r="G32963" s="272" t="s">
        <v>1099</v>
      </c>
    </row>
    <row r="32964">
      <c r="B32964" s="31"/>
      <c r="G32964" s="272" t="s">
        <v>1099</v>
      </c>
    </row>
    <row r="32965">
      <c r="B32965" s="31"/>
      <c r="G32965" s="272" t="s">
        <v>1099</v>
      </c>
    </row>
    <row r="32966">
      <c r="B32966" s="31"/>
      <c r="G32966" s="272" t="s">
        <v>1099</v>
      </c>
    </row>
    <row r="32967">
      <c r="B32967" s="31"/>
      <c r="G32967" s="272" t="s">
        <v>1099</v>
      </c>
    </row>
    <row r="32968">
      <c r="B32968" s="31"/>
      <c r="G32968" s="272" t="s">
        <v>1099</v>
      </c>
    </row>
    <row r="32969">
      <c r="B32969" s="31"/>
      <c r="G32969" s="272" t="s">
        <v>1099</v>
      </c>
    </row>
    <row r="32970">
      <c r="B32970" s="31"/>
      <c r="G32970" s="272" t="s">
        <v>1099</v>
      </c>
    </row>
    <row r="32971">
      <c r="B32971" s="31"/>
      <c r="G32971" s="272" t="s">
        <v>1099</v>
      </c>
    </row>
    <row r="32972">
      <c r="B32972" s="31"/>
      <c r="G32972" s="272" t="s">
        <v>1099</v>
      </c>
    </row>
    <row r="32973">
      <c r="B32973" s="31"/>
      <c r="G32973" s="272" t="s">
        <v>1099</v>
      </c>
    </row>
    <row r="32974">
      <c r="B32974" s="31"/>
      <c r="G32974" s="272" t="s">
        <v>1099</v>
      </c>
    </row>
    <row r="32975">
      <c r="B32975" s="31"/>
      <c r="G32975" s="272" t="s">
        <v>1099</v>
      </c>
    </row>
    <row r="32976">
      <c r="B32976" s="31"/>
      <c r="G32976" s="272" t="s">
        <v>1099</v>
      </c>
    </row>
    <row r="32977">
      <c r="B32977" s="31"/>
      <c r="G32977" s="272" t="s">
        <v>1099</v>
      </c>
    </row>
    <row r="32978">
      <c r="B32978" s="31"/>
      <c r="G32978" s="272" t="s">
        <v>1099</v>
      </c>
    </row>
    <row r="32979">
      <c r="B32979" s="31"/>
      <c r="G32979" s="272" t="s">
        <v>1099</v>
      </c>
    </row>
    <row r="32980">
      <c r="B32980" s="31"/>
      <c r="G32980" s="272" t="s">
        <v>1099</v>
      </c>
    </row>
    <row r="32981">
      <c r="B32981" s="31"/>
      <c r="G32981" s="272" t="s">
        <v>1099</v>
      </c>
    </row>
    <row r="32982">
      <c r="B32982" s="31"/>
      <c r="G32982" s="272" t="s">
        <v>1099</v>
      </c>
    </row>
    <row r="32983">
      <c r="B32983" s="31"/>
      <c r="G32983" s="272" t="s">
        <v>1099</v>
      </c>
    </row>
    <row r="32984">
      <c r="B32984" s="31"/>
      <c r="G32984" s="272" t="s">
        <v>1099</v>
      </c>
    </row>
    <row r="32985">
      <c r="B32985" s="31"/>
      <c r="G32985" s="272" t="s">
        <v>1099</v>
      </c>
    </row>
    <row r="32986">
      <c r="B32986" s="31"/>
      <c r="G32986" s="272" t="s">
        <v>1099</v>
      </c>
    </row>
    <row r="32987">
      <c r="B32987" s="31"/>
      <c r="G32987" s="272" t="s">
        <v>1099</v>
      </c>
    </row>
    <row r="32988">
      <c r="B32988" s="31"/>
      <c r="G32988" s="272" t="s">
        <v>1099</v>
      </c>
    </row>
    <row r="32989">
      <c r="B32989" s="31"/>
      <c r="G32989" s="272" t="s">
        <v>1099</v>
      </c>
    </row>
    <row r="32990">
      <c r="B32990" s="31"/>
      <c r="G32990" s="272" t="s">
        <v>1099</v>
      </c>
    </row>
    <row r="32991">
      <c r="B32991" s="31"/>
      <c r="G32991" s="272" t="s">
        <v>1099</v>
      </c>
    </row>
    <row r="32992">
      <c r="B32992" s="31"/>
      <c r="G32992" s="272" t="s">
        <v>1099</v>
      </c>
    </row>
    <row r="32993">
      <c r="B32993" s="31"/>
      <c r="G32993" s="272" t="s">
        <v>1099</v>
      </c>
    </row>
    <row r="32994">
      <c r="B32994" s="31"/>
      <c r="G32994" s="272" t="s">
        <v>1099</v>
      </c>
    </row>
    <row r="32995">
      <c r="B32995" s="31"/>
      <c r="G32995" s="272" t="s">
        <v>1099</v>
      </c>
    </row>
    <row r="32996">
      <c r="B32996" s="31"/>
      <c r="G32996" s="272" t="s">
        <v>1099</v>
      </c>
    </row>
    <row r="32997">
      <c r="B32997" s="31"/>
      <c r="G32997" s="272" t="s">
        <v>1099</v>
      </c>
    </row>
    <row r="32998">
      <c r="B32998" s="31"/>
      <c r="G32998" s="272" t="s">
        <v>1099</v>
      </c>
    </row>
    <row r="32999">
      <c r="B32999" s="31"/>
      <c r="G32999" s="272" t="s">
        <v>1099</v>
      </c>
    </row>
    <row r="33000">
      <c r="B33000" s="31"/>
      <c r="G33000" s="272" t="s">
        <v>1099</v>
      </c>
    </row>
    <row r="33001">
      <c r="B33001" s="31"/>
      <c r="G33001" s="272" t="s">
        <v>1099</v>
      </c>
    </row>
    <row r="33002">
      <c r="B33002" s="31"/>
      <c r="G33002" s="272" t="s">
        <v>1099</v>
      </c>
    </row>
    <row r="33003">
      <c r="B33003" s="31"/>
      <c r="G33003" s="272" t="s">
        <v>1099</v>
      </c>
    </row>
    <row r="33004">
      <c r="B33004" s="31"/>
      <c r="G33004" s="272" t="s">
        <v>1099</v>
      </c>
    </row>
    <row r="33005">
      <c r="B33005" s="31"/>
      <c r="G33005" s="272" t="s">
        <v>1099</v>
      </c>
    </row>
    <row r="33006">
      <c r="B33006" s="31"/>
      <c r="G33006" s="272" t="s">
        <v>1099</v>
      </c>
    </row>
    <row r="33007">
      <c r="B33007" s="31"/>
      <c r="G33007" s="272" t="s">
        <v>1099</v>
      </c>
    </row>
    <row r="33008">
      <c r="B33008" s="31"/>
      <c r="G33008" s="272" t="s">
        <v>1099</v>
      </c>
    </row>
    <row r="33009">
      <c r="B33009" s="31"/>
      <c r="G33009" s="272" t="s">
        <v>1099</v>
      </c>
    </row>
    <row r="33010">
      <c r="B33010" s="31"/>
      <c r="G33010" s="272" t="s">
        <v>1099</v>
      </c>
    </row>
    <row r="33011">
      <c r="B33011" s="31"/>
      <c r="G33011" s="272" t="s">
        <v>1099</v>
      </c>
    </row>
    <row r="33012">
      <c r="B33012" s="31"/>
      <c r="G33012" s="272" t="s">
        <v>1099</v>
      </c>
    </row>
    <row r="33013">
      <c r="B33013" s="31"/>
      <c r="G33013" s="272" t="s">
        <v>1099</v>
      </c>
    </row>
    <row r="33014">
      <c r="B33014" s="31"/>
      <c r="G33014" s="272" t="s">
        <v>1099</v>
      </c>
    </row>
    <row r="33015">
      <c r="B33015" s="31"/>
      <c r="G33015" s="272" t="s">
        <v>1099</v>
      </c>
    </row>
    <row r="33016">
      <c r="B33016" s="31"/>
      <c r="G33016" s="272" t="s">
        <v>1099</v>
      </c>
    </row>
    <row r="33017">
      <c r="B33017" s="31"/>
      <c r="G33017" s="272" t="s">
        <v>1099</v>
      </c>
    </row>
    <row r="33018">
      <c r="B33018" s="31"/>
      <c r="G33018" s="272" t="s">
        <v>1099</v>
      </c>
    </row>
    <row r="33019">
      <c r="B33019" s="31"/>
      <c r="G33019" s="272" t="s">
        <v>1099</v>
      </c>
    </row>
    <row r="33020">
      <c r="B33020" s="31"/>
      <c r="G33020" s="272" t="s">
        <v>1099</v>
      </c>
    </row>
    <row r="33021">
      <c r="B33021" s="31"/>
      <c r="G33021" s="272" t="s">
        <v>1099</v>
      </c>
    </row>
    <row r="33022">
      <c r="B33022" s="31"/>
      <c r="G33022" s="272" t="s">
        <v>1099</v>
      </c>
    </row>
    <row r="33023">
      <c r="B33023" s="31"/>
      <c r="G33023" s="272" t="s">
        <v>1099</v>
      </c>
    </row>
    <row r="33024">
      <c r="B33024" s="31"/>
      <c r="G33024" s="272" t="s">
        <v>1099</v>
      </c>
    </row>
    <row r="33025">
      <c r="B33025" s="31"/>
      <c r="G33025" s="272" t="s">
        <v>1099</v>
      </c>
    </row>
    <row r="33026">
      <c r="B33026" s="31"/>
      <c r="G33026" s="272" t="s">
        <v>1099</v>
      </c>
    </row>
    <row r="33027">
      <c r="B33027" s="31"/>
      <c r="G33027" s="272" t="s">
        <v>1099</v>
      </c>
    </row>
    <row r="33028">
      <c r="B33028" s="31"/>
      <c r="G33028" s="272" t="s">
        <v>1099</v>
      </c>
    </row>
    <row r="33029">
      <c r="B33029" s="31"/>
      <c r="G33029" s="272" t="s">
        <v>1099</v>
      </c>
    </row>
    <row r="33030">
      <c r="B33030" s="31"/>
      <c r="G33030" s="272" t="s">
        <v>1099</v>
      </c>
    </row>
    <row r="33031">
      <c r="B33031" s="31"/>
      <c r="G33031" s="272" t="s">
        <v>1099</v>
      </c>
    </row>
    <row r="33032">
      <c r="B33032" s="31"/>
      <c r="G33032" s="272" t="s">
        <v>1099</v>
      </c>
    </row>
    <row r="33033">
      <c r="B33033" s="31"/>
      <c r="G33033" s="272" t="s">
        <v>1099</v>
      </c>
    </row>
    <row r="33034">
      <c r="B33034" s="31"/>
      <c r="G33034" s="272" t="s">
        <v>1099</v>
      </c>
    </row>
    <row r="33035">
      <c r="B33035" s="31"/>
      <c r="G33035" s="272" t="s">
        <v>1099</v>
      </c>
    </row>
    <row r="33036">
      <c r="B33036" s="31"/>
      <c r="G33036" s="272" t="s">
        <v>1099</v>
      </c>
    </row>
    <row r="33037">
      <c r="B33037" s="31"/>
      <c r="G33037" s="272" t="s">
        <v>1099</v>
      </c>
    </row>
    <row r="33038">
      <c r="B33038" s="31"/>
      <c r="G33038" s="272" t="s">
        <v>1099</v>
      </c>
    </row>
    <row r="33039">
      <c r="B33039" s="31"/>
      <c r="G33039" s="272" t="s">
        <v>1099</v>
      </c>
    </row>
    <row r="33040">
      <c r="B33040" s="31"/>
      <c r="G33040" s="272" t="s">
        <v>1099</v>
      </c>
    </row>
    <row r="33041">
      <c r="B33041" s="31"/>
      <c r="G33041" s="272" t="s">
        <v>1099</v>
      </c>
    </row>
    <row r="33042">
      <c r="B33042" s="31"/>
      <c r="G33042" s="272" t="s">
        <v>1099</v>
      </c>
    </row>
    <row r="33043">
      <c r="B33043" s="31"/>
      <c r="G33043" s="272" t="s">
        <v>1099</v>
      </c>
    </row>
    <row r="33044">
      <c r="B33044" s="31"/>
      <c r="G33044" s="272" t="s">
        <v>1099</v>
      </c>
    </row>
    <row r="33045">
      <c r="B33045" s="31"/>
      <c r="G33045" s="272" t="s">
        <v>1099</v>
      </c>
    </row>
    <row r="33046">
      <c r="B33046" s="31"/>
      <c r="G33046" s="272" t="s">
        <v>1099</v>
      </c>
    </row>
    <row r="33047">
      <c r="B33047" s="31"/>
      <c r="G33047" s="272" t="s">
        <v>1099</v>
      </c>
    </row>
    <row r="33048">
      <c r="B33048" s="31"/>
      <c r="G33048" s="272" t="s">
        <v>1099</v>
      </c>
    </row>
    <row r="33049">
      <c r="B33049" s="31"/>
      <c r="G33049" s="272" t="s">
        <v>1099</v>
      </c>
    </row>
    <row r="33050">
      <c r="B33050" s="31"/>
      <c r="G33050" s="272" t="s">
        <v>1099</v>
      </c>
    </row>
    <row r="33051">
      <c r="B33051" s="31"/>
      <c r="G33051" s="272" t="s">
        <v>1099</v>
      </c>
    </row>
    <row r="33052">
      <c r="B33052" s="31"/>
      <c r="G33052" s="272" t="s">
        <v>1099</v>
      </c>
    </row>
    <row r="33053">
      <c r="B33053" s="31"/>
      <c r="G33053" s="272" t="s">
        <v>1099</v>
      </c>
    </row>
    <row r="33054">
      <c r="B33054" s="31"/>
      <c r="G33054" s="272" t="s">
        <v>1099</v>
      </c>
    </row>
    <row r="33055">
      <c r="B33055" s="31"/>
      <c r="G33055" s="272" t="s">
        <v>1099</v>
      </c>
    </row>
    <row r="33056">
      <c r="B33056" s="31"/>
      <c r="G33056" s="272" t="s">
        <v>1099</v>
      </c>
    </row>
    <row r="33057">
      <c r="B33057" s="31"/>
      <c r="G33057" s="272" t="s">
        <v>1099</v>
      </c>
    </row>
    <row r="33058">
      <c r="B33058" s="31"/>
      <c r="G33058" s="272" t="s">
        <v>1099</v>
      </c>
    </row>
    <row r="33059">
      <c r="B33059" s="31"/>
      <c r="G33059" s="272" t="s">
        <v>1099</v>
      </c>
    </row>
    <row r="33060">
      <c r="B33060" s="31"/>
      <c r="G33060" s="272" t="s">
        <v>1099</v>
      </c>
    </row>
    <row r="33061">
      <c r="B33061" s="31"/>
      <c r="G33061" s="272" t="s">
        <v>1099</v>
      </c>
    </row>
    <row r="33062">
      <c r="B33062" s="31"/>
      <c r="G33062" s="272" t="s">
        <v>1099</v>
      </c>
    </row>
    <row r="33063">
      <c r="B33063" s="31"/>
      <c r="G33063" s="272" t="s">
        <v>1099</v>
      </c>
    </row>
    <row r="33064">
      <c r="B33064" s="31"/>
      <c r="G33064" s="272" t="s">
        <v>1099</v>
      </c>
    </row>
    <row r="33065">
      <c r="B33065" s="31"/>
      <c r="G33065" s="272" t="s">
        <v>1099</v>
      </c>
    </row>
    <row r="33066">
      <c r="B33066" s="31"/>
      <c r="G33066" s="272" t="s">
        <v>1099</v>
      </c>
    </row>
    <row r="33067">
      <c r="B33067" s="31"/>
      <c r="G33067" s="272" t="s">
        <v>1099</v>
      </c>
    </row>
    <row r="33068">
      <c r="B33068" s="31"/>
      <c r="G33068" s="272" t="s">
        <v>1099</v>
      </c>
    </row>
    <row r="33069">
      <c r="B33069" s="31"/>
      <c r="G33069" s="272" t="s">
        <v>1099</v>
      </c>
    </row>
    <row r="33070">
      <c r="B33070" s="31"/>
      <c r="G33070" s="272" t="s">
        <v>1099</v>
      </c>
    </row>
    <row r="33071">
      <c r="B33071" s="31"/>
      <c r="G33071" s="272" t="s">
        <v>1099</v>
      </c>
    </row>
    <row r="33072">
      <c r="B33072" s="31"/>
      <c r="G33072" s="272" t="s">
        <v>1099</v>
      </c>
    </row>
    <row r="33073">
      <c r="B33073" s="31"/>
      <c r="G33073" s="272" t="s">
        <v>1099</v>
      </c>
    </row>
    <row r="33074">
      <c r="B33074" s="31"/>
      <c r="G33074" s="272" t="s">
        <v>1099</v>
      </c>
    </row>
    <row r="33075">
      <c r="B33075" s="31"/>
      <c r="G33075" s="272" t="s">
        <v>1099</v>
      </c>
    </row>
    <row r="33076">
      <c r="B33076" s="31"/>
      <c r="G33076" s="272" t="s">
        <v>1099</v>
      </c>
    </row>
    <row r="33077">
      <c r="B33077" s="31"/>
      <c r="G33077" s="272" t="s">
        <v>1099</v>
      </c>
    </row>
    <row r="33078">
      <c r="B33078" s="31"/>
      <c r="G33078" s="272" t="s">
        <v>1099</v>
      </c>
    </row>
    <row r="33079">
      <c r="B33079" s="31"/>
      <c r="G33079" s="272" t="s">
        <v>1099</v>
      </c>
    </row>
    <row r="33080">
      <c r="B33080" s="31"/>
      <c r="G33080" s="272" t="s">
        <v>1099</v>
      </c>
    </row>
    <row r="33081">
      <c r="B33081" s="31"/>
      <c r="G33081" s="272" t="s">
        <v>1099</v>
      </c>
    </row>
    <row r="33082">
      <c r="B33082" s="31"/>
      <c r="G33082" s="272" t="s">
        <v>1099</v>
      </c>
    </row>
    <row r="33083">
      <c r="B33083" s="31"/>
      <c r="G33083" s="272" t="s">
        <v>1099</v>
      </c>
    </row>
    <row r="33084">
      <c r="B33084" s="31"/>
      <c r="G33084" s="272" t="s">
        <v>1099</v>
      </c>
    </row>
    <row r="33085">
      <c r="B33085" s="31"/>
      <c r="G33085" s="272" t="s">
        <v>1099</v>
      </c>
    </row>
    <row r="33086">
      <c r="B33086" s="31"/>
      <c r="G33086" s="272" t="s">
        <v>1099</v>
      </c>
    </row>
    <row r="33087">
      <c r="B33087" s="31"/>
      <c r="G33087" s="272" t="s">
        <v>1099</v>
      </c>
    </row>
    <row r="33088">
      <c r="B33088" s="31"/>
      <c r="G33088" s="272" t="s">
        <v>1099</v>
      </c>
    </row>
    <row r="33089">
      <c r="B33089" s="31"/>
      <c r="G33089" s="272" t="s">
        <v>1099</v>
      </c>
    </row>
    <row r="33090">
      <c r="B33090" s="31"/>
      <c r="G33090" s="272" t="s">
        <v>1099</v>
      </c>
    </row>
    <row r="33091">
      <c r="B33091" s="31"/>
      <c r="G33091" s="272" t="s">
        <v>1099</v>
      </c>
    </row>
    <row r="33092">
      <c r="B33092" s="31"/>
      <c r="G33092" s="272" t="s">
        <v>1099</v>
      </c>
    </row>
    <row r="33093">
      <c r="B33093" s="31"/>
      <c r="G33093" s="272" t="s">
        <v>1099</v>
      </c>
    </row>
    <row r="33094">
      <c r="B33094" s="31"/>
      <c r="G33094" s="272" t="s">
        <v>1099</v>
      </c>
    </row>
    <row r="33095">
      <c r="B33095" s="31"/>
      <c r="G33095" s="272" t="s">
        <v>1099</v>
      </c>
    </row>
    <row r="33096">
      <c r="B33096" s="31"/>
      <c r="G33096" s="272" t="s">
        <v>1099</v>
      </c>
    </row>
    <row r="33097">
      <c r="B33097" s="31"/>
      <c r="G33097" s="272" t="s">
        <v>1099</v>
      </c>
    </row>
    <row r="33098">
      <c r="B33098" s="31"/>
      <c r="G33098" s="272" t="s">
        <v>1099</v>
      </c>
    </row>
    <row r="33099">
      <c r="B33099" s="31"/>
      <c r="G33099" s="272" t="s">
        <v>1099</v>
      </c>
    </row>
    <row r="33100">
      <c r="B33100" s="31"/>
      <c r="G33100" s="272" t="s">
        <v>1099</v>
      </c>
    </row>
    <row r="33101">
      <c r="B33101" s="31"/>
      <c r="G33101" s="272" t="s">
        <v>1099</v>
      </c>
    </row>
    <row r="33102">
      <c r="B33102" s="31"/>
      <c r="G33102" s="272" t="s">
        <v>1099</v>
      </c>
    </row>
    <row r="33103">
      <c r="B33103" s="31"/>
      <c r="G33103" s="272" t="s">
        <v>1099</v>
      </c>
    </row>
    <row r="33104">
      <c r="B33104" s="31"/>
      <c r="G33104" s="272" t="s">
        <v>1099</v>
      </c>
    </row>
    <row r="33105">
      <c r="B33105" s="31"/>
      <c r="G33105" s="272" t="s">
        <v>1099</v>
      </c>
    </row>
    <row r="33106">
      <c r="B33106" s="31"/>
      <c r="G33106" s="272" t="s">
        <v>1099</v>
      </c>
    </row>
    <row r="33107">
      <c r="B33107" s="31"/>
      <c r="G33107" s="272" t="s">
        <v>1099</v>
      </c>
    </row>
    <row r="33108">
      <c r="B33108" s="31"/>
      <c r="G33108" s="272" t="s">
        <v>1099</v>
      </c>
    </row>
    <row r="33109">
      <c r="B33109" s="31"/>
      <c r="G33109" s="272" t="s">
        <v>1099</v>
      </c>
    </row>
    <row r="33110">
      <c r="B33110" s="31"/>
      <c r="G33110" s="272" t="s">
        <v>1099</v>
      </c>
    </row>
    <row r="33111">
      <c r="B33111" s="31"/>
      <c r="G33111" s="272" t="s">
        <v>1099</v>
      </c>
    </row>
    <row r="33112">
      <c r="B33112" s="31"/>
      <c r="G33112" s="272" t="s">
        <v>1099</v>
      </c>
    </row>
    <row r="33113">
      <c r="B33113" s="31"/>
      <c r="G33113" s="272" t="s">
        <v>1099</v>
      </c>
    </row>
    <row r="33114">
      <c r="B33114" s="31"/>
      <c r="G33114" s="272" t="s">
        <v>1099</v>
      </c>
    </row>
    <row r="33115">
      <c r="B33115" s="31"/>
      <c r="G33115" s="272" t="s">
        <v>1099</v>
      </c>
    </row>
    <row r="33116">
      <c r="B33116" s="31"/>
      <c r="G33116" s="272" t="s">
        <v>1099</v>
      </c>
    </row>
    <row r="33117">
      <c r="B33117" s="31"/>
      <c r="G33117" s="272" t="s">
        <v>1099</v>
      </c>
    </row>
    <row r="33118">
      <c r="B33118" s="31"/>
      <c r="G33118" s="272" t="s">
        <v>1099</v>
      </c>
    </row>
    <row r="33119">
      <c r="B33119" s="31"/>
      <c r="G33119" s="272" t="s">
        <v>1099</v>
      </c>
    </row>
    <row r="33120">
      <c r="B33120" s="31"/>
      <c r="G33120" s="272" t="s">
        <v>1099</v>
      </c>
    </row>
    <row r="33121">
      <c r="B33121" s="31"/>
      <c r="G33121" s="272" t="s">
        <v>1099</v>
      </c>
    </row>
    <row r="33122">
      <c r="B33122" s="31"/>
      <c r="G33122" s="272" t="s">
        <v>1099</v>
      </c>
    </row>
    <row r="33123">
      <c r="B33123" s="31"/>
      <c r="G33123" s="272" t="s">
        <v>1099</v>
      </c>
    </row>
    <row r="33124">
      <c r="B33124" s="31"/>
      <c r="G33124" s="272" t="s">
        <v>1099</v>
      </c>
    </row>
    <row r="33125">
      <c r="B33125" s="31"/>
      <c r="G33125" s="272" t="s">
        <v>1099</v>
      </c>
    </row>
    <row r="33126">
      <c r="B33126" s="31"/>
      <c r="G33126" s="272" t="s">
        <v>1099</v>
      </c>
    </row>
    <row r="33127">
      <c r="B33127" s="31"/>
      <c r="G33127" s="272" t="s">
        <v>1099</v>
      </c>
    </row>
    <row r="33128">
      <c r="B33128" s="31"/>
      <c r="G33128" s="272" t="s">
        <v>1099</v>
      </c>
    </row>
    <row r="33129">
      <c r="B33129" s="31"/>
      <c r="G33129" s="272" t="s">
        <v>1099</v>
      </c>
    </row>
    <row r="33130">
      <c r="B33130" s="31"/>
      <c r="G33130" s="272" t="s">
        <v>1099</v>
      </c>
    </row>
    <row r="33131">
      <c r="B33131" s="31"/>
      <c r="G33131" s="272" t="s">
        <v>1099</v>
      </c>
    </row>
    <row r="33132">
      <c r="B33132" s="31"/>
      <c r="G33132" s="272" t="s">
        <v>1099</v>
      </c>
    </row>
    <row r="33133">
      <c r="B33133" s="31"/>
      <c r="G33133" s="272" t="s">
        <v>1099</v>
      </c>
    </row>
    <row r="33134">
      <c r="B33134" s="31"/>
      <c r="G33134" s="272" t="s">
        <v>1099</v>
      </c>
    </row>
    <row r="33135">
      <c r="B33135" s="31"/>
      <c r="G33135" s="272" t="s">
        <v>1099</v>
      </c>
    </row>
    <row r="33136">
      <c r="B33136" s="31"/>
      <c r="G33136" s="272" t="s">
        <v>1099</v>
      </c>
    </row>
    <row r="33137">
      <c r="B33137" s="31"/>
      <c r="G33137" s="272" t="s">
        <v>1099</v>
      </c>
    </row>
    <row r="33138">
      <c r="B33138" s="31"/>
      <c r="G33138" s="272" t="s">
        <v>1099</v>
      </c>
    </row>
    <row r="33139">
      <c r="B33139" s="31"/>
      <c r="G33139" s="272" t="s">
        <v>1099</v>
      </c>
    </row>
    <row r="33140">
      <c r="B33140" s="31"/>
      <c r="G33140" s="272" t="s">
        <v>1099</v>
      </c>
    </row>
    <row r="33141">
      <c r="B33141" s="31"/>
      <c r="G33141" s="272" t="s">
        <v>1099</v>
      </c>
    </row>
    <row r="33142">
      <c r="B33142" s="31"/>
      <c r="G33142" s="272" t="s">
        <v>1099</v>
      </c>
    </row>
    <row r="33143">
      <c r="B33143" s="31"/>
      <c r="G33143" s="272" t="s">
        <v>1099</v>
      </c>
    </row>
    <row r="33144">
      <c r="B33144" s="31"/>
      <c r="G33144" s="272" t="s">
        <v>1099</v>
      </c>
    </row>
    <row r="33145">
      <c r="B33145" s="31"/>
      <c r="G33145" s="272" t="s">
        <v>1099</v>
      </c>
    </row>
    <row r="33146">
      <c r="B33146" s="31"/>
      <c r="G33146" s="272" t="s">
        <v>1099</v>
      </c>
    </row>
    <row r="33147">
      <c r="B33147" s="31"/>
      <c r="G33147" s="272" t="s">
        <v>1099</v>
      </c>
    </row>
    <row r="33148">
      <c r="B33148" s="31"/>
      <c r="G33148" s="272" t="s">
        <v>1099</v>
      </c>
    </row>
    <row r="33149">
      <c r="B33149" s="31"/>
      <c r="G33149" s="272" t="s">
        <v>1099</v>
      </c>
    </row>
    <row r="33150">
      <c r="B33150" s="31"/>
      <c r="G33150" s="272" t="s">
        <v>1099</v>
      </c>
    </row>
    <row r="33151">
      <c r="B33151" s="31"/>
      <c r="G33151" s="272" t="s">
        <v>1099</v>
      </c>
    </row>
    <row r="33152">
      <c r="B33152" s="31"/>
      <c r="G33152" s="272" t="s">
        <v>1099</v>
      </c>
    </row>
    <row r="33153">
      <c r="B33153" s="31"/>
      <c r="G33153" s="272" t="s">
        <v>1099</v>
      </c>
    </row>
    <row r="33154">
      <c r="B33154" s="31"/>
      <c r="G33154" s="272" t="s">
        <v>1099</v>
      </c>
    </row>
    <row r="33155">
      <c r="B33155" s="31"/>
      <c r="G33155" s="272" t="s">
        <v>1099</v>
      </c>
    </row>
    <row r="33156">
      <c r="B33156" s="31"/>
      <c r="G33156" s="272" t="s">
        <v>1099</v>
      </c>
    </row>
    <row r="33157">
      <c r="B33157" s="31"/>
      <c r="G33157" s="272" t="s">
        <v>1099</v>
      </c>
    </row>
    <row r="33158">
      <c r="B33158" s="31"/>
      <c r="G33158" s="272" t="s">
        <v>1099</v>
      </c>
    </row>
    <row r="33159">
      <c r="B33159" s="31"/>
      <c r="G33159" s="272" t="s">
        <v>1099</v>
      </c>
    </row>
    <row r="33160">
      <c r="B33160" s="31"/>
      <c r="G33160" s="272" t="s">
        <v>1099</v>
      </c>
    </row>
    <row r="33161">
      <c r="B33161" s="31"/>
      <c r="G33161" s="272" t="s">
        <v>1099</v>
      </c>
    </row>
    <row r="33162">
      <c r="B33162" s="31"/>
      <c r="G33162" s="272" t="s">
        <v>1099</v>
      </c>
    </row>
    <row r="33163">
      <c r="B33163" s="31"/>
      <c r="G33163" s="272" t="s">
        <v>1099</v>
      </c>
    </row>
    <row r="33164">
      <c r="B33164" s="31"/>
      <c r="G33164" s="272" t="s">
        <v>1099</v>
      </c>
    </row>
    <row r="33165">
      <c r="B33165" s="31"/>
      <c r="G33165" s="272" t="s">
        <v>1099</v>
      </c>
    </row>
    <row r="33166">
      <c r="B33166" s="31"/>
      <c r="G33166" s="272" t="s">
        <v>1099</v>
      </c>
    </row>
    <row r="33167">
      <c r="B33167" s="31"/>
      <c r="G33167" s="272" t="s">
        <v>1099</v>
      </c>
    </row>
    <row r="33168">
      <c r="B33168" s="31"/>
      <c r="G33168" s="272" t="s">
        <v>1099</v>
      </c>
    </row>
    <row r="33169">
      <c r="B33169" s="31"/>
      <c r="G33169" s="272" t="s">
        <v>1099</v>
      </c>
    </row>
    <row r="33170">
      <c r="B33170" s="31"/>
      <c r="G33170" s="272" t="s">
        <v>1099</v>
      </c>
    </row>
    <row r="33171">
      <c r="B33171" s="31"/>
      <c r="G33171" s="272" t="s">
        <v>1099</v>
      </c>
    </row>
    <row r="33172">
      <c r="B33172" s="31"/>
      <c r="G33172" s="272" t="s">
        <v>1099</v>
      </c>
    </row>
    <row r="33173">
      <c r="B33173" s="31"/>
      <c r="G33173" s="272" t="s">
        <v>1099</v>
      </c>
    </row>
    <row r="33174">
      <c r="B33174" s="31"/>
      <c r="G33174" s="272" t="s">
        <v>1099</v>
      </c>
    </row>
    <row r="33175">
      <c r="B33175" s="31"/>
      <c r="G33175" s="272" t="s">
        <v>1099</v>
      </c>
    </row>
    <row r="33176">
      <c r="B33176" s="31"/>
      <c r="G33176" s="272" t="s">
        <v>1099</v>
      </c>
    </row>
    <row r="33177">
      <c r="B33177" s="31"/>
      <c r="G33177" s="272" t="s">
        <v>1099</v>
      </c>
    </row>
    <row r="33178">
      <c r="B33178" s="31"/>
      <c r="G33178" s="272" t="s">
        <v>1099</v>
      </c>
    </row>
    <row r="33179">
      <c r="B33179" s="31"/>
      <c r="G33179" s="272" t="s">
        <v>1099</v>
      </c>
    </row>
    <row r="33180">
      <c r="B33180" s="31"/>
      <c r="G33180" s="272" t="s">
        <v>1099</v>
      </c>
    </row>
    <row r="33181">
      <c r="B33181" s="31"/>
      <c r="G33181" s="272" t="s">
        <v>1099</v>
      </c>
    </row>
    <row r="33182">
      <c r="B33182" s="31"/>
      <c r="G33182" s="272" t="s">
        <v>1099</v>
      </c>
    </row>
    <row r="33183">
      <c r="B33183" s="31"/>
      <c r="G33183" s="272" t="s">
        <v>1099</v>
      </c>
    </row>
    <row r="33184">
      <c r="B33184" s="31"/>
      <c r="G33184" s="272" t="s">
        <v>1099</v>
      </c>
    </row>
    <row r="33185">
      <c r="B33185" s="31"/>
      <c r="G33185" s="272" t="s">
        <v>1099</v>
      </c>
    </row>
    <row r="33186">
      <c r="B33186" s="31"/>
      <c r="G33186" s="272" t="s">
        <v>1099</v>
      </c>
    </row>
    <row r="33187">
      <c r="B33187" s="31"/>
      <c r="G33187" s="272" t="s">
        <v>1099</v>
      </c>
    </row>
    <row r="33188">
      <c r="B33188" s="31"/>
      <c r="G33188" s="272" t="s">
        <v>1099</v>
      </c>
    </row>
    <row r="33189">
      <c r="B33189" s="31"/>
      <c r="G33189" s="272" t="s">
        <v>1099</v>
      </c>
    </row>
    <row r="33190">
      <c r="B33190" s="31"/>
      <c r="G33190" s="272" t="s">
        <v>1099</v>
      </c>
    </row>
    <row r="33191">
      <c r="B33191" s="31"/>
      <c r="G33191" s="272" t="s">
        <v>1099</v>
      </c>
    </row>
    <row r="33192">
      <c r="B33192" s="31"/>
      <c r="G33192" s="272" t="s">
        <v>1099</v>
      </c>
    </row>
    <row r="33193">
      <c r="B33193" s="31"/>
      <c r="G33193" s="272" t="s">
        <v>1099</v>
      </c>
    </row>
    <row r="33194">
      <c r="B33194" s="31"/>
      <c r="G33194" s="272" t="s">
        <v>1099</v>
      </c>
    </row>
    <row r="33195">
      <c r="B33195" s="31"/>
      <c r="G33195" s="272" t="s">
        <v>1099</v>
      </c>
    </row>
    <row r="33196">
      <c r="B33196" s="31"/>
      <c r="G33196" s="272" t="s">
        <v>1099</v>
      </c>
    </row>
    <row r="33197">
      <c r="B33197" s="31"/>
      <c r="G33197" s="272" t="s">
        <v>1099</v>
      </c>
    </row>
    <row r="33198">
      <c r="B33198" s="31"/>
      <c r="G33198" s="272" t="s">
        <v>1099</v>
      </c>
    </row>
    <row r="33199">
      <c r="B33199" s="31"/>
      <c r="G33199" s="272" t="s">
        <v>1099</v>
      </c>
    </row>
    <row r="33200">
      <c r="B33200" s="31"/>
      <c r="G33200" s="272" t="s">
        <v>1099</v>
      </c>
    </row>
    <row r="33201">
      <c r="B33201" s="31"/>
      <c r="G33201" s="272" t="s">
        <v>1099</v>
      </c>
    </row>
    <row r="33202">
      <c r="B33202" s="31"/>
      <c r="G33202" s="272" t="s">
        <v>1099</v>
      </c>
    </row>
    <row r="33203">
      <c r="B33203" s="31"/>
      <c r="G33203" s="272" t="s">
        <v>1099</v>
      </c>
    </row>
    <row r="33204">
      <c r="B33204" s="31"/>
      <c r="G33204" s="272" t="s">
        <v>1099</v>
      </c>
    </row>
    <row r="33205">
      <c r="B33205" s="31"/>
      <c r="G33205" s="272" t="s">
        <v>1099</v>
      </c>
    </row>
    <row r="33206">
      <c r="B33206" s="31"/>
      <c r="G33206" s="272" t="s">
        <v>1099</v>
      </c>
    </row>
    <row r="33207">
      <c r="B33207" s="31"/>
      <c r="G33207" s="272" t="s">
        <v>1099</v>
      </c>
    </row>
    <row r="33208">
      <c r="B33208" s="31"/>
      <c r="G33208" s="272" t="s">
        <v>1099</v>
      </c>
    </row>
    <row r="33209">
      <c r="B33209" s="31"/>
      <c r="G33209" s="272" t="s">
        <v>1099</v>
      </c>
    </row>
    <row r="33210">
      <c r="B33210" s="31"/>
      <c r="G33210" s="272" t="s">
        <v>1099</v>
      </c>
    </row>
    <row r="33211">
      <c r="B33211" s="31"/>
      <c r="G33211" s="272" t="s">
        <v>1099</v>
      </c>
    </row>
    <row r="33212">
      <c r="B33212" s="31"/>
      <c r="G33212" s="272" t="s">
        <v>1099</v>
      </c>
    </row>
    <row r="33213">
      <c r="B33213" s="31"/>
      <c r="G33213" s="272" t="s">
        <v>1099</v>
      </c>
    </row>
    <row r="33214">
      <c r="B33214" s="31"/>
      <c r="G33214" s="272" t="s">
        <v>1099</v>
      </c>
    </row>
    <row r="33215">
      <c r="B33215" s="31"/>
      <c r="G33215" s="272" t="s">
        <v>1099</v>
      </c>
    </row>
    <row r="33216">
      <c r="B33216" s="31"/>
      <c r="G33216" s="272" t="s">
        <v>1099</v>
      </c>
    </row>
    <row r="33217">
      <c r="B33217" s="31"/>
      <c r="G33217" s="272" t="s">
        <v>1099</v>
      </c>
    </row>
    <row r="33218">
      <c r="B33218" s="31"/>
      <c r="G33218" s="272" t="s">
        <v>1099</v>
      </c>
    </row>
    <row r="33219">
      <c r="B33219" s="31"/>
      <c r="G33219" s="272" t="s">
        <v>1099</v>
      </c>
    </row>
    <row r="33220">
      <c r="B33220" s="31"/>
      <c r="G33220" s="272" t="s">
        <v>1099</v>
      </c>
    </row>
    <row r="33221">
      <c r="B33221" s="31"/>
      <c r="G33221" s="272" t="s">
        <v>1099</v>
      </c>
    </row>
    <row r="33222">
      <c r="B33222" s="31"/>
      <c r="G33222" s="272" t="s">
        <v>1099</v>
      </c>
    </row>
    <row r="33223">
      <c r="B33223" s="31"/>
      <c r="G33223" s="272" t="s">
        <v>1099</v>
      </c>
    </row>
    <row r="33224">
      <c r="B33224" s="31"/>
      <c r="G33224" s="272" t="s">
        <v>1099</v>
      </c>
    </row>
    <row r="33225">
      <c r="B33225" s="31"/>
      <c r="G33225" s="272" t="s">
        <v>1099</v>
      </c>
    </row>
    <row r="33226">
      <c r="B33226" s="31"/>
      <c r="G33226" s="272" t="s">
        <v>1099</v>
      </c>
    </row>
    <row r="33227">
      <c r="B33227" s="31"/>
      <c r="G33227" s="272" t="s">
        <v>1099</v>
      </c>
    </row>
    <row r="33228">
      <c r="B33228" s="31"/>
      <c r="G33228" s="272" t="s">
        <v>1099</v>
      </c>
    </row>
    <row r="33229">
      <c r="B33229" s="31"/>
      <c r="G33229" s="272" t="s">
        <v>1099</v>
      </c>
    </row>
    <row r="33230">
      <c r="B33230" s="31"/>
      <c r="G33230" s="272" t="s">
        <v>1099</v>
      </c>
    </row>
    <row r="33231">
      <c r="B33231" s="31"/>
      <c r="G33231" s="272" t="s">
        <v>1099</v>
      </c>
    </row>
    <row r="33232">
      <c r="B33232" s="31"/>
      <c r="G33232" s="272" t="s">
        <v>1099</v>
      </c>
    </row>
    <row r="33233">
      <c r="B33233" s="31"/>
      <c r="G33233" s="272" t="s">
        <v>1099</v>
      </c>
    </row>
    <row r="33234">
      <c r="B33234" s="31"/>
      <c r="G33234" s="272" t="s">
        <v>1099</v>
      </c>
    </row>
    <row r="33235">
      <c r="B33235" s="31"/>
      <c r="G33235" s="272" t="s">
        <v>1099</v>
      </c>
    </row>
    <row r="33236">
      <c r="B33236" s="31"/>
      <c r="G33236" s="272" t="s">
        <v>1099</v>
      </c>
    </row>
    <row r="33237">
      <c r="B33237" s="31"/>
      <c r="G33237" s="272" t="s">
        <v>1099</v>
      </c>
    </row>
    <row r="33238">
      <c r="B33238" s="31"/>
      <c r="G33238" s="272" t="s">
        <v>1099</v>
      </c>
    </row>
    <row r="33239">
      <c r="B33239" s="31"/>
      <c r="G33239" s="272" t="s">
        <v>1099</v>
      </c>
    </row>
    <row r="33240">
      <c r="B33240" s="31"/>
      <c r="G33240" s="272" t="s">
        <v>1099</v>
      </c>
    </row>
    <row r="33241">
      <c r="B33241" s="31"/>
      <c r="G33241" s="272" t="s">
        <v>1099</v>
      </c>
    </row>
    <row r="33242">
      <c r="B33242" s="31"/>
      <c r="G33242" s="272" t="s">
        <v>1099</v>
      </c>
    </row>
    <row r="33243">
      <c r="B33243" s="31"/>
      <c r="G33243" s="272" t="s">
        <v>1099</v>
      </c>
    </row>
    <row r="33244">
      <c r="B33244" s="31"/>
      <c r="G33244" s="272" t="s">
        <v>1099</v>
      </c>
    </row>
    <row r="33245">
      <c r="B33245" s="31"/>
      <c r="G33245" s="272" t="s">
        <v>1099</v>
      </c>
    </row>
    <row r="33246">
      <c r="B33246" s="31"/>
      <c r="G33246" s="272" t="s">
        <v>1099</v>
      </c>
    </row>
    <row r="33247">
      <c r="B33247" s="31"/>
      <c r="G33247" s="272" t="s">
        <v>1099</v>
      </c>
    </row>
    <row r="33248">
      <c r="B33248" s="31"/>
      <c r="G33248" s="272" t="s">
        <v>1099</v>
      </c>
    </row>
    <row r="33249">
      <c r="B33249" s="31"/>
      <c r="G33249" s="272" t="s">
        <v>1099</v>
      </c>
    </row>
    <row r="33250">
      <c r="B33250" s="31"/>
      <c r="G33250" s="272" t="s">
        <v>1099</v>
      </c>
    </row>
    <row r="33251">
      <c r="B33251" s="31"/>
      <c r="G33251" s="272" t="s">
        <v>1099</v>
      </c>
    </row>
    <row r="33252">
      <c r="B33252" s="31"/>
      <c r="G33252" s="272" t="s">
        <v>1099</v>
      </c>
    </row>
    <row r="33253">
      <c r="B33253" s="31"/>
      <c r="G33253" s="272" t="s">
        <v>1099</v>
      </c>
    </row>
    <row r="33254">
      <c r="B33254" s="31"/>
      <c r="G33254" s="272" t="s">
        <v>1099</v>
      </c>
    </row>
    <row r="33255">
      <c r="B33255" s="31"/>
      <c r="G33255" s="272" t="s">
        <v>1099</v>
      </c>
    </row>
    <row r="33256">
      <c r="B33256" s="31"/>
      <c r="G33256" s="272" t="s">
        <v>1099</v>
      </c>
    </row>
    <row r="33257">
      <c r="B33257" s="31"/>
      <c r="G33257" s="272" t="s">
        <v>1099</v>
      </c>
    </row>
    <row r="33258">
      <c r="B33258" s="31"/>
      <c r="G33258" s="272" t="s">
        <v>1099</v>
      </c>
    </row>
    <row r="33259">
      <c r="B33259" s="31"/>
      <c r="G33259" s="272" t="s">
        <v>1099</v>
      </c>
    </row>
    <row r="33260">
      <c r="B33260" s="31"/>
      <c r="G33260" s="272" t="s">
        <v>1099</v>
      </c>
    </row>
    <row r="33261">
      <c r="B33261" s="31"/>
      <c r="G33261" s="272" t="s">
        <v>1099</v>
      </c>
    </row>
    <row r="33262">
      <c r="B33262" s="31"/>
      <c r="G33262" s="272" t="s">
        <v>1099</v>
      </c>
    </row>
    <row r="33263">
      <c r="B33263" s="31"/>
      <c r="G33263" s="272" t="s">
        <v>1099</v>
      </c>
    </row>
    <row r="33264">
      <c r="B33264" s="31"/>
      <c r="G33264" s="272" t="s">
        <v>1099</v>
      </c>
    </row>
    <row r="33265">
      <c r="B33265" s="31"/>
      <c r="G33265" s="272" t="s">
        <v>1099</v>
      </c>
    </row>
    <row r="33266">
      <c r="B33266" s="31"/>
      <c r="G33266" s="272" t="s">
        <v>1099</v>
      </c>
    </row>
    <row r="33267">
      <c r="B33267" s="31"/>
      <c r="G33267" s="272" t="s">
        <v>1099</v>
      </c>
    </row>
    <row r="33268">
      <c r="B33268" s="31"/>
      <c r="G33268" s="272" t="s">
        <v>1099</v>
      </c>
    </row>
    <row r="33269">
      <c r="B33269" s="31"/>
      <c r="G33269" s="272" t="s">
        <v>1099</v>
      </c>
    </row>
    <row r="33270">
      <c r="B33270" s="31"/>
      <c r="G33270" s="272" t="s">
        <v>1099</v>
      </c>
    </row>
    <row r="33271">
      <c r="B33271" s="31"/>
      <c r="G33271" s="272" t="s">
        <v>1099</v>
      </c>
    </row>
    <row r="33272">
      <c r="B33272" s="31"/>
      <c r="G33272" s="272" t="s">
        <v>1099</v>
      </c>
    </row>
    <row r="33273">
      <c r="B33273" s="31"/>
      <c r="G33273" s="272" t="s">
        <v>1099</v>
      </c>
    </row>
    <row r="33274">
      <c r="B33274" s="31"/>
      <c r="G33274" s="272" t="s">
        <v>1099</v>
      </c>
    </row>
    <row r="33275">
      <c r="B33275" s="31"/>
      <c r="G33275" s="272" t="s">
        <v>1099</v>
      </c>
    </row>
    <row r="33276">
      <c r="B33276" s="31"/>
      <c r="G33276" s="272" t="s">
        <v>1099</v>
      </c>
    </row>
    <row r="33277">
      <c r="B33277" s="31"/>
      <c r="G33277" s="272" t="s">
        <v>1099</v>
      </c>
    </row>
    <row r="33278">
      <c r="B33278" s="31"/>
      <c r="G33278" s="272" t="s">
        <v>1099</v>
      </c>
    </row>
    <row r="33279">
      <c r="B33279" s="31"/>
      <c r="G33279" s="272" t="s">
        <v>1099</v>
      </c>
    </row>
    <row r="33280">
      <c r="B33280" s="31"/>
      <c r="G33280" s="272" t="s">
        <v>1099</v>
      </c>
    </row>
    <row r="33281">
      <c r="B33281" s="31"/>
      <c r="G33281" s="272" t="s">
        <v>1099</v>
      </c>
    </row>
    <row r="33282">
      <c r="B33282" s="31"/>
      <c r="G33282" s="272" t="s">
        <v>1099</v>
      </c>
    </row>
    <row r="33283">
      <c r="B33283" s="31"/>
      <c r="G33283" s="272" t="s">
        <v>1099</v>
      </c>
    </row>
    <row r="33284">
      <c r="B33284" s="31"/>
      <c r="G33284" s="272" t="s">
        <v>1099</v>
      </c>
    </row>
    <row r="33285">
      <c r="B33285" s="31"/>
      <c r="G33285" s="272" t="s">
        <v>1099</v>
      </c>
    </row>
    <row r="33286">
      <c r="B33286" s="31"/>
      <c r="G33286" s="272" t="s">
        <v>1099</v>
      </c>
    </row>
    <row r="33287">
      <c r="B33287" s="31"/>
      <c r="G33287" s="272" t="s">
        <v>1099</v>
      </c>
    </row>
    <row r="33288">
      <c r="B33288" s="31"/>
      <c r="G33288" s="272" t="s">
        <v>1099</v>
      </c>
    </row>
    <row r="33289">
      <c r="B33289" s="31"/>
      <c r="G33289" s="272" t="s">
        <v>1099</v>
      </c>
    </row>
    <row r="33290">
      <c r="B33290" s="31"/>
      <c r="G33290" s="272" t="s">
        <v>1099</v>
      </c>
    </row>
    <row r="33291">
      <c r="B33291" s="31"/>
      <c r="G33291" s="272" t="s">
        <v>1099</v>
      </c>
    </row>
    <row r="33292">
      <c r="B33292" s="31"/>
      <c r="G33292" s="272" t="s">
        <v>1099</v>
      </c>
    </row>
    <row r="33293">
      <c r="B33293" s="31"/>
      <c r="G33293" s="272" t="s">
        <v>1099</v>
      </c>
    </row>
    <row r="33294">
      <c r="B33294" s="31"/>
      <c r="G33294" s="272" t="s">
        <v>1099</v>
      </c>
    </row>
    <row r="33295">
      <c r="B33295" s="31"/>
      <c r="G33295" s="272" t="s">
        <v>1099</v>
      </c>
    </row>
    <row r="33296">
      <c r="B33296" s="31"/>
      <c r="G33296" s="272" t="s">
        <v>1099</v>
      </c>
    </row>
    <row r="33297">
      <c r="B33297" s="31"/>
      <c r="G33297" s="272" t="s">
        <v>1099</v>
      </c>
    </row>
    <row r="33298">
      <c r="B33298" s="31"/>
      <c r="G33298" s="272" t="s">
        <v>1099</v>
      </c>
    </row>
    <row r="33299">
      <c r="B33299" s="31"/>
      <c r="G33299" s="272" t="s">
        <v>1099</v>
      </c>
    </row>
    <row r="33300">
      <c r="B33300" s="31"/>
      <c r="G33300" s="272" t="s">
        <v>1099</v>
      </c>
    </row>
    <row r="33301">
      <c r="B33301" s="31"/>
      <c r="G33301" s="272" t="s">
        <v>1099</v>
      </c>
    </row>
    <row r="33302">
      <c r="B33302" s="31"/>
      <c r="G33302" s="272" t="s">
        <v>1099</v>
      </c>
    </row>
    <row r="33303">
      <c r="B33303" s="31"/>
      <c r="G33303" s="272" t="s">
        <v>1099</v>
      </c>
    </row>
    <row r="33304">
      <c r="B33304" s="31"/>
      <c r="G33304" s="272" t="s">
        <v>1099</v>
      </c>
    </row>
    <row r="33305">
      <c r="B33305" s="31"/>
      <c r="G33305" s="272" t="s">
        <v>1099</v>
      </c>
    </row>
    <row r="33306">
      <c r="B33306" s="31"/>
      <c r="G33306" s="272" t="s">
        <v>1099</v>
      </c>
    </row>
    <row r="33307">
      <c r="B33307" s="31"/>
      <c r="G33307" s="272" t="s">
        <v>1099</v>
      </c>
    </row>
    <row r="33308">
      <c r="B33308" s="31"/>
      <c r="G33308" s="272" t="s">
        <v>1099</v>
      </c>
    </row>
    <row r="33309">
      <c r="B33309" s="31"/>
      <c r="G33309" s="272" t="s">
        <v>1099</v>
      </c>
    </row>
    <row r="33310">
      <c r="B33310" s="31"/>
      <c r="G33310" s="272" t="s">
        <v>1099</v>
      </c>
    </row>
    <row r="33311">
      <c r="B33311" s="31"/>
      <c r="G33311" s="272" t="s">
        <v>1099</v>
      </c>
    </row>
    <row r="33312">
      <c r="B33312" s="31"/>
      <c r="G33312" s="272" t="s">
        <v>1099</v>
      </c>
    </row>
    <row r="33313">
      <c r="B33313" s="31"/>
      <c r="G33313" s="272" t="s">
        <v>1099</v>
      </c>
    </row>
    <row r="33314">
      <c r="B33314" s="31"/>
      <c r="G33314" s="272" t="s">
        <v>1099</v>
      </c>
    </row>
    <row r="33315">
      <c r="B33315" s="31"/>
      <c r="G33315" s="272" t="s">
        <v>1099</v>
      </c>
    </row>
    <row r="33316">
      <c r="B33316" s="31"/>
      <c r="G33316" s="272" t="s">
        <v>1099</v>
      </c>
    </row>
    <row r="33317">
      <c r="B33317" s="31"/>
      <c r="G33317" s="272" t="s">
        <v>1099</v>
      </c>
    </row>
    <row r="33318">
      <c r="B33318" s="31"/>
      <c r="G33318" s="272" t="s">
        <v>1099</v>
      </c>
    </row>
    <row r="33319">
      <c r="B33319" s="31"/>
      <c r="G33319" s="272" t="s">
        <v>1099</v>
      </c>
    </row>
    <row r="33320">
      <c r="B33320" s="31"/>
      <c r="G33320" s="272" t="s">
        <v>1099</v>
      </c>
    </row>
    <row r="33321">
      <c r="B33321" s="31"/>
      <c r="G33321" s="272" t="s">
        <v>1099</v>
      </c>
    </row>
    <row r="33322">
      <c r="B33322" s="31"/>
      <c r="G33322" s="272" t="s">
        <v>1099</v>
      </c>
    </row>
    <row r="33323">
      <c r="B33323" s="31"/>
      <c r="G33323" s="272" t="s">
        <v>1099</v>
      </c>
    </row>
    <row r="33324">
      <c r="B33324" s="31"/>
      <c r="G33324" s="272" t="s">
        <v>1099</v>
      </c>
    </row>
    <row r="33325">
      <c r="B33325" s="31"/>
      <c r="G33325" s="272" t="s">
        <v>1099</v>
      </c>
    </row>
    <row r="33326">
      <c r="B33326" s="31"/>
      <c r="G33326" s="272" t="s">
        <v>1099</v>
      </c>
    </row>
    <row r="33327">
      <c r="B33327" s="31"/>
      <c r="G33327" s="272" t="s">
        <v>1099</v>
      </c>
    </row>
    <row r="33328">
      <c r="B33328" s="31"/>
      <c r="G33328" s="272" t="s">
        <v>1099</v>
      </c>
    </row>
    <row r="33329">
      <c r="B33329" s="31"/>
      <c r="G33329" s="272" t="s">
        <v>1099</v>
      </c>
    </row>
    <row r="33330">
      <c r="B33330" s="31"/>
      <c r="G33330" s="272" t="s">
        <v>1099</v>
      </c>
    </row>
    <row r="33331">
      <c r="B33331" s="31"/>
      <c r="G33331" s="272" t="s">
        <v>1099</v>
      </c>
    </row>
    <row r="33332">
      <c r="B33332" s="31"/>
      <c r="G33332" s="272" t="s">
        <v>1099</v>
      </c>
    </row>
    <row r="33333">
      <c r="B33333" s="31"/>
      <c r="G33333" s="272" t="s">
        <v>1099</v>
      </c>
    </row>
    <row r="33334">
      <c r="B33334" s="31"/>
      <c r="G33334" s="272" t="s">
        <v>1099</v>
      </c>
    </row>
    <row r="33335">
      <c r="B33335" s="31"/>
      <c r="G33335" s="272" t="s">
        <v>1099</v>
      </c>
    </row>
    <row r="33336">
      <c r="B33336" s="31"/>
      <c r="G33336" s="272" t="s">
        <v>1099</v>
      </c>
    </row>
    <row r="33337">
      <c r="B33337" s="31"/>
      <c r="G33337" s="272" t="s">
        <v>1099</v>
      </c>
    </row>
    <row r="33338">
      <c r="B33338" s="31"/>
      <c r="G33338" s="272" t="s">
        <v>1099</v>
      </c>
    </row>
    <row r="33339">
      <c r="B33339" s="31"/>
      <c r="G33339" s="272" t="s">
        <v>1099</v>
      </c>
    </row>
    <row r="33340">
      <c r="B33340" s="31"/>
      <c r="G33340" s="272" t="s">
        <v>1099</v>
      </c>
    </row>
    <row r="33341">
      <c r="B33341" s="31"/>
      <c r="G33341" s="272" t="s">
        <v>1099</v>
      </c>
    </row>
    <row r="33342">
      <c r="B33342" s="31"/>
      <c r="G33342" s="272" t="s">
        <v>1099</v>
      </c>
    </row>
    <row r="33343">
      <c r="B33343" s="31"/>
      <c r="G33343" s="272" t="s">
        <v>1099</v>
      </c>
    </row>
    <row r="33344">
      <c r="B33344" s="31"/>
      <c r="G33344" s="272" t="s">
        <v>1099</v>
      </c>
    </row>
    <row r="33345">
      <c r="B33345" s="31"/>
      <c r="G33345" s="272" t="s">
        <v>1099</v>
      </c>
    </row>
    <row r="33346">
      <c r="B33346" s="31"/>
      <c r="G33346" s="272" t="s">
        <v>1099</v>
      </c>
    </row>
    <row r="33347">
      <c r="B33347" s="31"/>
      <c r="G33347" s="272" t="s">
        <v>1099</v>
      </c>
    </row>
    <row r="33348">
      <c r="B33348" s="31"/>
      <c r="G33348" s="272" t="s">
        <v>1099</v>
      </c>
    </row>
    <row r="33349">
      <c r="B33349" s="31"/>
      <c r="G33349" s="272" t="s">
        <v>1099</v>
      </c>
    </row>
    <row r="33350">
      <c r="B33350" s="31"/>
      <c r="G33350" s="272" t="s">
        <v>1099</v>
      </c>
    </row>
    <row r="33351">
      <c r="B33351" s="31"/>
      <c r="G33351" s="272" t="s">
        <v>1099</v>
      </c>
    </row>
    <row r="33352">
      <c r="B33352" s="31"/>
      <c r="G33352" s="272" t="s">
        <v>1099</v>
      </c>
    </row>
    <row r="33353">
      <c r="B33353" s="31"/>
      <c r="G33353" s="272" t="s">
        <v>1099</v>
      </c>
    </row>
    <row r="33354">
      <c r="B33354" s="31"/>
      <c r="G33354" s="272" t="s">
        <v>1099</v>
      </c>
    </row>
    <row r="33355">
      <c r="B33355" s="31"/>
      <c r="G33355" s="272" t="s">
        <v>1099</v>
      </c>
    </row>
    <row r="33356">
      <c r="B33356" s="31"/>
      <c r="G33356" s="272" t="s">
        <v>1099</v>
      </c>
    </row>
    <row r="33357">
      <c r="B33357" s="31"/>
      <c r="G33357" s="272" t="s">
        <v>1099</v>
      </c>
    </row>
    <row r="33358">
      <c r="B33358" s="31"/>
      <c r="G33358" s="272" t="s">
        <v>1099</v>
      </c>
    </row>
    <row r="33359">
      <c r="B33359" s="31"/>
      <c r="G33359" s="272" t="s">
        <v>1099</v>
      </c>
    </row>
    <row r="33360">
      <c r="B33360" s="31"/>
      <c r="G33360" s="272" t="s">
        <v>1099</v>
      </c>
    </row>
    <row r="33361">
      <c r="B33361" s="31"/>
      <c r="G33361" s="272" t="s">
        <v>1099</v>
      </c>
    </row>
    <row r="33362">
      <c r="B33362" s="31"/>
      <c r="G33362" s="272" t="s">
        <v>1099</v>
      </c>
    </row>
    <row r="33363">
      <c r="B33363" s="31"/>
      <c r="G33363" s="272" t="s">
        <v>1099</v>
      </c>
    </row>
    <row r="33364">
      <c r="B33364" s="31"/>
      <c r="G33364" s="272" t="s">
        <v>1099</v>
      </c>
    </row>
    <row r="33365">
      <c r="B33365" s="31"/>
      <c r="G33365" s="272" t="s">
        <v>1099</v>
      </c>
    </row>
    <row r="33366">
      <c r="B33366" s="31"/>
      <c r="G33366" s="272" t="s">
        <v>1099</v>
      </c>
    </row>
    <row r="33367">
      <c r="B33367" s="31"/>
      <c r="G33367" s="272" t="s">
        <v>1099</v>
      </c>
    </row>
    <row r="33368">
      <c r="B33368" s="31"/>
      <c r="G33368" s="272" t="s">
        <v>1099</v>
      </c>
    </row>
    <row r="33369">
      <c r="B33369" s="31"/>
      <c r="G33369" s="272" t="s">
        <v>1099</v>
      </c>
    </row>
    <row r="33370">
      <c r="B33370" s="31"/>
      <c r="G33370" s="272" t="s">
        <v>1099</v>
      </c>
    </row>
    <row r="33371">
      <c r="B33371" s="31"/>
      <c r="G33371" s="272" t="s">
        <v>1099</v>
      </c>
    </row>
    <row r="33372">
      <c r="B33372" s="31"/>
      <c r="G33372" s="272" t="s">
        <v>1099</v>
      </c>
    </row>
    <row r="33373">
      <c r="B33373" s="31"/>
      <c r="G33373" s="272" t="s">
        <v>1099</v>
      </c>
    </row>
    <row r="33374">
      <c r="B33374" s="31"/>
      <c r="G33374" s="272" t="s">
        <v>1099</v>
      </c>
    </row>
    <row r="33375">
      <c r="B33375" s="31"/>
      <c r="G33375" s="272" t="s">
        <v>1099</v>
      </c>
    </row>
    <row r="33376">
      <c r="B33376" s="31"/>
      <c r="G33376" s="272" t="s">
        <v>1099</v>
      </c>
    </row>
    <row r="33377">
      <c r="B33377" s="31"/>
      <c r="G33377" s="272" t="s">
        <v>1099</v>
      </c>
    </row>
    <row r="33378">
      <c r="B33378" s="31"/>
      <c r="G33378" s="272" t="s">
        <v>1099</v>
      </c>
    </row>
    <row r="33379">
      <c r="B33379" s="31"/>
      <c r="G33379" s="272" t="s">
        <v>1099</v>
      </c>
    </row>
    <row r="33380">
      <c r="B33380" s="31"/>
      <c r="G33380" s="272" t="s">
        <v>1099</v>
      </c>
    </row>
    <row r="33381">
      <c r="B33381" s="31"/>
      <c r="G33381" s="272" t="s">
        <v>1099</v>
      </c>
    </row>
    <row r="33382">
      <c r="B33382" s="31"/>
      <c r="G33382" s="272" t="s">
        <v>1099</v>
      </c>
    </row>
    <row r="33383">
      <c r="B33383" s="31"/>
      <c r="G33383" s="272" t="s">
        <v>1099</v>
      </c>
    </row>
    <row r="33384">
      <c r="B33384" s="31"/>
      <c r="G33384" s="272" t="s">
        <v>1099</v>
      </c>
    </row>
    <row r="33385">
      <c r="B33385" s="31"/>
      <c r="G33385" s="272" t="s">
        <v>1099</v>
      </c>
    </row>
    <row r="33386">
      <c r="B33386" s="31"/>
      <c r="G33386" s="272" t="s">
        <v>1099</v>
      </c>
    </row>
    <row r="33387">
      <c r="B33387" s="31"/>
      <c r="G33387" s="272" t="s">
        <v>1099</v>
      </c>
    </row>
    <row r="33388">
      <c r="B33388" s="31"/>
      <c r="G33388" s="272" t="s">
        <v>1099</v>
      </c>
    </row>
    <row r="33389">
      <c r="B33389" s="31"/>
      <c r="G33389" s="272" t="s">
        <v>1099</v>
      </c>
    </row>
    <row r="33390">
      <c r="B33390" s="31"/>
      <c r="G33390" s="272" t="s">
        <v>1099</v>
      </c>
    </row>
    <row r="33391">
      <c r="B33391" s="31"/>
      <c r="G33391" s="272" t="s">
        <v>1099</v>
      </c>
    </row>
    <row r="33392">
      <c r="B33392" s="31"/>
      <c r="G33392" s="272" t="s">
        <v>1099</v>
      </c>
    </row>
    <row r="33393">
      <c r="B33393" s="31"/>
      <c r="G33393" s="272" t="s">
        <v>1099</v>
      </c>
    </row>
    <row r="33394">
      <c r="B33394" s="31"/>
      <c r="G33394" s="272" t="s">
        <v>1099</v>
      </c>
    </row>
    <row r="33395">
      <c r="B33395" s="31"/>
      <c r="G33395" s="272" t="s">
        <v>1099</v>
      </c>
    </row>
    <row r="33396">
      <c r="B33396" s="31"/>
      <c r="G33396" s="272" t="s">
        <v>1099</v>
      </c>
    </row>
    <row r="33397">
      <c r="B33397" s="31"/>
      <c r="G33397" s="272" t="s">
        <v>1099</v>
      </c>
    </row>
    <row r="33398">
      <c r="B33398" s="31"/>
      <c r="G33398" s="272" t="s">
        <v>1099</v>
      </c>
    </row>
    <row r="33399">
      <c r="B33399" s="31"/>
      <c r="G33399" s="272" t="s">
        <v>1099</v>
      </c>
    </row>
    <row r="33400">
      <c r="B33400" s="31"/>
      <c r="G33400" s="272" t="s">
        <v>1099</v>
      </c>
    </row>
    <row r="33401">
      <c r="B33401" s="31"/>
      <c r="G33401" s="272" t="s">
        <v>1099</v>
      </c>
    </row>
    <row r="33402">
      <c r="B33402" s="31"/>
      <c r="G33402" s="272" t="s">
        <v>1099</v>
      </c>
    </row>
    <row r="33403">
      <c r="B33403" s="31"/>
      <c r="G33403" s="272" t="s">
        <v>1099</v>
      </c>
    </row>
    <row r="33404">
      <c r="B33404" s="31"/>
      <c r="G33404" s="272" t="s">
        <v>1099</v>
      </c>
    </row>
    <row r="33405">
      <c r="B33405" s="31"/>
      <c r="G33405" s="272" t="s">
        <v>1099</v>
      </c>
    </row>
    <row r="33406">
      <c r="B33406" s="31"/>
      <c r="G33406" s="272" t="s">
        <v>1099</v>
      </c>
    </row>
    <row r="33407">
      <c r="B33407" s="31"/>
      <c r="G33407" s="272" t="s">
        <v>1099</v>
      </c>
    </row>
    <row r="33408">
      <c r="B33408" s="31"/>
      <c r="G33408" s="272" t="s">
        <v>1099</v>
      </c>
    </row>
    <row r="33409">
      <c r="B33409" s="31"/>
      <c r="G33409" s="272" t="s">
        <v>1099</v>
      </c>
    </row>
    <row r="33410">
      <c r="B33410" s="31"/>
      <c r="G33410" s="272" t="s">
        <v>1099</v>
      </c>
    </row>
    <row r="33411">
      <c r="B33411" s="31"/>
      <c r="G33411" s="272" t="s">
        <v>1099</v>
      </c>
    </row>
    <row r="33412">
      <c r="B33412" s="31"/>
      <c r="G33412" s="272" t="s">
        <v>1099</v>
      </c>
    </row>
    <row r="33413">
      <c r="B33413" s="31"/>
      <c r="G33413" s="272" t="s">
        <v>1099</v>
      </c>
    </row>
    <row r="33414">
      <c r="B33414" s="31"/>
      <c r="G33414" s="272" t="s">
        <v>1099</v>
      </c>
    </row>
    <row r="33415">
      <c r="B33415" s="31"/>
      <c r="G33415" s="272" t="s">
        <v>1099</v>
      </c>
    </row>
    <row r="33416">
      <c r="B33416" s="31"/>
      <c r="G33416" s="272" t="s">
        <v>1099</v>
      </c>
    </row>
    <row r="33417">
      <c r="B33417" s="31"/>
      <c r="G33417" s="272" t="s">
        <v>1099</v>
      </c>
    </row>
    <row r="33418">
      <c r="B33418" s="31"/>
      <c r="G33418" s="272" t="s">
        <v>1099</v>
      </c>
    </row>
    <row r="33419">
      <c r="B33419" s="31"/>
      <c r="G33419" s="272" t="s">
        <v>1099</v>
      </c>
    </row>
    <row r="33420">
      <c r="B33420" s="31"/>
      <c r="G33420" s="272" t="s">
        <v>1099</v>
      </c>
    </row>
    <row r="33421">
      <c r="B33421" s="31"/>
      <c r="G33421" s="272" t="s">
        <v>1099</v>
      </c>
    </row>
    <row r="33422">
      <c r="B33422" s="31"/>
      <c r="G33422" s="272" t="s">
        <v>1099</v>
      </c>
    </row>
    <row r="33423">
      <c r="B33423" s="31"/>
      <c r="G33423" s="272" t="s">
        <v>1099</v>
      </c>
    </row>
    <row r="33424">
      <c r="B33424" s="31"/>
      <c r="G33424" s="272" t="s">
        <v>1099</v>
      </c>
    </row>
    <row r="33425">
      <c r="B33425" s="31"/>
      <c r="G33425" s="272" t="s">
        <v>1099</v>
      </c>
    </row>
    <row r="33426">
      <c r="B33426" s="31"/>
      <c r="G33426" s="272" t="s">
        <v>1099</v>
      </c>
    </row>
    <row r="33427">
      <c r="B33427" s="31"/>
      <c r="G33427" s="272" t="s">
        <v>1099</v>
      </c>
    </row>
    <row r="33428">
      <c r="B33428" s="31"/>
      <c r="G33428" s="272" t="s">
        <v>1099</v>
      </c>
    </row>
    <row r="33429">
      <c r="B33429" s="31"/>
      <c r="G33429" s="272" t="s">
        <v>1099</v>
      </c>
    </row>
    <row r="33430">
      <c r="B33430" s="31"/>
      <c r="G33430" s="272" t="s">
        <v>1099</v>
      </c>
    </row>
    <row r="33431">
      <c r="B33431" s="31"/>
      <c r="G33431" s="272" t="s">
        <v>1099</v>
      </c>
    </row>
    <row r="33432">
      <c r="B33432" s="31"/>
      <c r="G33432" s="272" t="s">
        <v>1099</v>
      </c>
    </row>
    <row r="33433">
      <c r="B33433" s="31"/>
      <c r="G33433" s="272" t="s">
        <v>1099</v>
      </c>
    </row>
    <row r="33434">
      <c r="B33434" s="31"/>
      <c r="G33434" s="272" t="s">
        <v>1099</v>
      </c>
    </row>
    <row r="33435">
      <c r="B33435" s="31"/>
      <c r="G33435" s="272" t="s">
        <v>1099</v>
      </c>
    </row>
    <row r="33436">
      <c r="B33436" s="31"/>
      <c r="G33436" s="272" t="s">
        <v>1099</v>
      </c>
    </row>
    <row r="33437">
      <c r="B33437" s="31"/>
      <c r="G33437" s="272" t="s">
        <v>1099</v>
      </c>
    </row>
    <row r="33438">
      <c r="B33438" s="31"/>
      <c r="G33438" s="272" t="s">
        <v>1099</v>
      </c>
    </row>
    <row r="33439">
      <c r="B33439" s="31"/>
      <c r="G33439" s="272" t="s">
        <v>1099</v>
      </c>
    </row>
    <row r="33440">
      <c r="B33440" s="31"/>
      <c r="G33440" s="272" t="s">
        <v>1099</v>
      </c>
    </row>
    <row r="33441">
      <c r="B33441" s="31"/>
      <c r="G33441" s="272" t="s">
        <v>1099</v>
      </c>
    </row>
    <row r="33442">
      <c r="B33442" s="31"/>
      <c r="G33442" s="272" t="s">
        <v>1099</v>
      </c>
    </row>
    <row r="33443">
      <c r="B33443" s="31"/>
      <c r="G33443" s="272" t="s">
        <v>1099</v>
      </c>
    </row>
    <row r="33444">
      <c r="B33444" s="31"/>
      <c r="G33444" s="272" t="s">
        <v>1099</v>
      </c>
    </row>
    <row r="33445">
      <c r="B33445" s="31"/>
      <c r="G33445" s="272" t="s">
        <v>1099</v>
      </c>
    </row>
    <row r="33446">
      <c r="B33446" s="31"/>
      <c r="G33446" s="272" t="s">
        <v>1099</v>
      </c>
    </row>
    <row r="33447">
      <c r="B33447" s="31"/>
      <c r="G33447" s="272" t="s">
        <v>1099</v>
      </c>
    </row>
    <row r="33448">
      <c r="B33448" s="31"/>
      <c r="G33448" s="272" t="s">
        <v>1099</v>
      </c>
    </row>
    <row r="33449">
      <c r="B33449" s="31"/>
      <c r="G33449" s="272" t="s">
        <v>1099</v>
      </c>
    </row>
    <row r="33450">
      <c r="B33450" s="31"/>
      <c r="G33450" s="272" t="s">
        <v>1099</v>
      </c>
    </row>
    <row r="33451">
      <c r="B33451" s="31"/>
      <c r="G33451" s="272" t="s">
        <v>1099</v>
      </c>
    </row>
    <row r="33452">
      <c r="B33452" s="31"/>
      <c r="G33452" s="272" t="s">
        <v>1099</v>
      </c>
    </row>
    <row r="33453">
      <c r="B33453" s="31"/>
      <c r="G33453" s="272" t="s">
        <v>1099</v>
      </c>
    </row>
    <row r="33454">
      <c r="B33454" s="31"/>
      <c r="G33454" s="272" t="s">
        <v>1099</v>
      </c>
    </row>
    <row r="33455">
      <c r="B33455" s="31"/>
      <c r="G33455" s="272" t="s">
        <v>1099</v>
      </c>
    </row>
    <row r="33456">
      <c r="B33456" s="31"/>
      <c r="G33456" s="272" t="s">
        <v>1099</v>
      </c>
    </row>
    <row r="33457">
      <c r="B33457" s="31"/>
      <c r="G33457" s="272" t="s">
        <v>1099</v>
      </c>
    </row>
    <row r="33458">
      <c r="B33458" s="31"/>
      <c r="G33458" s="272" t="s">
        <v>1099</v>
      </c>
    </row>
    <row r="33459">
      <c r="B33459" s="31"/>
      <c r="G33459" s="272" t="s">
        <v>1099</v>
      </c>
    </row>
    <row r="33460">
      <c r="B33460" s="31"/>
      <c r="G33460" s="272" t="s">
        <v>1099</v>
      </c>
    </row>
    <row r="33461">
      <c r="B33461" s="31"/>
      <c r="G33461" s="272" t="s">
        <v>1099</v>
      </c>
    </row>
    <row r="33462">
      <c r="B33462" s="31"/>
      <c r="G33462" s="272" t="s">
        <v>1099</v>
      </c>
    </row>
    <row r="33463">
      <c r="B33463" s="31"/>
      <c r="G33463" s="272" t="s">
        <v>1099</v>
      </c>
    </row>
    <row r="33464">
      <c r="B33464" s="31"/>
      <c r="G33464" s="272" t="s">
        <v>1099</v>
      </c>
    </row>
    <row r="33465">
      <c r="B33465" s="31"/>
      <c r="G33465" s="272" t="s">
        <v>1099</v>
      </c>
    </row>
    <row r="33466">
      <c r="B33466" s="31"/>
      <c r="G33466" s="272" t="s">
        <v>1099</v>
      </c>
    </row>
    <row r="33467">
      <c r="B33467" s="31"/>
      <c r="G33467" s="272" t="s">
        <v>1099</v>
      </c>
    </row>
    <row r="33468">
      <c r="B33468" s="31"/>
      <c r="G33468" s="272" t="s">
        <v>1099</v>
      </c>
    </row>
    <row r="33469">
      <c r="B33469" s="31"/>
      <c r="G33469" s="272" t="s">
        <v>1099</v>
      </c>
    </row>
    <row r="33470">
      <c r="B33470" s="31"/>
      <c r="G33470" s="272" t="s">
        <v>1099</v>
      </c>
    </row>
    <row r="33471">
      <c r="B33471" s="31"/>
      <c r="G33471" s="272" t="s">
        <v>1099</v>
      </c>
    </row>
    <row r="33472">
      <c r="B33472" s="31"/>
      <c r="G33472" s="272" t="s">
        <v>1099</v>
      </c>
    </row>
    <row r="33473">
      <c r="B33473" s="31"/>
      <c r="G33473" s="272" t="s">
        <v>1099</v>
      </c>
    </row>
    <row r="33474">
      <c r="B33474" s="31"/>
      <c r="G33474" s="272" t="s">
        <v>1099</v>
      </c>
    </row>
    <row r="33475">
      <c r="B33475" s="31"/>
      <c r="G33475" s="272" t="s">
        <v>1099</v>
      </c>
    </row>
    <row r="33476">
      <c r="B33476" s="31"/>
      <c r="G33476" s="272" t="s">
        <v>1099</v>
      </c>
    </row>
    <row r="33477">
      <c r="B33477" s="31"/>
      <c r="G33477" s="272" t="s">
        <v>1099</v>
      </c>
    </row>
    <row r="33478">
      <c r="B33478" s="31"/>
      <c r="G33478" s="272" t="s">
        <v>1099</v>
      </c>
    </row>
    <row r="33479">
      <c r="B33479" s="31"/>
      <c r="G33479" s="272" t="s">
        <v>1099</v>
      </c>
    </row>
    <row r="33480">
      <c r="B33480" s="31"/>
      <c r="G33480" s="272" t="s">
        <v>1099</v>
      </c>
    </row>
    <row r="33481">
      <c r="B33481" s="31"/>
      <c r="G33481" s="272" t="s">
        <v>1099</v>
      </c>
    </row>
    <row r="33482">
      <c r="B33482" s="31"/>
      <c r="G33482" s="272" t="s">
        <v>1099</v>
      </c>
    </row>
    <row r="33483">
      <c r="B33483" s="31"/>
      <c r="G33483" s="272" t="s">
        <v>1099</v>
      </c>
    </row>
    <row r="33484">
      <c r="B33484" s="31"/>
      <c r="G33484" s="272" t="s">
        <v>1099</v>
      </c>
    </row>
    <row r="33485">
      <c r="B33485" s="31"/>
      <c r="G33485" s="272" t="s">
        <v>1099</v>
      </c>
    </row>
    <row r="33486">
      <c r="B33486" s="31"/>
      <c r="G33486" s="272" t="s">
        <v>1099</v>
      </c>
    </row>
    <row r="33487">
      <c r="B33487" s="31"/>
      <c r="G33487" s="272" t="s">
        <v>1099</v>
      </c>
    </row>
    <row r="33488">
      <c r="B33488" s="31"/>
      <c r="G33488" s="272" t="s">
        <v>1099</v>
      </c>
    </row>
    <row r="33489">
      <c r="B33489" s="31"/>
      <c r="G33489" s="272" t="s">
        <v>1099</v>
      </c>
    </row>
    <row r="33490">
      <c r="B33490" s="31"/>
      <c r="G33490" s="272" t="s">
        <v>1099</v>
      </c>
    </row>
    <row r="33491">
      <c r="B33491" s="31"/>
      <c r="G33491" s="272" t="s">
        <v>1099</v>
      </c>
    </row>
    <row r="33492">
      <c r="B33492" s="31"/>
      <c r="G33492" s="272" t="s">
        <v>1099</v>
      </c>
    </row>
    <row r="33493">
      <c r="B33493" s="31"/>
      <c r="G33493" s="272" t="s">
        <v>1099</v>
      </c>
    </row>
    <row r="33494">
      <c r="B33494" s="31"/>
      <c r="G33494" s="272" t="s">
        <v>1099</v>
      </c>
    </row>
    <row r="33495">
      <c r="B33495" s="31"/>
      <c r="G33495" s="272" t="s">
        <v>1099</v>
      </c>
    </row>
    <row r="33496">
      <c r="B33496" s="31"/>
      <c r="G33496" s="272" t="s">
        <v>1099</v>
      </c>
    </row>
    <row r="33497">
      <c r="B33497" s="31"/>
      <c r="G33497" s="272" t="s">
        <v>1099</v>
      </c>
    </row>
    <row r="33498">
      <c r="B33498" s="31"/>
      <c r="G33498" s="272" t="s">
        <v>1099</v>
      </c>
    </row>
    <row r="33499">
      <c r="B33499" s="31"/>
      <c r="G33499" s="272" t="s">
        <v>1099</v>
      </c>
    </row>
    <row r="33500">
      <c r="B33500" s="31"/>
      <c r="G33500" s="272" t="s">
        <v>1099</v>
      </c>
    </row>
    <row r="33501">
      <c r="B33501" s="31"/>
      <c r="G33501" s="272" t="s">
        <v>1099</v>
      </c>
    </row>
    <row r="33502">
      <c r="B33502" s="31"/>
      <c r="G33502" s="272" t="s">
        <v>1099</v>
      </c>
    </row>
    <row r="33503">
      <c r="B33503" s="31"/>
      <c r="G33503" s="272" t="s">
        <v>1099</v>
      </c>
    </row>
    <row r="33504">
      <c r="B33504" s="31"/>
      <c r="G33504" s="272" t="s">
        <v>1099</v>
      </c>
    </row>
    <row r="33505">
      <c r="B33505" s="31"/>
      <c r="G33505" s="272" t="s">
        <v>1099</v>
      </c>
    </row>
    <row r="33506">
      <c r="B33506" s="31"/>
      <c r="G33506" s="272" t="s">
        <v>1099</v>
      </c>
    </row>
    <row r="33507">
      <c r="B33507" s="31"/>
      <c r="G33507" s="272" t="s">
        <v>1099</v>
      </c>
    </row>
    <row r="33508">
      <c r="B33508" s="31"/>
      <c r="G33508" s="272" t="s">
        <v>1099</v>
      </c>
    </row>
    <row r="33509">
      <c r="B33509" s="31"/>
      <c r="G33509" s="272" t="s">
        <v>1099</v>
      </c>
    </row>
    <row r="33510">
      <c r="B33510" s="31"/>
      <c r="G33510" s="272" t="s">
        <v>1099</v>
      </c>
    </row>
    <row r="33511">
      <c r="B33511" s="31"/>
      <c r="G33511" s="272" t="s">
        <v>1099</v>
      </c>
    </row>
    <row r="33512">
      <c r="B33512" s="31"/>
      <c r="G33512" s="272" t="s">
        <v>1099</v>
      </c>
    </row>
    <row r="33513">
      <c r="B33513" s="31"/>
      <c r="G33513" s="272" t="s">
        <v>1099</v>
      </c>
    </row>
    <row r="33514">
      <c r="B33514" s="31"/>
      <c r="G33514" s="272" t="s">
        <v>1099</v>
      </c>
    </row>
    <row r="33515">
      <c r="B33515" s="31"/>
      <c r="G33515" s="272" t="s">
        <v>1099</v>
      </c>
    </row>
    <row r="33516">
      <c r="B33516" s="31"/>
      <c r="G33516" s="272" t="s">
        <v>1099</v>
      </c>
    </row>
    <row r="33517">
      <c r="B33517" s="31"/>
      <c r="G33517" s="272" t="s">
        <v>1099</v>
      </c>
    </row>
    <row r="33518">
      <c r="B33518" s="31"/>
      <c r="G33518" s="272" t="s">
        <v>1099</v>
      </c>
    </row>
    <row r="33519">
      <c r="B33519" s="31"/>
      <c r="G33519" s="272" t="s">
        <v>1099</v>
      </c>
    </row>
    <row r="33520">
      <c r="B33520" s="31"/>
      <c r="G33520" s="272" t="s">
        <v>1099</v>
      </c>
    </row>
    <row r="33521">
      <c r="B33521" s="31"/>
      <c r="G33521" s="272" t="s">
        <v>1099</v>
      </c>
    </row>
    <row r="33522">
      <c r="B33522" s="31"/>
      <c r="G33522" s="272" t="s">
        <v>1099</v>
      </c>
    </row>
    <row r="33523">
      <c r="B33523" s="31"/>
      <c r="G33523" s="272" t="s">
        <v>1099</v>
      </c>
    </row>
    <row r="33524">
      <c r="B33524" s="31"/>
      <c r="G33524" s="272" t="s">
        <v>1099</v>
      </c>
    </row>
    <row r="33525">
      <c r="B33525" s="31"/>
      <c r="G33525" s="272" t="s">
        <v>1099</v>
      </c>
    </row>
    <row r="33526">
      <c r="B33526" s="31"/>
      <c r="G33526" s="272" t="s">
        <v>1099</v>
      </c>
    </row>
    <row r="33527">
      <c r="B33527" s="31"/>
      <c r="G33527" s="272" t="s">
        <v>1099</v>
      </c>
    </row>
    <row r="33528">
      <c r="B33528" s="31"/>
      <c r="G33528" s="272" t="s">
        <v>1099</v>
      </c>
    </row>
    <row r="33529">
      <c r="B33529" s="31"/>
      <c r="G33529" s="272" t="s">
        <v>1099</v>
      </c>
    </row>
    <row r="33530">
      <c r="B33530" s="31"/>
      <c r="G33530" s="272" t="s">
        <v>1099</v>
      </c>
    </row>
    <row r="33531">
      <c r="B33531" s="31"/>
      <c r="G33531" s="272" t="s">
        <v>1099</v>
      </c>
    </row>
    <row r="33532">
      <c r="B33532" s="31"/>
      <c r="G33532" s="272" t="s">
        <v>1099</v>
      </c>
    </row>
    <row r="33533">
      <c r="B33533" s="31"/>
      <c r="G33533" s="272" t="s">
        <v>1099</v>
      </c>
    </row>
    <row r="33534">
      <c r="B33534" s="31"/>
      <c r="G33534" s="272" t="s">
        <v>1099</v>
      </c>
    </row>
    <row r="33535">
      <c r="B33535" s="31"/>
      <c r="G33535" s="272" t="s">
        <v>1099</v>
      </c>
    </row>
    <row r="33536">
      <c r="B33536" s="31"/>
      <c r="G33536" s="272" t="s">
        <v>1099</v>
      </c>
    </row>
    <row r="33537">
      <c r="B33537" s="31"/>
      <c r="G33537" s="272" t="s">
        <v>1099</v>
      </c>
    </row>
    <row r="33538">
      <c r="B33538" s="31"/>
      <c r="G33538" s="272" t="s">
        <v>1099</v>
      </c>
    </row>
    <row r="33539">
      <c r="B33539" s="31"/>
      <c r="G33539" s="272" t="s">
        <v>1099</v>
      </c>
    </row>
    <row r="33540">
      <c r="B33540" s="31"/>
      <c r="G33540" s="272" t="s">
        <v>1099</v>
      </c>
    </row>
    <row r="33541">
      <c r="B33541" s="31"/>
      <c r="G33541" s="272" t="s">
        <v>1099</v>
      </c>
    </row>
    <row r="33542">
      <c r="B33542" s="31"/>
      <c r="G33542" s="272" t="s">
        <v>1099</v>
      </c>
    </row>
    <row r="33543">
      <c r="B33543" s="31"/>
      <c r="G33543" s="272" t="s">
        <v>1099</v>
      </c>
    </row>
    <row r="33544">
      <c r="B33544" s="31"/>
      <c r="G33544" s="272" t="s">
        <v>1099</v>
      </c>
    </row>
    <row r="33545">
      <c r="B33545" s="31"/>
      <c r="G33545" s="272" t="s">
        <v>1099</v>
      </c>
    </row>
    <row r="33546">
      <c r="B33546" s="31"/>
      <c r="G33546" s="272" t="s">
        <v>1099</v>
      </c>
    </row>
    <row r="33547">
      <c r="B33547" s="31"/>
      <c r="G33547" s="272" t="s">
        <v>1099</v>
      </c>
    </row>
    <row r="33548">
      <c r="B33548" s="31"/>
      <c r="G33548" s="272" t="s">
        <v>1099</v>
      </c>
    </row>
    <row r="33549">
      <c r="B33549" s="31"/>
      <c r="G33549" s="272" t="s">
        <v>1099</v>
      </c>
    </row>
    <row r="33550">
      <c r="B33550" s="31"/>
      <c r="G33550" s="272" t="s">
        <v>1099</v>
      </c>
    </row>
    <row r="33551">
      <c r="B33551" s="31"/>
      <c r="G33551" s="272" t="s">
        <v>1099</v>
      </c>
    </row>
    <row r="33552">
      <c r="B33552" s="31"/>
      <c r="G33552" s="272" t="s">
        <v>1099</v>
      </c>
    </row>
    <row r="33553">
      <c r="B33553" s="31"/>
      <c r="G33553" s="272" t="s">
        <v>1099</v>
      </c>
    </row>
    <row r="33554">
      <c r="B33554" s="31"/>
      <c r="G33554" s="272" t="s">
        <v>1099</v>
      </c>
    </row>
    <row r="33555">
      <c r="B33555" s="31"/>
      <c r="G33555" s="272" t="s">
        <v>1099</v>
      </c>
    </row>
    <row r="33556">
      <c r="B33556" s="31"/>
      <c r="G33556" s="272" t="s">
        <v>1099</v>
      </c>
    </row>
    <row r="33557">
      <c r="B33557" s="31"/>
      <c r="G33557" s="272" t="s">
        <v>1099</v>
      </c>
    </row>
    <row r="33558">
      <c r="B33558" s="31"/>
      <c r="G33558" s="272" t="s">
        <v>1099</v>
      </c>
    </row>
    <row r="33559">
      <c r="B33559" s="31"/>
      <c r="G33559" s="272" t="s">
        <v>1099</v>
      </c>
    </row>
    <row r="33560">
      <c r="B33560" s="31"/>
      <c r="G33560" s="272" t="s">
        <v>1099</v>
      </c>
    </row>
    <row r="33561">
      <c r="B33561" s="31"/>
      <c r="G33561" s="272" t="s">
        <v>1099</v>
      </c>
    </row>
    <row r="33562">
      <c r="B33562" s="31"/>
      <c r="G33562" s="272" t="s">
        <v>1099</v>
      </c>
    </row>
    <row r="33563">
      <c r="B33563" s="31"/>
      <c r="G33563" s="272" t="s">
        <v>1099</v>
      </c>
    </row>
    <row r="33564">
      <c r="B33564" s="31"/>
      <c r="G33564" s="272" t="s">
        <v>1099</v>
      </c>
    </row>
    <row r="33565">
      <c r="B33565" s="31"/>
      <c r="G33565" s="272" t="s">
        <v>1099</v>
      </c>
    </row>
    <row r="33566">
      <c r="B33566" s="31"/>
      <c r="G33566" s="272" t="s">
        <v>1099</v>
      </c>
    </row>
    <row r="33567">
      <c r="B33567" s="31"/>
      <c r="G33567" s="272" t="s">
        <v>1099</v>
      </c>
    </row>
    <row r="33568">
      <c r="B33568" s="31"/>
      <c r="G33568" s="272" t="s">
        <v>1099</v>
      </c>
    </row>
    <row r="33569">
      <c r="B33569" s="31"/>
      <c r="G33569" s="272" t="s">
        <v>1099</v>
      </c>
    </row>
    <row r="33570">
      <c r="B33570" s="31"/>
      <c r="G33570" s="272" t="s">
        <v>1099</v>
      </c>
    </row>
    <row r="33571">
      <c r="B33571" s="31"/>
      <c r="G33571" s="272" t="s">
        <v>1099</v>
      </c>
    </row>
    <row r="33572">
      <c r="B33572" s="31"/>
      <c r="G33572" s="272" t="s">
        <v>1099</v>
      </c>
    </row>
    <row r="33573">
      <c r="B33573" s="31"/>
      <c r="G33573" s="272" t="s">
        <v>1099</v>
      </c>
    </row>
    <row r="33574">
      <c r="B33574" s="31"/>
      <c r="G33574" s="272" t="s">
        <v>1099</v>
      </c>
    </row>
    <row r="33575">
      <c r="B33575" s="31"/>
      <c r="G33575" s="272" t="s">
        <v>1099</v>
      </c>
    </row>
    <row r="33576">
      <c r="B33576" s="31"/>
      <c r="G33576" s="272" t="s">
        <v>1099</v>
      </c>
    </row>
    <row r="33577">
      <c r="B33577" s="31"/>
      <c r="G33577" s="272" t="s">
        <v>1099</v>
      </c>
    </row>
    <row r="33578">
      <c r="B33578" s="31"/>
      <c r="G33578" s="272" t="s">
        <v>1099</v>
      </c>
    </row>
    <row r="33579">
      <c r="B33579" s="31"/>
      <c r="G33579" s="272" t="s">
        <v>1099</v>
      </c>
    </row>
    <row r="33580">
      <c r="B33580" s="31"/>
      <c r="G33580" s="272" t="s">
        <v>1099</v>
      </c>
    </row>
    <row r="33581">
      <c r="B33581" s="31"/>
      <c r="G33581" s="272" t="s">
        <v>1099</v>
      </c>
    </row>
    <row r="33582">
      <c r="B33582" s="31"/>
      <c r="G33582" s="272" t="s">
        <v>1099</v>
      </c>
    </row>
    <row r="33583">
      <c r="B33583" s="31"/>
      <c r="G33583" s="272" t="s">
        <v>1099</v>
      </c>
    </row>
    <row r="33584">
      <c r="B33584" s="31"/>
      <c r="G33584" s="272" t="s">
        <v>1099</v>
      </c>
    </row>
    <row r="33585">
      <c r="B33585" s="31"/>
      <c r="G33585" s="272" t="s">
        <v>1099</v>
      </c>
    </row>
    <row r="33586">
      <c r="B33586" s="31"/>
      <c r="G33586" s="272" t="s">
        <v>1099</v>
      </c>
    </row>
    <row r="33587">
      <c r="B33587" s="31"/>
      <c r="G33587" s="272" t="s">
        <v>1099</v>
      </c>
    </row>
    <row r="33588">
      <c r="B33588" s="31"/>
      <c r="G33588" s="272" t="s">
        <v>1099</v>
      </c>
    </row>
    <row r="33589">
      <c r="B33589" s="31"/>
      <c r="G33589" s="272" t="s">
        <v>1099</v>
      </c>
    </row>
    <row r="33590">
      <c r="B33590" s="31"/>
      <c r="G33590" s="272" t="s">
        <v>1099</v>
      </c>
    </row>
    <row r="33591">
      <c r="B33591" s="31"/>
      <c r="G33591" s="272" t="s">
        <v>1099</v>
      </c>
    </row>
    <row r="33592">
      <c r="B33592" s="31"/>
      <c r="G33592" s="272" t="s">
        <v>1099</v>
      </c>
    </row>
    <row r="33593">
      <c r="B33593" s="31"/>
      <c r="G33593" s="272" t="s">
        <v>1099</v>
      </c>
    </row>
    <row r="33594">
      <c r="B33594" s="31"/>
      <c r="G33594" s="272" t="s">
        <v>1099</v>
      </c>
    </row>
    <row r="33595">
      <c r="B33595" s="31"/>
      <c r="G33595" s="272" t="s">
        <v>1099</v>
      </c>
    </row>
    <row r="33596">
      <c r="B33596" s="31"/>
      <c r="G33596" s="272" t="s">
        <v>1099</v>
      </c>
    </row>
    <row r="33597">
      <c r="B33597" s="31"/>
      <c r="G33597" s="272" t="s">
        <v>1099</v>
      </c>
    </row>
    <row r="33598">
      <c r="B33598" s="31"/>
      <c r="G33598" s="272" t="s">
        <v>1099</v>
      </c>
    </row>
    <row r="33599">
      <c r="B33599" s="31"/>
      <c r="G33599" s="272" t="s">
        <v>1099</v>
      </c>
    </row>
    <row r="33600">
      <c r="B33600" s="31"/>
      <c r="G33600" s="272" t="s">
        <v>1099</v>
      </c>
    </row>
    <row r="33601">
      <c r="B33601" s="31"/>
      <c r="G33601" s="272" t="s">
        <v>1099</v>
      </c>
    </row>
    <row r="33602">
      <c r="B33602" s="31"/>
      <c r="G33602" s="272" t="s">
        <v>1099</v>
      </c>
    </row>
    <row r="33603">
      <c r="B33603" s="31"/>
      <c r="G33603" s="272" t="s">
        <v>1099</v>
      </c>
    </row>
    <row r="33604">
      <c r="B33604" s="31"/>
      <c r="G33604" s="272" t="s">
        <v>1099</v>
      </c>
    </row>
    <row r="33605">
      <c r="B33605" s="31"/>
      <c r="G33605" s="272" t="s">
        <v>1099</v>
      </c>
    </row>
    <row r="33606">
      <c r="B33606" s="31"/>
      <c r="G33606" s="272" t="s">
        <v>1099</v>
      </c>
    </row>
    <row r="33607">
      <c r="B33607" s="31"/>
      <c r="G33607" s="272" t="s">
        <v>1099</v>
      </c>
    </row>
    <row r="33608">
      <c r="B33608" s="31"/>
      <c r="G33608" s="272" t="s">
        <v>1099</v>
      </c>
    </row>
    <row r="33609">
      <c r="B33609" s="31"/>
      <c r="G33609" s="272" t="s">
        <v>1099</v>
      </c>
    </row>
    <row r="33610">
      <c r="B33610" s="31"/>
      <c r="G33610" s="272" t="s">
        <v>1099</v>
      </c>
    </row>
    <row r="33611">
      <c r="B33611" s="31"/>
      <c r="G33611" s="272" t="s">
        <v>1099</v>
      </c>
    </row>
    <row r="33612">
      <c r="B33612" s="31"/>
      <c r="G33612" s="272" t="s">
        <v>1099</v>
      </c>
    </row>
    <row r="33613">
      <c r="B33613" s="31"/>
      <c r="G33613" s="272" t="s">
        <v>1099</v>
      </c>
    </row>
    <row r="33614">
      <c r="B33614" s="31"/>
      <c r="G33614" s="272" t="s">
        <v>1099</v>
      </c>
    </row>
    <row r="33615">
      <c r="B33615" s="31"/>
      <c r="G33615" s="272" t="s">
        <v>1099</v>
      </c>
    </row>
    <row r="33616">
      <c r="B33616" s="31"/>
      <c r="G33616" s="272" t="s">
        <v>1099</v>
      </c>
    </row>
    <row r="33617">
      <c r="B33617" s="31"/>
      <c r="G33617" s="272" t="s">
        <v>1099</v>
      </c>
    </row>
    <row r="33618">
      <c r="B33618" s="31"/>
      <c r="G33618" s="272" t="s">
        <v>1099</v>
      </c>
    </row>
    <row r="33619">
      <c r="B33619" s="31"/>
      <c r="G33619" s="272" t="s">
        <v>1099</v>
      </c>
    </row>
    <row r="33620">
      <c r="B33620" s="31"/>
      <c r="G33620" s="272" t="s">
        <v>1099</v>
      </c>
    </row>
    <row r="33621">
      <c r="B33621" s="31"/>
      <c r="G33621" s="272" t="s">
        <v>1099</v>
      </c>
    </row>
    <row r="33622">
      <c r="B33622" s="31"/>
      <c r="G33622" s="272" t="s">
        <v>1099</v>
      </c>
    </row>
    <row r="33623">
      <c r="B33623" s="31"/>
      <c r="G33623" s="272" t="s">
        <v>1099</v>
      </c>
    </row>
    <row r="33624">
      <c r="B33624" s="31"/>
      <c r="G33624" s="272" t="s">
        <v>1099</v>
      </c>
    </row>
    <row r="33625">
      <c r="B33625" s="31"/>
      <c r="G33625" s="272" t="s">
        <v>1099</v>
      </c>
    </row>
    <row r="33626">
      <c r="B33626" s="31"/>
      <c r="G33626" s="272" t="s">
        <v>1099</v>
      </c>
    </row>
    <row r="33627">
      <c r="B33627" s="31"/>
      <c r="G33627" s="272" t="s">
        <v>1099</v>
      </c>
    </row>
    <row r="33628">
      <c r="B33628" s="31"/>
      <c r="G33628" s="272" t="s">
        <v>1099</v>
      </c>
    </row>
    <row r="33629">
      <c r="B33629" s="31"/>
      <c r="G33629" s="272" t="s">
        <v>1099</v>
      </c>
    </row>
    <row r="33630">
      <c r="B33630" s="31"/>
      <c r="G33630" s="272" t="s">
        <v>1099</v>
      </c>
    </row>
    <row r="33631">
      <c r="B33631" s="31"/>
      <c r="G33631" s="272" t="s">
        <v>1099</v>
      </c>
    </row>
    <row r="33632">
      <c r="B33632" s="31"/>
      <c r="G33632" s="272" t="s">
        <v>1099</v>
      </c>
    </row>
    <row r="33633">
      <c r="B33633" s="31"/>
      <c r="G33633" s="272" t="s">
        <v>1099</v>
      </c>
    </row>
    <row r="33634">
      <c r="B33634" s="31"/>
      <c r="G33634" s="272" t="s">
        <v>1099</v>
      </c>
    </row>
    <row r="33635">
      <c r="B33635" s="31"/>
      <c r="G33635" s="272" t="s">
        <v>1099</v>
      </c>
    </row>
    <row r="33636">
      <c r="B33636" s="31"/>
      <c r="G33636" s="272" t="s">
        <v>1099</v>
      </c>
    </row>
    <row r="33637">
      <c r="B33637" s="31"/>
      <c r="G33637" s="272" t="s">
        <v>1099</v>
      </c>
    </row>
    <row r="33638">
      <c r="B33638" s="31"/>
      <c r="G33638" s="272" t="s">
        <v>1099</v>
      </c>
    </row>
    <row r="33639">
      <c r="B33639" s="31"/>
      <c r="G33639" s="272" t="s">
        <v>1099</v>
      </c>
    </row>
    <row r="33640">
      <c r="B33640" s="31"/>
      <c r="G33640" s="272" t="s">
        <v>1099</v>
      </c>
    </row>
    <row r="33641">
      <c r="B33641" s="31"/>
      <c r="G33641" s="272" t="s">
        <v>1099</v>
      </c>
    </row>
    <row r="33642">
      <c r="B33642" s="31"/>
      <c r="G33642" s="272" t="s">
        <v>1099</v>
      </c>
    </row>
    <row r="33643">
      <c r="B33643" s="31"/>
      <c r="G33643" s="272" t="s">
        <v>1099</v>
      </c>
    </row>
    <row r="33644">
      <c r="B33644" s="31"/>
      <c r="G33644" s="272" t="s">
        <v>1099</v>
      </c>
    </row>
    <row r="33645">
      <c r="B33645" s="31"/>
      <c r="G33645" s="272" t="s">
        <v>1099</v>
      </c>
    </row>
    <row r="33646">
      <c r="B33646" s="31"/>
      <c r="G33646" s="272" t="s">
        <v>1099</v>
      </c>
    </row>
    <row r="33647">
      <c r="B33647" s="31"/>
      <c r="G33647" s="272" t="s">
        <v>1099</v>
      </c>
    </row>
    <row r="33648">
      <c r="B33648" s="31"/>
      <c r="G33648" s="272" t="s">
        <v>1099</v>
      </c>
    </row>
    <row r="33649">
      <c r="B33649" s="31"/>
      <c r="G33649" s="272" t="s">
        <v>1099</v>
      </c>
    </row>
    <row r="33650">
      <c r="B33650" s="31"/>
      <c r="G33650" s="272" t="s">
        <v>1099</v>
      </c>
    </row>
    <row r="33651">
      <c r="B33651" s="31"/>
      <c r="G33651" s="272" t="s">
        <v>1099</v>
      </c>
    </row>
    <row r="33652">
      <c r="B33652" s="31"/>
      <c r="G33652" s="272" t="s">
        <v>1099</v>
      </c>
    </row>
    <row r="33653">
      <c r="B33653" s="31"/>
      <c r="G33653" s="272" t="s">
        <v>1099</v>
      </c>
    </row>
    <row r="33654">
      <c r="B33654" s="31"/>
      <c r="G33654" s="272" t="s">
        <v>1099</v>
      </c>
    </row>
    <row r="33655">
      <c r="B33655" s="31"/>
      <c r="G33655" s="272" t="s">
        <v>1099</v>
      </c>
    </row>
    <row r="33656">
      <c r="B33656" s="31"/>
      <c r="G33656" s="272" t="s">
        <v>1099</v>
      </c>
    </row>
    <row r="33657">
      <c r="B33657" s="31"/>
      <c r="G33657" s="272" t="s">
        <v>1099</v>
      </c>
    </row>
    <row r="33658">
      <c r="B33658" s="31"/>
      <c r="G33658" s="272" t="s">
        <v>1099</v>
      </c>
    </row>
    <row r="33659">
      <c r="B33659" s="31"/>
      <c r="G33659" s="272" t="s">
        <v>1099</v>
      </c>
    </row>
    <row r="33660">
      <c r="B33660" s="31"/>
      <c r="G33660" s="272" t="s">
        <v>1099</v>
      </c>
    </row>
    <row r="33661">
      <c r="B33661" s="31"/>
      <c r="G33661" s="272" t="s">
        <v>1099</v>
      </c>
    </row>
    <row r="33662">
      <c r="B33662" s="31"/>
      <c r="G33662" s="272" t="s">
        <v>1099</v>
      </c>
    </row>
    <row r="33663">
      <c r="B33663" s="31"/>
      <c r="G33663" s="272" t="s">
        <v>1099</v>
      </c>
    </row>
    <row r="33664">
      <c r="B33664" s="31"/>
      <c r="G33664" s="272" t="s">
        <v>1099</v>
      </c>
    </row>
    <row r="33665">
      <c r="B33665" s="31"/>
      <c r="G33665" s="272" t="s">
        <v>1099</v>
      </c>
    </row>
    <row r="33666">
      <c r="B33666" s="31"/>
      <c r="G33666" s="272" t="s">
        <v>1099</v>
      </c>
    </row>
    <row r="33667">
      <c r="B33667" s="31"/>
      <c r="G33667" s="272" t="s">
        <v>1099</v>
      </c>
    </row>
    <row r="33668">
      <c r="B33668" s="31"/>
      <c r="G33668" s="272" t="s">
        <v>1099</v>
      </c>
    </row>
    <row r="33669">
      <c r="B33669" s="31"/>
      <c r="G33669" s="272" t="s">
        <v>1099</v>
      </c>
    </row>
    <row r="33670">
      <c r="B33670" s="31"/>
      <c r="G33670" s="272" t="s">
        <v>1099</v>
      </c>
    </row>
    <row r="33671">
      <c r="B33671" s="31"/>
      <c r="G33671" s="272" t="s">
        <v>1099</v>
      </c>
    </row>
    <row r="33672">
      <c r="B33672" s="31"/>
      <c r="G33672" s="272" t="s">
        <v>1099</v>
      </c>
    </row>
    <row r="33673">
      <c r="B33673" s="31"/>
      <c r="G33673" s="272" t="s">
        <v>1099</v>
      </c>
    </row>
    <row r="33674">
      <c r="B33674" s="31"/>
      <c r="G33674" s="272" t="s">
        <v>1099</v>
      </c>
    </row>
    <row r="33675">
      <c r="B33675" s="31"/>
      <c r="G33675" s="272" t="s">
        <v>1099</v>
      </c>
    </row>
    <row r="33676">
      <c r="B33676" s="31"/>
      <c r="G33676" s="272" t="s">
        <v>1099</v>
      </c>
    </row>
    <row r="33677">
      <c r="B33677" s="31"/>
      <c r="G33677" s="272" t="s">
        <v>1099</v>
      </c>
    </row>
    <row r="33678">
      <c r="B33678" s="31"/>
      <c r="G33678" s="272" t="s">
        <v>1099</v>
      </c>
    </row>
    <row r="33679">
      <c r="B33679" s="31"/>
      <c r="G33679" s="272" t="s">
        <v>1099</v>
      </c>
    </row>
    <row r="33680">
      <c r="B33680" s="31"/>
      <c r="G33680" s="272" t="s">
        <v>1099</v>
      </c>
    </row>
    <row r="33681">
      <c r="B33681" s="31"/>
      <c r="G33681" s="272" t="s">
        <v>1099</v>
      </c>
    </row>
    <row r="33682">
      <c r="B33682" s="31"/>
      <c r="G33682" s="272" t="s">
        <v>1099</v>
      </c>
    </row>
    <row r="33683">
      <c r="B33683" s="31"/>
      <c r="G33683" s="272" t="s">
        <v>1099</v>
      </c>
    </row>
    <row r="33684">
      <c r="B33684" s="31"/>
      <c r="G33684" s="272" t="s">
        <v>1099</v>
      </c>
    </row>
    <row r="33685">
      <c r="B33685" s="31"/>
      <c r="G33685" s="272" t="s">
        <v>1099</v>
      </c>
    </row>
    <row r="33686">
      <c r="B33686" s="31"/>
      <c r="G33686" s="272" t="s">
        <v>1099</v>
      </c>
    </row>
    <row r="33687">
      <c r="B33687" s="31"/>
      <c r="G33687" s="272" t="s">
        <v>1099</v>
      </c>
    </row>
    <row r="33688">
      <c r="B33688" s="31"/>
      <c r="G33688" s="272" t="s">
        <v>1099</v>
      </c>
    </row>
    <row r="33689">
      <c r="B33689" s="31"/>
      <c r="G33689" s="272" t="s">
        <v>1099</v>
      </c>
    </row>
    <row r="33690">
      <c r="B33690" s="31"/>
      <c r="G33690" s="272" t="s">
        <v>1099</v>
      </c>
    </row>
    <row r="33691">
      <c r="B33691" s="31"/>
      <c r="G33691" s="272" t="s">
        <v>1099</v>
      </c>
    </row>
    <row r="33692">
      <c r="B33692" s="31"/>
      <c r="G33692" s="272" t="s">
        <v>1099</v>
      </c>
    </row>
    <row r="33693">
      <c r="B33693" s="31"/>
      <c r="G33693" s="272" t="s">
        <v>1099</v>
      </c>
    </row>
    <row r="33694">
      <c r="B33694" s="31"/>
      <c r="G33694" s="272" t="s">
        <v>1099</v>
      </c>
    </row>
    <row r="33695">
      <c r="B33695" s="31"/>
      <c r="G33695" s="272" t="s">
        <v>1099</v>
      </c>
    </row>
    <row r="33696">
      <c r="B33696" s="31"/>
      <c r="G33696" s="272" t="s">
        <v>1099</v>
      </c>
    </row>
    <row r="33697">
      <c r="B33697" s="31"/>
      <c r="G33697" s="272" t="s">
        <v>1099</v>
      </c>
    </row>
    <row r="33698">
      <c r="B33698" s="31"/>
      <c r="G33698" s="272" t="s">
        <v>1099</v>
      </c>
    </row>
    <row r="33699">
      <c r="B33699" s="31"/>
      <c r="G33699" s="272" t="s">
        <v>1099</v>
      </c>
    </row>
    <row r="33700">
      <c r="B33700" s="31"/>
      <c r="G33700" s="272" t="s">
        <v>1099</v>
      </c>
    </row>
    <row r="33701">
      <c r="B33701" s="31"/>
      <c r="G33701" s="272" t="s">
        <v>1099</v>
      </c>
    </row>
    <row r="33702">
      <c r="B33702" s="31"/>
      <c r="G33702" s="272" t="s">
        <v>1099</v>
      </c>
    </row>
    <row r="33703">
      <c r="B33703" s="31"/>
      <c r="G33703" s="272" t="s">
        <v>1099</v>
      </c>
    </row>
    <row r="33704">
      <c r="B33704" s="31"/>
      <c r="G33704" s="272" t="s">
        <v>1099</v>
      </c>
    </row>
    <row r="33705">
      <c r="B33705" s="31"/>
      <c r="G33705" s="272" t="s">
        <v>1099</v>
      </c>
    </row>
    <row r="33706">
      <c r="B33706" s="31"/>
      <c r="G33706" s="272" t="s">
        <v>1099</v>
      </c>
    </row>
    <row r="33707">
      <c r="B33707" s="31"/>
      <c r="G33707" s="272" t="s">
        <v>1099</v>
      </c>
    </row>
    <row r="33708">
      <c r="B33708" s="31"/>
      <c r="G33708" s="272" t="s">
        <v>1099</v>
      </c>
    </row>
    <row r="33709">
      <c r="B33709" s="31"/>
      <c r="G33709" s="272" t="s">
        <v>1099</v>
      </c>
    </row>
    <row r="33710">
      <c r="B33710" s="31"/>
      <c r="G33710" s="272" t="s">
        <v>1099</v>
      </c>
    </row>
    <row r="33711">
      <c r="B33711" s="31"/>
      <c r="G33711" s="272" t="s">
        <v>1099</v>
      </c>
    </row>
    <row r="33712">
      <c r="B33712" s="31"/>
      <c r="G33712" s="272" t="s">
        <v>1099</v>
      </c>
    </row>
    <row r="33713">
      <c r="B33713" s="31"/>
      <c r="G33713" s="272" t="s">
        <v>1099</v>
      </c>
    </row>
    <row r="33714">
      <c r="B33714" s="31"/>
      <c r="G33714" s="272" t="s">
        <v>1099</v>
      </c>
    </row>
    <row r="33715">
      <c r="B33715" s="31"/>
      <c r="G33715" s="272" t="s">
        <v>1099</v>
      </c>
    </row>
    <row r="33716">
      <c r="B33716" s="31"/>
      <c r="G33716" s="272" t="s">
        <v>1099</v>
      </c>
    </row>
    <row r="33717">
      <c r="B33717" s="31"/>
      <c r="G33717" s="272" t="s">
        <v>1099</v>
      </c>
    </row>
    <row r="33718">
      <c r="B33718" s="31"/>
      <c r="G33718" s="272" t="s">
        <v>1099</v>
      </c>
    </row>
    <row r="33719">
      <c r="B33719" s="31"/>
      <c r="G33719" s="272" t="s">
        <v>1099</v>
      </c>
    </row>
    <row r="33720">
      <c r="B33720" s="31"/>
      <c r="G33720" s="272" t="s">
        <v>1099</v>
      </c>
    </row>
    <row r="33721">
      <c r="B33721" s="31"/>
      <c r="G33721" s="272" t="s">
        <v>1099</v>
      </c>
    </row>
    <row r="33722">
      <c r="B33722" s="31"/>
      <c r="G33722" s="272" t="s">
        <v>1099</v>
      </c>
    </row>
    <row r="33723">
      <c r="B33723" s="31"/>
      <c r="G33723" s="272" t="s">
        <v>1099</v>
      </c>
    </row>
    <row r="33724">
      <c r="B33724" s="31"/>
      <c r="G33724" s="272" t="s">
        <v>1099</v>
      </c>
    </row>
    <row r="33725">
      <c r="B33725" s="31"/>
      <c r="G33725" s="272" t="s">
        <v>1099</v>
      </c>
    </row>
    <row r="33726">
      <c r="B33726" s="31"/>
      <c r="G33726" s="272" t="s">
        <v>1099</v>
      </c>
    </row>
    <row r="33727">
      <c r="B33727" s="31"/>
      <c r="G33727" s="272" t="s">
        <v>1099</v>
      </c>
    </row>
    <row r="33728">
      <c r="B33728" s="31"/>
      <c r="G33728" s="272" t="s">
        <v>1099</v>
      </c>
    </row>
    <row r="33729">
      <c r="B33729" s="31"/>
      <c r="G33729" s="272" t="s">
        <v>1099</v>
      </c>
    </row>
    <row r="33730">
      <c r="B33730" s="31"/>
      <c r="G33730" s="272" t="s">
        <v>1099</v>
      </c>
    </row>
    <row r="33731">
      <c r="B33731" s="31"/>
      <c r="G33731" s="272" t="s">
        <v>1099</v>
      </c>
    </row>
    <row r="33732">
      <c r="B33732" s="31"/>
      <c r="G33732" s="272" t="s">
        <v>1099</v>
      </c>
    </row>
    <row r="33733">
      <c r="B33733" s="31"/>
      <c r="G33733" s="272" t="s">
        <v>1099</v>
      </c>
    </row>
    <row r="33734">
      <c r="B33734" s="31"/>
      <c r="G33734" s="272" t="s">
        <v>1099</v>
      </c>
    </row>
    <row r="33735">
      <c r="B33735" s="31"/>
      <c r="G33735" s="272" t="s">
        <v>1099</v>
      </c>
    </row>
    <row r="33736">
      <c r="B33736" s="31"/>
      <c r="G33736" s="272" t="s">
        <v>1099</v>
      </c>
    </row>
    <row r="33737">
      <c r="B33737" s="31"/>
      <c r="G33737" s="272" t="s">
        <v>1099</v>
      </c>
    </row>
    <row r="33738">
      <c r="B33738" s="31"/>
      <c r="G33738" s="272" t="s">
        <v>1099</v>
      </c>
    </row>
    <row r="33739">
      <c r="B33739" s="31"/>
      <c r="G33739" s="272" t="s">
        <v>1099</v>
      </c>
    </row>
    <row r="33740">
      <c r="B33740" s="31"/>
      <c r="G33740" s="272" t="s">
        <v>1099</v>
      </c>
    </row>
    <row r="33741">
      <c r="B33741" s="31"/>
      <c r="G33741" s="272" t="s">
        <v>1099</v>
      </c>
    </row>
    <row r="33742">
      <c r="B33742" s="31"/>
      <c r="G33742" s="272" t="s">
        <v>1099</v>
      </c>
    </row>
    <row r="33743">
      <c r="B33743" s="31"/>
      <c r="G33743" s="272" t="s">
        <v>1099</v>
      </c>
    </row>
    <row r="33744">
      <c r="B33744" s="31"/>
      <c r="G33744" s="272" t="s">
        <v>1099</v>
      </c>
    </row>
    <row r="33745">
      <c r="B33745" s="31"/>
      <c r="G33745" s="272" t="s">
        <v>1099</v>
      </c>
    </row>
    <row r="33746">
      <c r="B33746" s="31"/>
      <c r="G33746" s="272" t="s">
        <v>1099</v>
      </c>
    </row>
    <row r="33747">
      <c r="B33747" s="31"/>
      <c r="G33747" s="272" t="s">
        <v>1099</v>
      </c>
    </row>
    <row r="33748">
      <c r="B33748" s="31"/>
      <c r="G33748" s="272" t="s">
        <v>1099</v>
      </c>
    </row>
    <row r="33749">
      <c r="B33749" s="31"/>
      <c r="G33749" s="272" t="s">
        <v>1099</v>
      </c>
    </row>
    <row r="33750">
      <c r="B33750" s="31"/>
      <c r="G33750" s="272" t="s">
        <v>1099</v>
      </c>
    </row>
    <row r="33751">
      <c r="B33751" s="31"/>
      <c r="G33751" s="272" t="s">
        <v>1099</v>
      </c>
    </row>
    <row r="33752">
      <c r="B33752" s="31"/>
      <c r="G33752" s="272" t="s">
        <v>1099</v>
      </c>
    </row>
    <row r="33753">
      <c r="B33753" s="31"/>
      <c r="G33753" s="272" t="s">
        <v>1099</v>
      </c>
    </row>
    <row r="33754">
      <c r="B33754" s="31"/>
      <c r="G33754" s="272" t="s">
        <v>1099</v>
      </c>
    </row>
    <row r="33755">
      <c r="B33755" s="31"/>
      <c r="G33755" s="272" t="s">
        <v>1099</v>
      </c>
    </row>
    <row r="33756">
      <c r="B33756" s="31"/>
      <c r="G33756" s="272" t="s">
        <v>1099</v>
      </c>
    </row>
    <row r="33757">
      <c r="B33757" s="31"/>
      <c r="G33757" s="272" t="s">
        <v>1099</v>
      </c>
    </row>
    <row r="33758">
      <c r="B33758" s="31"/>
      <c r="G33758" s="272" t="s">
        <v>1099</v>
      </c>
    </row>
    <row r="33759">
      <c r="B33759" s="31"/>
      <c r="G33759" s="272" t="s">
        <v>1099</v>
      </c>
    </row>
    <row r="33760">
      <c r="B33760" s="31"/>
      <c r="G33760" s="272" t="s">
        <v>1099</v>
      </c>
    </row>
    <row r="33761">
      <c r="B33761" s="31"/>
      <c r="G33761" s="272" t="s">
        <v>1099</v>
      </c>
    </row>
    <row r="33762">
      <c r="B33762" s="31"/>
      <c r="G33762" s="272" t="s">
        <v>1099</v>
      </c>
    </row>
    <row r="33763">
      <c r="B33763" s="31"/>
      <c r="G33763" s="272" t="s">
        <v>1099</v>
      </c>
    </row>
    <row r="33764">
      <c r="B33764" s="31"/>
      <c r="G33764" s="272" t="s">
        <v>1099</v>
      </c>
    </row>
    <row r="33765">
      <c r="B33765" s="31"/>
      <c r="G33765" s="272" t="s">
        <v>1099</v>
      </c>
    </row>
    <row r="33766">
      <c r="B33766" s="31"/>
      <c r="G33766" s="272" t="s">
        <v>1099</v>
      </c>
    </row>
    <row r="33767">
      <c r="B33767" s="31"/>
      <c r="G33767" s="272" t="s">
        <v>1099</v>
      </c>
    </row>
    <row r="33768">
      <c r="B33768" s="31"/>
      <c r="G33768" s="272" t="s">
        <v>1099</v>
      </c>
    </row>
    <row r="33769">
      <c r="B33769" s="31"/>
      <c r="G33769" s="272" t="s">
        <v>1099</v>
      </c>
    </row>
    <row r="33770">
      <c r="B33770" s="31"/>
      <c r="G33770" s="272" t="s">
        <v>1099</v>
      </c>
    </row>
    <row r="33771">
      <c r="B33771" s="31"/>
      <c r="G33771" s="272" t="s">
        <v>1099</v>
      </c>
    </row>
    <row r="33772">
      <c r="B33772" s="31"/>
      <c r="G33772" s="272" t="s">
        <v>1099</v>
      </c>
    </row>
    <row r="33773">
      <c r="B33773" s="31"/>
      <c r="G33773" s="272" t="s">
        <v>1099</v>
      </c>
    </row>
    <row r="33774">
      <c r="B33774" s="31"/>
      <c r="G33774" s="272" t="s">
        <v>1099</v>
      </c>
    </row>
    <row r="33775">
      <c r="B33775" s="31"/>
      <c r="G33775" s="272" t="s">
        <v>1099</v>
      </c>
    </row>
    <row r="33776">
      <c r="B33776" s="31"/>
      <c r="G33776" s="272" t="s">
        <v>1099</v>
      </c>
    </row>
    <row r="33777">
      <c r="B33777" s="31"/>
      <c r="G33777" s="272" t="s">
        <v>1099</v>
      </c>
    </row>
    <row r="33778">
      <c r="B33778" s="31"/>
      <c r="G33778" s="272" t="s">
        <v>1099</v>
      </c>
    </row>
    <row r="33779">
      <c r="B33779" s="31"/>
      <c r="G33779" s="272" t="s">
        <v>1099</v>
      </c>
    </row>
    <row r="33780">
      <c r="B33780" s="31"/>
      <c r="G33780" s="272" t="s">
        <v>1099</v>
      </c>
    </row>
    <row r="33781">
      <c r="B33781" s="31"/>
      <c r="G33781" s="272" t="s">
        <v>1099</v>
      </c>
    </row>
    <row r="33782">
      <c r="B33782" s="31"/>
      <c r="G33782" s="272" t="s">
        <v>1099</v>
      </c>
    </row>
    <row r="33783">
      <c r="B33783" s="31"/>
      <c r="G33783" s="272" t="s">
        <v>1099</v>
      </c>
    </row>
    <row r="33784">
      <c r="B33784" s="31"/>
      <c r="G33784" s="272" t="s">
        <v>1099</v>
      </c>
    </row>
    <row r="33785">
      <c r="B33785" s="31"/>
      <c r="G33785" s="272" t="s">
        <v>1099</v>
      </c>
    </row>
    <row r="33786">
      <c r="B33786" s="31"/>
      <c r="G33786" s="272" t="s">
        <v>1099</v>
      </c>
    </row>
    <row r="33787">
      <c r="B33787" s="31"/>
      <c r="G33787" s="272" t="s">
        <v>1099</v>
      </c>
    </row>
    <row r="33788">
      <c r="B33788" s="31"/>
      <c r="G33788" s="272" t="s">
        <v>1099</v>
      </c>
    </row>
    <row r="33789">
      <c r="B33789" s="31"/>
      <c r="G33789" s="272" t="s">
        <v>1099</v>
      </c>
    </row>
    <row r="33790">
      <c r="B33790" s="31"/>
      <c r="G33790" s="272" t="s">
        <v>1099</v>
      </c>
    </row>
    <row r="33791">
      <c r="B33791" s="31"/>
      <c r="G33791" s="272" t="s">
        <v>1099</v>
      </c>
    </row>
    <row r="33792">
      <c r="B33792" s="31"/>
      <c r="G33792" s="272" t="s">
        <v>1099</v>
      </c>
    </row>
    <row r="33793">
      <c r="B33793" s="31"/>
      <c r="G33793" s="272" t="s">
        <v>1099</v>
      </c>
    </row>
    <row r="33794">
      <c r="B33794" s="31"/>
      <c r="G33794" s="272" t="s">
        <v>1099</v>
      </c>
    </row>
    <row r="33795">
      <c r="B33795" s="31"/>
      <c r="G33795" s="272" t="s">
        <v>1099</v>
      </c>
    </row>
    <row r="33796">
      <c r="B33796" s="31"/>
      <c r="G33796" s="272" t="s">
        <v>1099</v>
      </c>
    </row>
    <row r="33797">
      <c r="B33797" s="31"/>
      <c r="G33797" s="272" t="s">
        <v>1099</v>
      </c>
    </row>
    <row r="33798">
      <c r="B33798" s="31"/>
      <c r="G33798" s="272" t="s">
        <v>1099</v>
      </c>
    </row>
    <row r="33799">
      <c r="B33799" s="31"/>
      <c r="G33799" s="272" t="s">
        <v>1099</v>
      </c>
    </row>
    <row r="33800">
      <c r="B33800" s="31"/>
      <c r="G33800" s="272" t="s">
        <v>1099</v>
      </c>
    </row>
    <row r="33801">
      <c r="B33801" s="31"/>
      <c r="G33801" s="272" t="s">
        <v>1099</v>
      </c>
    </row>
    <row r="33802">
      <c r="B33802" s="31"/>
      <c r="G33802" s="272" t="s">
        <v>1099</v>
      </c>
    </row>
    <row r="33803">
      <c r="B33803" s="31"/>
      <c r="G33803" s="272" t="s">
        <v>1099</v>
      </c>
    </row>
    <row r="33804">
      <c r="B33804" s="31"/>
      <c r="G33804" s="272" t="s">
        <v>1099</v>
      </c>
    </row>
    <row r="33805">
      <c r="B33805" s="31"/>
      <c r="G33805" s="272" t="s">
        <v>1099</v>
      </c>
    </row>
    <row r="33806">
      <c r="B33806" s="31"/>
      <c r="G33806" s="272" t="s">
        <v>1099</v>
      </c>
    </row>
    <row r="33807">
      <c r="B33807" s="31"/>
      <c r="G33807" s="272" t="s">
        <v>1099</v>
      </c>
    </row>
    <row r="33808">
      <c r="B33808" s="31"/>
      <c r="G33808" s="272" t="s">
        <v>1099</v>
      </c>
    </row>
    <row r="33809">
      <c r="B33809" s="31"/>
      <c r="G33809" s="272" t="s">
        <v>1099</v>
      </c>
    </row>
    <row r="33810">
      <c r="B33810" s="31"/>
      <c r="G33810" s="272" t="s">
        <v>1099</v>
      </c>
    </row>
    <row r="33811">
      <c r="B33811" s="31"/>
      <c r="G33811" s="272" t="s">
        <v>1099</v>
      </c>
    </row>
    <row r="33812">
      <c r="B33812" s="31"/>
      <c r="G33812" s="272" t="s">
        <v>1099</v>
      </c>
    </row>
    <row r="33813">
      <c r="B33813" s="31"/>
      <c r="G33813" s="272" t="s">
        <v>1099</v>
      </c>
    </row>
    <row r="33814">
      <c r="B33814" s="31"/>
      <c r="G33814" s="272" t="s">
        <v>1099</v>
      </c>
    </row>
    <row r="33815">
      <c r="B33815" s="31"/>
      <c r="G33815" s="272" t="s">
        <v>1099</v>
      </c>
    </row>
    <row r="33816">
      <c r="B33816" s="31"/>
      <c r="G33816" s="272" t="s">
        <v>1099</v>
      </c>
    </row>
    <row r="33817">
      <c r="B33817" s="31"/>
      <c r="G33817" s="272" t="s">
        <v>1099</v>
      </c>
    </row>
    <row r="33818">
      <c r="B33818" s="31"/>
      <c r="G33818" s="272" t="s">
        <v>1099</v>
      </c>
    </row>
    <row r="33819">
      <c r="B33819" s="31"/>
      <c r="G33819" s="272" t="s">
        <v>1099</v>
      </c>
    </row>
    <row r="33820">
      <c r="B33820" s="31"/>
      <c r="G33820" s="272" t="s">
        <v>1099</v>
      </c>
    </row>
    <row r="33821">
      <c r="B33821" s="31"/>
      <c r="G33821" s="272" t="s">
        <v>1099</v>
      </c>
    </row>
    <row r="33822">
      <c r="B33822" s="31"/>
      <c r="G33822" s="272" t="s">
        <v>1099</v>
      </c>
    </row>
    <row r="33823">
      <c r="B33823" s="31"/>
      <c r="G33823" s="272" t="s">
        <v>1099</v>
      </c>
    </row>
    <row r="33824">
      <c r="B33824" s="31"/>
      <c r="G33824" s="272" t="s">
        <v>1099</v>
      </c>
    </row>
    <row r="33825">
      <c r="B33825" s="31"/>
      <c r="G33825" s="272" t="s">
        <v>1099</v>
      </c>
    </row>
    <row r="33826">
      <c r="B33826" s="31"/>
      <c r="G33826" s="272" t="s">
        <v>1099</v>
      </c>
    </row>
    <row r="33827">
      <c r="B33827" s="31"/>
      <c r="G33827" s="272" t="s">
        <v>1099</v>
      </c>
    </row>
    <row r="33828">
      <c r="B33828" s="31"/>
      <c r="G33828" s="272" t="s">
        <v>1099</v>
      </c>
    </row>
    <row r="33829">
      <c r="B33829" s="31"/>
      <c r="G33829" s="272" t="s">
        <v>1099</v>
      </c>
    </row>
    <row r="33830">
      <c r="B33830" s="31"/>
      <c r="G33830" s="272" t="s">
        <v>1099</v>
      </c>
    </row>
    <row r="33831">
      <c r="B33831" s="31"/>
      <c r="G33831" s="272" t="s">
        <v>1099</v>
      </c>
    </row>
    <row r="33832">
      <c r="B33832" s="31"/>
      <c r="G33832" s="272" t="s">
        <v>1099</v>
      </c>
    </row>
    <row r="33833">
      <c r="B33833" s="31"/>
      <c r="G33833" s="272" t="s">
        <v>1099</v>
      </c>
    </row>
    <row r="33834">
      <c r="B33834" s="31"/>
      <c r="G33834" s="272" t="s">
        <v>1099</v>
      </c>
    </row>
    <row r="33835">
      <c r="B33835" s="31"/>
      <c r="G33835" s="272" t="s">
        <v>1099</v>
      </c>
    </row>
    <row r="33836">
      <c r="B33836" s="31"/>
      <c r="G33836" s="272" t="s">
        <v>1099</v>
      </c>
    </row>
    <row r="33837">
      <c r="B33837" s="31"/>
      <c r="G33837" s="272" t="s">
        <v>1099</v>
      </c>
    </row>
    <row r="33838">
      <c r="B33838" s="31"/>
      <c r="G33838" s="272" t="s">
        <v>1099</v>
      </c>
    </row>
    <row r="33839">
      <c r="B33839" s="31"/>
      <c r="G33839" s="272" t="s">
        <v>1099</v>
      </c>
    </row>
    <row r="33840">
      <c r="B33840" s="31"/>
      <c r="G33840" s="272" t="s">
        <v>1099</v>
      </c>
    </row>
    <row r="33841">
      <c r="B33841" s="31"/>
      <c r="G33841" s="272" t="s">
        <v>1099</v>
      </c>
    </row>
    <row r="33842">
      <c r="B33842" s="31"/>
      <c r="G33842" s="272" t="s">
        <v>1099</v>
      </c>
    </row>
    <row r="33843">
      <c r="B33843" s="31"/>
      <c r="G33843" s="272" t="s">
        <v>1099</v>
      </c>
    </row>
    <row r="33844">
      <c r="B33844" s="31"/>
      <c r="G33844" s="272" t="s">
        <v>1099</v>
      </c>
    </row>
    <row r="33845">
      <c r="B33845" s="31"/>
      <c r="G33845" s="272" t="s">
        <v>1099</v>
      </c>
    </row>
    <row r="33846">
      <c r="B33846" s="31"/>
      <c r="G33846" s="272" t="s">
        <v>1099</v>
      </c>
    </row>
    <row r="33847">
      <c r="B33847" s="31"/>
      <c r="G33847" s="272" t="s">
        <v>1099</v>
      </c>
    </row>
    <row r="33848">
      <c r="B33848" s="31"/>
      <c r="G33848" s="272" t="s">
        <v>1099</v>
      </c>
    </row>
    <row r="33849">
      <c r="B33849" s="31"/>
      <c r="G33849" s="272" t="s">
        <v>1099</v>
      </c>
    </row>
    <row r="33850">
      <c r="B33850" s="31"/>
      <c r="G33850" s="272" t="s">
        <v>1099</v>
      </c>
    </row>
    <row r="33851">
      <c r="B33851" s="31"/>
      <c r="G33851" s="272" t="s">
        <v>1099</v>
      </c>
    </row>
    <row r="33852">
      <c r="B33852" s="31"/>
      <c r="G33852" s="272" t="s">
        <v>1099</v>
      </c>
    </row>
    <row r="33853">
      <c r="B33853" s="31"/>
      <c r="G33853" s="272" t="s">
        <v>1099</v>
      </c>
    </row>
    <row r="33854">
      <c r="B33854" s="31"/>
      <c r="G33854" s="272" t="s">
        <v>1099</v>
      </c>
    </row>
    <row r="33855">
      <c r="B33855" s="31"/>
      <c r="G33855" s="272" t="s">
        <v>1099</v>
      </c>
    </row>
    <row r="33856">
      <c r="B33856" s="31"/>
      <c r="G33856" s="272" t="s">
        <v>1099</v>
      </c>
    </row>
    <row r="33857">
      <c r="B33857" s="31"/>
      <c r="G33857" s="272" t="s">
        <v>1099</v>
      </c>
    </row>
    <row r="33858">
      <c r="B33858" s="31"/>
      <c r="G33858" s="272" t="s">
        <v>1099</v>
      </c>
    </row>
    <row r="33859">
      <c r="B33859" s="31"/>
      <c r="G33859" s="272" t="s">
        <v>1099</v>
      </c>
    </row>
    <row r="33860">
      <c r="B33860" s="31"/>
      <c r="G33860" s="272" t="s">
        <v>1099</v>
      </c>
    </row>
    <row r="33861">
      <c r="B33861" s="31"/>
      <c r="G33861" s="272" t="s">
        <v>1099</v>
      </c>
    </row>
    <row r="33862">
      <c r="B33862" s="31"/>
      <c r="G33862" s="272" t="s">
        <v>1099</v>
      </c>
    </row>
    <row r="33863">
      <c r="B33863" s="31"/>
      <c r="G33863" s="272" t="s">
        <v>1099</v>
      </c>
    </row>
    <row r="33864">
      <c r="B33864" s="31"/>
      <c r="G33864" s="272" t="s">
        <v>1099</v>
      </c>
    </row>
    <row r="33865">
      <c r="B33865" s="31"/>
      <c r="G33865" s="272" t="s">
        <v>1099</v>
      </c>
    </row>
    <row r="33866">
      <c r="B33866" s="31"/>
      <c r="G33866" s="272" t="s">
        <v>1099</v>
      </c>
    </row>
    <row r="33867">
      <c r="B33867" s="31"/>
      <c r="G33867" s="272" t="s">
        <v>1099</v>
      </c>
    </row>
    <row r="33868">
      <c r="B33868" s="31"/>
      <c r="G33868" s="272" t="s">
        <v>1099</v>
      </c>
    </row>
    <row r="33869">
      <c r="B33869" s="31"/>
      <c r="G33869" s="272" t="s">
        <v>1099</v>
      </c>
    </row>
    <row r="33870">
      <c r="B33870" s="31"/>
      <c r="G33870" s="272" t="s">
        <v>1099</v>
      </c>
    </row>
    <row r="33871">
      <c r="B33871" s="31"/>
      <c r="G33871" s="272" t="s">
        <v>1099</v>
      </c>
    </row>
    <row r="33872">
      <c r="B33872" s="31"/>
      <c r="G33872" s="272" t="s">
        <v>1099</v>
      </c>
    </row>
    <row r="33873">
      <c r="B33873" s="31"/>
      <c r="G33873" s="272" t="s">
        <v>1099</v>
      </c>
    </row>
    <row r="33874">
      <c r="B33874" s="31"/>
      <c r="G33874" s="272" t="s">
        <v>1099</v>
      </c>
    </row>
    <row r="33875">
      <c r="B33875" s="31"/>
      <c r="G33875" s="272" t="s">
        <v>1099</v>
      </c>
    </row>
    <row r="33876">
      <c r="B33876" s="31"/>
      <c r="G33876" s="272" t="s">
        <v>1099</v>
      </c>
    </row>
    <row r="33877">
      <c r="B33877" s="31"/>
      <c r="G33877" s="272" t="s">
        <v>1099</v>
      </c>
    </row>
    <row r="33878">
      <c r="B33878" s="31"/>
      <c r="G33878" s="272" t="s">
        <v>1099</v>
      </c>
    </row>
    <row r="33879">
      <c r="B33879" s="31"/>
      <c r="G33879" s="272" t="s">
        <v>1099</v>
      </c>
    </row>
    <row r="33880">
      <c r="B33880" s="31"/>
      <c r="G33880" s="272" t="s">
        <v>1099</v>
      </c>
    </row>
    <row r="33881">
      <c r="B33881" s="31"/>
      <c r="G33881" s="272" t="s">
        <v>1099</v>
      </c>
    </row>
    <row r="33882">
      <c r="B33882" s="31"/>
      <c r="G33882" s="272" t="s">
        <v>1099</v>
      </c>
    </row>
    <row r="33883">
      <c r="B33883" s="31"/>
      <c r="G33883" s="272" t="s">
        <v>1099</v>
      </c>
    </row>
    <row r="33884">
      <c r="B33884" s="31"/>
      <c r="G33884" s="272" t="s">
        <v>1099</v>
      </c>
    </row>
    <row r="33885">
      <c r="B33885" s="31"/>
      <c r="G33885" s="272" t="s">
        <v>1099</v>
      </c>
    </row>
    <row r="33886">
      <c r="B33886" s="31"/>
      <c r="G33886" s="272" t="s">
        <v>1099</v>
      </c>
    </row>
    <row r="33887">
      <c r="B33887" s="31"/>
      <c r="G33887" s="272" t="s">
        <v>1099</v>
      </c>
    </row>
    <row r="33888">
      <c r="B33888" s="31"/>
      <c r="G33888" s="272" t="s">
        <v>1099</v>
      </c>
    </row>
    <row r="33889">
      <c r="B33889" s="31"/>
      <c r="G33889" s="272" t="s">
        <v>1099</v>
      </c>
    </row>
    <row r="33890">
      <c r="B33890" s="31"/>
      <c r="G33890" s="272" t="s">
        <v>1099</v>
      </c>
    </row>
    <row r="33891">
      <c r="B33891" s="31"/>
      <c r="G33891" s="272" t="s">
        <v>1099</v>
      </c>
    </row>
    <row r="33892">
      <c r="B33892" s="31"/>
      <c r="G33892" s="272" t="s">
        <v>1099</v>
      </c>
    </row>
    <row r="33893">
      <c r="B33893" s="31"/>
      <c r="G33893" s="272" t="s">
        <v>1099</v>
      </c>
    </row>
    <row r="33894">
      <c r="B33894" s="31"/>
      <c r="G33894" s="272" t="s">
        <v>1099</v>
      </c>
    </row>
    <row r="33895">
      <c r="B33895" s="31"/>
      <c r="G33895" s="272" t="s">
        <v>1099</v>
      </c>
    </row>
    <row r="33896">
      <c r="B33896" s="31"/>
      <c r="G33896" s="272" t="s">
        <v>1099</v>
      </c>
    </row>
    <row r="33897">
      <c r="B33897" s="31"/>
      <c r="G33897" s="272" t="s">
        <v>1099</v>
      </c>
    </row>
    <row r="33898">
      <c r="B33898" s="31"/>
      <c r="G33898" s="272" t="s">
        <v>1099</v>
      </c>
    </row>
    <row r="33899">
      <c r="B33899" s="31"/>
      <c r="G33899" s="272" t="s">
        <v>1099</v>
      </c>
    </row>
    <row r="33900">
      <c r="B33900" s="31"/>
      <c r="G33900" s="272" t="s">
        <v>1099</v>
      </c>
    </row>
    <row r="33901">
      <c r="B33901" s="31"/>
      <c r="G33901" s="272" t="s">
        <v>1099</v>
      </c>
    </row>
    <row r="33902">
      <c r="B33902" s="31"/>
      <c r="G33902" s="272" t="s">
        <v>1099</v>
      </c>
    </row>
    <row r="33903">
      <c r="B33903" s="31"/>
      <c r="G33903" s="272" t="s">
        <v>1099</v>
      </c>
    </row>
    <row r="33904">
      <c r="B33904" s="31"/>
      <c r="G33904" s="272" t="s">
        <v>1099</v>
      </c>
    </row>
    <row r="33905">
      <c r="B33905" s="31"/>
      <c r="G33905" s="272" t="s">
        <v>1099</v>
      </c>
    </row>
    <row r="33906">
      <c r="B33906" s="31"/>
      <c r="G33906" s="272" t="s">
        <v>1099</v>
      </c>
    </row>
    <row r="33907">
      <c r="B33907" s="31"/>
      <c r="G33907" s="272" t="s">
        <v>1099</v>
      </c>
    </row>
    <row r="33908">
      <c r="B33908" s="31"/>
      <c r="G33908" s="272" t="s">
        <v>1099</v>
      </c>
    </row>
    <row r="33909">
      <c r="B33909" s="31"/>
      <c r="G33909" s="272" t="s">
        <v>1099</v>
      </c>
    </row>
    <row r="33910">
      <c r="B33910" s="31"/>
      <c r="G33910" s="272" t="s">
        <v>1099</v>
      </c>
    </row>
    <row r="33911">
      <c r="B33911" s="31"/>
      <c r="G33911" s="272" t="s">
        <v>1099</v>
      </c>
    </row>
    <row r="33912">
      <c r="B33912" s="31"/>
      <c r="G33912" s="272" t="s">
        <v>1099</v>
      </c>
    </row>
    <row r="33913">
      <c r="B33913" s="31"/>
      <c r="G33913" s="272" t="s">
        <v>1099</v>
      </c>
    </row>
    <row r="33914">
      <c r="B33914" s="31"/>
      <c r="G33914" s="272" t="s">
        <v>1099</v>
      </c>
    </row>
    <row r="33915">
      <c r="B33915" s="31"/>
      <c r="G33915" s="272" t="s">
        <v>1099</v>
      </c>
    </row>
    <row r="33916">
      <c r="B33916" s="31"/>
      <c r="G33916" s="272" t="s">
        <v>1099</v>
      </c>
    </row>
    <row r="33917">
      <c r="B33917" s="31"/>
      <c r="G33917" s="272" t="s">
        <v>1099</v>
      </c>
    </row>
    <row r="33918">
      <c r="B33918" s="31"/>
      <c r="G33918" s="272" t="s">
        <v>1099</v>
      </c>
    </row>
    <row r="33919">
      <c r="B33919" s="31"/>
      <c r="G33919" s="272" t="s">
        <v>1099</v>
      </c>
    </row>
    <row r="33920">
      <c r="B33920" s="31"/>
      <c r="G33920" s="272" t="s">
        <v>1099</v>
      </c>
    </row>
    <row r="33921">
      <c r="B33921" s="31"/>
      <c r="G33921" s="272" t="s">
        <v>1099</v>
      </c>
    </row>
    <row r="33922">
      <c r="B33922" s="31"/>
      <c r="G33922" s="272" t="s">
        <v>1099</v>
      </c>
    </row>
    <row r="33923">
      <c r="B33923" s="31"/>
      <c r="G33923" s="272" t="s">
        <v>1099</v>
      </c>
    </row>
    <row r="33924">
      <c r="B33924" s="31"/>
      <c r="G33924" s="272" t="s">
        <v>1099</v>
      </c>
    </row>
    <row r="33925">
      <c r="B33925" s="31"/>
      <c r="G33925" s="272" t="s">
        <v>1099</v>
      </c>
    </row>
    <row r="33926">
      <c r="B33926" s="31"/>
      <c r="G33926" s="272" t="s">
        <v>1099</v>
      </c>
    </row>
    <row r="33927">
      <c r="B33927" s="31"/>
      <c r="G33927" s="272" t="s">
        <v>1099</v>
      </c>
    </row>
    <row r="33928">
      <c r="B33928" s="31"/>
      <c r="G33928" s="272" t="s">
        <v>1099</v>
      </c>
    </row>
    <row r="33929">
      <c r="B33929" s="31"/>
      <c r="G33929" s="272" t="s">
        <v>1099</v>
      </c>
    </row>
    <row r="33930">
      <c r="B33930" s="31"/>
      <c r="G33930" s="272" t="s">
        <v>1099</v>
      </c>
    </row>
    <row r="33931">
      <c r="B33931" s="31"/>
      <c r="G33931" s="272" t="s">
        <v>1099</v>
      </c>
    </row>
    <row r="33932">
      <c r="B33932" s="31"/>
      <c r="G33932" s="272" t="s">
        <v>1099</v>
      </c>
    </row>
    <row r="33933">
      <c r="B33933" s="31"/>
      <c r="G33933" s="272" t="s">
        <v>1099</v>
      </c>
    </row>
    <row r="33934">
      <c r="B33934" s="31"/>
      <c r="G33934" s="272" t="s">
        <v>1099</v>
      </c>
    </row>
    <row r="33935">
      <c r="B33935" s="31"/>
      <c r="G33935" s="272" t="s">
        <v>1099</v>
      </c>
    </row>
    <row r="33936">
      <c r="B33936" s="31"/>
      <c r="G33936" s="272" t="s">
        <v>1099</v>
      </c>
    </row>
    <row r="33937">
      <c r="B33937" s="31"/>
      <c r="G33937" s="272" t="s">
        <v>1099</v>
      </c>
    </row>
    <row r="33938">
      <c r="B33938" s="31"/>
      <c r="G33938" s="272" t="s">
        <v>1099</v>
      </c>
    </row>
    <row r="33939">
      <c r="B33939" s="31"/>
      <c r="G33939" s="272" t="s">
        <v>1099</v>
      </c>
    </row>
    <row r="33940">
      <c r="B33940" s="31"/>
      <c r="G33940" s="272" t="s">
        <v>1099</v>
      </c>
    </row>
    <row r="33941">
      <c r="B33941" s="31"/>
      <c r="G33941" s="272" t="s">
        <v>1099</v>
      </c>
    </row>
    <row r="33942">
      <c r="B33942" s="31"/>
      <c r="G33942" s="272" t="s">
        <v>1099</v>
      </c>
    </row>
    <row r="33943">
      <c r="B33943" s="31"/>
      <c r="G33943" s="272" t="s">
        <v>1099</v>
      </c>
    </row>
    <row r="33944">
      <c r="B33944" s="31"/>
      <c r="G33944" s="272" t="s">
        <v>1099</v>
      </c>
    </row>
    <row r="33945">
      <c r="B33945" s="31"/>
      <c r="G33945" s="272" t="s">
        <v>1099</v>
      </c>
    </row>
    <row r="33946">
      <c r="B33946" s="31"/>
      <c r="G33946" s="272" t="s">
        <v>1099</v>
      </c>
    </row>
    <row r="33947">
      <c r="B33947" s="31"/>
      <c r="G33947" s="272" t="s">
        <v>1099</v>
      </c>
    </row>
    <row r="33948">
      <c r="B33948" s="31"/>
      <c r="G33948" s="272" t="s">
        <v>1099</v>
      </c>
    </row>
    <row r="33949">
      <c r="B33949" s="31"/>
      <c r="G33949" s="272" t="s">
        <v>1099</v>
      </c>
    </row>
    <row r="33950">
      <c r="B33950" s="31"/>
      <c r="G33950" s="272" t="s">
        <v>1099</v>
      </c>
    </row>
    <row r="33951">
      <c r="B33951" s="31"/>
      <c r="G33951" s="272" t="s">
        <v>1099</v>
      </c>
    </row>
    <row r="33952">
      <c r="B33952" s="31"/>
      <c r="G33952" s="272" t="s">
        <v>1099</v>
      </c>
    </row>
    <row r="33953">
      <c r="B33953" s="31"/>
      <c r="G33953" s="272" t="s">
        <v>1099</v>
      </c>
    </row>
    <row r="33954">
      <c r="B33954" s="31"/>
      <c r="G33954" s="272" t="s">
        <v>1099</v>
      </c>
    </row>
    <row r="33955">
      <c r="B33955" s="31"/>
      <c r="G33955" s="272" t="s">
        <v>1099</v>
      </c>
    </row>
    <row r="33956">
      <c r="B33956" s="31"/>
      <c r="G33956" s="272" t="s">
        <v>1099</v>
      </c>
    </row>
    <row r="33957">
      <c r="B33957" s="31"/>
      <c r="G33957" s="272" t="s">
        <v>1099</v>
      </c>
    </row>
    <row r="33958">
      <c r="B33958" s="31"/>
      <c r="G33958" s="272" t="s">
        <v>1099</v>
      </c>
    </row>
    <row r="33959">
      <c r="B33959" s="31"/>
      <c r="G33959" s="272" t="s">
        <v>1099</v>
      </c>
    </row>
    <row r="33960">
      <c r="B33960" s="31"/>
      <c r="G33960" s="272" t="s">
        <v>1099</v>
      </c>
    </row>
    <row r="33961">
      <c r="B33961" s="31"/>
      <c r="G33961" s="272" t="s">
        <v>1099</v>
      </c>
    </row>
    <row r="33962">
      <c r="B33962" s="31"/>
      <c r="G33962" s="272" t="s">
        <v>1099</v>
      </c>
    </row>
    <row r="33963">
      <c r="B33963" s="31"/>
      <c r="G33963" s="272" t="s">
        <v>1099</v>
      </c>
    </row>
    <row r="33964">
      <c r="B33964" s="31"/>
      <c r="G33964" s="272" t="s">
        <v>1099</v>
      </c>
    </row>
    <row r="33965">
      <c r="B33965" s="31"/>
      <c r="G33965" s="272" t="s">
        <v>1099</v>
      </c>
    </row>
    <row r="33966">
      <c r="B33966" s="31"/>
      <c r="G33966" s="272" t="s">
        <v>1099</v>
      </c>
    </row>
    <row r="33967">
      <c r="B33967" s="31"/>
      <c r="G33967" s="272" t="s">
        <v>1099</v>
      </c>
    </row>
    <row r="33968">
      <c r="B33968" s="31"/>
      <c r="G33968" s="272" t="s">
        <v>1099</v>
      </c>
    </row>
    <row r="33969">
      <c r="B33969" s="31"/>
      <c r="G33969" s="272" t="s">
        <v>1099</v>
      </c>
    </row>
    <row r="33970">
      <c r="B33970" s="31"/>
      <c r="G33970" s="272" t="s">
        <v>1099</v>
      </c>
    </row>
    <row r="33971">
      <c r="B33971" s="31"/>
      <c r="G33971" s="272" t="s">
        <v>1099</v>
      </c>
    </row>
    <row r="33972">
      <c r="B33972" s="31"/>
      <c r="G33972" s="272" t="s">
        <v>1099</v>
      </c>
    </row>
    <row r="33973">
      <c r="B33973" s="31"/>
      <c r="G33973" s="272" t="s">
        <v>1099</v>
      </c>
    </row>
    <row r="33974">
      <c r="B33974" s="31"/>
      <c r="G33974" s="272" t="s">
        <v>1099</v>
      </c>
    </row>
    <row r="33975">
      <c r="B33975" s="31"/>
      <c r="G33975" s="272" t="s">
        <v>1099</v>
      </c>
    </row>
    <row r="33976">
      <c r="B33976" s="31"/>
      <c r="G33976" s="272" t="s">
        <v>1099</v>
      </c>
    </row>
    <row r="33977">
      <c r="B33977" s="31"/>
      <c r="G33977" s="272" t="s">
        <v>1099</v>
      </c>
    </row>
    <row r="33978">
      <c r="B33978" s="31"/>
      <c r="G33978" s="272" t="s">
        <v>1099</v>
      </c>
    </row>
    <row r="33979">
      <c r="B33979" s="31"/>
      <c r="G33979" s="272" t="s">
        <v>1099</v>
      </c>
    </row>
    <row r="33980">
      <c r="B33980" s="31"/>
      <c r="G33980" s="272" t="s">
        <v>1099</v>
      </c>
    </row>
    <row r="33981">
      <c r="B33981" s="31"/>
      <c r="G33981" s="272" t="s">
        <v>1099</v>
      </c>
    </row>
    <row r="33982">
      <c r="B33982" s="31"/>
      <c r="G33982" s="272" t="s">
        <v>1099</v>
      </c>
    </row>
    <row r="33983">
      <c r="B33983" s="31"/>
      <c r="G33983" s="272" t="s">
        <v>1099</v>
      </c>
    </row>
    <row r="33984">
      <c r="B33984" s="31"/>
      <c r="G33984" s="272" t="s">
        <v>1099</v>
      </c>
    </row>
    <row r="33985">
      <c r="B33985" s="31"/>
      <c r="G33985" s="272" t="s">
        <v>1099</v>
      </c>
    </row>
    <row r="33986">
      <c r="B33986" s="31"/>
      <c r="G33986" s="272" t="s">
        <v>1099</v>
      </c>
    </row>
    <row r="33987">
      <c r="B33987" s="31"/>
      <c r="G33987" s="272" t="s">
        <v>1099</v>
      </c>
    </row>
    <row r="33988">
      <c r="B33988" s="31"/>
      <c r="G33988" s="272" t="s">
        <v>1099</v>
      </c>
    </row>
    <row r="33989">
      <c r="B33989" s="31"/>
      <c r="G33989" s="272" t="s">
        <v>1099</v>
      </c>
    </row>
    <row r="33990">
      <c r="B33990" s="31"/>
      <c r="G33990" s="272" t="s">
        <v>1099</v>
      </c>
    </row>
    <row r="33991">
      <c r="B33991" s="31"/>
      <c r="G33991" s="272" t="s">
        <v>1099</v>
      </c>
    </row>
    <row r="33992">
      <c r="B33992" s="31"/>
      <c r="G33992" s="272" t="s">
        <v>1099</v>
      </c>
    </row>
    <row r="33993">
      <c r="B33993" s="31"/>
      <c r="G33993" s="272" t="s">
        <v>1099</v>
      </c>
    </row>
    <row r="33994">
      <c r="B33994" s="31"/>
      <c r="G33994" s="272" t="s">
        <v>1099</v>
      </c>
    </row>
    <row r="33995">
      <c r="B33995" s="31"/>
      <c r="G33995" s="272" t="s">
        <v>1099</v>
      </c>
    </row>
    <row r="33996">
      <c r="B33996" s="31"/>
      <c r="G33996" s="272" t="s">
        <v>1099</v>
      </c>
    </row>
    <row r="33997">
      <c r="B33997" s="31"/>
      <c r="G33997" s="272" t="s">
        <v>1099</v>
      </c>
    </row>
    <row r="33998">
      <c r="B33998" s="31"/>
      <c r="G33998" s="272" t="s">
        <v>1099</v>
      </c>
    </row>
    <row r="33999">
      <c r="B33999" s="31"/>
      <c r="G33999" s="272" t="s">
        <v>1099</v>
      </c>
    </row>
    <row r="34000">
      <c r="B34000" s="31"/>
      <c r="G34000" s="272" t="s">
        <v>1099</v>
      </c>
    </row>
    <row r="34001">
      <c r="B34001" s="31"/>
      <c r="G34001" s="272" t="s">
        <v>1099</v>
      </c>
    </row>
    <row r="34002">
      <c r="B34002" s="31"/>
      <c r="G34002" s="272" t="s">
        <v>1099</v>
      </c>
    </row>
    <row r="34003">
      <c r="B34003" s="31"/>
      <c r="G34003" s="272" t="s">
        <v>1099</v>
      </c>
    </row>
    <row r="34004">
      <c r="B34004" s="31"/>
      <c r="G34004" s="272" t="s">
        <v>1099</v>
      </c>
    </row>
    <row r="34005">
      <c r="B34005" s="31"/>
      <c r="G34005" s="272" t="s">
        <v>1099</v>
      </c>
    </row>
    <row r="34006">
      <c r="B34006" s="31"/>
      <c r="G34006" s="272" t="s">
        <v>1099</v>
      </c>
    </row>
    <row r="34007">
      <c r="B34007" s="31"/>
      <c r="G34007" s="272" t="s">
        <v>1099</v>
      </c>
    </row>
    <row r="34008">
      <c r="B34008" s="31"/>
      <c r="G34008" s="272" t="s">
        <v>1099</v>
      </c>
    </row>
    <row r="34009">
      <c r="B34009" s="31"/>
      <c r="G34009" s="272" t="s">
        <v>1099</v>
      </c>
    </row>
    <row r="34010">
      <c r="B34010" s="31"/>
      <c r="G34010" s="272" t="s">
        <v>1099</v>
      </c>
    </row>
    <row r="34011">
      <c r="B34011" s="31"/>
      <c r="G34011" s="272" t="s">
        <v>1099</v>
      </c>
    </row>
    <row r="34012">
      <c r="B34012" s="31"/>
      <c r="G34012" s="272" t="s">
        <v>1099</v>
      </c>
    </row>
    <row r="34013">
      <c r="B34013" s="31"/>
      <c r="G34013" s="272" t="s">
        <v>1099</v>
      </c>
    </row>
    <row r="34014">
      <c r="B34014" s="31"/>
      <c r="G34014" s="272" t="s">
        <v>1099</v>
      </c>
    </row>
    <row r="34015">
      <c r="B34015" s="31"/>
      <c r="G34015" s="272" t="s">
        <v>1099</v>
      </c>
    </row>
    <row r="34016">
      <c r="B34016" s="31"/>
      <c r="G34016" s="272" t="s">
        <v>1099</v>
      </c>
    </row>
    <row r="34017">
      <c r="B34017" s="31"/>
      <c r="G34017" s="272" t="s">
        <v>1099</v>
      </c>
    </row>
    <row r="34018">
      <c r="B34018" s="31"/>
      <c r="G34018" s="272" t="s">
        <v>1099</v>
      </c>
    </row>
    <row r="34019">
      <c r="B34019" s="31"/>
      <c r="G34019" s="272" t="s">
        <v>1099</v>
      </c>
    </row>
    <row r="34020">
      <c r="B34020" s="31"/>
      <c r="G34020" s="272" t="s">
        <v>1099</v>
      </c>
    </row>
    <row r="34021">
      <c r="B34021" s="31"/>
      <c r="G34021" s="272" t="s">
        <v>1099</v>
      </c>
    </row>
    <row r="34022">
      <c r="B34022" s="31"/>
      <c r="G34022" s="272" t="s">
        <v>1099</v>
      </c>
    </row>
    <row r="34023">
      <c r="B34023" s="31"/>
      <c r="G34023" s="272" t="s">
        <v>1099</v>
      </c>
    </row>
    <row r="34024">
      <c r="B34024" s="31"/>
      <c r="G34024" s="272" t="s">
        <v>1099</v>
      </c>
    </row>
    <row r="34025">
      <c r="B34025" s="31"/>
      <c r="G34025" s="272" t="s">
        <v>1099</v>
      </c>
    </row>
    <row r="34026">
      <c r="B34026" s="31"/>
      <c r="G34026" s="272" t="s">
        <v>1099</v>
      </c>
    </row>
    <row r="34027">
      <c r="B34027" s="31"/>
      <c r="G34027" s="272" t="s">
        <v>1099</v>
      </c>
    </row>
    <row r="34028">
      <c r="B34028" s="31"/>
      <c r="G34028" s="272" t="s">
        <v>1099</v>
      </c>
    </row>
    <row r="34029">
      <c r="B34029" s="31"/>
      <c r="G34029" s="272" t="s">
        <v>1099</v>
      </c>
    </row>
    <row r="34030">
      <c r="B34030" s="31"/>
      <c r="G34030" s="272" t="s">
        <v>1099</v>
      </c>
    </row>
    <row r="34031">
      <c r="B34031" s="31"/>
      <c r="G34031" s="272" t="s">
        <v>1099</v>
      </c>
    </row>
    <row r="34032">
      <c r="B34032" s="31"/>
      <c r="G34032" s="272" t="s">
        <v>1099</v>
      </c>
    </row>
    <row r="34033">
      <c r="B34033" s="31"/>
      <c r="G34033" s="272" t="s">
        <v>1099</v>
      </c>
    </row>
    <row r="34034">
      <c r="B34034" s="31"/>
      <c r="G34034" s="272" t="s">
        <v>1099</v>
      </c>
    </row>
    <row r="34035">
      <c r="B34035" s="31"/>
      <c r="G34035" s="272" t="s">
        <v>1099</v>
      </c>
    </row>
    <row r="34036">
      <c r="B34036" s="31"/>
      <c r="G34036" s="272" t="s">
        <v>1099</v>
      </c>
    </row>
    <row r="34037">
      <c r="B34037" s="31"/>
      <c r="G34037" s="272" t="s">
        <v>1099</v>
      </c>
    </row>
    <row r="34038">
      <c r="B34038" s="31"/>
      <c r="G34038" s="272" t="s">
        <v>1099</v>
      </c>
    </row>
    <row r="34039">
      <c r="B34039" s="31"/>
      <c r="G34039" s="272" t="s">
        <v>1099</v>
      </c>
    </row>
    <row r="34040">
      <c r="B34040" s="31"/>
      <c r="G34040" s="272" t="s">
        <v>1099</v>
      </c>
    </row>
    <row r="34041">
      <c r="B34041" s="31"/>
      <c r="G34041" s="272" t="s">
        <v>1099</v>
      </c>
    </row>
    <row r="34042">
      <c r="B34042" s="31"/>
      <c r="G34042" s="272" t="s">
        <v>1099</v>
      </c>
    </row>
    <row r="34043">
      <c r="B34043" s="31"/>
      <c r="G34043" s="272" t="s">
        <v>1099</v>
      </c>
    </row>
    <row r="34044">
      <c r="B34044" s="31"/>
      <c r="G34044" s="272" t="s">
        <v>1099</v>
      </c>
    </row>
    <row r="34045">
      <c r="B34045" s="31"/>
      <c r="G34045" s="272" t="s">
        <v>1099</v>
      </c>
    </row>
    <row r="34046">
      <c r="B34046" s="31"/>
      <c r="G34046" s="272" t="s">
        <v>1099</v>
      </c>
    </row>
    <row r="34047">
      <c r="B34047" s="31"/>
      <c r="G34047" s="272" t="s">
        <v>1099</v>
      </c>
    </row>
    <row r="34048">
      <c r="B34048" s="31"/>
      <c r="G34048" s="272" t="s">
        <v>1099</v>
      </c>
    </row>
    <row r="34049">
      <c r="B34049" s="31"/>
      <c r="G34049" s="272" t="s">
        <v>1099</v>
      </c>
    </row>
    <row r="34050">
      <c r="B34050" s="31"/>
      <c r="G34050" s="272" t="s">
        <v>1099</v>
      </c>
    </row>
    <row r="34051">
      <c r="B34051" s="31"/>
      <c r="G34051" s="272" t="s">
        <v>1099</v>
      </c>
    </row>
    <row r="34052">
      <c r="B34052" s="31"/>
      <c r="G34052" s="272" t="s">
        <v>1099</v>
      </c>
    </row>
    <row r="34053">
      <c r="B34053" s="31"/>
      <c r="G34053" s="272" t="s">
        <v>1099</v>
      </c>
    </row>
    <row r="34054">
      <c r="B34054" s="31"/>
      <c r="G34054" s="272" t="s">
        <v>1099</v>
      </c>
    </row>
    <row r="34055">
      <c r="B34055" s="31"/>
      <c r="G34055" s="272" t="s">
        <v>1099</v>
      </c>
    </row>
    <row r="34056">
      <c r="B34056" s="31"/>
      <c r="G34056" s="272" t="s">
        <v>1099</v>
      </c>
    </row>
    <row r="34057">
      <c r="B34057" s="31"/>
      <c r="G34057" s="272" t="s">
        <v>1099</v>
      </c>
    </row>
    <row r="34058">
      <c r="B34058" s="31"/>
      <c r="G34058" s="272" t="s">
        <v>1099</v>
      </c>
    </row>
    <row r="34059">
      <c r="B34059" s="31"/>
      <c r="G34059" s="272" t="s">
        <v>1099</v>
      </c>
    </row>
    <row r="34060">
      <c r="B34060" s="31"/>
      <c r="G34060" s="272" t="s">
        <v>1099</v>
      </c>
    </row>
    <row r="34061">
      <c r="B34061" s="31"/>
      <c r="G34061" s="272" t="s">
        <v>1099</v>
      </c>
    </row>
    <row r="34062">
      <c r="B34062" s="31"/>
      <c r="G34062" s="272" t="s">
        <v>1099</v>
      </c>
    </row>
    <row r="34063">
      <c r="B34063" s="31"/>
      <c r="G34063" s="272" t="s">
        <v>1099</v>
      </c>
    </row>
    <row r="34064">
      <c r="B34064" s="31"/>
      <c r="G34064" s="272" t="s">
        <v>1099</v>
      </c>
    </row>
    <row r="34065">
      <c r="B34065" s="31"/>
      <c r="G34065" s="272" t="s">
        <v>1099</v>
      </c>
    </row>
    <row r="34066">
      <c r="B34066" s="31"/>
      <c r="G34066" s="272" t="s">
        <v>1099</v>
      </c>
    </row>
    <row r="34067">
      <c r="B34067" s="31"/>
      <c r="G34067" s="272" t="s">
        <v>1099</v>
      </c>
    </row>
    <row r="34068">
      <c r="B34068" s="31"/>
      <c r="G34068" s="272" t="s">
        <v>1099</v>
      </c>
    </row>
    <row r="34069">
      <c r="B34069" s="31"/>
      <c r="G34069" s="272" t="s">
        <v>1099</v>
      </c>
    </row>
    <row r="34070">
      <c r="B34070" s="31"/>
      <c r="G34070" s="272" t="s">
        <v>1099</v>
      </c>
    </row>
    <row r="34071">
      <c r="B34071" s="31"/>
      <c r="G34071" s="272" t="s">
        <v>1099</v>
      </c>
    </row>
    <row r="34072">
      <c r="B34072" s="31"/>
      <c r="G34072" s="272" t="s">
        <v>1099</v>
      </c>
    </row>
    <row r="34073">
      <c r="B34073" s="31"/>
      <c r="G34073" s="272" t="s">
        <v>1099</v>
      </c>
    </row>
    <row r="34074">
      <c r="B34074" s="31"/>
      <c r="G34074" s="272" t="s">
        <v>1099</v>
      </c>
    </row>
    <row r="34075">
      <c r="B34075" s="31"/>
      <c r="G34075" s="272" t="s">
        <v>1099</v>
      </c>
    </row>
    <row r="34076">
      <c r="B34076" s="31"/>
      <c r="G34076" s="272" t="s">
        <v>1099</v>
      </c>
    </row>
    <row r="34077">
      <c r="B34077" s="31"/>
      <c r="G34077" s="272" t="s">
        <v>1099</v>
      </c>
    </row>
    <row r="34078">
      <c r="B34078" s="31"/>
      <c r="G34078" s="272" t="s">
        <v>1099</v>
      </c>
    </row>
    <row r="34079">
      <c r="B34079" s="31"/>
      <c r="G34079" s="272" t="s">
        <v>1099</v>
      </c>
    </row>
    <row r="34080">
      <c r="B34080" s="31"/>
      <c r="G34080" s="272" t="s">
        <v>1099</v>
      </c>
    </row>
    <row r="34081">
      <c r="B34081" s="31"/>
      <c r="G34081" s="272" t="s">
        <v>1099</v>
      </c>
    </row>
    <row r="34082">
      <c r="B34082" s="31"/>
      <c r="G34082" s="272" t="s">
        <v>1099</v>
      </c>
    </row>
    <row r="34083">
      <c r="B34083" s="31"/>
      <c r="G34083" s="272" t="s">
        <v>1099</v>
      </c>
    </row>
    <row r="34084">
      <c r="B34084" s="31"/>
      <c r="G34084" s="272" t="s">
        <v>1099</v>
      </c>
    </row>
    <row r="34085">
      <c r="B34085" s="31"/>
      <c r="G34085" s="272" t="s">
        <v>1099</v>
      </c>
    </row>
    <row r="34086">
      <c r="B34086" s="31"/>
      <c r="G34086" s="272" t="s">
        <v>1099</v>
      </c>
    </row>
    <row r="34087">
      <c r="B34087" s="31"/>
      <c r="G34087" s="272" t="s">
        <v>1099</v>
      </c>
    </row>
    <row r="34088">
      <c r="B34088" s="31"/>
      <c r="G34088" s="272" t="s">
        <v>1099</v>
      </c>
    </row>
    <row r="34089">
      <c r="B34089" s="31"/>
      <c r="G34089" s="272" t="s">
        <v>1099</v>
      </c>
    </row>
    <row r="34090">
      <c r="B34090" s="31"/>
      <c r="G34090" s="272" t="s">
        <v>1099</v>
      </c>
    </row>
    <row r="34091">
      <c r="B34091" s="31"/>
      <c r="G34091" s="272" t="s">
        <v>1099</v>
      </c>
    </row>
    <row r="34092">
      <c r="B34092" s="31"/>
      <c r="G34092" s="272" t="s">
        <v>1099</v>
      </c>
    </row>
    <row r="34093">
      <c r="B34093" s="31"/>
      <c r="G34093" s="272" t="s">
        <v>1099</v>
      </c>
    </row>
    <row r="34094">
      <c r="B34094" s="31"/>
      <c r="G34094" s="272" t="s">
        <v>1099</v>
      </c>
    </row>
    <row r="34095">
      <c r="B34095" s="31"/>
      <c r="G34095" s="272" t="s">
        <v>1099</v>
      </c>
    </row>
    <row r="34096">
      <c r="B34096" s="31"/>
      <c r="G34096" s="272" t="s">
        <v>1099</v>
      </c>
    </row>
    <row r="34097">
      <c r="B34097" s="31"/>
      <c r="G34097" s="272" t="s">
        <v>1099</v>
      </c>
    </row>
    <row r="34098">
      <c r="B34098" s="31"/>
      <c r="G34098" s="272" t="s">
        <v>1099</v>
      </c>
    </row>
    <row r="34099">
      <c r="B34099" s="31"/>
      <c r="G34099" s="272" t="s">
        <v>1099</v>
      </c>
    </row>
    <row r="34100">
      <c r="B34100" s="31"/>
      <c r="G34100" s="272" t="s">
        <v>1099</v>
      </c>
    </row>
    <row r="34101">
      <c r="B34101" s="31"/>
      <c r="G34101" s="272" t="s">
        <v>1099</v>
      </c>
    </row>
    <row r="34102">
      <c r="B34102" s="31"/>
      <c r="G34102" s="272" t="s">
        <v>1099</v>
      </c>
    </row>
    <row r="34103">
      <c r="B34103" s="31"/>
      <c r="G34103" s="272" t="s">
        <v>1099</v>
      </c>
    </row>
    <row r="34104">
      <c r="B34104" s="31"/>
      <c r="G34104" s="272" t="s">
        <v>1099</v>
      </c>
    </row>
    <row r="34105">
      <c r="B34105" s="31"/>
      <c r="G34105" s="272" t="s">
        <v>1099</v>
      </c>
    </row>
    <row r="34106">
      <c r="B34106" s="31"/>
      <c r="G34106" s="272" t="s">
        <v>1099</v>
      </c>
    </row>
    <row r="34107">
      <c r="B34107" s="31"/>
      <c r="G34107" s="272" t="s">
        <v>1099</v>
      </c>
    </row>
    <row r="34108">
      <c r="B34108" s="31"/>
      <c r="G34108" s="272" t="s">
        <v>1099</v>
      </c>
    </row>
    <row r="34109">
      <c r="B34109" s="31"/>
      <c r="G34109" s="272" t="s">
        <v>1099</v>
      </c>
    </row>
    <row r="34110">
      <c r="B34110" s="31"/>
      <c r="G34110" s="272" t="s">
        <v>1099</v>
      </c>
    </row>
    <row r="34111">
      <c r="B34111" s="31"/>
      <c r="G34111" s="272" t="s">
        <v>1099</v>
      </c>
    </row>
    <row r="34112">
      <c r="B34112" s="31"/>
      <c r="G34112" s="272" t="s">
        <v>1099</v>
      </c>
    </row>
    <row r="34113">
      <c r="B34113" s="31"/>
      <c r="G34113" s="272" t="s">
        <v>1099</v>
      </c>
    </row>
    <row r="34114">
      <c r="B34114" s="31"/>
      <c r="G34114" s="272" t="s">
        <v>1099</v>
      </c>
    </row>
    <row r="34115">
      <c r="B34115" s="31"/>
      <c r="G34115" s="272" t="s">
        <v>1099</v>
      </c>
    </row>
    <row r="34116">
      <c r="B34116" s="31"/>
      <c r="G34116" s="272" t="s">
        <v>1099</v>
      </c>
    </row>
    <row r="34117">
      <c r="B34117" s="31"/>
      <c r="G34117" s="272" t="s">
        <v>1099</v>
      </c>
    </row>
    <row r="34118">
      <c r="B34118" s="31"/>
      <c r="G34118" s="272" t="s">
        <v>1099</v>
      </c>
    </row>
    <row r="34119">
      <c r="B34119" s="31"/>
      <c r="G34119" s="272" t="s">
        <v>1099</v>
      </c>
    </row>
    <row r="34120">
      <c r="B34120" s="31"/>
      <c r="G34120" s="272" t="s">
        <v>1099</v>
      </c>
    </row>
    <row r="34121">
      <c r="B34121" s="31"/>
      <c r="G34121" s="272" t="s">
        <v>1099</v>
      </c>
    </row>
    <row r="34122">
      <c r="B34122" s="31"/>
      <c r="G34122" s="272" t="s">
        <v>1099</v>
      </c>
    </row>
    <row r="34123">
      <c r="B34123" s="31"/>
      <c r="G34123" s="272" t="s">
        <v>1099</v>
      </c>
    </row>
    <row r="34124">
      <c r="B34124" s="31"/>
      <c r="G34124" s="272" t="s">
        <v>1099</v>
      </c>
    </row>
    <row r="34125">
      <c r="B34125" s="31"/>
      <c r="G34125" s="272" t="s">
        <v>1099</v>
      </c>
    </row>
    <row r="34126">
      <c r="B34126" s="31"/>
      <c r="G34126" s="272" t="s">
        <v>1099</v>
      </c>
    </row>
    <row r="34127">
      <c r="B34127" s="31"/>
      <c r="G34127" s="272" t="s">
        <v>1099</v>
      </c>
    </row>
    <row r="34128">
      <c r="B34128" s="31"/>
      <c r="G34128" s="272" t="s">
        <v>1099</v>
      </c>
    </row>
    <row r="34129">
      <c r="B34129" s="31"/>
      <c r="G34129" s="272" t="s">
        <v>1099</v>
      </c>
    </row>
    <row r="34130">
      <c r="B34130" s="31"/>
      <c r="G34130" s="272" t="s">
        <v>1099</v>
      </c>
    </row>
    <row r="34131">
      <c r="B34131" s="31"/>
      <c r="G34131" s="272" t="s">
        <v>1099</v>
      </c>
    </row>
    <row r="34132">
      <c r="B34132" s="31"/>
      <c r="G34132" s="272" t="s">
        <v>1099</v>
      </c>
    </row>
    <row r="34133">
      <c r="B34133" s="31"/>
      <c r="G34133" s="272" t="s">
        <v>1099</v>
      </c>
    </row>
    <row r="34134">
      <c r="B34134" s="31"/>
      <c r="G34134" s="272" t="s">
        <v>1099</v>
      </c>
    </row>
    <row r="34135">
      <c r="B34135" s="31"/>
      <c r="G34135" s="272" t="s">
        <v>1099</v>
      </c>
    </row>
    <row r="34136">
      <c r="B34136" s="31"/>
      <c r="G34136" s="272" t="s">
        <v>1099</v>
      </c>
    </row>
    <row r="34137">
      <c r="B34137" s="31"/>
      <c r="G34137" s="272" t="s">
        <v>1099</v>
      </c>
    </row>
    <row r="34138">
      <c r="B34138" s="31"/>
      <c r="G34138" s="272" t="s">
        <v>1099</v>
      </c>
    </row>
    <row r="34139">
      <c r="B34139" s="31"/>
      <c r="G34139" s="272" t="s">
        <v>1099</v>
      </c>
    </row>
    <row r="34140">
      <c r="B34140" s="31"/>
      <c r="G34140" s="272" t="s">
        <v>1099</v>
      </c>
    </row>
    <row r="34141">
      <c r="B34141" s="31"/>
      <c r="G34141" s="272" t="s">
        <v>1099</v>
      </c>
    </row>
    <row r="34142">
      <c r="B34142" s="31"/>
      <c r="G34142" s="272" t="s">
        <v>1099</v>
      </c>
    </row>
    <row r="34143">
      <c r="B34143" s="31"/>
      <c r="G34143" s="272" t="s">
        <v>1099</v>
      </c>
    </row>
    <row r="34144">
      <c r="B34144" s="31"/>
      <c r="G34144" s="272" t="s">
        <v>1099</v>
      </c>
    </row>
    <row r="34145">
      <c r="B34145" s="31"/>
      <c r="G34145" s="272" t="s">
        <v>1099</v>
      </c>
    </row>
    <row r="34146">
      <c r="B34146" s="31"/>
      <c r="G34146" s="272" t="s">
        <v>1099</v>
      </c>
    </row>
    <row r="34147">
      <c r="B34147" s="31"/>
      <c r="G34147" s="272" t="s">
        <v>1099</v>
      </c>
    </row>
    <row r="34148">
      <c r="B34148" s="31"/>
      <c r="G34148" s="272" t="s">
        <v>1099</v>
      </c>
    </row>
    <row r="34149">
      <c r="B34149" s="31"/>
      <c r="G34149" s="272" t="s">
        <v>1099</v>
      </c>
    </row>
    <row r="34150">
      <c r="B34150" s="31"/>
      <c r="G34150" s="272" t="s">
        <v>1099</v>
      </c>
    </row>
    <row r="34151">
      <c r="B34151" s="31"/>
      <c r="G34151" s="272" t="s">
        <v>1099</v>
      </c>
    </row>
    <row r="34152">
      <c r="B34152" s="31"/>
      <c r="G34152" s="272" t="s">
        <v>1099</v>
      </c>
    </row>
    <row r="34153">
      <c r="B34153" s="31"/>
      <c r="G34153" s="272" t="s">
        <v>1099</v>
      </c>
    </row>
    <row r="34154">
      <c r="B34154" s="31"/>
      <c r="G34154" s="272" t="s">
        <v>1099</v>
      </c>
    </row>
    <row r="34155">
      <c r="B34155" s="31"/>
      <c r="G34155" s="272" t="s">
        <v>1099</v>
      </c>
    </row>
    <row r="34156">
      <c r="B34156" s="31"/>
      <c r="G34156" s="272" t="s">
        <v>1099</v>
      </c>
    </row>
    <row r="34157">
      <c r="B34157" s="31"/>
      <c r="G34157" s="272" t="s">
        <v>1099</v>
      </c>
    </row>
    <row r="34158">
      <c r="B34158" s="31"/>
      <c r="G34158" s="272" t="s">
        <v>1099</v>
      </c>
    </row>
    <row r="34159">
      <c r="B34159" s="31"/>
      <c r="G34159" s="272" t="s">
        <v>1099</v>
      </c>
    </row>
    <row r="34160">
      <c r="B34160" s="31"/>
      <c r="G34160" s="272" t="s">
        <v>1099</v>
      </c>
    </row>
    <row r="34161">
      <c r="B34161" s="31"/>
      <c r="G34161" s="272" t="s">
        <v>1099</v>
      </c>
    </row>
    <row r="34162">
      <c r="B34162" s="31"/>
      <c r="G34162" s="272" t="s">
        <v>1099</v>
      </c>
    </row>
    <row r="34163">
      <c r="B34163" s="31"/>
      <c r="G34163" s="272" t="s">
        <v>1099</v>
      </c>
    </row>
    <row r="34164">
      <c r="B34164" s="31"/>
      <c r="G34164" s="272" t="s">
        <v>1099</v>
      </c>
    </row>
    <row r="34165">
      <c r="B34165" s="31"/>
      <c r="G34165" s="272" t="s">
        <v>1099</v>
      </c>
    </row>
    <row r="34166">
      <c r="B34166" s="31"/>
      <c r="G34166" s="272" t="s">
        <v>1099</v>
      </c>
    </row>
    <row r="34167">
      <c r="B34167" s="31"/>
      <c r="G34167" s="272" t="s">
        <v>1099</v>
      </c>
    </row>
    <row r="34168">
      <c r="B34168" s="31"/>
      <c r="G34168" s="272" t="s">
        <v>1099</v>
      </c>
    </row>
    <row r="34169">
      <c r="B34169" s="31"/>
      <c r="G34169" s="272" t="s">
        <v>1099</v>
      </c>
    </row>
    <row r="34170">
      <c r="B34170" s="31"/>
      <c r="G34170" s="272" t="s">
        <v>1099</v>
      </c>
    </row>
    <row r="34171">
      <c r="B34171" s="31"/>
      <c r="G34171" s="272" t="s">
        <v>1099</v>
      </c>
    </row>
    <row r="34172">
      <c r="B34172" s="31"/>
      <c r="G34172" s="272" t="s">
        <v>1099</v>
      </c>
    </row>
    <row r="34173">
      <c r="B34173" s="31"/>
      <c r="G34173" s="272" t="s">
        <v>1099</v>
      </c>
    </row>
    <row r="34174">
      <c r="B34174" s="31"/>
      <c r="G34174" s="272" t="s">
        <v>1099</v>
      </c>
    </row>
    <row r="34175">
      <c r="B34175" s="31"/>
      <c r="G34175" s="272" t="s">
        <v>1099</v>
      </c>
    </row>
    <row r="34176">
      <c r="B34176" s="31"/>
      <c r="G34176" s="272" t="s">
        <v>1099</v>
      </c>
    </row>
    <row r="34177">
      <c r="B34177" s="31"/>
      <c r="G34177" s="272" t="s">
        <v>1099</v>
      </c>
    </row>
    <row r="34178">
      <c r="B34178" s="31"/>
      <c r="G34178" s="272" t="s">
        <v>1099</v>
      </c>
    </row>
    <row r="34179">
      <c r="B34179" s="31"/>
      <c r="G34179" s="272" t="s">
        <v>1099</v>
      </c>
    </row>
    <row r="34180">
      <c r="B34180" s="31"/>
      <c r="G34180" s="272" t="s">
        <v>1099</v>
      </c>
    </row>
    <row r="34181">
      <c r="B34181" s="31"/>
      <c r="G34181" s="272" t="s">
        <v>1099</v>
      </c>
    </row>
    <row r="34182">
      <c r="B34182" s="31"/>
      <c r="G34182" s="272" t="s">
        <v>1099</v>
      </c>
    </row>
    <row r="34183">
      <c r="B34183" s="31"/>
      <c r="G34183" s="272" t="s">
        <v>1099</v>
      </c>
    </row>
    <row r="34184">
      <c r="B34184" s="31"/>
      <c r="G34184" s="272" t="s">
        <v>1099</v>
      </c>
    </row>
    <row r="34185">
      <c r="B34185" s="31"/>
      <c r="G34185" s="272" t="s">
        <v>1099</v>
      </c>
    </row>
    <row r="34186">
      <c r="B34186" s="31"/>
      <c r="G34186" s="272" t="s">
        <v>1099</v>
      </c>
    </row>
    <row r="34187">
      <c r="B34187" s="31"/>
      <c r="G34187" s="272" t="s">
        <v>1099</v>
      </c>
    </row>
    <row r="34188">
      <c r="B34188" s="31"/>
      <c r="G34188" s="272" t="s">
        <v>1099</v>
      </c>
    </row>
    <row r="34189">
      <c r="B34189" s="31"/>
      <c r="G34189" s="272" t="s">
        <v>1099</v>
      </c>
    </row>
    <row r="34190">
      <c r="B34190" s="31"/>
      <c r="G34190" s="272" t="s">
        <v>1099</v>
      </c>
    </row>
    <row r="34191">
      <c r="B34191" s="31"/>
      <c r="G34191" s="272" t="s">
        <v>1099</v>
      </c>
    </row>
    <row r="34192">
      <c r="B34192" s="31"/>
      <c r="G34192" s="272" t="s">
        <v>1099</v>
      </c>
    </row>
    <row r="34193">
      <c r="B34193" s="31"/>
      <c r="G34193" s="272" t="s">
        <v>1099</v>
      </c>
    </row>
    <row r="34194">
      <c r="B34194" s="31"/>
      <c r="G34194" s="272" t="s">
        <v>1099</v>
      </c>
    </row>
    <row r="34195">
      <c r="B34195" s="31"/>
      <c r="G34195" s="272" t="s">
        <v>1099</v>
      </c>
    </row>
    <row r="34196">
      <c r="B34196" s="31"/>
      <c r="G34196" s="272" t="s">
        <v>1099</v>
      </c>
    </row>
    <row r="34197">
      <c r="B34197" s="31"/>
      <c r="G34197" s="272" t="s">
        <v>1099</v>
      </c>
    </row>
    <row r="34198">
      <c r="B34198" s="31"/>
      <c r="G34198" s="272" t="s">
        <v>1099</v>
      </c>
    </row>
    <row r="34199">
      <c r="B34199" s="31"/>
      <c r="G34199" s="272" t="s">
        <v>1099</v>
      </c>
    </row>
    <row r="34200">
      <c r="B34200" s="31"/>
      <c r="G34200" s="272" t="s">
        <v>1099</v>
      </c>
    </row>
    <row r="34201">
      <c r="B34201" s="31"/>
      <c r="G34201" s="272" t="s">
        <v>1099</v>
      </c>
    </row>
    <row r="34202">
      <c r="B34202" s="31"/>
      <c r="G34202" s="272" t="s">
        <v>1099</v>
      </c>
    </row>
    <row r="34203">
      <c r="B34203" s="31"/>
      <c r="G34203" s="272" t="s">
        <v>1099</v>
      </c>
    </row>
    <row r="34204">
      <c r="B34204" s="31"/>
      <c r="G34204" s="272" t="s">
        <v>1099</v>
      </c>
    </row>
    <row r="34205">
      <c r="B34205" s="31"/>
      <c r="G34205" s="272" t="s">
        <v>1099</v>
      </c>
    </row>
    <row r="34206">
      <c r="B34206" s="31"/>
      <c r="G34206" s="272" t="s">
        <v>1099</v>
      </c>
    </row>
    <row r="34207">
      <c r="B34207" s="31"/>
      <c r="G34207" s="272" t="s">
        <v>1099</v>
      </c>
    </row>
    <row r="34208">
      <c r="B34208" s="31"/>
      <c r="G34208" s="272" t="s">
        <v>1099</v>
      </c>
    </row>
    <row r="34209">
      <c r="B34209" s="31"/>
      <c r="G34209" s="272" t="s">
        <v>1099</v>
      </c>
    </row>
    <row r="34210">
      <c r="B34210" s="31"/>
      <c r="G34210" s="272" t="s">
        <v>1099</v>
      </c>
    </row>
    <row r="34211">
      <c r="B34211" s="31"/>
      <c r="G34211" s="272" t="s">
        <v>1099</v>
      </c>
    </row>
    <row r="34212">
      <c r="B34212" s="31"/>
      <c r="G34212" s="272" t="s">
        <v>1099</v>
      </c>
    </row>
    <row r="34213">
      <c r="B34213" s="31"/>
      <c r="G34213" s="272" t="s">
        <v>1099</v>
      </c>
    </row>
    <row r="34214">
      <c r="B34214" s="31"/>
      <c r="G34214" s="272" t="s">
        <v>1099</v>
      </c>
    </row>
    <row r="34215">
      <c r="B34215" s="31"/>
      <c r="G34215" s="272" t="s">
        <v>1099</v>
      </c>
    </row>
    <row r="34216">
      <c r="B34216" s="31"/>
      <c r="G34216" s="272" t="s">
        <v>1099</v>
      </c>
    </row>
    <row r="34217">
      <c r="B34217" s="31"/>
      <c r="G34217" s="272" t="s">
        <v>1099</v>
      </c>
    </row>
    <row r="34218">
      <c r="B34218" s="31"/>
      <c r="G34218" s="272" t="s">
        <v>1099</v>
      </c>
    </row>
    <row r="34219">
      <c r="B34219" s="31"/>
      <c r="G34219" s="272" t="s">
        <v>1099</v>
      </c>
    </row>
    <row r="34220">
      <c r="B34220" s="31"/>
      <c r="G34220" s="272" t="s">
        <v>1099</v>
      </c>
    </row>
    <row r="34221">
      <c r="B34221" s="31"/>
      <c r="G34221" s="272" t="s">
        <v>1099</v>
      </c>
    </row>
    <row r="34222">
      <c r="B34222" s="31"/>
      <c r="G34222" s="272" t="s">
        <v>1099</v>
      </c>
    </row>
    <row r="34223">
      <c r="B34223" s="31"/>
      <c r="G34223" s="272" t="s">
        <v>1099</v>
      </c>
    </row>
    <row r="34224">
      <c r="B34224" s="31"/>
      <c r="G34224" s="272" t="s">
        <v>1099</v>
      </c>
    </row>
    <row r="34225">
      <c r="B34225" s="31"/>
      <c r="G34225" s="272" t="s">
        <v>1099</v>
      </c>
    </row>
    <row r="34226">
      <c r="B34226" s="31"/>
      <c r="G34226" s="272" t="s">
        <v>1099</v>
      </c>
    </row>
    <row r="34227">
      <c r="B34227" s="31"/>
      <c r="G34227" s="272" t="s">
        <v>1099</v>
      </c>
    </row>
    <row r="34228">
      <c r="B34228" s="31"/>
      <c r="G34228" s="272" t="s">
        <v>1099</v>
      </c>
    </row>
    <row r="34229">
      <c r="B34229" s="31"/>
      <c r="G34229" s="272" t="s">
        <v>1099</v>
      </c>
    </row>
    <row r="34230">
      <c r="B34230" s="31"/>
      <c r="G34230" s="272" t="s">
        <v>1099</v>
      </c>
    </row>
    <row r="34231">
      <c r="B34231" s="31"/>
      <c r="G34231" s="272" t="s">
        <v>1099</v>
      </c>
    </row>
    <row r="34232">
      <c r="B34232" s="31"/>
      <c r="G34232" s="272" t="s">
        <v>1099</v>
      </c>
    </row>
    <row r="34233">
      <c r="B34233" s="31"/>
      <c r="G34233" s="272" t="s">
        <v>1099</v>
      </c>
    </row>
    <row r="34234">
      <c r="B34234" s="31"/>
      <c r="G34234" s="272" t="s">
        <v>1099</v>
      </c>
    </row>
    <row r="34235">
      <c r="B34235" s="31"/>
      <c r="G34235" s="272" t="s">
        <v>1099</v>
      </c>
    </row>
    <row r="34236">
      <c r="B34236" s="31"/>
      <c r="G34236" s="272" t="s">
        <v>1099</v>
      </c>
    </row>
    <row r="34237">
      <c r="B34237" s="31"/>
      <c r="G34237" s="272" t="s">
        <v>1099</v>
      </c>
    </row>
    <row r="34238">
      <c r="B34238" s="31"/>
      <c r="G34238" s="272" t="s">
        <v>1099</v>
      </c>
    </row>
    <row r="34239">
      <c r="B34239" s="31"/>
      <c r="G34239" s="272" t="s">
        <v>1099</v>
      </c>
    </row>
    <row r="34240">
      <c r="B34240" s="31"/>
      <c r="G34240" s="272" t="s">
        <v>1099</v>
      </c>
    </row>
    <row r="34241">
      <c r="B34241" s="31"/>
      <c r="G34241" s="272" t="s">
        <v>1099</v>
      </c>
    </row>
    <row r="34242">
      <c r="B34242" s="31"/>
      <c r="G34242" s="272" t="s">
        <v>1099</v>
      </c>
    </row>
    <row r="34243">
      <c r="B34243" s="31"/>
      <c r="G34243" s="272" t="s">
        <v>1099</v>
      </c>
    </row>
    <row r="34244">
      <c r="B34244" s="31"/>
      <c r="G34244" s="272" t="s">
        <v>1099</v>
      </c>
    </row>
    <row r="34245">
      <c r="B34245" s="31"/>
      <c r="G34245" s="272" t="s">
        <v>1099</v>
      </c>
    </row>
    <row r="34246">
      <c r="B34246" s="31"/>
      <c r="G34246" s="272" t="s">
        <v>1099</v>
      </c>
    </row>
    <row r="34247">
      <c r="B34247" s="31"/>
      <c r="G34247" s="272" t="s">
        <v>1099</v>
      </c>
    </row>
    <row r="34248">
      <c r="B34248" s="31"/>
      <c r="G34248" s="272" t="s">
        <v>1099</v>
      </c>
    </row>
    <row r="34249">
      <c r="B34249" s="31"/>
      <c r="G34249" s="272" t="s">
        <v>1099</v>
      </c>
    </row>
    <row r="34250">
      <c r="B34250" s="31"/>
      <c r="G34250" s="272" t="s">
        <v>1099</v>
      </c>
    </row>
    <row r="34251">
      <c r="B34251" s="31"/>
      <c r="G34251" s="272" t="s">
        <v>1099</v>
      </c>
    </row>
    <row r="34252">
      <c r="B34252" s="31"/>
      <c r="G34252" s="272" t="s">
        <v>1099</v>
      </c>
    </row>
    <row r="34253">
      <c r="B34253" s="31"/>
      <c r="G34253" s="272" t="s">
        <v>1099</v>
      </c>
    </row>
    <row r="34254">
      <c r="B34254" s="31"/>
      <c r="G34254" s="272" t="s">
        <v>1099</v>
      </c>
    </row>
    <row r="34255">
      <c r="B34255" s="31"/>
      <c r="G34255" s="272" t="s">
        <v>1099</v>
      </c>
    </row>
    <row r="34256">
      <c r="B34256" s="31"/>
      <c r="G34256" s="272" t="s">
        <v>1099</v>
      </c>
    </row>
    <row r="34257">
      <c r="B34257" s="31"/>
      <c r="G34257" s="272" t="s">
        <v>1099</v>
      </c>
    </row>
    <row r="34258">
      <c r="B34258" s="31"/>
      <c r="G34258" s="272" t="s">
        <v>1099</v>
      </c>
    </row>
    <row r="34259">
      <c r="B34259" s="31"/>
      <c r="G34259" s="272" t="s">
        <v>1099</v>
      </c>
    </row>
    <row r="34260">
      <c r="B34260" s="31"/>
      <c r="G34260" s="272" t="s">
        <v>1099</v>
      </c>
    </row>
    <row r="34261">
      <c r="B34261" s="31"/>
      <c r="G34261" s="272" t="s">
        <v>1099</v>
      </c>
    </row>
    <row r="34262">
      <c r="B34262" s="31"/>
      <c r="G34262" s="272" t="s">
        <v>1099</v>
      </c>
    </row>
    <row r="34263">
      <c r="B34263" s="31"/>
      <c r="G34263" s="272" t="s">
        <v>1099</v>
      </c>
    </row>
    <row r="34264">
      <c r="B34264" s="31"/>
      <c r="G34264" s="272" t="s">
        <v>1099</v>
      </c>
    </row>
    <row r="34265">
      <c r="B34265" s="31"/>
      <c r="G34265" s="272" t="s">
        <v>1099</v>
      </c>
    </row>
    <row r="34266">
      <c r="B34266" s="31"/>
      <c r="G34266" s="272" t="s">
        <v>1099</v>
      </c>
    </row>
    <row r="34267">
      <c r="B34267" s="31"/>
      <c r="G34267" s="272" t="s">
        <v>1099</v>
      </c>
    </row>
    <row r="34268">
      <c r="B34268" s="31"/>
      <c r="G34268" s="272" t="s">
        <v>1099</v>
      </c>
    </row>
    <row r="34269">
      <c r="B34269" s="31"/>
      <c r="G34269" s="272" t="s">
        <v>1099</v>
      </c>
    </row>
    <row r="34270">
      <c r="B34270" s="31"/>
      <c r="G34270" s="272" t="s">
        <v>1099</v>
      </c>
    </row>
    <row r="34271">
      <c r="B34271" s="31"/>
      <c r="G34271" s="272" t="s">
        <v>1099</v>
      </c>
    </row>
    <row r="34272">
      <c r="B34272" s="31"/>
      <c r="G34272" s="272" t="s">
        <v>1099</v>
      </c>
    </row>
    <row r="34273">
      <c r="B34273" s="31"/>
      <c r="G34273" s="272" t="s">
        <v>1099</v>
      </c>
    </row>
    <row r="34274">
      <c r="B34274" s="31"/>
      <c r="G34274" s="272" t="s">
        <v>1099</v>
      </c>
    </row>
    <row r="34275">
      <c r="B34275" s="31"/>
      <c r="G34275" s="272" t="s">
        <v>1099</v>
      </c>
    </row>
    <row r="34276">
      <c r="B34276" s="31"/>
      <c r="G34276" s="272" t="s">
        <v>1099</v>
      </c>
    </row>
    <row r="34277">
      <c r="B34277" s="31"/>
      <c r="G34277" s="272" t="s">
        <v>1099</v>
      </c>
    </row>
    <row r="34278">
      <c r="B34278" s="31"/>
      <c r="G34278" s="272" t="s">
        <v>1099</v>
      </c>
    </row>
    <row r="34279">
      <c r="B34279" s="31"/>
      <c r="G34279" s="272" t="s">
        <v>1099</v>
      </c>
    </row>
    <row r="34280">
      <c r="B34280" s="31"/>
      <c r="G34280" s="272" t="s">
        <v>1099</v>
      </c>
    </row>
    <row r="34281">
      <c r="B34281" s="31"/>
      <c r="G34281" s="272" t="s">
        <v>1099</v>
      </c>
    </row>
    <row r="34282">
      <c r="B34282" s="31"/>
      <c r="G34282" s="272" t="s">
        <v>1099</v>
      </c>
    </row>
    <row r="34283">
      <c r="B34283" s="31"/>
      <c r="G34283" s="272" t="s">
        <v>1099</v>
      </c>
    </row>
    <row r="34284">
      <c r="B34284" s="31"/>
      <c r="G34284" s="272" t="s">
        <v>1099</v>
      </c>
    </row>
    <row r="34285">
      <c r="B34285" s="31"/>
      <c r="G34285" s="272" t="s">
        <v>1099</v>
      </c>
    </row>
    <row r="34286">
      <c r="B34286" s="31"/>
      <c r="G34286" s="272" t="s">
        <v>1099</v>
      </c>
    </row>
    <row r="34287">
      <c r="B34287" s="31"/>
      <c r="G34287" s="272" t="s">
        <v>1099</v>
      </c>
    </row>
    <row r="34288">
      <c r="B34288" s="31"/>
      <c r="G34288" s="272" t="s">
        <v>1099</v>
      </c>
    </row>
    <row r="34289">
      <c r="B34289" s="31"/>
      <c r="G34289" s="272" t="s">
        <v>1099</v>
      </c>
    </row>
    <row r="34290">
      <c r="B34290" s="31"/>
      <c r="G34290" s="272" t="s">
        <v>1099</v>
      </c>
    </row>
    <row r="34291">
      <c r="B34291" s="31"/>
      <c r="G34291" s="272" t="s">
        <v>1099</v>
      </c>
    </row>
    <row r="34292">
      <c r="B34292" s="31"/>
      <c r="G34292" s="272" t="s">
        <v>1099</v>
      </c>
    </row>
    <row r="34293">
      <c r="B34293" s="31"/>
      <c r="G34293" s="272" t="s">
        <v>1099</v>
      </c>
    </row>
    <row r="34294">
      <c r="B34294" s="31"/>
      <c r="G34294" s="272" t="s">
        <v>1099</v>
      </c>
    </row>
    <row r="34295">
      <c r="B34295" s="31"/>
      <c r="G34295" s="272" t="s">
        <v>1099</v>
      </c>
    </row>
    <row r="34296">
      <c r="B34296" s="31"/>
      <c r="G34296" s="272" t="s">
        <v>1099</v>
      </c>
    </row>
    <row r="34297">
      <c r="B34297" s="31"/>
      <c r="G34297" s="272" t="s">
        <v>1099</v>
      </c>
    </row>
    <row r="34298">
      <c r="B34298" s="31"/>
      <c r="G34298" s="272" t="s">
        <v>1099</v>
      </c>
    </row>
    <row r="34299">
      <c r="B34299" s="31"/>
      <c r="G34299" s="272" t="s">
        <v>1099</v>
      </c>
    </row>
    <row r="34300">
      <c r="B34300" s="31"/>
      <c r="G34300" s="272" t="s">
        <v>1099</v>
      </c>
    </row>
    <row r="34301">
      <c r="B34301" s="31"/>
      <c r="G34301" s="272" t="s">
        <v>1099</v>
      </c>
    </row>
    <row r="34302">
      <c r="B34302" s="31"/>
      <c r="G34302" s="272" t="s">
        <v>1099</v>
      </c>
    </row>
    <row r="34303">
      <c r="B34303" s="31"/>
      <c r="G34303" s="272" t="s">
        <v>1099</v>
      </c>
    </row>
    <row r="34304">
      <c r="B34304" s="31"/>
      <c r="G34304" s="272" t="s">
        <v>1099</v>
      </c>
    </row>
    <row r="34305">
      <c r="B34305" s="31"/>
      <c r="G34305" s="272" t="s">
        <v>1099</v>
      </c>
    </row>
    <row r="34306">
      <c r="B34306" s="31"/>
      <c r="G34306" s="272" t="s">
        <v>1099</v>
      </c>
    </row>
    <row r="34307">
      <c r="B34307" s="31"/>
      <c r="G34307" s="272" t="s">
        <v>1099</v>
      </c>
    </row>
    <row r="34308">
      <c r="B34308" s="31"/>
      <c r="G34308" s="272" t="s">
        <v>1099</v>
      </c>
    </row>
    <row r="34309">
      <c r="B34309" s="31"/>
      <c r="G34309" s="272" t="s">
        <v>1099</v>
      </c>
    </row>
    <row r="34310">
      <c r="B34310" s="31"/>
      <c r="G34310" s="272" t="s">
        <v>1099</v>
      </c>
    </row>
    <row r="34311">
      <c r="B34311" s="31"/>
      <c r="G34311" s="272" t="s">
        <v>1099</v>
      </c>
    </row>
    <row r="34312">
      <c r="B34312" s="31"/>
      <c r="G34312" s="272" t="s">
        <v>1099</v>
      </c>
    </row>
    <row r="34313">
      <c r="B34313" s="31"/>
      <c r="G34313" s="272" t="s">
        <v>1099</v>
      </c>
    </row>
    <row r="34314">
      <c r="B34314" s="31"/>
      <c r="G34314" s="272" t="s">
        <v>1099</v>
      </c>
    </row>
    <row r="34315">
      <c r="B34315" s="31"/>
      <c r="G34315" s="272" t="s">
        <v>1099</v>
      </c>
    </row>
    <row r="34316">
      <c r="B34316" s="31"/>
      <c r="G34316" s="272" t="s">
        <v>1099</v>
      </c>
    </row>
    <row r="34317">
      <c r="B34317" s="31"/>
      <c r="G34317" s="272" t="s">
        <v>1099</v>
      </c>
    </row>
    <row r="34318">
      <c r="B34318" s="31"/>
      <c r="G34318" s="272" t="s">
        <v>1099</v>
      </c>
    </row>
    <row r="34319">
      <c r="B34319" s="31"/>
      <c r="G34319" s="272" t="s">
        <v>1099</v>
      </c>
    </row>
    <row r="34320">
      <c r="B34320" s="31"/>
      <c r="G34320" s="272" t="s">
        <v>1099</v>
      </c>
    </row>
    <row r="34321">
      <c r="B34321" s="31"/>
      <c r="G34321" s="272" t="s">
        <v>1099</v>
      </c>
    </row>
    <row r="34322">
      <c r="B34322" s="31"/>
      <c r="G34322" s="272" t="s">
        <v>1099</v>
      </c>
    </row>
    <row r="34323">
      <c r="B34323" s="31"/>
      <c r="G34323" s="272" t="s">
        <v>1099</v>
      </c>
    </row>
    <row r="34324">
      <c r="B34324" s="31"/>
      <c r="G34324" s="272" t="s">
        <v>1099</v>
      </c>
    </row>
    <row r="34325">
      <c r="B34325" s="31"/>
      <c r="G34325" s="272" t="s">
        <v>1099</v>
      </c>
    </row>
    <row r="34326">
      <c r="B34326" s="31"/>
      <c r="G34326" s="272" t="s">
        <v>1099</v>
      </c>
    </row>
    <row r="34327">
      <c r="B34327" s="31"/>
      <c r="G34327" s="272" t="s">
        <v>1099</v>
      </c>
    </row>
    <row r="34328">
      <c r="B34328" s="31"/>
      <c r="G34328" s="272" t="s">
        <v>1099</v>
      </c>
    </row>
    <row r="34329">
      <c r="B34329" s="31"/>
      <c r="G34329" s="272" t="s">
        <v>1099</v>
      </c>
    </row>
    <row r="34330">
      <c r="B34330" s="31"/>
      <c r="G34330" s="272" t="s">
        <v>1099</v>
      </c>
    </row>
    <row r="34331">
      <c r="B34331" s="31"/>
      <c r="G34331" s="272" t="s">
        <v>1099</v>
      </c>
    </row>
    <row r="34332">
      <c r="B34332" s="31"/>
      <c r="G34332" s="272" t="s">
        <v>1099</v>
      </c>
    </row>
    <row r="34333">
      <c r="B34333" s="31"/>
      <c r="G34333" s="272" t="s">
        <v>1099</v>
      </c>
    </row>
    <row r="34334">
      <c r="B34334" s="31"/>
      <c r="G34334" s="272" t="s">
        <v>1099</v>
      </c>
    </row>
    <row r="34335">
      <c r="B34335" s="31"/>
      <c r="G34335" s="272" t="s">
        <v>1099</v>
      </c>
    </row>
    <row r="34336">
      <c r="B34336" s="31"/>
      <c r="G34336" s="272" t="s">
        <v>1099</v>
      </c>
    </row>
    <row r="34337">
      <c r="B34337" s="31"/>
      <c r="G34337" s="272" t="s">
        <v>1099</v>
      </c>
    </row>
    <row r="34338">
      <c r="B34338" s="31"/>
      <c r="G34338" s="272" t="s">
        <v>1099</v>
      </c>
    </row>
    <row r="34339">
      <c r="B34339" s="31"/>
      <c r="G34339" s="272" t="s">
        <v>1099</v>
      </c>
    </row>
    <row r="34340">
      <c r="B34340" s="31"/>
      <c r="G34340" s="272" t="s">
        <v>1099</v>
      </c>
    </row>
    <row r="34341">
      <c r="B34341" s="31"/>
      <c r="G34341" s="272" t="s">
        <v>1099</v>
      </c>
    </row>
    <row r="34342">
      <c r="B34342" s="31"/>
      <c r="G34342" s="272" t="s">
        <v>1099</v>
      </c>
    </row>
    <row r="34343">
      <c r="B34343" s="31"/>
      <c r="G34343" s="272" t="s">
        <v>1099</v>
      </c>
    </row>
    <row r="34344">
      <c r="B34344" s="31"/>
      <c r="G34344" s="272" t="s">
        <v>1099</v>
      </c>
    </row>
    <row r="34345">
      <c r="B34345" s="31"/>
      <c r="G34345" s="272" t="s">
        <v>1099</v>
      </c>
    </row>
    <row r="34346">
      <c r="B34346" s="31"/>
      <c r="G34346" s="272" t="s">
        <v>1099</v>
      </c>
    </row>
    <row r="34347">
      <c r="B34347" s="31"/>
      <c r="G34347" s="272" t="s">
        <v>1099</v>
      </c>
    </row>
    <row r="34348">
      <c r="B34348" s="31"/>
      <c r="G34348" s="272" t="s">
        <v>1099</v>
      </c>
    </row>
    <row r="34349">
      <c r="B34349" s="31"/>
      <c r="G34349" s="272" t="s">
        <v>1099</v>
      </c>
    </row>
    <row r="34350">
      <c r="B34350" s="31"/>
      <c r="G34350" s="272" t="s">
        <v>1099</v>
      </c>
    </row>
    <row r="34351">
      <c r="B34351" s="31"/>
      <c r="G34351" s="272" t="s">
        <v>1099</v>
      </c>
    </row>
    <row r="34352">
      <c r="B34352" s="31"/>
      <c r="G34352" s="272" t="s">
        <v>1099</v>
      </c>
    </row>
    <row r="34353">
      <c r="B34353" s="31"/>
      <c r="G34353" s="272" t="s">
        <v>1099</v>
      </c>
    </row>
    <row r="34354">
      <c r="B34354" s="31"/>
      <c r="G34354" s="272" t="s">
        <v>1099</v>
      </c>
    </row>
    <row r="34355">
      <c r="B34355" s="31"/>
      <c r="G34355" s="272" t="s">
        <v>1099</v>
      </c>
    </row>
    <row r="34356">
      <c r="B34356" s="31"/>
      <c r="G34356" s="272" t="s">
        <v>1099</v>
      </c>
    </row>
    <row r="34357">
      <c r="B34357" s="31"/>
      <c r="G34357" s="272" t="s">
        <v>1099</v>
      </c>
    </row>
    <row r="34358">
      <c r="B34358" s="31"/>
      <c r="G34358" s="272" t="s">
        <v>1099</v>
      </c>
    </row>
    <row r="34359">
      <c r="B34359" s="31"/>
      <c r="G34359" s="272" t="s">
        <v>1099</v>
      </c>
    </row>
    <row r="34360">
      <c r="B34360" s="31"/>
      <c r="G34360" s="272" t="s">
        <v>1099</v>
      </c>
    </row>
    <row r="34361">
      <c r="B34361" s="31"/>
      <c r="G34361" s="272" t="s">
        <v>1099</v>
      </c>
    </row>
    <row r="34362">
      <c r="B34362" s="31"/>
      <c r="G34362" s="272" t="s">
        <v>1099</v>
      </c>
    </row>
    <row r="34363">
      <c r="B34363" s="31"/>
      <c r="G34363" s="272" t="s">
        <v>1099</v>
      </c>
    </row>
    <row r="34364">
      <c r="B34364" s="31"/>
      <c r="G34364" s="272" t="s">
        <v>1099</v>
      </c>
    </row>
    <row r="34365">
      <c r="B34365" s="31"/>
      <c r="G34365" s="272" t="s">
        <v>1099</v>
      </c>
    </row>
    <row r="34366">
      <c r="B34366" s="31"/>
      <c r="G34366" s="272" t="s">
        <v>1099</v>
      </c>
    </row>
    <row r="34367">
      <c r="B34367" s="31"/>
      <c r="G34367" s="272" t="s">
        <v>1099</v>
      </c>
    </row>
    <row r="34368">
      <c r="B34368" s="31"/>
      <c r="G34368" s="272" t="s">
        <v>1099</v>
      </c>
    </row>
    <row r="34369">
      <c r="B34369" s="31"/>
      <c r="G34369" s="272" t="s">
        <v>1099</v>
      </c>
    </row>
    <row r="34370">
      <c r="B34370" s="31"/>
      <c r="G34370" s="272" t="s">
        <v>1099</v>
      </c>
    </row>
    <row r="34371">
      <c r="B34371" s="31"/>
      <c r="G34371" s="272" t="s">
        <v>1099</v>
      </c>
    </row>
    <row r="34372">
      <c r="B34372" s="31"/>
      <c r="G34372" s="272" t="s">
        <v>1099</v>
      </c>
    </row>
    <row r="34373">
      <c r="B34373" s="31"/>
      <c r="G34373" s="272" t="s">
        <v>1099</v>
      </c>
    </row>
    <row r="34374">
      <c r="B34374" s="31"/>
      <c r="G34374" s="272" t="s">
        <v>1099</v>
      </c>
    </row>
    <row r="34375">
      <c r="B34375" s="31"/>
      <c r="G34375" s="272" t="s">
        <v>1099</v>
      </c>
    </row>
    <row r="34376">
      <c r="B34376" s="31"/>
      <c r="G34376" s="272" t="s">
        <v>1099</v>
      </c>
    </row>
    <row r="34377">
      <c r="B34377" s="31"/>
      <c r="G34377" s="272" t="s">
        <v>1099</v>
      </c>
    </row>
    <row r="34378">
      <c r="B34378" s="31"/>
      <c r="G34378" s="272" t="s">
        <v>1099</v>
      </c>
    </row>
    <row r="34379">
      <c r="B34379" s="31"/>
      <c r="G34379" s="272" t="s">
        <v>1099</v>
      </c>
    </row>
    <row r="34380">
      <c r="B34380" s="31"/>
      <c r="G34380" s="272" t="s">
        <v>1099</v>
      </c>
    </row>
    <row r="34381">
      <c r="B34381" s="31"/>
      <c r="G34381" s="272" t="s">
        <v>1099</v>
      </c>
    </row>
    <row r="34382">
      <c r="B34382" s="31"/>
      <c r="G34382" s="272" t="s">
        <v>1099</v>
      </c>
    </row>
    <row r="34383">
      <c r="B34383" s="31"/>
      <c r="G34383" s="272" t="s">
        <v>1099</v>
      </c>
    </row>
    <row r="34384">
      <c r="B34384" s="31"/>
      <c r="G34384" s="272" t="s">
        <v>1099</v>
      </c>
    </row>
    <row r="34385">
      <c r="B34385" s="31"/>
      <c r="G34385" s="272" t="s">
        <v>1099</v>
      </c>
    </row>
    <row r="34386">
      <c r="B34386" s="31"/>
      <c r="G34386" s="272" t="s">
        <v>1099</v>
      </c>
    </row>
    <row r="34387">
      <c r="B34387" s="31"/>
      <c r="G34387" s="272" t="s">
        <v>1099</v>
      </c>
    </row>
    <row r="34388">
      <c r="B34388" s="31"/>
      <c r="G34388" s="272" t="s">
        <v>1099</v>
      </c>
    </row>
    <row r="34389">
      <c r="B34389" s="31"/>
      <c r="G34389" s="272" t="s">
        <v>1099</v>
      </c>
    </row>
    <row r="34390">
      <c r="B34390" s="31"/>
      <c r="G34390" s="272" t="s">
        <v>1099</v>
      </c>
    </row>
    <row r="34391">
      <c r="B34391" s="31"/>
      <c r="G34391" s="272" t="s">
        <v>1099</v>
      </c>
    </row>
    <row r="34392">
      <c r="B34392" s="31"/>
      <c r="G34392" s="272" t="s">
        <v>1099</v>
      </c>
    </row>
    <row r="34393">
      <c r="B34393" s="31"/>
      <c r="G34393" s="272" t="s">
        <v>1099</v>
      </c>
    </row>
    <row r="34394">
      <c r="B34394" s="31"/>
      <c r="G34394" s="272" t="s">
        <v>1099</v>
      </c>
    </row>
    <row r="34395">
      <c r="B34395" s="31"/>
      <c r="G34395" s="272" t="s">
        <v>1099</v>
      </c>
    </row>
    <row r="34396">
      <c r="B34396" s="31"/>
      <c r="G34396" s="272" t="s">
        <v>1099</v>
      </c>
    </row>
    <row r="34397">
      <c r="B34397" s="31"/>
      <c r="G34397" s="272" t="s">
        <v>1099</v>
      </c>
    </row>
    <row r="34398">
      <c r="B34398" s="31"/>
      <c r="G34398" s="272" t="s">
        <v>1099</v>
      </c>
    </row>
    <row r="34399">
      <c r="B34399" s="31"/>
      <c r="G34399" s="272" t="s">
        <v>1099</v>
      </c>
    </row>
    <row r="34400">
      <c r="B34400" s="31"/>
      <c r="G34400" s="272" t="s">
        <v>1099</v>
      </c>
    </row>
    <row r="34401">
      <c r="B34401" s="31"/>
      <c r="G34401" s="272" t="s">
        <v>1099</v>
      </c>
    </row>
    <row r="34402">
      <c r="B34402" s="31"/>
      <c r="G34402" s="272" t="s">
        <v>1099</v>
      </c>
    </row>
    <row r="34403">
      <c r="B34403" s="31"/>
      <c r="G34403" s="272" t="s">
        <v>1099</v>
      </c>
    </row>
    <row r="34404">
      <c r="B34404" s="31"/>
      <c r="G34404" s="272" t="s">
        <v>1099</v>
      </c>
    </row>
    <row r="34405">
      <c r="B34405" s="31"/>
      <c r="G34405" s="272" t="s">
        <v>1099</v>
      </c>
    </row>
    <row r="34406">
      <c r="B34406" s="31"/>
      <c r="G34406" s="272" t="s">
        <v>1099</v>
      </c>
    </row>
    <row r="34407">
      <c r="B34407" s="31"/>
      <c r="G34407" s="272" t="s">
        <v>1099</v>
      </c>
    </row>
    <row r="34408">
      <c r="B34408" s="31"/>
      <c r="G34408" s="272" t="s">
        <v>1099</v>
      </c>
    </row>
    <row r="34409">
      <c r="B34409" s="31"/>
      <c r="G34409" s="272" t="s">
        <v>1099</v>
      </c>
    </row>
    <row r="34410">
      <c r="B34410" s="31"/>
      <c r="G34410" s="272" t="s">
        <v>1099</v>
      </c>
    </row>
    <row r="34411">
      <c r="B34411" s="31"/>
      <c r="G34411" s="272" t="s">
        <v>1099</v>
      </c>
    </row>
    <row r="34412">
      <c r="B34412" s="31"/>
      <c r="G34412" s="272" t="s">
        <v>1099</v>
      </c>
    </row>
    <row r="34413">
      <c r="B34413" s="31"/>
      <c r="G34413" s="272" t="s">
        <v>1099</v>
      </c>
    </row>
    <row r="34414">
      <c r="B34414" s="31"/>
      <c r="G34414" s="272" t="s">
        <v>1099</v>
      </c>
    </row>
    <row r="34415">
      <c r="B34415" s="31"/>
      <c r="G34415" s="272" t="s">
        <v>1099</v>
      </c>
    </row>
    <row r="34416">
      <c r="B34416" s="31"/>
      <c r="G34416" s="272" t="s">
        <v>1099</v>
      </c>
    </row>
    <row r="34417">
      <c r="B34417" s="31"/>
      <c r="G34417" s="272" t="s">
        <v>1099</v>
      </c>
    </row>
    <row r="34418">
      <c r="B34418" s="31"/>
      <c r="G34418" s="272" t="s">
        <v>1099</v>
      </c>
    </row>
    <row r="34419">
      <c r="B34419" s="31"/>
      <c r="G34419" s="272" t="s">
        <v>1099</v>
      </c>
    </row>
    <row r="34420">
      <c r="B34420" s="31"/>
      <c r="G34420" s="272" t="s">
        <v>1099</v>
      </c>
    </row>
    <row r="34421">
      <c r="B34421" s="31"/>
      <c r="G34421" s="272" t="s">
        <v>1099</v>
      </c>
    </row>
    <row r="34422">
      <c r="B34422" s="31"/>
      <c r="G34422" s="272" t="s">
        <v>1099</v>
      </c>
    </row>
    <row r="34423">
      <c r="B34423" s="31"/>
      <c r="G34423" s="272" t="s">
        <v>1099</v>
      </c>
    </row>
    <row r="34424">
      <c r="B34424" s="31"/>
      <c r="G34424" s="272" t="s">
        <v>1099</v>
      </c>
    </row>
    <row r="34425">
      <c r="B34425" s="31"/>
      <c r="G34425" s="272" t="s">
        <v>1099</v>
      </c>
    </row>
    <row r="34426">
      <c r="B34426" s="31"/>
      <c r="G34426" s="272" t="s">
        <v>1099</v>
      </c>
    </row>
    <row r="34427">
      <c r="B34427" s="31"/>
      <c r="G34427" s="272" t="s">
        <v>1099</v>
      </c>
    </row>
    <row r="34428">
      <c r="B34428" s="31"/>
      <c r="G34428" s="272" t="s">
        <v>1099</v>
      </c>
    </row>
    <row r="34429">
      <c r="B34429" s="31"/>
      <c r="G34429" s="272" t="s">
        <v>1099</v>
      </c>
    </row>
    <row r="34430">
      <c r="B34430" s="31"/>
      <c r="G34430" s="272" t="s">
        <v>1099</v>
      </c>
    </row>
    <row r="34431">
      <c r="B34431" s="31"/>
      <c r="G34431" s="272" t="s">
        <v>1099</v>
      </c>
    </row>
    <row r="34432">
      <c r="B34432" s="31"/>
      <c r="G34432" s="272" t="s">
        <v>1099</v>
      </c>
    </row>
    <row r="34433">
      <c r="B34433" s="31"/>
      <c r="G34433" s="272" t="s">
        <v>1099</v>
      </c>
    </row>
    <row r="34434">
      <c r="B34434" s="31"/>
      <c r="G34434" s="272" t="s">
        <v>1099</v>
      </c>
    </row>
    <row r="34435">
      <c r="B34435" s="31"/>
      <c r="G34435" s="272" t="s">
        <v>1099</v>
      </c>
    </row>
    <row r="34436">
      <c r="B34436" s="31"/>
      <c r="G34436" s="272" t="s">
        <v>1099</v>
      </c>
    </row>
    <row r="34437">
      <c r="B34437" s="31"/>
      <c r="G34437" s="272" t="s">
        <v>1099</v>
      </c>
    </row>
    <row r="34438">
      <c r="B34438" s="31"/>
      <c r="G34438" s="272" t="s">
        <v>1099</v>
      </c>
    </row>
    <row r="34439">
      <c r="B34439" s="31"/>
      <c r="G34439" s="272" t="s">
        <v>1099</v>
      </c>
    </row>
    <row r="34440">
      <c r="B34440" s="31"/>
      <c r="G34440" s="272" t="s">
        <v>1099</v>
      </c>
    </row>
    <row r="34441">
      <c r="B34441" s="31"/>
      <c r="G34441" s="272" t="s">
        <v>1099</v>
      </c>
    </row>
    <row r="34442">
      <c r="B34442" s="31"/>
      <c r="G34442" s="272" t="s">
        <v>1099</v>
      </c>
    </row>
    <row r="34443">
      <c r="B34443" s="31"/>
      <c r="G34443" s="272" t="s">
        <v>1099</v>
      </c>
    </row>
    <row r="34444">
      <c r="B34444" s="31"/>
      <c r="G34444" s="272" t="s">
        <v>1099</v>
      </c>
    </row>
    <row r="34445">
      <c r="B34445" s="31"/>
      <c r="G34445" s="272" t="s">
        <v>1099</v>
      </c>
    </row>
    <row r="34446">
      <c r="B34446" s="31"/>
      <c r="G34446" s="272" t="s">
        <v>1099</v>
      </c>
    </row>
    <row r="34447">
      <c r="B34447" s="31"/>
      <c r="G34447" s="272" t="s">
        <v>1099</v>
      </c>
    </row>
    <row r="34448">
      <c r="B34448" s="31"/>
      <c r="G34448" s="272" t="s">
        <v>1099</v>
      </c>
    </row>
    <row r="34449">
      <c r="B34449" s="31"/>
      <c r="G34449" s="272" t="s">
        <v>1099</v>
      </c>
    </row>
    <row r="34450">
      <c r="B34450" s="31"/>
      <c r="G34450" s="272" t="s">
        <v>1099</v>
      </c>
    </row>
    <row r="34451">
      <c r="B34451" s="31"/>
      <c r="G34451" s="272" t="s">
        <v>1099</v>
      </c>
    </row>
    <row r="34452">
      <c r="B34452" s="31"/>
      <c r="G34452" s="272" t="s">
        <v>1099</v>
      </c>
    </row>
    <row r="34453">
      <c r="B34453" s="31"/>
      <c r="G34453" s="272" t="s">
        <v>1099</v>
      </c>
    </row>
    <row r="34454">
      <c r="B34454" s="31"/>
      <c r="G34454" s="272" t="s">
        <v>1099</v>
      </c>
    </row>
    <row r="34455">
      <c r="B34455" s="31"/>
      <c r="G34455" s="272" t="s">
        <v>1099</v>
      </c>
    </row>
    <row r="34456">
      <c r="B34456" s="31"/>
      <c r="G34456" s="272" t="s">
        <v>1099</v>
      </c>
    </row>
    <row r="34457">
      <c r="B34457" s="31"/>
      <c r="G34457" s="272" t="s">
        <v>1099</v>
      </c>
    </row>
    <row r="34458">
      <c r="B34458" s="31"/>
      <c r="G34458" s="272" t="s">
        <v>1099</v>
      </c>
    </row>
    <row r="34459">
      <c r="B34459" s="31"/>
      <c r="G34459" s="272" t="s">
        <v>1099</v>
      </c>
    </row>
    <row r="34460">
      <c r="B34460" s="31"/>
      <c r="G34460" s="272" t="s">
        <v>1099</v>
      </c>
    </row>
    <row r="34461">
      <c r="B34461" s="31"/>
      <c r="G34461" s="272" t="s">
        <v>1099</v>
      </c>
    </row>
    <row r="34462">
      <c r="B34462" s="31"/>
      <c r="G34462" s="272" t="s">
        <v>1099</v>
      </c>
    </row>
    <row r="34463">
      <c r="B34463" s="31"/>
      <c r="G34463" s="272" t="s">
        <v>1099</v>
      </c>
    </row>
    <row r="34464">
      <c r="B34464" s="31"/>
      <c r="G34464" s="272" t="s">
        <v>1099</v>
      </c>
    </row>
    <row r="34465">
      <c r="B34465" s="31"/>
      <c r="G34465" s="272" t="s">
        <v>1099</v>
      </c>
    </row>
    <row r="34466">
      <c r="B34466" s="31"/>
      <c r="G34466" s="272" t="s">
        <v>1099</v>
      </c>
    </row>
    <row r="34467">
      <c r="B34467" s="31"/>
      <c r="G34467" s="272" t="s">
        <v>1099</v>
      </c>
    </row>
    <row r="34468">
      <c r="B34468" s="31"/>
      <c r="G34468" s="272" t="s">
        <v>1099</v>
      </c>
    </row>
    <row r="34469">
      <c r="B34469" s="31"/>
      <c r="G34469" s="272" t="s">
        <v>1099</v>
      </c>
    </row>
    <row r="34470">
      <c r="B34470" s="31"/>
      <c r="G34470" s="272" t="s">
        <v>1099</v>
      </c>
    </row>
    <row r="34471">
      <c r="B34471" s="31"/>
      <c r="G34471" s="272" t="s">
        <v>1099</v>
      </c>
    </row>
    <row r="34472">
      <c r="B34472" s="31"/>
      <c r="G34472" s="272" t="s">
        <v>1099</v>
      </c>
    </row>
    <row r="34473">
      <c r="B34473" s="31"/>
      <c r="G34473" s="272" t="s">
        <v>1099</v>
      </c>
    </row>
    <row r="34474">
      <c r="B34474" s="31"/>
      <c r="G34474" s="272" t="s">
        <v>1099</v>
      </c>
    </row>
    <row r="34475">
      <c r="B34475" s="31"/>
      <c r="G34475" s="272" t="s">
        <v>1099</v>
      </c>
    </row>
    <row r="34476">
      <c r="B34476" s="31"/>
      <c r="G34476" s="272" t="s">
        <v>1099</v>
      </c>
    </row>
    <row r="34477">
      <c r="B34477" s="31"/>
      <c r="G34477" s="272" t="s">
        <v>1099</v>
      </c>
    </row>
    <row r="34478">
      <c r="B34478" s="31"/>
      <c r="G34478" s="272" t="s">
        <v>1099</v>
      </c>
    </row>
    <row r="34479">
      <c r="B34479" s="31"/>
      <c r="G34479" s="272" t="s">
        <v>1099</v>
      </c>
    </row>
    <row r="34480">
      <c r="B34480" s="31"/>
      <c r="G34480" s="272" t="s">
        <v>1099</v>
      </c>
    </row>
    <row r="34481">
      <c r="B34481" s="31"/>
      <c r="G34481" s="272" t="s">
        <v>1099</v>
      </c>
    </row>
    <row r="34482">
      <c r="B34482" s="31"/>
      <c r="G34482" s="272" t="s">
        <v>1099</v>
      </c>
    </row>
    <row r="34483">
      <c r="B34483" s="31"/>
      <c r="G34483" s="272" t="s">
        <v>1099</v>
      </c>
    </row>
    <row r="34484">
      <c r="B34484" s="31"/>
      <c r="G34484" s="272" t="s">
        <v>1099</v>
      </c>
    </row>
    <row r="34485">
      <c r="B34485" s="31"/>
      <c r="G34485" s="272" t="s">
        <v>1099</v>
      </c>
    </row>
    <row r="34486">
      <c r="B34486" s="31"/>
      <c r="G34486" s="272" t="s">
        <v>1099</v>
      </c>
    </row>
    <row r="34487">
      <c r="B34487" s="31"/>
      <c r="G34487" s="272" t="s">
        <v>1099</v>
      </c>
    </row>
    <row r="34488">
      <c r="B34488" s="31"/>
      <c r="G34488" s="272" t="s">
        <v>1099</v>
      </c>
    </row>
    <row r="34489">
      <c r="B34489" s="31"/>
      <c r="G34489" s="272" t="s">
        <v>1099</v>
      </c>
    </row>
    <row r="34490">
      <c r="B34490" s="31"/>
      <c r="G34490" s="272" t="s">
        <v>1099</v>
      </c>
    </row>
    <row r="34491">
      <c r="B34491" s="31"/>
      <c r="G34491" s="272" t="s">
        <v>1099</v>
      </c>
    </row>
    <row r="34492">
      <c r="B34492" s="31"/>
      <c r="G34492" s="272" t="s">
        <v>1099</v>
      </c>
    </row>
    <row r="34493">
      <c r="B34493" s="31"/>
      <c r="G34493" s="272" t="s">
        <v>1099</v>
      </c>
    </row>
    <row r="34494">
      <c r="B34494" s="31"/>
      <c r="G34494" s="272" t="s">
        <v>1099</v>
      </c>
    </row>
    <row r="34495">
      <c r="B34495" s="31"/>
      <c r="G34495" s="272" t="s">
        <v>1099</v>
      </c>
    </row>
    <row r="34496">
      <c r="B34496" s="31"/>
      <c r="G34496" s="272" t="s">
        <v>1099</v>
      </c>
    </row>
    <row r="34497">
      <c r="B34497" s="31"/>
      <c r="G34497" s="272" t="s">
        <v>1099</v>
      </c>
    </row>
    <row r="34498">
      <c r="B34498" s="31"/>
      <c r="G34498" s="272" t="s">
        <v>1099</v>
      </c>
    </row>
    <row r="34499">
      <c r="B34499" s="31"/>
      <c r="G34499" s="272" t="s">
        <v>1099</v>
      </c>
    </row>
    <row r="34500">
      <c r="B34500" s="31"/>
      <c r="G34500" s="272" t="s">
        <v>1099</v>
      </c>
    </row>
    <row r="34501">
      <c r="B34501" s="31"/>
      <c r="G34501" s="272" t="s">
        <v>1099</v>
      </c>
    </row>
    <row r="34502">
      <c r="B34502" s="31"/>
      <c r="G34502" s="272" t="s">
        <v>1099</v>
      </c>
    </row>
    <row r="34503">
      <c r="B34503" s="31"/>
      <c r="G34503" s="272" t="s">
        <v>1099</v>
      </c>
    </row>
    <row r="34504">
      <c r="B34504" s="31"/>
      <c r="G34504" s="272" t="s">
        <v>1099</v>
      </c>
    </row>
    <row r="34505">
      <c r="B34505" s="31"/>
      <c r="G34505" s="272" t="s">
        <v>1099</v>
      </c>
    </row>
    <row r="34506">
      <c r="B34506" s="31"/>
      <c r="G34506" s="272" t="s">
        <v>1099</v>
      </c>
    </row>
    <row r="34507">
      <c r="B34507" s="31"/>
      <c r="G34507" s="272" t="s">
        <v>1099</v>
      </c>
    </row>
    <row r="34508">
      <c r="B34508" s="31"/>
      <c r="G34508" s="272" t="s">
        <v>1099</v>
      </c>
    </row>
    <row r="34509">
      <c r="B34509" s="31"/>
      <c r="G34509" s="272" t="s">
        <v>1099</v>
      </c>
    </row>
    <row r="34510">
      <c r="B34510" s="31"/>
      <c r="G34510" s="272" t="s">
        <v>1099</v>
      </c>
    </row>
    <row r="34511">
      <c r="B34511" s="31"/>
      <c r="G34511" s="272" t="s">
        <v>1099</v>
      </c>
    </row>
    <row r="34512">
      <c r="B34512" s="31"/>
      <c r="G34512" s="272" t="s">
        <v>1099</v>
      </c>
    </row>
    <row r="34513">
      <c r="B34513" s="31"/>
      <c r="G34513" s="272" t="s">
        <v>1099</v>
      </c>
    </row>
    <row r="34514">
      <c r="B34514" s="31"/>
      <c r="G34514" s="272" t="s">
        <v>1099</v>
      </c>
    </row>
    <row r="34515">
      <c r="B34515" s="31"/>
      <c r="G34515" s="272" t="s">
        <v>1099</v>
      </c>
    </row>
    <row r="34516">
      <c r="B34516" s="31"/>
      <c r="G34516" s="272" t="s">
        <v>1099</v>
      </c>
    </row>
    <row r="34517">
      <c r="B34517" s="31"/>
      <c r="G34517" s="272" t="s">
        <v>1099</v>
      </c>
    </row>
    <row r="34518">
      <c r="B34518" s="31"/>
      <c r="G34518" s="272" t="s">
        <v>1099</v>
      </c>
    </row>
    <row r="34519">
      <c r="B34519" s="31"/>
      <c r="G34519" s="272" t="s">
        <v>1099</v>
      </c>
    </row>
    <row r="34520">
      <c r="B34520" s="31"/>
      <c r="G34520" s="272" t="s">
        <v>1099</v>
      </c>
    </row>
    <row r="34521">
      <c r="B34521" s="31"/>
      <c r="G34521" s="272" t="s">
        <v>1099</v>
      </c>
    </row>
    <row r="34522">
      <c r="B34522" s="31"/>
      <c r="G34522" s="272" t="s">
        <v>1099</v>
      </c>
    </row>
    <row r="34523">
      <c r="B34523" s="31"/>
      <c r="G34523" s="272" t="s">
        <v>1099</v>
      </c>
    </row>
    <row r="34524">
      <c r="B34524" s="31"/>
      <c r="G34524" s="272" t="s">
        <v>1099</v>
      </c>
    </row>
    <row r="34525">
      <c r="B34525" s="31"/>
      <c r="G34525" s="272" t="s">
        <v>1099</v>
      </c>
    </row>
    <row r="34526">
      <c r="B34526" s="31"/>
      <c r="G34526" s="272" t="s">
        <v>1099</v>
      </c>
    </row>
    <row r="34527">
      <c r="B34527" s="31"/>
      <c r="G34527" s="272" t="s">
        <v>1099</v>
      </c>
    </row>
    <row r="34528">
      <c r="B34528" s="31"/>
      <c r="G34528" s="272" t="s">
        <v>1099</v>
      </c>
    </row>
    <row r="34529">
      <c r="B34529" s="31"/>
      <c r="G34529" s="272" t="s">
        <v>1099</v>
      </c>
    </row>
    <row r="34530">
      <c r="B34530" s="31"/>
      <c r="G34530" s="272" t="s">
        <v>1099</v>
      </c>
    </row>
    <row r="34531">
      <c r="B34531" s="31"/>
      <c r="G34531" s="272" t="s">
        <v>1099</v>
      </c>
    </row>
    <row r="34532">
      <c r="B34532" s="31"/>
      <c r="G34532" s="272" t="s">
        <v>1099</v>
      </c>
    </row>
    <row r="34533">
      <c r="B34533" s="31"/>
      <c r="G34533" s="272" t="s">
        <v>1099</v>
      </c>
    </row>
    <row r="34534">
      <c r="B34534" s="31"/>
      <c r="G34534" s="272" t="s">
        <v>1099</v>
      </c>
    </row>
    <row r="34535">
      <c r="B34535" s="31"/>
      <c r="G34535" s="272" t="s">
        <v>1099</v>
      </c>
    </row>
    <row r="34536">
      <c r="B34536" s="31"/>
      <c r="G34536" s="272" t="s">
        <v>1099</v>
      </c>
    </row>
    <row r="34537">
      <c r="B34537" s="31"/>
      <c r="G34537" s="272" t="s">
        <v>1099</v>
      </c>
    </row>
    <row r="34538">
      <c r="B34538" s="31"/>
      <c r="G34538" s="272" t="s">
        <v>1099</v>
      </c>
    </row>
    <row r="34539">
      <c r="B34539" s="31"/>
      <c r="G34539" s="272" t="s">
        <v>1099</v>
      </c>
    </row>
    <row r="34540">
      <c r="B34540" s="31"/>
      <c r="G34540" s="272" t="s">
        <v>1099</v>
      </c>
    </row>
    <row r="34541">
      <c r="B34541" s="31"/>
      <c r="G34541" s="272" t="s">
        <v>1099</v>
      </c>
    </row>
    <row r="34542">
      <c r="B34542" s="31"/>
      <c r="G34542" s="272" t="s">
        <v>1099</v>
      </c>
    </row>
    <row r="34543">
      <c r="B34543" s="31"/>
      <c r="G34543" s="272" t="s">
        <v>1099</v>
      </c>
    </row>
    <row r="34544">
      <c r="B34544" s="31"/>
      <c r="G34544" s="272" t="s">
        <v>1099</v>
      </c>
    </row>
    <row r="34545">
      <c r="B34545" s="31"/>
      <c r="G34545" s="272" t="s">
        <v>1099</v>
      </c>
    </row>
    <row r="34546">
      <c r="B34546" s="31"/>
      <c r="G34546" s="272" t="s">
        <v>1099</v>
      </c>
    </row>
    <row r="34547">
      <c r="B34547" s="31"/>
      <c r="G34547" s="272" t="s">
        <v>1099</v>
      </c>
    </row>
    <row r="34548">
      <c r="B34548" s="31"/>
      <c r="G34548" s="272" t="s">
        <v>1099</v>
      </c>
    </row>
    <row r="34549">
      <c r="B34549" s="31"/>
      <c r="G34549" s="272" t="s">
        <v>1099</v>
      </c>
    </row>
    <row r="34550">
      <c r="B34550" s="31"/>
      <c r="G34550" s="272" t="s">
        <v>1099</v>
      </c>
    </row>
    <row r="34551">
      <c r="B34551" s="31"/>
      <c r="G34551" s="272" t="s">
        <v>1099</v>
      </c>
    </row>
    <row r="34552">
      <c r="B34552" s="31"/>
      <c r="G34552" s="272" t="s">
        <v>1099</v>
      </c>
    </row>
    <row r="34553">
      <c r="B34553" s="31"/>
      <c r="G34553" s="272" t="s">
        <v>1099</v>
      </c>
    </row>
    <row r="34554">
      <c r="B34554" s="31"/>
      <c r="G34554" s="272" t="s">
        <v>1099</v>
      </c>
    </row>
    <row r="34555">
      <c r="B34555" s="31"/>
      <c r="G34555" s="272" t="s">
        <v>1099</v>
      </c>
    </row>
    <row r="34556">
      <c r="B34556" s="31"/>
      <c r="G34556" s="272" t="s">
        <v>1099</v>
      </c>
    </row>
    <row r="34557">
      <c r="B34557" s="31"/>
      <c r="G34557" s="272" t="s">
        <v>1099</v>
      </c>
    </row>
    <row r="34558">
      <c r="B34558" s="31"/>
      <c r="G34558" s="272" t="s">
        <v>1099</v>
      </c>
    </row>
    <row r="34559">
      <c r="B34559" s="31"/>
      <c r="G34559" s="272" t="s">
        <v>1099</v>
      </c>
    </row>
    <row r="34560">
      <c r="B34560" s="31"/>
      <c r="G34560" s="272" t="s">
        <v>1099</v>
      </c>
    </row>
    <row r="34561">
      <c r="B34561" s="31"/>
      <c r="G34561" s="272" t="s">
        <v>1099</v>
      </c>
    </row>
    <row r="34562">
      <c r="B34562" s="31"/>
      <c r="G34562" s="272" t="s">
        <v>1099</v>
      </c>
    </row>
    <row r="34563">
      <c r="B34563" s="31"/>
      <c r="G34563" s="272" t="s">
        <v>1099</v>
      </c>
    </row>
    <row r="34564">
      <c r="B34564" s="31"/>
      <c r="G34564" s="272" t="s">
        <v>1099</v>
      </c>
    </row>
    <row r="34565">
      <c r="B34565" s="31"/>
      <c r="G34565" s="272" t="s">
        <v>1099</v>
      </c>
    </row>
    <row r="34566">
      <c r="B34566" s="31"/>
      <c r="G34566" s="272" t="s">
        <v>1099</v>
      </c>
    </row>
    <row r="34567">
      <c r="B34567" s="31"/>
      <c r="G34567" s="272" t="s">
        <v>1099</v>
      </c>
    </row>
    <row r="34568">
      <c r="B34568" s="31"/>
      <c r="G34568" s="272" t="s">
        <v>1099</v>
      </c>
    </row>
    <row r="34569">
      <c r="B34569" s="31"/>
      <c r="G34569" s="272" t="s">
        <v>1099</v>
      </c>
    </row>
    <row r="34570">
      <c r="B34570" s="31"/>
      <c r="G34570" s="272" t="s">
        <v>1099</v>
      </c>
    </row>
    <row r="34571">
      <c r="B34571" s="31"/>
      <c r="G34571" s="272" t="s">
        <v>1099</v>
      </c>
    </row>
    <row r="34572">
      <c r="B34572" s="31"/>
      <c r="G34572" s="272" t="s">
        <v>1099</v>
      </c>
    </row>
    <row r="34573">
      <c r="B34573" s="31"/>
      <c r="G34573" s="272" t="s">
        <v>1099</v>
      </c>
    </row>
    <row r="34574">
      <c r="B34574" s="31"/>
      <c r="G34574" s="272" t="s">
        <v>1099</v>
      </c>
    </row>
    <row r="34575">
      <c r="B34575" s="31"/>
      <c r="G34575" s="272" t="s">
        <v>1099</v>
      </c>
    </row>
    <row r="34576">
      <c r="B34576" s="31"/>
      <c r="G34576" s="272" t="s">
        <v>1099</v>
      </c>
    </row>
    <row r="34577">
      <c r="B34577" s="31"/>
      <c r="G34577" s="272" t="s">
        <v>1099</v>
      </c>
    </row>
    <row r="34578">
      <c r="B34578" s="31"/>
      <c r="G34578" s="272" t="s">
        <v>1099</v>
      </c>
    </row>
    <row r="34579">
      <c r="B34579" s="31"/>
      <c r="G34579" s="272" t="s">
        <v>1099</v>
      </c>
    </row>
    <row r="34580">
      <c r="B34580" s="31"/>
      <c r="G34580" s="272" t="s">
        <v>1099</v>
      </c>
    </row>
    <row r="34581">
      <c r="B34581" s="31"/>
      <c r="G34581" s="272" t="s">
        <v>1099</v>
      </c>
    </row>
    <row r="34582">
      <c r="B34582" s="31"/>
      <c r="G34582" s="272" t="s">
        <v>1099</v>
      </c>
    </row>
    <row r="34583">
      <c r="B34583" s="31"/>
      <c r="G34583" s="272" t="s">
        <v>1099</v>
      </c>
    </row>
    <row r="34584">
      <c r="B34584" s="31"/>
      <c r="G34584" s="272" t="s">
        <v>1099</v>
      </c>
    </row>
    <row r="34585">
      <c r="B34585" s="31"/>
      <c r="G34585" s="272" t="s">
        <v>1099</v>
      </c>
    </row>
    <row r="34586">
      <c r="B34586" s="31"/>
      <c r="G34586" s="272" t="s">
        <v>1099</v>
      </c>
    </row>
    <row r="34587">
      <c r="B34587" s="31"/>
      <c r="G34587" s="272" t="s">
        <v>1099</v>
      </c>
    </row>
    <row r="34588">
      <c r="B34588" s="31"/>
      <c r="G34588" s="272" t="s">
        <v>1099</v>
      </c>
    </row>
    <row r="34589">
      <c r="B34589" s="31"/>
      <c r="G34589" s="272" t="s">
        <v>1099</v>
      </c>
    </row>
    <row r="34590">
      <c r="B34590" s="31"/>
      <c r="G34590" s="272" t="s">
        <v>1099</v>
      </c>
    </row>
    <row r="34591">
      <c r="B34591" s="31"/>
      <c r="G34591" s="272" t="s">
        <v>1099</v>
      </c>
    </row>
    <row r="34592">
      <c r="B34592" s="31"/>
      <c r="G34592" s="272" t="s">
        <v>1099</v>
      </c>
    </row>
    <row r="34593">
      <c r="B34593" s="31"/>
      <c r="G34593" s="272" t="s">
        <v>1099</v>
      </c>
    </row>
    <row r="34594">
      <c r="B34594" s="31"/>
      <c r="G34594" s="272" t="s">
        <v>1099</v>
      </c>
    </row>
    <row r="34595">
      <c r="B34595" s="31"/>
      <c r="G34595" s="272" t="s">
        <v>1099</v>
      </c>
    </row>
    <row r="34596">
      <c r="B34596" s="31"/>
      <c r="G34596" s="272" t="s">
        <v>1099</v>
      </c>
    </row>
    <row r="34597">
      <c r="B34597" s="31"/>
      <c r="G34597" s="272" t="s">
        <v>1099</v>
      </c>
    </row>
    <row r="34598">
      <c r="B34598" s="31"/>
      <c r="G34598" s="272" t="s">
        <v>1099</v>
      </c>
    </row>
    <row r="34599">
      <c r="B34599" s="31"/>
      <c r="G34599" s="272" t="s">
        <v>1099</v>
      </c>
    </row>
    <row r="34600">
      <c r="B34600" s="31"/>
      <c r="G34600" s="272" t="s">
        <v>1099</v>
      </c>
    </row>
    <row r="34601">
      <c r="B34601" s="31"/>
      <c r="G34601" s="272" t="s">
        <v>1099</v>
      </c>
    </row>
    <row r="34602">
      <c r="B34602" s="31"/>
      <c r="G34602" s="272" t="s">
        <v>1099</v>
      </c>
    </row>
    <row r="34603">
      <c r="B34603" s="31"/>
      <c r="G34603" s="272" t="s">
        <v>1099</v>
      </c>
    </row>
    <row r="34604">
      <c r="B34604" s="31"/>
      <c r="G34604" s="272" t="s">
        <v>1099</v>
      </c>
    </row>
    <row r="34605">
      <c r="B34605" s="31"/>
      <c r="G34605" s="272" t="s">
        <v>1099</v>
      </c>
    </row>
    <row r="34606">
      <c r="B34606" s="31"/>
      <c r="G34606" s="272" t="s">
        <v>1099</v>
      </c>
    </row>
    <row r="34607">
      <c r="B34607" s="31"/>
      <c r="G34607" s="272" t="s">
        <v>1099</v>
      </c>
    </row>
    <row r="34608">
      <c r="B34608" s="31"/>
      <c r="G34608" s="272" t="s">
        <v>1099</v>
      </c>
    </row>
    <row r="34609">
      <c r="B34609" s="31"/>
      <c r="G34609" s="272" t="s">
        <v>1099</v>
      </c>
    </row>
    <row r="34610">
      <c r="B34610" s="31"/>
      <c r="G34610" s="272" t="s">
        <v>1099</v>
      </c>
    </row>
    <row r="34611">
      <c r="B34611" s="31"/>
      <c r="G34611" s="272" t="s">
        <v>1099</v>
      </c>
    </row>
    <row r="34612">
      <c r="B34612" s="31"/>
      <c r="G34612" s="272" t="s">
        <v>1099</v>
      </c>
    </row>
    <row r="34613">
      <c r="B34613" s="31"/>
      <c r="G34613" s="272" t="s">
        <v>1099</v>
      </c>
    </row>
    <row r="34614">
      <c r="B34614" s="31"/>
      <c r="G34614" s="272" t="s">
        <v>1099</v>
      </c>
    </row>
    <row r="34615">
      <c r="B34615" s="31"/>
      <c r="G34615" s="272" t="s">
        <v>1099</v>
      </c>
    </row>
    <row r="34616">
      <c r="B34616" s="31"/>
      <c r="G34616" s="272" t="s">
        <v>1099</v>
      </c>
    </row>
    <row r="34617">
      <c r="B34617" s="31"/>
      <c r="G34617" s="272" t="s">
        <v>1099</v>
      </c>
    </row>
    <row r="34618">
      <c r="B34618" s="31"/>
      <c r="G34618" s="272" t="s">
        <v>1099</v>
      </c>
    </row>
    <row r="34619">
      <c r="B34619" s="31"/>
      <c r="G34619" s="272" t="s">
        <v>1099</v>
      </c>
    </row>
    <row r="34620">
      <c r="B34620" s="31"/>
      <c r="G34620" s="272" t="s">
        <v>1099</v>
      </c>
    </row>
    <row r="34621">
      <c r="B34621" s="31"/>
      <c r="G34621" s="272" t="s">
        <v>1099</v>
      </c>
    </row>
    <row r="34622">
      <c r="B34622" s="31"/>
      <c r="G34622" s="272" t="s">
        <v>1099</v>
      </c>
    </row>
    <row r="34623">
      <c r="B34623" s="31"/>
      <c r="G34623" s="272" t="s">
        <v>1099</v>
      </c>
    </row>
    <row r="34624">
      <c r="B34624" s="31"/>
      <c r="G34624" s="272" t="s">
        <v>1099</v>
      </c>
    </row>
    <row r="34625">
      <c r="B34625" s="31"/>
      <c r="G34625" s="272" t="s">
        <v>1099</v>
      </c>
    </row>
    <row r="34626">
      <c r="B34626" s="31"/>
      <c r="G34626" s="272" t="s">
        <v>1099</v>
      </c>
    </row>
    <row r="34627">
      <c r="B34627" s="31"/>
      <c r="G34627" s="272" t="s">
        <v>1099</v>
      </c>
    </row>
    <row r="34628">
      <c r="B34628" s="31"/>
      <c r="G34628" s="272" t="s">
        <v>1099</v>
      </c>
    </row>
    <row r="34629">
      <c r="B34629" s="31"/>
      <c r="G34629" s="272" t="s">
        <v>1099</v>
      </c>
    </row>
    <row r="34630">
      <c r="B34630" s="31"/>
      <c r="G34630" s="272" t="s">
        <v>1099</v>
      </c>
    </row>
    <row r="34631">
      <c r="B34631" s="31"/>
      <c r="G34631" s="272" t="s">
        <v>1099</v>
      </c>
    </row>
    <row r="34632">
      <c r="B34632" s="31"/>
      <c r="G34632" s="272" t="s">
        <v>1099</v>
      </c>
    </row>
    <row r="34633">
      <c r="B34633" s="31"/>
      <c r="G34633" s="272" t="s">
        <v>1099</v>
      </c>
    </row>
    <row r="34634">
      <c r="B34634" s="31"/>
      <c r="G34634" s="272" t="s">
        <v>1099</v>
      </c>
    </row>
    <row r="34635">
      <c r="B34635" s="31"/>
      <c r="G34635" s="272" t="s">
        <v>1099</v>
      </c>
    </row>
    <row r="34636">
      <c r="B34636" s="31"/>
      <c r="G34636" s="272" t="s">
        <v>1099</v>
      </c>
    </row>
    <row r="34637">
      <c r="B34637" s="31"/>
      <c r="G34637" s="272" t="s">
        <v>1099</v>
      </c>
    </row>
    <row r="34638">
      <c r="B34638" s="31"/>
      <c r="G34638" s="272" t="s">
        <v>1099</v>
      </c>
    </row>
    <row r="34639">
      <c r="B34639" s="31"/>
      <c r="G34639" s="272" t="s">
        <v>1099</v>
      </c>
    </row>
    <row r="34640">
      <c r="B34640" s="31"/>
      <c r="G34640" s="272" t="s">
        <v>1099</v>
      </c>
    </row>
    <row r="34641">
      <c r="B34641" s="31"/>
      <c r="G34641" s="272" t="s">
        <v>1099</v>
      </c>
    </row>
    <row r="34642">
      <c r="B34642" s="31"/>
      <c r="G34642" s="272" t="s">
        <v>1099</v>
      </c>
    </row>
    <row r="34643">
      <c r="B34643" s="31"/>
      <c r="G34643" s="272" t="s">
        <v>1099</v>
      </c>
    </row>
    <row r="34644">
      <c r="B34644" s="31"/>
      <c r="G34644" s="272" t="s">
        <v>1099</v>
      </c>
    </row>
    <row r="34645">
      <c r="B34645" s="31"/>
      <c r="G34645" s="272" t="s">
        <v>1099</v>
      </c>
    </row>
    <row r="34646">
      <c r="B34646" s="31"/>
      <c r="G34646" s="272" t="s">
        <v>1099</v>
      </c>
    </row>
    <row r="34647">
      <c r="B34647" s="31"/>
      <c r="G34647" s="272" t="s">
        <v>1099</v>
      </c>
    </row>
    <row r="34648">
      <c r="B34648" s="31"/>
      <c r="G34648" s="272" t="s">
        <v>1099</v>
      </c>
    </row>
    <row r="34649">
      <c r="B34649" s="31"/>
      <c r="G34649" s="272" t="s">
        <v>1099</v>
      </c>
    </row>
    <row r="34650">
      <c r="B34650" s="31"/>
      <c r="G34650" s="272" t="s">
        <v>1099</v>
      </c>
    </row>
    <row r="34651">
      <c r="B34651" s="31"/>
      <c r="G34651" s="272" t="s">
        <v>1099</v>
      </c>
    </row>
    <row r="34652">
      <c r="B34652" s="31"/>
      <c r="G34652" s="272" t="s">
        <v>1099</v>
      </c>
    </row>
    <row r="34653">
      <c r="B34653" s="31"/>
      <c r="G34653" s="272" t="s">
        <v>1099</v>
      </c>
    </row>
    <row r="34654">
      <c r="B34654" s="31"/>
      <c r="G34654" s="272" t="s">
        <v>1099</v>
      </c>
    </row>
    <row r="34655">
      <c r="B34655" s="31"/>
      <c r="G34655" s="272" t="s">
        <v>1099</v>
      </c>
    </row>
    <row r="34656">
      <c r="B34656" s="31"/>
      <c r="G34656" s="272" t="s">
        <v>1099</v>
      </c>
    </row>
    <row r="34657">
      <c r="B34657" s="31"/>
      <c r="G34657" s="272" t="s">
        <v>1099</v>
      </c>
    </row>
    <row r="34658">
      <c r="B34658" s="31"/>
      <c r="G34658" s="272" t="s">
        <v>1099</v>
      </c>
    </row>
    <row r="34659">
      <c r="B34659" s="31"/>
      <c r="G34659" s="272" t="s">
        <v>1099</v>
      </c>
    </row>
    <row r="34660">
      <c r="B34660" s="31"/>
      <c r="G34660" s="272" t="s">
        <v>1099</v>
      </c>
    </row>
    <row r="34661">
      <c r="B34661" s="31"/>
      <c r="G34661" s="272" t="s">
        <v>1099</v>
      </c>
    </row>
    <row r="34662">
      <c r="B34662" s="31"/>
      <c r="G34662" s="272" t="s">
        <v>1099</v>
      </c>
    </row>
    <row r="34663">
      <c r="B34663" s="31"/>
      <c r="G34663" s="272" t="s">
        <v>1099</v>
      </c>
    </row>
    <row r="34664">
      <c r="B34664" s="31"/>
      <c r="G34664" s="272" t="s">
        <v>1099</v>
      </c>
    </row>
    <row r="34665">
      <c r="B34665" s="31"/>
      <c r="G34665" s="272" t="s">
        <v>1099</v>
      </c>
    </row>
    <row r="34666">
      <c r="B34666" s="31"/>
      <c r="G34666" s="272" t="s">
        <v>1099</v>
      </c>
    </row>
    <row r="34667">
      <c r="B34667" s="31"/>
      <c r="G34667" s="272" t="s">
        <v>1099</v>
      </c>
    </row>
    <row r="34668">
      <c r="B34668" s="31"/>
      <c r="G34668" s="272" t="s">
        <v>1099</v>
      </c>
    </row>
    <row r="34669">
      <c r="B34669" s="31"/>
      <c r="G34669" s="272" t="s">
        <v>1099</v>
      </c>
    </row>
    <row r="34670">
      <c r="B34670" s="31"/>
      <c r="G34670" s="272" t="s">
        <v>1099</v>
      </c>
    </row>
    <row r="34671">
      <c r="B34671" s="31"/>
      <c r="G34671" s="272" t="s">
        <v>1099</v>
      </c>
    </row>
    <row r="34672">
      <c r="B34672" s="31"/>
      <c r="G34672" s="272" t="s">
        <v>1099</v>
      </c>
    </row>
    <row r="34673">
      <c r="B34673" s="31"/>
      <c r="G34673" s="272" t="s">
        <v>1099</v>
      </c>
    </row>
    <row r="34674">
      <c r="B34674" s="31"/>
      <c r="G34674" s="272" t="s">
        <v>1099</v>
      </c>
    </row>
    <row r="34675">
      <c r="B34675" s="31"/>
      <c r="G34675" s="272" t="s">
        <v>1099</v>
      </c>
    </row>
    <row r="34676">
      <c r="B34676" s="31"/>
      <c r="G34676" s="272" t="s">
        <v>1099</v>
      </c>
    </row>
    <row r="34677">
      <c r="B34677" s="31"/>
      <c r="G34677" s="272" t="s">
        <v>1099</v>
      </c>
    </row>
    <row r="34678">
      <c r="B34678" s="31"/>
      <c r="G34678" s="272" t="s">
        <v>1099</v>
      </c>
    </row>
    <row r="34679">
      <c r="B34679" s="31"/>
      <c r="G34679" s="272" t="s">
        <v>1099</v>
      </c>
    </row>
    <row r="34680">
      <c r="B34680" s="31"/>
      <c r="G34680" s="272" t="s">
        <v>1099</v>
      </c>
    </row>
    <row r="34681">
      <c r="B34681" s="31"/>
      <c r="G34681" s="272" t="s">
        <v>1099</v>
      </c>
    </row>
    <row r="34682">
      <c r="B34682" s="31"/>
      <c r="G34682" s="272" t="s">
        <v>1099</v>
      </c>
    </row>
    <row r="34683">
      <c r="B34683" s="31"/>
      <c r="G34683" s="272" t="s">
        <v>1099</v>
      </c>
    </row>
    <row r="34684">
      <c r="B34684" s="31"/>
      <c r="G34684" s="272" t="s">
        <v>1099</v>
      </c>
    </row>
    <row r="34685">
      <c r="B34685" s="31"/>
      <c r="G34685" s="272" t="s">
        <v>1099</v>
      </c>
    </row>
    <row r="34686">
      <c r="B34686" s="31"/>
      <c r="G34686" s="272" t="s">
        <v>1099</v>
      </c>
    </row>
    <row r="34687">
      <c r="B34687" s="31"/>
      <c r="G34687" s="272" t="s">
        <v>1099</v>
      </c>
    </row>
    <row r="34688">
      <c r="B34688" s="31"/>
      <c r="G34688" s="272" t="s">
        <v>1099</v>
      </c>
    </row>
    <row r="34689">
      <c r="B34689" s="31"/>
      <c r="G34689" s="272" t="s">
        <v>1099</v>
      </c>
    </row>
    <row r="34690">
      <c r="B34690" s="31"/>
      <c r="G34690" s="272" t="s">
        <v>1099</v>
      </c>
    </row>
    <row r="34691">
      <c r="B34691" s="31"/>
      <c r="G34691" s="272" t="s">
        <v>1099</v>
      </c>
    </row>
    <row r="34692">
      <c r="B34692" s="31"/>
      <c r="G34692" s="272" t="s">
        <v>1099</v>
      </c>
    </row>
    <row r="34693">
      <c r="B34693" s="31"/>
      <c r="G34693" s="272" t="s">
        <v>1099</v>
      </c>
    </row>
    <row r="34694">
      <c r="B34694" s="31"/>
      <c r="G34694" s="272" t="s">
        <v>1099</v>
      </c>
    </row>
    <row r="34695">
      <c r="B34695" s="31"/>
      <c r="G34695" s="272" t="s">
        <v>1099</v>
      </c>
    </row>
    <row r="34696">
      <c r="B34696" s="31"/>
      <c r="G34696" s="272" t="s">
        <v>1099</v>
      </c>
    </row>
    <row r="34697">
      <c r="B34697" s="31"/>
      <c r="G34697" s="272" t="s">
        <v>1099</v>
      </c>
    </row>
    <row r="34698">
      <c r="B34698" s="31"/>
      <c r="G34698" s="272" t="s">
        <v>1099</v>
      </c>
    </row>
    <row r="34699">
      <c r="B34699" s="31"/>
      <c r="G34699" s="272" t="s">
        <v>1099</v>
      </c>
    </row>
    <row r="34700">
      <c r="B34700" s="31"/>
      <c r="G34700" s="272" t="s">
        <v>1099</v>
      </c>
    </row>
    <row r="34701">
      <c r="B34701" s="31"/>
      <c r="G34701" s="272" t="s">
        <v>1099</v>
      </c>
    </row>
    <row r="34702">
      <c r="B34702" s="31"/>
      <c r="G34702" s="272" t="s">
        <v>1099</v>
      </c>
    </row>
    <row r="34703">
      <c r="B34703" s="31"/>
      <c r="G34703" s="272" t="s">
        <v>1099</v>
      </c>
    </row>
    <row r="34704">
      <c r="B34704" s="31"/>
      <c r="G34704" s="272" t="s">
        <v>1099</v>
      </c>
    </row>
    <row r="34705">
      <c r="B34705" s="31"/>
      <c r="G34705" s="272" t="s">
        <v>1099</v>
      </c>
    </row>
    <row r="34706">
      <c r="B34706" s="31"/>
      <c r="G34706" s="272" t="s">
        <v>1099</v>
      </c>
    </row>
    <row r="34707">
      <c r="B34707" s="31"/>
      <c r="G34707" s="272" t="s">
        <v>1099</v>
      </c>
    </row>
    <row r="34708">
      <c r="B34708" s="31"/>
      <c r="G34708" s="272" t="s">
        <v>1099</v>
      </c>
    </row>
    <row r="34709">
      <c r="B34709" s="31"/>
      <c r="G34709" s="272" t="s">
        <v>1099</v>
      </c>
    </row>
    <row r="34710">
      <c r="B34710" s="31"/>
      <c r="G34710" s="272" t="s">
        <v>1099</v>
      </c>
    </row>
    <row r="34711">
      <c r="B34711" s="31"/>
      <c r="G34711" s="272" t="s">
        <v>1099</v>
      </c>
    </row>
    <row r="34712">
      <c r="B34712" s="31"/>
      <c r="G34712" s="272" t="s">
        <v>1099</v>
      </c>
    </row>
    <row r="34713">
      <c r="B34713" s="31"/>
      <c r="G34713" s="272" t="s">
        <v>1099</v>
      </c>
    </row>
    <row r="34714">
      <c r="B34714" s="31"/>
      <c r="G34714" s="272" t="s">
        <v>1099</v>
      </c>
    </row>
    <row r="34715">
      <c r="B34715" s="31"/>
      <c r="G34715" s="272" t="s">
        <v>1099</v>
      </c>
    </row>
    <row r="34716">
      <c r="B34716" s="31"/>
      <c r="G34716" s="272" t="s">
        <v>1099</v>
      </c>
    </row>
    <row r="34717">
      <c r="B34717" s="31"/>
      <c r="G34717" s="272" t="s">
        <v>1099</v>
      </c>
    </row>
    <row r="34718">
      <c r="B34718" s="31"/>
      <c r="G34718" s="272" t="s">
        <v>1099</v>
      </c>
    </row>
    <row r="34719">
      <c r="B34719" s="31"/>
      <c r="G34719" s="272" t="s">
        <v>1099</v>
      </c>
    </row>
    <row r="34720">
      <c r="B34720" s="31"/>
      <c r="G34720" s="272" t="s">
        <v>1099</v>
      </c>
    </row>
    <row r="34721">
      <c r="B34721" s="31"/>
      <c r="G34721" s="272" t="s">
        <v>1099</v>
      </c>
    </row>
    <row r="34722">
      <c r="B34722" s="31"/>
      <c r="G34722" s="272" t="s">
        <v>1099</v>
      </c>
    </row>
    <row r="34723">
      <c r="B34723" s="31"/>
      <c r="G34723" s="272" t="s">
        <v>1099</v>
      </c>
    </row>
    <row r="34724">
      <c r="B34724" s="31"/>
      <c r="G34724" s="272" t="s">
        <v>1099</v>
      </c>
    </row>
    <row r="34725">
      <c r="B34725" s="31"/>
      <c r="G34725" s="272" t="s">
        <v>1099</v>
      </c>
    </row>
    <row r="34726">
      <c r="B34726" s="31"/>
      <c r="G34726" s="272" t="s">
        <v>1099</v>
      </c>
    </row>
    <row r="34727">
      <c r="B34727" s="31"/>
      <c r="G34727" s="272" t="s">
        <v>1099</v>
      </c>
    </row>
    <row r="34728">
      <c r="B34728" s="31"/>
      <c r="G34728" s="272" t="s">
        <v>1099</v>
      </c>
    </row>
    <row r="34729">
      <c r="B34729" s="31"/>
      <c r="G34729" s="272" t="s">
        <v>1099</v>
      </c>
    </row>
    <row r="34730">
      <c r="B34730" s="31"/>
      <c r="G34730" s="272" t="s">
        <v>1099</v>
      </c>
    </row>
    <row r="34731">
      <c r="B34731" s="31"/>
      <c r="G34731" s="272" t="s">
        <v>1099</v>
      </c>
    </row>
    <row r="34732">
      <c r="B34732" s="31"/>
      <c r="G34732" s="272" t="s">
        <v>1099</v>
      </c>
    </row>
    <row r="34733">
      <c r="B34733" s="31"/>
      <c r="G34733" s="272" t="s">
        <v>1099</v>
      </c>
    </row>
    <row r="34734">
      <c r="B34734" s="31"/>
      <c r="G34734" s="272" t="s">
        <v>1099</v>
      </c>
    </row>
    <row r="34735">
      <c r="B34735" s="31"/>
      <c r="G34735" s="272" t="s">
        <v>1099</v>
      </c>
    </row>
    <row r="34736">
      <c r="B34736" s="31"/>
      <c r="G34736" s="272" t="s">
        <v>1099</v>
      </c>
    </row>
    <row r="34737">
      <c r="B34737" s="31"/>
      <c r="G34737" s="272" t="s">
        <v>1099</v>
      </c>
    </row>
    <row r="34738">
      <c r="B34738" s="31"/>
      <c r="G34738" s="272" t="s">
        <v>1099</v>
      </c>
    </row>
    <row r="34739">
      <c r="B34739" s="31"/>
      <c r="G34739" s="272" t="s">
        <v>1099</v>
      </c>
    </row>
    <row r="34740">
      <c r="B34740" s="31"/>
      <c r="G34740" s="272" t="s">
        <v>1099</v>
      </c>
    </row>
    <row r="34741">
      <c r="B34741" s="31"/>
      <c r="G34741" s="272" t="s">
        <v>1099</v>
      </c>
    </row>
    <row r="34742">
      <c r="B34742" s="31"/>
      <c r="G34742" s="272" t="s">
        <v>1099</v>
      </c>
    </row>
    <row r="34743">
      <c r="B34743" s="31"/>
      <c r="G34743" s="272" t="s">
        <v>1099</v>
      </c>
    </row>
    <row r="34744">
      <c r="B34744" s="31"/>
      <c r="G34744" s="272" t="s">
        <v>1099</v>
      </c>
    </row>
    <row r="34745">
      <c r="B34745" s="31"/>
      <c r="G34745" s="272" t="s">
        <v>1099</v>
      </c>
    </row>
    <row r="34746">
      <c r="B34746" s="31"/>
      <c r="G34746" s="272" t="s">
        <v>1099</v>
      </c>
    </row>
    <row r="34747">
      <c r="B34747" s="31"/>
      <c r="G34747" s="272" t="s">
        <v>1099</v>
      </c>
    </row>
    <row r="34748">
      <c r="B34748" s="31"/>
      <c r="G34748" s="272" t="s">
        <v>1099</v>
      </c>
    </row>
    <row r="34749">
      <c r="B34749" s="31"/>
      <c r="G34749" s="272" t="s">
        <v>1099</v>
      </c>
    </row>
    <row r="34750">
      <c r="B34750" s="31"/>
      <c r="G34750" s="272" t="s">
        <v>1099</v>
      </c>
    </row>
    <row r="34751">
      <c r="B34751" s="31"/>
      <c r="G34751" s="272" t="s">
        <v>1099</v>
      </c>
    </row>
    <row r="34752">
      <c r="B34752" s="31"/>
      <c r="G34752" s="272" t="s">
        <v>1099</v>
      </c>
    </row>
    <row r="34753">
      <c r="B34753" s="31"/>
      <c r="G34753" s="272" t="s">
        <v>1099</v>
      </c>
    </row>
    <row r="34754">
      <c r="B34754" s="31"/>
      <c r="G34754" s="272" t="s">
        <v>1099</v>
      </c>
    </row>
    <row r="34755">
      <c r="B34755" s="31"/>
      <c r="G34755" s="272" t="s">
        <v>1099</v>
      </c>
    </row>
    <row r="34756">
      <c r="B34756" s="31"/>
      <c r="G34756" s="272" t="s">
        <v>1099</v>
      </c>
    </row>
    <row r="34757">
      <c r="B34757" s="31"/>
      <c r="G34757" s="272" t="s">
        <v>1099</v>
      </c>
    </row>
    <row r="34758">
      <c r="B34758" s="31"/>
      <c r="G34758" s="272" t="s">
        <v>1099</v>
      </c>
    </row>
    <row r="34759">
      <c r="B34759" s="31"/>
      <c r="G34759" s="272" t="s">
        <v>1099</v>
      </c>
    </row>
    <row r="34760">
      <c r="B34760" s="31"/>
      <c r="G34760" s="272" t="s">
        <v>1099</v>
      </c>
    </row>
    <row r="34761">
      <c r="B34761" s="31"/>
      <c r="G34761" s="272" t="s">
        <v>1099</v>
      </c>
    </row>
    <row r="34762">
      <c r="B34762" s="31"/>
      <c r="G34762" s="272" t="s">
        <v>1099</v>
      </c>
    </row>
    <row r="34763">
      <c r="B34763" s="31"/>
      <c r="G34763" s="272" t="s">
        <v>1099</v>
      </c>
    </row>
    <row r="34764">
      <c r="B34764" s="31"/>
      <c r="G34764" s="272" t="s">
        <v>1099</v>
      </c>
    </row>
    <row r="34765">
      <c r="B34765" s="31"/>
      <c r="G34765" s="272" t="s">
        <v>1099</v>
      </c>
    </row>
    <row r="34766">
      <c r="B34766" s="31"/>
      <c r="G34766" s="272" t="s">
        <v>1099</v>
      </c>
    </row>
    <row r="34767">
      <c r="B34767" s="31"/>
      <c r="G34767" s="272" t="s">
        <v>1099</v>
      </c>
    </row>
    <row r="34768">
      <c r="B34768" s="31"/>
      <c r="G34768" s="272" t="s">
        <v>1099</v>
      </c>
    </row>
    <row r="34769">
      <c r="B34769" s="31"/>
      <c r="G34769" s="272" t="s">
        <v>1099</v>
      </c>
    </row>
    <row r="34770">
      <c r="B34770" s="31"/>
      <c r="G34770" s="272" t="s">
        <v>1099</v>
      </c>
    </row>
    <row r="34771">
      <c r="B34771" s="31"/>
      <c r="G34771" s="272" t="s">
        <v>1099</v>
      </c>
    </row>
    <row r="34772">
      <c r="B34772" s="31"/>
      <c r="G34772" s="272" t="s">
        <v>1099</v>
      </c>
    </row>
    <row r="34773">
      <c r="B34773" s="31"/>
      <c r="G34773" s="272" t="s">
        <v>1099</v>
      </c>
    </row>
    <row r="34774">
      <c r="B34774" s="31"/>
      <c r="G34774" s="272" t="s">
        <v>1099</v>
      </c>
    </row>
    <row r="34775">
      <c r="B34775" s="31"/>
      <c r="G34775" s="272" t="s">
        <v>1099</v>
      </c>
    </row>
    <row r="34776">
      <c r="B34776" s="31"/>
      <c r="G34776" s="272" t="s">
        <v>1099</v>
      </c>
    </row>
    <row r="34777">
      <c r="B34777" s="31"/>
      <c r="G34777" s="272" t="s">
        <v>1099</v>
      </c>
    </row>
    <row r="34778">
      <c r="B34778" s="31"/>
      <c r="G34778" s="272" t="s">
        <v>1099</v>
      </c>
    </row>
    <row r="34779">
      <c r="B34779" s="31"/>
      <c r="G34779" s="272" t="s">
        <v>1099</v>
      </c>
    </row>
    <row r="34780">
      <c r="B34780" s="31"/>
      <c r="G34780" s="272" t="s">
        <v>1099</v>
      </c>
    </row>
    <row r="34781">
      <c r="B34781" s="31"/>
      <c r="G34781" s="272" t="s">
        <v>1099</v>
      </c>
    </row>
    <row r="34782">
      <c r="B34782" s="31"/>
      <c r="G34782" s="272" t="s">
        <v>1099</v>
      </c>
    </row>
    <row r="34783">
      <c r="B34783" s="31"/>
      <c r="G34783" s="272" t="s">
        <v>1099</v>
      </c>
    </row>
    <row r="34784">
      <c r="B34784" s="31"/>
      <c r="G34784" s="272" t="s">
        <v>1099</v>
      </c>
    </row>
    <row r="34785">
      <c r="B34785" s="31"/>
      <c r="G34785" s="272" t="s">
        <v>1099</v>
      </c>
    </row>
    <row r="34786">
      <c r="B34786" s="31"/>
      <c r="G34786" s="272" t="s">
        <v>1099</v>
      </c>
    </row>
    <row r="34787">
      <c r="B34787" s="31"/>
      <c r="G34787" s="272" t="s">
        <v>1099</v>
      </c>
    </row>
    <row r="34788">
      <c r="B34788" s="31"/>
      <c r="G34788" s="272" t="s">
        <v>1099</v>
      </c>
    </row>
    <row r="34789">
      <c r="B34789" s="31"/>
      <c r="G34789" s="272" t="s">
        <v>1099</v>
      </c>
    </row>
    <row r="34790">
      <c r="B34790" s="31"/>
      <c r="G34790" s="272" t="s">
        <v>1099</v>
      </c>
    </row>
    <row r="34791">
      <c r="B34791" s="31"/>
      <c r="G34791" s="272" t="s">
        <v>1099</v>
      </c>
    </row>
    <row r="34792">
      <c r="B34792" s="31"/>
      <c r="G34792" s="272" t="s">
        <v>1099</v>
      </c>
    </row>
    <row r="34793">
      <c r="B34793" s="31"/>
      <c r="G34793" s="272" t="s">
        <v>1099</v>
      </c>
    </row>
    <row r="34794">
      <c r="B34794" s="31"/>
      <c r="G34794" s="272" t="s">
        <v>1099</v>
      </c>
    </row>
    <row r="34795">
      <c r="B34795" s="31"/>
      <c r="G34795" s="272" t="s">
        <v>1099</v>
      </c>
    </row>
    <row r="34796">
      <c r="B34796" s="31"/>
      <c r="G34796" s="272" t="s">
        <v>1099</v>
      </c>
    </row>
    <row r="34797">
      <c r="B34797" s="31"/>
      <c r="G34797" s="272" t="s">
        <v>1099</v>
      </c>
    </row>
    <row r="34798">
      <c r="B34798" s="31"/>
      <c r="G34798" s="272" t="s">
        <v>1099</v>
      </c>
    </row>
    <row r="34799">
      <c r="B34799" s="31"/>
      <c r="G34799" s="272" t="s">
        <v>1099</v>
      </c>
    </row>
    <row r="34800">
      <c r="B34800" s="31"/>
      <c r="G34800" s="272" t="s">
        <v>1099</v>
      </c>
    </row>
    <row r="34801">
      <c r="B34801" s="31"/>
      <c r="G34801" s="272" t="s">
        <v>1099</v>
      </c>
    </row>
    <row r="34802">
      <c r="B34802" s="31"/>
      <c r="G34802" s="272" t="s">
        <v>1099</v>
      </c>
    </row>
    <row r="34803">
      <c r="B34803" s="31"/>
      <c r="G34803" s="272" t="s">
        <v>1099</v>
      </c>
    </row>
    <row r="34804">
      <c r="B34804" s="31"/>
      <c r="G34804" s="272" t="s">
        <v>1099</v>
      </c>
    </row>
    <row r="34805">
      <c r="B34805" s="31"/>
      <c r="G34805" s="272" t="s">
        <v>1099</v>
      </c>
    </row>
    <row r="34806">
      <c r="B34806" s="31"/>
      <c r="G34806" s="272" t="s">
        <v>1099</v>
      </c>
    </row>
    <row r="34807">
      <c r="B34807" s="31"/>
      <c r="G34807" s="272" t="s">
        <v>1099</v>
      </c>
    </row>
    <row r="34808">
      <c r="B34808" s="31"/>
      <c r="G34808" s="272" t="s">
        <v>1099</v>
      </c>
    </row>
    <row r="34809">
      <c r="B34809" s="31"/>
      <c r="G34809" s="272" t="s">
        <v>1099</v>
      </c>
    </row>
    <row r="34810">
      <c r="B34810" s="31"/>
      <c r="G34810" s="272" t="s">
        <v>1099</v>
      </c>
    </row>
    <row r="34811">
      <c r="B34811" s="31"/>
      <c r="G34811" s="272" t="s">
        <v>1099</v>
      </c>
    </row>
    <row r="34812">
      <c r="B34812" s="31"/>
      <c r="G34812" s="272" t="s">
        <v>1099</v>
      </c>
    </row>
    <row r="34813">
      <c r="B34813" s="31"/>
      <c r="G34813" s="272" t="s">
        <v>1099</v>
      </c>
    </row>
    <row r="34814">
      <c r="B34814" s="31"/>
      <c r="G34814" s="272" t="s">
        <v>1099</v>
      </c>
    </row>
    <row r="34815">
      <c r="B34815" s="31"/>
      <c r="G34815" s="272" t="s">
        <v>1099</v>
      </c>
    </row>
    <row r="34816">
      <c r="B34816" s="31"/>
      <c r="G34816" s="272" t="s">
        <v>1099</v>
      </c>
    </row>
    <row r="34817">
      <c r="B34817" s="31"/>
      <c r="G34817" s="272" t="s">
        <v>1099</v>
      </c>
    </row>
    <row r="34818">
      <c r="B34818" s="31"/>
      <c r="G34818" s="272" t="s">
        <v>1099</v>
      </c>
    </row>
    <row r="34819">
      <c r="B34819" s="31"/>
      <c r="G34819" s="272" t="s">
        <v>1099</v>
      </c>
    </row>
    <row r="34820">
      <c r="B34820" s="31"/>
      <c r="G34820" s="272" t="s">
        <v>1099</v>
      </c>
    </row>
    <row r="34821">
      <c r="B34821" s="31"/>
      <c r="G34821" s="272" t="s">
        <v>1099</v>
      </c>
    </row>
    <row r="34822">
      <c r="B34822" s="31"/>
      <c r="G34822" s="272" t="s">
        <v>1099</v>
      </c>
    </row>
    <row r="34823">
      <c r="B34823" s="31"/>
      <c r="G34823" s="272" t="s">
        <v>1099</v>
      </c>
    </row>
    <row r="34824">
      <c r="B34824" s="31"/>
      <c r="G34824" s="272" t="s">
        <v>1099</v>
      </c>
    </row>
    <row r="34825">
      <c r="B34825" s="31"/>
      <c r="G34825" s="272" t="s">
        <v>1099</v>
      </c>
    </row>
    <row r="34826">
      <c r="B34826" s="31"/>
      <c r="G34826" s="272" t="s">
        <v>1099</v>
      </c>
    </row>
    <row r="34827">
      <c r="B34827" s="31"/>
      <c r="G34827" s="272" t="s">
        <v>1099</v>
      </c>
    </row>
    <row r="34828">
      <c r="B34828" s="31"/>
      <c r="G34828" s="272" t="s">
        <v>1099</v>
      </c>
    </row>
    <row r="34829">
      <c r="B34829" s="31"/>
      <c r="G34829" s="272" t="s">
        <v>1099</v>
      </c>
    </row>
    <row r="34830">
      <c r="B34830" s="31"/>
      <c r="G34830" s="272" t="s">
        <v>1099</v>
      </c>
    </row>
    <row r="34831">
      <c r="B34831" s="31"/>
      <c r="G34831" s="272" t="s">
        <v>1099</v>
      </c>
    </row>
    <row r="34832">
      <c r="B34832" s="31"/>
      <c r="G34832" s="272" t="s">
        <v>1099</v>
      </c>
    </row>
    <row r="34833">
      <c r="B34833" s="31"/>
      <c r="G34833" s="272" t="s">
        <v>1099</v>
      </c>
    </row>
    <row r="34834">
      <c r="B34834" s="31"/>
      <c r="G34834" s="272" t="s">
        <v>1099</v>
      </c>
    </row>
    <row r="34835">
      <c r="B34835" s="31"/>
      <c r="G34835" s="272" t="s">
        <v>1099</v>
      </c>
    </row>
    <row r="34836">
      <c r="B34836" s="31"/>
      <c r="G34836" s="272" t="s">
        <v>1099</v>
      </c>
    </row>
    <row r="34837">
      <c r="B34837" s="31"/>
      <c r="G34837" s="272" t="s">
        <v>1099</v>
      </c>
    </row>
    <row r="34838">
      <c r="B34838" s="31"/>
      <c r="G34838" s="272" t="s">
        <v>1099</v>
      </c>
    </row>
    <row r="34839">
      <c r="B34839" s="31"/>
      <c r="G34839" s="272" t="s">
        <v>1099</v>
      </c>
    </row>
    <row r="34840">
      <c r="B34840" s="31"/>
      <c r="G34840" s="272" t="s">
        <v>1099</v>
      </c>
    </row>
    <row r="34841">
      <c r="B34841" s="31"/>
      <c r="G34841" s="272" t="s">
        <v>1099</v>
      </c>
    </row>
    <row r="34842">
      <c r="B34842" s="31"/>
      <c r="G34842" s="272" t="s">
        <v>1099</v>
      </c>
    </row>
    <row r="34843">
      <c r="B34843" s="31"/>
      <c r="G34843" s="272" t="s">
        <v>1099</v>
      </c>
    </row>
    <row r="34844">
      <c r="B34844" s="31"/>
      <c r="G34844" s="272" t="s">
        <v>1099</v>
      </c>
    </row>
    <row r="34845">
      <c r="B34845" s="31"/>
      <c r="G34845" s="272" t="s">
        <v>1099</v>
      </c>
    </row>
    <row r="34846">
      <c r="B34846" s="31"/>
      <c r="G34846" s="272" t="s">
        <v>1099</v>
      </c>
    </row>
    <row r="34847">
      <c r="B34847" s="31"/>
      <c r="G34847" s="272" t="s">
        <v>1099</v>
      </c>
    </row>
    <row r="34848">
      <c r="B34848" s="31"/>
      <c r="G34848" s="272" t="s">
        <v>1099</v>
      </c>
    </row>
    <row r="34849">
      <c r="B34849" s="31"/>
      <c r="G34849" s="272" t="s">
        <v>1099</v>
      </c>
    </row>
    <row r="34850">
      <c r="B34850" s="31"/>
      <c r="G34850" s="272" t="s">
        <v>1099</v>
      </c>
    </row>
    <row r="34851">
      <c r="B34851" s="31"/>
      <c r="G34851" s="272" t="s">
        <v>1099</v>
      </c>
    </row>
    <row r="34852">
      <c r="B34852" s="31"/>
      <c r="G34852" s="272" t="s">
        <v>1099</v>
      </c>
    </row>
    <row r="34853">
      <c r="B34853" s="31"/>
      <c r="G34853" s="272" t="s">
        <v>1099</v>
      </c>
    </row>
    <row r="34854">
      <c r="B34854" s="31"/>
      <c r="G34854" s="272" t="s">
        <v>1099</v>
      </c>
    </row>
    <row r="34855">
      <c r="B34855" s="31"/>
      <c r="G34855" s="272" t="s">
        <v>1099</v>
      </c>
    </row>
    <row r="34856">
      <c r="B34856" s="31"/>
      <c r="G34856" s="272" t="s">
        <v>1099</v>
      </c>
    </row>
    <row r="34857">
      <c r="B34857" s="31"/>
      <c r="G34857" s="272" t="s">
        <v>1099</v>
      </c>
    </row>
    <row r="34858">
      <c r="B34858" s="31"/>
      <c r="G34858" s="272" t="s">
        <v>1099</v>
      </c>
    </row>
    <row r="34859">
      <c r="B34859" s="31"/>
      <c r="G34859" s="272" t="s">
        <v>1099</v>
      </c>
    </row>
    <row r="34860">
      <c r="B34860" s="31"/>
      <c r="G34860" s="272" t="s">
        <v>1099</v>
      </c>
    </row>
    <row r="34861">
      <c r="B34861" s="31"/>
      <c r="G34861" s="272" t="s">
        <v>1099</v>
      </c>
    </row>
    <row r="34862">
      <c r="B34862" s="31"/>
      <c r="G34862" s="272" t="s">
        <v>1099</v>
      </c>
    </row>
    <row r="34863">
      <c r="B34863" s="31"/>
      <c r="G34863" s="272" t="s">
        <v>1099</v>
      </c>
    </row>
    <row r="34864">
      <c r="B34864" s="31"/>
      <c r="G34864" s="272" t="s">
        <v>1099</v>
      </c>
    </row>
    <row r="34865">
      <c r="B34865" s="31"/>
      <c r="G34865" s="272" t="s">
        <v>1099</v>
      </c>
    </row>
    <row r="34866">
      <c r="B34866" s="31"/>
      <c r="G34866" s="272" t="s">
        <v>1099</v>
      </c>
    </row>
    <row r="34867">
      <c r="B34867" s="31"/>
      <c r="G34867" s="272" t="s">
        <v>1099</v>
      </c>
    </row>
    <row r="34868">
      <c r="B34868" s="31"/>
      <c r="G34868" s="272" t="s">
        <v>1099</v>
      </c>
    </row>
    <row r="34869">
      <c r="B34869" s="31"/>
      <c r="G34869" s="272" t="s">
        <v>1099</v>
      </c>
    </row>
    <row r="34870">
      <c r="B34870" s="31"/>
      <c r="G34870" s="272" t="s">
        <v>1099</v>
      </c>
    </row>
    <row r="34871">
      <c r="B34871" s="31"/>
      <c r="G34871" s="272" t="s">
        <v>1099</v>
      </c>
    </row>
    <row r="34872">
      <c r="B34872" s="31"/>
      <c r="G34872" s="272" t="s">
        <v>1099</v>
      </c>
    </row>
    <row r="34873">
      <c r="B34873" s="31"/>
      <c r="G34873" s="272" t="s">
        <v>1099</v>
      </c>
    </row>
    <row r="34874">
      <c r="B34874" s="31"/>
      <c r="G34874" s="272" t="s">
        <v>1099</v>
      </c>
    </row>
    <row r="34875">
      <c r="B34875" s="31"/>
      <c r="G34875" s="272" t="s">
        <v>1099</v>
      </c>
    </row>
    <row r="34876">
      <c r="B34876" s="31"/>
      <c r="G34876" s="272" t="s">
        <v>1099</v>
      </c>
    </row>
    <row r="34877">
      <c r="B34877" s="31"/>
      <c r="G34877" s="272" t="s">
        <v>1099</v>
      </c>
    </row>
    <row r="34878">
      <c r="B34878" s="31"/>
      <c r="G34878" s="272" t="s">
        <v>1099</v>
      </c>
    </row>
    <row r="34879">
      <c r="B34879" s="31"/>
      <c r="G34879" s="272" t="s">
        <v>1099</v>
      </c>
    </row>
    <row r="34880">
      <c r="B34880" s="31"/>
      <c r="G34880" s="272" t="s">
        <v>1099</v>
      </c>
    </row>
    <row r="34881">
      <c r="B34881" s="31"/>
      <c r="G34881" s="272" t="s">
        <v>1099</v>
      </c>
    </row>
    <row r="34882">
      <c r="B34882" s="31"/>
      <c r="G34882" s="272" t="s">
        <v>1099</v>
      </c>
    </row>
    <row r="34883">
      <c r="B34883" s="31"/>
      <c r="G34883" s="272" t="s">
        <v>1099</v>
      </c>
    </row>
    <row r="34884">
      <c r="B34884" s="31"/>
      <c r="G34884" s="272" t="s">
        <v>1099</v>
      </c>
    </row>
    <row r="34885">
      <c r="B34885" s="31"/>
      <c r="G34885" s="272" t="s">
        <v>1099</v>
      </c>
    </row>
    <row r="34886">
      <c r="B34886" s="31"/>
      <c r="G34886" s="272" t="s">
        <v>1099</v>
      </c>
    </row>
    <row r="34887">
      <c r="B34887" s="31"/>
      <c r="G34887" s="272" t="s">
        <v>1099</v>
      </c>
    </row>
    <row r="34888">
      <c r="B34888" s="31"/>
      <c r="G34888" s="272" t="s">
        <v>1099</v>
      </c>
    </row>
    <row r="34889">
      <c r="B34889" s="31"/>
      <c r="G34889" s="272" t="s">
        <v>1099</v>
      </c>
    </row>
    <row r="34890">
      <c r="B34890" s="31"/>
      <c r="G34890" s="272" t="s">
        <v>1099</v>
      </c>
    </row>
    <row r="34891">
      <c r="B34891" s="31"/>
      <c r="G34891" s="272" t="s">
        <v>1099</v>
      </c>
    </row>
    <row r="34892">
      <c r="B34892" s="31"/>
      <c r="G34892" s="272" t="s">
        <v>1099</v>
      </c>
    </row>
    <row r="34893">
      <c r="B34893" s="31"/>
      <c r="G34893" s="272" t="s">
        <v>1099</v>
      </c>
    </row>
    <row r="34894">
      <c r="B34894" s="31"/>
      <c r="G34894" s="272" t="s">
        <v>1099</v>
      </c>
    </row>
    <row r="34895">
      <c r="B34895" s="31"/>
      <c r="G34895" s="272" t="s">
        <v>1099</v>
      </c>
    </row>
    <row r="34896">
      <c r="B34896" s="31"/>
      <c r="G34896" s="272" t="s">
        <v>1099</v>
      </c>
    </row>
    <row r="34897">
      <c r="B34897" s="31"/>
      <c r="G34897" s="272" t="s">
        <v>1099</v>
      </c>
    </row>
    <row r="34898">
      <c r="B34898" s="31"/>
      <c r="G34898" s="272" t="s">
        <v>1099</v>
      </c>
    </row>
    <row r="34899">
      <c r="B34899" s="31"/>
      <c r="G34899" s="272" t="s">
        <v>1099</v>
      </c>
    </row>
    <row r="34900">
      <c r="B34900" s="31"/>
      <c r="G34900" s="272" t="s">
        <v>1099</v>
      </c>
    </row>
    <row r="34901">
      <c r="B34901" s="31"/>
      <c r="G34901" s="272" t="s">
        <v>1099</v>
      </c>
    </row>
    <row r="34902">
      <c r="B34902" s="31"/>
      <c r="G34902" s="272" t="s">
        <v>1099</v>
      </c>
    </row>
    <row r="34903">
      <c r="B34903" s="31"/>
      <c r="G34903" s="272" t="s">
        <v>1099</v>
      </c>
    </row>
    <row r="34904">
      <c r="B34904" s="31"/>
      <c r="G34904" s="272" t="s">
        <v>1099</v>
      </c>
    </row>
    <row r="34905">
      <c r="B34905" s="31"/>
      <c r="G34905" s="272" t="s">
        <v>1099</v>
      </c>
    </row>
    <row r="34906">
      <c r="B34906" s="31"/>
      <c r="G34906" s="272" t="s">
        <v>1099</v>
      </c>
    </row>
    <row r="34907">
      <c r="B34907" s="31"/>
      <c r="G34907" s="272" t="s">
        <v>1099</v>
      </c>
    </row>
    <row r="34908">
      <c r="B34908" s="31"/>
      <c r="G34908" s="272" t="s">
        <v>1099</v>
      </c>
    </row>
    <row r="34909">
      <c r="B34909" s="31"/>
      <c r="G34909" s="272" t="s">
        <v>1099</v>
      </c>
    </row>
    <row r="34910">
      <c r="B34910" s="31"/>
      <c r="G34910" s="272" t="s">
        <v>1099</v>
      </c>
    </row>
    <row r="34911">
      <c r="B34911" s="31"/>
      <c r="G34911" s="272" t="s">
        <v>1099</v>
      </c>
    </row>
    <row r="34912">
      <c r="B34912" s="31"/>
      <c r="G34912" s="272" t="s">
        <v>1099</v>
      </c>
    </row>
    <row r="34913">
      <c r="B34913" s="31"/>
      <c r="G34913" s="272" t="s">
        <v>1099</v>
      </c>
    </row>
    <row r="34914">
      <c r="B34914" s="31"/>
      <c r="G34914" s="272" t="s">
        <v>1099</v>
      </c>
    </row>
    <row r="34915">
      <c r="B34915" s="31"/>
      <c r="G34915" s="272" t="s">
        <v>1099</v>
      </c>
    </row>
    <row r="34916">
      <c r="B34916" s="31"/>
      <c r="G34916" s="272" t="s">
        <v>1099</v>
      </c>
    </row>
    <row r="34917">
      <c r="B34917" s="31"/>
      <c r="G34917" s="272" t="s">
        <v>1099</v>
      </c>
    </row>
    <row r="34918">
      <c r="B34918" s="31"/>
      <c r="G34918" s="272" t="s">
        <v>1099</v>
      </c>
    </row>
    <row r="34919">
      <c r="B34919" s="31"/>
      <c r="G34919" s="272" t="s">
        <v>1099</v>
      </c>
    </row>
    <row r="34920">
      <c r="B34920" s="31"/>
      <c r="G34920" s="272" t="s">
        <v>1099</v>
      </c>
    </row>
    <row r="34921">
      <c r="B34921" s="31"/>
      <c r="G34921" s="272" t="s">
        <v>1099</v>
      </c>
    </row>
    <row r="34922">
      <c r="B34922" s="31"/>
      <c r="G34922" s="272" t="s">
        <v>1099</v>
      </c>
    </row>
    <row r="34923">
      <c r="B34923" s="31"/>
      <c r="G34923" s="272" t="s">
        <v>1099</v>
      </c>
    </row>
    <row r="34924">
      <c r="B34924" s="31"/>
      <c r="G34924" s="272" t="s">
        <v>1099</v>
      </c>
    </row>
    <row r="34925">
      <c r="B34925" s="31"/>
      <c r="G34925" s="272" t="s">
        <v>1099</v>
      </c>
    </row>
    <row r="34926">
      <c r="B34926" s="31"/>
      <c r="G34926" s="272" t="s">
        <v>1099</v>
      </c>
    </row>
    <row r="34927">
      <c r="B34927" s="31"/>
      <c r="G34927" s="272" t="s">
        <v>1099</v>
      </c>
    </row>
    <row r="34928">
      <c r="B34928" s="31"/>
      <c r="G34928" s="272" t="s">
        <v>1099</v>
      </c>
    </row>
    <row r="34929">
      <c r="B34929" s="31"/>
      <c r="G34929" s="272" t="s">
        <v>1099</v>
      </c>
    </row>
    <row r="34930">
      <c r="B34930" s="31"/>
      <c r="G34930" s="272" t="s">
        <v>1099</v>
      </c>
    </row>
    <row r="34931">
      <c r="B34931" s="31"/>
      <c r="G34931" s="272" t="s">
        <v>1099</v>
      </c>
    </row>
    <row r="34932">
      <c r="B34932" s="31"/>
      <c r="G34932" s="272" t="s">
        <v>1099</v>
      </c>
    </row>
    <row r="34933">
      <c r="B34933" s="31"/>
      <c r="G34933" s="272" t="s">
        <v>1099</v>
      </c>
    </row>
    <row r="34934">
      <c r="B34934" s="31"/>
      <c r="G34934" s="272" t="s">
        <v>1099</v>
      </c>
    </row>
    <row r="34935">
      <c r="B34935" s="31"/>
      <c r="G34935" s="272" t="s">
        <v>1099</v>
      </c>
    </row>
    <row r="34936">
      <c r="B34936" s="31"/>
      <c r="G34936" s="272" t="s">
        <v>1099</v>
      </c>
    </row>
    <row r="34937">
      <c r="B34937" s="31"/>
      <c r="G34937" s="272" t="s">
        <v>1099</v>
      </c>
    </row>
    <row r="34938">
      <c r="B34938" s="31"/>
      <c r="G34938" s="272" t="s">
        <v>1099</v>
      </c>
    </row>
    <row r="34939">
      <c r="B34939" s="31"/>
      <c r="G34939" s="272" t="s">
        <v>1099</v>
      </c>
    </row>
    <row r="34940">
      <c r="B34940" s="31"/>
      <c r="G34940" s="272" t="s">
        <v>1099</v>
      </c>
    </row>
    <row r="34941">
      <c r="B34941" s="31"/>
      <c r="G34941" s="272" t="s">
        <v>1099</v>
      </c>
    </row>
    <row r="34942">
      <c r="B34942" s="31"/>
      <c r="G34942" s="272" t="s">
        <v>1099</v>
      </c>
    </row>
    <row r="34943">
      <c r="B34943" s="31"/>
      <c r="G34943" s="272" t="s">
        <v>1099</v>
      </c>
    </row>
    <row r="34944">
      <c r="B34944" s="31"/>
      <c r="G34944" s="272" t="s">
        <v>1099</v>
      </c>
    </row>
    <row r="34945">
      <c r="B34945" s="31"/>
      <c r="G34945" s="272" t="s">
        <v>1099</v>
      </c>
    </row>
    <row r="34946">
      <c r="B34946" s="31"/>
      <c r="G34946" s="272" t="s">
        <v>1099</v>
      </c>
    </row>
    <row r="34947">
      <c r="B34947" s="31"/>
      <c r="G34947" s="272" t="s">
        <v>1099</v>
      </c>
    </row>
    <row r="34948">
      <c r="B34948" s="31"/>
      <c r="G34948" s="272" t="s">
        <v>1099</v>
      </c>
    </row>
    <row r="34949">
      <c r="B34949" s="31"/>
      <c r="G34949" s="272" t="s">
        <v>1099</v>
      </c>
    </row>
    <row r="34950">
      <c r="B34950" s="31"/>
      <c r="G34950" s="272" t="s">
        <v>1099</v>
      </c>
    </row>
    <row r="34951">
      <c r="B34951" s="31"/>
      <c r="G34951" s="272" t="s">
        <v>1099</v>
      </c>
    </row>
    <row r="34952">
      <c r="B34952" s="31"/>
      <c r="G34952" s="272" t="s">
        <v>1099</v>
      </c>
    </row>
    <row r="34953">
      <c r="B34953" s="31"/>
      <c r="G34953" s="272" t="s">
        <v>1099</v>
      </c>
    </row>
    <row r="34954">
      <c r="B34954" s="31"/>
      <c r="G34954" s="272" t="s">
        <v>1099</v>
      </c>
    </row>
    <row r="34955">
      <c r="B34955" s="31"/>
      <c r="G34955" s="272" t="s">
        <v>1099</v>
      </c>
    </row>
    <row r="34956">
      <c r="B34956" s="31"/>
      <c r="G34956" s="272" t="s">
        <v>1099</v>
      </c>
    </row>
    <row r="34957">
      <c r="B34957" s="31"/>
      <c r="G34957" s="272" t="s">
        <v>1099</v>
      </c>
    </row>
    <row r="34958">
      <c r="B34958" s="31"/>
      <c r="G34958" s="272" t="s">
        <v>1099</v>
      </c>
    </row>
    <row r="34959">
      <c r="B34959" s="31"/>
      <c r="G34959" s="272" t="s">
        <v>1099</v>
      </c>
    </row>
    <row r="34960">
      <c r="B34960" s="31"/>
      <c r="G34960" s="272" t="s">
        <v>1099</v>
      </c>
    </row>
    <row r="34961">
      <c r="B34961" s="31"/>
      <c r="G34961" s="272" t="s">
        <v>1099</v>
      </c>
    </row>
    <row r="34962">
      <c r="B34962" s="31"/>
      <c r="G34962" s="272" t="s">
        <v>1099</v>
      </c>
    </row>
    <row r="34963">
      <c r="B34963" s="31"/>
      <c r="G34963" s="272" t="s">
        <v>1099</v>
      </c>
    </row>
    <row r="34964">
      <c r="B34964" s="31"/>
      <c r="G34964" s="272" t="s">
        <v>1099</v>
      </c>
    </row>
    <row r="34965">
      <c r="B34965" s="31"/>
      <c r="G34965" s="272" t="s">
        <v>1099</v>
      </c>
    </row>
    <row r="34966">
      <c r="B34966" s="31"/>
      <c r="G34966" s="272" t="s">
        <v>1099</v>
      </c>
    </row>
    <row r="34967">
      <c r="B34967" s="31"/>
      <c r="G34967" s="272" t="s">
        <v>1099</v>
      </c>
    </row>
    <row r="34968">
      <c r="B34968" s="31"/>
      <c r="G34968" s="272" t="s">
        <v>1099</v>
      </c>
    </row>
    <row r="34969">
      <c r="B34969" s="31"/>
      <c r="G34969" s="272" t="s">
        <v>1099</v>
      </c>
    </row>
    <row r="34970">
      <c r="B34970" s="31"/>
      <c r="G34970" s="272" t="s">
        <v>1099</v>
      </c>
    </row>
    <row r="34971">
      <c r="B34971" s="31"/>
      <c r="G34971" s="272" t="s">
        <v>1099</v>
      </c>
    </row>
    <row r="34972">
      <c r="B34972" s="31"/>
      <c r="G34972" s="272" t="s">
        <v>1099</v>
      </c>
    </row>
    <row r="34973">
      <c r="B34973" s="31"/>
      <c r="G34973" s="272" t="s">
        <v>1099</v>
      </c>
    </row>
    <row r="34974">
      <c r="B34974" s="31"/>
      <c r="G34974" s="272" t="s">
        <v>1099</v>
      </c>
    </row>
    <row r="34975">
      <c r="B34975" s="31"/>
      <c r="G34975" s="272" t="s">
        <v>1099</v>
      </c>
    </row>
    <row r="34976">
      <c r="B34976" s="31"/>
      <c r="G34976" s="272" t="s">
        <v>1099</v>
      </c>
    </row>
    <row r="34977">
      <c r="B34977" s="31"/>
      <c r="G34977" s="272" t="s">
        <v>1099</v>
      </c>
    </row>
    <row r="34978">
      <c r="B34978" s="31"/>
      <c r="G34978" s="272" t="s">
        <v>1099</v>
      </c>
    </row>
    <row r="34979">
      <c r="B34979" s="31"/>
      <c r="G34979" s="272" t="s">
        <v>1099</v>
      </c>
    </row>
    <row r="34980">
      <c r="B34980" s="31"/>
      <c r="G34980" s="272" t="s">
        <v>1099</v>
      </c>
    </row>
    <row r="34981">
      <c r="B34981" s="31"/>
      <c r="G34981" s="272" t="s">
        <v>1099</v>
      </c>
    </row>
    <row r="34982">
      <c r="B34982" s="31"/>
      <c r="G34982" s="272" t="s">
        <v>1099</v>
      </c>
    </row>
    <row r="34983">
      <c r="B34983" s="31"/>
      <c r="G34983" s="272" t="s">
        <v>1099</v>
      </c>
    </row>
    <row r="34984">
      <c r="B34984" s="31"/>
      <c r="G34984" s="272" t="s">
        <v>1099</v>
      </c>
    </row>
    <row r="34985">
      <c r="B34985" s="31"/>
      <c r="G34985" s="272" t="s">
        <v>1099</v>
      </c>
    </row>
    <row r="34986">
      <c r="B34986" s="31"/>
      <c r="G34986" s="272" t="s">
        <v>1099</v>
      </c>
    </row>
    <row r="34987">
      <c r="B34987" s="31"/>
      <c r="G34987" s="272" t="s">
        <v>1099</v>
      </c>
    </row>
    <row r="34988">
      <c r="B34988" s="31"/>
      <c r="G34988" s="272" t="s">
        <v>1099</v>
      </c>
    </row>
    <row r="34989">
      <c r="B34989" s="31"/>
      <c r="G34989" s="272" t="s">
        <v>1099</v>
      </c>
    </row>
    <row r="34990">
      <c r="B34990" s="31"/>
      <c r="G34990" s="272" t="s">
        <v>1099</v>
      </c>
    </row>
    <row r="34991">
      <c r="B34991" s="31"/>
      <c r="G34991" s="272" t="s">
        <v>1099</v>
      </c>
    </row>
    <row r="34992">
      <c r="B34992" s="31"/>
      <c r="G34992" s="272" t="s">
        <v>1099</v>
      </c>
    </row>
    <row r="34993">
      <c r="B34993" s="31"/>
      <c r="G34993" s="272" t="s">
        <v>1099</v>
      </c>
    </row>
    <row r="34994">
      <c r="B34994" s="31"/>
      <c r="G34994" s="272" t="s">
        <v>1099</v>
      </c>
    </row>
    <row r="34995">
      <c r="B34995" s="31"/>
      <c r="G34995" s="272" t="s">
        <v>1099</v>
      </c>
    </row>
    <row r="34996">
      <c r="B34996" s="31"/>
      <c r="G34996" s="272" t="s">
        <v>1099</v>
      </c>
    </row>
    <row r="34997">
      <c r="B34997" s="31"/>
      <c r="G34997" s="272" t="s">
        <v>1099</v>
      </c>
    </row>
    <row r="34998">
      <c r="B34998" s="31"/>
      <c r="G34998" s="272" t="s">
        <v>1099</v>
      </c>
    </row>
    <row r="34999">
      <c r="B34999" s="31"/>
      <c r="G34999" s="272" t="s">
        <v>1099</v>
      </c>
    </row>
    <row r="35000">
      <c r="B35000" s="31"/>
      <c r="G35000" s="272" t="s">
        <v>1099</v>
      </c>
    </row>
    <row r="35001">
      <c r="B35001" s="31"/>
      <c r="G35001" s="272" t="s">
        <v>1099</v>
      </c>
    </row>
    <row r="35002">
      <c r="B35002" s="31"/>
      <c r="G35002" s="272" t="s">
        <v>1099</v>
      </c>
    </row>
    <row r="35003">
      <c r="B35003" s="31"/>
      <c r="G35003" s="272" t="s">
        <v>1099</v>
      </c>
    </row>
    <row r="35004">
      <c r="B35004" s="31"/>
      <c r="G35004" s="272" t="s">
        <v>1099</v>
      </c>
    </row>
    <row r="35005">
      <c r="B35005" s="31"/>
      <c r="G35005" s="272" t="s">
        <v>1099</v>
      </c>
    </row>
    <row r="35006">
      <c r="B35006" s="31"/>
      <c r="G35006" s="272" t="s">
        <v>1099</v>
      </c>
    </row>
    <row r="35007">
      <c r="B35007" s="31"/>
      <c r="G35007" s="272" t="s">
        <v>1099</v>
      </c>
    </row>
    <row r="35008">
      <c r="B35008" s="31"/>
      <c r="G35008" s="272" t="s">
        <v>1099</v>
      </c>
    </row>
    <row r="35009">
      <c r="B35009" s="31"/>
      <c r="G35009" s="272" t="s">
        <v>1099</v>
      </c>
    </row>
    <row r="35010">
      <c r="B35010" s="31"/>
      <c r="G35010" s="272" t="s">
        <v>1099</v>
      </c>
    </row>
    <row r="35011">
      <c r="B35011" s="31"/>
      <c r="G35011" s="272" t="s">
        <v>1099</v>
      </c>
    </row>
    <row r="35012">
      <c r="B35012" s="31"/>
      <c r="G35012" s="272" t="s">
        <v>1099</v>
      </c>
    </row>
    <row r="35013">
      <c r="B35013" s="31"/>
      <c r="G35013" s="272" t="s">
        <v>1099</v>
      </c>
    </row>
    <row r="35014">
      <c r="B35014" s="31"/>
      <c r="G35014" s="272" t="s">
        <v>1099</v>
      </c>
    </row>
    <row r="35015">
      <c r="B35015" s="31"/>
      <c r="G35015" s="272" t="s">
        <v>1099</v>
      </c>
    </row>
    <row r="35016">
      <c r="B35016" s="31"/>
      <c r="G35016" s="272" t="s">
        <v>1099</v>
      </c>
    </row>
    <row r="35017">
      <c r="B35017" s="31"/>
      <c r="G35017" s="272" t="s">
        <v>1099</v>
      </c>
    </row>
    <row r="35018">
      <c r="B35018" s="31"/>
      <c r="G35018" s="272" t="s">
        <v>1099</v>
      </c>
    </row>
    <row r="35019">
      <c r="B35019" s="31"/>
      <c r="G35019" s="272" t="s">
        <v>1099</v>
      </c>
    </row>
    <row r="35020">
      <c r="B35020" s="31"/>
      <c r="G35020" s="272" t="s">
        <v>1099</v>
      </c>
    </row>
    <row r="35021">
      <c r="B35021" s="31"/>
      <c r="G35021" s="272" t="s">
        <v>1099</v>
      </c>
    </row>
    <row r="35022">
      <c r="B35022" s="31"/>
      <c r="G35022" s="272" t="s">
        <v>1099</v>
      </c>
    </row>
    <row r="35023">
      <c r="B35023" s="31"/>
      <c r="G35023" s="272" t="s">
        <v>1099</v>
      </c>
    </row>
    <row r="35024">
      <c r="B35024" s="31"/>
      <c r="G35024" s="272" t="s">
        <v>1099</v>
      </c>
    </row>
    <row r="35025">
      <c r="B35025" s="31"/>
      <c r="G35025" s="272" t="s">
        <v>1099</v>
      </c>
    </row>
    <row r="35026">
      <c r="B35026" s="31"/>
      <c r="G35026" s="272" t="s">
        <v>1099</v>
      </c>
    </row>
    <row r="35027">
      <c r="B35027" s="31"/>
      <c r="G35027" s="272" t="s">
        <v>1099</v>
      </c>
    </row>
    <row r="35028">
      <c r="B35028" s="31"/>
      <c r="G35028" s="272" t="s">
        <v>1099</v>
      </c>
    </row>
    <row r="35029">
      <c r="B35029" s="31"/>
      <c r="G35029" s="272" t="s">
        <v>1099</v>
      </c>
    </row>
    <row r="35030">
      <c r="B35030" s="31"/>
      <c r="G35030" s="272" t="s">
        <v>1099</v>
      </c>
    </row>
    <row r="35031">
      <c r="B35031" s="31"/>
      <c r="G35031" s="272" t="s">
        <v>1099</v>
      </c>
    </row>
    <row r="35032">
      <c r="B35032" s="31"/>
      <c r="G35032" s="272" t="s">
        <v>1099</v>
      </c>
    </row>
    <row r="35033">
      <c r="B35033" s="31"/>
      <c r="G35033" s="272" t="s">
        <v>1099</v>
      </c>
    </row>
    <row r="35034">
      <c r="B35034" s="31"/>
      <c r="G35034" s="272" t="s">
        <v>1099</v>
      </c>
    </row>
    <row r="35035">
      <c r="B35035" s="31"/>
      <c r="G35035" s="272" t="s">
        <v>1099</v>
      </c>
    </row>
    <row r="35036">
      <c r="B35036" s="31"/>
      <c r="G35036" s="272" t="s">
        <v>1099</v>
      </c>
    </row>
    <row r="35037">
      <c r="B35037" s="31"/>
      <c r="G35037" s="272" t="s">
        <v>1099</v>
      </c>
    </row>
    <row r="35038">
      <c r="B35038" s="31"/>
      <c r="G35038" s="272" t="s">
        <v>1099</v>
      </c>
    </row>
    <row r="35039">
      <c r="B35039" s="31"/>
      <c r="G35039" s="272" t="s">
        <v>1099</v>
      </c>
    </row>
    <row r="35040">
      <c r="B35040" s="31"/>
      <c r="G35040" s="272" t="s">
        <v>1099</v>
      </c>
    </row>
    <row r="35041">
      <c r="B35041" s="31"/>
      <c r="G35041" s="272" t="s">
        <v>1099</v>
      </c>
    </row>
    <row r="35042">
      <c r="B35042" s="31"/>
      <c r="G35042" s="272" t="s">
        <v>1099</v>
      </c>
    </row>
    <row r="35043">
      <c r="B35043" s="31"/>
      <c r="G35043" s="272" t="s">
        <v>1099</v>
      </c>
    </row>
    <row r="35044">
      <c r="B35044" s="31"/>
      <c r="G35044" s="272" t="s">
        <v>1099</v>
      </c>
    </row>
    <row r="35045">
      <c r="B35045" s="31"/>
      <c r="G35045" s="272" t="s">
        <v>1099</v>
      </c>
    </row>
    <row r="35046">
      <c r="B35046" s="31"/>
      <c r="G35046" s="272" t="s">
        <v>1099</v>
      </c>
    </row>
    <row r="35047">
      <c r="B35047" s="31"/>
      <c r="G35047" s="272" t="s">
        <v>1099</v>
      </c>
    </row>
    <row r="35048">
      <c r="B35048" s="31"/>
      <c r="G35048" s="272" t="s">
        <v>1099</v>
      </c>
    </row>
    <row r="35049">
      <c r="B35049" s="31"/>
      <c r="G35049" s="272" t="s">
        <v>1099</v>
      </c>
    </row>
    <row r="35050">
      <c r="B35050" s="31"/>
      <c r="G35050" s="272" t="s">
        <v>1099</v>
      </c>
    </row>
    <row r="35051">
      <c r="B35051" s="31"/>
      <c r="G35051" s="272" t="s">
        <v>1099</v>
      </c>
    </row>
    <row r="35052">
      <c r="B35052" s="31"/>
      <c r="G35052" s="272" t="s">
        <v>1099</v>
      </c>
    </row>
    <row r="35053">
      <c r="B35053" s="31"/>
      <c r="G35053" s="272" t="s">
        <v>1099</v>
      </c>
    </row>
    <row r="35054">
      <c r="B35054" s="31"/>
      <c r="G35054" s="272" t="s">
        <v>1099</v>
      </c>
    </row>
    <row r="35055">
      <c r="B35055" s="31"/>
      <c r="G35055" s="272" t="s">
        <v>1099</v>
      </c>
    </row>
    <row r="35056">
      <c r="B35056" s="31"/>
      <c r="G35056" s="272" t="s">
        <v>1099</v>
      </c>
    </row>
    <row r="35057">
      <c r="B35057" s="31"/>
      <c r="G35057" s="272" t="s">
        <v>1099</v>
      </c>
    </row>
    <row r="35058">
      <c r="B35058" s="31"/>
      <c r="G35058" s="272" t="s">
        <v>1099</v>
      </c>
    </row>
    <row r="35059">
      <c r="B35059" s="31"/>
      <c r="G35059" s="272" t="s">
        <v>1099</v>
      </c>
    </row>
    <row r="35060">
      <c r="B35060" s="31"/>
      <c r="G35060" s="272" t="s">
        <v>1099</v>
      </c>
    </row>
    <row r="35061">
      <c r="B35061" s="31"/>
      <c r="G35061" s="272" t="s">
        <v>1099</v>
      </c>
    </row>
    <row r="35062">
      <c r="B35062" s="31"/>
      <c r="G35062" s="272" t="s">
        <v>1099</v>
      </c>
    </row>
    <row r="35063">
      <c r="B35063" s="31"/>
      <c r="G35063" s="272" t="s">
        <v>1099</v>
      </c>
    </row>
    <row r="35064">
      <c r="B35064" s="31"/>
      <c r="G35064" s="272" t="s">
        <v>1099</v>
      </c>
    </row>
    <row r="35065">
      <c r="B35065" s="31"/>
      <c r="G35065" s="272" t="s">
        <v>1099</v>
      </c>
    </row>
    <row r="35066">
      <c r="B35066" s="31"/>
      <c r="G35066" s="272" t="s">
        <v>1099</v>
      </c>
    </row>
    <row r="35067">
      <c r="B35067" s="31"/>
      <c r="G35067" s="272" t="s">
        <v>1099</v>
      </c>
    </row>
    <row r="35068">
      <c r="B35068" s="31"/>
      <c r="G35068" s="272" t="s">
        <v>1099</v>
      </c>
    </row>
    <row r="35069">
      <c r="B35069" s="31"/>
      <c r="G35069" s="272" t="s">
        <v>1099</v>
      </c>
    </row>
    <row r="35070">
      <c r="B35070" s="31"/>
      <c r="G35070" s="272" t="s">
        <v>1099</v>
      </c>
    </row>
    <row r="35071">
      <c r="B35071" s="31"/>
      <c r="G35071" s="272" t="s">
        <v>1099</v>
      </c>
    </row>
    <row r="35072">
      <c r="B35072" s="31"/>
      <c r="G35072" s="272" t="s">
        <v>1099</v>
      </c>
    </row>
    <row r="35073">
      <c r="B35073" s="31"/>
      <c r="G35073" s="272" t="s">
        <v>1099</v>
      </c>
    </row>
    <row r="35074">
      <c r="B35074" s="31"/>
      <c r="G35074" s="272" t="s">
        <v>1099</v>
      </c>
    </row>
    <row r="35075">
      <c r="B35075" s="31"/>
      <c r="G35075" s="272" t="s">
        <v>1099</v>
      </c>
    </row>
    <row r="35076">
      <c r="B35076" s="31"/>
      <c r="G35076" s="272" t="s">
        <v>1099</v>
      </c>
    </row>
    <row r="35077">
      <c r="B35077" s="31"/>
      <c r="G35077" s="272" t="s">
        <v>1099</v>
      </c>
    </row>
    <row r="35078">
      <c r="B35078" s="31"/>
      <c r="G35078" s="272" t="s">
        <v>1099</v>
      </c>
    </row>
    <row r="35079">
      <c r="B35079" s="31"/>
      <c r="G35079" s="272" t="s">
        <v>1099</v>
      </c>
    </row>
    <row r="35080">
      <c r="B35080" s="31"/>
      <c r="G35080" s="272" t="s">
        <v>1099</v>
      </c>
    </row>
    <row r="35081">
      <c r="B35081" s="31"/>
      <c r="G35081" s="272" t="s">
        <v>1099</v>
      </c>
    </row>
    <row r="35082">
      <c r="B35082" s="31"/>
      <c r="G35082" s="272" t="s">
        <v>1099</v>
      </c>
    </row>
    <row r="35083">
      <c r="B35083" s="31"/>
      <c r="G35083" s="272" t="s">
        <v>1099</v>
      </c>
    </row>
    <row r="35084">
      <c r="B35084" s="31"/>
      <c r="G35084" s="272" t="s">
        <v>1099</v>
      </c>
    </row>
    <row r="35085">
      <c r="B35085" s="31"/>
      <c r="G35085" s="272" t="s">
        <v>1099</v>
      </c>
    </row>
    <row r="35086">
      <c r="B35086" s="31"/>
      <c r="G35086" s="272" t="s">
        <v>1099</v>
      </c>
    </row>
    <row r="35087">
      <c r="B35087" s="31"/>
      <c r="G35087" s="272" t="s">
        <v>1099</v>
      </c>
    </row>
    <row r="35088">
      <c r="B35088" s="31"/>
      <c r="G35088" s="272" t="s">
        <v>1099</v>
      </c>
    </row>
    <row r="35089">
      <c r="B35089" s="31"/>
      <c r="G35089" s="272" t="s">
        <v>1099</v>
      </c>
    </row>
    <row r="35090">
      <c r="B35090" s="31"/>
      <c r="G35090" s="272" t="s">
        <v>1099</v>
      </c>
    </row>
    <row r="35091">
      <c r="B35091" s="31"/>
      <c r="G35091" s="272" t="s">
        <v>1099</v>
      </c>
    </row>
    <row r="35092">
      <c r="B35092" s="31"/>
      <c r="G35092" s="272" t="s">
        <v>1099</v>
      </c>
    </row>
    <row r="35093">
      <c r="B35093" s="31"/>
      <c r="G35093" s="272" t="s">
        <v>1099</v>
      </c>
    </row>
    <row r="35094">
      <c r="B35094" s="31"/>
      <c r="G35094" s="272" t="s">
        <v>1099</v>
      </c>
    </row>
    <row r="35095">
      <c r="B35095" s="31"/>
      <c r="G35095" s="272" t="s">
        <v>1099</v>
      </c>
    </row>
    <row r="35096">
      <c r="B35096" s="31"/>
      <c r="G35096" s="272" t="s">
        <v>1099</v>
      </c>
    </row>
    <row r="35097">
      <c r="B35097" s="31"/>
      <c r="G35097" s="272" t="s">
        <v>1099</v>
      </c>
    </row>
    <row r="35098">
      <c r="B35098" s="31"/>
      <c r="G35098" s="272" t="s">
        <v>1099</v>
      </c>
    </row>
    <row r="35099">
      <c r="B35099" s="31"/>
      <c r="G35099" s="272" t="s">
        <v>1099</v>
      </c>
    </row>
    <row r="35100">
      <c r="B35100" s="31"/>
      <c r="G35100" s="272" t="s">
        <v>1099</v>
      </c>
    </row>
    <row r="35101">
      <c r="B35101" s="31"/>
      <c r="G35101" s="272" t="s">
        <v>1099</v>
      </c>
    </row>
    <row r="35102">
      <c r="B35102" s="31"/>
      <c r="G35102" s="272" t="s">
        <v>1099</v>
      </c>
    </row>
    <row r="35103">
      <c r="B35103" s="31"/>
      <c r="G35103" s="272" t="s">
        <v>1099</v>
      </c>
    </row>
    <row r="35104">
      <c r="B35104" s="31"/>
      <c r="G35104" s="272" t="s">
        <v>1099</v>
      </c>
    </row>
    <row r="35105">
      <c r="B35105" s="31"/>
      <c r="G35105" s="272" t="s">
        <v>1099</v>
      </c>
    </row>
    <row r="35106">
      <c r="B35106" s="31"/>
      <c r="G35106" s="272" t="s">
        <v>1099</v>
      </c>
    </row>
    <row r="35107">
      <c r="B35107" s="31"/>
      <c r="G35107" s="272" t="s">
        <v>1099</v>
      </c>
    </row>
    <row r="35108">
      <c r="B35108" s="31"/>
      <c r="G35108" s="272" t="s">
        <v>1099</v>
      </c>
    </row>
    <row r="35109">
      <c r="B35109" s="31"/>
      <c r="G35109" s="272" t="s">
        <v>1099</v>
      </c>
    </row>
    <row r="35110">
      <c r="B35110" s="31"/>
      <c r="G35110" s="272" t="s">
        <v>1099</v>
      </c>
    </row>
    <row r="35111">
      <c r="B35111" s="31"/>
      <c r="G35111" s="272" t="s">
        <v>1099</v>
      </c>
    </row>
    <row r="35112">
      <c r="B35112" s="31"/>
      <c r="G35112" s="272" t="s">
        <v>1099</v>
      </c>
    </row>
    <row r="35113">
      <c r="B35113" s="31"/>
      <c r="G35113" s="272" t="s">
        <v>1099</v>
      </c>
    </row>
    <row r="35114">
      <c r="B35114" s="31"/>
      <c r="G35114" s="272" t="s">
        <v>1099</v>
      </c>
    </row>
    <row r="35115">
      <c r="B35115" s="31"/>
      <c r="G35115" s="272" t="s">
        <v>1099</v>
      </c>
    </row>
    <row r="35116">
      <c r="B35116" s="31"/>
      <c r="G35116" s="272" t="s">
        <v>1099</v>
      </c>
    </row>
    <row r="35117">
      <c r="B35117" s="31"/>
      <c r="G35117" s="272" t="s">
        <v>1099</v>
      </c>
    </row>
    <row r="35118">
      <c r="B35118" s="31"/>
      <c r="G35118" s="272" t="s">
        <v>1099</v>
      </c>
    </row>
    <row r="35119">
      <c r="B35119" s="31"/>
      <c r="G35119" s="272" t="s">
        <v>1099</v>
      </c>
    </row>
    <row r="35120">
      <c r="B35120" s="31"/>
      <c r="G35120" s="272" t="s">
        <v>1099</v>
      </c>
    </row>
    <row r="35121">
      <c r="B35121" s="31"/>
      <c r="G35121" s="272" t="s">
        <v>1099</v>
      </c>
    </row>
    <row r="35122">
      <c r="B35122" s="31"/>
      <c r="G35122" s="272" t="s">
        <v>1099</v>
      </c>
    </row>
    <row r="35123">
      <c r="B35123" s="31"/>
      <c r="G35123" s="272" t="s">
        <v>1099</v>
      </c>
    </row>
    <row r="35124">
      <c r="B35124" s="31"/>
      <c r="G35124" s="272" t="s">
        <v>1099</v>
      </c>
    </row>
    <row r="35125">
      <c r="B35125" s="31"/>
      <c r="G35125" s="272" t="s">
        <v>1099</v>
      </c>
    </row>
    <row r="35126">
      <c r="B35126" s="31"/>
      <c r="G35126" s="272" t="s">
        <v>1099</v>
      </c>
    </row>
    <row r="35127">
      <c r="B35127" s="31"/>
      <c r="G35127" s="272" t="s">
        <v>1099</v>
      </c>
    </row>
    <row r="35128">
      <c r="B35128" s="31"/>
      <c r="G35128" s="272" t="s">
        <v>1099</v>
      </c>
    </row>
    <row r="35129">
      <c r="B35129" s="31"/>
      <c r="G35129" s="272" t="s">
        <v>1099</v>
      </c>
    </row>
    <row r="35130">
      <c r="B35130" s="31"/>
      <c r="G35130" s="272" t="s">
        <v>1099</v>
      </c>
    </row>
    <row r="35131">
      <c r="B35131" s="31"/>
      <c r="G35131" s="272" t="s">
        <v>1099</v>
      </c>
    </row>
    <row r="35132">
      <c r="B35132" s="31"/>
      <c r="G35132" s="272" t="s">
        <v>1099</v>
      </c>
    </row>
    <row r="35133">
      <c r="B35133" s="31"/>
      <c r="G35133" s="272" t="s">
        <v>1099</v>
      </c>
    </row>
    <row r="35134">
      <c r="B35134" s="31"/>
      <c r="G35134" s="272" t="s">
        <v>1099</v>
      </c>
    </row>
    <row r="35135">
      <c r="B35135" s="31"/>
      <c r="G35135" s="272" t="s">
        <v>1099</v>
      </c>
    </row>
    <row r="35136">
      <c r="B35136" s="31"/>
      <c r="G35136" s="272" t="s">
        <v>1099</v>
      </c>
    </row>
    <row r="35137">
      <c r="B35137" s="31"/>
      <c r="G35137" s="272" t="s">
        <v>1099</v>
      </c>
    </row>
    <row r="35138">
      <c r="B35138" s="31"/>
      <c r="G35138" s="272" t="s">
        <v>1099</v>
      </c>
    </row>
    <row r="35139">
      <c r="B35139" s="31"/>
      <c r="G35139" s="272" t="s">
        <v>1099</v>
      </c>
    </row>
    <row r="35140">
      <c r="B35140" s="31"/>
      <c r="G35140" s="272" t="s">
        <v>1099</v>
      </c>
    </row>
    <row r="35141">
      <c r="B35141" s="31"/>
      <c r="G35141" s="272" t="s">
        <v>1099</v>
      </c>
    </row>
    <row r="35142">
      <c r="B35142" s="31"/>
      <c r="G35142" s="272" t="s">
        <v>1099</v>
      </c>
    </row>
    <row r="35143">
      <c r="B35143" s="31"/>
      <c r="G35143" s="272" t="s">
        <v>1099</v>
      </c>
    </row>
    <row r="35144">
      <c r="B35144" s="31"/>
      <c r="G35144" s="272" t="s">
        <v>1099</v>
      </c>
    </row>
    <row r="35145">
      <c r="B35145" s="31"/>
      <c r="G35145" s="272" t="s">
        <v>1099</v>
      </c>
    </row>
    <row r="35146">
      <c r="B35146" s="31"/>
      <c r="G35146" s="272" t="s">
        <v>1099</v>
      </c>
    </row>
    <row r="35147">
      <c r="B35147" s="31"/>
      <c r="G35147" s="272" t="s">
        <v>1099</v>
      </c>
    </row>
    <row r="35148">
      <c r="B35148" s="31"/>
      <c r="G35148" s="272" t="s">
        <v>1099</v>
      </c>
    </row>
    <row r="35149">
      <c r="B35149" s="31"/>
      <c r="G35149" s="272" t="s">
        <v>1099</v>
      </c>
    </row>
    <row r="35150">
      <c r="B35150" s="31"/>
      <c r="G35150" s="272" t="s">
        <v>1099</v>
      </c>
    </row>
    <row r="35151">
      <c r="B35151" s="31"/>
      <c r="G35151" s="272" t="s">
        <v>1099</v>
      </c>
    </row>
    <row r="35152">
      <c r="B35152" s="31"/>
      <c r="G35152" s="272" t="s">
        <v>1099</v>
      </c>
    </row>
    <row r="35153">
      <c r="B35153" s="31"/>
      <c r="G35153" s="272" t="s">
        <v>1099</v>
      </c>
    </row>
    <row r="35154">
      <c r="B35154" s="31"/>
      <c r="G35154" s="272" t="s">
        <v>1099</v>
      </c>
    </row>
    <row r="35155">
      <c r="B35155" s="31"/>
      <c r="G35155" s="272" t="s">
        <v>1099</v>
      </c>
    </row>
    <row r="35156">
      <c r="B35156" s="31"/>
      <c r="G35156" s="272" t="s">
        <v>1099</v>
      </c>
    </row>
    <row r="35157">
      <c r="B35157" s="31"/>
      <c r="G35157" s="272" t="s">
        <v>1099</v>
      </c>
    </row>
    <row r="35158">
      <c r="B35158" s="31"/>
      <c r="G35158" s="272" t="s">
        <v>1099</v>
      </c>
    </row>
    <row r="35159">
      <c r="B35159" s="31"/>
      <c r="G35159" s="272" t="s">
        <v>1099</v>
      </c>
    </row>
    <row r="35160">
      <c r="B35160" s="31"/>
      <c r="G35160" s="272" t="s">
        <v>1099</v>
      </c>
    </row>
    <row r="35161">
      <c r="B35161" s="31"/>
      <c r="G35161" s="272" t="s">
        <v>1099</v>
      </c>
    </row>
    <row r="35162">
      <c r="B35162" s="31"/>
      <c r="G35162" s="272" t="s">
        <v>1099</v>
      </c>
    </row>
    <row r="35163">
      <c r="B35163" s="31"/>
      <c r="G35163" s="272" t="s">
        <v>1099</v>
      </c>
    </row>
    <row r="35164">
      <c r="B35164" s="31"/>
      <c r="G35164" s="272" t="s">
        <v>1099</v>
      </c>
    </row>
    <row r="35165">
      <c r="B35165" s="31"/>
      <c r="G35165" s="272" t="s">
        <v>1099</v>
      </c>
    </row>
    <row r="35166">
      <c r="B35166" s="31"/>
      <c r="G35166" s="272" t="s">
        <v>1099</v>
      </c>
    </row>
    <row r="35167">
      <c r="B35167" s="31"/>
      <c r="G35167" s="272" t="s">
        <v>1099</v>
      </c>
    </row>
    <row r="35168">
      <c r="B35168" s="31"/>
      <c r="G35168" s="272" t="s">
        <v>1099</v>
      </c>
    </row>
    <row r="35169">
      <c r="B35169" s="31"/>
      <c r="G35169" s="272" t="s">
        <v>1099</v>
      </c>
    </row>
    <row r="35170">
      <c r="B35170" s="31"/>
      <c r="G35170" s="272" t="s">
        <v>1099</v>
      </c>
    </row>
    <row r="35171">
      <c r="B35171" s="31"/>
      <c r="G35171" s="272" t="s">
        <v>1099</v>
      </c>
    </row>
    <row r="35172">
      <c r="B35172" s="31"/>
      <c r="G35172" s="272" t="s">
        <v>1099</v>
      </c>
    </row>
    <row r="35173">
      <c r="B35173" s="31"/>
      <c r="G35173" s="272" t="s">
        <v>1099</v>
      </c>
    </row>
    <row r="35174">
      <c r="B35174" s="31"/>
      <c r="G35174" s="272" t="s">
        <v>1099</v>
      </c>
    </row>
    <row r="35175">
      <c r="B35175" s="31"/>
      <c r="G35175" s="272" t="s">
        <v>1099</v>
      </c>
    </row>
    <row r="35176">
      <c r="B35176" s="31"/>
      <c r="G35176" s="272" t="s">
        <v>1099</v>
      </c>
    </row>
    <row r="35177">
      <c r="B35177" s="31"/>
      <c r="G35177" s="272" t="s">
        <v>1099</v>
      </c>
    </row>
    <row r="35178">
      <c r="B35178" s="31"/>
      <c r="G35178" s="272" t="s">
        <v>1099</v>
      </c>
    </row>
    <row r="35179">
      <c r="B35179" s="31"/>
      <c r="G35179" s="272" t="s">
        <v>1099</v>
      </c>
    </row>
    <row r="35180">
      <c r="B35180" s="31"/>
      <c r="G35180" s="272" t="s">
        <v>1099</v>
      </c>
    </row>
    <row r="35181">
      <c r="B35181" s="31"/>
      <c r="G35181" s="272" t="s">
        <v>1099</v>
      </c>
    </row>
    <row r="35182">
      <c r="B35182" s="31"/>
      <c r="G35182" s="272" t="s">
        <v>1099</v>
      </c>
    </row>
    <row r="35183">
      <c r="B35183" s="31"/>
      <c r="G35183" s="272" t="s">
        <v>1099</v>
      </c>
    </row>
    <row r="35184">
      <c r="B35184" s="31"/>
      <c r="G35184" s="272" t="s">
        <v>1099</v>
      </c>
    </row>
    <row r="35185">
      <c r="B35185" s="31"/>
      <c r="G35185" s="272" t="s">
        <v>1099</v>
      </c>
    </row>
    <row r="35186">
      <c r="B35186" s="31"/>
      <c r="G35186" s="272" t="s">
        <v>1099</v>
      </c>
    </row>
    <row r="35187">
      <c r="B35187" s="31"/>
      <c r="G35187" s="272" t="s">
        <v>1099</v>
      </c>
    </row>
    <row r="35188">
      <c r="B35188" s="31"/>
      <c r="G35188" s="272" t="s">
        <v>1099</v>
      </c>
    </row>
    <row r="35189">
      <c r="B35189" s="31"/>
      <c r="G35189" s="272" t="s">
        <v>1099</v>
      </c>
    </row>
    <row r="35190">
      <c r="B35190" s="31"/>
      <c r="G35190" s="272" t="s">
        <v>1099</v>
      </c>
    </row>
    <row r="35191">
      <c r="B35191" s="31"/>
      <c r="G35191" s="272" t="s">
        <v>1099</v>
      </c>
    </row>
    <row r="35192">
      <c r="B35192" s="31"/>
      <c r="G35192" s="272" t="s">
        <v>1099</v>
      </c>
    </row>
    <row r="35193">
      <c r="B35193" s="31"/>
      <c r="G35193" s="272" t="s">
        <v>1099</v>
      </c>
    </row>
    <row r="35194">
      <c r="B35194" s="31"/>
      <c r="G35194" s="272" t="s">
        <v>1099</v>
      </c>
    </row>
    <row r="35195">
      <c r="B35195" s="31"/>
      <c r="G35195" s="272" t="s">
        <v>1099</v>
      </c>
    </row>
    <row r="35196">
      <c r="B35196" s="31"/>
      <c r="G35196" s="272" t="s">
        <v>1099</v>
      </c>
    </row>
    <row r="35197">
      <c r="B35197" s="31"/>
      <c r="G35197" s="272" t="s">
        <v>1099</v>
      </c>
    </row>
    <row r="35198">
      <c r="B35198" s="31"/>
      <c r="G35198" s="272" t="s">
        <v>1099</v>
      </c>
    </row>
    <row r="35199">
      <c r="B35199" s="31"/>
      <c r="G35199" s="272" t="s">
        <v>1099</v>
      </c>
    </row>
    <row r="35200">
      <c r="B35200" s="31"/>
      <c r="G35200" s="272" t="s">
        <v>1099</v>
      </c>
    </row>
    <row r="35201">
      <c r="B35201" s="31"/>
      <c r="G35201" s="272" t="s">
        <v>1099</v>
      </c>
    </row>
    <row r="35202">
      <c r="B35202" s="31"/>
      <c r="G35202" s="272" t="s">
        <v>1099</v>
      </c>
    </row>
    <row r="35203">
      <c r="B35203" s="31"/>
      <c r="G35203" s="272" t="s">
        <v>1099</v>
      </c>
    </row>
    <row r="35204">
      <c r="B35204" s="31"/>
      <c r="G35204" s="272" t="s">
        <v>1099</v>
      </c>
    </row>
    <row r="35205">
      <c r="B35205" s="31"/>
      <c r="G35205" s="272" t="s">
        <v>1099</v>
      </c>
    </row>
    <row r="35206">
      <c r="B35206" s="31"/>
      <c r="G35206" s="272" t="s">
        <v>1099</v>
      </c>
    </row>
    <row r="35207">
      <c r="B35207" s="31"/>
      <c r="G35207" s="272" t="s">
        <v>1099</v>
      </c>
    </row>
    <row r="35208">
      <c r="B35208" s="31"/>
      <c r="G35208" s="272" t="s">
        <v>1099</v>
      </c>
    </row>
    <row r="35209">
      <c r="B35209" s="31"/>
      <c r="G35209" s="272" t="s">
        <v>1099</v>
      </c>
    </row>
    <row r="35210">
      <c r="B35210" s="31"/>
      <c r="G35210" s="272" t="s">
        <v>1099</v>
      </c>
    </row>
    <row r="35211">
      <c r="B35211" s="31"/>
      <c r="G35211" s="272" t="s">
        <v>1099</v>
      </c>
    </row>
    <row r="35212">
      <c r="B35212" s="31"/>
      <c r="G35212" s="272" t="s">
        <v>1099</v>
      </c>
    </row>
    <row r="35213">
      <c r="B35213" s="31"/>
      <c r="G35213" s="272" t="s">
        <v>1099</v>
      </c>
    </row>
    <row r="35214">
      <c r="B35214" s="31"/>
      <c r="G35214" s="272" t="s">
        <v>1099</v>
      </c>
    </row>
    <row r="35215">
      <c r="B35215" s="31"/>
      <c r="G35215" s="272" t="s">
        <v>1099</v>
      </c>
    </row>
    <row r="35216">
      <c r="B35216" s="31"/>
      <c r="G35216" s="272" t="s">
        <v>1099</v>
      </c>
    </row>
    <row r="35217">
      <c r="B35217" s="31"/>
      <c r="G35217" s="272" t="s">
        <v>1099</v>
      </c>
    </row>
    <row r="35218">
      <c r="B35218" s="31"/>
      <c r="G35218" s="272" t="s">
        <v>1099</v>
      </c>
    </row>
    <row r="35219">
      <c r="B35219" s="31"/>
      <c r="G35219" s="272" t="s">
        <v>1099</v>
      </c>
    </row>
    <row r="35220">
      <c r="B35220" s="31"/>
      <c r="G35220" s="272" t="s">
        <v>1099</v>
      </c>
    </row>
    <row r="35221">
      <c r="B35221" s="31"/>
      <c r="G35221" s="272" t="s">
        <v>1099</v>
      </c>
    </row>
    <row r="35222">
      <c r="B35222" s="31"/>
      <c r="G35222" s="272" t="s">
        <v>1099</v>
      </c>
    </row>
    <row r="35223">
      <c r="B35223" s="31"/>
      <c r="G35223" s="272" t="s">
        <v>1099</v>
      </c>
    </row>
    <row r="35224">
      <c r="B35224" s="31"/>
      <c r="G35224" s="272" t="s">
        <v>1099</v>
      </c>
    </row>
    <row r="35225">
      <c r="B35225" s="31"/>
      <c r="G35225" s="272" t="s">
        <v>1099</v>
      </c>
    </row>
    <row r="35226">
      <c r="B35226" s="31"/>
      <c r="G35226" s="272" t="s">
        <v>1099</v>
      </c>
    </row>
    <row r="35227">
      <c r="B35227" s="31"/>
      <c r="G35227" s="272" t="s">
        <v>1099</v>
      </c>
    </row>
    <row r="35228">
      <c r="B35228" s="31"/>
      <c r="G35228" s="272" t="s">
        <v>1099</v>
      </c>
    </row>
    <row r="35229">
      <c r="B35229" s="31"/>
      <c r="G35229" s="272" t="s">
        <v>1099</v>
      </c>
    </row>
    <row r="35230">
      <c r="B35230" s="31"/>
      <c r="G35230" s="272" t="s">
        <v>1099</v>
      </c>
    </row>
    <row r="35231">
      <c r="B35231" s="31"/>
      <c r="G35231" s="272" t="s">
        <v>1099</v>
      </c>
    </row>
    <row r="35232">
      <c r="B35232" s="31"/>
      <c r="G35232" s="272" t="s">
        <v>1099</v>
      </c>
    </row>
    <row r="35233">
      <c r="B35233" s="31"/>
      <c r="G35233" s="272" t="s">
        <v>1099</v>
      </c>
    </row>
    <row r="35234">
      <c r="B35234" s="31"/>
      <c r="G35234" s="272" t="s">
        <v>1099</v>
      </c>
    </row>
    <row r="35235">
      <c r="B35235" s="31"/>
      <c r="G35235" s="272" t="s">
        <v>1099</v>
      </c>
    </row>
    <row r="35236">
      <c r="B35236" s="31"/>
      <c r="G35236" s="272" t="s">
        <v>1099</v>
      </c>
    </row>
    <row r="35237">
      <c r="B35237" s="31"/>
      <c r="G35237" s="272" t="s">
        <v>1099</v>
      </c>
    </row>
    <row r="35238">
      <c r="B35238" s="31"/>
      <c r="G35238" s="272" t="s">
        <v>1099</v>
      </c>
    </row>
    <row r="35239">
      <c r="B35239" s="31"/>
      <c r="G35239" s="272" t="s">
        <v>1099</v>
      </c>
    </row>
    <row r="35240">
      <c r="B35240" s="31"/>
      <c r="G35240" s="272" t="s">
        <v>1099</v>
      </c>
    </row>
    <row r="35241">
      <c r="B35241" s="31"/>
      <c r="G35241" s="272" t="s">
        <v>1099</v>
      </c>
    </row>
    <row r="35242">
      <c r="B35242" s="31"/>
      <c r="G35242" s="272" t="s">
        <v>1099</v>
      </c>
    </row>
    <row r="35243">
      <c r="B35243" s="31"/>
      <c r="G35243" s="272" t="s">
        <v>1099</v>
      </c>
    </row>
    <row r="35244">
      <c r="B35244" s="31"/>
      <c r="G35244" s="272" t="s">
        <v>1099</v>
      </c>
    </row>
    <row r="35245">
      <c r="B35245" s="31"/>
      <c r="G35245" s="272" t="s">
        <v>1099</v>
      </c>
    </row>
    <row r="35246">
      <c r="B35246" s="31"/>
      <c r="G35246" s="272" t="s">
        <v>1099</v>
      </c>
    </row>
    <row r="35247">
      <c r="B35247" s="31"/>
      <c r="G35247" s="272" t="s">
        <v>1099</v>
      </c>
    </row>
    <row r="35248">
      <c r="B35248" s="31"/>
      <c r="G35248" s="272" t="s">
        <v>1099</v>
      </c>
    </row>
    <row r="35249">
      <c r="B35249" s="31"/>
      <c r="G35249" s="272" t="s">
        <v>1099</v>
      </c>
    </row>
    <row r="35250">
      <c r="B35250" s="31"/>
      <c r="G35250" s="272" t="s">
        <v>1099</v>
      </c>
    </row>
    <row r="35251">
      <c r="B35251" s="31"/>
      <c r="G35251" s="272" t="s">
        <v>1099</v>
      </c>
    </row>
    <row r="35252">
      <c r="B35252" s="31"/>
      <c r="G35252" s="272" t="s">
        <v>1099</v>
      </c>
    </row>
    <row r="35253">
      <c r="B35253" s="31"/>
      <c r="G35253" s="272" t="s">
        <v>1099</v>
      </c>
    </row>
    <row r="35254">
      <c r="B35254" s="31"/>
      <c r="G35254" s="272" t="s">
        <v>1099</v>
      </c>
    </row>
    <row r="35255">
      <c r="B35255" s="31"/>
      <c r="G35255" s="272" t="s">
        <v>1099</v>
      </c>
    </row>
    <row r="35256">
      <c r="B35256" s="31"/>
      <c r="G35256" s="272" t="s">
        <v>1099</v>
      </c>
    </row>
    <row r="35257">
      <c r="B35257" s="31"/>
      <c r="G35257" s="272" t="s">
        <v>1099</v>
      </c>
    </row>
    <row r="35258">
      <c r="B35258" s="31"/>
      <c r="G35258" s="272" t="s">
        <v>1099</v>
      </c>
    </row>
    <row r="35259">
      <c r="B35259" s="31"/>
      <c r="G35259" s="272" t="s">
        <v>1099</v>
      </c>
    </row>
    <row r="35260">
      <c r="B35260" s="31"/>
      <c r="G35260" s="272" t="s">
        <v>1099</v>
      </c>
    </row>
    <row r="35261">
      <c r="B35261" s="31"/>
      <c r="G35261" s="272" t="s">
        <v>1099</v>
      </c>
    </row>
    <row r="35262">
      <c r="B35262" s="31"/>
      <c r="G35262" s="272" t="s">
        <v>1099</v>
      </c>
    </row>
    <row r="35263">
      <c r="B35263" s="31"/>
      <c r="G35263" s="272" t="s">
        <v>1099</v>
      </c>
    </row>
    <row r="35264">
      <c r="B35264" s="31"/>
      <c r="G35264" s="272" t="s">
        <v>1099</v>
      </c>
    </row>
    <row r="35265">
      <c r="B35265" s="31"/>
      <c r="G35265" s="272" t="s">
        <v>1099</v>
      </c>
    </row>
    <row r="35266">
      <c r="B35266" s="31"/>
      <c r="G35266" s="272" t="s">
        <v>1099</v>
      </c>
    </row>
    <row r="35267">
      <c r="B35267" s="31"/>
      <c r="G35267" s="272" t="s">
        <v>1099</v>
      </c>
    </row>
    <row r="35268">
      <c r="B35268" s="31"/>
      <c r="G35268" s="272" t="s">
        <v>1099</v>
      </c>
    </row>
    <row r="35269">
      <c r="B35269" s="31"/>
      <c r="G35269" s="272" t="s">
        <v>1099</v>
      </c>
    </row>
    <row r="35270">
      <c r="B35270" s="31"/>
      <c r="G35270" s="272" t="s">
        <v>1099</v>
      </c>
    </row>
    <row r="35271">
      <c r="B35271" s="31"/>
      <c r="G35271" s="272" t="s">
        <v>1099</v>
      </c>
    </row>
    <row r="35272">
      <c r="B35272" s="31"/>
      <c r="G35272" s="272" t="s">
        <v>1099</v>
      </c>
    </row>
    <row r="35273">
      <c r="B35273" s="31"/>
      <c r="G35273" s="272" t="s">
        <v>1099</v>
      </c>
    </row>
    <row r="35274">
      <c r="B35274" s="31"/>
      <c r="G35274" s="272" t="s">
        <v>1099</v>
      </c>
    </row>
    <row r="35275">
      <c r="B35275" s="31"/>
      <c r="G35275" s="272" t="s">
        <v>1099</v>
      </c>
    </row>
    <row r="35276">
      <c r="B35276" s="31"/>
      <c r="G35276" s="272" t="s">
        <v>1099</v>
      </c>
    </row>
    <row r="35277">
      <c r="B35277" s="31"/>
      <c r="G35277" s="272" t="s">
        <v>1099</v>
      </c>
    </row>
    <row r="35278">
      <c r="B35278" s="31"/>
      <c r="G35278" s="272" t="s">
        <v>1099</v>
      </c>
    </row>
    <row r="35279">
      <c r="B35279" s="31"/>
      <c r="G35279" s="272" t="s">
        <v>1099</v>
      </c>
    </row>
    <row r="35280">
      <c r="B35280" s="31"/>
      <c r="G35280" s="272" t="s">
        <v>1099</v>
      </c>
    </row>
    <row r="35281">
      <c r="B35281" s="31"/>
      <c r="G35281" s="272" t="s">
        <v>1099</v>
      </c>
    </row>
    <row r="35282">
      <c r="B35282" s="31"/>
      <c r="G35282" s="272" t="s">
        <v>1099</v>
      </c>
    </row>
    <row r="35283">
      <c r="B35283" s="31"/>
      <c r="G35283" s="272" t="s">
        <v>1099</v>
      </c>
    </row>
    <row r="35284">
      <c r="B35284" s="31"/>
      <c r="G35284" s="272" t="s">
        <v>1099</v>
      </c>
    </row>
    <row r="35285">
      <c r="B35285" s="31"/>
      <c r="G35285" s="272" t="s">
        <v>1099</v>
      </c>
    </row>
    <row r="35286">
      <c r="B35286" s="31"/>
      <c r="G35286" s="272" t="s">
        <v>1099</v>
      </c>
    </row>
    <row r="35287">
      <c r="B35287" s="31"/>
      <c r="G35287" s="272" t="s">
        <v>1099</v>
      </c>
    </row>
    <row r="35288">
      <c r="B35288" s="31"/>
      <c r="G35288" s="272" t="s">
        <v>1099</v>
      </c>
    </row>
    <row r="35289">
      <c r="B35289" s="31"/>
      <c r="G35289" s="272" t="s">
        <v>1099</v>
      </c>
    </row>
    <row r="35290">
      <c r="B35290" s="31"/>
      <c r="G35290" s="272" t="s">
        <v>1099</v>
      </c>
    </row>
    <row r="35291">
      <c r="B35291" s="31"/>
      <c r="G35291" s="272" t="s">
        <v>1099</v>
      </c>
    </row>
    <row r="35292">
      <c r="B35292" s="31"/>
      <c r="G35292" s="272" t="s">
        <v>1099</v>
      </c>
    </row>
    <row r="35293">
      <c r="B35293" s="31"/>
      <c r="G35293" s="272" t="s">
        <v>1099</v>
      </c>
    </row>
    <row r="35294">
      <c r="B35294" s="31"/>
      <c r="G35294" s="272" t="s">
        <v>1099</v>
      </c>
    </row>
    <row r="35295">
      <c r="B35295" s="31"/>
      <c r="G35295" s="272" t="s">
        <v>1099</v>
      </c>
    </row>
    <row r="35296">
      <c r="B35296" s="31"/>
      <c r="G35296" s="272" t="s">
        <v>1099</v>
      </c>
    </row>
    <row r="35297">
      <c r="B35297" s="31"/>
      <c r="G35297" s="272" t="s">
        <v>1099</v>
      </c>
    </row>
    <row r="35298">
      <c r="B35298" s="31"/>
      <c r="G35298" s="272" t="s">
        <v>1099</v>
      </c>
    </row>
    <row r="35299">
      <c r="B35299" s="31"/>
      <c r="G35299" s="272" t="s">
        <v>1099</v>
      </c>
    </row>
    <row r="35300">
      <c r="B35300" s="31"/>
      <c r="G35300" s="272" t="s">
        <v>1099</v>
      </c>
    </row>
    <row r="35301">
      <c r="B35301" s="31"/>
      <c r="G35301" s="272" t="s">
        <v>1099</v>
      </c>
    </row>
    <row r="35302">
      <c r="B35302" s="31"/>
      <c r="G35302" s="272" t="s">
        <v>1099</v>
      </c>
    </row>
    <row r="35303">
      <c r="B35303" s="31"/>
      <c r="G35303" s="272" t="s">
        <v>1099</v>
      </c>
    </row>
    <row r="35304">
      <c r="B35304" s="31"/>
      <c r="G35304" s="272" t="s">
        <v>1099</v>
      </c>
    </row>
    <row r="35305">
      <c r="B35305" s="31"/>
      <c r="G35305" s="272" t="s">
        <v>1099</v>
      </c>
    </row>
    <row r="35306">
      <c r="B35306" s="31"/>
      <c r="G35306" s="272" t="s">
        <v>1099</v>
      </c>
    </row>
    <row r="35307">
      <c r="B35307" s="31"/>
      <c r="G35307" s="272" t="s">
        <v>1099</v>
      </c>
    </row>
    <row r="35308">
      <c r="B35308" s="31"/>
      <c r="G35308" s="272" t="s">
        <v>1099</v>
      </c>
    </row>
    <row r="35309">
      <c r="B35309" s="31"/>
      <c r="G35309" s="272" t="s">
        <v>1099</v>
      </c>
    </row>
    <row r="35310">
      <c r="B35310" s="31"/>
      <c r="G35310" s="272" t="s">
        <v>1099</v>
      </c>
    </row>
    <row r="35311">
      <c r="B35311" s="31"/>
      <c r="G35311" s="272" t="s">
        <v>1099</v>
      </c>
    </row>
    <row r="35312">
      <c r="B35312" s="31"/>
      <c r="G35312" s="272" t="s">
        <v>1099</v>
      </c>
    </row>
    <row r="35313">
      <c r="B35313" s="31"/>
      <c r="G35313" s="272" t="s">
        <v>1099</v>
      </c>
    </row>
    <row r="35314">
      <c r="B35314" s="31"/>
      <c r="G35314" s="272" t="s">
        <v>1099</v>
      </c>
    </row>
    <row r="35315">
      <c r="B35315" s="31"/>
      <c r="G35315" s="272" t="s">
        <v>1099</v>
      </c>
    </row>
    <row r="35316">
      <c r="B35316" s="31"/>
      <c r="G35316" s="272" t="s">
        <v>1099</v>
      </c>
    </row>
    <row r="35317">
      <c r="B35317" s="31"/>
      <c r="G35317" s="272" t="s">
        <v>1099</v>
      </c>
    </row>
    <row r="35318">
      <c r="B35318" s="31"/>
      <c r="G35318" s="272" t="s">
        <v>1099</v>
      </c>
    </row>
    <row r="35319">
      <c r="B35319" s="31"/>
      <c r="G35319" s="272" t="s">
        <v>1099</v>
      </c>
    </row>
    <row r="35320">
      <c r="B35320" s="31"/>
      <c r="G35320" s="272" t="s">
        <v>1099</v>
      </c>
    </row>
    <row r="35321">
      <c r="B35321" s="31"/>
      <c r="G35321" s="272" t="s">
        <v>1099</v>
      </c>
    </row>
    <row r="35322">
      <c r="B35322" s="31"/>
      <c r="G35322" s="272" t="s">
        <v>1099</v>
      </c>
    </row>
    <row r="35323">
      <c r="B35323" s="31"/>
      <c r="G35323" s="272" t="s">
        <v>1099</v>
      </c>
    </row>
    <row r="35324">
      <c r="B35324" s="31"/>
      <c r="G35324" s="272" t="s">
        <v>1099</v>
      </c>
    </row>
    <row r="35325">
      <c r="B35325" s="31"/>
      <c r="G35325" s="272" t="s">
        <v>1099</v>
      </c>
    </row>
    <row r="35326">
      <c r="B35326" s="31"/>
      <c r="G35326" s="272" t="s">
        <v>1099</v>
      </c>
    </row>
    <row r="35327">
      <c r="B35327" s="31"/>
      <c r="G35327" s="272" t="s">
        <v>1099</v>
      </c>
    </row>
    <row r="35328">
      <c r="B35328" s="31"/>
      <c r="G35328" s="272" t="s">
        <v>1099</v>
      </c>
    </row>
    <row r="35329">
      <c r="B35329" s="31"/>
      <c r="G35329" s="272" t="s">
        <v>1099</v>
      </c>
    </row>
    <row r="35330">
      <c r="B35330" s="31"/>
      <c r="G35330" s="272" t="s">
        <v>1099</v>
      </c>
    </row>
    <row r="35331">
      <c r="B35331" s="31"/>
      <c r="G35331" s="272" t="s">
        <v>1099</v>
      </c>
    </row>
    <row r="35332">
      <c r="B35332" s="31"/>
      <c r="G35332" s="272" t="s">
        <v>1099</v>
      </c>
    </row>
    <row r="35333">
      <c r="B35333" s="31"/>
      <c r="G35333" s="272" t="s">
        <v>1099</v>
      </c>
    </row>
    <row r="35334">
      <c r="B35334" s="31"/>
      <c r="G35334" s="272" t="s">
        <v>1099</v>
      </c>
    </row>
    <row r="35335">
      <c r="B35335" s="31"/>
      <c r="G35335" s="272" t="s">
        <v>1099</v>
      </c>
    </row>
    <row r="35336">
      <c r="B35336" s="31"/>
      <c r="G35336" s="272" t="s">
        <v>1099</v>
      </c>
    </row>
    <row r="35337">
      <c r="B35337" s="31"/>
      <c r="G35337" s="272" t="s">
        <v>1099</v>
      </c>
    </row>
    <row r="35338">
      <c r="B35338" s="31"/>
      <c r="G35338" s="272" t="s">
        <v>1099</v>
      </c>
    </row>
    <row r="35339">
      <c r="B35339" s="31"/>
      <c r="G35339" s="272" t="s">
        <v>1099</v>
      </c>
    </row>
    <row r="35340">
      <c r="B35340" s="31"/>
      <c r="G35340" s="272" t="s">
        <v>1099</v>
      </c>
    </row>
    <row r="35341">
      <c r="B35341" s="31"/>
      <c r="G35341" s="272" t="s">
        <v>1099</v>
      </c>
    </row>
    <row r="35342">
      <c r="B35342" s="31"/>
      <c r="G35342" s="272" t="s">
        <v>1099</v>
      </c>
    </row>
    <row r="35343">
      <c r="B35343" s="31"/>
      <c r="G35343" s="272" t="s">
        <v>1099</v>
      </c>
    </row>
    <row r="35344">
      <c r="B35344" s="31"/>
      <c r="G35344" s="272" t="s">
        <v>1099</v>
      </c>
    </row>
    <row r="35345">
      <c r="B35345" s="31"/>
      <c r="G35345" s="272" t="s">
        <v>1099</v>
      </c>
    </row>
    <row r="35346">
      <c r="B35346" s="31"/>
      <c r="G35346" s="272" t="s">
        <v>1099</v>
      </c>
    </row>
    <row r="35347">
      <c r="B35347" s="31"/>
      <c r="G35347" s="272" t="s">
        <v>1099</v>
      </c>
    </row>
    <row r="35348">
      <c r="B35348" s="31"/>
      <c r="G35348" s="272" t="s">
        <v>1099</v>
      </c>
    </row>
    <row r="35349">
      <c r="B35349" s="31"/>
      <c r="G35349" s="272" t="s">
        <v>1099</v>
      </c>
    </row>
    <row r="35350">
      <c r="B35350" s="31"/>
      <c r="G35350" s="272" t="s">
        <v>1099</v>
      </c>
    </row>
    <row r="35351">
      <c r="B35351" s="31"/>
      <c r="G35351" s="272" t="s">
        <v>1099</v>
      </c>
    </row>
    <row r="35352">
      <c r="B35352" s="31"/>
      <c r="G35352" s="272" t="s">
        <v>1099</v>
      </c>
    </row>
    <row r="35353">
      <c r="B35353" s="31"/>
      <c r="G35353" s="272" t="s">
        <v>1099</v>
      </c>
    </row>
    <row r="35354">
      <c r="B35354" s="31"/>
      <c r="G35354" s="272" t="s">
        <v>1099</v>
      </c>
    </row>
    <row r="35355">
      <c r="B35355" s="31"/>
      <c r="G35355" s="272" t="s">
        <v>1099</v>
      </c>
    </row>
    <row r="35356">
      <c r="B35356" s="31"/>
      <c r="G35356" s="272" t="s">
        <v>1099</v>
      </c>
    </row>
    <row r="35357">
      <c r="B35357" s="31"/>
      <c r="G35357" s="272" t="s">
        <v>1099</v>
      </c>
    </row>
    <row r="35358">
      <c r="B35358" s="31"/>
      <c r="G35358" s="272" t="s">
        <v>1099</v>
      </c>
    </row>
    <row r="35359">
      <c r="B35359" s="31"/>
      <c r="G35359" s="272" t="s">
        <v>1099</v>
      </c>
    </row>
    <row r="35360">
      <c r="B35360" s="31"/>
      <c r="G35360" s="272" t="s">
        <v>1099</v>
      </c>
    </row>
    <row r="35361">
      <c r="B35361" s="31"/>
      <c r="G35361" s="272" t="s">
        <v>1099</v>
      </c>
    </row>
    <row r="35362">
      <c r="B35362" s="31"/>
      <c r="G35362" s="272" t="s">
        <v>1099</v>
      </c>
    </row>
    <row r="35363">
      <c r="B35363" s="31"/>
      <c r="G35363" s="272" t="s">
        <v>1099</v>
      </c>
    </row>
    <row r="35364">
      <c r="B35364" s="31"/>
      <c r="G35364" s="272" t="s">
        <v>1099</v>
      </c>
    </row>
    <row r="35365">
      <c r="B35365" s="31"/>
      <c r="G35365" s="272" t="s">
        <v>1099</v>
      </c>
    </row>
    <row r="35366">
      <c r="B35366" s="31"/>
      <c r="G35366" s="272" t="s">
        <v>1099</v>
      </c>
    </row>
    <row r="35367">
      <c r="B35367" s="31"/>
      <c r="G35367" s="272" t="s">
        <v>1099</v>
      </c>
    </row>
    <row r="35368">
      <c r="B35368" s="31"/>
      <c r="G35368" s="272" t="s">
        <v>1099</v>
      </c>
    </row>
    <row r="35369">
      <c r="B35369" s="31"/>
      <c r="G35369" s="272" t="s">
        <v>1099</v>
      </c>
    </row>
    <row r="35370">
      <c r="B35370" s="31"/>
      <c r="G35370" s="272" t="s">
        <v>1099</v>
      </c>
    </row>
    <row r="35371">
      <c r="B35371" s="31"/>
      <c r="G35371" s="272" t="s">
        <v>1099</v>
      </c>
    </row>
    <row r="35372">
      <c r="B35372" s="31"/>
      <c r="G35372" s="272" t="s">
        <v>1099</v>
      </c>
    </row>
    <row r="35373">
      <c r="B35373" s="31"/>
      <c r="G35373" s="272" t="s">
        <v>1099</v>
      </c>
    </row>
    <row r="35374">
      <c r="B35374" s="31"/>
      <c r="G35374" s="272" t="s">
        <v>1099</v>
      </c>
    </row>
    <row r="35375">
      <c r="B35375" s="31"/>
      <c r="G35375" s="272" t="s">
        <v>1099</v>
      </c>
    </row>
    <row r="35376">
      <c r="B35376" s="31"/>
      <c r="G35376" s="272" t="s">
        <v>1099</v>
      </c>
    </row>
    <row r="35377">
      <c r="B35377" s="31"/>
      <c r="G35377" s="272" t="s">
        <v>1099</v>
      </c>
    </row>
    <row r="35378">
      <c r="B35378" s="31"/>
      <c r="G35378" s="272" t="s">
        <v>1099</v>
      </c>
    </row>
    <row r="35379">
      <c r="B35379" s="31"/>
      <c r="G35379" s="272" t="s">
        <v>1099</v>
      </c>
    </row>
    <row r="35380">
      <c r="B35380" s="31"/>
      <c r="G35380" s="272" t="s">
        <v>1099</v>
      </c>
    </row>
    <row r="35381">
      <c r="B35381" s="31"/>
      <c r="G35381" s="272" t="s">
        <v>1099</v>
      </c>
    </row>
    <row r="35382">
      <c r="B35382" s="31"/>
      <c r="G35382" s="272" t="s">
        <v>1099</v>
      </c>
    </row>
    <row r="35383">
      <c r="B35383" s="31"/>
      <c r="G35383" s="272" t="s">
        <v>1099</v>
      </c>
    </row>
    <row r="35384">
      <c r="B35384" s="31"/>
      <c r="G35384" s="272" t="s">
        <v>1099</v>
      </c>
    </row>
    <row r="35385">
      <c r="B35385" s="31"/>
      <c r="G35385" s="272" t="s">
        <v>1099</v>
      </c>
    </row>
    <row r="35386">
      <c r="B35386" s="31"/>
      <c r="G35386" s="272" t="s">
        <v>1099</v>
      </c>
    </row>
    <row r="35387">
      <c r="B35387" s="31"/>
      <c r="G35387" s="272" t="s">
        <v>1099</v>
      </c>
    </row>
    <row r="35388">
      <c r="B35388" s="31"/>
      <c r="G35388" s="272" t="s">
        <v>1099</v>
      </c>
    </row>
    <row r="35389">
      <c r="B35389" s="31"/>
      <c r="G35389" s="272" t="s">
        <v>1099</v>
      </c>
    </row>
    <row r="35390">
      <c r="B35390" s="31"/>
      <c r="G35390" s="272" t="s">
        <v>1099</v>
      </c>
    </row>
    <row r="35391">
      <c r="B35391" s="31"/>
      <c r="G35391" s="272" t="s">
        <v>1099</v>
      </c>
    </row>
    <row r="35392">
      <c r="B35392" s="31"/>
      <c r="G35392" s="272" t="s">
        <v>1099</v>
      </c>
    </row>
    <row r="35393">
      <c r="B35393" s="31"/>
      <c r="G35393" s="272" t="s">
        <v>1099</v>
      </c>
    </row>
    <row r="35394">
      <c r="B35394" s="31"/>
      <c r="G35394" s="272" t="s">
        <v>1099</v>
      </c>
    </row>
    <row r="35395">
      <c r="B35395" s="31"/>
      <c r="G35395" s="272" t="s">
        <v>1099</v>
      </c>
    </row>
    <row r="35396">
      <c r="B35396" s="31"/>
      <c r="G35396" s="272" t="s">
        <v>1099</v>
      </c>
    </row>
    <row r="35397">
      <c r="B35397" s="31"/>
      <c r="G35397" s="272" t="s">
        <v>1099</v>
      </c>
    </row>
    <row r="35398">
      <c r="B35398" s="31"/>
      <c r="G35398" s="272" t="s">
        <v>1099</v>
      </c>
    </row>
    <row r="35399">
      <c r="B35399" s="31"/>
      <c r="G35399" s="272" t="s">
        <v>1099</v>
      </c>
    </row>
    <row r="35400">
      <c r="B35400" s="31"/>
      <c r="G35400" s="272" t="s">
        <v>1099</v>
      </c>
    </row>
    <row r="35401">
      <c r="B35401" s="31"/>
      <c r="G35401" s="272" t="s">
        <v>1099</v>
      </c>
    </row>
    <row r="35402">
      <c r="B35402" s="31"/>
      <c r="G35402" s="272" t="s">
        <v>1099</v>
      </c>
    </row>
    <row r="35403">
      <c r="B35403" s="31"/>
      <c r="G35403" s="272" t="s">
        <v>1099</v>
      </c>
    </row>
    <row r="35404">
      <c r="B35404" s="31"/>
      <c r="G35404" s="272" t="s">
        <v>1099</v>
      </c>
    </row>
    <row r="35405">
      <c r="B35405" s="31"/>
      <c r="G35405" s="272" t="s">
        <v>1099</v>
      </c>
    </row>
    <row r="35406">
      <c r="B35406" s="31"/>
      <c r="G35406" s="272" t="s">
        <v>1099</v>
      </c>
    </row>
    <row r="35407">
      <c r="B35407" s="31"/>
      <c r="G35407" s="272" t="s">
        <v>1099</v>
      </c>
    </row>
    <row r="35408">
      <c r="B35408" s="31"/>
      <c r="G35408" s="272" t="s">
        <v>1099</v>
      </c>
    </row>
    <row r="35409">
      <c r="B35409" s="31"/>
      <c r="G35409" s="272" t="s">
        <v>1099</v>
      </c>
    </row>
    <row r="35410">
      <c r="B35410" s="31"/>
      <c r="G35410" s="272" t="s">
        <v>1099</v>
      </c>
    </row>
    <row r="35411">
      <c r="B35411" s="31"/>
      <c r="G35411" s="272" t="s">
        <v>1099</v>
      </c>
    </row>
    <row r="35412">
      <c r="B35412" s="31"/>
      <c r="G35412" s="272" t="s">
        <v>1099</v>
      </c>
    </row>
    <row r="35413">
      <c r="B35413" s="31"/>
      <c r="G35413" s="272" t="s">
        <v>1099</v>
      </c>
    </row>
    <row r="35414">
      <c r="B35414" s="31"/>
      <c r="G35414" s="272" t="s">
        <v>1099</v>
      </c>
    </row>
    <row r="35415">
      <c r="B35415" s="31"/>
      <c r="G35415" s="272" t="s">
        <v>1099</v>
      </c>
    </row>
    <row r="35416">
      <c r="B35416" s="31"/>
      <c r="G35416" s="272" t="s">
        <v>1099</v>
      </c>
    </row>
    <row r="35417">
      <c r="B35417" s="31"/>
      <c r="G35417" s="272" t="s">
        <v>1099</v>
      </c>
    </row>
    <row r="35418">
      <c r="B35418" s="31"/>
      <c r="G35418" s="272" t="s">
        <v>1099</v>
      </c>
    </row>
    <row r="35419">
      <c r="B35419" s="31"/>
      <c r="G35419" s="272" t="s">
        <v>1099</v>
      </c>
    </row>
    <row r="35420">
      <c r="B35420" s="31"/>
      <c r="G35420" s="272" t="s">
        <v>1099</v>
      </c>
    </row>
    <row r="35421">
      <c r="B35421" s="31"/>
      <c r="G35421" s="272" t="s">
        <v>1099</v>
      </c>
    </row>
    <row r="35422">
      <c r="B35422" s="31"/>
      <c r="G35422" s="272" t="s">
        <v>1099</v>
      </c>
    </row>
    <row r="35423">
      <c r="B35423" s="31"/>
      <c r="G35423" s="272" t="s">
        <v>1099</v>
      </c>
    </row>
    <row r="35424">
      <c r="B35424" s="31"/>
      <c r="G35424" s="272" t="s">
        <v>1099</v>
      </c>
    </row>
    <row r="35425">
      <c r="B35425" s="31"/>
      <c r="G35425" s="272" t="s">
        <v>1099</v>
      </c>
    </row>
    <row r="35426">
      <c r="B35426" s="31"/>
      <c r="G35426" s="272" t="s">
        <v>1099</v>
      </c>
    </row>
    <row r="35427">
      <c r="B35427" s="31"/>
      <c r="G35427" s="272" t="s">
        <v>1099</v>
      </c>
    </row>
    <row r="35428">
      <c r="B35428" s="31"/>
      <c r="G35428" s="272" t="s">
        <v>1099</v>
      </c>
    </row>
    <row r="35429">
      <c r="B35429" s="31"/>
      <c r="G35429" s="272" t="s">
        <v>1099</v>
      </c>
    </row>
    <row r="35430">
      <c r="B35430" s="31"/>
      <c r="G35430" s="272" t="s">
        <v>1099</v>
      </c>
    </row>
    <row r="35431">
      <c r="B35431" s="31"/>
      <c r="G35431" s="272" t="s">
        <v>1099</v>
      </c>
    </row>
    <row r="35432">
      <c r="B35432" s="31"/>
      <c r="G35432" s="272" t="s">
        <v>1099</v>
      </c>
    </row>
    <row r="35433">
      <c r="B35433" s="31"/>
      <c r="G35433" s="272" t="s">
        <v>1099</v>
      </c>
    </row>
    <row r="35434">
      <c r="B35434" s="31"/>
      <c r="G35434" s="272" t="s">
        <v>1099</v>
      </c>
    </row>
    <row r="35435">
      <c r="B35435" s="31"/>
      <c r="G35435" s="272" t="s">
        <v>1099</v>
      </c>
    </row>
    <row r="35436">
      <c r="B35436" s="31"/>
      <c r="G35436" s="272" t="s">
        <v>1099</v>
      </c>
    </row>
    <row r="35437">
      <c r="B35437" s="31"/>
      <c r="G35437" s="272" t="s">
        <v>1099</v>
      </c>
    </row>
    <row r="35438">
      <c r="B35438" s="31"/>
      <c r="G35438" s="272" t="s">
        <v>1099</v>
      </c>
    </row>
    <row r="35439">
      <c r="B35439" s="31"/>
      <c r="G35439" s="272" t="s">
        <v>1099</v>
      </c>
    </row>
    <row r="35440">
      <c r="B35440" s="31"/>
      <c r="G35440" s="272" t="s">
        <v>1099</v>
      </c>
    </row>
    <row r="35441">
      <c r="B35441" s="31"/>
      <c r="G35441" s="272" t="s">
        <v>1099</v>
      </c>
    </row>
    <row r="35442">
      <c r="B35442" s="31"/>
      <c r="G35442" s="272" t="s">
        <v>1099</v>
      </c>
    </row>
    <row r="35443">
      <c r="B35443" s="31"/>
      <c r="G35443" s="272" t="s">
        <v>1099</v>
      </c>
    </row>
    <row r="35444">
      <c r="B35444" s="31"/>
      <c r="G35444" s="272" t="s">
        <v>1099</v>
      </c>
    </row>
    <row r="35445">
      <c r="B35445" s="31"/>
      <c r="G35445" s="272" t="s">
        <v>1099</v>
      </c>
    </row>
    <row r="35446">
      <c r="B35446" s="31"/>
      <c r="G35446" s="272" t="s">
        <v>1099</v>
      </c>
    </row>
    <row r="35447">
      <c r="B35447" s="31"/>
      <c r="G35447" s="272" t="s">
        <v>1099</v>
      </c>
    </row>
    <row r="35448">
      <c r="B35448" s="31"/>
      <c r="G35448" s="272" t="s">
        <v>1099</v>
      </c>
    </row>
    <row r="35449">
      <c r="B35449" s="31"/>
      <c r="G35449" s="272" t="s">
        <v>1099</v>
      </c>
    </row>
    <row r="35450">
      <c r="B35450" s="31"/>
      <c r="G35450" s="272" t="s">
        <v>1099</v>
      </c>
    </row>
    <row r="35451">
      <c r="B35451" s="31"/>
      <c r="G35451" s="272" t="s">
        <v>1099</v>
      </c>
    </row>
    <row r="35452">
      <c r="B35452" s="31"/>
      <c r="G35452" s="272" t="s">
        <v>1099</v>
      </c>
    </row>
    <row r="35453">
      <c r="B35453" s="31"/>
      <c r="G35453" s="272" t="s">
        <v>1099</v>
      </c>
    </row>
    <row r="35454">
      <c r="B35454" s="31"/>
      <c r="G35454" s="272" t="s">
        <v>1099</v>
      </c>
    </row>
    <row r="35455">
      <c r="B35455" s="31"/>
      <c r="G35455" s="272" t="s">
        <v>1099</v>
      </c>
    </row>
    <row r="35456">
      <c r="B35456" s="31"/>
      <c r="G35456" s="272" t="s">
        <v>1099</v>
      </c>
    </row>
    <row r="35457">
      <c r="B35457" s="31"/>
      <c r="G35457" s="272" t="s">
        <v>1099</v>
      </c>
    </row>
    <row r="35458">
      <c r="B35458" s="31"/>
      <c r="G35458" s="272" t="s">
        <v>1099</v>
      </c>
    </row>
    <row r="35459">
      <c r="B35459" s="31"/>
      <c r="G35459" s="272" t="s">
        <v>1099</v>
      </c>
    </row>
    <row r="35460">
      <c r="B35460" s="31"/>
      <c r="G35460" s="272" t="s">
        <v>1099</v>
      </c>
    </row>
    <row r="35461">
      <c r="B35461" s="31"/>
      <c r="G35461" s="272" t="s">
        <v>1099</v>
      </c>
    </row>
    <row r="35462">
      <c r="B35462" s="31"/>
      <c r="G35462" s="272" t="s">
        <v>1099</v>
      </c>
    </row>
    <row r="35463">
      <c r="B35463" s="31"/>
      <c r="G35463" s="272" t="s">
        <v>1099</v>
      </c>
    </row>
    <row r="35464">
      <c r="B35464" s="31"/>
      <c r="G35464" s="272" t="s">
        <v>1099</v>
      </c>
    </row>
    <row r="35465">
      <c r="B35465" s="31"/>
      <c r="G35465" s="272" t="s">
        <v>1099</v>
      </c>
    </row>
    <row r="35466">
      <c r="B35466" s="31"/>
      <c r="G35466" s="272" t="s">
        <v>1099</v>
      </c>
    </row>
    <row r="35467">
      <c r="B35467" s="31"/>
      <c r="G35467" s="272" t="s">
        <v>1099</v>
      </c>
    </row>
    <row r="35468">
      <c r="B35468" s="31"/>
      <c r="G35468" s="272" t="s">
        <v>1099</v>
      </c>
    </row>
    <row r="35469">
      <c r="B35469" s="31"/>
      <c r="G35469" s="272" t="s">
        <v>1099</v>
      </c>
    </row>
    <row r="35470">
      <c r="B35470" s="31"/>
      <c r="G35470" s="272" t="s">
        <v>1099</v>
      </c>
    </row>
    <row r="35471">
      <c r="B35471" s="31"/>
      <c r="G35471" s="272" t="s">
        <v>1099</v>
      </c>
    </row>
    <row r="35472">
      <c r="B35472" s="31"/>
      <c r="G35472" s="272" t="s">
        <v>1099</v>
      </c>
    </row>
    <row r="35473">
      <c r="B35473" s="31"/>
      <c r="G35473" s="272" t="s">
        <v>1099</v>
      </c>
    </row>
    <row r="35474">
      <c r="B35474" s="31"/>
      <c r="G35474" s="272" t="s">
        <v>1099</v>
      </c>
    </row>
    <row r="35475">
      <c r="B35475" s="31"/>
      <c r="G35475" s="272" t="s">
        <v>1099</v>
      </c>
    </row>
    <row r="35476">
      <c r="B35476" s="31"/>
      <c r="G35476" s="272" t="s">
        <v>1099</v>
      </c>
    </row>
    <row r="35477">
      <c r="B35477" s="31"/>
      <c r="G35477" s="272" t="s">
        <v>1099</v>
      </c>
    </row>
    <row r="35478">
      <c r="B35478" s="31"/>
      <c r="G35478" s="272" t="s">
        <v>1099</v>
      </c>
    </row>
    <row r="35479">
      <c r="B35479" s="31"/>
      <c r="G35479" s="272" t="s">
        <v>1099</v>
      </c>
    </row>
    <row r="35480">
      <c r="B35480" s="31"/>
      <c r="G35480" s="272" t="s">
        <v>1099</v>
      </c>
    </row>
    <row r="35481">
      <c r="B35481" s="31"/>
      <c r="G35481" s="272" t="s">
        <v>1099</v>
      </c>
    </row>
    <row r="35482">
      <c r="B35482" s="31"/>
      <c r="G35482" s="272" t="s">
        <v>1099</v>
      </c>
    </row>
    <row r="35483">
      <c r="B35483" s="31"/>
      <c r="G35483" s="272" t="s">
        <v>1099</v>
      </c>
    </row>
    <row r="35484">
      <c r="B35484" s="31"/>
      <c r="G35484" s="272" t="s">
        <v>1099</v>
      </c>
    </row>
    <row r="35485">
      <c r="B35485" s="31"/>
      <c r="G35485" s="272" t="s">
        <v>1099</v>
      </c>
    </row>
    <row r="35486">
      <c r="B35486" s="31"/>
      <c r="G35486" s="272" t="s">
        <v>1099</v>
      </c>
    </row>
    <row r="35487">
      <c r="B35487" s="31"/>
      <c r="G35487" s="272" t="s">
        <v>1099</v>
      </c>
    </row>
    <row r="35488">
      <c r="B35488" s="31"/>
      <c r="G35488" s="272" t="s">
        <v>1099</v>
      </c>
    </row>
    <row r="35489">
      <c r="B35489" s="31"/>
      <c r="G35489" s="272" t="s">
        <v>1099</v>
      </c>
    </row>
    <row r="35490">
      <c r="B35490" s="31"/>
      <c r="G35490" s="272" t="s">
        <v>1099</v>
      </c>
    </row>
    <row r="35491">
      <c r="B35491" s="31"/>
      <c r="G35491" s="272" t="s">
        <v>1099</v>
      </c>
    </row>
    <row r="35492">
      <c r="B35492" s="31"/>
      <c r="G35492" s="272" t="s">
        <v>1099</v>
      </c>
    </row>
    <row r="35493">
      <c r="B35493" s="31"/>
      <c r="G35493" s="272" t="s">
        <v>1099</v>
      </c>
    </row>
    <row r="35494">
      <c r="B35494" s="31"/>
      <c r="G35494" s="272" t="s">
        <v>1099</v>
      </c>
    </row>
    <row r="35495">
      <c r="B35495" s="31"/>
      <c r="G35495" s="272" t="s">
        <v>1099</v>
      </c>
    </row>
    <row r="35496">
      <c r="B35496" s="31"/>
      <c r="G35496" s="272" t="s">
        <v>1099</v>
      </c>
    </row>
    <row r="35497">
      <c r="B35497" s="31"/>
      <c r="G35497" s="272" t="s">
        <v>1099</v>
      </c>
    </row>
    <row r="35498">
      <c r="B35498" s="31"/>
      <c r="G35498" s="272" t="s">
        <v>1099</v>
      </c>
    </row>
    <row r="35499">
      <c r="B35499" s="31"/>
      <c r="G35499" s="272" t="s">
        <v>1099</v>
      </c>
    </row>
    <row r="35500">
      <c r="B35500" s="31"/>
      <c r="G35500" s="272" t="s">
        <v>1099</v>
      </c>
    </row>
    <row r="35501">
      <c r="B35501" s="31"/>
      <c r="G35501" s="272" t="s">
        <v>1099</v>
      </c>
    </row>
    <row r="35502">
      <c r="B35502" s="31"/>
      <c r="G35502" s="272" t="s">
        <v>1099</v>
      </c>
    </row>
    <row r="35503">
      <c r="B35503" s="31"/>
      <c r="G35503" s="272" t="s">
        <v>1099</v>
      </c>
    </row>
    <row r="35504">
      <c r="B35504" s="31"/>
      <c r="G35504" s="272" t="s">
        <v>1099</v>
      </c>
    </row>
    <row r="35505">
      <c r="B35505" s="31"/>
      <c r="G35505" s="272" t="s">
        <v>1099</v>
      </c>
    </row>
    <row r="35506">
      <c r="B35506" s="31"/>
      <c r="G35506" s="272" t="s">
        <v>1099</v>
      </c>
    </row>
    <row r="35507">
      <c r="B35507" s="31"/>
      <c r="G35507" s="272" t="s">
        <v>1099</v>
      </c>
    </row>
    <row r="35508">
      <c r="B35508" s="31"/>
      <c r="G35508" s="272" t="s">
        <v>1099</v>
      </c>
    </row>
    <row r="35509">
      <c r="B35509" s="31"/>
      <c r="G35509" s="272" t="s">
        <v>1099</v>
      </c>
    </row>
    <row r="35510">
      <c r="B35510" s="31"/>
      <c r="G35510" s="272" t="s">
        <v>1099</v>
      </c>
    </row>
    <row r="35511">
      <c r="B35511" s="31"/>
      <c r="G35511" s="272" t="s">
        <v>1099</v>
      </c>
    </row>
    <row r="35512">
      <c r="B35512" s="31"/>
      <c r="G35512" s="272" t="s">
        <v>1099</v>
      </c>
    </row>
    <row r="35513">
      <c r="B35513" s="31"/>
      <c r="G35513" s="272" t="s">
        <v>1099</v>
      </c>
    </row>
    <row r="35514">
      <c r="B35514" s="31"/>
      <c r="G35514" s="272" t="s">
        <v>1099</v>
      </c>
    </row>
    <row r="35515">
      <c r="B35515" s="31"/>
      <c r="G35515" s="272" t="s">
        <v>1099</v>
      </c>
    </row>
    <row r="35516">
      <c r="B35516" s="31"/>
      <c r="G35516" s="272" t="s">
        <v>1099</v>
      </c>
    </row>
    <row r="35517">
      <c r="B35517" s="31"/>
      <c r="G35517" s="272" t="s">
        <v>1099</v>
      </c>
    </row>
    <row r="35518">
      <c r="B35518" s="31"/>
      <c r="G35518" s="272" t="s">
        <v>1099</v>
      </c>
    </row>
    <row r="35519">
      <c r="B35519" s="31"/>
      <c r="G35519" s="272" t="s">
        <v>1099</v>
      </c>
    </row>
    <row r="35520">
      <c r="B35520" s="31"/>
      <c r="G35520" s="272" t="s">
        <v>1099</v>
      </c>
    </row>
    <row r="35521">
      <c r="B35521" s="31"/>
      <c r="G35521" s="272" t="s">
        <v>1099</v>
      </c>
    </row>
    <row r="35522">
      <c r="B35522" s="31"/>
      <c r="G35522" s="272" t="s">
        <v>1099</v>
      </c>
    </row>
    <row r="35523">
      <c r="B35523" s="31"/>
      <c r="G35523" s="272" t="s">
        <v>1099</v>
      </c>
    </row>
    <row r="35524">
      <c r="B35524" s="31"/>
      <c r="G35524" s="272" t="s">
        <v>1099</v>
      </c>
    </row>
    <row r="35525">
      <c r="B35525" s="31"/>
      <c r="G35525" s="272" t="s">
        <v>1099</v>
      </c>
    </row>
    <row r="35526">
      <c r="B35526" s="31"/>
      <c r="G35526" s="272" t="s">
        <v>1099</v>
      </c>
    </row>
    <row r="35527">
      <c r="B35527" s="31"/>
      <c r="G35527" s="272" t="s">
        <v>1099</v>
      </c>
    </row>
    <row r="35528">
      <c r="B35528" s="31"/>
      <c r="G35528" s="272" t="s">
        <v>1099</v>
      </c>
    </row>
    <row r="35529">
      <c r="B35529" s="31"/>
      <c r="G35529" s="272" t="s">
        <v>1099</v>
      </c>
    </row>
    <row r="35530">
      <c r="B35530" s="31"/>
      <c r="G35530" s="272" t="s">
        <v>1099</v>
      </c>
    </row>
    <row r="35531">
      <c r="B35531" s="31"/>
      <c r="G35531" s="272" t="s">
        <v>1099</v>
      </c>
    </row>
    <row r="35532">
      <c r="B35532" s="31"/>
      <c r="G35532" s="272" t="s">
        <v>1099</v>
      </c>
    </row>
    <row r="35533">
      <c r="B35533" s="31"/>
      <c r="G35533" s="272" t="s">
        <v>1099</v>
      </c>
    </row>
    <row r="35534">
      <c r="B35534" s="31"/>
      <c r="G35534" s="272" t="s">
        <v>1099</v>
      </c>
    </row>
    <row r="35535">
      <c r="B35535" s="31"/>
      <c r="G35535" s="272" t="s">
        <v>1099</v>
      </c>
    </row>
    <row r="35536">
      <c r="B35536" s="31"/>
      <c r="G35536" s="272" t="s">
        <v>1099</v>
      </c>
    </row>
    <row r="35537">
      <c r="B35537" s="31"/>
      <c r="G35537" s="272" t="s">
        <v>1099</v>
      </c>
    </row>
    <row r="35538">
      <c r="B35538" s="31"/>
      <c r="G35538" s="272" t="s">
        <v>1099</v>
      </c>
    </row>
    <row r="35539">
      <c r="B35539" s="31"/>
      <c r="G35539" s="272" t="s">
        <v>1099</v>
      </c>
    </row>
    <row r="35540">
      <c r="B35540" s="31"/>
      <c r="G35540" s="272" t="s">
        <v>1099</v>
      </c>
    </row>
    <row r="35541">
      <c r="B35541" s="31"/>
      <c r="G35541" s="272" t="s">
        <v>1099</v>
      </c>
    </row>
    <row r="35542">
      <c r="B35542" s="31"/>
      <c r="G35542" s="272" t="s">
        <v>1099</v>
      </c>
    </row>
    <row r="35543">
      <c r="B35543" s="31"/>
      <c r="G35543" s="272" t="s">
        <v>1099</v>
      </c>
    </row>
    <row r="35544">
      <c r="B35544" s="31"/>
      <c r="G35544" s="272" t="s">
        <v>1099</v>
      </c>
    </row>
    <row r="35545">
      <c r="B35545" s="31"/>
      <c r="G35545" s="272" t="s">
        <v>1099</v>
      </c>
    </row>
    <row r="35546">
      <c r="B35546" s="31"/>
      <c r="G35546" s="272" t="s">
        <v>1099</v>
      </c>
    </row>
    <row r="35547">
      <c r="B35547" s="31"/>
      <c r="G35547" s="272" t="s">
        <v>1099</v>
      </c>
    </row>
    <row r="35548">
      <c r="B35548" s="31"/>
      <c r="G35548" s="272" t="s">
        <v>1099</v>
      </c>
    </row>
    <row r="35549">
      <c r="B35549" s="31"/>
      <c r="G35549" s="272" t="s">
        <v>1099</v>
      </c>
    </row>
    <row r="35550">
      <c r="B35550" s="31"/>
      <c r="G35550" s="272" t="s">
        <v>1099</v>
      </c>
    </row>
    <row r="35551">
      <c r="B35551" s="31"/>
      <c r="G35551" s="272" t="s">
        <v>1099</v>
      </c>
    </row>
    <row r="35552">
      <c r="B35552" s="31"/>
      <c r="G35552" s="272" t="s">
        <v>1099</v>
      </c>
    </row>
    <row r="35553">
      <c r="B35553" s="31"/>
      <c r="G35553" s="272" t="s">
        <v>1099</v>
      </c>
    </row>
    <row r="35554">
      <c r="B35554" s="31"/>
      <c r="G35554" s="272" t="s">
        <v>1099</v>
      </c>
    </row>
    <row r="35555">
      <c r="B35555" s="31"/>
      <c r="G35555" s="272" t="s">
        <v>1099</v>
      </c>
    </row>
    <row r="35556">
      <c r="B35556" s="31"/>
      <c r="G35556" s="272" t="s">
        <v>1099</v>
      </c>
    </row>
    <row r="35557">
      <c r="B35557" s="31"/>
      <c r="G35557" s="272" t="s">
        <v>1099</v>
      </c>
    </row>
    <row r="35558">
      <c r="B35558" s="31"/>
      <c r="G35558" s="272" t="s">
        <v>1099</v>
      </c>
    </row>
    <row r="35559">
      <c r="B35559" s="31"/>
      <c r="G35559" s="272" t="s">
        <v>1099</v>
      </c>
    </row>
    <row r="35560">
      <c r="B35560" s="31"/>
      <c r="G35560" s="272" t="s">
        <v>1099</v>
      </c>
    </row>
    <row r="35561">
      <c r="B35561" s="31"/>
      <c r="G35561" s="272" t="s">
        <v>1099</v>
      </c>
    </row>
    <row r="35562">
      <c r="B35562" s="31"/>
      <c r="G35562" s="272" t="s">
        <v>1099</v>
      </c>
    </row>
    <row r="35563">
      <c r="B35563" s="31"/>
      <c r="G35563" s="272" t="s">
        <v>1099</v>
      </c>
    </row>
    <row r="35564">
      <c r="B35564" s="31"/>
      <c r="G35564" s="272" t="s">
        <v>1099</v>
      </c>
    </row>
    <row r="35565">
      <c r="B35565" s="31"/>
      <c r="G35565" s="272" t="s">
        <v>1099</v>
      </c>
    </row>
    <row r="35566">
      <c r="B35566" s="31"/>
      <c r="G35566" s="272" t="s">
        <v>1099</v>
      </c>
    </row>
    <row r="35567">
      <c r="B35567" s="31"/>
      <c r="G35567" s="272" t="s">
        <v>1099</v>
      </c>
    </row>
    <row r="35568">
      <c r="B35568" s="31"/>
      <c r="G35568" s="272" t="s">
        <v>1099</v>
      </c>
    </row>
    <row r="35569">
      <c r="B35569" s="31"/>
      <c r="G35569" s="272" t="s">
        <v>1099</v>
      </c>
    </row>
    <row r="35570">
      <c r="B35570" s="31"/>
      <c r="G35570" s="272" t="s">
        <v>1099</v>
      </c>
    </row>
    <row r="35571">
      <c r="B35571" s="31"/>
      <c r="G35571" s="272" t="s">
        <v>1099</v>
      </c>
    </row>
    <row r="35572">
      <c r="B35572" s="31"/>
      <c r="G35572" s="272" t="s">
        <v>1099</v>
      </c>
    </row>
    <row r="35573">
      <c r="B35573" s="31"/>
      <c r="G35573" s="272" t="s">
        <v>1099</v>
      </c>
    </row>
    <row r="35574">
      <c r="B35574" s="31"/>
      <c r="G35574" s="272" t="s">
        <v>1099</v>
      </c>
    </row>
    <row r="35575">
      <c r="B35575" s="31"/>
      <c r="G35575" s="272" t="s">
        <v>1099</v>
      </c>
    </row>
    <row r="35576">
      <c r="B35576" s="31"/>
      <c r="G35576" s="272" t="s">
        <v>1099</v>
      </c>
    </row>
    <row r="35577">
      <c r="B35577" s="31"/>
      <c r="G35577" s="272" t="s">
        <v>1099</v>
      </c>
    </row>
    <row r="35578">
      <c r="B35578" s="31"/>
      <c r="G35578" s="272" t="s">
        <v>1099</v>
      </c>
    </row>
    <row r="35579">
      <c r="B35579" s="31"/>
      <c r="G35579" s="272" t="s">
        <v>1099</v>
      </c>
    </row>
    <row r="35580">
      <c r="B35580" s="31"/>
      <c r="G35580" s="272" t="s">
        <v>1099</v>
      </c>
    </row>
    <row r="35581">
      <c r="B35581" s="31"/>
      <c r="G35581" s="272" t="s">
        <v>1099</v>
      </c>
    </row>
    <row r="35582">
      <c r="B35582" s="31"/>
      <c r="G35582" s="272" t="s">
        <v>1099</v>
      </c>
    </row>
    <row r="35583">
      <c r="B35583" s="31"/>
      <c r="G35583" s="272" t="s">
        <v>1099</v>
      </c>
    </row>
    <row r="35584">
      <c r="B35584" s="31"/>
      <c r="G35584" s="272" t="s">
        <v>1099</v>
      </c>
    </row>
    <row r="35585">
      <c r="B35585" s="31"/>
      <c r="G35585" s="272" t="s">
        <v>1099</v>
      </c>
    </row>
    <row r="35586">
      <c r="B35586" s="31"/>
      <c r="G35586" s="272" t="s">
        <v>1099</v>
      </c>
    </row>
    <row r="35587">
      <c r="B35587" s="31"/>
      <c r="G35587" s="272" t="s">
        <v>1099</v>
      </c>
    </row>
    <row r="35588">
      <c r="B35588" s="31"/>
      <c r="G35588" s="272" t="s">
        <v>1099</v>
      </c>
    </row>
    <row r="35589">
      <c r="B35589" s="31"/>
      <c r="G35589" s="272" t="s">
        <v>1099</v>
      </c>
    </row>
    <row r="35590">
      <c r="B35590" s="31"/>
      <c r="G35590" s="272" t="s">
        <v>1099</v>
      </c>
    </row>
    <row r="35591">
      <c r="B35591" s="31"/>
      <c r="G35591" s="272" t="s">
        <v>1099</v>
      </c>
    </row>
    <row r="35592">
      <c r="B35592" s="31"/>
      <c r="G35592" s="272" t="s">
        <v>1099</v>
      </c>
    </row>
    <row r="35593">
      <c r="B35593" s="31"/>
      <c r="G35593" s="272" t="s">
        <v>1099</v>
      </c>
    </row>
    <row r="35594">
      <c r="B35594" s="31"/>
      <c r="G35594" s="272" t="s">
        <v>1099</v>
      </c>
    </row>
    <row r="35595">
      <c r="B35595" s="31"/>
      <c r="G35595" s="272" t="s">
        <v>1099</v>
      </c>
    </row>
    <row r="35596">
      <c r="B35596" s="31"/>
      <c r="G35596" s="272" t="s">
        <v>1099</v>
      </c>
    </row>
    <row r="35597">
      <c r="B35597" s="31"/>
      <c r="G35597" s="272" t="s">
        <v>1099</v>
      </c>
    </row>
    <row r="35598">
      <c r="B35598" s="31"/>
      <c r="G35598" s="272" t="s">
        <v>1099</v>
      </c>
    </row>
    <row r="35599">
      <c r="B35599" s="31"/>
      <c r="G35599" s="272" t="s">
        <v>1099</v>
      </c>
    </row>
    <row r="35600">
      <c r="B35600" s="31"/>
      <c r="G35600" s="272" t="s">
        <v>1099</v>
      </c>
    </row>
    <row r="35601">
      <c r="B35601" s="31"/>
      <c r="G35601" s="272" t="s">
        <v>1099</v>
      </c>
    </row>
    <row r="35602">
      <c r="B35602" s="31"/>
      <c r="G35602" s="272" t="s">
        <v>1099</v>
      </c>
    </row>
    <row r="35603">
      <c r="B35603" s="31"/>
      <c r="G35603" s="272" t="s">
        <v>1099</v>
      </c>
    </row>
    <row r="35604">
      <c r="B35604" s="31"/>
      <c r="G35604" s="272" t="s">
        <v>1099</v>
      </c>
    </row>
    <row r="35605">
      <c r="B35605" s="31"/>
      <c r="G35605" s="272" t="s">
        <v>1099</v>
      </c>
    </row>
    <row r="35606">
      <c r="B35606" s="31"/>
      <c r="G35606" s="272" t="s">
        <v>1099</v>
      </c>
    </row>
    <row r="35607">
      <c r="B35607" s="31"/>
      <c r="G35607" s="272" t="s">
        <v>1099</v>
      </c>
    </row>
    <row r="35608">
      <c r="B35608" s="31"/>
      <c r="G35608" s="272" t="s">
        <v>1099</v>
      </c>
    </row>
    <row r="35609">
      <c r="B35609" s="31"/>
      <c r="G35609" s="272" t="s">
        <v>1099</v>
      </c>
    </row>
    <row r="35610">
      <c r="B35610" s="31"/>
      <c r="G35610" s="272" t="s">
        <v>1099</v>
      </c>
    </row>
    <row r="35611">
      <c r="B35611" s="31"/>
      <c r="G35611" s="272" t="s">
        <v>1099</v>
      </c>
    </row>
    <row r="35612">
      <c r="B35612" s="31"/>
      <c r="G35612" s="272" t="s">
        <v>1099</v>
      </c>
    </row>
    <row r="35613">
      <c r="B35613" s="31"/>
      <c r="G35613" s="272" t="s">
        <v>1099</v>
      </c>
    </row>
    <row r="35614">
      <c r="B35614" s="31"/>
      <c r="G35614" s="272" t="s">
        <v>1099</v>
      </c>
    </row>
    <row r="35615">
      <c r="B35615" s="31"/>
      <c r="G35615" s="272" t="s">
        <v>1099</v>
      </c>
    </row>
    <row r="35616">
      <c r="B35616" s="31"/>
      <c r="G35616" s="272" t="s">
        <v>1099</v>
      </c>
    </row>
    <row r="35617">
      <c r="B35617" s="31"/>
      <c r="G35617" s="272" t="s">
        <v>1099</v>
      </c>
    </row>
    <row r="35618">
      <c r="B35618" s="31"/>
      <c r="G35618" s="272" t="s">
        <v>1099</v>
      </c>
    </row>
    <row r="35619">
      <c r="B35619" s="31"/>
      <c r="G35619" s="272" t="s">
        <v>1099</v>
      </c>
    </row>
    <row r="35620">
      <c r="B35620" s="31"/>
      <c r="G35620" s="272" t="s">
        <v>1099</v>
      </c>
    </row>
    <row r="35621">
      <c r="B35621" s="31"/>
      <c r="G35621" s="272" t="s">
        <v>1099</v>
      </c>
    </row>
    <row r="35622">
      <c r="B35622" s="31"/>
      <c r="G35622" s="272" t="s">
        <v>1099</v>
      </c>
    </row>
    <row r="35623">
      <c r="B35623" s="31"/>
      <c r="G35623" s="272" t="s">
        <v>1099</v>
      </c>
    </row>
    <row r="35624">
      <c r="B35624" s="31"/>
      <c r="G35624" s="272" t="s">
        <v>1099</v>
      </c>
    </row>
    <row r="35625">
      <c r="B35625" s="31"/>
      <c r="G35625" s="272" t="s">
        <v>1099</v>
      </c>
    </row>
    <row r="35626">
      <c r="B35626" s="31"/>
      <c r="G35626" s="272" t="s">
        <v>1099</v>
      </c>
    </row>
    <row r="35627">
      <c r="B35627" s="31"/>
      <c r="G35627" s="272" t="s">
        <v>1099</v>
      </c>
    </row>
    <row r="35628">
      <c r="B35628" s="31"/>
      <c r="G35628" s="272" t="s">
        <v>1099</v>
      </c>
    </row>
    <row r="35629">
      <c r="B35629" s="31"/>
      <c r="G35629" s="272" t="s">
        <v>1099</v>
      </c>
    </row>
    <row r="35630">
      <c r="B35630" s="31"/>
      <c r="G35630" s="272" t="s">
        <v>1099</v>
      </c>
    </row>
    <row r="35631">
      <c r="B35631" s="31"/>
      <c r="G35631" s="272" t="s">
        <v>1099</v>
      </c>
    </row>
    <row r="35632">
      <c r="B35632" s="31"/>
      <c r="G35632" s="272" t="s">
        <v>1099</v>
      </c>
    </row>
    <row r="35633">
      <c r="B35633" s="31"/>
      <c r="G35633" s="272" t="s">
        <v>1099</v>
      </c>
    </row>
    <row r="35634">
      <c r="B35634" s="31"/>
      <c r="G35634" s="272" t="s">
        <v>1099</v>
      </c>
    </row>
    <row r="35635">
      <c r="B35635" s="31"/>
      <c r="G35635" s="272" t="s">
        <v>1099</v>
      </c>
    </row>
    <row r="35636">
      <c r="B35636" s="31"/>
      <c r="G35636" s="272" t="s">
        <v>1099</v>
      </c>
    </row>
    <row r="35637">
      <c r="B35637" s="31"/>
      <c r="G35637" s="272" t="s">
        <v>1099</v>
      </c>
    </row>
    <row r="35638">
      <c r="B35638" s="31"/>
      <c r="G35638" s="272" t="s">
        <v>1099</v>
      </c>
    </row>
    <row r="35639">
      <c r="B35639" s="31"/>
      <c r="G35639" s="272" t="s">
        <v>1099</v>
      </c>
    </row>
    <row r="35640">
      <c r="B35640" s="31"/>
      <c r="G35640" s="272" t="s">
        <v>1099</v>
      </c>
    </row>
    <row r="35641">
      <c r="B35641" s="31"/>
      <c r="G35641" s="272" t="s">
        <v>1099</v>
      </c>
    </row>
    <row r="35642">
      <c r="B35642" s="31"/>
      <c r="G35642" s="272" t="s">
        <v>1099</v>
      </c>
    </row>
    <row r="35643">
      <c r="B35643" s="31"/>
      <c r="G35643" s="272" t="s">
        <v>1099</v>
      </c>
    </row>
    <row r="35644">
      <c r="B35644" s="31"/>
      <c r="G35644" s="272" t="s">
        <v>1099</v>
      </c>
    </row>
    <row r="35645">
      <c r="B35645" s="31"/>
      <c r="G35645" s="272" t="s">
        <v>1099</v>
      </c>
    </row>
    <row r="35646">
      <c r="B35646" s="31"/>
      <c r="G35646" s="272" t="s">
        <v>1099</v>
      </c>
    </row>
    <row r="35647">
      <c r="B35647" s="31"/>
      <c r="G35647" s="272" t="s">
        <v>1099</v>
      </c>
    </row>
    <row r="35648">
      <c r="B35648" s="31"/>
      <c r="G35648" s="272" t="s">
        <v>1099</v>
      </c>
    </row>
    <row r="35649">
      <c r="B35649" s="31"/>
      <c r="G35649" s="272" t="s">
        <v>1099</v>
      </c>
    </row>
    <row r="35650">
      <c r="B35650" s="31"/>
      <c r="G35650" s="272" t="s">
        <v>1099</v>
      </c>
    </row>
    <row r="35651">
      <c r="B35651" s="31"/>
      <c r="G35651" s="272" t="s">
        <v>1099</v>
      </c>
    </row>
    <row r="35652">
      <c r="B35652" s="31"/>
      <c r="G35652" s="272" t="s">
        <v>1099</v>
      </c>
    </row>
    <row r="35653">
      <c r="B35653" s="31"/>
      <c r="G35653" s="272" t="s">
        <v>1099</v>
      </c>
    </row>
    <row r="35654">
      <c r="B35654" s="31"/>
      <c r="G35654" s="272" t="s">
        <v>1099</v>
      </c>
    </row>
    <row r="35655">
      <c r="B35655" s="31"/>
      <c r="G35655" s="272" t="s">
        <v>1099</v>
      </c>
    </row>
    <row r="35656">
      <c r="B35656" s="31"/>
      <c r="G35656" s="272" t="s">
        <v>1099</v>
      </c>
    </row>
    <row r="35657">
      <c r="B35657" s="31"/>
      <c r="G35657" s="272" t="s">
        <v>1099</v>
      </c>
    </row>
    <row r="35658">
      <c r="B35658" s="31"/>
      <c r="G35658" s="272" t="s">
        <v>1099</v>
      </c>
    </row>
    <row r="35659">
      <c r="B35659" s="31"/>
      <c r="G35659" s="272" t="s">
        <v>1099</v>
      </c>
    </row>
    <row r="35660">
      <c r="B35660" s="31"/>
      <c r="G35660" s="272" t="s">
        <v>1099</v>
      </c>
    </row>
    <row r="35661">
      <c r="B35661" s="31"/>
      <c r="G35661" s="272" t="s">
        <v>1099</v>
      </c>
    </row>
    <row r="35662">
      <c r="B35662" s="31"/>
      <c r="G35662" s="272" t="s">
        <v>1099</v>
      </c>
    </row>
    <row r="35663">
      <c r="B35663" s="31"/>
      <c r="G35663" s="272" t="s">
        <v>1099</v>
      </c>
    </row>
    <row r="35664">
      <c r="B35664" s="31"/>
      <c r="G35664" s="272" t="s">
        <v>1099</v>
      </c>
    </row>
    <row r="35665">
      <c r="B35665" s="31"/>
      <c r="G35665" s="272" t="s">
        <v>1099</v>
      </c>
    </row>
    <row r="35666">
      <c r="B35666" s="31"/>
      <c r="G35666" s="272" t="s">
        <v>1099</v>
      </c>
    </row>
    <row r="35667">
      <c r="B35667" s="31"/>
      <c r="G35667" s="272" t="s">
        <v>1099</v>
      </c>
    </row>
    <row r="35668">
      <c r="B35668" s="31"/>
      <c r="G35668" s="272" t="s">
        <v>1099</v>
      </c>
    </row>
    <row r="35669">
      <c r="B35669" s="31"/>
      <c r="G35669" s="272" t="s">
        <v>1099</v>
      </c>
    </row>
    <row r="35670">
      <c r="B35670" s="31"/>
      <c r="G35670" s="272" t="s">
        <v>1099</v>
      </c>
    </row>
    <row r="35671">
      <c r="B35671" s="31"/>
      <c r="G35671" s="272" t="s">
        <v>1099</v>
      </c>
    </row>
    <row r="35672">
      <c r="B35672" s="31"/>
      <c r="G35672" s="272" t="s">
        <v>1099</v>
      </c>
    </row>
    <row r="35673">
      <c r="B35673" s="31"/>
      <c r="G35673" s="272" t="s">
        <v>1099</v>
      </c>
    </row>
    <row r="35674">
      <c r="B35674" s="31"/>
      <c r="G35674" s="272" t="s">
        <v>1099</v>
      </c>
    </row>
    <row r="35675">
      <c r="B35675" s="31"/>
      <c r="G35675" s="272" t="s">
        <v>1099</v>
      </c>
    </row>
    <row r="35676">
      <c r="B35676" s="31"/>
      <c r="G35676" s="272" t="s">
        <v>1099</v>
      </c>
    </row>
    <row r="35677">
      <c r="B35677" s="31"/>
      <c r="G35677" s="272" t="s">
        <v>1099</v>
      </c>
    </row>
    <row r="35678">
      <c r="B35678" s="31"/>
      <c r="G35678" s="272" t="s">
        <v>1099</v>
      </c>
    </row>
    <row r="35679">
      <c r="B35679" s="31"/>
      <c r="G35679" s="272" t="s">
        <v>1099</v>
      </c>
    </row>
    <row r="35680">
      <c r="B35680" s="31"/>
      <c r="G35680" s="272" t="s">
        <v>1099</v>
      </c>
    </row>
    <row r="35681">
      <c r="B35681" s="31"/>
      <c r="G35681" s="272" t="s">
        <v>1099</v>
      </c>
    </row>
    <row r="35682">
      <c r="B35682" s="31"/>
      <c r="G35682" s="272" t="s">
        <v>1099</v>
      </c>
    </row>
    <row r="35683">
      <c r="B35683" s="31"/>
      <c r="G35683" s="272" t="s">
        <v>1099</v>
      </c>
    </row>
    <row r="35684">
      <c r="B35684" s="31"/>
      <c r="G35684" s="272" t="s">
        <v>1099</v>
      </c>
    </row>
    <row r="35685">
      <c r="B35685" s="31"/>
      <c r="G35685" s="272" t="s">
        <v>1099</v>
      </c>
    </row>
    <row r="35686">
      <c r="B35686" s="31"/>
      <c r="G35686" s="272" t="s">
        <v>1099</v>
      </c>
    </row>
    <row r="35687">
      <c r="B35687" s="31"/>
      <c r="G35687" s="272" t="s">
        <v>1099</v>
      </c>
    </row>
    <row r="35688">
      <c r="B35688" s="31"/>
      <c r="G35688" s="272" t="s">
        <v>1099</v>
      </c>
    </row>
    <row r="35689">
      <c r="B35689" s="31"/>
      <c r="G35689" s="272" t="s">
        <v>1099</v>
      </c>
    </row>
    <row r="35690">
      <c r="B35690" s="31"/>
      <c r="G35690" s="272" t="s">
        <v>1099</v>
      </c>
    </row>
    <row r="35691">
      <c r="B35691" s="31"/>
      <c r="G35691" s="272" t="s">
        <v>1099</v>
      </c>
    </row>
    <row r="35692">
      <c r="B35692" s="31"/>
      <c r="G35692" s="272" t="s">
        <v>1099</v>
      </c>
    </row>
    <row r="35693">
      <c r="B35693" s="31"/>
      <c r="G35693" s="272" t="s">
        <v>1099</v>
      </c>
    </row>
    <row r="35694">
      <c r="B35694" s="31"/>
      <c r="G35694" s="272" t="s">
        <v>1099</v>
      </c>
    </row>
    <row r="35695">
      <c r="B35695" s="31"/>
      <c r="G35695" s="272" t="s">
        <v>1099</v>
      </c>
    </row>
    <row r="35696">
      <c r="B35696" s="31"/>
      <c r="G35696" s="272" t="s">
        <v>1099</v>
      </c>
    </row>
    <row r="35697">
      <c r="B35697" s="31"/>
      <c r="G35697" s="272" t="s">
        <v>1099</v>
      </c>
    </row>
    <row r="35698">
      <c r="B35698" s="31"/>
      <c r="G35698" s="272" t="s">
        <v>1099</v>
      </c>
    </row>
    <row r="35699">
      <c r="B35699" s="31"/>
      <c r="G35699" s="272" t="s">
        <v>1099</v>
      </c>
    </row>
    <row r="35700">
      <c r="B35700" s="31"/>
      <c r="G35700" s="272" t="s">
        <v>1099</v>
      </c>
    </row>
    <row r="35701">
      <c r="B35701" s="31"/>
      <c r="G35701" s="272" t="s">
        <v>1099</v>
      </c>
    </row>
    <row r="35702">
      <c r="B35702" s="31"/>
      <c r="G35702" s="272" t="s">
        <v>1099</v>
      </c>
    </row>
    <row r="35703">
      <c r="B35703" s="31"/>
      <c r="G35703" s="272" t="s">
        <v>1099</v>
      </c>
    </row>
    <row r="35704">
      <c r="B35704" s="31"/>
      <c r="G35704" s="272" t="s">
        <v>1099</v>
      </c>
    </row>
    <row r="35705">
      <c r="B35705" s="31"/>
      <c r="G35705" s="272" t="s">
        <v>1099</v>
      </c>
    </row>
    <row r="35706">
      <c r="B35706" s="31"/>
      <c r="G35706" s="272" t="s">
        <v>1099</v>
      </c>
    </row>
    <row r="35707">
      <c r="B35707" s="31"/>
      <c r="G35707" s="272" t="s">
        <v>1099</v>
      </c>
    </row>
    <row r="35708">
      <c r="B35708" s="31"/>
      <c r="G35708" s="272" t="s">
        <v>1099</v>
      </c>
    </row>
    <row r="35709">
      <c r="B35709" s="31"/>
      <c r="G35709" s="272" t="s">
        <v>1099</v>
      </c>
    </row>
    <row r="35710">
      <c r="B35710" s="31"/>
      <c r="G35710" s="272" t="s">
        <v>1099</v>
      </c>
    </row>
    <row r="35711">
      <c r="B35711" s="31"/>
      <c r="G35711" s="272" t="s">
        <v>1099</v>
      </c>
    </row>
    <row r="35712">
      <c r="B35712" s="31"/>
      <c r="G35712" s="272" t="s">
        <v>1099</v>
      </c>
    </row>
    <row r="35713">
      <c r="B35713" s="31"/>
      <c r="G35713" s="272" t="s">
        <v>1099</v>
      </c>
    </row>
    <row r="35714">
      <c r="B35714" s="31"/>
      <c r="G35714" s="272" t="s">
        <v>1099</v>
      </c>
    </row>
    <row r="35715">
      <c r="B35715" s="31"/>
      <c r="G35715" s="272" t="s">
        <v>1099</v>
      </c>
    </row>
    <row r="35716">
      <c r="B35716" s="31"/>
      <c r="G35716" s="272" t="s">
        <v>1099</v>
      </c>
    </row>
    <row r="35717">
      <c r="B35717" s="31"/>
      <c r="G35717" s="272" t="s">
        <v>1099</v>
      </c>
    </row>
    <row r="35718">
      <c r="B35718" s="31"/>
      <c r="G35718" s="272" t="s">
        <v>1099</v>
      </c>
    </row>
    <row r="35719">
      <c r="B35719" s="31"/>
      <c r="G35719" s="272" t="s">
        <v>1099</v>
      </c>
    </row>
    <row r="35720">
      <c r="B35720" s="31"/>
      <c r="G35720" s="272" t="s">
        <v>1099</v>
      </c>
    </row>
    <row r="35721">
      <c r="B35721" s="31"/>
      <c r="G35721" s="272" t="s">
        <v>1099</v>
      </c>
    </row>
    <row r="35722">
      <c r="B35722" s="31"/>
      <c r="G35722" s="272" t="s">
        <v>1099</v>
      </c>
    </row>
    <row r="35723">
      <c r="B35723" s="31"/>
      <c r="G35723" s="272" t="s">
        <v>1099</v>
      </c>
    </row>
    <row r="35724">
      <c r="B35724" s="31"/>
      <c r="G35724" s="272" t="s">
        <v>1099</v>
      </c>
    </row>
    <row r="35725">
      <c r="B35725" s="31"/>
      <c r="G35725" s="272" t="s">
        <v>1099</v>
      </c>
    </row>
    <row r="35726">
      <c r="B35726" s="31"/>
      <c r="G35726" s="272" t="s">
        <v>1099</v>
      </c>
    </row>
    <row r="35727">
      <c r="B35727" s="31"/>
      <c r="G35727" s="272" t="s">
        <v>1099</v>
      </c>
    </row>
    <row r="35728">
      <c r="B35728" s="31"/>
      <c r="G35728" s="272" t="s">
        <v>1099</v>
      </c>
    </row>
    <row r="35729">
      <c r="B35729" s="31"/>
      <c r="G35729" s="272" t="s">
        <v>1099</v>
      </c>
    </row>
    <row r="35730">
      <c r="B35730" s="31"/>
      <c r="G35730" s="272" t="s">
        <v>1099</v>
      </c>
    </row>
    <row r="35731">
      <c r="B35731" s="31"/>
      <c r="G35731" s="272" t="s">
        <v>1099</v>
      </c>
    </row>
    <row r="35732">
      <c r="B35732" s="31"/>
      <c r="G35732" s="272" t="s">
        <v>1099</v>
      </c>
    </row>
    <row r="35733">
      <c r="B35733" s="31"/>
      <c r="G35733" s="272" t="s">
        <v>1099</v>
      </c>
    </row>
    <row r="35734">
      <c r="B35734" s="31"/>
      <c r="G35734" s="272" t="s">
        <v>1099</v>
      </c>
    </row>
    <row r="35735">
      <c r="B35735" s="31"/>
      <c r="G35735" s="272" t="s">
        <v>1099</v>
      </c>
    </row>
    <row r="35736">
      <c r="B35736" s="31"/>
      <c r="G35736" s="272" t="s">
        <v>1099</v>
      </c>
    </row>
    <row r="35737">
      <c r="B35737" s="31"/>
      <c r="G35737" s="272" t="s">
        <v>1099</v>
      </c>
    </row>
    <row r="35738">
      <c r="B35738" s="31"/>
      <c r="G35738" s="272" t="s">
        <v>1099</v>
      </c>
    </row>
    <row r="35739">
      <c r="B35739" s="31"/>
      <c r="G35739" s="272" t="s">
        <v>1099</v>
      </c>
    </row>
    <row r="35740">
      <c r="B35740" s="31"/>
      <c r="G35740" s="272" t="s">
        <v>1099</v>
      </c>
    </row>
    <row r="35741">
      <c r="B35741" s="31"/>
      <c r="G35741" s="272" t="s">
        <v>1099</v>
      </c>
    </row>
    <row r="35742">
      <c r="B35742" s="31"/>
      <c r="G35742" s="272" t="s">
        <v>1099</v>
      </c>
    </row>
    <row r="35743">
      <c r="B35743" s="31"/>
      <c r="G35743" s="272" t="s">
        <v>1099</v>
      </c>
    </row>
    <row r="35744">
      <c r="B35744" s="31"/>
      <c r="G35744" s="272" t="s">
        <v>1099</v>
      </c>
    </row>
    <row r="35745">
      <c r="B35745" s="31"/>
      <c r="G35745" s="272" t="s">
        <v>1099</v>
      </c>
    </row>
    <row r="35746">
      <c r="B35746" s="31"/>
      <c r="G35746" s="272" t="s">
        <v>1099</v>
      </c>
    </row>
    <row r="35747">
      <c r="B35747" s="31"/>
      <c r="G35747" s="272" t="s">
        <v>1099</v>
      </c>
    </row>
    <row r="35748">
      <c r="B35748" s="31"/>
      <c r="G35748" s="272" t="s">
        <v>1099</v>
      </c>
    </row>
    <row r="35749">
      <c r="B35749" s="31"/>
      <c r="G35749" s="272" t="s">
        <v>1099</v>
      </c>
    </row>
    <row r="35750">
      <c r="B35750" s="31"/>
      <c r="G35750" s="272" t="s">
        <v>1099</v>
      </c>
    </row>
    <row r="35751">
      <c r="B35751" s="31"/>
      <c r="G35751" s="272" t="s">
        <v>1099</v>
      </c>
    </row>
    <row r="35752">
      <c r="B35752" s="31"/>
      <c r="G35752" s="272" t="s">
        <v>1099</v>
      </c>
    </row>
    <row r="35753">
      <c r="B35753" s="31"/>
      <c r="G35753" s="272" t="s">
        <v>1099</v>
      </c>
    </row>
    <row r="35754">
      <c r="B35754" s="31"/>
      <c r="G35754" s="272" t="s">
        <v>1099</v>
      </c>
    </row>
    <row r="35755">
      <c r="B35755" s="31"/>
      <c r="G35755" s="272" t="s">
        <v>1099</v>
      </c>
    </row>
    <row r="35756">
      <c r="B35756" s="31"/>
      <c r="G35756" s="272" t="s">
        <v>1099</v>
      </c>
    </row>
    <row r="35757">
      <c r="B35757" s="31"/>
      <c r="G35757" s="272" t="s">
        <v>1099</v>
      </c>
    </row>
    <row r="35758">
      <c r="B35758" s="31"/>
      <c r="G35758" s="272" t="s">
        <v>1099</v>
      </c>
    </row>
    <row r="35759">
      <c r="B35759" s="31"/>
      <c r="G35759" s="272" t="s">
        <v>1099</v>
      </c>
    </row>
    <row r="35760">
      <c r="B35760" s="31"/>
      <c r="G35760" s="272" t="s">
        <v>1099</v>
      </c>
    </row>
    <row r="35761">
      <c r="B35761" s="31"/>
      <c r="G35761" s="272" t="s">
        <v>1099</v>
      </c>
    </row>
    <row r="35762">
      <c r="B35762" s="31"/>
      <c r="G35762" s="272" t="s">
        <v>1099</v>
      </c>
    </row>
    <row r="35763">
      <c r="B35763" s="31"/>
      <c r="G35763" s="272" t="s">
        <v>1099</v>
      </c>
    </row>
    <row r="35764">
      <c r="B35764" s="31"/>
      <c r="G35764" s="272" t="s">
        <v>1099</v>
      </c>
    </row>
    <row r="35765">
      <c r="B35765" s="31"/>
      <c r="G35765" s="272" t="s">
        <v>1099</v>
      </c>
    </row>
    <row r="35766">
      <c r="B35766" s="31"/>
      <c r="G35766" s="272" t="s">
        <v>1099</v>
      </c>
    </row>
    <row r="35767">
      <c r="B35767" s="31"/>
      <c r="G35767" s="272" t="s">
        <v>1099</v>
      </c>
    </row>
    <row r="35768">
      <c r="B35768" s="31"/>
      <c r="G35768" s="272" t="s">
        <v>1099</v>
      </c>
    </row>
    <row r="35769">
      <c r="B35769" s="31"/>
      <c r="G35769" s="272" t="s">
        <v>1099</v>
      </c>
    </row>
    <row r="35770">
      <c r="B35770" s="31"/>
      <c r="G35770" s="272" t="s">
        <v>1099</v>
      </c>
    </row>
    <row r="35771">
      <c r="B35771" s="31"/>
      <c r="G35771" s="272" t="s">
        <v>1099</v>
      </c>
    </row>
    <row r="35772">
      <c r="B35772" s="31"/>
      <c r="G35772" s="272" t="s">
        <v>1099</v>
      </c>
    </row>
    <row r="35773">
      <c r="B35773" s="31"/>
      <c r="G35773" s="272" t="s">
        <v>1099</v>
      </c>
    </row>
    <row r="35774">
      <c r="B35774" s="31"/>
      <c r="G35774" s="272" t="s">
        <v>1099</v>
      </c>
    </row>
    <row r="35775">
      <c r="B35775" s="31"/>
      <c r="G35775" s="272" t="s">
        <v>1099</v>
      </c>
    </row>
    <row r="35776">
      <c r="B35776" s="31"/>
      <c r="G35776" s="272" t="s">
        <v>1099</v>
      </c>
    </row>
    <row r="35777">
      <c r="B35777" s="31"/>
      <c r="G35777" s="272" t="s">
        <v>1099</v>
      </c>
    </row>
    <row r="35778">
      <c r="B35778" s="31"/>
      <c r="G35778" s="272" t="s">
        <v>1099</v>
      </c>
    </row>
    <row r="35779">
      <c r="B35779" s="31"/>
      <c r="G35779" s="272" t="s">
        <v>1099</v>
      </c>
    </row>
    <row r="35780">
      <c r="B35780" s="31"/>
      <c r="G35780" s="272" t="s">
        <v>1099</v>
      </c>
    </row>
    <row r="35781">
      <c r="B35781" s="31"/>
      <c r="G35781" s="272" t="s">
        <v>1099</v>
      </c>
    </row>
    <row r="35782">
      <c r="B35782" s="31"/>
      <c r="G35782" s="272" t="s">
        <v>1099</v>
      </c>
    </row>
    <row r="35783">
      <c r="B35783" s="31"/>
      <c r="G35783" s="272" t="s">
        <v>1099</v>
      </c>
    </row>
    <row r="35784">
      <c r="B35784" s="31"/>
      <c r="G35784" s="272" t="s">
        <v>1099</v>
      </c>
    </row>
    <row r="35785">
      <c r="B35785" s="31"/>
      <c r="G35785" s="272" t="s">
        <v>1099</v>
      </c>
    </row>
    <row r="35786">
      <c r="B35786" s="31"/>
      <c r="G35786" s="272" t="s">
        <v>1099</v>
      </c>
    </row>
    <row r="35787">
      <c r="B35787" s="31"/>
      <c r="G35787" s="272" t="s">
        <v>1099</v>
      </c>
    </row>
    <row r="35788">
      <c r="B35788" s="31"/>
      <c r="G35788" s="272" t="s">
        <v>1099</v>
      </c>
    </row>
    <row r="35789">
      <c r="B35789" s="31"/>
      <c r="G35789" s="272" t="s">
        <v>1099</v>
      </c>
    </row>
    <row r="35790">
      <c r="B35790" s="31"/>
      <c r="G35790" s="272" t="s">
        <v>1099</v>
      </c>
    </row>
    <row r="35791">
      <c r="B35791" s="31"/>
      <c r="G35791" s="272" t="s">
        <v>1099</v>
      </c>
    </row>
    <row r="35792">
      <c r="B35792" s="31"/>
      <c r="G35792" s="272" t="s">
        <v>1099</v>
      </c>
    </row>
    <row r="35793">
      <c r="B35793" s="31"/>
      <c r="G35793" s="272" t="s">
        <v>1099</v>
      </c>
    </row>
    <row r="35794">
      <c r="B35794" s="31"/>
      <c r="G35794" s="272" t="s">
        <v>1099</v>
      </c>
    </row>
    <row r="35795">
      <c r="B35795" s="31"/>
      <c r="G35795" s="272" t="s">
        <v>1099</v>
      </c>
    </row>
    <row r="35796">
      <c r="B35796" s="31"/>
      <c r="G35796" s="272" t="s">
        <v>1099</v>
      </c>
    </row>
    <row r="35797">
      <c r="B35797" s="31"/>
      <c r="G35797" s="272" t="s">
        <v>1099</v>
      </c>
    </row>
    <row r="35798">
      <c r="B35798" s="31"/>
      <c r="G35798" s="272" t="s">
        <v>1099</v>
      </c>
    </row>
    <row r="35799">
      <c r="B35799" s="31"/>
      <c r="G35799" s="272" t="s">
        <v>1099</v>
      </c>
    </row>
    <row r="35800">
      <c r="B35800" s="31"/>
      <c r="G35800" s="272" t="s">
        <v>1099</v>
      </c>
    </row>
    <row r="35801">
      <c r="B35801" s="31"/>
      <c r="G35801" s="272" t="s">
        <v>1099</v>
      </c>
    </row>
    <row r="35802">
      <c r="B35802" s="31"/>
      <c r="G35802" s="272" t="s">
        <v>1099</v>
      </c>
    </row>
    <row r="35803">
      <c r="B35803" s="31"/>
      <c r="G35803" s="272" t="s">
        <v>1099</v>
      </c>
    </row>
    <row r="35804">
      <c r="B35804" s="31"/>
      <c r="G35804" s="272" t="s">
        <v>1099</v>
      </c>
    </row>
    <row r="35805">
      <c r="B35805" s="31"/>
      <c r="G35805" s="272" t="s">
        <v>1099</v>
      </c>
    </row>
    <row r="35806">
      <c r="B35806" s="31"/>
      <c r="G35806" s="272" t="s">
        <v>1099</v>
      </c>
    </row>
    <row r="35807">
      <c r="B35807" s="31"/>
      <c r="G35807" s="272" t="s">
        <v>1099</v>
      </c>
    </row>
    <row r="35808">
      <c r="B35808" s="31"/>
      <c r="G35808" s="272" t="s">
        <v>1099</v>
      </c>
    </row>
    <row r="35809">
      <c r="B35809" s="31"/>
      <c r="G35809" s="272" t="s">
        <v>1099</v>
      </c>
    </row>
    <row r="35810">
      <c r="B35810" s="31"/>
      <c r="G35810" s="272" t="s">
        <v>1099</v>
      </c>
    </row>
    <row r="35811">
      <c r="B35811" s="31"/>
      <c r="G35811" s="272" t="s">
        <v>1099</v>
      </c>
    </row>
    <row r="35812">
      <c r="B35812" s="31"/>
      <c r="G35812" s="272" t="s">
        <v>1099</v>
      </c>
    </row>
    <row r="35813">
      <c r="B35813" s="31"/>
      <c r="G35813" s="272" t="s">
        <v>1099</v>
      </c>
    </row>
    <row r="35814">
      <c r="B35814" s="31"/>
      <c r="G35814" s="272" t="s">
        <v>1099</v>
      </c>
    </row>
    <row r="35815">
      <c r="B35815" s="31"/>
      <c r="G35815" s="272" t="s">
        <v>1099</v>
      </c>
    </row>
    <row r="35816">
      <c r="B35816" s="31"/>
      <c r="G35816" s="272" t="s">
        <v>1099</v>
      </c>
    </row>
    <row r="35817">
      <c r="B35817" s="31"/>
      <c r="G35817" s="272" t="s">
        <v>1099</v>
      </c>
    </row>
    <row r="35818">
      <c r="B35818" s="31"/>
      <c r="G35818" s="272" t="s">
        <v>1099</v>
      </c>
    </row>
    <row r="35819">
      <c r="B35819" s="31"/>
      <c r="G35819" s="272" t="s">
        <v>1099</v>
      </c>
    </row>
    <row r="35820">
      <c r="B35820" s="31"/>
      <c r="G35820" s="272" t="s">
        <v>1099</v>
      </c>
    </row>
    <row r="35821">
      <c r="B35821" s="31"/>
      <c r="G35821" s="272" t="s">
        <v>1099</v>
      </c>
    </row>
    <row r="35822">
      <c r="B35822" s="31"/>
      <c r="G35822" s="272" t="s">
        <v>1099</v>
      </c>
    </row>
    <row r="35823">
      <c r="B35823" s="31"/>
      <c r="G35823" s="272" t="s">
        <v>1099</v>
      </c>
    </row>
    <row r="35824">
      <c r="B35824" s="31"/>
      <c r="G35824" s="272" t="s">
        <v>1099</v>
      </c>
    </row>
    <row r="35825">
      <c r="B35825" s="31"/>
      <c r="G35825" s="272" t="s">
        <v>1099</v>
      </c>
    </row>
    <row r="35826">
      <c r="B35826" s="31"/>
      <c r="G35826" s="272" t="s">
        <v>1099</v>
      </c>
    </row>
    <row r="35827">
      <c r="B35827" s="31"/>
      <c r="G35827" s="272" t="s">
        <v>1099</v>
      </c>
    </row>
    <row r="35828">
      <c r="B35828" s="31"/>
      <c r="G35828" s="272" t="s">
        <v>1099</v>
      </c>
    </row>
    <row r="35829">
      <c r="B35829" s="31"/>
      <c r="G35829" s="272" t="s">
        <v>1099</v>
      </c>
    </row>
    <row r="35830">
      <c r="B35830" s="31"/>
      <c r="G35830" s="272" t="s">
        <v>1099</v>
      </c>
    </row>
    <row r="35831">
      <c r="B35831" s="31"/>
      <c r="G35831" s="272" t="s">
        <v>1099</v>
      </c>
    </row>
    <row r="35832">
      <c r="B35832" s="31"/>
      <c r="G35832" s="272" t="s">
        <v>1099</v>
      </c>
    </row>
    <row r="35833">
      <c r="B35833" s="31"/>
      <c r="G35833" s="272" t="s">
        <v>1099</v>
      </c>
    </row>
    <row r="35834">
      <c r="B35834" s="31"/>
      <c r="G35834" s="272" t="s">
        <v>1099</v>
      </c>
    </row>
    <row r="35835">
      <c r="B35835" s="31"/>
      <c r="G35835" s="272" t="s">
        <v>1099</v>
      </c>
    </row>
    <row r="35836">
      <c r="B35836" s="31"/>
      <c r="G35836" s="272" t="s">
        <v>1099</v>
      </c>
    </row>
    <row r="35837">
      <c r="B35837" s="31"/>
      <c r="G35837" s="272" t="s">
        <v>1099</v>
      </c>
    </row>
    <row r="35838">
      <c r="B35838" s="31"/>
      <c r="G35838" s="272" t="s">
        <v>1099</v>
      </c>
    </row>
    <row r="35839">
      <c r="B35839" s="31"/>
      <c r="G35839" s="272" t="s">
        <v>1099</v>
      </c>
    </row>
    <row r="35840">
      <c r="B35840" s="31"/>
      <c r="G35840" s="272" t="s">
        <v>1099</v>
      </c>
    </row>
    <row r="35841">
      <c r="B35841" s="31"/>
      <c r="G35841" s="272" t="s">
        <v>1099</v>
      </c>
    </row>
    <row r="35842">
      <c r="B35842" s="31"/>
      <c r="G35842" s="272" t="s">
        <v>1099</v>
      </c>
    </row>
    <row r="35843">
      <c r="B35843" s="31"/>
      <c r="G35843" s="272" t="s">
        <v>1099</v>
      </c>
    </row>
    <row r="35844">
      <c r="B35844" s="31"/>
      <c r="G35844" s="272" t="s">
        <v>1099</v>
      </c>
    </row>
    <row r="35845">
      <c r="B35845" s="31"/>
      <c r="G35845" s="272" t="s">
        <v>1099</v>
      </c>
    </row>
    <row r="35846">
      <c r="B35846" s="31"/>
      <c r="G35846" s="272" t="s">
        <v>1099</v>
      </c>
    </row>
    <row r="35847">
      <c r="B35847" s="31"/>
      <c r="G35847" s="272" t="s">
        <v>1099</v>
      </c>
    </row>
    <row r="35848">
      <c r="B35848" s="31"/>
      <c r="G35848" s="272" t="s">
        <v>1099</v>
      </c>
    </row>
    <row r="35849">
      <c r="B35849" s="31"/>
      <c r="G35849" s="272" t="s">
        <v>1099</v>
      </c>
    </row>
    <row r="35850">
      <c r="B35850" s="31"/>
      <c r="G35850" s="272" t="s">
        <v>1099</v>
      </c>
    </row>
    <row r="35851">
      <c r="B35851" s="31"/>
      <c r="G35851" s="272" t="s">
        <v>1099</v>
      </c>
    </row>
    <row r="35852">
      <c r="B35852" s="31"/>
      <c r="G35852" s="272" t="s">
        <v>1099</v>
      </c>
    </row>
    <row r="35853">
      <c r="B35853" s="31"/>
      <c r="G35853" s="272" t="s">
        <v>1099</v>
      </c>
    </row>
    <row r="35854">
      <c r="B35854" s="31"/>
      <c r="G35854" s="272" t="s">
        <v>1099</v>
      </c>
    </row>
    <row r="35855">
      <c r="B35855" s="31"/>
      <c r="G35855" s="272" t="s">
        <v>1099</v>
      </c>
    </row>
    <row r="35856">
      <c r="B35856" s="31"/>
      <c r="G35856" s="272" t="s">
        <v>1099</v>
      </c>
    </row>
    <row r="35857">
      <c r="B35857" s="31"/>
      <c r="G35857" s="272" t="s">
        <v>1099</v>
      </c>
    </row>
    <row r="35858">
      <c r="B35858" s="31"/>
      <c r="G35858" s="272" t="s">
        <v>1099</v>
      </c>
    </row>
    <row r="35859">
      <c r="B35859" s="31"/>
      <c r="G35859" s="272" t="s">
        <v>1099</v>
      </c>
    </row>
    <row r="35860">
      <c r="B35860" s="31"/>
      <c r="G35860" s="272" t="s">
        <v>1099</v>
      </c>
    </row>
    <row r="35861">
      <c r="B35861" s="31"/>
      <c r="G35861" s="272" t="s">
        <v>1099</v>
      </c>
    </row>
    <row r="35862">
      <c r="B35862" s="31"/>
      <c r="G35862" s="272" t="s">
        <v>1099</v>
      </c>
    </row>
    <row r="35863">
      <c r="B35863" s="31"/>
      <c r="G35863" s="272" t="s">
        <v>1099</v>
      </c>
    </row>
    <row r="35864">
      <c r="B35864" s="31"/>
      <c r="G35864" s="272" t="s">
        <v>1099</v>
      </c>
    </row>
    <row r="35865">
      <c r="B35865" s="31"/>
      <c r="G35865" s="272" t="s">
        <v>1099</v>
      </c>
    </row>
    <row r="35866">
      <c r="B35866" s="31"/>
      <c r="G35866" s="272" t="s">
        <v>1099</v>
      </c>
    </row>
    <row r="35867">
      <c r="B35867" s="31"/>
      <c r="G35867" s="272" t="s">
        <v>1099</v>
      </c>
    </row>
    <row r="35868">
      <c r="B35868" s="31"/>
      <c r="G35868" s="272" t="s">
        <v>1099</v>
      </c>
    </row>
    <row r="35869">
      <c r="B35869" s="31"/>
      <c r="G35869" s="272" t="s">
        <v>1099</v>
      </c>
    </row>
    <row r="35870">
      <c r="B35870" s="31"/>
      <c r="G35870" s="272" t="s">
        <v>1099</v>
      </c>
    </row>
    <row r="35871">
      <c r="B35871" s="31"/>
      <c r="G35871" s="272" t="s">
        <v>1099</v>
      </c>
    </row>
    <row r="35872">
      <c r="B35872" s="31"/>
      <c r="G35872" s="272" t="s">
        <v>1099</v>
      </c>
    </row>
    <row r="35873">
      <c r="B35873" s="31"/>
      <c r="G35873" s="272" t="s">
        <v>1099</v>
      </c>
    </row>
    <row r="35874">
      <c r="B35874" s="31"/>
      <c r="G35874" s="272" t="s">
        <v>1099</v>
      </c>
    </row>
    <row r="35875">
      <c r="B35875" s="31"/>
      <c r="G35875" s="272" t="s">
        <v>1099</v>
      </c>
    </row>
    <row r="35876">
      <c r="B35876" s="31"/>
      <c r="G35876" s="272" t="s">
        <v>1099</v>
      </c>
    </row>
    <row r="35877">
      <c r="B35877" s="31"/>
      <c r="G35877" s="272" t="s">
        <v>1099</v>
      </c>
    </row>
    <row r="35878">
      <c r="B35878" s="31"/>
      <c r="G35878" s="272" t="s">
        <v>1099</v>
      </c>
    </row>
    <row r="35879">
      <c r="B35879" s="31"/>
      <c r="G35879" s="272" t="s">
        <v>1099</v>
      </c>
    </row>
    <row r="35880">
      <c r="B35880" s="31"/>
      <c r="G35880" s="272" t="s">
        <v>1099</v>
      </c>
    </row>
    <row r="35881">
      <c r="B35881" s="31"/>
      <c r="G35881" s="272" t="s">
        <v>1099</v>
      </c>
    </row>
    <row r="35882">
      <c r="B35882" s="31"/>
      <c r="G35882" s="272" t="s">
        <v>1099</v>
      </c>
    </row>
    <row r="35883">
      <c r="B35883" s="31"/>
      <c r="G35883" s="272" t="s">
        <v>1099</v>
      </c>
    </row>
    <row r="35884">
      <c r="B35884" s="31"/>
      <c r="G35884" s="272" t="s">
        <v>1099</v>
      </c>
    </row>
    <row r="35885">
      <c r="B35885" s="31"/>
      <c r="G35885" s="272" t="s">
        <v>1099</v>
      </c>
    </row>
    <row r="35886">
      <c r="B35886" s="31"/>
      <c r="G35886" s="272" t="s">
        <v>1099</v>
      </c>
    </row>
    <row r="35887">
      <c r="B35887" s="31"/>
      <c r="G35887" s="272" t="s">
        <v>1099</v>
      </c>
    </row>
    <row r="35888">
      <c r="B35888" s="31"/>
      <c r="G35888" s="272" t="s">
        <v>1099</v>
      </c>
    </row>
    <row r="35889">
      <c r="B35889" s="31"/>
      <c r="G35889" s="272" t="s">
        <v>1099</v>
      </c>
    </row>
    <row r="35890">
      <c r="B35890" s="31"/>
      <c r="G35890" s="272" t="s">
        <v>1099</v>
      </c>
    </row>
    <row r="35891">
      <c r="B35891" s="31"/>
      <c r="G35891" s="272" t="s">
        <v>1099</v>
      </c>
    </row>
    <row r="35892">
      <c r="B35892" s="31"/>
      <c r="G35892" s="272" t="s">
        <v>1099</v>
      </c>
    </row>
    <row r="35893">
      <c r="B35893" s="31"/>
      <c r="G35893" s="272" t="s">
        <v>1099</v>
      </c>
    </row>
    <row r="35894">
      <c r="B35894" s="31"/>
      <c r="G35894" s="272" t="s">
        <v>1099</v>
      </c>
    </row>
    <row r="35895">
      <c r="B35895" s="31"/>
      <c r="G35895" s="272" t="s">
        <v>1099</v>
      </c>
    </row>
    <row r="35896">
      <c r="B35896" s="31"/>
      <c r="G35896" s="272" t="s">
        <v>1099</v>
      </c>
    </row>
    <row r="35897">
      <c r="B35897" s="31"/>
      <c r="G35897" s="272" t="s">
        <v>1099</v>
      </c>
    </row>
    <row r="35898">
      <c r="B35898" s="31"/>
      <c r="G35898" s="272" t="s">
        <v>1099</v>
      </c>
    </row>
    <row r="35899">
      <c r="B35899" s="31"/>
      <c r="G35899" s="272" t="s">
        <v>1099</v>
      </c>
    </row>
    <row r="35900">
      <c r="B35900" s="31"/>
      <c r="G35900" s="272" t="s">
        <v>1099</v>
      </c>
    </row>
    <row r="35901">
      <c r="B35901" s="31"/>
      <c r="G35901" s="272" t="s">
        <v>1099</v>
      </c>
    </row>
    <row r="35902">
      <c r="B35902" s="31"/>
      <c r="G35902" s="272" t="s">
        <v>1099</v>
      </c>
    </row>
    <row r="35903">
      <c r="B35903" s="31"/>
      <c r="G35903" s="272" t="s">
        <v>1099</v>
      </c>
    </row>
    <row r="35904">
      <c r="B35904" s="31"/>
      <c r="G35904" s="272" t="s">
        <v>1099</v>
      </c>
    </row>
    <row r="35905">
      <c r="B35905" s="31"/>
      <c r="G35905" s="272" t="s">
        <v>1099</v>
      </c>
    </row>
    <row r="35906">
      <c r="B35906" s="31"/>
      <c r="G35906" s="272" t="s">
        <v>1099</v>
      </c>
    </row>
    <row r="35907">
      <c r="B35907" s="31"/>
      <c r="G35907" s="272" t="s">
        <v>1099</v>
      </c>
    </row>
    <row r="35908">
      <c r="B35908" s="31"/>
      <c r="G35908" s="272" t="s">
        <v>1099</v>
      </c>
    </row>
    <row r="35909">
      <c r="B35909" s="31"/>
      <c r="G35909" s="272" t="s">
        <v>1099</v>
      </c>
    </row>
    <row r="35910">
      <c r="B35910" s="31"/>
      <c r="G35910" s="272" t="s">
        <v>1099</v>
      </c>
    </row>
    <row r="35911">
      <c r="B35911" s="31"/>
      <c r="G35911" s="272" t="s">
        <v>1099</v>
      </c>
    </row>
    <row r="35912">
      <c r="B35912" s="31"/>
      <c r="G35912" s="272" t="s">
        <v>1099</v>
      </c>
    </row>
    <row r="35913">
      <c r="B35913" s="31"/>
      <c r="G35913" s="272" t="s">
        <v>1099</v>
      </c>
    </row>
    <row r="35914">
      <c r="B35914" s="31"/>
      <c r="G35914" s="272" t="s">
        <v>1099</v>
      </c>
    </row>
    <row r="35915">
      <c r="B35915" s="31"/>
      <c r="G35915" s="272" t="s">
        <v>1099</v>
      </c>
    </row>
    <row r="35916">
      <c r="B35916" s="31"/>
      <c r="G35916" s="272" t="s">
        <v>1099</v>
      </c>
    </row>
    <row r="35917">
      <c r="B35917" s="31"/>
      <c r="G35917" s="272" t="s">
        <v>1099</v>
      </c>
    </row>
    <row r="35918">
      <c r="B35918" s="31"/>
      <c r="G35918" s="272" t="s">
        <v>1099</v>
      </c>
    </row>
    <row r="35919">
      <c r="B35919" s="31"/>
      <c r="G35919" s="272" t="s">
        <v>1099</v>
      </c>
    </row>
    <row r="35920">
      <c r="B35920" s="31"/>
      <c r="G35920" s="272" t="s">
        <v>1099</v>
      </c>
    </row>
    <row r="35921">
      <c r="B35921" s="31"/>
      <c r="G35921" s="272" t="s">
        <v>1099</v>
      </c>
    </row>
    <row r="35922">
      <c r="B35922" s="31"/>
      <c r="G35922" s="272" t="s">
        <v>1099</v>
      </c>
    </row>
    <row r="35923">
      <c r="B35923" s="31"/>
      <c r="G35923" s="272" t="s">
        <v>1099</v>
      </c>
    </row>
    <row r="35924">
      <c r="B35924" s="31"/>
      <c r="G35924" s="272" t="s">
        <v>1099</v>
      </c>
    </row>
    <row r="35925">
      <c r="B35925" s="31"/>
      <c r="G35925" s="272" t="s">
        <v>1099</v>
      </c>
    </row>
    <row r="35926">
      <c r="B35926" s="31"/>
      <c r="G35926" s="272" t="s">
        <v>1099</v>
      </c>
    </row>
    <row r="35927">
      <c r="B35927" s="31"/>
      <c r="G35927" s="272" t="s">
        <v>1099</v>
      </c>
    </row>
    <row r="35928">
      <c r="B35928" s="31"/>
      <c r="G35928" s="272" t="s">
        <v>1099</v>
      </c>
    </row>
    <row r="35929">
      <c r="B35929" s="31"/>
      <c r="G35929" s="272" t="s">
        <v>1099</v>
      </c>
    </row>
    <row r="35930">
      <c r="B35930" s="31"/>
      <c r="G35930" s="272" t="s">
        <v>1099</v>
      </c>
    </row>
    <row r="35931">
      <c r="B35931" s="31"/>
      <c r="G35931" s="272" t="s">
        <v>1099</v>
      </c>
    </row>
    <row r="35932">
      <c r="B35932" s="31"/>
      <c r="G35932" s="272" t="s">
        <v>1099</v>
      </c>
    </row>
    <row r="35933">
      <c r="B35933" s="31"/>
      <c r="G35933" s="272" t="s">
        <v>1099</v>
      </c>
    </row>
    <row r="35934">
      <c r="B35934" s="31"/>
      <c r="G35934" s="272" t="s">
        <v>1099</v>
      </c>
    </row>
    <row r="35935">
      <c r="B35935" s="31"/>
      <c r="G35935" s="272" t="s">
        <v>1099</v>
      </c>
    </row>
    <row r="35936">
      <c r="B35936" s="31"/>
      <c r="G35936" s="272" t="s">
        <v>1099</v>
      </c>
    </row>
    <row r="35937">
      <c r="B35937" s="31"/>
      <c r="G35937" s="272" t="s">
        <v>1099</v>
      </c>
    </row>
    <row r="35938">
      <c r="B35938" s="31"/>
      <c r="G35938" s="272" t="s">
        <v>1099</v>
      </c>
    </row>
    <row r="35939">
      <c r="B35939" s="31"/>
      <c r="G35939" s="272" t="s">
        <v>1099</v>
      </c>
    </row>
    <row r="35940">
      <c r="B35940" s="31"/>
      <c r="G35940" s="272" t="s">
        <v>1099</v>
      </c>
    </row>
    <row r="35941">
      <c r="B35941" s="31"/>
      <c r="G35941" s="272" t="s">
        <v>1099</v>
      </c>
    </row>
    <row r="35942">
      <c r="B35942" s="31"/>
      <c r="G35942" s="272" t="s">
        <v>1099</v>
      </c>
    </row>
    <row r="35943">
      <c r="B35943" s="31"/>
      <c r="G35943" s="272" t="s">
        <v>1099</v>
      </c>
    </row>
    <row r="35944">
      <c r="B35944" s="31"/>
      <c r="G35944" s="272" t="s">
        <v>1099</v>
      </c>
    </row>
    <row r="35945">
      <c r="B35945" s="31"/>
      <c r="G35945" s="272" t="s">
        <v>1099</v>
      </c>
    </row>
    <row r="35946">
      <c r="B35946" s="31"/>
      <c r="G35946" s="272" t="s">
        <v>1099</v>
      </c>
    </row>
    <row r="35947">
      <c r="B35947" s="31"/>
      <c r="G35947" s="272" t="s">
        <v>1099</v>
      </c>
    </row>
    <row r="35948">
      <c r="B35948" s="31"/>
      <c r="G35948" s="272" t="s">
        <v>1099</v>
      </c>
    </row>
    <row r="35949">
      <c r="B35949" s="31"/>
      <c r="G35949" s="272" t="s">
        <v>1099</v>
      </c>
    </row>
    <row r="35950">
      <c r="B35950" s="31"/>
      <c r="G35950" s="272" t="s">
        <v>1099</v>
      </c>
    </row>
    <row r="35951">
      <c r="B35951" s="31"/>
      <c r="G35951" s="272" t="s">
        <v>1099</v>
      </c>
    </row>
    <row r="35952">
      <c r="B35952" s="31"/>
      <c r="G35952" s="272" t="s">
        <v>1099</v>
      </c>
    </row>
    <row r="35953">
      <c r="B35953" s="31"/>
      <c r="G35953" s="272" t="s">
        <v>1099</v>
      </c>
    </row>
    <row r="35954">
      <c r="B35954" s="31"/>
      <c r="G35954" s="272" t="s">
        <v>1099</v>
      </c>
    </row>
    <row r="35955">
      <c r="B35955" s="31"/>
      <c r="G35955" s="272" t="s">
        <v>1099</v>
      </c>
    </row>
    <row r="35956">
      <c r="B35956" s="31"/>
      <c r="G35956" s="272" t="s">
        <v>1099</v>
      </c>
    </row>
    <row r="35957">
      <c r="B35957" s="31"/>
      <c r="G35957" s="272" t="s">
        <v>1099</v>
      </c>
    </row>
    <row r="35958">
      <c r="B35958" s="31"/>
      <c r="G35958" s="272" t="s">
        <v>1099</v>
      </c>
    </row>
    <row r="35959">
      <c r="B35959" s="31"/>
      <c r="G35959" s="272" t="s">
        <v>1099</v>
      </c>
    </row>
    <row r="35960">
      <c r="B35960" s="31"/>
      <c r="G35960" s="272" t="s">
        <v>1099</v>
      </c>
    </row>
    <row r="35961">
      <c r="B35961" s="31"/>
      <c r="G35961" s="272" t="s">
        <v>1099</v>
      </c>
    </row>
    <row r="35962">
      <c r="B35962" s="31"/>
      <c r="G35962" s="272" t="s">
        <v>1099</v>
      </c>
    </row>
    <row r="35963">
      <c r="B35963" s="31"/>
      <c r="G35963" s="272" t="s">
        <v>1099</v>
      </c>
    </row>
    <row r="35964">
      <c r="B35964" s="31"/>
      <c r="G35964" s="272" t="s">
        <v>1099</v>
      </c>
    </row>
    <row r="35965">
      <c r="B35965" s="31"/>
      <c r="G35965" s="272" t="s">
        <v>1099</v>
      </c>
    </row>
    <row r="35966">
      <c r="B35966" s="31"/>
      <c r="G35966" s="272" t="s">
        <v>1099</v>
      </c>
    </row>
    <row r="35967">
      <c r="B35967" s="31"/>
      <c r="G35967" s="272" t="s">
        <v>1099</v>
      </c>
    </row>
    <row r="35968">
      <c r="B35968" s="31"/>
      <c r="G35968" s="272" t="s">
        <v>1099</v>
      </c>
    </row>
    <row r="35969">
      <c r="B35969" s="31"/>
      <c r="G35969" s="272" t="s">
        <v>1099</v>
      </c>
    </row>
    <row r="35970">
      <c r="B35970" s="31"/>
      <c r="G35970" s="272" t="s">
        <v>1099</v>
      </c>
    </row>
    <row r="35971">
      <c r="B35971" s="31"/>
      <c r="G35971" s="272" t="s">
        <v>1099</v>
      </c>
    </row>
    <row r="35972">
      <c r="B35972" s="31"/>
      <c r="G35972" s="272" t="s">
        <v>1099</v>
      </c>
    </row>
    <row r="35973">
      <c r="B35973" s="31"/>
      <c r="G35973" s="272" t="s">
        <v>1099</v>
      </c>
    </row>
    <row r="35974">
      <c r="B35974" s="31"/>
      <c r="G35974" s="272" t="s">
        <v>1099</v>
      </c>
    </row>
    <row r="35975">
      <c r="B35975" s="31"/>
      <c r="G35975" s="272" t="s">
        <v>1099</v>
      </c>
    </row>
    <row r="35976">
      <c r="B35976" s="31"/>
      <c r="G35976" s="272" t="s">
        <v>1099</v>
      </c>
    </row>
    <row r="35977">
      <c r="B35977" s="31"/>
      <c r="G35977" s="272" t="s">
        <v>1099</v>
      </c>
    </row>
    <row r="35978">
      <c r="B35978" s="31"/>
      <c r="G35978" s="272" t="s">
        <v>1099</v>
      </c>
    </row>
    <row r="35979">
      <c r="B35979" s="31"/>
      <c r="G35979" s="272" t="s">
        <v>1099</v>
      </c>
    </row>
    <row r="35980">
      <c r="B35980" s="31"/>
      <c r="G35980" s="272" t="s">
        <v>1099</v>
      </c>
    </row>
    <row r="35981">
      <c r="B35981" s="31"/>
      <c r="G35981" s="272" t="s">
        <v>1099</v>
      </c>
    </row>
    <row r="35982">
      <c r="B35982" s="31"/>
      <c r="G35982" s="272" t="s">
        <v>1099</v>
      </c>
    </row>
    <row r="35983">
      <c r="B35983" s="31"/>
      <c r="G35983" s="272" t="s">
        <v>1099</v>
      </c>
    </row>
    <row r="35984">
      <c r="B35984" s="31"/>
      <c r="G35984" s="272" t="s">
        <v>1099</v>
      </c>
    </row>
    <row r="35985">
      <c r="B35985" s="31"/>
      <c r="G35985" s="272" t="s">
        <v>1099</v>
      </c>
    </row>
    <row r="35986">
      <c r="B35986" s="31"/>
      <c r="G35986" s="272" t="s">
        <v>1099</v>
      </c>
    </row>
    <row r="35987">
      <c r="B35987" s="31"/>
      <c r="G35987" s="272" t="s">
        <v>1099</v>
      </c>
    </row>
    <row r="35988">
      <c r="B35988" s="31"/>
      <c r="G35988" s="272" t="s">
        <v>1099</v>
      </c>
    </row>
    <row r="35989">
      <c r="B35989" s="31"/>
      <c r="G35989" s="272" t="s">
        <v>1099</v>
      </c>
    </row>
    <row r="35990">
      <c r="B35990" s="31"/>
      <c r="G35990" s="272" t="s">
        <v>1099</v>
      </c>
    </row>
    <row r="35991">
      <c r="B35991" s="31"/>
      <c r="G35991" s="272" t="s">
        <v>1099</v>
      </c>
    </row>
    <row r="35992">
      <c r="B35992" s="31"/>
      <c r="G35992" s="272" t="s">
        <v>1099</v>
      </c>
    </row>
    <row r="35993">
      <c r="B35993" s="31"/>
      <c r="G35993" s="272" t="s">
        <v>1099</v>
      </c>
    </row>
    <row r="35994">
      <c r="B35994" s="31"/>
      <c r="G35994" s="272" t="s">
        <v>1099</v>
      </c>
    </row>
    <row r="35995">
      <c r="B35995" s="31"/>
      <c r="G35995" s="272" t="s">
        <v>1099</v>
      </c>
    </row>
    <row r="35996">
      <c r="B35996" s="31"/>
      <c r="G35996" s="272" t="s">
        <v>1099</v>
      </c>
    </row>
    <row r="35997">
      <c r="B35997" s="31"/>
      <c r="G35997" s="272" t="s">
        <v>1099</v>
      </c>
    </row>
    <row r="35998">
      <c r="B35998" s="31"/>
      <c r="G35998" s="272" t="s">
        <v>1099</v>
      </c>
    </row>
    <row r="35999">
      <c r="B35999" s="31"/>
      <c r="G35999" s="272" t="s">
        <v>1099</v>
      </c>
    </row>
    <row r="36000">
      <c r="B36000" s="31"/>
      <c r="G36000" s="272" t="s">
        <v>1099</v>
      </c>
    </row>
    <row r="36001">
      <c r="B36001" s="31"/>
      <c r="G36001" s="272" t="s">
        <v>1099</v>
      </c>
    </row>
    <row r="36002">
      <c r="B36002" s="31"/>
      <c r="G36002" s="272" t="s">
        <v>1099</v>
      </c>
    </row>
    <row r="36003">
      <c r="B36003" s="31"/>
      <c r="G36003" s="272" t="s">
        <v>1099</v>
      </c>
    </row>
    <row r="36004">
      <c r="B36004" s="31"/>
      <c r="G36004" s="272" t="s">
        <v>1099</v>
      </c>
    </row>
    <row r="36005">
      <c r="B36005" s="31"/>
      <c r="G36005" s="272" t="s">
        <v>1099</v>
      </c>
    </row>
    <row r="36006">
      <c r="B36006" s="31"/>
      <c r="G36006" s="272" t="s">
        <v>1099</v>
      </c>
    </row>
    <row r="36007">
      <c r="B36007" s="31"/>
      <c r="G36007" s="272" t="s">
        <v>1099</v>
      </c>
    </row>
    <row r="36008">
      <c r="B36008" s="31"/>
      <c r="G36008" s="272" t="s">
        <v>1099</v>
      </c>
    </row>
    <row r="36009">
      <c r="B36009" s="31"/>
      <c r="G36009" s="272" t="s">
        <v>1099</v>
      </c>
    </row>
    <row r="36010">
      <c r="B36010" s="31"/>
      <c r="G36010" s="272" t="s">
        <v>1099</v>
      </c>
    </row>
    <row r="36011">
      <c r="B36011" s="31"/>
      <c r="G36011" s="272" t="s">
        <v>1099</v>
      </c>
    </row>
    <row r="36012">
      <c r="B36012" s="31"/>
      <c r="G36012" s="272" t="s">
        <v>1099</v>
      </c>
    </row>
    <row r="36013">
      <c r="B36013" s="31"/>
      <c r="G36013" s="272" t="s">
        <v>1099</v>
      </c>
    </row>
    <row r="36014">
      <c r="B36014" s="31"/>
      <c r="G36014" s="272" t="s">
        <v>1099</v>
      </c>
    </row>
    <row r="36015">
      <c r="B36015" s="31"/>
      <c r="G36015" s="272" t="s">
        <v>1099</v>
      </c>
    </row>
    <row r="36016">
      <c r="B36016" s="31"/>
      <c r="G36016" s="272" t="s">
        <v>1099</v>
      </c>
    </row>
    <row r="36017">
      <c r="B36017" s="31"/>
      <c r="G36017" s="272" t="s">
        <v>1099</v>
      </c>
    </row>
    <row r="36018">
      <c r="B36018" s="31"/>
      <c r="G36018" s="272" t="s">
        <v>1099</v>
      </c>
    </row>
    <row r="36019">
      <c r="B36019" s="31"/>
      <c r="G36019" s="272" t="s">
        <v>1099</v>
      </c>
    </row>
    <row r="36020">
      <c r="B36020" s="31"/>
      <c r="G36020" s="272" t="s">
        <v>1099</v>
      </c>
    </row>
    <row r="36021">
      <c r="B36021" s="31"/>
      <c r="G36021" s="272" t="s">
        <v>1099</v>
      </c>
    </row>
    <row r="36022">
      <c r="B36022" s="31"/>
      <c r="G36022" s="272" t="s">
        <v>1099</v>
      </c>
    </row>
    <row r="36023">
      <c r="B36023" s="31"/>
      <c r="G36023" s="272" t="s">
        <v>1099</v>
      </c>
    </row>
    <row r="36024">
      <c r="B36024" s="31"/>
      <c r="G36024" s="272" t="s">
        <v>1099</v>
      </c>
    </row>
    <row r="36025">
      <c r="B36025" s="31"/>
      <c r="G36025" s="272" t="s">
        <v>1099</v>
      </c>
    </row>
    <row r="36026">
      <c r="B36026" s="31"/>
      <c r="G36026" s="272" t="s">
        <v>1099</v>
      </c>
    </row>
    <row r="36027">
      <c r="B36027" s="31"/>
      <c r="G36027" s="272" t="s">
        <v>1099</v>
      </c>
    </row>
    <row r="36028">
      <c r="B36028" s="31"/>
      <c r="G36028" s="272" t="s">
        <v>1099</v>
      </c>
    </row>
    <row r="36029">
      <c r="B36029" s="31"/>
      <c r="G36029" s="272" t="s">
        <v>1099</v>
      </c>
    </row>
    <row r="36030">
      <c r="B36030" s="31"/>
      <c r="G36030" s="272" t="s">
        <v>1099</v>
      </c>
    </row>
    <row r="36031">
      <c r="B36031" s="31"/>
      <c r="G36031" s="272" t="s">
        <v>1099</v>
      </c>
    </row>
    <row r="36032">
      <c r="B36032" s="31"/>
      <c r="G36032" s="272" t="s">
        <v>1099</v>
      </c>
    </row>
    <row r="36033">
      <c r="B36033" s="31"/>
      <c r="G36033" s="272" t="s">
        <v>1099</v>
      </c>
    </row>
    <row r="36034">
      <c r="B36034" s="31"/>
      <c r="G36034" s="272" t="s">
        <v>1099</v>
      </c>
    </row>
    <row r="36035">
      <c r="B36035" s="31"/>
      <c r="G36035" s="272" t="s">
        <v>1099</v>
      </c>
    </row>
    <row r="36036">
      <c r="B36036" s="31"/>
      <c r="G36036" s="272" t="s">
        <v>1099</v>
      </c>
    </row>
    <row r="36037">
      <c r="B36037" s="31"/>
      <c r="G36037" s="272" t="s">
        <v>1099</v>
      </c>
    </row>
    <row r="36038">
      <c r="B36038" s="31"/>
      <c r="G36038" s="272" t="s">
        <v>1099</v>
      </c>
    </row>
    <row r="36039">
      <c r="B36039" s="31"/>
      <c r="G36039" s="272" t="s">
        <v>1099</v>
      </c>
    </row>
    <row r="36040">
      <c r="B36040" s="31"/>
      <c r="G36040" s="272" t="s">
        <v>1099</v>
      </c>
    </row>
    <row r="36041">
      <c r="B36041" s="31"/>
      <c r="G36041" s="272" t="s">
        <v>1099</v>
      </c>
    </row>
    <row r="36042">
      <c r="B36042" s="31"/>
      <c r="G36042" s="272" t="s">
        <v>1099</v>
      </c>
    </row>
    <row r="36043">
      <c r="B36043" s="31"/>
      <c r="G36043" s="272" t="s">
        <v>1099</v>
      </c>
    </row>
    <row r="36044">
      <c r="B36044" s="31"/>
      <c r="G36044" s="272" t="s">
        <v>1099</v>
      </c>
    </row>
    <row r="36045">
      <c r="B36045" s="31"/>
      <c r="G36045" s="272" t="s">
        <v>1099</v>
      </c>
    </row>
    <row r="36046">
      <c r="B36046" s="31"/>
      <c r="G36046" s="272" t="s">
        <v>1099</v>
      </c>
    </row>
    <row r="36047">
      <c r="B36047" s="31"/>
      <c r="G36047" s="272" t="s">
        <v>1099</v>
      </c>
    </row>
    <row r="36048">
      <c r="B36048" s="31"/>
      <c r="G36048" s="272" t="s">
        <v>1099</v>
      </c>
    </row>
    <row r="36049">
      <c r="B36049" s="31"/>
      <c r="G36049" s="272" t="s">
        <v>1099</v>
      </c>
    </row>
    <row r="36050">
      <c r="B36050" s="31"/>
      <c r="G36050" s="272" t="s">
        <v>1099</v>
      </c>
    </row>
    <row r="36051">
      <c r="B36051" s="31"/>
      <c r="G36051" s="272" t="s">
        <v>1099</v>
      </c>
    </row>
    <row r="36052">
      <c r="B36052" s="31"/>
      <c r="G36052" s="272" t="s">
        <v>1099</v>
      </c>
    </row>
    <row r="36053">
      <c r="B36053" s="31"/>
      <c r="G36053" s="272" t="s">
        <v>1099</v>
      </c>
    </row>
    <row r="36054">
      <c r="B36054" s="31"/>
      <c r="G36054" s="272" t="s">
        <v>1099</v>
      </c>
    </row>
    <row r="36055">
      <c r="B36055" s="31"/>
      <c r="G36055" s="272" t="s">
        <v>1099</v>
      </c>
    </row>
    <row r="36056">
      <c r="B36056" s="31"/>
      <c r="G36056" s="272" t="s">
        <v>1099</v>
      </c>
    </row>
    <row r="36057">
      <c r="B36057" s="31"/>
      <c r="G36057" s="272" t="s">
        <v>1099</v>
      </c>
    </row>
    <row r="36058">
      <c r="B36058" s="31"/>
      <c r="G36058" s="272" t="s">
        <v>1099</v>
      </c>
    </row>
    <row r="36059">
      <c r="B36059" s="31"/>
      <c r="G36059" s="272" t="s">
        <v>1099</v>
      </c>
    </row>
    <row r="36060">
      <c r="B36060" s="31"/>
      <c r="G36060" s="272" t="s">
        <v>1099</v>
      </c>
    </row>
    <row r="36061">
      <c r="B36061" s="31"/>
      <c r="G36061" s="272" t="s">
        <v>1099</v>
      </c>
    </row>
    <row r="36062">
      <c r="B36062" s="31"/>
      <c r="G36062" s="272" t="s">
        <v>1099</v>
      </c>
    </row>
    <row r="36063">
      <c r="B36063" s="31"/>
      <c r="G36063" s="272" t="s">
        <v>1099</v>
      </c>
    </row>
    <row r="36064">
      <c r="B36064" s="31"/>
      <c r="G36064" s="272" t="s">
        <v>1099</v>
      </c>
    </row>
    <row r="36065">
      <c r="B36065" s="31"/>
      <c r="G36065" s="272" t="s">
        <v>1099</v>
      </c>
    </row>
    <row r="36066">
      <c r="B36066" s="31"/>
      <c r="G36066" s="272" t="s">
        <v>1099</v>
      </c>
    </row>
    <row r="36067">
      <c r="B36067" s="31"/>
      <c r="G36067" s="272" t="s">
        <v>1099</v>
      </c>
    </row>
    <row r="36068">
      <c r="B36068" s="31"/>
      <c r="G36068" s="272" t="s">
        <v>1099</v>
      </c>
    </row>
    <row r="36069">
      <c r="B36069" s="31"/>
      <c r="G36069" s="272" t="s">
        <v>1099</v>
      </c>
    </row>
    <row r="36070">
      <c r="B36070" s="31"/>
      <c r="G36070" s="272" t="s">
        <v>1099</v>
      </c>
    </row>
    <row r="36071">
      <c r="B36071" s="31"/>
      <c r="G36071" s="272" t="s">
        <v>1099</v>
      </c>
    </row>
    <row r="36072">
      <c r="B36072" s="31"/>
      <c r="G36072" s="272" t="s">
        <v>1099</v>
      </c>
    </row>
    <row r="36073">
      <c r="B36073" s="31"/>
      <c r="G36073" s="272" t="s">
        <v>1099</v>
      </c>
    </row>
    <row r="36074">
      <c r="B36074" s="31"/>
      <c r="G36074" s="272" t="s">
        <v>1099</v>
      </c>
    </row>
    <row r="36075">
      <c r="B36075" s="31"/>
      <c r="G36075" s="272" t="s">
        <v>1099</v>
      </c>
    </row>
    <row r="36076">
      <c r="B36076" s="31"/>
      <c r="G36076" s="272" t="s">
        <v>1099</v>
      </c>
    </row>
    <row r="36077">
      <c r="B36077" s="31"/>
      <c r="G36077" s="272" t="s">
        <v>1099</v>
      </c>
    </row>
    <row r="36078">
      <c r="B36078" s="31"/>
      <c r="G36078" s="272" t="s">
        <v>1099</v>
      </c>
    </row>
    <row r="36079">
      <c r="B36079" s="31"/>
      <c r="G36079" s="272" t="s">
        <v>1099</v>
      </c>
    </row>
    <row r="36080">
      <c r="B36080" s="31"/>
      <c r="G36080" s="272" t="s">
        <v>1099</v>
      </c>
    </row>
    <row r="36081">
      <c r="B36081" s="31"/>
      <c r="G36081" s="272" t="s">
        <v>1099</v>
      </c>
    </row>
    <row r="36082">
      <c r="B36082" s="31"/>
      <c r="G36082" s="272" t="s">
        <v>1099</v>
      </c>
    </row>
    <row r="36083">
      <c r="B36083" s="31"/>
      <c r="G36083" s="272" t="s">
        <v>1099</v>
      </c>
    </row>
    <row r="36084">
      <c r="B36084" s="31"/>
      <c r="G36084" s="272" t="s">
        <v>1099</v>
      </c>
    </row>
    <row r="36085">
      <c r="B36085" s="31"/>
      <c r="G36085" s="272" t="s">
        <v>1099</v>
      </c>
    </row>
    <row r="36086">
      <c r="B36086" s="31"/>
      <c r="G36086" s="272" t="s">
        <v>1099</v>
      </c>
    </row>
    <row r="36087">
      <c r="B36087" s="31"/>
      <c r="G36087" s="272" t="s">
        <v>1099</v>
      </c>
    </row>
    <row r="36088">
      <c r="B36088" s="31"/>
      <c r="G36088" s="272" t="s">
        <v>1099</v>
      </c>
    </row>
    <row r="36089">
      <c r="B36089" s="31"/>
      <c r="G36089" s="272" t="s">
        <v>1099</v>
      </c>
    </row>
    <row r="36090">
      <c r="B36090" s="31"/>
      <c r="G36090" s="272" t="s">
        <v>1099</v>
      </c>
    </row>
    <row r="36091">
      <c r="B36091" s="31"/>
      <c r="G36091" s="272" t="s">
        <v>1099</v>
      </c>
    </row>
    <row r="36092">
      <c r="B36092" s="31"/>
      <c r="G36092" s="272" t="s">
        <v>1099</v>
      </c>
    </row>
    <row r="36093">
      <c r="B36093" s="31"/>
      <c r="G36093" s="272" t="s">
        <v>1099</v>
      </c>
    </row>
    <row r="36094">
      <c r="B36094" s="31"/>
      <c r="G36094" s="272" t="s">
        <v>1099</v>
      </c>
    </row>
    <row r="36095">
      <c r="B36095" s="31"/>
      <c r="G36095" s="272" t="s">
        <v>1099</v>
      </c>
    </row>
    <row r="36096">
      <c r="B36096" s="31"/>
      <c r="G36096" s="272" t="s">
        <v>1099</v>
      </c>
    </row>
    <row r="36097">
      <c r="B36097" s="31"/>
      <c r="G36097" s="272" t="s">
        <v>1099</v>
      </c>
    </row>
    <row r="36098">
      <c r="B36098" s="31"/>
      <c r="G36098" s="272" t="s">
        <v>1099</v>
      </c>
    </row>
    <row r="36099">
      <c r="B36099" s="31"/>
      <c r="G36099" s="272" t="s">
        <v>1099</v>
      </c>
    </row>
    <row r="36100">
      <c r="B36100" s="31"/>
      <c r="G36100" s="272" t="s">
        <v>1099</v>
      </c>
    </row>
    <row r="36101">
      <c r="B36101" s="31"/>
      <c r="G36101" s="272" t="s">
        <v>1099</v>
      </c>
    </row>
    <row r="36102">
      <c r="B36102" s="31"/>
      <c r="G36102" s="272" t="s">
        <v>1099</v>
      </c>
    </row>
    <row r="36103">
      <c r="B36103" s="31"/>
      <c r="G36103" s="272" t="s">
        <v>1099</v>
      </c>
    </row>
    <row r="36104">
      <c r="B36104" s="31"/>
      <c r="G36104" s="272" t="s">
        <v>1099</v>
      </c>
    </row>
    <row r="36105">
      <c r="B36105" s="31"/>
      <c r="G36105" s="272" t="s">
        <v>1099</v>
      </c>
    </row>
    <row r="36106">
      <c r="B36106" s="31"/>
      <c r="G36106" s="272" t="s">
        <v>1099</v>
      </c>
    </row>
    <row r="36107">
      <c r="B36107" s="31"/>
      <c r="G36107" s="272" t="s">
        <v>1099</v>
      </c>
    </row>
    <row r="36108">
      <c r="B36108" s="31"/>
      <c r="G36108" s="272" t="s">
        <v>1099</v>
      </c>
    </row>
    <row r="36109">
      <c r="B36109" s="31"/>
      <c r="G36109" s="272" t="s">
        <v>1099</v>
      </c>
    </row>
    <row r="36110">
      <c r="B36110" s="31"/>
      <c r="G36110" s="272" t="s">
        <v>1099</v>
      </c>
    </row>
    <row r="36111">
      <c r="B36111" s="31"/>
      <c r="G36111" s="272" t="s">
        <v>1099</v>
      </c>
    </row>
    <row r="36112">
      <c r="B36112" s="31"/>
      <c r="G36112" s="272" t="s">
        <v>1099</v>
      </c>
    </row>
    <row r="36113">
      <c r="B36113" s="31"/>
      <c r="G36113" s="272" t="s">
        <v>1099</v>
      </c>
    </row>
    <row r="36114">
      <c r="B36114" s="31"/>
      <c r="G36114" s="272" t="s">
        <v>1099</v>
      </c>
    </row>
    <row r="36115">
      <c r="B36115" s="31"/>
      <c r="G36115" s="272" t="s">
        <v>1099</v>
      </c>
    </row>
    <row r="36116">
      <c r="B36116" s="31"/>
      <c r="G36116" s="272" t="s">
        <v>1099</v>
      </c>
    </row>
    <row r="36117">
      <c r="B36117" s="31"/>
      <c r="G36117" s="272" t="s">
        <v>1099</v>
      </c>
    </row>
    <row r="36118">
      <c r="B36118" s="31"/>
      <c r="G36118" s="272" t="s">
        <v>1099</v>
      </c>
    </row>
    <row r="36119">
      <c r="B36119" s="31"/>
      <c r="G36119" s="272" t="s">
        <v>1099</v>
      </c>
    </row>
    <row r="36120">
      <c r="B36120" s="31"/>
      <c r="G36120" s="272" t="s">
        <v>1099</v>
      </c>
    </row>
    <row r="36121">
      <c r="B36121" s="31"/>
      <c r="G36121" s="272" t="s">
        <v>1099</v>
      </c>
    </row>
    <row r="36122">
      <c r="B36122" s="31"/>
      <c r="G36122" s="272" t="s">
        <v>1099</v>
      </c>
    </row>
    <row r="36123">
      <c r="B36123" s="31"/>
      <c r="G36123" s="272" t="s">
        <v>1099</v>
      </c>
    </row>
    <row r="36124">
      <c r="B36124" s="31"/>
      <c r="G36124" s="272" t="s">
        <v>1099</v>
      </c>
    </row>
    <row r="36125">
      <c r="B36125" s="31"/>
      <c r="G36125" s="272" t="s">
        <v>1099</v>
      </c>
    </row>
    <row r="36126">
      <c r="B36126" s="31"/>
      <c r="G36126" s="272" t="s">
        <v>1099</v>
      </c>
    </row>
    <row r="36127">
      <c r="B36127" s="31"/>
      <c r="G36127" s="272" t="s">
        <v>1099</v>
      </c>
    </row>
    <row r="36128">
      <c r="B36128" s="31"/>
      <c r="G36128" s="272" t="s">
        <v>1099</v>
      </c>
    </row>
    <row r="36129">
      <c r="B36129" s="31"/>
      <c r="G36129" s="272" t="s">
        <v>1099</v>
      </c>
    </row>
    <row r="36130">
      <c r="B36130" s="31"/>
      <c r="G36130" s="272" t="s">
        <v>1099</v>
      </c>
    </row>
    <row r="36131">
      <c r="B36131" s="31"/>
      <c r="G36131" s="272" t="s">
        <v>1099</v>
      </c>
    </row>
    <row r="36132">
      <c r="B36132" s="31"/>
      <c r="G36132" s="272" t="s">
        <v>1099</v>
      </c>
    </row>
    <row r="36133">
      <c r="B36133" s="31"/>
      <c r="G36133" s="272" t="s">
        <v>1099</v>
      </c>
    </row>
    <row r="36134">
      <c r="B36134" s="31"/>
      <c r="G36134" s="272" t="s">
        <v>1099</v>
      </c>
    </row>
    <row r="36135">
      <c r="B36135" s="31"/>
      <c r="G36135" s="272" t="s">
        <v>1099</v>
      </c>
    </row>
    <row r="36136">
      <c r="B36136" s="31"/>
      <c r="G36136" s="272" t="s">
        <v>1099</v>
      </c>
    </row>
    <row r="36137">
      <c r="B36137" s="31"/>
      <c r="G36137" s="272" t="s">
        <v>1099</v>
      </c>
    </row>
    <row r="36138">
      <c r="B36138" s="31"/>
      <c r="G36138" s="272" t="s">
        <v>1099</v>
      </c>
    </row>
    <row r="36139">
      <c r="B36139" s="31"/>
      <c r="G36139" s="272" t="s">
        <v>1099</v>
      </c>
    </row>
    <row r="36140">
      <c r="B36140" s="31"/>
      <c r="G36140" s="272" t="s">
        <v>1099</v>
      </c>
    </row>
    <row r="36141">
      <c r="B36141" s="31"/>
      <c r="G36141" s="272" t="s">
        <v>1099</v>
      </c>
    </row>
    <row r="36142">
      <c r="B36142" s="31"/>
      <c r="G36142" s="272" t="s">
        <v>1099</v>
      </c>
    </row>
    <row r="36143">
      <c r="B36143" s="31"/>
      <c r="G36143" s="272" t="s">
        <v>1099</v>
      </c>
    </row>
    <row r="36144">
      <c r="B36144" s="31"/>
      <c r="G36144" s="272" t="s">
        <v>1099</v>
      </c>
    </row>
    <row r="36145">
      <c r="B36145" s="31"/>
      <c r="G36145" s="272" t="s">
        <v>1099</v>
      </c>
    </row>
    <row r="36146">
      <c r="B36146" s="31"/>
      <c r="G36146" s="272" t="s">
        <v>1099</v>
      </c>
    </row>
    <row r="36147">
      <c r="B36147" s="31"/>
      <c r="G36147" s="272" t="s">
        <v>1099</v>
      </c>
    </row>
    <row r="36148">
      <c r="B36148" s="31"/>
      <c r="G36148" s="272" t="s">
        <v>1099</v>
      </c>
    </row>
    <row r="36149">
      <c r="B36149" s="31"/>
      <c r="G36149" s="272" t="s">
        <v>1099</v>
      </c>
    </row>
    <row r="36150">
      <c r="B36150" s="31"/>
      <c r="G36150" s="272" t="s">
        <v>1099</v>
      </c>
    </row>
    <row r="36151">
      <c r="B36151" s="31"/>
      <c r="G36151" s="272" t="s">
        <v>1099</v>
      </c>
    </row>
    <row r="36152">
      <c r="B36152" s="31"/>
      <c r="G36152" s="272" t="s">
        <v>1099</v>
      </c>
    </row>
    <row r="36153">
      <c r="B36153" s="31"/>
      <c r="G36153" s="272" t="s">
        <v>1099</v>
      </c>
    </row>
    <row r="36154">
      <c r="B36154" s="31"/>
      <c r="G36154" s="272" t="s">
        <v>1099</v>
      </c>
    </row>
    <row r="36155">
      <c r="B36155" s="31"/>
      <c r="G36155" s="272" t="s">
        <v>1099</v>
      </c>
    </row>
    <row r="36156">
      <c r="B36156" s="31"/>
      <c r="G36156" s="272" t="s">
        <v>1099</v>
      </c>
    </row>
    <row r="36157">
      <c r="B36157" s="31"/>
      <c r="G36157" s="272" t="s">
        <v>1099</v>
      </c>
    </row>
    <row r="36158">
      <c r="B36158" s="31"/>
      <c r="G36158" s="272" t="s">
        <v>1099</v>
      </c>
    </row>
    <row r="36159">
      <c r="B36159" s="31"/>
      <c r="G36159" s="272" t="s">
        <v>1099</v>
      </c>
    </row>
    <row r="36160">
      <c r="B36160" s="31"/>
      <c r="G36160" s="272" t="s">
        <v>1099</v>
      </c>
    </row>
    <row r="36161">
      <c r="B36161" s="31"/>
      <c r="G36161" s="272" t="s">
        <v>1099</v>
      </c>
    </row>
    <row r="36162">
      <c r="B36162" s="31"/>
      <c r="G36162" s="272" t="s">
        <v>1099</v>
      </c>
    </row>
    <row r="36163">
      <c r="B36163" s="31"/>
      <c r="G36163" s="272" t="s">
        <v>1099</v>
      </c>
    </row>
    <row r="36164">
      <c r="B36164" s="31"/>
      <c r="G36164" s="272" t="s">
        <v>1099</v>
      </c>
    </row>
    <row r="36165">
      <c r="B36165" s="31"/>
      <c r="G36165" s="272" t="s">
        <v>1099</v>
      </c>
    </row>
    <row r="36166">
      <c r="B36166" s="31"/>
      <c r="G36166" s="272" t="s">
        <v>1099</v>
      </c>
    </row>
    <row r="36167">
      <c r="B36167" s="31"/>
      <c r="G36167" s="272" t="s">
        <v>1099</v>
      </c>
    </row>
    <row r="36168">
      <c r="B36168" s="31"/>
      <c r="G36168" s="272" t="s">
        <v>1099</v>
      </c>
    </row>
    <row r="36169">
      <c r="B36169" s="31"/>
      <c r="G36169" s="272" t="s">
        <v>1099</v>
      </c>
    </row>
    <row r="36170">
      <c r="B36170" s="31"/>
      <c r="G36170" s="272" t="s">
        <v>1099</v>
      </c>
    </row>
    <row r="36171">
      <c r="B36171" s="31"/>
      <c r="G36171" s="272" t="s">
        <v>1099</v>
      </c>
    </row>
    <row r="36172">
      <c r="B36172" s="31"/>
      <c r="G36172" s="272" t="s">
        <v>1099</v>
      </c>
    </row>
    <row r="36173">
      <c r="B36173" s="31"/>
      <c r="G36173" s="272" t="s">
        <v>1099</v>
      </c>
    </row>
    <row r="36174">
      <c r="B36174" s="31"/>
      <c r="G36174" s="272" t="s">
        <v>1099</v>
      </c>
    </row>
    <row r="36175">
      <c r="B36175" s="31"/>
      <c r="G36175" s="272" t="s">
        <v>1099</v>
      </c>
    </row>
    <row r="36176">
      <c r="B36176" s="31"/>
      <c r="G36176" s="272" t="s">
        <v>1099</v>
      </c>
    </row>
    <row r="36177">
      <c r="B36177" s="31"/>
      <c r="G36177" s="272" t="s">
        <v>1099</v>
      </c>
    </row>
    <row r="36178">
      <c r="B36178" s="31"/>
      <c r="G36178" s="272" t="s">
        <v>1099</v>
      </c>
    </row>
    <row r="36179">
      <c r="B36179" s="31"/>
      <c r="G36179" s="272" t="s">
        <v>1099</v>
      </c>
    </row>
    <row r="36180">
      <c r="B36180" s="31"/>
      <c r="G36180" s="272" t="s">
        <v>1099</v>
      </c>
    </row>
    <row r="36181">
      <c r="B36181" s="31"/>
      <c r="G36181" s="272" t="s">
        <v>1099</v>
      </c>
    </row>
    <row r="36182">
      <c r="B36182" s="31"/>
      <c r="G36182" s="272" t="s">
        <v>1099</v>
      </c>
    </row>
    <row r="36183">
      <c r="B36183" s="31"/>
      <c r="G36183" s="272" t="s">
        <v>1099</v>
      </c>
    </row>
    <row r="36184">
      <c r="B36184" s="31"/>
      <c r="G36184" s="272" t="s">
        <v>1099</v>
      </c>
    </row>
    <row r="36185">
      <c r="B36185" s="31"/>
      <c r="G36185" s="272" t="s">
        <v>1099</v>
      </c>
    </row>
    <row r="36186">
      <c r="B36186" s="31"/>
      <c r="G36186" s="272" t="s">
        <v>1099</v>
      </c>
    </row>
    <row r="36187">
      <c r="B36187" s="31"/>
      <c r="G36187" s="272" t="s">
        <v>1099</v>
      </c>
    </row>
    <row r="36188">
      <c r="B36188" s="31"/>
      <c r="G36188" s="272" t="s">
        <v>1099</v>
      </c>
    </row>
    <row r="36189">
      <c r="B36189" s="31"/>
      <c r="G36189" s="272" t="s">
        <v>1099</v>
      </c>
    </row>
    <row r="36190">
      <c r="B36190" s="31"/>
      <c r="G36190" s="272" t="s">
        <v>1099</v>
      </c>
    </row>
    <row r="36191">
      <c r="B36191" s="31"/>
      <c r="G36191" s="272" t="s">
        <v>1099</v>
      </c>
    </row>
    <row r="36192">
      <c r="B36192" s="31"/>
      <c r="G36192" s="272" t="s">
        <v>1099</v>
      </c>
    </row>
    <row r="36193">
      <c r="B36193" s="31"/>
      <c r="G36193" s="272" t="s">
        <v>1099</v>
      </c>
    </row>
    <row r="36194">
      <c r="B36194" s="31"/>
      <c r="G36194" s="272" t="s">
        <v>1099</v>
      </c>
    </row>
    <row r="36195">
      <c r="B36195" s="31"/>
      <c r="G36195" s="272" t="s">
        <v>1099</v>
      </c>
    </row>
    <row r="36196">
      <c r="B36196" s="31"/>
      <c r="G36196" s="272" t="s">
        <v>1099</v>
      </c>
    </row>
    <row r="36197">
      <c r="B36197" s="31"/>
      <c r="G36197" s="272" t="s">
        <v>1099</v>
      </c>
    </row>
    <row r="36198">
      <c r="B36198" s="31"/>
      <c r="G36198" s="272" t="s">
        <v>1099</v>
      </c>
    </row>
    <row r="36199">
      <c r="B36199" s="31"/>
      <c r="G36199" s="272" t="s">
        <v>1099</v>
      </c>
    </row>
    <row r="36200">
      <c r="B36200" s="31"/>
      <c r="G36200" s="272" t="s">
        <v>1099</v>
      </c>
    </row>
    <row r="36201">
      <c r="B36201" s="31"/>
      <c r="G36201" s="272" t="s">
        <v>1099</v>
      </c>
    </row>
    <row r="36202">
      <c r="B36202" s="31"/>
      <c r="G36202" s="272" t="s">
        <v>1099</v>
      </c>
    </row>
    <row r="36203">
      <c r="B36203" s="31"/>
      <c r="G36203" s="272" t="s">
        <v>1099</v>
      </c>
    </row>
    <row r="36204">
      <c r="B36204" s="31"/>
      <c r="G36204" s="272" t="s">
        <v>1099</v>
      </c>
    </row>
    <row r="36205">
      <c r="B36205" s="31"/>
      <c r="G36205" s="272" t="s">
        <v>1099</v>
      </c>
    </row>
    <row r="36206">
      <c r="B36206" s="31"/>
      <c r="G36206" s="272" t="s">
        <v>1099</v>
      </c>
    </row>
    <row r="36207">
      <c r="B36207" s="31"/>
      <c r="G36207" s="272" t="s">
        <v>1099</v>
      </c>
    </row>
    <row r="36208">
      <c r="B36208" s="31"/>
      <c r="G36208" s="272" t="s">
        <v>1099</v>
      </c>
    </row>
    <row r="36209">
      <c r="B36209" s="31"/>
      <c r="G36209" s="272" t="s">
        <v>1099</v>
      </c>
    </row>
    <row r="36210">
      <c r="B36210" s="31"/>
      <c r="G36210" s="272" t="s">
        <v>1099</v>
      </c>
    </row>
    <row r="36211">
      <c r="B36211" s="31"/>
      <c r="G36211" s="272" t="s">
        <v>1099</v>
      </c>
    </row>
    <row r="36212">
      <c r="B36212" s="31"/>
      <c r="G36212" s="272" t="s">
        <v>1099</v>
      </c>
    </row>
    <row r="36213">
      <c r="B36213" s="31"/>
      <c r="G36213" s="272" t="s">
        <v>1099</v>
      </c>
    </row>
    <row r="36214">
      <c r="B36214" s="31"/>
      <c r="G36214" s="272" t="s">
        <v>1099</v>
      </c>
    </row>
    <row r="36215">
      <c r="B36215" s="31"/>
      <c r="G36215" s="272" t="s">
        <v>1099</v>
      </c>
    </row>
    <row r="36216">
      <c r="B36216" s="31"/>
      <c r="G36216" s="272" t="s">
        <v>1099</v>
      </c>
    </row>
    <row r="36217">
      <c r="B36217" s="31"/>
      <c r="G36217" s="272" t="s">
        <v>1099</v>
      </c>
    </row>
    <row r="36218">
      <c r="B36218" s="31"/>
      <c r="G36218" s="272" t="s">
        <v>1099</v>
      </c>
    </row>
    <row r="36219">
      <c r="B36219" s="31"/>
      <c r="G36219" s="272" t="s">
        <v>1099</v>
      </c>
    </row>
    <row r="36220">
      <c r="B36220" s="31"/>
      <c r="G36220" s="272" t="s">
        <v>1099</v>
      </c>
    </row>
    <row r="36221">
      <c r="B36221" s="31"/>
      <c r="G36221" s="272" t="s">
        <v>1099</v>
      </c>
    </row>
    <row r="36222">
      <c r="B36222" s="31"/>
      <c r="G36222" s="272" t="s">
        <v>1099</v>
      </c>
    </row>
    <row r="36223">
      <c r="B36223" s="31"/>
      <c r="G36223" s="272" t="s">
        <v>1099</v>
      </c>
    </row>
    <row r="36224">
      <c r="B36224" s="31"/>
      <c r="G36224" s="272" t="s">
        <v>1099</v>
      </c>
    </row>
    <row r="36225">
      <c r="B36225" s="31"/>
      <c r="G36225" s="272" t="s">
        <v>1099</v>
      </c>
    </row>
    <row r="36226">
      <c r="B36226" s="31"/>
      <c r="G36226" s="272" t="s">
        <v>1099</v>
      </c>
    </row>
    <row r="36227">
      <c r="B36227" s="31"/>
      <c r="G36227" s="272" t="s">
        <v>1099</v>
      </c>
    </row>
    <row r="36228">
      <c r="B36228" s="31"/>
      <c r="G36228" s="272" t="s">
        <v>1099</v>
      </c>
    </row>
    <row r="36229">
      <c r="B36229" s="31"/>
      <c r="G36229" s="272" t="s">
        <v>1099</v>
      </c>
    </row>
    <row r="36230">
      <c r="B36230" s="31"/>
      <c r="G36230" s="272" t="s">
        <v>1099</v>
      </c>
    </row>
    <row r="36231">
      <c r="B36231" s="31"/>
      <c r="G36231" s="272" t="s">
        <v>1099</v>
      </c>
    </row>
    <row r="36232">
      <c r="B36232" s="31"/>
      <c r="G36232" s="272" t="s">
        <v>1099</v>
      </c>
    </row>
    <row r="36233">
      <c r="B36233" s="31"/>
      <c r="G36233" s="272" t="s">
        <v>1099</v>
      </c>
    </row>
    <row r="36234">
      <c r="B36234" s="31"/>
      <c r="G36234" s="272" t="s">
        <v>1099</v>
      </c>
    </row>
    <row r="36235">
      <c r="B36235" s="31"/>
      <c r="G36235" s="272" t="s">
        <v>1099</v>
      </c>
    </row>
    <row r="36236">
      <c r="B36236" s="31"/>
      <c r="G36236" s="272" t="s">
        <v>1099</v>
      </c>
    </row>
    <row r="36237">
      <c r="B36237" s="31"/>
      <c r="G36237" s="272" t="s">
        <v>1099</v>
      </c>
    </row>
    <row r="36238">
      <c r="B36238" s="31"/>
      <c r="G36238" s="272" t="s">
        <v>1099</v>
      </c>
    </row>
    <row r="36239">
      <c r="B36239" s="31"/>
      <c r="G36239" s="272" t="s">
        <v>1099</v>
      </c>
    </row>
    <row r="36240">
      <c r="B36240" s="31"/>
      <c r="G36240" s="272" t="s">
        <v>1099</v>
      </c>
    </row>
    <row r="36241">
      <c r="B36241" s="31"/>
      <c r="G36241" s="272" t="s">
        <v>1099</v>
      </c>
    </row>
    <row r="36242">
      <c r="B36242" s="31"/>
      <c r="G36242" s="272" t="s">
        <v>1099</v>
      </c>
    </row>
    <row r="36243">
      <c r="B36243" s="31"/>
      <c r="G36243" s="272" t="s">
        <v>1099</v>
      </c>
    </row>
    <row r="36244">
      <c r="B36244" s="31"/>
      <c r="G36244" s="272" t="s">
        <v>1099</v>
      </c>
    </row>
    <row r="36245">
      <c r="B36245" s="31"/>
      <c r="G36245" s="272" t="s">
        <v>1099</v>
      </c>
    </row>
    <row r="36246">
      <c r="B36246" s="31"/>
      <c r="G36246" s="272" t="s">
        <v>1099</v>
      </c>
    </row>
    <row r="36247">
      <c r="B36247" s="31"/>
      <c r="G36247" s="272" t="s">
        <v>1099</v>
      </c>
    </row>
    <row r="36248">
      <c r="B36248" s="31"/>
      <c r="G36248" s="272" t="s">
        <v>1099</v>
      </c>
    </row>
    <row r="36249">
      <c r="B36249" s="31"/>
      <c r="G36249" s="272" t="s">
        <v>1099</v>
      </c>
    </row>
    <row r="36250">
      <c r="B36250" s="31"/>
      <c r="G36250" s="272" t="s">
        <v>1099</v>
      </c>
    </row>
    <row r="36251">
      <c r="B36251" s="31"/>
      <c r="G36251" s="272" t="s">
        <v>1099</v>
      </c>
    </row>
    <row r="36252">
      <c r="B36252" s="31"/>
      <c r="G36252" s="272" t="s">
        <v>1099</v>
      </c>
    </row>
    <row r="36253">
      <c r="B36253" s="31"/>
      <c r="G36253" s="272" t="s">
        <v>1099</v>
      </c>
    </row>
    <row r="36254">
      <c r="B36254" s="31"/>
      <c r="G36254" s="272" t="s">
        <v>1099</v>
      </c>
    </row>
    <row r="36255">
      <c r="B36255" s="31"/>
      <c r="G36255" s="272" t="s">
        <v>1099</v>
      </c>
    </row>
    <row r="36256">
      <c r="B36256" s="31"/>
      <c r="G36256" s="272" t="s">
        <v>1099</v>
      </c>
    </row>
    <row r="36257">
      <c r="B36257" s="31"/>
      <c r="G36257" s="272" t="s">
        <v>1099</v>
      </c>
    </row>
    <row r="36258">
      <c r="B36258" s="31"/>
      <c r="G36258" s="272" t="s">
        <v>1099</v>
      </c>
    </row>
    <row r="36259">
      <c r="B36259" s="31"/>
      <c r="G36259" s="272" t="s">
        <v>1099</v>
      </c>
    </row>
    <row r="36260">
      <c r="B36260" s="31"/>
      <c r="G36260" s="272" t="s">
        <v>1099</v>
      </c>
    </row>
    <row r="36261">
      <c r="B36261" s="31"/>
      <c r="G36261" s="272" t="s">
        <v>1099</v>
      </c>
    </row>
    <row r="36262">
      <c r="B36262" s="31"/>
      <c r="G36262" s="272" t="s">
        <v>1099</v>
      </c>
    </row>
    <row r="36263">
      <c r="B36263" s="31"/>
      <c r="G36263" s="272" t="s">
        <v>1099</v>
      </c>
    </row>
    <row r="36264">
      <c r="B36264" s="31"/>
      <c r="G36264" s="272" t="s">
        <v>1099</v>
      </c>
    </row>
    <row r="36265">
      <c r="B36265" s="31"/>
      <c r="G36265" s="272" t="s">
        <v>1099</v>
      </c>
    </row>
    <row r="36266">
      <c r="B36266" s="31"/>
      <c r="G36266" s="272" t="s">
        <v>1099</v>
      </c>
    </row>
    <row r="36267">
      <c r="B36267" s="31"/>
      <c r="G36267" s="272" t="s">
        <v>1099</v>
      </c>
    </row>
    <row r="36268">
      <c r="B36268" s="31"/>
      <c r="G36268" s="272" t="s">
        <v>1099</v>
      </c>
    </row>
    <row r="36269">
      <c r="B36269" s="31"/>
      <c r="G36269" s="272" t="s">
        <v>1099</v>
      </c>
    </row>
    <row r="36270">
      <c r="B36270" s="31"/>
      <c r="G36270" s="272" t="s">
        <v>1099</v>
      </c>
    </row>
    <row r="36271">
      <c r="B36271" s="31"/>
      <c r="G36271" s="272" t="s">
        <v>1099</v>
      </c>
    </row>
    <row r="36272">
      <c r="B36272" s="31"/>
      <c r="G36272" s="272" t="s">
        <v>1099</v>
      </c>
    </row>
    <row r="36273">
      <c r="B36273" s="31"/>
      <c r="G36273" s="272" t="s">
        <v>1099</v>
      </c>
    </row>
    <row r="36274">
      <c r="B36274" s="31"/>
      <c r="G36274" s="272" t="s">
        <v>1099</v>
      </c>
    </row>
    <row r="36275">
      <c r="B36275" s="31"/>
      <c r="G36275" s="272" t="s">
        <v>1099</v>
      </c>
    </row>
    <row r="36276">
      <c r="B36276" s="31"/>
      <c r="G36276" s="272" t="s">
        <v>1099</v>
      </c>
    </row>
    <row r="36277">
      <c r="B36277" s="31"/>
      <c r="G36277" s="272" t="s">
        <v>1099</v>
      </c>
    </row>
    <row r="36278">
      <c r="B36278" s="31"/>
      <c r="G36278" s="272" t="s">
        <v>1099</v>
      </c>
    </row>
    <row r="36279">
      <c r="B36279" s="31"/>
      <c r="G36279" s="272" t="s">
        <v>1099</v>
      </c>
    </row>
    <row r="36280">
      <c r="B36280" s="31"/>
      <c r="G36280" s="272" t="s">
        <v>1099</v>
      </c>
    </row>
    <row r="36281">
      <c r="B36281" s="31"/>
      <c r="G36281" s="272" t="s">
        <v>1099</v>
      </c>
    </row>
    <row r="36282">
      <c r="B36282" s="31"/>
      <c r="G36282" s="272" t="s">
        <v>1099</v>
      </c>
    </row>
    <row r="36283">
      <c r="B36283" s="31"/>
      <c r="G36283" s="272" t="s">
        <v>1099</v>
      </c>
    </row>
    <row r="36284">
      <c r="B36284" s="31"/>
      <c r="G36284" s="272" t="s">
        <v>1099</v>
      </c>
    </row>
    <row r="36285">
      <c r="B36285" s="31"/>
      <c r="G36285" s="272" t="s">
        <v>1099</v>
      </c>
    </row>
    <row r="36286">
      <c r="B36286" s="31"/>
      <c r="G36286" s="272" t="s">
        <v>1099</v>
      </c>
    </row>
    <row r="36287">
      <c r="B36287" s="31"/>
      <c r="G36287" s="272" t="s">
        <v>1099</v>
      </c>
    </row>
    <row r="36288">
      <c r="B36288" s="31"/>
      <c r="G36288" s="272" t="s">
        <v>1099</v>
      </c>
    </row>
    <row r="36289">
      <c r="B36289" s="31"/>
      <c r="G36289" s="272" t="s">
        <v>1099</v>
      </c>
    </row>
    <row r="36290">
      <c r="B36290" s="31"/>
      <c r="G36290" s="272" t="s">
        <v>1099</v>
      </c>
    </row>
    <row r="36291">
      <c r="B36291" s="31"/>
      <c r="G36291" s="272" t="s">
        <v>1099</v>
      </c>
    </row>
    <row r="36292">
      <c r="B36292" s="31"/>
      <c r="G36292" s="272" t="s">
        <v>1099</v>
      </c>
    </row>
    <row r="36293">
      <c r="B36293" s="31"/>
      <c r="G36293" s="272" t="s">
        <v>1099</v>
      </c>
    </row>
    <row r="36294">
      <c r="B36294" s="31"/>
      <c r="G36294" s="272" t="s">
        <v>1099</v>
      </c>
    </row>
    <row r="36295">
      <c r="B36295" s="31"/>
      <c r="G36295" s="272" t="s">
        <v>1099</v>
      </c>
    </row>
    <row r="36296">
      <c r="B36296" s="31"/>
      <c r="G36296" s="272" t="s">
        <v>1099</v>
      </c>
    </row>
    <row r="36297">
      <c r="B36297" s="31"/>
      <c r="G36297" s="272" t="s">
        <v>1099</v>
      </c>
    </row>
    <row r="36298">
      <c r="B36298" s="31"/>
      <c r="G36298" s="272" t="s">
        <v>1099</v>
      </c>
    </row>
    <row r="36299">
      <c r="B36299" s="31"/>
      <c r="G36299" s="272" t="s">
        <v>1099</v>
      </c>
    </row>
    <row r="36300">
      <c r="B36300" s="31"/>
      <c r="G36300" s="272" t="s">
        <v>1099</v>
      </c>
    </row>
    <row r="36301">
      <c r="B36301" s="31"/>
      <c r="G36301" s="272" t="s">
        <v>1099</v>
      </c>
    </row>
    <row r="36302">
      <c r="B36302" s="31"/>
      <c r="G36302" s="272" t="s">
        <v>1099</v>
      </c>
    </row>
    <row r="36303">
      <c r="B36303" s="31"/>
      <c r="G36303" s="272" t="s">
        <v>1099</v>
      </c>
    </row>
    <row r="36304">
      <c r="B36304" s="31"/>
      <c r="G36304" s="272" t="s">
        <v>1099</v>
      </c>
    </row>
    <row r="36305">
      <c r="B36305" s="31"/>
      <c r="G36305" s="272" t="s">
        <v>1099</v>
      </c>
    </row>
    <row r="36306">
      <c r="B36306" s="31"/>
      <c r="G36306" s="272" t="s">
        <v>1099</v>
      </c>
    </row>
    <row r="36307">
      <c r="B36307" s="31"/>
      <c r="G36307" s="272" t="s">
        <v>1099</v>
      </c>
    </row>
    <row r="36308">
      <c r="B36308" s="31"/>
      <c r="G36308" s="272" t="s">
        <v>1099</v>
      </c>
    </row>
    <row r="36309">
      <c r="B36309" s="31"/>
      <c r="G36309" s="272" t="s">
        <v>1099</v>
      </c>
    </row>
    <row r="36310">
      <c r="B36310" s="31"/>
      <c r="G36310" s="272" t="s">
        <v>1099</v>
      </c>
    </row>
    <row r="36311">
      <c r="B36311" s="31"/>
      <c r="G36311" s="272" t="s">
        <v>1099</v>
      </c>
    </row>
    <row r="36312">
      <c r="B36312" s="31"/>
      <c r="G36312" s="272" t="s">
        <v>1099</v>
      </c>
    </row>
    <row r="36313">
      <c r="B36313" s="31"/>
      <c r="G36313" s="272" t="s">
        <v>1099</v>
      </c>
    </row>
    <row r="36314">
      <c r="B36314" s="31"/>
      <c r="G36314" s="272" t="s">
        <v>1099</v>
      </c>
    </row>
    <row r="36315">
      <c r="B36315" s="31"/>
      <c r="G36315" s="272" t="s">
        <v>1099</v>
      </c>
    </row>
    <row r="36316">
      <c r="B36316" s="31"/>
      <c r="G36316" s="272" t="s">
        <v>1099</v>
      </c>
    </row>
    <row r="36317">
      <c r="B36317" s="31"/>
      <c r="G36317" s="272" t="s">
        <v>1099</v>
      </c>
    </row>
    <row r="36318">
      <c r="B36318" s="31"/>
      <c r="G36318" s="272" t="s">
        <v>1099</v>
      </c>
    </row>
    <row r="36319">
      <c r="B36319" s="31"/>
      <c r="G36319" s="272" t="s">
        <v>1099</v>
      </c>
    </row>
    <row r="36320">
      <c r="B36320" s="31"/>
      <c r="G36320" s="272" t="s">
        <v>1099</v>
      </c>
    </row>
    <row r="36321">
      <c r="B36321" s="31"/>
      <c r="G36321" s="272" t="s">
        <v>1099</v>
      </c>
    </row>
    <row r="36322">
      <c r="B36322" s="31"/>
      <c r="G36322" s="272" t="s">
        <v>1099</v>
      </c>
    </row>
    <row r="36323">
      <c r="B36323" s="31"/>
      <c r="G36323" s="272" t="s">
        <v>1099</v>
      </c>
    </row>
    <row r="36324">
      <c r="B36324" s="31"/>
      <c r="G36324" s="272" t="s">
        <v>1099</v>
      </c>
    </row>
    <row r="36325">
      <c r="B36325" s="31"/>
      <c r="G36325" s="272" t="s">
        <v>1099</v>
      </c>
    </row>
    <row r="36326">
      <c r="B36326" s="31"/>
      <c r="G36326" s="272" t="s">
        <v>1099</v>
      </c>
    </row>
    <row r="36327">
      <c r="B36327" s="31"/>
      <c r="G36327" s="272" t="s">
        <v>1099</v>
      </c>
    </row>
    <row r="36328">
      <c r="B36328" s="31"/>
      <c r="G36328" s="272" t="s">
        <v>1099</v>
      </c>
    </row>
    <row r="36329">
      <c r="B36329" s="31"/>
      <c r="G36329" s="272" t="s">
        <v>1099</v>
      </c>
    </row>
    <row r="36330">
      <c r="B36330" s="31"/>
      <c r="G36330" s="272" t="s">
        <v>1099</v>
      </c>
    </row>
    <row r="36331">
      <c r="B36331" s="31"/>
      <c r="G36331" s="272" t="s">
        <v>1099</v>
      </c>
    </row>
    <row r="36332">
      <c r="B36332" s="31"/>
      <c r="G36332" s="272" t="s">
        <v>1099</v>
      </c>
    </row>
    <row r="36333">
      <c r="B36333" s="31"/>
      <c r="G36333" s="272" t="s">
        <v>1099</v>
      </c>
    </row>
    <row r="36334">
      <c r="B36334" s="31"/>
      <c r="G36334" s="272" t="s">
        <v>1099</v>
      </c>
    </row>
    <row r="36335">
      <c r="B36335" s="31"/>
      <c r="G36335" s="272" t="s">
        <v>1099</v>
      </c>
    </row>
    <row r="36336">
      <c r="B36336" s="31"/>
      <c r="G36336" s="272" t="s">
        <v>1099</v>
      </c>
    </row>
    <row r="36337">
      <c r="B36337" s="31"/>
      <c r="G36337" s="272" t="s">
        <v>1099</v>
      </c>
    </row>
    <row r="36338">
      <c r="B36338" s="31"/>
      <c r="G36338" s="272" t="s">
        <v>1099</v>
      </c>
    </row>
    <row r="36339">
      <c r="B36339" s="31"/>
      <c r="G36339" s="272" t="s">
        <v>1099</v>
      </c>
    </row>
    <row r="36340">
      <c r="B36340" s="31"/>
      <c r="G36340" s="272" t="s">
        <v>1099</v>
      </c>
    </row>
    <row r="36341">
      <c r="B36341" s="31"/>
      <c r="G36341" s="272" t="s">
        <v>1099</v>
      </c>
    </row>
    <row r="36342">
      <c r="B36342" s="31"/>
      <c r="G36342" s="272" t="s">
        <v>1099</v>
      </c>
    </row>
    <row r="36343">
      <c r="B36343" s="31"/>
      <c r="G36343" s="272" t="s">
        <v>1099</v>
      </c>
    </row>
    <row r="36344">
      <c r="B36344" s="31"/>
      <c r="G36344" s="272" t="s">
        <v>1099</v>
      </c>
    </row>
    <row r="36345">
      <c r="B36345" s="31"/>
      <c r="G36345" s="272" t="s">
        <v>1099</v>
      </c>
    </row>
    <row r="36346">
      <c r="B36346" s="31"/>
      <c r="G36346" s="272" t="s">
        <v>1099</v>
      </c>
    </row>
    <row r="36347">
      <c r="B36347" s="31"/>
      <c r="G36347" s="272" t="s">
        <v>1099</v>
      </c>
    </row>
    <row r="36348">
      <c r="B36348" s="31"/>
      <c r="G36348" s="272" t="s">
        <v>1099</v>
      </c>
    </row>
    <row r="36349">
      <c r="B36349" s="31"/>
      <c r="G36349" s="272" t="s">
        <v>1099</v>
      </c>
    </row>
    <row r="36350">
      <c r="B36350" s="31"/>
      <c r="G36350" s="272" t="s">
        <v>1099</v>
      </c>
    </row>
    <row r="36351">
      <c r="B36351" s="31"/>
      <c r="G36351" s="272" t="s">
        <v>1099</v>
      </c>
    </row>
    <row r="36352">
      <c r="B36352" s="31"/>
      <c r="G36352" s="272" t="s">
        <v>1099</v>
      </c>
    </row>
    <row r="36353">
      <c r="B36353" s="31"/>
      <c r="G36353" s="272" t="s">
        <v>1099</v>
      </c>
    </row>
    <row r="36354">
      <c r="B36354" s="31"/>
      <c r="G36354" s="272" t="s">
        <v>1099</v>
      </c>
    </row>
    <row r="36355">
      <c r="B36355" s="31"/>
      <c r="G36355" s="272" t="s">
        <v>1099</v>
      </c>
    </row>
    <row r="36356">
      <c r="B36356" s="31"/>
      <c r="G36356" s="272" t="s">
        <v>1099</v>
      </c>
    </row>
    <row r="36357">
      <c r="B36357" s="31"/>
      <c r="G36357" s="272" t="s">
        <v>1099</v>
      </c>
    </row>
    <row r="36358">
      <c r="B36358" s="31"/>
      <c r="G36358" s="272" t="s">
        <v>1099</v>
      </c>
    </row>
    <row r="36359">
      <c r="B36359" s="31"/>
      <c r="G36359" s="272" t="s">
        <v>1099</v>
      </c>
    </row>
    <row r="36360">
      <c r="B36360" s="31"/>
      <c r="G36360" s="272" t="s">
        <v>1099</v>
      </c>
    </row>
    <row r="36361">
      <c r="B36361" s="31"/>
      <c r="G36361" s="272" t="s">
        <v>1099</v>
      </c>
    </row>
    <row r="36362">
      <c r="B36362" s="31"/>
      <c r="G36362" s="272" t="s">
        <v>1099</v>
      </c>
    </row>
    <row r="36363">
      <c r="B36363" s="31"/>
      <c r="G36363" s="272" t="s">
        <v>1099</v>
      </c>
    </row>
    <row r="36364">
      <c r="B36364" s="31"/>
      <c r="G36364" s="272" t="s">
        <v>1099</v>
      </c>
    </row>
    <row r="36365">
      <c r="B36365" s="31"/>
      <c r="G36365" s="272" t="s">
        <v>1099</v>
      </c>
    </row>
    <row r="36366">
      <c r="B36366" s="31"/>
      <c r="G36366" s="272" t="s">
        <v>1099</v>
      </c>
    </row>
    <row r="36367">
      <c r="B36367" s="31"/>
      <c r="G36367" s="272" t="s">
        <v>1099</v>
      </c>
    </row>
    <row r="36368">
      <c r="B36368" s="31"/>
      <c r="G36368" s="272" t="s">
        <v>1099</v>
      </c>
    </row>
    <row r="36369">
      <c r="B36369" s="31"/>
      <c r="G36369" s="272" t="s">
        <v>1099</v>
      </c>
    </row>
    <row r="36370">
      <c r="B36370" s="31"/>
      <c r="G36370" s="272" t="s">
        <v>1099</v>
      </c>
    </row>
    <row r="36371">
      <c r="B36371" s="31"/>
      <c r="G36371" s="272" t="s">
        <v>1099</v>
      </c>
    </row>
    <row r="36372">
      <c r="B36372" s="31"/>
      <c r="G36372" s="272" t="s">
        <v>1099</v>
      </c>
    </row>
    <row r="36373">
      <c r="B36373" s="31"/>
      <c r="G36373" s="272" t="s">
        <v>1099</v>
      </c>
    </row>
    <row r="36374">
      <c r="B36374" s="31"/>
      <c r="G36374" s="272" t="s">
        <v>1099</v>
      </c>
    </row>
    <row r="36375">
      <c r="B36375" s="31"/>
      <c r="G36375" s="272" t="s">
        <v>1099</v>
      </c>
    </row>
    <row r="36376">
      <c r="B36376" s="31"/>
      <c r="G36376" s="272" t="s">
        <v>1099</v>
      </c>
    </row>
    <row r="36377">
      <c r="B36377" s="31"/>
      <c r="G36377" s="272" t="s">
        <v>1099</v>
      </c>
    </row>
    <row r="36378">
      <c r="B36378" s="31"/>
      <c r="G36378" s="272" t="s">
        <v>1099</v>
      </c>
    </row>
    <row r="36379">
      <c r="B36379" s="31"/>
      <c r="G36379" s="272" t="s">
        <v>1099</v>
      </c>
    </row>
    <row r="36380">
      <c r="B36380" s="31"/>
      <c r="G36380" s="272" t="s">
        <v>1099</v>
      </c>
    </row>
    <row r="36381">
      <c r="B36381" s="31"/>
      <c r="G36381" s="272" t="s">
        <v>1099</v>
      </c>
    </row>
    <row r="36382">
      <c r="B36382" s="31"/>
      <c r="G36382" s="272" t="s">
        <v>1099</v>
      </c>
    </row>
    <row r="36383">
      <c r="B36383" s="31"/>
      <c r="G36383" s="272" t="s">
        <v>1099</v>
      </c>
    </row>
    <row r="36384">
      <c r="B36384" s="31"/>
      <c r="G36384" s="272" t="s">
        <v>1099</v>
      </c>
    </row>
    <row r="36385">
      <c r="B36385" s="31"/>
      <c r="G36385" s="272" t="s">
        <v>1099</v>
      </c>
    </row>
    <row r="36386">
      <c r="B36386" s="31"/>
      <c r="G36386" s="272" t="s">
        <v>1099</v>
      </c>
    </row>
    <row r="36387">
      <c r="B36387" s="31"/>
      <c r="G36387" s="272" t="s">
        <v>1099</v>
      </c>
    </row>
    <row r="36388">
      <c r="B36388" s="31"/>
      <c r="G36388" s="272" t="s">
        <v>1099</v>
      </c>
    </row>
    <row r="36389">
      <c r="B36389" s="31"/>
      <c r="G36389" s="272" t="s">
        <v>1099</v>
      </c>
    </row>
    <row r="36390">
      <c r="B36390" s="31"/>
      <c r="G36390" s="272" t="s">
        <v>1099</v>
      </c>
    </row>
    <row r="36391">
      <c r="B36391" s="31"/>
      <c r="G36391" s="272" t="s">
        <v>1099</v>
      </c>
    </row>
    <row r="36392">
      <c r="B36392" s="31"/>
      <c r="G36392" s="272" t="s">
        <v>1099</v>
      </c>
    </row>
    <row r="36393">
      <c r="B36393" s="31"/>
      <c r="G36393" s="272" t="s">
        <v>1099</v>
      </c>
    </row>
    <row r="36394">
      <c r="B36394" s="31"/>
      <c r="G36394" s="272" t="s">
        <v>1099</v>
      </c>
    </row>
    <row r="36395">
      <c r="B36395" s="31"/>
      <c r="G36395" s="272" t="s">
        <v>1099</v>
      </c>
    </row>
    <row r="36396">
      <c r="B36396" s="31"/>
      <c r="G36396" s="272" t="s">
        <v>1099</v>
      </c>
    </row>
    <row r="36397">
      <c r="B36397" s="31"/>
      <c r="G36397" s="272" t="s">
        <v>1099</v>
      </c>
    </row>
    <row r="36398">
      <c r="B36398" s="31"/>
      <c r="G36398" s="272" t="s">
        <v>1099</v>
      </c>
    </row>
    <row r="36399">
      <c r="B36399" s="31"/>
      <c r="G36399" s="272" t="s">
        <v>1099</v>
      </c>
    </row>
    <row r="36400">
      <c r="B36400" s="31"/>
      <c r="G36400" s="272" t="s">
        <v>1099</v>
      </c>
    </row>
    <row r="36401">
      <c r="B36401" s="31"/>
      <c r="G36401" s="272" t="s">
        <v>1099</v>
      </c>
    </row>
    <row r="36402">
      <c r="B36402" s="31"/>
      <c r="G36402" s="272" t="s">
        <v>1099</v>
      </c>
    </row>
    <row r="36403">
      <c r="B36403" s="31"/>
      <c r="G36403" s="272" t="s">
        <v>1099</v>
      </c>
    </row>
    <row r="36404">
      <c r="B36404" s="31"/>
      <c r="G36404" s="272" t="s">
        <v>1099</v>
      </c>
    </row>
    <row r="36405">
      <c r="B36405" s="31"/>
      <c r="G36405" s="272" t="s">
        <v>1099</v>
      </c>
    </row>
    <row r="36406">
      <c r="B36406" s="31"/>
      <c r="G36406" s="272" t="s">
        <v>1099</v>
      </c>
    </row>
    <row r="36407">
      <c r="B36407" s="31"/>
      <c r="G36407" s="272" t="s">
        <v>1099</v>
      </c>
    </row>
    <row r="36408">
      <c r="B36408" s="31"/>
      <c r="G36408" s="272" t="s">
        <v>1099</v>
      </c>
    </row>
    <row r="36409">
      <c r="B36409" s="31"/>
      <c r="G36409" s="272" t="s">
        <v>1099</v>
      </c>
    </row>
    <row r="36410">
      <c r="B36410" s="31"/>
      <c r="G36410" s="272" t="s">
        <v>1099</v>
      </c>
    </row>
    <row r="36411">
      <c r="B36411" s="31"/>
      <c r="G36411" s="272" t="s">
        <v>1099</v>
      </c>
    </row>
    <row r="36412">
      <c r="B36412" s="31"/>
      <c r="G36412" s="272" t="s">
        <v>1099</v>
      </c>
    </row>
    <row r="36413">
      <c r="B36413" s="31"/>
      <c r="G36413" s="272" t="s">
        <v>1099</v>
      </c>
    </row>
    <row r="36414">
      <c r="B36414" s="31"/>
      <c r="G36414" s="272" t="s">
        <v>1099</v>
      </c>
    </row>
    <row r="36415">
      <c r="B36415" s="31"/>
      <c r="G36415" s="272" t="s">
        <v>1099</v>
      </c>
    </row>
    <row r="36416">
      <c r="B36416" s="31"/>
      <c r="G36416" s="272" t="s">
        <v>1099</v>
      </c>
    </row>
    <row r="36417">
      <c r="B36417" s="31"/>
      <c r="G36417" s="272" t="s">
        <v>1099</v>
      </c>
    </row>
    <row r="36418">
      <c r="B36418" s="31"/>
      <c r="G36418" s="272" t="s">
        <v>1099</v>
      </c>
    </row>
    <row r="36419">
      <c r="B36419" s="31"/>
      <c r="G36419" s="272" t="s">
        <v>1099</v>
      </c>
    </row>
    <row r="36420">
      <c r="B36420" s="31"/>
      <c r="G36420" s="272" t="s">
        <v>1099</v>
      </c>
    </row>
    <row r="36421">
      <c r="B36421" s="31"/>
      <c r="G36421" s="272" t="s">
        <v>1099</v>
      </c>
    </row>
    <row r="36422">
      <c r="B36422" s="31"/>
      <c r="G36422" s="272" t="s">
        <v>1099</v>
      </c>
    </row>
    <row r="36423">
      <c r="B36423" s="31"/>
      <c r="G36423" s="272" t="s">
        <v>1099</v>
      </c>
    </row>
    <row r="36424">
      <c r="B36424" s="31"/>
      <c r="G36424" s="272" t="s">
        <v>1099</v>
      </c>
    </row>
    <row r="36425">
      <c r="B36425" s="31"/>
      <c r="G36425" s="272" t="s">
        <v>1099</v>
      </c>
    </row>
    <row r="36426">
      <c r="B36426" s="31"/>
      <c r="G36426" s="272" t="s">
        <v>1099</v>
      </c>
    </row>
    <row r="36427">
      <c r="B36427" s="31"/>
      <c r="G36427" s="272" t="s">
        <v>1099</v>
      </c>
    </row>
    <row r="36428">
      <c r="B36428" s="31"/>
      <c r="G36428" s="272" t="s">
        <v>1099</v>
      </c>
    </row>
    <row r="36429">
      <c r="B36429" s="31"/>
      <c r="G36429" s="272" t="s">
        <v>1099</v>
      </c>
    </row>
    <row r="36430">
      <c r="B36430" s="31"/>
      <c r="G36430" s="272" t="s">
        <v>1099</v>
      </c>
    </row>
    <row r="36431">
      <c r="B36431" s="31"/>
      <c r="G36431" s="272" t="s">
        <v>1099</v>
      </c>
    </row>
    <row r="36432">
      <c r="B36432" s="31"/>
      <c r="G36432" s="272" t="s">
        <v>1099</v>
      </c>
    </row>
    <row r="36433">
      <c r="B36433" s="31"/>
      <c r="G36433" s="272" t="s">
        <v>1099</v>
      </c>
    </row>
    <row r="36434">
      <c r="B36434" s="31"/>
      <c r="G36434" s="272" t="s">
        <v>1099</v>
      </c>
    </row>
    <row r="36435">
      <c r="B36435" s="31"/>
      <c r="G36435" s="272" t="s">
        <v>1099</v>
      </c>
    </row>
    <row r="36436">
      <c r="B36436" s="31"/>
      <c r="G36436" s="272" t="s">
        <v>1099</v>
      </c>
    </row>
    <row r="36437">
      <c r="B36437" s="31"/>
      <c r="G36437" s="272" t="s">
        <v>1099</v>
      </c>
    </row>
    <row r="36438">
      <c r="B36438" s="31"/>
      <c r="G36438" s="272" t="s">
        <v>1099</v>
      </c>
    </row>
    <row r="36439">
      <c r="B36439" s="31"/>
      <c r="G36439" s="272" t="s">
        <v>1099</v>
      </c>
    </row>
    <row r="36440">
      <c r="B36440" s="31"/>
      <c r="G36440" s="272" t="s">
        <v>1099</v>
      </c>
    </row>
    <row r="36441">
      <c r="B36441" s="31"/>
      <c r="G36441" s="272" t="s">
        <v>1099</v>
      </c>
    </row>
    <row r="36442">
      <c r="B36442" s="31"/>
      <c r="G36442" s="272" t="s">
        <v>1099</v>
      </c>
    </row>
    <row r="36443">
      <c r="B36443" s="31"/>
      <c r="G36443" s="272" t="s">
        <v>1099</v>
      </c>
    </row>
    <row r="36444">
      <c r="B36444" s="31"/>
      <c r="G36444" s="272" t="s">
        <v>1099</v>
      </c>
    </row>
    <row r="36445">
      <c r="B36445" s="31"/>
      <c r="G36445" s="272" t="s">
        <v>1099</v>
      </c>
    </row>
    <row r="36446">
      <c r="B36446" s="31"/>
      <c r="G36446" s="272" t="s">
        <v>1099</v>
      </c>
    </row>
    <row r="36447">
      <c r="B36447" s="31"/>
      <c r="G36447" s="272" t="s">
        <v>1099</v>
      </c>
    </row>
    <row r="36448">
      <c r="B36448" s="31"/>
      <c r="G36448" s="272" t="s">
        <v>1099</v>
      </c>
    </row>
    <row r="36449">
      <c r="B36449" s="31"/>
      <c r="G36449" s="272" t="s">
        <v>1099</v>
      </c>
    </row>
    <row r="36450">
      <c r="B36450" s="31"/>
      <c r="G36450" s="272" t="s">
        <v>1099</v>
      </c>
    </row>
    <row r="36451">
      <c r="B36451" s="31"/>
      <c r="G36451" s="272" t="s">
        <v>1099</v>
      </c>
    </row>
    <row r="36452">
      <c r="B36452" s="31"/>
      <c r="G36452" s="272" t="s">
        <v>1099</v>
      </c>
    </row>
    <row r="36453">
      <c r="B36453" s="31"/>
      <c r="G36453" s="272" t="s">
        <v>1099</v>
      </c>
    </row>
    <row r="36454">
      <c r="B36454" s="31"/>
      <c r="G36454" s="272" t="s">
        <v>1099</v>
      </c>
    </row>
    <row r="36455">
      <c r="B36455" s="31"/>
      <c r="G36455" s="272" t="s">
        <v>1099</v>
      </c>
    </row>
    <row r="36456">
      <c r="B36456" s="31"/>
      <c r="G36456" s="272" t="s">
        <v>1099</v>
      </c>
    </row>
    <row r="36457">
      <c r="B36457" s="31"/>
      <c r="G36457" s="272" t="s">
        <v>1099</v>
      </c>
    </row>
    <row r="36458">
      <c r="B36458" s="31"/>
      <c r="G36458" s="272" t="s">
        <v>1099</v>
      </c>
    </row>
    <row r="36459">
      <c r="B36459" s="31"/>
      <c r="G36459" s="272" t="s">
        <v>1099</v>
      </c>
    </row>
    <row r="36460">
      <c r="B36460" s="31"/>
      <c r="G36460" s="272" t="s">
        <v>1099</v>
      </c>
    </row>
    <row r="36461">
      <c r="B36461" s="31"/>
      <c r="G36461" s="272" t="s">
        <v>1099</v>
      </c>
    </row>
    <row r="36462">
      <c r="B36462" s="31"/>
      <c r="G36462" s="272" t="s">
        <v>1099</v>
      </c>
    </row>
    <row r="36463">
      <c r="B36463" s="31"/>
      <c r="G36463" s="272" t="s">
        <v>1099</v>
      </c>
    </row>
    <row r="36464">
      <c r="B36464" s="31"/>
      <c r="G36464" s="272" t="s">
        <v>1099</v>
      </c>
    </row>
    <row r="36465">
      <c r="B36465" s="31"/>
      <c r="G36465" s="272" t="s">
        <v>1099</v>
      </c>
    </row>
    <row r="36466">
      <c r="B36466" s="31"/>
      <c r="G36466" s="272" t="s">
        <v>1099</v>
      </c>
    </row>
    <row r="36467">
      <c r="B36467" s="31"/>
      <c r="G36467" s="272" t="s">
        <v>1099</v>
      </c>
    </row>
    <row r="36468">
      <c r="B36468" s="31"/>
      <c r="G36468" s="272" t="s">
        <v>1099</v>
      </c>
    </row>
    <row r="36469">
      <c r="B36469" s="31"/>
      <c r="G36469" s="272" t="s">
        <v>1099</v>
      </c>
    </row>
    <row r="36470">
      <c r="B36470" s="31"/>
      <c r="G36470" s="272" t="s">
        <v>1099</v>
      </c>
    </row>
    <row r="36471">
      <c r="B36471" s="31"/>
      <c r="G36471" s="272" t="s">
        <v>1099</v>
      </c>
    </row>
    <row r="36472">
      <c r="B36472" s="31"/>
      <c r="G36472" s="272" t="s">
        <v>1099</v>
      </c>
    </row>
    <row r="36473">
      <c r="B36473" s="31"/>
      <c r="G36473" s="272" t="s">
        <v>1099</v>
      </c>
    </row>
    <row r="36474">
      <c r="B36474" s="31"/>
      <c r="G36474" s="272" t="s">
        <v>1099</v>
      </c>
    </row>
    <row r="36475">
      <c r="B36475" s="31"/>
      <c r="G36475" s="272" t="s">
        <v>1099</v>
      </c>
    </row>
    <row r="36476">
      <c r="B36476" s="31"/>
      <c r="G36476" s="272" t="s">
        <v>1099</v>
      </c>
    </row>
    <row r="36477">
      <c r="B36477" s="31"/>
      <c r="G36477" s="272" t="s">
        <v>1099</v>
      </c>
    </row>
    <row r="36478">
      <c r="B36478" s="31"/>
      <c r="G36478" s="272" t="s">
        <v>1099</v>
      </c>
    </row>
    <row r="36479">
      <c r="B36479" s="31"/>
      <c r="G36479" s="272" t="s">
        <v>1099</v>
      </c>
    </row>
    <row r="36480">
      <c r="B36480" s="31"/>
      <c r="G36480" s="272" t="s">
        <v>1099</v>
      </c>
    </row>
    <row r="36481">
      <c r="B36481" s="31"/>
      <c r="G36481" s="272" t="s">
        <v>1099</v>
      </c>
    </row>
    <row r="36482">
      <c r="B36482" s="31"/>
      <c r="G36482" s="272" t="s">
        <v>1099</v>
      </c>
    </row>
    <row r="36483">
      <c r="B36483" s="31"/>
      <c r="G36483" s="272" t="s">
        <v>1099</v>
      </c>
    </row>
    <row r="36484">
      <c r="B36484" s="31"/>
      <c r="G36484" s="272" t="s">
        <v>1099</v>
      </c>
    </row>
    <row r="36485">
      <c r="B36485" s="31"/>
      <c r="G36485" s="272" t="s">
        <v>1099</v>
      </c>
    </row>
    <row r="36486">
      <c r="B36486" s="31"/>
      <c r="G36486" s="272" t="s">
        <v>1099</v>
      </c>
    </row>
    <row r="36487">
      <c r="B36487" s="31"/>
      <c r="G36487" s="272" t="s">
        <v>1099</v>
      </c>
    </row>
    <row r="36488">
      <c r="B36488" s="31"/>
      <c r="G36488" s="272" t="s">
        <v>1099</v>
      </c>
    </row>
    <row r="36489">
      <c r="B36489" s="31"/>
      <c r="G36489" s="272" t="s">
        <v>1099</v>
      </c>
    </row>
    <row r="36490">
      <c r="B36490" s="31"/>
      <c r="G36490" s="272" t="s">
        <v>1099</v>
      </c>
    </row>
    <row r="36491">
      <c r="B36491" s="31"/>
      <c r="G36491" s="272" t="s">
        <v>1099</v>
      </c>
    </row>
    <row r="36492">
      <c r="B36492" s="31"/>
      <c r="G36492" s="272" t="s">
        <v>1099</v>
      </c>
    </row>
    <row r="36493">
      <c r="B36493" s="31"/>
      <c r="G36493" s="272" t="s">
        <v>1099</v>
      </c>
    </row>
    <row r="36494">
      <c r="B36494" s="31"/>
      <c r="G36494" s="272" t="s">
        <v>1099</v>
      </c>
    </row>
    <row r="36495">
      <c r="B36495" s="31"/>
      <c r="G36495" s="272" t="s">
        <v>1099</v>
      </c>
    </row>
    <row r="36496">
      <c r="B36496" s="31"/>
      <c r="G36496" s="272" t="s">
        <v>1099</v>
      </c>
    </row>
    <row r="36497">
      <c r="B36497" s="31"/>
      <c r="G36497" s="272" t="s">
        <v>1099</v>
      </c>
    </row>
    <row r="36498">
      <c r="B36498" s="31"/>
      <c r="G36498" s="272" t="s">
        <v>1099</v>
      </c>
    </row>
    <row r="36499">
      <c r="B36499" s="31"/>
      <c r="G36499" s="272" t="s">
        <v>1099</v>
      </c>
    </row>
    <row r="36500">
      <c r="B36500" s="31"/>
      <c r="G36500" s="272" t="s">
        <v>1099</v>
      </c>
    </row>
    <row r="36501">
      <c r="B36501" s="31"/>
      <c r="G36501" s="272" t="s">
        <v>1099</v>
      </c>
    </row>
    <row r="36502">
      <c r="B36502" s="31"/>
      <c r="G36502" s="272" t="s">
        <v>1099</v>
      </c>
    </row>
    <row r="36503">
      <c r="B36503" s="31"/>
      <c r="G36503" s="272" t="s">
        <v>1099</v>
      </c>
    </row>
    <row r="36504">
      <c r="B36504" s="31"/>
      <c r="G36504" s="272" t="s">
        <v>1099</v>
      </c>
    </row>
    <row r="36505">
      <c r="B36505" s="31"/>
      <c r="G36505" s="272" t="s">
        <v>1099</v>
      </c>
    </row>
    <row r="36506">
      <c r="B36506" s="31"/>
      <c r="G36506" s="272" t="s">
        <v>1099</v>
      </c>
    </row>
    <row r="36507">
      <c r="B36507" s="31"/>
      <c r="G36507" s="272" t="s">
        <v>1099</v>
      </c>
    </row>
    <row r="36508">
      <c r="B36508" s="31"/>
      <c r="G36508" s="272" t="s">
        <v>1099</v>
      </c>
    </row>
    <row r="36509">
      <c r="B36509" s="31"/>
      <c r="G36509" s="272" t="s">
        <v>1099</v>
      </c>
    </row>
    <row r="36510">
      <c r="B36510" s="31"/>
      <c r="G36510" s="272" t="s">
        <v>1099</v>
      </c>
    </row>
    <row r="36511">
      <c r="B36511" s="31"/>
      <c r="G36511" s="272" t="s">
        <v>1099</v>
      </c>
    </row>
    <row r="36512">
      <c r="B36512" s="31"/>
      <c r="G36512" s="272" t="s">
        <v>1099</v>
      </c>
    </row>
    <row r="36513">
      <c r="B36513" s="31"/>
      <c r="G36513" s="272" t="s">
        <v>1099</v>
      </c>
    </row>
    <row r="36514">
      <c r="B36514" s="31"/>
      <c r="G36514" s="272" t="s">
        <v>1099</v>
      </c>
    </row>
    <row r="36515">
      <c r="B36515" s="31"/>
      <c r="G36515" s="272" t="s">
        <v>1099</v>
      </c>
    </row>
    <row r="36516">
      <c r="B36516" s="31"/>
      <c r="G36516" s="272" t="s">
        <v>1099</v>
      </c>
    </row>
    <row r="36517">
      <c r="B36517" s="31"/>
      <c r="G36517" s="272" t="s">
        <v>1099</v>
      </c>
    </row>
    <row r="36518">
      <c r="B36518" s="31"/>
      <c r="G36518" s="272" t="s">
        <v>1099</v>
      </c>
    </row>
    <row r="36519">
      <c r="B36519" s="31"/>
      <c r="G36519" s="272" t="s">
        <v>1099</v>
      </c>
    </row>
    <row r="36520">
      <c r="B36520" s="31"/>
      <c r="G36520" s="272" t="s">
        <v>1099</v>
      </c>
    </row>
    <row r="36521">
      <c r="B36521" s="31"/>
      <c r="G36521" s="272" t="s">
        <v>1099</v>
      </c>
    </row>
    <row r="36522">
      <c r="B36522" s="31"/>
      <c r="G36522" s="272" t="s">
        <v>1099</v>
      </c>
    </row>
    <row r="36523">
      <c r="B36523" s="31"/>
      <c r="G36523" s="272" t="s">
        <v>1099</v>
      </c>
    </row>
    <row r="36524">
      <c r="B36524" s="31"/>
      <c r="G36524" s="272" t="s">
        <v>1099</v>
      </c>
    </row>
    <row r="36525">
      <c r="B36525" s="31"/>
      <c r="G36525" s="272" t="s">
        <v>1099</v>
      </c>
    </row>
    <row r="36526">
      <c r="B36526" s="31"/>
      <c r="G36526" s="272" t="s">
        <v>1099</v>
      </c>
    </row>
    <row r="36527">
      <c r="B36527" s="31"/>
      <c r="G36527" s="272" t="s">
        <v>1099</v>
      </c>
    </row>
    <row r="36528">
      <c r="B36528" s="31"/>
      <c r="G36528" s="272" t="s">
        <v>1099</v>
      </c>
    </row>
    <row r="36529">
      <c r="B36529" s="31"/>
      <c r="G36529" s="272" t="s">
        <v>1099</v>
      </c>
    </row>
    <row r="36530">
      <c r="B36530" s="31"/>
      <c r="G36530" s="272" t="s">
        <v>1099</v>
      </c>
    </row>
    <row r="36531">
      <c r="B36531" s="31"/>
      <c r="G36531" s="272" t="s">
        <v>1099</v>
      </c>
    </row>
    <row r="36532">
      <c r="B36532" s="31"/>
      <c r="G36532" s="272" t="s">
        <v>1099</v>
      </c>
    </row>
    <row r="36533">
      <c r="B36533" s="31"/>
      <c r="G36533" s="272" t="s">
        <v>1099</v>
      </c>
    </row>
    <row r="36534">
      <c r="B36534" s="31"/>
      <c r="G36534" s="272" t="s">
        <v>1099</v>
      </c>
    </row>
    <row r="36535">
      <c r="B36535" s="31"/>
      <c r="G36535" s="272" t="s">
        <v>1099</v>
      </c>
    </row>
    <row r="36536">
      <c r="B36536" s="31"/>
      <c r="G36536" s="272" t="s">
        <v>1099</v>
      </c>
    </row>
    <row r="36537">
      <c r="B36537" s="31"/>
      <c r="G36537" s="272" t="s">
        <v>1099</v>
      </c>
    </row>
    <row r="36538">
      <c r="B36538" s="31"/>
      <c r="G36538" s="272" t="s">
        <v>1099</v>
      </c>
    </row>
    <row r="36539">
      <c r="B36539" s="31"/>
      <c r="G36539" s="272" t="s">
        <v>1099</v>
      </c>
    </row>
    <row r="36540">
      <c r="B36540" s="31"/>
      <c r="G36540" s="272" t="s">
        <v>1099</v>
      </c>
    </row>
    <row r="36541">
      <c r="B36541" s="31"/>
      <c r="G36541" s="272" t="s">
        <v>1099</v>
      </c>
    </row>
    <row r="36542">
      <c r="B36542" s="31"/>
      <c r="G36542" s="272" t="s">
        <v>1099</v>
      </c>
    </row>
    <row r="36543">
      <c r="B36543" s="31"/>
      <c r="G36543" s="272" t="s">
        <v>1099</v>
      </c>
    </row>
    <row r="36544">
      <c r="B36544" s="31"/>
      <c r="G36544" s="272" t="s">
        <v>1099</v>
      </c>
    </row>
    <row r="36545">
      <c r="B36545" s="31"/>
      <c r="G36545" s="272" t="s">
        <v>1099</v>
      </c>
    </row>
    <row r="36546">
      <c r="B36546" s="31"/>
      <c r="G36546" s="272" t="s">
        <v>1099</v>
      </c>
    </row>
    <row r="36547">
      <c r="B36547" s="31"/>
      <c r="G36547" s="272" t="s">
        <v>1099</v>
      </c>
    </row>
    <row r="36548">
      <c r="B36548" s="31"/>
      <c r="G36548" s="272" t="s">
        <v>1099</v>
      </c>
    </row>
    <row r="36549">
      <c r="B36549" s="31"/>
      <c r="G36549" s="272" t="s">
        <v>1099</v>
      </c>
    </row>
    <row r="36550">
      <c r="B36550" s="31"/>
      <c r="G36550" s="272" t="s">
        <v>1099</v>
      </c>
    </row>
    <row r="36551">
      <c r="B36551" s="31"/>
      <c r="G36551" s="272" t="s">
        <v>1099</v>
      </c>
    </row>
    <row r="36552">
      <c r="B36552" s="31"/>
      <c r="G36552" s="272" t="s">
        <v>1099</v>
      </c>
    </row>
    <row r="36553">
      <c r="B36553" s="31"/>
      <c r="G36553" s="272" t="s">
        <v>1099</v>
      </c>
    </row>
    <row r="36554">
      <c r="B36554" s="31"/>
      <c r="G36554" s="272" t="s">
        <v>1099</v>
      </c>
    </row>
    <row r="36555">
      <c r="B36555" s="31"/>
      <c r="G36555" s="272" t="s">
        <v>1099</v>
      </c>
    </row>
    <row r="36556">
      <c r="B36556" s="31"/>
      <c r="G36556" s="272" t="s">
        <v>1099</v>
      </c>
    </row>
    <row r="36557">
      <c r="B36557" s="31"/>
      <c r="G36557" s="272" t="s">
        <v>1099</v>
      </c>
    </row>
    <row r="36558">
      <c r="B36558" s="31"/>
      <c r="G36558" s="272" t="s">
        <v>1099</v>
      </c>
    </row>
    <row r="36559">
      <c r="B36559" s="31"/>
      <c r="G36559" s="272" t="s">
        <v>1099</v>
      </c>
    </row>
    <row r="36560">
      <c r="B36560" s="31"/>
      <c r="G36560" s="272" t="s">
        <v>1099</v>
      </c>
    </row>
    <row r="36561">
      <c r="B36561" s="31"/>
      <c r="G36561" s="272" t="s">
        <v>1099</v>
      </c>
    </row>
    <row r="36562">
      <c r="B36562" s="31"/>
      <c r="G36562" s="272" t="s">
        <v>1099</v>
      </c>
    </row>
    <row r="36563">
      <c r="B36563" s="31"/>
      <c r="G36563" s="272" t="s">
        <v>1099</v>
      </c>
    </row>
    <row r="36564">
      <c r="B36564" s="31"/>
      <c r="G36564" s="272" t="s">
        <v>1099</v>
      </c>
    </row>
    <row r="36565">
      <c r="B36565" s="31"/>
      <c r="G36565" s="272" t="s">
        <v>1099</v>
      </c>
    </row>
    <row r="36566">
      <c r="B36566" s="31"/>
      <c r="G36566" s="272" t="s">
        <v>1099</v>
      </c>
    </row>
    <row r="36567">
      <c r="B36567" s="31"/>
      <c r="G36567" s="272" t="s">
        <v>1099</v>
      </c>
    </row>
    <row r="36568">
      <c r="B36568" s="31"/>
      <c r="G36568" s="272" t="s">
        <v>1099</v>
      </c>
    </row>
    <row r="36569">
      <c r="B36569" s="31"/>
      <c r="G36569" s="272" t="s">
        <v>1099</v>
      </c>
    </row>
    <row r="36570">
      <c r="B36570" s="31"/>
      <c r="G36570" s="272" t="s">
        <v>1099</v>
      </c>
    </row>
    <row r="36571">
      <c r="B36571" s="31"/>
      <c r="G36571" s="272" t="s">
        <v>1099</v>
      </c>
    </row>
    <row r="36572">
      <c r="B36572" s="31"/>
      <c r="G36572" s="272" t="s">
        <v>1099</v>
      </c>
    </row>
    <row r="36573">
      <c r="B36573" s="31"/>
      <c r="G36573" s="272" t="s">
        <v>1099</v>
      </c>
    </row>
    <row r="36574">
      <c r="B36574" s="31"/>
      <c r="G36574" s="272" t="s">
        <v>1099</v>
      </c>
    </row>
    <row r="36575">
      <c r="B36575" s="31"/>
      <c r="G36575" s="272" t="s">
        <v>1099</v>
      </c>
    </row>
    <row r="36576">
      <c r="B36576" s="31"/>
      <c r="G36576" s="272" t="s">
        <v>1099</v>
      </c>
    </row>
    <row r="36577">
      <c r="B36577" s="31"/>
      <c r="G36577" s="272" t="s">
        <v>1099</v>
      </c>
    </row>
    <row r="36578">
      <c r="B36578" s="31"/>
      <c r="G36578" s="272" t="s">
        <v>1099</v>
      </c>
    </row>
    <row r="36579">
      <c r="B36579" s="31"/>
      <c r="G36579" s="272" t="s">
        <v>1099</v>
      </c>
    </row>
    <row r="36580">
      <c r="B36580" s="31"/>
      <c r="G36580" s="272" t="s">
        <v>1099</v>
      </c>
    </row>
    <row r="36581">
      <c r="B36581" s="31"/>
      <c r="G36581" s="272" t="s">
        <v>1099</v>
      </c>
    </row>
    <row r="36582">
      <c r="B36582" s="31"/>
      <c r="G36582" s="272" t="s">
        <v>1099</v>
      </c>
    </row>
    <row r="36583">
      <c r="B36583" s="31"/>
      <c r="G36583" s="272" t="s">
        <v>1099</v>
      </c>
    </row>
    <row r="36584">
      <c r="B36584" s="31"/>
      <c r="G36584" s="272" t="s">
        <v>1099</v>
      </c>
    </row>
    <row r="36585">
      <c r="B36585" s="31"/>
      <c r="G36585" s="272" t="s">
        <v>1099</v>
      </c>
    </row>
    <row r="36586">
      <c r="B36586" s="31"/>
      <c r="G36586" s="272" t="s">
        <v>1099</v>
      </c>
    </row>
    <row r="36587">
      <c r="B36587" s="31"/>
      <c r="G36587" s="272" t="s">
        <v>1099</v>
      </c>
    </row>
    <row r="36588">
      <c r="B36588" s="31"/>
      <c r="G36588" s="272" t="s">
        <v>1099</v>
      </c>
    </row>
    <row r="36589">
      <c r="B36589" s="31"/>
      <c r="G36589" s="272" t="s">
        <v>1099</v>
      </c>
    </row>
    <row r="36590">
      <c r="B36590" s="31"/>
      <c r="G36590" s="272" t="s">
        <v>1099</v>
      </c>
    </row>
    <row r="36591">
      <c r="B36591" s="31"/>
      <c r="G36591" s="272" t="s">
        <v>1099</v>
      </c>
    </row>
    <row r="36592">
      <c r="B36592" s="31"/>
      <c r="G36592" s="272" t="s">
        <v>1099</v>
      </c>
    </row>
    <row r="36593">
      <c r="B36593" s="31"/>
      <c r="G36593" s="272" t="s">
        <v>1099</v>
      </c>
    </row>
    <row r="36594">
      <c r="B36594" s="31"/>
      <c r="G36594" s="272" t="s">
        <v>1099</v>
      </c>
    </row>
    <row r="36595">
      <c r="B36595" s="31"/>
      <c r="G36595" s="272" t="s">
        <v>1099</v>
      </c>
    </row>
    <row r="36596">
      <c r="B36596" s="31"/>
      <c r="G36596" s="272" t="s">
        <v>1099</v>
      </c>
    </row>
    <row r="36597">
      <c r="B36597" s="31"/>
      <c r="G36597" s="272" t="s">
        <v>1099</v>
      </c>
    </row>
    <row r="36598">
      <c r="B36598" s="31"/>
      <c r="G36598" s="272" t="s">
        <v>1099</v>
      </c>
    </row>
    <row r="36599">
      <c r="B36599" s="31"/>
      <c r="G36599" s="272" t="s">
        <v>1099</v>
      </c>
    </row>
    <row r="36600">
      <c r="B36600" s="31"/>
      <c r="G36600" s="272" t="s">
        <v>1099</v>
      </c>
    </row>
    <row r="36601">
      <c r="B36601" s="31"/>
      <c r="G36601" s="272" t="s">
        <v>1099</v>
      </c>
    </row>
    <row r="36602">
      <c r="B36602" s="31"/>
      <c r="G36602" s="272" t="s">
        <v>1099</v>
      </c>
    </row>
    <row r="36603">
      <c r="B36603" s="31"/>
      <c r="G36603" s="272" t="s">
        <v>1099</v>
      </c>
    </row>
    <row r="36604">
      <c r="B36604" s="31"/>
      <c r="G36604" s="272" t="s">
        <v>1099</v>
      </c>
    </row>
    <row r="36605">
      <c r="B36605" s="31"/>
      <c r="G36605" s="272" t="s">
        <v>1099</v>
      </c>
    </row>
    <row r="36606">
      <c r="B36606" s="31"/>
      <c r="G36606" s="272" t="s">
        <v>1099</v>
      </c>
    </row>
    <row r="36607">
      <c r="B36607" s="31"/>
      <c r="G36607" s="272" t="s">
        <v>1099</v>
      </c>
    </row>
    <row r="36608">
      <c r="B36608" s="31"/>
      <c r="G36608" s="272" t="s">
        <v>1099</v>
      </c>
    </row>
    <row r="36609">
      <c r="B36609" s="31"/>
      <c r="G36609" s="272" t="s">
        <v>1099</v>
      </c>
    </row>
    <row r="36610">
      <c r="B36610" s="31"/>
      <c r="G36610" s="272" t="s">
        <v>1099</v>
      </c>
    </row>
    <row r="36611">
      <c r="B36611" s="31"/>
      <c r="G36611" s="272" t="s">
        <v>1099</v>
      </c>
    </row>
    <row r="36612">
      <c r="B36612" s="31"/>
      <c r="G36612" s="272" t="s">
        <v>1099</v>
      </c>
    </row>
    <row r="36613">
      <c r="B36613" s="31"/>
      <c r="G36613" s="272" t="s">
        <v>1099</v>
      </c>
    </row>
    <row r="36614">
      <c r="B36614" s="31"/>
      <c r="G36614" s="272" t="s">
        <v>1099</v>
      </c>
    </row>
    <row r="36615">
      <c r="B36615" s="31"/>
      <c r="G36615" s="272" t="s">
        <v>1099</v>
      </c>
    </row>
    <row r="36616">
      <c r="B36616" s="31"/>
      <c r="G36616" s="272" t="s">
        <v>1099</v>
      </c>
    </row>
    <row r="36617">
      <c r="B36617" s="31"/>
      <c r="G36617" s="272" t="s">
        <v>1099</v>
      </c>
    </row>
    <row r="36618">
      <c r="B36618" s="31"/>
      <c r="G36618" s="272" t="s">
        <v>1099</v>
      </c>
    </row>
    <row r="36619">
      <c r="B36619" s="31"/>
      <c r="G36619" s="272" t="s">
        <v>1099</v>
      </c>
    </row>
    <row r="36620">
      <c r="B36620" s="31"/>
      <c r="G36620" s="272" t="s">
        <v>1099</v>
      </c>
    </row>
    <row r="36621">
      <c r="B36621" s="31"/>
      <c r="G36621" s="272" t="s">
        <v>1099</v>
      </c>
    </row>
    <row r="36622">
      <c r="B36622" s="31"/>
      <c r="G36622" s="272" t="s">
        <v>1099</v>
      </c>
    </row>
    <row r="36623">
      <c r="B36623" s="31"/>
      <c r="G36623" s="272" t="s">
        <v>1099</v>
      </c>
    </row>
    <row r="36624">
      <c r="B36624" s="31"/>
      <c r="G36624" s="272" t="s">
        <v>1099</v>
      </c>
    </row>
    <row r="36625">
      <c r="B36625" s="31"/>
      <c r="G36625" s="272" t="s">
        <v>1099</v>
      </c>
    </row>
    <row r="36626">
      <c r="B36626" s="31"/>
      <c r="G36626" s="272" t="s">
        <v>1099</v>
      </c>
    </row>
    <row r="36627">
      <c r="B36627" s="31"/>
      <c r="G36627" s="272" t="s">
        <v>1099</v>
      </c>
    </row>
    <row r="36628">
      <c r="B36628" s="31"/>
      <c r="G36628" s="272" t="s">
        <v>1099</v>
      </c>
    </row>
    <row r="36629">
      <c r="B36629" s="31"/>
      <c r="G36629" s="272" t="s">
        <v>1099</v>
      </c>
    </row>
    <row r="36630">
      <c r="B36630" s="31"/>
      <c r="G36630" s="272" t="s">
        <v>1099</v>
      </c>
    </row>
    <row r="36631">
      <c r="B36631" s="31"/>
      <c r="G36631" s="272" t="s">
        <v>1099</v>
      </c>
    </row>
    <row r="36632">
      <c r="B36632" s="31"/>
      <c r="G36632" s="272" t="s">
        <v>1099</v>
      </c>
    </row>
    <row r="36633">
      <c r="B36633" s="31"/>
      <c r="G36633" s="272" t="s">
        <v>1099</v>
      </c>
    </row>
    <row r="36634">
      <c r="B36634" s="31"/>
      <c r="G36634" s="272" t="s">
        <v>1099</v>
      </c>
    </row>
    <row r="36635">
      <c r="B36635" s="31"/>
      <c r="G36635" s="272" t="s">
        <v>1099</v>
      </c>
    </row>
    <row r="36636">
      <c r="B36636" s="31"/>
      <c r="G36636" s="272" t="s">
        <v>1099</v>
      </c>
    </row>
    <row r="36637">
      <c r="B36637" s="31"/>
      <c r="G36637" s="272" t="s">
        <v>1099</v>
      </c>
    </row>
    <row r="36638">
      <c r="B36638" s="31"/>
      <c r="G36638" s="272" t="s">
        <v>1099</v>
      </c>
    </row>
    <row r="36639">
      <c r="B36639" s="31"/>
      <c r="G36639" s="272" t="s">
        <v>1099</v>
      </c>
    </row>
    <row r="36640">
      <c r="B36640" s="31"/>
      <c r="G36640" s="272" t="s">
        <v>1099</v>
      </c>
    </row>
    <row r="36641">
      <c r="B36641" s="31"/>
      <c r="G36641" s="272" t="s">
        <v>1099</v>
      </c>
    </row>
    <row r="36642">
      <c r="B36642" s="31"/>
      <c r="G36642" s="272" t="s">
        <v>1099</v>
      </c>
    </row>
    <row r="36643">
      <c r="B36643" s="31"/>
      <c r="G36643" s="272" t="s">
        <v>1099</v>
      </c>
    </row>
    <row r="36644">
      <c r="B36644" s="31"/>
      <c r="G36644" s="272" t="s">
        <v>1099</v>
      </c>
    </row>
    <row r="36645">
      <c r="B36645" s="31"/>
      <c r="G36645" s="272" t="s">
        <v>1099</v>
      </c>
    </row>
    <row r="36646">
      <c r="B36646" s="31"/>
      <c r="G36646" s="272" t="s">
        <v>1099</v>
      </c>
    </row>
    <row r="36647">
      <c r="B36647" s="31"/>
      <c r="G36647" s="272" t="s">
        <v>1099</v>
      </c>
    </row>
    <row r="36648">
      <c r="B36648" s="31"/>
      <c r="G36648" s="272" t="s">
        <v>1099</v>
      </c>
    </row>
    <row r="36649">
      <c r="B36649" s="31"/>
      <c r="G36649" s="272" t="s">
        <v>1099</v>
      </c>
    </row>
    <row r="36650">
      <c r="B36650" s="31"/>
      <c r="G36650" s="272" t="s">
        <v>1099</v>
      </c>
    </row>
    <row r="36651">
      <c r="B36651" s="31"/>
      <c r="G36651" s="272" t="s">
        <v>1099</v>
      </c>
    </row>
    <row r="36652">
      <c r="B36652" s="31"/>
      <c r="G36652" s="272" t="s">
        <v>1099</v>
      </c>
    </row>
    <row r="36653">
      <c r="B36653" s="31"/>
      <c r="G36653" s="272" t="s">
        <v>1099</v>
      </c>
    </row>
    <row r="36654">
      <c r="B36654" s="31"/>
      <c r="G36654" s="272" t="s">
        <v>1099</v>
      </c>
    </row>
    <row r="36655">
      <c r="B36655" s="31"/>
      <c r="G36655" s="272" t="s">
        <v>1099</v>
      </c>
    </row>
    <row r="36656">
      <c r="B36656" s="31"/>
      <c r="G36656" s="272" t="s">
        <v>1099</v>
      </c>
    </row>
    <row r="36657">
      <c r="B36657" s="31"/>
      <c r="G36657" s="272" t="s">
        <v>1099</v>
      </c>
    </row>
    <row r="36658">
      <c r="B36658" s="31"/>
      <c r="G36658" s="272" t="s">
        <v>1099</v>
      </c>
    </row>
    <row r="36659">
      <c r="B36659" s="31"/>
      <c r="G36659" s="272" t="s">
        <v>1099</v>
      </c>
    </row>
    <row r="36660">
      <c r="B36660" s="31"/>
      <c r="G36660" s="272" t="s">
        <v>1099</v>
      </c>
    </row>
    <row r="36661">
      <c r="B36661" s="31"/>
      <c r="G36661" s="272" t="s">
        <v>1099</v>
      </c>
    </row>
    <row r="36662">
      <c r="B36662" s="31"/>
      <c r="G36662" s="272" t="s">
        <v>1099</v>
      </c>
    </row>
    <row r="36663">
      <c r="B36663" s="31"/>
      <c r="G36663" s="272" t="s">
        <v>1099</v>
      </c>
    </row>
    <row r="36664">
      <c r="B36664" s="31"/>
      <c r="G36664" s="272" t="s">
        <v>1099</v>
      </c>
    </row>
    <row r="36665">
      <c r="B36665" s="31"/>
      <c r="G36665" s="272" t="s">
        <v>1099</v>
      </c>
    </row>
    <row r="36666">
      <c r="B36666" s="31"/>
      <c r="G36666" s="272" t="s">
        <v>1099</v>
      </c>
    </row>
    <row r="36667">
      <c r="B36667" s="31"/>
      <c r="G36667" s="272" t="s">
        <v>1099</v>
      </c>
    </row>
    <row r="36668">
      <c r="B36668" s="31"/>
      <c r="G36668" s="272" t="s">
        <v>1099</v>
      </c>
    </row>
    <row r="36669">
      <c r="B36669" s="31"/>
      <c r="G36669" s="272" t="s">
        <v>1099</v>
      </c>
    </row>
    <row r="36670">
      <c r="B36670" s="31"/>
      <c r="G36670" s="272" t="s">
        <v>1099</v>
      </c>
    </row>
    <row r="36671">
      <c r="B36671" s="31"/>
      <c r="G36671" s="272" t="s">
        <v>1099</v>
      </c>
    </row>
    <row r="36672">
      <c r="B36672" s="31"/>
      <c r="G36672" s="272" t="s">
        <v>1099</v>
      </c>
    </row>
    <row r="36673">
      <c r="B36673" s="31"/>
      <c r="G36673" s="272" t="s">
        <v>1099</v>
      </c>
    </row>
    <row r="36674">
      <c r="B36674" s="31"/>
      <c r="G36674" s="272" t="s">
        <v>1099</v>
      </c>
    </row>
    <row r="36675">
      <c r="B36675" s="31"/>
      <c r="G36675" s="272" t="s">
        <v>1099</v>
      </c>
    </row>
    <row r="36676">
      <c r="B36676" s="31"/>
      <c r="G36676" s="272" t="s">
        <v>1099</v>
      </c>
    </row>
    <row r="36677">
      <c r="B36677" s="31"/>
      <c r="G36677" s="272" t="s">
        <v>1099</v>
      </c>
    </row>
    <row r="36678">
      <c r="B36678" s="31"/>
      <c r="G36678" s="272" t="s">
        <v>1099</v>
      </c>
    </row>
    <row r="36679">
      <c r="B36679" s="31"/>
      <c r="G36679" s="272" t="s">
        <v>1099</v>
      </c>
    </row>
    <row r="36680">
      <c r="B36680" s="31"/>
      <c r="G36680" s="272" t="s">
        <v>1099</v>
      </c>
    </row>
    <row r="36681">
      <c r="B36681" s="31"/>
      <c r="G36681" s="272" t="s">
        <v>1099</v>
      </c>
    </row>
    <row r="36682">
      <c r="B36682" s="31"/>
      <c r="G36682" s="272" t="s">
        <v>1099</v>
      </c>
    </row>
    <row r="36683">
      <c r="B36683" s="31"/>
      <c r="G36683" s="272" t="s">
        <v>1099</v>
      </c>
    </row>
    <row r="36684">
      <c r="B36684" s="31"/>
      <c r="G36684" s="272" t="s">
        <v>1099</v>
      </c>
    </row>
    <row r="36685">
      <c r="B36685" s="31"/>
      <c r="G36685" s="272" t="s">
        <v>1099</v>
      </c>
    </row>
    <row r="36686">
      <c r="B36686" s="31"/>
      <c r="G36686" s="272" t="s">
        <v>1099</v>
      </c>
    </row>
    <row r="36687">
      <c r="B36687" s="31"/>
      <c r="G36687" s="272" t="s">
        <v>1099</v>
      </c>
    </row>
    <row r="36688">
      <c r="B36688" s="31"/>
      <c r="G36688" s="272" t="s">
        <v>1099</v>
      </c>
    </row>
    <row r="36689">
      <c r="B36689" s="31"/>
      <c r="G36689" s="272" t="s">
        <v>1099</v>
      </c>
    </row>
    <row r="36690">
      <c r="B36690" s="31"/>
      <c r="G36690" s="272" t="s">
        <v>1099</v>
      </c>
    </row>
    <row r="36691">
      <c r="B36691" s="31"/>
      <c r="G36691" s="272" t="s">
        <v>1099</v>
      </c>
    </row>
    <row r="36692">
      <c r="B36692" s="31"/>
      <c r="G36692" s="272" t="s">
        <v>1099</v>
      </c>
    </row>
    <row r="36693">
      <c r="B36693" s="31"/>
      <c r="G36693" s="272" t="s">
        <v>1099</v>
      </c>
    </row>
    <row r="36694">
      <c r="B36694" s="31"/>
      <c r="G36694" s="272" t="s">
        <v>1099</v>
      </c>
    </row>
    <row r="36695">
      <c r="B36695" s="31"/>
      <c r="G36695" s="272" t="s">
        <v>1099</v>
      </c>
    </row>
    <row r="36696">
      <c r="B36696" s="31"/>
      <c r="G36696" s="272" t="s">
        <v>1099</v>
      </c>
    </row>
    <row r="36697">
      <c r="B36697" s="31"/>
      <c r="G36697" s="272" t="s">
        <v>1099</v>
      </c>
    </row>
    <row r="36698">
      <c r="B36698" s="31"/>
      <c r="G36698" s="272" t="s">
        <v>1099</v>
      </c>
    </row>
    <row r="36699">
      <c r="B36699" s="31"/>
      <c r="G36699" s="272" t="s">
        <v>1099</v>
      </c>
    </row>
    <row r="36700">
      <c r="B36700" s="31"/>
      <c r="G36700" s="272" t="s">
        <v>1099</v>
      </c>
    </row>
    <row r="36701">
      <c r="B36701" s="31"/>
      <c r="G36701" s="272" t="s">
        <v>1099</v>
      </c>
    </row>
    <row r="36702">
      <c r="B36702" s="31"/>
      <c r="G36702" s="272" t="s">
        <v>1099</v>
      </c>
    </row>
    <row r="36703">
      <c r="B36703" s="31"/>
      <c r="G36703" s="272" t="s">
        <v>1099</v>
      </c>
    </row>
    <row r="36704">
      <c r="B36704" s="31"/>
      <c r="G36704" s="272" t="s">
        <v>1099</v>
      </c>
    </row>
    <row r="36705">
      <c r="B36705" s="31"/>
      <c r="G36705" s="272" t="s">
        <v>1099</v>
      </c>
    </row>
    <row r="36706">
      <c r="B36706" s="31"/>
      <c r="G36706" s="272" t="s">
        <v>1099</v>
      </c>
    </row>
    <row r="36707">
      <c r="B36707" s="31"/>
      <c r="G36707" s="272" t="s">
        <v>1099</v>
      </c>
    </row>
    <row r="36708">
      <c r="B36708" s="31"/>
      <c r="G36708" s="272" t="s">
        <v>1099</v>
      </c>
    </row>
    <row r="36709">
      <c r="B36709" s="31"/>
      <c r="G36709" s="272" t="s">
        <v>1099</v>
      </c>
    </row>
    <row r="36710">
      <c r="B36710" s="31"/>
      <c r="G36710" s="272" t="s">
        <v>1099</v>
      </c>
    </row>
    <row r="36711">
      <c r="B36711" s="31"/>
      <c r="G36711" s="272" t="s">
        <v>1099</v>
      </c>
    </row>
    <row r="36712">
      <c r="B36712" s="31"/>
      <c r="G36712" s="272" t="s">
        <v>1099</v>
      </c>
    </row>
    <row r="36713">
      <c r="B36713" s="31"/>
      <c r="G36713" s="272" t="s">
        <v>1099</v>
      </c>
    </row>
    <row r="36714">
      <c r="B36714" s="31"/>
      <c r="G36714" s="272" t="s">
        <v>1099</v>
      </c>
    </row>
    <row r="36715">
      <c r="B36715" s="31"/>
      <c r="G36715" s="272" t="s">
        <v>1099</v>
      </c>
    </row>
    <row r="36716">
      <c r="B36716" s="31"/>
      <c r="G36716" s="272" t="s">
        <v>1099</v>
      </c>
    </row>
    <row r="36717">
      <c r="B36717" s="31"/>
      <c r="G36717" s="272" t="s">
        <v>1099</v>
      </c>
    </row>
    <row r="36718">
      <c r="B36718" s="31"/>
      <c r="G36718" s="272" t="s">
        <v>1099</v>
      </c>
    </row>
    <row r="36719">
      <c r="B36719" s="31"/>
      <c r="G36719" s="272" t="s">
        <v>1099</v>
      </c>
    </row>
    <row r="36720">
      <c r="B36720" s="31"/>
      <c r="G36720" s="272" t="s">
        <v>1099</v>
      </c>
    </row>
    <row r="36721">
      <c r="B36721" s="31"/>
      <c r="G36721" s="272" t="s">
        <v>1099</v>
      </c>
    </row>
    <row r="36722">
      <c r="B36722" s="31"/>
      <c r="G36722" s="272" t="s">
        <v>1099</v>
      </c>
    </row>
    <row r="36723">
      <c r="B36723" s="31"/>
      <c r="G36723" s="272" t="s">
        <v>1099</v>
      </c>
    </row>
    <row r="36724">
      <c r="B36724" s="31"/>
      <c r="G36724" s="272" t="s">
        <v>1099</v>
      </c>
    </row>
    <row r="36725">
      <c r="B36725" s="31"/>
      <c r="G36725" s="272" t="s">
        <v>1099</v>
      </c>
    </row>
    <row r="36726">
      <c r="B36726" s="31"/>
      <c r="G36726" s="272" t="s">
        <v>1099</v>
      </c>
    </row>
    <row r="36727">
      <c r="B36727" s="31"/>
      <c r="G36727" s="272" t="s">
        <v>1099</v>
      </c>
    </row>
    <row r="36728">
      <c r="B36728" s="31"/>
      <c r="G36728" s="272" t="s">
        <v>1099</v>
      </c>
    </row>
    <row r="36729">
      <c r="B36729" s="31"/>
      <c r="G36729" s="272" t="s">
        <v>1099</v>
      </c>
    </row>
    <row r="36730">
      <c r="B36730" s="31"/>
      <c r="G36730" s="272" t="s">
        <v>1099</v>
      </c>
    </row>
    <row r="36731">
      <c r="B36731" s="31"/>
      <c r="G36731" s="272" t="s">
        <v>1099</v>
      </c>
    </row>
    <row r="36732">
      <c r="B36732" s="31"/>
      <c r="G36732" s="272" t="s">
        <v>1099</v>
      </c>
    </row>
    <row r="36733">
      <c r="B36733" s="31"/>
      <c r="G36733" s="272" t="s">
        <v>1099</v>
      </c>
    </row>
    <row r="36734">
      <c r="B36734" s="31"/>
      <c r="G36734" s="272" t="s">
        <v>1099</v>
      </c>
    </row>
    <row r="36735">
      <c r="B36735" s="31"/>
      <c r="G36735" s="272" t="s">
        <v>1099</v>
      </c>
    </row>
    <row r="36736">
      <c r="B36736" s="31"/>
      <c r="G36736" s="272" t="s">
        <v>1099</v>
      </c>
    </row>
    <row r="36737">
      <c r="B36737" s="31"/>
      <c r="G36737" s="272" t="s">
        <v>1099</v>
      </c>
    </row>
    <row r="36738">
      <c r="B36738" s="31"/>
      <c r="G36738" s="272" t="s">
        <v>1099</v>
      </c>
    </row>
    <row r="36739">
      <c r="B36739" s="31"/>
      <c r="G36739" s="272" t="s">
        <v>1099</v>
      </c>
    </row>
    <row r="36740">
      <c r="B36740" s="31"/>
      <c r="G36740" s="272" t="s">
        <v>1099</v>
      </c>
    </row>
    <row r="36741">
      <c r="B36741" s="31"/>
      <c r="G36741" s="272" t="s">
        <v>1099</v>
      </c>
    </row>
    <row r="36742">
      <c r="B36742" s="31"/>
      <c r="G36742" s="272" t="s">
        <v>1099</v>
      </c>
    </row>
    <row r="36743">
      <c r="B36743" s="31"/>
      <c r="G36743" s="272" t="s">
        <v>1099</v>
      </c>
    </row>
    <row r="36744">
      <c r="B36744" s="31"/>
      <c r="G36744" s="272" t="s">
        <v>1099</v>
      </c>
    </row>
    <row r="36745">
      <c r="B36745" s="31"/>
      <c r="G36745" s="272" t="s">
        <v>1099</v>
      </c>
    </row>
    <row r="36746">
      <c r="B36746" s="31"/>
      <c r="G36746" s="272" t="s">
        <v>1099</v>
      </c>
    </row>
    <row r="36747">
      <c r="B36747" s="31"/>
      <c r="G36747" s="272" t="s">
        <v>1099</v>
      </c>
    </row>
    <row r="36748">
      <c r="B36748" s="31"/>
      <c r="G36748" s="272" t="s">
        <v>1099</v>
      </c>
    </row>
    <row r="36749">
      <c r="B36749" s="31"/>
      <c r="G36749" s="272" t="s">
        <v>1099</v>
      </c>
    </row>
    <row r="36750">
      <c r="B36750" s="31"/>
      <c r="G36750" s="272" t="s">
        <v>1099</v>
      </c>
    </row>
    <row r="36751">
      <c r="B36751" s="31"/>
      <c r="G36751" s="272" t="s">
        <v>1099</v>
      </c>
    </row>
    <row r="36752">
      <c r="B36752" s="31"/>
      <c r="G36752" s="272" t="s">
        <v>1099</v>
      </c>
    </row>
    <row r="36753">
      <c r="B36753" s="31"/>
      <c r="G36753" s="272" t="s">
        <v>1099</v>
      </c>
    </row>
    <row r="36754">
      <c r="B36754" s="31"/>
      <c r="G36754" s="272" t="s">
        <v>1099</v>
      </c>
    </row>
    <row r="36755">
      <c r="B36755" s="31"/>
      <c r="G36755" s="272" t="s">
        <v>1099</v>
      </c>
    </row>
    <row r="36756">
      <c r="B36756" s="31"/>
      <c r="G36756" s="272" t="s">
        <v>1099</v>
      </c>
    </row>
    <row r="36757">
      <c r="B36757" s="31"/>
      <c r="G36757" s="272" t="s">
        <v>1099</v>
      </c>
    </row>
    <row r="36758">
      <c r="B36758" s="31"/>
      <c r="G36758" s="272" t="s">
        <v>1099</v>
      </c>
    </row>
    <row r="36759">
      <c r="B36759" s="31"/>
      <c r="G36759" s="272" t="s">
        <v>1099</v>
      </c>
    </row>
    <row r="36760">
      <c r="B36760" s="31"/>
      <c r="G36760" s="272" t="s">
        <v>1099</v>
      </c>
    </row>
    <row r="36761">
      <c r="B36761" s="31"/>
      <c r="G36761" s="272" t="s">
        <v>1099</v>
      </c>
    </row>
    <row r="36762">
      <c r="B36762" s="31"/>
      <c r="G36762" s="272" t="s">
        <v>1099</v>
      </c>
    </row>
    <row r="36763">
      <c r="B36763" s="31"/>
      <c r="G36763" s="272" t="s">
        <v>1099</v>
      </c>
    </row>
    <row r="36764">
      <c r="B36764" s="31"/>
      <c r="G36764" s="272" t="s">
        <v>1099</v>
      </c>
    </row>
    <row r="36765">
      <c r="B36765" s="31"/>
      <c r="G36765" s="272" t="s">
        <v>1099</v>
      </c>
    </row>
    <row r="36766">
      <c r="B36766" s="31"/>
      <c r="G36766" s="272" t="s">
        <v>1099</v>
      </c>
    </row>
    <row r="36767">
      <c r="B36767" s="31"/>
      <c r="G36767" s="272" t="s">
        <v>1099</v>
      </c>
    </row>
    <row r="36768">
      <c r="B36768" s="31"/>
      <c r="G36768" s="272" t="s">
        <v>1099</v>
      </c>
    </row>
    <row r="36769">
      <c r="B36769" s="31"/>
      <c r="G36769" s="272" t="s">
        <v>1099</v>
      </c>
    </row>
    <row r="36770">
      <c r="B36770" s="31"/>
      <c r="G36770" s="272" t="s">
        <v>1099</v>
      </c>
    </row>
    <row r="36771">
      <c r="B36771" s="31"/>
      <c r="G36771" s="272" t="s">
        <v>1099</v>
      </c>
    </row>
    <row r="36772">
      <c r="B36772" s="31"/>
      <c r="G36772" s="272" t="s">
        <v>1099</v>
      </c>
    </row>
    <row r="36773">
      <c r="B36773" s="31"/>
      <c r="G36773" s="272" t="s">
        <v>1099</v>
      </c>
    </row>
    <row r="36774">
      <c r="B36774" s="31"/>
      <c r="G36774" s="272" t="s">
        <v>1099</v>
      </c>
    </row>
    <row r="36775">
      <c r="B36775" s="31"/>
      <c r="G36775" s="272" t="s">
        <v>1099</v>
      </c>
    </row>
    <row r="36776">
      <c r="B36776" s="31"/>
      <c r="G36776" s="272" t="s">
        <v>1099</v>
      </c>
    </row>
    <row r="36777">
      <c r="B36777" s="31"/>
      <c r="G36777" s="272" t="s">
        <v>1099</v>
      </c>
    </row>
    <row r="36778">
      <c r="B36778" s="31"/>
      <c r="G36778" s="272" t="s">
        <v>1099</v>
      </c>
    </row>
    <row r="36779">
      <c r="B36779" s="31"/>
      <c r="G36779" s="272" t="s">
        <v>1099</v>
      </c>
    </row>
    <row r="36780">
      <c r="B36780" s="31"/>
      <c r="G36780" s="272" t="s">
        <v>1099</v>
      </c>
    </row>
    <row r="36781">
      <c r="B36781" s="31"/>
      <c r="G36781" s="272" t="s">
        <v>1099</v>
      </c>
    </row>
    <row r="36782">
      <c r="B36782" s="31"/>
      <c r="G36782" s="272" t="s">
        <v>1099</v>
      </c>
    </row>
    <row r="36783">
      <c r="B36783" s="31"/>
      <c r="G36783" s="272" t="s">
        <v>1099</v>
      </c>
    </row>
    <row r="36784">
      <c r="B36784" s="31"/>
      <c r="G36784" s="272" t="s">
        <v>1099</v>
      </c>
    </row>
    <row r="36785">
      <c r="B36785" s="31"/>
      <c r="G36785" s="272" t="s">
        <v>1099</v>
      </c>
    </row>
    <row r="36786">
      <c r="B36786" s="31"/>
      <c r="G36786" s="272" t="s">
        <v>1099</v>
      </c>
    </row>
    <row r="36787">
      <c r="B36787" s="31"/>
      <c r="G36787" s="272" t="s">
        <v>1099</v>
      </c>
    </row>
    <row r="36788">
      <c r="B36788" s="31"/>
      <c r="G36788" s="272" t="s">
        <v>1099</v>
      </c>
    </row>
    <row r="36789">
      <c r="B36789" s="31"/>
      <c r="G36789" s="272" t="s">
        <v>1099</v>
      </c>
    </row>
    <row r="36790">
      <c r="B36790" s="31"/>
      <c r="G36790" s="272" t="s">
        <v>1099</v>
      </c>
    </row>
    <row r="36791">
      <c r="B36791" s="31"/>
      <c r="G36791" s="272" t="s">
        <v>1099</v>
      </c>
    </row>
    <row r="36792">
      <c r="B36792" s="31"/>
      <c r="G36792" s="272" t="s">
        <v>1099</v>
      </c>
    </row>
    <row r="36793">
      <c r="B36793" s="31"/>
      <c r="G36793" s="272" t="s">
        <v>1099</v>
      </c>
    </row>
    <row r="36794">
      <c r="B36794" s="31"/>
      <c r="G36794" s="272" t="s">
        <v>1099</v>
      </c>
    </row>
    <row r="36795">
      <c r="B36795" s="31"/>
      <c r="G36795" s="272" t="s">
        <v>1099</v>
      </c>
    </row>
    <row r="36796">
      <c r="B36796" s="31"/>
      <c r="G36796" s="272" t="s">
        <v>1099</v>
      </c>
    </row>
    <row r="36797">
      <c r="B36797" s="31"/>
      <c r="G36797" s="272" t="s">
        <v>1099</v>
      </c>
    </row>
    <row r="36798">
      <c r="B36798" s="31"/>
      <c r="G36798" s="272" t="s">
        <v>1099</v>
      </c>
    </row>
    <row r="36799">
      <c r="B36799" s="31"/>
      <c r="G36799" s="272" t="s">
        <v>1099</v>
      </c>
    </row>
    <row r="36800">
      <c r="B36800" s="31"/>
      <c r="G36800" s="272" t="s">
        <v>1099</v>
      </c>
    </row>
    <row r="36801">
      <c r="B36801" s="31"/>
      <c r="G36801" s="272" t="s">
        <v>1099</v>
      </c>
    </row>
    <row r="36802">
      <c r="B36802" s="31"/>
      <c r="G36802" s="272" t="s">
        <v>1099</v>
      </c>
    </row>
    <row r="36803">
      <c r="B36803" s="31"/>
      <c r="G36803" s="272" t="s">
        <v>1099</v>
      </c>
    </row>
    <row r="36804">
      <c r="B36804" s="31"/>
      <c r="G36804" s="272" t="s">
        <v>1099</v>
      </c>
    </row>
    <row r="36805">
      <c r="B36805" s="31"/>
      <c r="G36805" s="272" t="s">
        <v>1099</v>
      </c>
    </row>
    <row r="36806">
      <c r="B36806" s="31"/>
      <c r="G36806" s="272" t="s">
        <v>1099</v>
      </c>
    </row>
    <row r="36807">
      <c r="B36807" s="31"/>
      <c r="G36807" s="272" t="s">
        <v>1099</v>
      </c>
    </row>
    <row r="36808">
      <c r="B36808" s="31"/>
      <c r="G36808" s="272" t="s">
        <v>1099</v>
      </c>
    </row>
    <row r="36809">
      <c r="B36809" s="31"/>
      <c r="G36809" s="272" t="s">
        <v>1099</v>
      </c>
    </row>
    <row r="36810">
      <c r="B36810" s="31"/>
      <c r="G36810" s="272" t="s">
        <v>1099</v>
      </c>
    </row>
    <row r="36811">
      <c r="B36811" s="31"/>
      <c r="G36811" s="272" t="s">
        <v>1099</v>
      </c>
    </row>
    <row r="36812">
      <c r="B36812" s="31"/>
      <c r="G36812" s="272" t="s">
        <v>1099</v>
      </c>
    </row>
    <row r="36813">
      <c r="B36813" s="31"/>
      <c r="G36813" s="272" t="s">
        <v>1099</v>
      </c>
    </row>
    <row r="36814">
      <c r="B36814" s="31"/>
      <c r="G36814" s="272" t="s">
        <v>1099</v>
      </c>
    </row>
    <row r="36815">
      <c r="B36815" s="31"/>
      <c r="G36815" s="272" t="s">
        <v>1099</v>
      </c>
    </row>
    <row r="36816">
      <c r="B36816" s="31"/>
      <c r="G36816" s="272" t="s">
        <v>1099</v>
      </c>
    </row>
    <row r="36817">
      <c r="B36817" s="31"/>
      <c r="G36817" s="272" t="s">
        <v>1099</v>
      </c>
    </row>
    <row r="36818">
      <c r="B36818" s="31"/>
      <c r="G36818" s="272" t="s">
        <v>1099</v>
      </c>
    </row>
    <row r="36819">
      <c r="B36819" s="31"/>
      <c r="G36819" s="272" t="s">
        <v>1099</v>
      </c>
    </row>
    <row r="36820">
      <c r="B36820" s="31"/>
      <c r="G36820" s="272" t="s">
        <v>1099</v>
      </c>
    </row>
    <row r="36821">
      <c r="B36821" s="31"/>
      <c r="G36821" s="272" t="s">
        <v>1099</v>
      </c>
    </row>
    <row r="36822">
      <c r="B36822" s="31"/>
      <c r="G36822" s="272" t="s">
        <v>1099</v>
      </c>
    </row>
    <row r="36823">
      <c r="B36823" s="31"/>
      <c r="G36823" s="272" t="s">
        <v>1099</v>
      </c>
    </row>
    <row r="36824">
      <c r="B36824" s="31"/>
      <c r="G36824" s="272" t="s">
        <v>1099</v>
      </c>
    </row>
    <row r="36825">
      <c r="B36825" s="31"/>
      <c r="G36825" s="272" t="s">
        <v>1099</v>
      </c>
    </row>
    <row r="36826">
      <c r="B36826" s="31"/>
      <c r="G36826" s="272" t="s">
        <v>1099</v>
      </c>
    </row>
    <row r="36827">
      <c r="B36827" s="31"/>
      <c r="G36827" s="272" t="s">
        <v>1099</v>
      </c>
    </row>
    <row r="36828">
      <c r="B36828" s="31"/>
      <c r="G36828" s="272" t="s">
        <v>1099</v>
      </c>
    </row>
    <row r="36829">
      <c r="B36829" s="31"/>
      <c r="G36829" s="272" t="s">
        <v>1099</v>
      </c>
    </row>
    <row r="36830">
      <c r="B36830" s="31"/>
      <c r="G36830" s="272" t="s">
        <v>1099</v>
      </c>
    </row>
    <row r="36831">
      <c r="B36831" s="31"/>
      <c r="G36831" s="272" t="s">
        <v>1099</v>
      </c>
    </row>
    <row r="36832">
      <c r="B36832" s="31"/>
      <c r="G36832" s="272" t="s">
        <v>1099</v>
      </c>
    </row>
    <row r="36833">
      <c r="B36833" s="31"/>
      <c r="G36833" s="272" t="s">
        <v>1099</v>
      </c>
    </row>
    <row r="36834">
      <c r="B36834" s="31"/>
      <c r="G36834" s="272" t="s">
        <v>1099</v>
      </c>
    </row>
    <row r="36835">
      <c r="B36835" s="31"/>
      <c r="G36835" s="272" t="s">
        <v>1099</v>
      </c>
    </row>
    <row r="36836">
      <c r="B36836" s="31"/>
      <c r="G36836" s="272" t="s">
        <v>1099</v>
      </c>
    </row>
    <row r="36837">
      <c r="B36837" s="31"/>
      <c r="G36837" s="272" t="s">
        <v>1099</v>
      </c>
    </row>
    <row r="36838">
      <c r="B36838" s="31"/>
      <c r="G36838" s="272" t="s">
        <v>1099</v>
      </c>
    </row>
    <row r="36839">
      <c r="B36839" s="31"/>
      <c r="G36839" s="272" t="s">
        <v>1099</v>
      </c>
    </row>
    <row r="36840">
      <c r="B36840" s="31"/>
      <c r="G36840" s="272" t="s">
        <v>1099</v>
      </c>
    </row>
    <row r="36841">
      <c r="B36841" s="31"/>
      <c r="G36841" s="272" t="s">
        <v>1099</v>
      </c>
    </row>
    <row r="36842">
      <c r="B36842" s="31"/>
      <c r="G36842" s="272" t="s">
        <v>1099</v>
      </c>
    </row>
    <row r="36843">
      <c r="B36843" s="31"/>
      <c r="G36843" s="272" t="s">
        <v>1099</v>
      </c>
    </row>
    <row r="36844">
      <c r="B36844" s="31"/>
      <c r="G36844" s="272" t="s">
        <v>1099</v>
      </c>
    </row>
    <row r="36845">
      <c r="B36845" s="31"/>
      <c r="G36845" s="272" t="s">
        <v>1099</v>
      </c>
    </row>
    <row r="36846">
      <c r="B36846" s="31"/>
      <c r="G36846" s="272" t="s">
        <v>1099</v>
      </c>
    </row>
    <row r="36847">
      <c r="B36847" s="31"/>
      <c r="G36847" s="272" t="s">
        <v>1099</v>
      </c>
    </row>
    <row r="36848">
      <c r="B36848" s="31"/>
      <c r="G36848" s="272" t="s">
        <v>1099</v>
      </c>
    </row>
    <row r="36849">
      <c r="B36849" s="31"/>
      <c r="G36849" s="272" t="s">
        <v>1099</v>
      </c>
    </row>
    <row r="36850">
      <c r="B36850" s="31"/>
      <c r="G36850" s="272" t="s">
        <v>1099</v>
      </c>
    </row>
    <row r="36851">
      <c r="B36851" s="31"/>
      <c r="G36851" s="272" t="s">
        <v>1099</v>
      </c>
    </row>
    <row r="36852">
      <c r="B36852" s="31"/>
      <c r="G36852" s="272" t="s">
        <v>1099</v>
      </c>
    </row>
    <row r="36853">
      <c r="B36853" s="31"/>
      <c r="G36853" s="272" t="s">
        <v>1099</v>
      </c>
    </row>
    <row r="36854">
      <c r="B36854" s="31"/>
      <c r="G36854" s="272" t="s">
        <v>1099</v>
      </c>
    </row>
    <row r="36855">
      <c r="B36855" s="31"/>
      <c r="G36855" s="272" t="s">
        <v>1099</v>
      </c>
    </row>
    <row r="36856">
      <c r="B36856" s="31"/>
      <c r="G36856" s="272" t="s">
        <v>1099</v>
      </c>
    </row>
    <row r="36857">
      <c r="B36857" s="31"/>
      <c r="G36857" s="272" t="s">
        <v>1099</v>
      </c>
    </row>
    <row r="36858">
      <c r="B36858" s="31"/>
      <c r="G36858" s="272" t="s">
        <v>1099</v>
      </c>
    </row>
    <row r="36859">
      <c r="B36859" s="31"/>
      <c r="G36859" s="272" t="s">
        <v>1099</v>
      </c>
    </row>
    <row r="36860">
      <c r="B36860" s="31"/>
      <c r="G36860" s="272" t="s">
        <v>1099</v>
      </c>
    </row>
    <row r="36861">
      <c r="B36861" s="31"/>
      <c r="G36861" s="272" t="s">
        <v>1099</v>
      </c>
    </row>
    <row r="36862">
      <c r="B36862" s="31"/>
      <c r="G36862" s="272" t="s">
        <v>1099</v>
      </c>
    </row>
    <row r="36863">
      <c r="B36863" s="31"/>
      <c r="G36863" s="272" t="s">
        <v>1099</v>
      </c>
    </row>
    <row r="36864">
      <c r="B36864" s="31"/>
      <c r="G36864" s="272" t="s">
        <v>1099</v>
      </c>
    </row>
    <row r="36865">
      <c r="B36865" s="31"/>
      <c r="G36865" s="272" t="s">
        <v>1099</v>
      </c>
    </row>
    <row r="36866">
      <c r="B36866" s="31"/>
      <c r="G36866" s="272" t="s">
        <v>1099</v>
      </c>
    </row>
    <row r="36867">
      <c r="B36867" s="31"/>
      <c r="G36867" s="272" t="s">
        <v>1099</v>
      </c>
    </row>
    <row r="36868">
      <c r="B36868" s="31"/>
      <c r="G36868" s="272" t="s">
        <v>1099</v>
      </c>
    </row>
    <row r="36869">
      <c r="B36869" s="31"/>
      <c r="G36869" s="272" t="s">
        <v>1099</v>
      </c>
    </row>
    <row r="36870">
      <c r="B36870" s="31"/>
      <c r="G36870" s="272" t="s">
        <v>1099</v>
      </c>
    </row>
    <row r="36871">
      <c r="B36871" s="31"/>
      <c r="G36871" s="272" t="s">
        <v>1099</v>
      </c>
    </row>
    <row r="36872">
      <c r="B36872" s="31"/>
      <c r="G36872" s="272" t="s">
        <v>1099</v>
      </c>
    </row>
    <row r="36873">
      <c r="B36873" s="31"/>
      <c r="G36873" s="272" t="s">
        <v>1099</v>
      </c>
    </row>
    <row r="36874">
      <c r="B36874" s="31"/>
      <c r="G36874" s="272" t="s">
        <v>1099</v>
      </c>
    </row>
    <row r="36875">
      <c r="B36875" s="31"/>
      <c r="G36875" s="272" t="s">
        <v>1099</v>
      </c>
    </row>
    <row r="36876">
      <c r="B36876" s="31"/>
      <c r="G36876" s="272" t="s">
        <v>1099</v>
      </c>
    </row>
    <row r="36877">
      <c r="B36877" s="31"/>
      <c r="G36877" s="272" t="s">
        <v>1099</v>
      </c>
    </row>
    <row r="36878">
      <c r="B36878" s="31"/>
      <c r="G36878" s="272" t="s">
        <v>1099</v>
      </c>
    </row>
    <row r="36879">
      <c r="B36879" s="31"/>
      <c r="G36879" s="272" t="s">
        <v>1099</v>
      </c>
    </row>
    <row r="36880">
      <c r="B36880" s="31"/>
      <c r="G36880" s="272" t="s">
        <v>1099</v>
      </c>
    </row>
    <row r="36881">
      <c r="B36881" s="31"/>
      <c r="G36881" s="272" t="s">
        <v>1099</v>
      </c>
    </row>
    <row r="36882">
      <c r="B36882" s="31"/>
      <c r="G36882" s="272" t="s">
        <v>1099</v>
      </c>
    </row>
    <row r="36883">
      <c r="B36883" s="31"/>
      <c r="G36883" s="272" t="s">
        <v>1099</v>
      </c>
    </row>
    <row r="36884">
      <c r="B36884" s="31"/>
      <c r="G36884" s="272" t="s">
        <v>1099</v>
      </c>
    </row>
    <row r="36885">
      <c r="B36885" s="31"/>
      <c r="G36885" s="272" t="s">
        <v>1099</v>
      </c>
    </row>
    <row r="36886">
      <c r="B36886" s="31"/>
      <c r="G36886" s="272" t="s">
        <v>1099</v>
      </c>
    </row>
    <row r="36887">
      <c r="B36887" s="31"/>
      <c r="G36887" s="272" t="s">
        <v>1099</v>
      </c>
    </row>
    <row r="36888">
      <c r="B36888" s="31"/>
      <c r="G36888" s="272" t="s">
        <v>1099</v>
      </c>
    </row>
    <row r="36889">
      <c r="B36889" s="31"/>
      <c r="G36889" s="272" t="s">
        <v>1099</v>
      </c>
    </row>
    <row r="36890">
      <c r="B36890" s="31"/>
      <c r="G36890" s="272" t="s">
        <v>1099</v>
      </c>
    </row>
    <row r="36891">
      <c r="B36891" s="31"/>
      <c r="G36891" s="272" t="s">
        <v>1099</v>
      </c>
    </row>
    <row r="36892">
      <c r="B36892" s="31"/>
      <c r="G36892" s="272" t="s">
        <v>1099</v>
      </c>
    </row>
    <row r="36893">
      <c r="B36893" s="31"/>
      <c r="G36893" s="272" t="s">
        <v>1099</v>
      </c>
    </row>
    <row r="36894">
      <c r="B36894" s="31"/>
      <c r="G36894" s="272" t="s">
        <v>1099</v>
      </c>
    </row>
    <row r="36895">
      <c r="B36895" s="31"/>
      <c r="G36895" s="272" t="s">
        <v>1099</v>
      </c>
    </row>
    <row r="36896">
      <c r="B36896" s="31"/>
      <c r="G36896" s="272" t="s">
        <v>1099</v>
      </c>
    </row>
    <row r="36897">
      <c r="B36897" s="31"/>
      <c r="G36897" s="272" t="s">
        <v>1099</v>
      </c>
    </row>
    <row r="36898">
      <c r="B36898" s="31"/>
      <c r="G36898" s="272" t="s">
        <v>1099</v>
      </c>
    </row>
    <row r="36899">
      <c r="B36899" s="31"/>
      <c r="G36899" s="272" t="s">
        <v>1099</v>
      </c>
    </row>
    <row r="36900">
      <c r="B36900" s="31"/>
      <c r="G36900" s="272" t="s">
        <v>1099</v>
      </c>
    </row>
    <row r="36901">
      <c r="B36901" s="31"/>
      <c r="G36901" s="272" t="s">
        <v>1099</v>
      </c>
    </row>
    <row r="36902">
      <c r="B36902" s="31"/>
      <c r="G36902" s="272" t="s">
        <v>1099</v>
      </c>
    </row>
    <row r="36903">
      <c r="B36903" s="31"/>
      <c r="G36903" s="272" t="s">
        <v>1099</v>
      </c>
    </row>
    <row r="36904">
      <c r="B36904" s="31"/>
      <c r="G36904" s="272" t="s">
        <v>1099</v>
      </c>
    </row>
    <row r="36905">
      <c r="B36905" s="31"/>
      <c r="G36905" s="272" t="s">
        <v>1099</v>
      </c>
    </row>
    <row r="36906">
      <c r="B36906" s="31"/>
      <c r="G36906" s="272" t="s">
        <v>1099</v>
      </c>
    </row>
    <row r="36907">
      <c r="B36907" s="31"/>
      <c r="G36907" s="272" t="s">
        <v>1099</v>
      </c>
    </row>
    <row r="36908">
      <c r="B36908" s="31"/>
      <c r="G36908" s="272" t="s">
        <v>1099</v>
      </c>
    </row>
    <row r="36909">
      <c r="B36909" s="31"/>
      <c r="G36909" s="272" t="s">
        <v>1099</v>
      </c>
    </row>
    <row r="36910">
      <c r="B36910" s="31"/>
      <c r="G36910" s="272" t="s">
        <v>1099</v>
      </c>
    </row>
    <row r="36911">
      <c r="B36911" s="31"/>
      <c r="G36911" s="272" t="s">
        <v>1099</v>
      </c>
    </row>
    <row r="36912">
      <c r="B36912" s="31"/>
      <c r="G36912" s="272" t="s">
        <v>1099</v>
      </c>
    </row>
    <row r="36913">
      <c r="B36913" s="31"/>
      <c r="G36913" s="272" t="s">
        <v>1099</v>
      </c>
    </row>
    <row r="36914">
      <c r="B36914" s="31"/>
      <c r="G36914" s="272" t="s">
        <v>1099</v>
      </c>
    </row>
    <row r="36915">
      <c r="B36915" s="31"/>
      <c r="G36915" s="272" t="s">
        <v>1099</v>
      </c>
    </row>
    <row r="36916">
      <c r="B36916" s="31"/>
      <c r="G36916" s="272" t="s">
        <v>1099</v>
      </c>
    </row>
    <row r="36917">
      <c r="B36917" s="31"/>
      <c r="G36917" s="272" t="s">
        <v>1099</v>
      </c>
    </row>
    <row r="36918">
      <c r="B36918" s="31"/>
      <c r="G36918" s="272" t="s">
        <v>1099</v>
      </c>
    </row>
    <row r="36919">
      <c r="B36919" s="31"/>
      <c r="G36919" s="272" t="s">
        <v>1099</v>
      </c>
    </row>
    <row r="36920">
      <c r="B36920" s="31"/>
      <c r="G36920" s="272" t="s">
        <v>1099</v>
      </c>
    </row>
    <row r="36921">
      <c r="B36921" s="31"/>
      <c r="G36921" s="272" t="s">
        <v>1099</v>
      </c>
    </row>
    <row r="36922">
      <c r="B36922" s="31"/>
      <c r="G36922" s="272" t="s">
        <v>1099</v>
      </c>
    </row>
    <row r="36923">
      <c r="B36923" s="31"/>
      <c r="G36923" s="272" t="s">
        <v>1099</v>
      </c>
    </row>
    <row r="36924">
      <c r="B36924" s="31"/>
      <c r="G36924" s="272" t="s">
        <v>1099</v>
      </c>
    </row>
    <row r="36925">
      <c r="B36925" s="31"/>
      <c r="G36925" s="272" t="s">
        <v>1099</v>
      </c>
    </row>
    <row r="36926">
      <c r="B36926" s="31"/>
      <c r="G36926" s="272" t="s">
        <v>1099</v>
      </c>
    </row>
    <row r="36927">
      <c r="B36927" s="31"/>
      <c r="G36927" s="272" t="s">
        <v>1099</v>
      </c>
    </row>
    <row r="36928">
      <c r="B36928" s="31"/>
      <c r="G36928" s="272" t="s">
        <v>1099</v>
      </c>
    </row>
    <row r="36929">
      <c r="B36929" s="31"/>
      <c r="G36929" s="272" t="s">
        <v>1099</v>
      </c>
    </row>
    <row r="36930">
      <c r="B36930" s="31"/>
      <c r="G36930" s="272" t="s">
        <v>1099</v>
      </c>
    </row>
    <row r="36931">
      <c r="B36931" s="31"/>
      <c r="G36931" s="272" t="s">
        <v>1099</v>
      </c>
    </row>
    <row r="36932">
      <c r="B36932" s="31"/>
      <c r="G36932" s="272" t="s">
        <v>1099</v>
      </c>
    </row>
    <row r="36933">
      <c r="B36933" s="31"/>
      <c r="G36933" s="272" t="s">
        <v>1099</v>
      </c>
    </row>
    <row r="36934">
      <c r="B36934" s="31"/>
      <c r="G36934" s="272" t="s">
        <v>1099</v>
      </c>
    </row>
    <row r="36935">
      <c r="B36935" s="31"/>
      <c r="G36935" s="272" t="s">
        <v>1099</v>
      </c>
    </row>
    <row r="36936">
      <c r="B36936" s="31"/>
      <c r="G36936" s="272" t="s">
        <v>1099</v>
      </c>
    </row>
    <row r="36937">
      <c r="B36937" s="31"/>
      <c r="G36937" s="272" t="s">
        <v>1099</v>
      </c>
    </row>
    <row r="36938">
      <c r="B36938" s="31"/>
      <c r="G36938" s="272" t="s">
        <v>1099</v>
      </c>
    </row>
    <row r="36939">
      <c r="B36939" s="31"/>
      <c r="G36939" s="272" t="s">
        <v>1099</v>
      </c>
    </row>
    <row r="36940">
      <c r="B36940" s="31"/>
      <c r="G36940" s="272" t="s">
        <v>1099</v>
      </c>
    </row>
    <row r="36941">
      <c r="B36941" s="31"/>
      <c r="G36941" s="272" t="s">
        <v>1099</v>
      </c>
    </row>
    <row r="36942">
      <c r="B36942" s="31"/>
      <c r="G36942" s="272" t="s">
        <v>1099</v>
      </c>
    </row>
    <row r="36943">
      <c r="B36943" s="31"/>
      <c r="G36943" s="272" t="s">
        <v>1099</v>
      </c>
    </row>
    <row r="36944">
      <c r="B36944" s="31"/>
      <c r="G36944" s="272" t="s">
        <v>1099</v>
      </c>
    </row>
    <row r="36945">
      <c r="B36945" s="31"/>
      <c r="G36945" s="272" t="s">
        <v>1099</v>
      </c>
    </row>
    <row r="36946">
      <c r="B36946" s="31"/>
      <c r="G36946" s="272" t="s">
        <v>1099</v>
      </c>
    </row>
    <row r="36947">
      <c r="B36947" s="31"/>
      <c r="G36947" s="272" t="s">
        <v>1099</v>
      </c>
    </row>
    <row r="36948">
      <c r="B36948" s="31"/>
      <c r="G36948" s="272" t="s">
        <v>1099</v>
      </c>
    </row>
    <row r="36949">
      <c r="B36949" s="31"/>
      <c r="G36949" s="272" t="s">
        <v>1099</v>
      </c>
    </row>
    <row r="36950">
      <c r="B36950" s="31"/>
      <c r="G36950" s="272" t="s">
        <v>1099</v>
      </c>
    </row>
    <row r="36951">
      <c r="B36951" s="31"/>
      <c r="G36951" s="272" t="s">
        <v>1099</v>
      </c>
    </row>
    <row r="36952">
      <c r="B36952" s="31"/>
      <c r="G36952" s="272" t="s">
        <v>1099</v>
      </c>
    </row>
    <row r="36953">
      <c r="B36953" s="31"/>
      <c r="G36953" s="272" t="s">
        <v>1099</v>
      </c>
    </row>
    <row r="36954">
      <c r="B36954" s="31"/>
      <c r="G36954" s="272" t="s">
        <v>1099</v>
      </c>
    </row>
    <row r="36955">
      <c r="B36955" s="31"/>
      <c r="G36955" s="272" t="s">
        <v>1099</v>
      </c>
    </row>
    <row r="36956">
      <c r="B36956" s="31"/>
      <c r="G36956" s="272" t="s">
        <v>1099</v>
      </c>
    </row>
    <row r="36957">
      <c r="B36957" s="31"/>
      <c r="G36957" s="272" t="s">
        <v>1099</v>
      </c>
    </row>
    <row r="36958">
      <c r="B36958" s="31"/>
      <c r="G36958" s="272" t="s">
        <v>1099</v>
      </c>
    </row>
    <row r="36959">
      <c r="B36959" s="31"/>
      <c r="G36959" s="272" t="s">
        <v>1099</v>
      </c>
    </row>
    <row r="36960">
      <c r="B36960" s="31"/>
      <c r="G36960" s="272" t="s">
        <v>1099</v>
      </c>
    </row>
    <row r="36961">
      <c r="B36961" s="31"/>
      <c r="G36961" s="272" t="s">
        <v>1099</v>
      </c>
    </row>
    <row r="36962">
      <c r="B36962" s="31"/>
      <c r="G36962" s="272" t="s">
        <v>1099</v>
      </c>
    </row>
    <row r="36963">
      <c r="B36963" s="31"/>
      <c r="G36963" s="272" t="s">
        <v>1099</v>
      </c>
    </row>
    <row r="36964">
      <c r="B36964" s="31"/>
      <c r="G36964" s="272" t="s">
        <v>1099</v>
      </c>
    </row>
    <row r="36965">
      <c r="B36965" s="31"/>
      <c r="G36965" s="272" t="s">
        <v>1099</v>
      </c>
    </row>
    <row r="36966">
      <c r="B36966" s="31"/>
      <c r="G36966" s="272" t="s">
        <v>1099</v>
      </c>
    </row>
    <row r="36967">
      <c r="B36967" s="31"/>
      <c r="G36967" s="272" t="s">
        <v>1099</v>
      </c>
    </row>
    <row r="36968">
      <c r="B36968" s="31"/>
      <c r="G36968" s="272" t="s">
        <v>1099</v>
      </c>
    </row>
    <row r="36969">
      <c r="B36969" s="31"/>
      <c r="G36969" s="272" t="s">
        <v>1099</v>
      </c>
    </row>
    <row r="36970">
      <c r="B36970" s="31"/>
      <c r="G36970" s="272" t="s">
        <v>1099</v>
      </c>
    </row>
    <row r="36971">
      <c r="B36971" s="31"/>
      <c r="G36971" s="272" t="s">
        <v>1099</v>
      </c>
    </row>
    <row r="36972">
      <c r="B36972" s="31"/>
      <c r="G36972" s="272" t="s">
        <v>1099</v>
      </c>
    </row>
    <row r="36973">
      <c r="B36973" s="31"/>
      <c r="G36973" s="272" t="s">
        <v>1099</v>
      </c>
    </row>
    <row r="36974">
      <c r="B36974" s="31"/>
      <c r="G36974" s="272" t="s">
        <v>1099</v>
      </c>
    </row>
    <row r="36975">
      <c r="B36975" s="31"/>
      <c r="G36975" s="272" t="s">
        <v>1099</v>
      </c>
    </row>
    <row r="36976">
      <c r="B36976" s="31"/>
      <c r="G36976" s="272" t="s">
        <v>1099</v>
      </c>
    </row>
    <row r="36977">
      <c r="B36977" s="31"/>
      <c r="G36977" s="272" t="s">
        <v>1099</v>
      </c>
    </row>
    <row r="36978">
      <c r="B36978" s="31"/>
      <c r="G36978" s="272" t="s">
        <v>1099</v>
      </c>
    </row>
    <row r="36979">
      <c r="B36979" s="31"/>
      <c r="G36979" s="272" t="s">
        <v>1099</v>
      </c>
    </row>
    <row r="36980">
      <c r="B36980" s="31"/>
      <c r="G36980" s="272" t="s">
        <v>1099</v>
      </c>
    </row>
    <row r="36981">
      <c r="B36981" s="31"/>
      <c r="G36981" s="272" t="s">
        <v>1099</v>
      </c>
    </row>
    <row r="36982">
      <c r="B36982" s="31"/>
      <c r="G36982" s="272" t="s">
        <v>1099</v>
      </c>
    </row>
    <row r="36983">
      <c r="B36983" s="31"/>
      <c r="G36983" s="272" t="s">
        <v>1099</v>
      </c>
    </row>
    <row r="36984">
      <c r="B36984" s="31"/>
      <c r="G36984" s="272" t="s">
        <v>1099</v>
      </c>
    </row>
    <row r="36985">
      <c r="B36985" s="31"/>
      <c r="G36985" s="272" t="s">
        <v>1099</v>
      </c>
    </row>
    <row r="36986">
      <c r="B36986" s="31"/>
      <c r="G36986" s="272" t="s">
        <v>1099</v>
      </c>
    </row>
    <row r="36987">
      <c r="B36987" s="31"/>
      <c r="G36987" s="272" t="s">
        <v>1099</v>
      </c>
    </row>
    <row r="36988">
      <c r="B36988" s="31"/>
      <c r="G36988" s="272" t="s">
        <v>1099</v>
      </c>
    </row>
    <row r="36989">
      <c r="B36989" s="31"/>
      <c r="G36989" s="272" t="s">
        <v>1099</v>
      </c>
    </row>
    <row r="36990">
      <c r="B36990" s="31"/>
      <c r="G36990" s="272" t="s">
        <v>1099</v>
      </c>
    </row>
    <row r="36991">
      <c r="B36991" s="31"/>
      <c r="G36991" s="272" t="s">
        <v>1099</v>
      </c>
    </row>
    <row r="36992">
      <c r="B36992" s="31"/>
      <c r="G36992" s="272" t="s">
        <v>1099</v>
      </c>
    </row>
    <row r="36993">
      <c r="B36993" s="31"/>
      <c r="G36993" s="272" t="s">
        <v>1099</v>
      </c>
    </row>
    <row r="36994">
      <c r="B36994" s="31"/>
      <c r="G36994" s="272" t="s">
        <v>1099</v>
      </c>
    </row>
    <row r="36995">
      <c r="B36995" s="31"/>
      <c r="G36995" s="272" t="s">
        <v>1099</v>
      </c>
    </row>
    <row r="36996">
      <c r="B36996" s="31"/>
      <c r="G36996" s="272" t="s">
        <v>1099</v>
      </c>
    </row>
    <row r="36997">
      <c r="B36997" s="31"/>
      <c r="G36997" s="272" t="s">
        <v>1099</v>
      </c>
    </row>
    <row r="36998">
      <c r="B36998" s="31"/>
      <c r="G36998" s="272" t="s">
        <v>1099</v>
      </c>
    </row>
    <row r="36999">
      <c r="B36999" s="31"/>
      <c r="G36999" s="272" t="s">
        <v>1099</v>
      </c>
    </row>
    <row r="37000">
      <c r="B37000" s="31"/>
      <c r="G37000" s="272" t="s">
        <v>1099</v>
      </c>
    </row>
    <row r="37001">
      <c r="B37001" s="31"/>
      <c r="G37001" s="272" t="s">
        <v>1099</v>
      </c>
    </row>
    <row r="37002">
      <c r="B37002" s="31"/>
      <c r="G37002" s="272" t="s">
        <v>1099</v>
      </c>
    </row>
    <row r="37003">
      <c r="B37003" s="31"/>
      <c r="G37003" s="272" t="s">
        <v>1099</v>
      </c>
    </row>
    <row r="37004">
      <c r="B37004" s="31"/>
      <c r="G37004" s="272" t="s">
        <v>1099</v>
      </c>
    </row>
    <row r="37005">
      <c r="B37005" s="31"/>
      <c r="G37005" s="272" t="s">
        <v>1099</v>
      </c>
    </row>
    <row r="37006">
      <c r="B37006" s="31"/>
      <c r="G37006" s="272" t="s">
        <v>1099</v>
      </c>
    </row>
    <row r="37007">
      <c r="B37007" s="31"/>
      <c r="G37007" s="272" t="s">
        <v>1099</v>
      </c>
    </row>
    <row r="37008">
      <c r="B37008" s="31"/>
      <c r="G37008" s="272" t="s">
        <v>1099</v>
      </c>
    </row>
    <row r="37009">
      <c r="B37009" s="31"/>
      <c r="G37009" s="272" t="s">
        <v>1099</v>
      </c>
    </row>
    <row r="37010">
      <c r="B37010" s="31"/>
      <c r="G37010" s="272" t="s">
        <v>1099</v>
      </c>
    </row>
    <row r="37011">
      <c r="B37011" s="31"/>
      <c r="G37011" s="272" t="s">
        <v>1099</v>
      </c>
    </row>
    <row r="37012">
      <c r="B37012" s="31"/>
      <c r="G37012" s="272" t="s">
        <v>1099</v>
      </c>
    </row>
    <row r="37013">
      <c r="B37013" s="31"/>
      <c r="G37013" s="272" t="s">
        <v>1099</v>
      </c>
    </row>
    <row r="37014">
      <c r="B37014" s="31"/>
      <c r="G37014" s="272" t="s">
        <v>1099</v>
      </c>
    </row>
    <row r="37015">
      <c r="B37015" s="31"/>
      <c r="G37015" s="272" t="s">
        <v>1099</v>
      </c>
    </row>
    <row r="37016">
      <c r="B37016" s="31"/>
      <c r="G37016" s="272" t="s">
        <v>1099</v>
      </c>
    </row>
    <row r="37017">
      <c r="B37017" s="31"/>
      <c r="G37017" s="272" t="s">
        <v>1099</v>
      </c>
    </row>
    <row r="37018">
      <c r="B37018" s="31"/>
      <c r="G37018" s="272" t="s">
        <v>1099</v>
      </c>
    </row>
    <row r="37019">
      <c r="B37019" s="31"/>
      <c r="G37019" s="272" t="s">
        <v>1099</v>
      </c>
    </row>
    <row r="37020">
      <c r="B37020" s="31"/>
      <c r="G37020" s="272" t="s">
        <v>1099</v>
      </c>
    </row>
    <row r="37021">
      <c r="B37021" s="31"/>
      <c r="G37021" s="272" t="s">
        <v>1099</v>
      </c>
    </row>
    <row r="37022">
      <c r="B37022" s="31"/>
      <c r="G37022" s="272" t="s">
        <v>1099</v>
      </c>
    </row>
    <row r="37023">
      <c r="B37023" s="31"/>
      <c r="G37023" s="272" t="s">
        <v>1099</v>
      </c>
    </row>
    <row r="37024">
      <c r="B37024" s="31"/>
      <c r="G37024" s="272" t="s">
        <v>1099</v>
      </c>
    </row>
    <row r="37025">
      <c r="B37025" s="31"/>
      <c r="G37025" s="272" t="s">
        <v>1099</v>
      </c>
    </row>
    <row r="37026">
      <c r="B37026" s="31"/>
      <c r="G37026" s="272" t="s">
        <v>1099</v>
      </c>
    </row>
    <row r="37027">
      <c r="B37027" s="31"/>
      <c r="G37027" s="272" t="s">
        <v>1099</v>
      </c>
    </row>
    <row r="37028">
      <c r="B37028" s="31"/>
      <c r="G37028" s="272" t="s">
        <v>1099</v>
      </c>
    </row>
    <row r="37029">
      <c r="B37029" s="31"/>
      <c r="G37029" s="272" t="s">
        <v>1099</v>
      </c>
    </row>
    <row r="37030">
      <c r="B37030" s="31"/>
      <c r="G37030" s="272" t="s">
        <v>1099</v>
      </c>
    </row>
    <row r="37031">
      <c r="B37031" s="31"/>
      <c r="G37031" s="272" t="s">
        <v>1099</v>
      </c>
    </row>
    <row r="37032">
      <c r="B37032" s="31"/>
      <c r="G37032" s="272" t="s">
        <v>1099</v>
      </c>
    </row>
    <row r="37033">
      <c r="B37033" s="31"/>
      <c r="G37033" s="272" t="s">
        <v>1099</v>
      </c>
    </row>
    <row r="37034">
      <c r="B37034" s="31"/>
      <c r="G37034" s="272" t="s">
        <v>1099</v>
      </c>
    </row>
    <row r="37035">
      <c r="B37035" s="31"/>
      <c r="G37035" s="272" t="s">
        <v>1099</v>
      </c>
    </row>
    <row r="37036">
      <c r="B37036" s="31"/>
      <c r="G37036" s="272" t="s">
        <v>1099</v>
      </c>
    </row>
    <row r="37037">
      <c r="B37037" s="31"/>
      <c r="G37037" s="272" t="s">
        <v>1099</v>
      </c>
    </row>
    <row r="37038">
      <c r="B37038" s="31"/>
      <c r="G37038" s="272" t="s">
        <v>1099</v>
      </c>
    </row>
    <row r="37039">
      <c r="B37039" s="31"/>
      <c r="G37039" s="272" t="s">
        <v>1099</v>
      </c>
    </row>
    <row r="37040">
      <c r="B37040" s="31"/>
      <c r="G37040" s="272" t="s">
        <v>1099</v>
      </c>
    </row>
    <row r="37041">
      <c r="B37041" s="31"/>
      <c r="G37041" s="272" t="s">
        <v>1099</v>
      </c>
    </row>
    <row r="37042">
      <c r="B37042" s="31"/>
      <c r="G37042" s="272" t="s">
        <v>1099</v>
      </c>
    </row>
    <row r="37043">
      <c r="B37043" s="31"/>
      <c r="G37043" s="272" t="s">
        <v>1099</v>
      </c>
    </row>
    <row r="37044">
      <c r="B37044" s="31"/>
      <c r="G37044" s="272" t="s">
        <v>1099</v>
      </c>
    </row>
    <row r="37045">
      <c r="B37045" s="31"/>
      <c r="G37045" s="272" t="s">
        <v>1099</v>
      </c>
    </row>
    <row r="37046">
      <c r="B37046" s="31"/>
      <c r="G37046" s="272" t="s">
        <v>1099</v>
      </c>
    </row>
    <row r="37047">
      <c r="B37047" s="31"/>
      <c r="G37047" s="272" t="s">
        <v>1099</v>
      </c>
    </row>
    <row r="37048">
      <c r="B37048" s="31"/>
      <c r="G37048" s="272" t="s">
        <v>1099</v>
      </c>
    </row>
    <row r="37049">
      <c r="B37049" s="31"/>
      <c r="G37049" s="272" t="s">
        <v>1099</v>
      </c>
    </row>
    <row r="37050">
      <c r="B37050" s="31"/>
      <c r="G37050" s="272" t="s">
        <v>1099</v>
      </c>
    </row>
    <row r="37051">
      <c r="B37051" s="31"/>
      <c r="G37051" s="272" t="s">
        <v>1099</v>
      </c>
    </row>
    <row r="37052">
      <c r="B37052" s="31"/>
      <c r="G37052" s="272" t="s">
        <v>1099</v>
      </c>
    </row>
    <row r="37053">
      <c r="B37053" s="31"/>
      <c r="G37053" s="272" t="s">
        <v>1099</v>
      </c>
    </row>
    <row r="37054">
      <c r="B37054" s="31"/>
      <c r="G37054" s="272" t="s">
        <v>1099</v>
      </c>
    </row>
    <row r="37055">
      <c r="B37055" s="31"/>
      <c r="G37055" s="272" t="s">
        <v>1099</v>
      </c>
    </row>
    <row r="37056">
      <c r="B37056" s="31"/>
      <c r="G37056" s="272" t="s">
        <v>1099</v>
      </c>
    </row>
    <row r="37057">
      <c r="B37057" s="31"/>
      <c r="G37057" s="272" t="s">
        <v>1099</v>
      </c>
    </row>
    <row r="37058">
      <c r="B37058" s="31"/>
      <c r="G37058" s="272" t="s">
        <v>1099</v>
      </c>
    </row>
    <row r="37059">
      <c r="B37059" s="31"/>
      <c r="G37059" s="272" t="s">
        <v>1099</v>
      </c>
    </row>
    <row r="37060">
      <c r="B37060" s="31"/>
      <c r="G37060" s="272" t="s">
        <v>1099</v>
      </c>
    </row>
    <row r="37061">
      <c r="B37061" s="31"/>
      <c r="G37061" s="272" t="s">
        <v>1099</v>
      </c>
    </row>
    <row r="37062">
      <c r="B37062" s="31"/>
      <c r="G37062" s="272" t="s">
        <v>1099</v>
      </c>
    </row>
    <row r="37063">
      <c r="B37063" s="31"/>
      <c r="G37063" s="272" t="s">
        <v>1099</v>
      </c>
    </row>
    <row r="37064">
      <c r="B37064" s="31"/>
      <c r="G37064" s="272" t="s">
        <v>1099</v>
      </c>
    </row>
    <row r="37065">
      <c r="B37065" s="31"/>
      <c r="G37065" s="272" t="s">
        <v>1099</v>
      </c>
    </row>
    <row r="37066">
      <c r="B37066" s="31"/>
      <c r="G37066" s="272" t="s">
        <v>1099</v>
      </c>
    </row>
    <row r="37067">
      <c r="B37067" s="31"/>
      <c r="G37067" s="272" t="s">
        <v>1099</v>
      </c>
    </row>
    <row r="37068">
      <c r="B37068" s="31"/>
      <c r="G37068" s="272" t="s">
        <v>1099</v>
      </c>
    </row>
    <row r="37069">
      <c r="B37069" s="31"/>
      <c r="G37069" s="272" t="s">
        <v>1099</v>
      </c>
    </row>
    <row r="37070">
      <c r="B37070" s="31"/>
      <c r="G37070" s="272" t="s">
        <v>1099</v>
      </c>
    </row>
    <row r="37071">
      <c r="B37071" s="31"/>
      <c r="G37071" s="272" t="s">
        <v>1099</v>
      </c>
    </row>
    <row r="37072">
      <c r="B37072" s="31"/>
      <c r="G37072" s="272" t="s">
        <v>1099</v>
      </c>
    </row>
    <row r="37073">
      <c r="B37073" s="31"/>
      <c r="G37073" s="272" t="s">
        <v>1099</v>
      </c>
    </row>
    <row r="37074">
      <c r="B37074" s="31"/>
      <c r="G37074" s="272" t="s">
        <v>1099</v>
      </c>
    </row>
    <row r="37075">
      <c r="B37075" s="31"/>
      <c r="G37075" s="272" t="s">
        <v>1099</v>
      </c>
    </row>
    <row r="37076">
      <c r="B37076" s="31"/>
      <c r="G37076" s="272" t="s">
        <v>1099</v>
      </c>
    </row>
    <row r="37077">
      <c r="B37077" s="31"/>
      <c r="G37077" s="272" t="s">
        <v>1099</v>
      </c>
    </row>
    <row r="37078">
      <c r="B37078" s="31"/>
      <c r="G37078" s="272" t="s">
        <v>1099</v>
      </c>
    </row>
    <row r="37079">
      <c r="B37079" s="31"/>
      <c r="G37079" s="272" t="s">
        <v>1099</v>
      </c>
    </row>
    <row r="37080">
      <c r="B37080" s="31"/>
      <c r="G37080" s="272" t="s">
        <v>1099</v>
      </c>
    </row>
    <row r="37081">
      <c r="B37081" s="31"/>
      <c r="G37081" s="272" t="s">
        <v>1099</v>
      </c>
    </row>
    <row r="37082">
      <c r="B37082" s="31"/>
      <c r="G37082" s="272" t="s">
        <v>1099</v>
      </c>
    </row>
    <row r="37083">
      <c r="B37083" s="31"/>
      <c r="G37083" s="272" t="s">
        <v>1099</v>
      </c>
    </row>
    <row r="37084">
      <c r="B37084" s="31"/>
      <c r="G37084" s="272" t="s">
        <v>1099</v>
      </c>
    </row>
    <row r="37085">
      <c r="B37085" s="31"/>
      <c r="G37085" s="272" t="s">
        <v>1099</v>
      </c>
    </row>
    <row r="37086">
      <c r="B37086" s="31"/>
      <c r="G37086" s="272" t="s">
        <v>1099</v>
      </c>
    </row>
    <row r="37087">
      <c r="B37087" s="31"/>
      <c r="G37087" s="272" t="s">
        <v>1099</v>
      </c>
    </row>
    <row r="37088">
      <c r="B37088" s="31"/>
      <c r="G37088" s="272" t="s">
        <v>1099</v>
      </c>
    </row>
    <row r="37089">
      <c r="B37089" s="31"/>
      <c r="G37089" s="272" t="s">
        <v>1099</v>
      </c>
    </row>
    <row r="37090">
      <c r="B37090" s="31"/>
      <c r="G37090" s="272" t="s">
        <v>1099</v>
      </c>
    </row>
    <row r="37091">
      <c r="B37091" s="31"/>
      <c r="G37091" s="272" t="s">
        <v>1099</v>
      </c>
    </row>
    <row r="37092">
      <c r="B37092" s="31"/>
      <c r="G37092" s="272" t="s">
        <v>1099</v>
      </c>
    </row>
    <row r="37093">
      <c r="B37093" s="31"/>
      <c r="G37093" s="272" t="s">
        <v>1099</v>
      </c>
    </row>
    <row r="37094">
      <c r="B37094" s="31"/>
      <c r="G37094" s="272" t="s">
        <v>1099</v>
      </c>
    </row>
    <row r="37095">
      <c r="B37095" s="31"/>
      <c r="G37095" s="272" t="s">
        <v>1099</v>
      </c>
    </row>
    <row r="37096">
      <c r="B37096" s="31"/>
      <c r="G37096" s="272" t="s">
        <v>1099</v>
      </c>
    </row>
    <row r="37097">
      <c r="B37097" s="31"/>
      <c r="G37097" s="272" t="s">
        <v>1099</v>
      </c>
    </row>
    <row r="37098">
      <c r="B37098" s="31"/>
      <c r="G37098" s="272" t="s">
        <v>1099</v>
      </c>
    </row>
    <row r="37099">
      <c r="B37099" s="31"/>
      <c r="G37099" s="272" t="s">
        <v>1099</v>
      </c>
    </row>
    <row r="37100">
      <c r="B37100" s="31"/>
      <c r="G37100" s="272" t="s">
        <v>1099</v>
      </c>
    </row>
    <row r="37101">
      <c r="B37101" s="31"/>
      <c r="G37101" s="272" t="s">
        <v>1099</v>
      </c>
    </row>
    <row r="37102">
      <c r="B37102" s="31"/>
      <c r="G37102" s="272" t="s">
        <v>1099</v>
      </c>
    </row>
    <row r="37103">
      <c r="B37103" s="31"/>
      <c r="G37103" s="272" t="s">
        <v>1099</v>
      </c>
    </row>
    <row r="37104">
      <c r="B37104" s="31"/>
      <c r="G37104" s="272" t="s">
        <v>1099</v>
      </c>
    </row>
    <row r="37105">
      <c r="B37105" s="31"/>
      <c r="G37105" s="272" t="s">
        <v>1099</v>
      </c>
    </row>
    <row r="37106">
      <c r="B37106" s="31"/>
      <c r="G37106" s="272" t="s">
        <v>1099</v>
      </c>
    </row>
    <row r="37107">
      <c r="B37107" s="31"/>
      <c r="G37107" s="272" t="s">
        <v>1099</v>
      </c>
    </row>
    <row r="37108">
      <c r="B37108" s="31"/>
      <c r="G37108" s="272" t="s">
        <v>1099</v>
      </c>
    </row>
    <row r="37109">
      <c r="B37109" s="31"/>
      <c r="G37109" s="272" t="s">
        <v>1099</v>
      </c>
    </row>
    <row r="37110">
      <c r="B37110" s="31"/>
      <c r="G37110" s="272" t="s">
        <v>1099</v>
      </c>
    </row>
    <row r="37111">
      <c r="B37111" s="31"/>
      <c r="G37111" s="272" t="s">
        <v>1099</v>
      </c>
    </row>
    <row r="37112">
      <c r="B37112" s="31"/>
      <c r="G37112" s="272" t="s">
        <v>1099</v>
      </c>
    </row>
    <row r="37113">
      <c r="B37113" s="31"/>
      <c r="G37113" s="272" t="s">
        <v>1099</v>
      </c>
    </row>
    <row r="37114">
      <c r="B37114" s="31"/>
      <c r="G37114" s="272" t="s">
        <v>1099</v>
      </c>
    </row>
    <row r="37115">
      <c r="B37115" s="31"/>
      <c r="G37115" s="272" t="s">
        <v>1099</v>
      </c>
    </row>
    <row r="37116">
      <c r="B37116" s="31"/>
      <c r="G37116" s="272" t="s">
        <v>1099</v>
      </c>
    </row>
    <row r="37117">
      <c r="B37117" s="31"/>
      <c r="G37117" s="272" t="s">
        <v>1099</v>
      </c>
    </row>
    <row r="37118">
      <c r="B37118" s="31"/>
      <c r="G37118" s="272" t="s">
        <v>1099</v>
      </c>
    </row>
    <row r="37119">
      <c r="B37119" s="31"/>
      <c r="G37119" s="272" t="s">
        <v>1099</v>
      </c>
    </row>
    <row r="37120">
      <c r="B37120" s="31"/>
      <c r="G37120" s="272" t="s">
        <v>1099</v>
      </c>
    </row>
    <row r="37121">
      <c r="B37121" s="31"/>
      <c r="G37121" s="272" t="s">
        <v>1099</v>
      </c>
    </row>
    <row r="37122">
      <c r="B37122" s="31"/>
      <c r="G37122" s="272" t="s">
        <v>1099</v>
      </c>
    </row>
    <row r="37123">
      <c r="B37123" s="31"/>
      <c r="G37123" s="272" t="s">
        <v>1099</v>
      </c>
    </row>
    <row r="37124">
      <c r="B37124" s="31"/>
      <c r="G37124" s="272" t="s">
        <v>1099</v>
      </c>
    </row>
    <row r="37125">
      <c r="B37125" s="31"/>
      <c r="G37125" s="272" t="s">
        <v>1099</v>
      </c>
    </row>
    <row r="37126">
      <c r="B37126" s="31"/>
      <c r="G37126" s="272" t="s">
        <v>1099</v>
      </c>
    </row>
    <row r="37127">
      <c r="B37127" s="31"/>
      <c r="G37127" s="272" t="s">
        <v>1099</v>
      </c>
    </row>
    <row r="37128">
      <c r="B37128" s="31"/>
      <c r="G37128" s="272" t="s">
        <v>1099</v>
      </c>
    </row>
    <row r="37129">
      <c r="B37129" s="31"/>
      <c r="G37129" s="272" t="s">
        <v>1099</v>
      </c>
    </row>
    <row r="37130">
      <c r="B37130" s="31"/>
      <c r="G37130" s="272" t="s">
        <v>1099</v>
      </c>
    </row>
    <row r="37131">
      <c r="B37131" s="31"/>
      <c r="G37131" s="272" t="s">
        <v>1099</v>
      </c>
    </row>
    <row r="37132">
      <c r="B37132" s="31"/>
      <c r="G37132" s="272" t="s">
        <v>1099</v>
      </c>
    </row>
    <row r="37133">
      <c r="B37133" s="31"/>
      <c r="G37133" s="272" t="s">
        <v>1099</v>
      </c>
    </row>
    <row r="37134">
      <c r="B37134" s="31"/>
      <c r="G37134" s="272" t="s">
        <v>1099</v>
      </c>
    </row>
    <row r="37135">
      <c r="B37135" s="31"/>
      <c r="G37135" s="272" t="s">
        <v>1099</v>
      </c>
    </row>
    <row r="37136">
      <c r="B37136" s="31"/>
      <c r="G37136" s="272" t="s">
        <v>1099</v>
      </c>
    </row>
    <row r="37137">
      <c r="B37137" s="31"/>
      <c r="G37137" s="272" t="s">
        <v>1099</v>
      </c>
    </row>
    <row r="37138">
      <c r="B37138" s="31"/>
      <c r="G37138" s="272" t="s">
        <v>1099</v>
      </c>
    </row>
    <row r="37139">
      <c r="B37139" s="31"/>
      <c r="G37139" s="272" t="s">
        <v>1099</v>
      </c>
    </row>
    <row r="37140">
      <c r="B37140" s="31"/>
      <c r="G37140" s="272" t="s">
        <v>1099</v>
      </c>
    </row>
    <row r="37141">
      <c r="B37141" s="31"/>
      <c r="G37141" s="272" t="s">
        <v>1099</v>
      </c>
    </row>
    <row r="37142">
      <c r="B37142" s="31"/>
      <c r="G37142" s="272" t="s">
        <v>1099</v>
      </c>
    </row>
    <row r="37143">
      <c r="B37143" s="31"/>
      <c r="G37143" s="272" t="s">
        <v>1099</v>
      </c>
    </row>
    <row r="37144">
      <c r="B37144" s="31"/>
      <c r="G37144" s="272" t="s">
        <v>1099</v>
      </c>
    </row>
    <row r="37145">
      <c r="B37145" s="31"/>
      <c r="G37145" s="272" t="s">
        <v>1099</v>
      </c>
    </row>
    <row r="37146">
      <c r="B37146" s="31"/>
      <c r="G37146" s="272" t="s">
        <v>1099</v>
      </c>
    </row>
    <row r="37147">
      <c r="B37147" s="31"/>
      <c r="G37147" s="272" t="s">
        <v>1099</v>
      </c>
    </row>
    <row r="37148">
      <c r="B37148" s="31"/>
      <c r="G37148" s="272" t="s">
        <v>1099</v>
      </c>
    </row>
    <row r="37149">
      <c r="B37149" s="31"/>
      <c r="G37149" s="272" t="s">
        <v>1099</v>
      </c>
    </row>
    <row r="37150">
      <c r="B37150" s="31"/>
      <c r="G37150" s="272" t="s">
        <v>1099</v>
      </c>
    </row>
    <row r="37151">
      <c r="B37151" s="31"/>
      <c r="G37151" s="272" t="s">
        <v>1099</v>
      </c>
    </row>
    <row r="37152">
      <c r="B37152" s="31"/>
      <c r="G37152" s="272" t="s">
        <v>1099</v>
      </c>
    </row>
    <row r="37153">
      <c r="B37153" s="31"/>
      <c r="G37153" s="272" t="s">
        <v>1099</v>
      </c>
    </row>
    <row r="37154">
      <c r="B37154" s="31"/>
      <c r="G37154" s="272" t="s">
        <v>1099</v>
      </c>
    </row>
    <row r="37155">
      <c r="B37155" s="31"/>
      <c r="G37155" s="272" t="s">
        <v>1099</v>
      </c>
    </row>
    <row r="37156">
      <c r="B37156" s="31"/>
      <c r="G37156" s="272" t="s">
        <v>1099</v>
      </c>
    </row>
    <row r="37157">
      <c r="B37157" s="31"/>
      <c r="G37157" s="272" t="s">
        <v>1099</v>
      </c>
    </row>
    <row r="37158">
      <c r="B37158" s="31"/>
      <c r="G37158" s="272" t="s">
        <v>1099</v>
      </c>
    </row>
    <row r="37159">
      <c r="B37159" s="31"/>
      <c r="G37159" s="272" t="s">
        <v>1099</v>
      </c>
    </row>
    <row r="37160">
      <c r="B37160" s="31"/>
      <c r="G37160" s="272" t="s">
        <v>1099</v>
      </c>
    </row>
    <row r="37161">
      <c r="B37161" s="31"/>
      <c r="G37161" s="272" t="s">
        <v>1099</v>
      </c>
    </row>
    <row r="37162">
      <c r="B37162" s="31"/>
      <c r="G37162" s="272" t="s">
        <v>1099</v>
      </c>
    </row>
    <row r="37163">
      <c r="B37163" s="31"/>
      <c r="G37163" s="272" t="s">
        <v>1099</v>
      </c>
    </row>
    <row r="37164">
      <c r="B37164" s="31"/>
      <c r="G37164" s="272" t="s">
        <v>1099</v>
      </c>
    </row>
    <row r="37165">
      <c r="B37165" s="31"/>
      <c r="G37165" s="272" t="s">
        <v>1099</v>
      </c>
    </row>
    <row r="37166">
      <c r="B37166" s="31"/>
      <c r="G37166" s="272" t="s">
        <v>1099</v>
      </c>
    </row>
    <row r="37167">
      <c r="B37167" s="31"/>
      <c r="G37167" s="272" t="s">
        <v>1099</v>
      </c>
    </row>
    <row r="37168">
      <c r="B37168" s="31"/>
      <c r="G37168" s="272" t="s">
        <v>1099</v>
      </c>
    </row>
    <row r="37169">
      <c r="B37169" s="31"/>
      <c r="G37169" s="272" t="s">
        <v>1099</v>
      </c>
    </row>
    <row r="37170">
      <c r="B37170" s="31"/>
      <c r="G37170" s="272" t="s">
        <v>1099</v>
      </c>
    </row>
    <row r="37171">
      <c r="B37171" s="31"/>
      <c r="G37171" s="272" t="s">
        <v>1099</v>
      </c>
    </row>
    <row r="37172">
      <c r="B37172" s="31"/>
      <c r="G37172" s="272" t="s">
        <v>1099</v>
      </c>
    </row>
    <row r="37173">
      <c r="B37173" s="31"/>
      <c r="G37173" s="272" t="s">
        <v>1099</v>
      </c>
    </row>
    <row r="37174">
      <c r="B37174" s="31"/>
      <c r="G37174" s="272" t="s">
        <v>1099</v>
      </c>
    </row>
    <row r="37175">
      <c r="B37175" s="31"/>
      <c r="G37175" s="272" t="s">
        <v>1099</v>
      </c>
    </row>
    <row r="37176">
      <c r="B37176" s="31"/>
      <c r="G37176" s="272" t="s">
        <v>1099</v>
      </c>
    </row>
    <row r="37177">
      <c r="B37177" s="31"/>
      <c r="G37177" s="272" t="s">
        <v>1099</v>
      </c>
    </row>
    <row r="37178">
      <c r="B37178" s="31"/>
      <c r="G37178" s="272" t="s">
        <v>1099</v>
      </c>
    </row>
    <row r="37179">
      <c r="B37179" s="31"/>
      <c r="G37179" s="272" t="s">
        <v>1099</v>
      </c>
    </row>
    <row r="37180">
      <c r="B37180" s="31"/>
      <c r="G37180" s="272" t="s">
        <v>1099</v>
      </c>
    </row>
    <row r="37181">
      <c r="B37181" s="31"/>
      <c r="G37181" s="272" t="s">
        <v>1099</v>
      </c>
    </row>
    <row r="37182">
      <c r="B37182" s="31"/>
      <c r="G37182" s="272" t="s">
        <v>1099</v>
      </c>
    </row>
    <row r="37183">
      <c r="B37183" s="31"/>
      <c r="G37183" s="272" t="s">
        <v>1099</v>
      </c>
    </row>
    <row r="37184">
      <c r="B37184" s="31"/>
      <c r="G37184" s="272" t="s">
        <v>1099</v>
      </c>
    </row>
    <row r="37185">
      <c r="B37185" s="31"/>
      <c r="G37185" s="272" t="s">
        <v>1099</v>
      </c>
    </row>
    <row r="37186">
      <c r="B37186" s="31"/>
      <c r="G37186" s="272" t="s">
        <v>1099</v>
      </c>
    </row>
    <row r="37187">
      <c r="B37187" s="31"/>
      <c r="G37187" s="272" t="s">
        <v>1099</v>
      </c>
    </row>
    <row r="37188">
      <c r="B37188" s="31"/>
      <c r="G37188" s="272" t="s">
        <v>1099</v>
      </c>
    </row>
    <row r="37189">
      <c r="B37189" s="31"/>
      <c r="G37189" s="272" t="s">
        <v>1099</v>
      </c>
    </row>
    <row r="37190">
      <c r="B37190" s="31"/>
      <c r="G37190" s="272" t="s">
        <v>1099</v>
      </c>
    </row>
    <row r="37191">
      <c r="B37191" s="31"/>
      <c r="G37191" s="272" t="s">
        <v>1099</v>
      </c>
    </row>
    <row r="37192">
      <c r="B37192" s="31"/>
      <c r="G37192" s="272" t="s">
        <v>1099</v>
      </c>
    </row>
    <row r="37193">
      <c r="B37193" s="31"/>
      <c r="G37193" s="272" t="s">
        <v>1099</v>
      </c>
    </row>
    <row r="37194">
      <c r="B37194" s="31"/>
      <c r="G37194" s="272" t="s">
        <v>1099</v>
      </c>
    </row>
    <row r="37195">
      <c r="B37195" s="31"/>
      <c r="G37195" s="272" t="s">
        <v>1099</v>
      </c>
    </row>
    <row r="37196">
      <c r="B37196" s="31"/>
      <c r="G37196" s="272" t="s">
        <v>1099</v>
      </c>
    </row>
    <row r="37197">
      <c r="B37197" s="31"/>
      <c r="G37197" s="272" t="s">
        <v>1099</v>
      </c>
    </row>
    <row r="37198">
      <c r="B37198" s="31"/>
      <c r="G37198" s="272" t="s">
        <v>1099</v>
      </c>
    </row>
    <row r="37199">
      <c r="B37199" s="31"/>
      <c r="G37199" s="272" t="s">
        <v>1099</v>
      </c>
    </row>
    <row r="37200">
      <c r="B37200" s="31"/>
      <c r="G37200" s="272" t="s">
        <v>1099</v>
      </c>
    </row>
    <row r="37201">
      <c r="B37201" s="31"/>
      <c r="G37201" s="272" t="s">
        <v>1099</v>
      </c>
    </row>
    <row r="37202">
      <c r="B37202" s="31"/>
      <c r="G37202" s="272" t="s">
        <v>1099</v>
      </c>
    </row>
    <row r="37203">
      <c r="B37203" s="31"/>
      <c r="G37203" s="272" t="s">
        <v>1099</v>
      </c>
    </row>
    <row r="37204">
      <c r="B37204" s="31"/>
      <c r="G37204" s="272" t="s">
        <v>1099</v>
      </c>
    </row>
    <row r="37205">
      <c r="B37205" s="31"/>
      <c r="G37205" s="272" t="s">
        <v>1099</v>
      </c>
    </row>
    <row r="37206">
      <c r="B37206" s="31"/>
      <c r="G37206" s="272" t="s">
        <v>1099</v>
      </c>
    </row>
    <row r="37207">
      <c r="B37207" s="31"/>
      <c r="G37207" s="272" t="s">
        <v>1099</v>
      </c>
    </row>
    <row r="37208">
      <c r="B37208" s="31"/>
      <c r="G37208" s="272" t="s">
        <v>1099</v>
      </c>
    </row>
    <row r="37209">
      <c r="B37209" s="31"/>
      <c r="G37209" s="272" t="s">
        <v>1099</v>
      </c>
    </row>
    <row r="37210">
      <c r="B37210" s="31"/>
      <c r="G37210" s="272" t="s">
        <v>1099</v>
      </c>
    </row>
    <row r="37211">
      <c r="B37211" s="31"/>
      <c r="G37211" s="272" t="s">
        <v>1099</v>
      </c>
    </row>
    <row r="37212">
      <c r="B37212" s="31"/>
      <c r="G37212" s="272" t="s">
        <v>1099</v>
      </c>
    </row>
    <row r="37213">
      <c r="B37213" s="31"/>
      <c r="G37213" s="272" t="s">
        <v>1099</v>
      </c>
    </row>
    <row r="37214">
      <c r="B37214" s="31"/>
      <c r="G37214" s="272" t="s">
        <v>1099</v>
      </c>
    </row>
    <row r="37215">
      <c r="B37215" s="31"/>
      <c r="G37215" s="272" t="s">
        <v>1099</v>
      </c>
    </row>
    <row r="37216">
      <c r="B37216" s="31"/>
      <c r="G37216" s="272" t="s">
        <v>1099</v>
      </c>
    </row>
    <row r="37217">
      <c r="B37217" s="31"/>
      <c r="G37217" s="272" t="s">
        <v>1099</v>
      </c>
    </row>
    <row r="37218">
      <c r="B37218" s="31"/>
      <c r="G37218" s="272" t="s">
        <v>1099</v>
      </c>
    </row>
    <row r="37219">
      <c r="B37219" s="31"/>
      <c r="G37219" s="272" t="s">
        <v>1099</v>
      </c>
    </row>
    <row r="37220">
      <c r="B37220" s="31"/>
      <c r="G37220" s="272" t="s">
        <v>1099</v>
      </c>
    </row>
    <row r="37221">
      <c r="B37221" s="31"/>
      <c r="G37221" s="272" t="s">
        <v>1099</v>
      </c>
    </row>
    <row r="37222">
      <c r="B37222" s="31"/>
      <c r="G37222" s="272" t="s">
        <v>1099</v>
      </c>
    </row>
    <row r="37223">
      <c r="B37223" s="31"/>
      <c r="G37223" s="272" t="s">
        <v>1099</v>
      </c>
    </row>
    <row r="37224">
      <c r="B37224" s="31"/>
      <c r="G37224" s="272" t="s">
        <v>1099</v>
      </c>
    </row>
    <row r="37225">
      <c r="B37225" s="31"/>
      <c r="G37225" s="272" t="s">
        <v>1099</v>
      </c>
    </row>
    <row r="37226">
      <c r="B37226" s="31"/>
      <c r="G37226" s="272" t="s">
        <v>1099</v>
      </c>
    </row>
    <row r="37227">
      <c r="B37227" s="31"/>
      <c r="G37227" s="272" t="s">
        <v>1099</v>
      </c>
    </row>
    <row r="37228">
      <c r="B37228" s="31"/>
      <c r="G37228" s="272" t="s">
        <v>1099</v>
      </c>
    </row>
    <row r="37229">
      <c r="B37229" s="31"/>
      <c r="G37229" s="272" t="s">
        <v>1099</v>
      </c>
    </row>
    <row r="37230">
      <c r="B37230" s="31"/>
      <c r="G37230" s="272" t="s">
        <v>1099</v>
      </c>
    </row>
    <row r="37231">
      <c r="B37231" s="31"/>
      <c r="G37231" s="272" t="s">
        <v>1099</v>
      </c>
    </row>
    <row r="37232">
      <c r="B37232" s="31"/>
      <c r="G37232" s="272" t="s">
        <v>1099</v>
      </c>
    </row>
    <row r="37233">
      <c r="B37233" s="31"/>
      <c r="G37233" s="272" t="s">
        <v>1099</v>
      </c>
    </row>
    <row r="37234">
      <c r="B37234" s="31"/>
      <c r="G37234" s="272" t="s">
        <v>1099</v>
      </c>
    </row>
    <row r="37235">
      <c r="B37235" s="31"/>
      <c r="G37235" s="272" t="s">
        <v>1099</v>
      </c>
    </row>
    <row r="37236">
      <c r="B37236" s="31"/>
      <c r="G37236" s="272" t="s">
        <v>1099</v>
      </c>
    </row>
    <row r="37237">
      <c r="B37237" s="31"/>
      <c r="G37237" s="272" t="s">
        <v>1099</v>
      </c>
    </row>
    <row r="37238">
      <c r="B37238" s="31"/>
      <c r="G37238" s="272" t="s">
        <v>1099</v>
      </c>
    </row>
    <row r="37239">
      <c r="B37239" s="31"/>
      <c r="G37239" s="272" t="s">
        <v>1099</v>
      </c>
    </row>
    <row r="37240">
      <c r="B37240" s="31"/>
      <c r="G37240" s="272" t="s">
        <v>1099</v>
      </c>
    </row>
    <row r="37241">
      <c r="B37241" s="31"/>
      <c r="G37241" s="272" t="s">
        <v>1099</v>
      </c>
    </row>
    <row r="37242">
      <c r="B37242" s="31"/>
      <c r="G37242" s="272" t="s">
        <v>1099</v>
      </c>
    </row>
    <row r="37243">
      <c r="B37243" s="31"/>
      <c r="G37243" s="272" t="s">
        <v>1099</v>
      </c>
    </row>
    <row r="37244">
      <c r="B37244" s="31"/>
      <c r="G37244" s="272" t="s">
        <v>1099</v>
      </c>
    </row>
    <row r="37245">
      <c r="B37245" s="31"/>
      <c r="G37245" s="272" t="s">
        <v>1099</v>
      </c>
    </row>
    <row r="37246">
      <c r="B37246" s="31"/>
      <c r="G37246" s="272" t="s">
        <v>1099</v>
      </c>
    </row>
    <row r="37247">
      <c r="B37247" s="31"/>
      <c r="G37247" s="272" t="s">
        <v>1099</v>
      </c>
    </row>
    <row r="37248">
      <c r="B37248" s="31"/>
      <c r="G37248" s="272" t="s">
        <v>1099</v>
      </c>
    </row>
    <row r="37249">
      <c r="B37249" s="31"/>
      <c r="G37249" s="272" t="s">
        <v>1099</v>
      </c>
    </row>
    <row r="37250">
      <c r="B37250" s="31"/>
      <c r="G37250" s="272" t="s">
        <v>1099</v>
      </c>
    </row>
    <row r="37251">
      <c r="B37251" s="31"/>
      <c r="G37251" s="272" t="s">
        <v>1099</v>
      </c>
    </row>
    <row r="37252">
      <c r="B37252" s="31"/>
      <c r="G37252" s="272" t="s">
        <v>1099</v>
      </c>
    </row>
    <row r="37253">
      <c r="B37253" s="31"/>
      <c r="G37253" s="272" t="s">
        <v>1099</v>
      </c>
    </row>
    <row r="37254">
      <c r="B37254" s="31"/>
      <c r="G37254" s="272" t="s">
        <v>1099</v>
      </c>
    </row>
    <row r="37255">
      <c r="B37255" s="31"/>
      <c r="G37255" s="272" t="s">
        <v>1099</v>
      </c>
    </row>
    <row r="37256">
      <c r="B37256" s="31"/>
      <c r="G37256" s="272" t="s">
        <v>1099</v>
      </c>
    </row>
    <row r="37257">
      <c r="B37257" s="31"/>
      <c r="G37257" s="272" t="s">
        <v>1099</v>
      </c>
    </row>
    <row r="37258">
      <c r="B37258" s="31"/>
      <c r="G37258" s="272" t="s">
        <v>1099</v>
      </c>
    </row>
    <row r="37259">
      <c r="B37259" s="31"/>
      <c r="G37259" s="272" t="s">
        <v>1099</v>
      </c>
    </row>
    <row r="37260">
      <c r="B37260" s="31"/>
      <c r="G37260" s="272" t="s">
        <v>1099</v>
      </c>
    </row>
    <row r="37261">
      <c r="B37261" s="31"/>
      <c r="G37261" s="272" t="s">
        <v>1099</v>
      </c>
    </row>
    <row r="37262">
      <c r="B37262" s="31"/>
      <c r="G37262" s="272" t="s">
        <v>1099</v>
      </c>
    </row>
    <row r="37263">
      <c r="B37263" s="31"/>
      <c r="G37263" s="272" t="s">
        <v>1099</v>
      </c>
    </row>
    <row r="37264">
      <c r="B37264" s="31"/>
      <c r="G37264" s="272" t="s">
        <v>1099</v>
      </c>
    </row>
    <row r="37265">
      <c r="B37265" s="31"/>
      <c r="G37265" s="272" t="s">
        <v>1099</v>
      </c>
    </row>
    <row r="37266">
      <c r="B37266" s="31"/>
      <c r="G37266" s="272" t="s">
        <v>1099</v>
      </c>
    </row>
    <row r="37267">
      <c r="B37267" s="31"/>
      <c r="G37267" s="272" t="s">
        <v>1099</v>
      </c>
    </row>
    <row r="37268">
      <c r="B37268" s="31"/>
      <c r="G37268" s="272" t="s">
        <v>1099</v>
      </c>
    </row>
    <row r="37269">
      <c r="B37269" s="31"/>
      <c r="G37269" s="272" t="s">
        <v>1099</v>
      </c>
    </row>
    <row r="37270">
      <c r="B37270" s="31"/>
      <c r="G37270" s="272" t="s">
        <v>1099</v>
      </c>
    </row>
    <row r="37271">
      <c r="B37271" s="31"/>
      <c r="G37271" s="272" t="s">
        <v>1099</v>
      </c>
    </row>
    <row r="37272">
      <c r="B37272" s="31"/>
      <c r="G37272" s="272" t="s">
        <v>1099</v>
      </c>
    </row>
    <row r="37273">
      <c r="B37273" s="31"/>
      <c r="G37273" s="272" t="s">
        <v>1099</v>
      </c>
    </row>
    <row r="37274">
      <c r="B37274" s="31"/>
      <c r="G37274" s="272" t="s">
        <v>1099</v>
      </c>
    </row>
    <row r="37275">
      <c r="B37275" s="31"/>
      <c r="G37275" s="272" t="s">
        <v>1099</v>
      </c>
    </row>
    <row r="37276">
      <c r="B37276" s="31"/>
      <c r="G37276" s="272" t="s">
        <v>1099</v>
      </c>
    </row>
    <row r="37277">
      <c r="B37277" s="31"/>
      <c r="G37277" s="272" t="s">
        <v>1099</v>
      </c>
    </row>
    <row r="37278">
      <c r="B37278" s="31"/>
      <c r="G37278" s="272" t="s">
        <v>1099</v>
      </c>
    </row>
    <row r="37279">
      <c r="B37279" s="31"/>
      <c r="G37279" s="272" t="s">
        <v>1099</v>
      </c>
    </row>
    <row r="37280">
      <c r="B37280" s="31"/>
      <c r="G37280" s="272" t="s">
        <v>1099</v>
      </c>
    </row>
    <row r="37281">
      <c r="B37281" s="31"/>
      <c r="G37281" s="272" t="s">
        <v>1099</v>
      </c>
    </row>
    <row r="37282">
      <c r="B37282" s="31"/>
      <c r="G37282" s="272" t="s">
        <v>1099</v>
      </c>
    </row>
    <row r="37283">
      <c r="B37283" s="31"/>
      <c r="G37283" s="272" t="s">
        <v>1099</v>
      </c>
    </row>
    <row r="37284">
      <c r="B37284" s="31"/>
      <c r="G37284" s="272" t="s">
        <v>1099</v>
      </c>
    </row>
    <row r="37285">
      <c r="B37285" s="31"/>
      <c r="G37285" s="272" t="s">
        <v>1099</v>
      </c>
    </row>
    <row r="37286">
      <c r="B37286" s="31"/>
      <c r="G37286" s="272" t="s">
        <v>1099</v>
      </c>
    </row>
    <row r="37287">
      <c r="B37287" s="31"/>
      <c r="G37287" s="272" t="s">
        <v>1099</v>
      </c>
    </row>
    <row r="37288">
      <c r="B37288" s="31"/>
      <c r="G37288" s="272" t="s">
        <v>1099</v>
      </c>
    </row>
    <row r="37289">
      <c r="B37289" s="31"/>
      <c r="G37289" s="272" t="s">
        <v>1099</v>
      </c>
    </row>
    <row r="37290">
      <c r="B37290" s="31"/>
      <c r="G37290" s="272" t="s">
        <v>1099</v>
      </c>
    </row>
    <row r="37291">
      <c r="B37291" s="31"/>
      <c r="G37291" s="272" t="s">
        <v>1099</v>
      </c>
    </row>
    <row r="37292">
      <c r="B37292" s="31"/>
      <c r="G37292" s="272" t="s">
        <v>1099</v>
      </c>
    </row>
    <row r="37293">
      <c r="B37293" s="31"/>
      <c r="G37293" s="272" t="s">
        <v>1099</v>
      </c>
    </row>
    <row r="37294">
      <c r="B37294" s="31"/>
      <c r="G37294" s="272" t="s">
        <v>1099</v>
      </c>
    </row>
    <row r="37295">
      <c r="B37295" s="31"/>
      <c r="G37295" s="272" t="s">
        <v>1099</v>
      </c>
    </row>
    <row r="37296">
      <c r="B37296" s="31"/>
      <c r="G37296" s="272" t="s">
        <v>1099</v>
      </c>
    </row>
    <row r="37297">
      <c r="B37297" s="31"/>
      <c r="G37297" s="272" t="s">
        <v>1099</v>
      </c>
    </row>
    <row r="37298">
      <c r="B37298" s="31"/>
      <c r="G37298" s="272" t="s">
        <v>1099</v>
      </c>
    </row>
    <row r="37299">
      <c r="B37299" s="31"/>
      <c r="G37299" s="272" t="s">
        <v>1099</v>
      </c>
    </row>
    <row r="37300">
      <c r="B37300" s="31"/>
      <c r="G37300" s="272" t="s">
        <v>1099</v>
      </c>
    </row>
    <row r="37301">
      <c r="B37301" s="31"/>
      <c r="G37301" s="272" t="s">
        <v>1099</v>
      </c>
    </row>
    <row r="37302">
      <c r="B37302" s="31"/>
      <c r="G37302" s="272" t="s">
        <v>1099</v>
      </c>
    </row>
    <row r="37303">
      <c r="B37303" s="31"/>
      <c r="G37303" s="272" t="s">
        <v>1099</v>
      </c>
    </row>
    <row r="37304">
      <c r="B37304" s="31"/>
      <c r="G37304" s="272" t="s">
        <v>1099</v>
      </c>
    </row>
    <row r="37305">
      <c r="B37305" s="31"/>
      <c r="G37305" s="272" t="s">
        <v>1099</v>
      </c>
    </row>
    <row r="37306">
      <c r="B37306" s="31"/>
      <c r="G37306" s="272" t="s">
        <v>1099</v>
      </c>
    </row>
    <row r="37307">
      <c r="B37307" s="31"/>
      <c r="G37307" s="272" t="s">
        <v>1099</v>
      </c>
    </row>
    <row r="37308">
      <c r="B37308" s="31"/>
      <c r="G37308" s="272" t="s">
        <v>1099</v>
      </c>
    </row>
    <row r="37309">
      <c r="B37309" s="31"/>
      <c r="G37309" s="272" t="s">
        <v>1099</v>
      </c>
    </row>
    <row r="37310">
      <c r="B37310" s="31"/>
      <c r="G37310" s="272" t="s">
        <v>1099</v>
      </c>
    </row>
    <row r="37311">
      <c r="B37311" s="31"/>
      <c r="G37311" s="272" t="s">
        <v>1099</v>
      </c>
    </row>
    <row r="37312">
      <c r="B37312" s="31"/>
      <c r="G37312" s="272" t="s">
        <v>1099</v>
      </c>
    </row>
    <row r="37313">
      <c r="B37313" s="31"/>
      <c r="G37313" s="272" t="s">
        <v>1099</v>
      </c>
    </row>
    <row r="37314">
      <c r="B37314" s="31"/>
      <c r="G37314" s="272" t="s">
        <v>1099</v>
      </c>
    </row>
    <row r="37315">
      <c r="B37315" s="31"/>
      <c r="G37315" s="272" t="s">
        <v>1099</v>
      </c>
    </row>
    <row r="37316">
      <c r="B37316" s="31"/>
      <c r="G37316" s="272" t="s">
        <v>1099</v>
      </c>
    </row>
    <row r="37317">
      <c r="B37317" s="31"/>
      <c r="G37317" s="272" t="s">
        <v>1099</v>
      </c>
    </row>
    <row r="37318">
      <c r="B37318" s="31"/>
      <c r="G37318" s="272" t="s">
        <v>1099</v>
      </c>
    </row>
    <row r="37319">
      <c r="B37319" s="31"/>
      <c r="G37319" s="272" t="s">
        <v>1099</v>
      </c>
    </row>
    <row r="37320">
      <c r="B37320" s="31"/>
      <c r="G37320" s="272" t="s">
        <v>1099</v>
      </c>
    </row>
    <row r="37321">
      <c r="B37321" s="31"/>
      <c r="G37321" s="272" t="s">
        <v>1099</v>
      </c>
    </row>
    <row r="37322">
      <c r="B37322" s="31"/>
      <c r="G37322" s="272" t="s">
        <v>1099</v>
      </c>
    </row>
    <row r="37323">
      <c r="B37323" s="31"/>
      <c r="G37323" s="272" t="s">
        <v>1099</v>
      </c>
    </row>
    <row r="37324">
      <c r="B37324" s="31"/>
      <c r="G37324" s="272" t="s">
        <v>1099</v>
      </c>
    </row>
    <row r="37325">
      <c r="B37325" s="31"/>
      <c r="G37325" s="272" t="s">
        <v>1099</v>
      </c>
    </row>
    <row r="37326">
      <c r="B37326" s="31"/>
      <c r="G37326" s="272" t="s">
        <v>1099</v>
      </c>
    </row>
    <row r="37327">
      <c r="B37327" s="31"/>
      <c r="G37327" s="272" t="s">
        <v>1099</v>
      </c>
    </row>
    <row r="37328">
      <c r="B37328" s="31"/>
      <c r="G37328" s="272" t="s">
        <v>1099</v>
      </c>
    </row>
    <row r="37329">
      <c r="B37329" s="31"/>
      <c r="G37329" s="272" t="s">
        <v>1099</v>
      </c>
    </row>
    <row r="37330">
      <c r="B37330" s="31"/>
      <c r="G37330" s="272" t="s">
        <v>1099</v>
      </c>
    </row>
    <row r="37331">
      <c r="B37331" s="31"/>
      <c r="G37331" s="272" t="s">
        <v>1099</v>
      </c>
    </row>
    <row r="37332">
      <c r="B37332" s="31"/>
      <c r="G37332" s="272" t="s">
        <v>1099</v>
      </c>
    </row>
    <row r="37333">
      <c r="B37333" s="31"/>
      <c r="G37333" s="272" t="s">
        <v>1099</v>
      </c>
    </row>
    <row r="37334">
      <c r="B37334" s="31"/>
      <c r="G37334" s="272" t="s">
        <v>1099</v>
      </c>
    </row>
    <row r="37335">
      <c r="B37335" s="31"/>
      <c r="G37335" s="272" t="s">
        <v>1099</v>
      </c>
    </row>
    <row r="37336">
      <c r="B37336" s="31"/>
      <c r="G37336" s="272" t="s">
        <v>1099</v>
      </c>
    </row>
    <row r="37337">
      <c r="B37337" s="31"/>
      <c r="G37337" s="272" t="s">
        <v>1099</v>
      </c>
    </row>
    <row r="37338">
      <c r="B37338" s="31"/>
      <c r="G37338" s="272" t="s">
        <v>1099</v>
      </c>
    </row>
    <row r="37339">
      <c r="B37339" s="31"/>
      <c r="G37339" s="272" t="s">
        <v>1099</v>
      </c>
    </row>
    <row r="37340">
      <c r="B37340" s="31"/>
      <c r="G37340" s="272" t="s">
        <v>1099</v>
      </c>
    </row>
    <row r="37341">
      <c r="B37341" s="31"/>
      <c r="G37341" s="272" t="s">
        <v>1099</v>
      </c>
    </row>
    <row r="37342">
      <c r="B37342" s="31"/>
      <c r="G37342" s="272" t="s">
        <v>1099</v>
      </c>
    </row>
    <row r="37343">
      <c r="B37343" s="31"/>
      <c r="G37343" s="272" t="s">
        <v>1099</v>
      </c>
    </row>
    <row r="37344">
      <c r="B37344" s="31"/>
      <c r="G37344" s="272" t="s">
        <v>1099</v>
      </c>
    </row>
    <row r="37345">
      <c r="B37345" s="31"/>
      <c r="G37345" s="272" t="s">
        <v>1099</v>
      </c>
    </row>
    <row r="37346">
      <c r="B37346" s="31"/>
      <c r="G37346" s="272" t="s">
        <v>1099</v>
      </c>
    </row>
    <row r="37347">
      <c r="B37347" s="31"/>
      <c r="G37347" s="272" t="s">
        <v>1099</v>
      </c>
    </row>
    <row r="37348">
      <c r="B37348" s="31"/>
      <c r="G37348" s="272" t="s">
        <v>1099</v>
      </c>
    </row>
    <row r="37349">
      <c r="B37349" s="31"/>
      <c r="G37349" s="272" t="s">
        <v>1099</v>
      </c>
    </row>
    <row r="37350">
      <c r="B37350" s="31"/>
      <c r="G37350" s="272" t="s">
        <v>1099</v>
      </c>
    </row>
    <row r="37351">
      <c r="B37351" s="31"/>
      <c r="G37351" s="272" t="s">
        <v>1099</v>
      </c>
    </row>
    <row r="37352">
      <c r="B37352" s="31"/>
      <c r="G37352" s="272" t="s">
        <v>1099</v>
      </c>
    </row>
    <row r="37353">
      <c r="B37353" s="31"/>
      <c r="G37353" s="272" t="s">
        <v>1099</v>
      </c>
    </row>
    <row r="37354">
      <c r="B37354" s="31"/>
      <c r="G37354" s="272" t="s">
        <v>1099</v>
      </c>
    </row>
    <row r="37355">
      <c r="B37355" s="31"/>
      <c r="G37355" s="272" t="s">
        <v>1099</v>
      </c>
    </row>
    <row r="37356">
      <c r="B37356" s="31"/>
      <c r="G37356" s="272" t="s">
        <v>1099</v>
      </c>
    </row>
    <row r="37357">
      <c r="B37357" s="31"/>
      <c r="G37357" s="272" t="s">
        <v>1099</v>
      </c>
    </row>
    <row r="37358">
      <c r="B37358" s="31"/>
      <c r="G37358" s="272" t="s">
        <v>1099</v>
      </c>
    </row>
    <row r="37359">
      <c r="B37359" s="31"/>
      <c r="G37359" s="272" t="s">
        <v>1099</v>
      </c>
    </row>
    <row r="37360">
      <c r="B37360" s="31"/>
      <c r="G37360" s="272" t="s">
        <v>1099</v>
      </c>
    </row>
    <row r="37361">
      <c r="B37361" s="31"/>
      <c r="G37361" s="272" t="s">
        <v>1099</v>
      </c>
    </row>
    <row r="37362">
      <c r="B37362" s="31"/>
      <c r="G37362" s="272" t="s">
        <v>1099</v>
      </c>
    </row>
    <row r="37363">
      <c r="B37363" s="31"/>
      <c r="G37363" s="272" t="s">
        <v>1099</v>
      </c>
    </row>
    <row r="37364">
      <c r="B37364" s="31"/>
      <c r="G37364" s="272" t="s">
        <v>1099</v>
      </c>
    </row>
    <row r="37365">
      <c r="B37365" s="31"/>
      <c r="G37365" s="272" t="s">
        <v>1099</v>
      </c>
    </row>
    <row r="37366">
      <c r="B37366" s="31"/>
      <c r="G37366" s="272" t="s">
        <v>1099</v>
      </c>
    </row>
    <row r="37367">
      <c r="B37367" s="31"/>
      <c r="G37367" s="272" t="s">
        <v>1099</v>
      </c>
    </row>
    <row r="37368">
      <c r="B37368" s="31"/>
      <c r="G37368" s="272" t="s">
        <v>1099</v>
      </c>
    </row>
    <row r="37369">
      <c r="B37369" s="31"/>
      <c r="G37369" s="272" t="s">
        <v>1099</v>
      </c>
    </row>
    <row r="37370">
      <c r="B37370" s="31"/>
      <c r="G37370" s="272" t="s">
        <v>1099</v>
      </c>
    </row>
    <row r="37371">
      <c r="B37371" s="31"/>
      <c r="G37371" s="272" t="s">
        <v>1099</v>
      </c>
    </row>
    <row r="37372">
      <c r="B37372" s="31"/>
      <c r="G37372" s="272" t="s">
        <v>1099</v>
      </c>
    </row>
    <row r="37373">
      <c r="B37373" s="31"/>
      <c r="G37373" s="272" t="s">
        <v>1099</v>
      </c>
    </row>
    <row r="37374">
      <c r="B37374" s="31"/>
      <c r="G37374" s="272" t="s">
        <v>1099</v>
      </c>
    </row>
    <row r="37375">
      <c r="B37375" s="31"/>
      <c r="G37375" s="272" t="s">
        <v>1099</v>
      </c>
    </row>
    <row r="37376">
      <c r="B37376" s="31"/>
      <c r="G37376" s="272" t="s">
        <v>1099</v>
      </c>
    </row>
    <row r="37377">
      <c r="B37377" s="31"/>
      <c r="G37377" s="272" t="s">
        <v>1099</v>
      </c>
    </row>
    <row r="37378">
      <c r="B37378" s="31"/>
      <c r="G37378" s="272" t="s">
        <v>1099</v>
      </c>
    </row>
    <row r="37379">
      <c r="B37379" s="31"/>
      <c r="G37379" s="272" t="s">
        <v>1099</v>
      </c>
    </row>
    <row r="37380">
      <c r="B37380" s="31"/>
      <c r="G37380" s="272" t="s">
        <v>1099</v>
      </c>
    </row>
    <row r="37381">
      <c r="B37381" s="31"/>
      <c r="G37381" s="272" t="s">
        <v>1099</v>
      </c>
    </row>
    <row r="37382">
      <c r="B37382" s="31"/>
      <c r="G37382" s="272" t="s">
        <v>1099</v>
      </c>
    </row>
    <row r="37383">
      <c r="B37383" s="31"/>
      <c r="G37383" s="272" t="s">
        <v>1099</v>
      </c>
    </row>
    <row r="37384">
      <c r="B37384" s="31"/>
      <c r="G37384" s="272" t="s">
        <v>1099</v>
      </c>
    </row>
    <row r="37385">
      <c r="B37385" s="31"/>
      <c r="G37385" s="272" t="s">
        <v>1099</v>
      </c>
    </row>
    <row r="37386">
      <c r="B37386" s="31"/>
      <c r="G37386" s="272" t="s">
        <v>1099</v>
      </c>
    </row>
    <row r="37387">
      <c r="B37387" s="31"/>
      <c r="G37387" s="272" t="s">
        <v>1099</v>
      </c>
    </row>
    <row r="37388">
      <c r="B37388" s="31"/>
      <c r="G37388" s="272" t="s">
        <v>1099</v>
      </c>
    </row>
    <row r="37389">
      <c r="B37389" s="31"/>
      <c r="G37389" s="272" t="s">
        <v>1099</v>
      </c>
    </row>
    <row r="37390">
      <c r="B37390" s="31"/>
      <c r="G37390" s="272" t="s">
        <v>1099</v>
      </c>
    </row>
    <row r="37391">
      <c r="B37391" s="31"/>
      <c r="G37391" s="272" t="s">
        <v>1099</v>
      </c>
    </row>
    <row r="37392">
      <c r="B37392" s="31"/>
      <c r="G37392" s="272" t="s">
        <v>1099</v>
      </c>
    </row>
    <row r="37393">
      <c r="B37393" s="31"/>
      <c r="G37393" s="272" t="s">
        <v>1099</v>
      </c>
    </row>
    <row r="37394">
      <c r="B37394" s="31"/>
      <c r="G37394" s="272" t="s">
        <v>1099</v>
      </c>
    </row>
    <row r="37395">
      <c r="B37395" s="31"/>
      <c r="G37395" s="272" t="s">
        <v>1099</v>
      </c>
    </row>
    <row r="37396">
      <c r="B37396" s="31"/>
      <c r="G37396" s="272" t="s">
        <v>1099</v>
      </c>
    </row>
    <row r="37397">
      <c r="B37397" s="31"/>
      <c r="G37397" s="272" t="s">
        <v>1099</v>
      </c>
    </row>
    <row r="37398">
      <c r="B37398" s="31"/>
      <c r="G37398" s="272" t="s">
        <v>1099</v>
      </c>
    </row>
    <row r="37399">
      <c r="B37399" s="31"/>
      <c r="G37399" s="272" t="s">
        <v>1099</v>
      </c>
    </row>
    <row r="37400">
      <c r="B37400" s="31"/>
      <c r="G37400" s="272" t="s">
        <v>1099</v>
      </c>
    </row>
    <row r="37401">
      <c r="B37401" s="31"/>
      <c r="G37401" s="272" t="s">
        <v>1099</v>
      </c>
    </row>
    <row r="37402">
      <c r="B37402" s="31"/>
      <c r="G37402" s="272" t="s">
        <v>1099</v>
      </c>
    </row>
    <row r="37403">
      <c r="B37403" s="31"/>
      <c r="G37403" s="272" t="s">
        <v>1099</v>
      </c>
    </row>
    <row r="37404">
      <c r="B37404" s="31"/>
      <c r="G37404" s="272" t="s">
        <v>1099</v>
      </c>
    </row>
    <row r="37405">
      <c r="B37405" s="31"/>
      <c r="G37405" s="272" t="s">
        <v>1099</v>
      </c>
    </row>
    <row r="37406">
      <c r="B37406" s="31"/>
      <c r="G37406" s="272" t="s">
        <v>1099</v>
      </c>
    </row>
    <row r="37407">
      <c r="B37407" s="31"/>
      <c r="G37407" s="272" t="s">
        <v>1099</v>
      </c>
    </row>
    <row r="37408">
      <c r="B37408" s="31"/>
      <c r="G37408" s="272" t="s">
        <v>1099</v>
      </c>
    </row>
    <row r="37409">
      <c r="B37409" s="31"/>
      <c r="G37409" s="272" t="s">
        <v>1099</v>
      </c>
    </row>
    <row r="37410">
      <c r="B37410" s="31"/>
      <c r="G37410" s="272" t="s">
        <v>1099</v>
      </c>
    </row>
    <row r="37411">
      <c r="B37411" s="31"/>
      <c r="G37411" s="272" t="s">
        <v>1099</v>
      </c>
    </row>
    <row r="37412">
      <c r="B37412" s="31"/>
      <c r="G37412" s="272" t="s">
        <v>1099</v>
      </c>
    </row>
    <row r="37413">
      <c r="B37413" s="31"/>
      <c r="G37413" s="272" t="s">
        <v>1099</v>
      </c>
    </row>
    <row r="37414">
      <c r="B37414" s="31"/>
      <c r="G37414" s="272" t="s">
        <v>1099</v>
      </c>
    </row>
    <row r="37415">
      <c r="B37415" s="31"/>
      <c r="G37415" s="272" t="s">
        <v>1099</v>
      </c>
    </row>
    <row r="37416">
      <c r="B37416" s="31"/>
      <c r="G37416" s="272" t="s">
        <v>1099</v>
      </c>
    </row>
    <row r="37417">
      <c r="B37417" s="31"/>
      <c r="G37417" s="272" t="s">
        <v>1099</v>
      </c>
    </row>
    <row r="37418">
      <c r="B37418" s="31"/>
      <c r="G37418" s="272" t="s">
        <v>1099</v>
      </c>
    </row>
    <row r="37419">
      <c r="B37419" s="31"/>
      <c r="G37419" s="272" t="s">
        <v>1099</v>
      </c>
    </row>
    <row r="37420">
      <c r="B37420" s="31"/>
      <c r="G37420" s="272" t="s">
        <v>1099</v>
      </c>
    </row>
    <row r="37421">
      <c r="B37421" s="31"/>
      <c r="G37421" s="272" t="s">
        <v>1099</v>
      </c>
    </row>
    <row r="37422">
      <c r="B37422" s="31"/>
      <c r="G37422" s="272" t="s">
        <v>1099</v>
      </c>
    </row>
    <row r="37423">
      <c r="B37423" s="31"/>
      <c r="G37423" s="272" t="s">
        <v>1099</v>
      </c>
    </row>
    <row r="37424">
      <c r="B37424" s="31"/>
      <c r="G37424" s="272" t="s">
        <v>1099</v>
      </c>
    </row>
    <row r="37425">
      <c r="B37425" s="31"/>
      <c r="G37425" s="272" t="s">
        <v>1099</v>
      </c>
    </row>
    <row r="37426">
      <c r="B37426" s="31"/>
      <c r="G37426" s="272" t="s">
        <v>1099</v>
      </c>
    </row>
    <row r="37427">
      <c r="B37427" s="31"/>
      <c r="G37427" s="272" t="s">
        <v>1099</v>
      </c>
    </row>
    <row r="37428">
      <c r="B37428" s="31"/>
      <c r="G37428" s="272" t="s">
        <v>1099</v>
      </c>
    </row>
    <row r="37429">
      <c r="B37429" s="31"/>
      <c r="G37429" s="272" t="s">
        <v>1099</v>
      </c>
    </row>
    <row r="37430">
      <c r="B37430" s="31"/>
      <c r="G37430" s="272" t="s">
        <v>1099</v>
      </c>
    </row>
    <row r="37431">
      <c r="B37431" s="31"/>
      <c r="G37431" s="272" t="s">
        <v>1099</v>
      </c>
    </row>
    <row r="37432">
      <c r="B37432" s="31"/>
      <c r="G37432" s="272" t="s">
        <v>1099</v>
      </c>
    </row>
    <row r="37433">
      <c r="B37433" s="31"/>
      <c r="G37433" s="272" t="s">
        <v>1099</v>
      </c>
    </row>
    <row r="37434">
      <c r="B37434" s="31"/>
      <c r="G37434" s="272" t="s">
        <v>1099</v>
      </c>
    </row>
    <row r="37435">
      <c r="B37435" s="31"/>
      <c r="G37435" s="272" t="s">
        <v>1099</v>
      </c>
    </row>
    <row r="37436">
      <c r="B37436" s="31"/>
      <c r="G37436" s="272" t="s">
        <v>1099</v>
      </c>
    </row>
    <row r="37437">
      <c r="B37437" s="31"/>
      <c r="G37437" s="272" t="s">
        <v>1099</v>
      </c>
    </row>
    <row r="37438">
      <c r="B37438" s="31"/>
      <c r="G37438" s="272" t="s">
        <v>1099</v>
      </c>
    </row>
    <row r="37439">
      <c r="B37439" s="31"/>
      <c r="G37439" s="272" t="s">
        <v>1099</v>
      </c>
    </row>
    <row r="37440">
      <c r="B37440" s="31"/>
      <c r="G37440" s="272" t="s">
        <v>1099</v>
      </c>
    </row>
    <row r="37441">
      <c r="B37441" s="31"/>
      <c r="G37441" s="272" t="s">
        <v>1099</v>
      </c>
    </row>
    <row r="37442">
      <c r="B37442" s="31"/>
      <c r="G37442" s="272" t="s">
        <v>1099</v>
      </c>
    </row>
    <row r="37443">
      <c r="B37443" s="31"/>
      <c r="G37443" s="272" t="s">
        <v>1099</v>
      </c>
    </row>
    <row r="37444">
      <c r="B37444" s="31"/>
      <c r="G37444" s="272" t="s">
        <v>1099</v>
      </c>
    </row>
    <row r="37445">
      <c r="B37445" s="31"/>
      <c r="G37445" s="272" t="s">
        <v>1099</v>
      </c>
    </row>
    <row r="37446">
      <c r="B37446" s="31"/>
      <c r="G37446" s="272" t="s">
        <v>1099</v>
      </c>
    </row>
    <row r="37447">
      <c r="B37447" s="31"/>
      <c r="G37447" s="272" t="s">
        <v>1099</v>
      </c>
    </row>
    <row r="37448">
      <c r="B37448" s="31"/>
      <c r="G37448" s="272" t="s">
        <v>1099</v>
      </c>
    </row>
    <row r="37449">
      <c r="B37449" s="31"/>
      <c r="G37449" s="272" t="s">
        <v>1099</v>
      </c>
    </row>
    <row r="37450">
      <c r="B37450" s="31"/>
      <c r="G37450" s="272" t="s">
        <v>1099</v>
      </c>
    </row>
    <row r="37451">
      <c r="B37451" s="31"/>
      <c r="G37451" s="272" t="s">
        <v>1099</v>
      </c>
    </row>
    <row r="37452">
      <c r="B37452" s="31"/>
      <c r="G37452" s="272" t="s">
        <v>1099</v>
      </c>
    </row>
    <row r="37453">
      <c r="B37453" s="31"/>
      <c r="G37453" s="272" t="s">
        <v>1099</v>
      </c>
    </row>
    <row r="37454">
      <c r="B37454" s="31"/>
      <c r="G37454" s="272" t="s">
        <v>1099</v>
      </c>
    </row>
    <row r="37455">
      <c r="B37455" s="31"/>
      <c r="G37455" s="272" t="s">
        <v>1099</v>
      </c>
    </row>
    <row r="37456">
      <c r="B37456" s="31"/>
      <c r="G37456" s="272" t="s">
        <v>1099</v>
      </c>
    </row>
    <row r="37457">
      <c r="B37457" s="31"/>
      <c r="G37457" s="272" t="s">
        <v>1099</v>
      </c>
    </row>
    <row r="37458">
      <c r="B37458" s="31"/>
      <c r="G37458" s="272" t="s">
        <v>1099</v>
      </c>
    </row>
    <row r="37459">
      <c r="B37459" s="31"/>
      <c r="G37459" s="272" t="s">
        <v>1099</v>
      </c>
    </row>
    <row r="37460">
      <c r="B37460" s="31"/>
      <c r="G37460" s="272" t="s">
        <v>1099</v>
      </c>
    </row>
    <row r="37461">
      <c r="B37461" s="31"/>
      <c r="G37461" s="272" t="s">
        <v>1099</v>
      </c>
    </row>
    <row r="37462">
      <c r="B37462" s="31"/>
      <c r="G37462" s="272" t="s">
        <v>1099</v>
      </c>
    </row>
    <row r="37463">
      <c r="B37463" s="31"/>
      <c r="G37463" s="272" t="s">
        <v>1099</v>
      </c>
    </row>
    <row r="37464">
      <c r="B37464" s="31"/>
      <c r="G37464" s="272" t="s">
        <v>1099</v>
      </c>
    </row>
    <row r="37465">
      <c r="B37465" s="31"/>
      <c r="G37465" s="272" t="s">
        <v>1099</v>
      </c>
    </row>
    <row r="37466">
      <c r="B37466" s="31"/>
      <c r="G37466" s="272" t="s">
        <v>1099</v>
      </c>
    </row>
    <row r="37467">
      <c r="B37467" s="31"/>
      <c r="G37467" s="272" t="s">
        <v>1099</v>
      </c>
    </row>
    <row r="37468">
      <c r="B37468" s="31"/>
      <c r="G37468" s="272" t="s">
        <v>1099</v>
      </c>
    </row>
    <row r="37469">
      <c r="B37469" s="31"/>
      <c r="G37469" s="272" t="s">
        <v>1099</v>
      </c>
    </row>
    <row r="37470">
      <c r="B37470" s="31"/>
      <c r="G37470" s="272" t="s">
        <v>1099</v>
      </c>
    </row>
    <row r="37471">
      <c r="B37471" s="31"/>
      <c r="G37471" s="272" t="s">
        <v>1099</v>
      </c>
    </row>
    <row r="37472">
      <c r="B37472" s="31"/>
      <c r="G37472" s="272" t="s">
        <v>1099</v>
      </c>
    </row>
    <row r="37473">
      <c r="B37473" s="31"/>
      <c r="G37473" s="272" t="s">
        <v>1099</v>
      </c>
    </row>
    <row r="37474">
      <c r="B37474" s="31"/>
      <c r="G37474" s="272" t="s">
        <v>1099</v>
      </c>
    </row>
    <row r="37475">
      <c r="B37475" s="31"/>
      <c r="G37475" s="272" t="s">
        <v>1099</v>
      </c>
    </row>
    <row r="37476">
      <c r="B37476" s="31"/>
      <c r="G37476" s="272" t="s">
        <v>1099</v>
      </c>
    </row>
    <row r="37477">
      <c r="B37477" s="31"/>
      <c r="G37477" s="272" t="s">
        <v>1099</v>
      </c>
    </row>
    <row r="37478">
      <c r="B37478" s="31"/>
      <c r="G37478" s="272" t="s">
        <v>1099</v>
      </c>
    </row>
    <row r="37479">
      <c r="B37479" s="31"/>
      <c r="G37479" s="272" t="s">
        <v>1099</v>
      </c>
    </row>
    <row r="37480">
      <c r="B37480" s="31"/>
      <c r="G37480" s="272" t="s">
        <v>1099</v>
      </c>
    </row>
    <row r="37481">
      <c r="B37481" s="31"/>
      <c r="G37481" s="272" t="s">
        <v>1099</v>
      </c>
    </row>
    <row r="37482">
      <c r="B37482" s="31"/>
      <c r="G37482" s="272" t="s">
        <v>1099</v>
      </c>
    </row>
    <row r="37483">
      <c r="B37483" s="31"/>
      <c r="G37483" s="272" t="s">
        <v>1099</v>
      </c>
    </row>
    <row r="37484">
      <c r="B37484" s="31"/>
      <c r="G37484" s="272" t="s">
        <v>1099</v>
      </c>
    </row>
    <row r="37485">
      <c r="B37485" s="31"/>
      <c r="G37485" s="272" t="s">
        <v>1099</v>
      </c>
    </row>
    <row r="37486">
      <c r="B37486" s="31"/>
      <c r="G37486" s="272" t="s">
        <v>1099</v>
      </c>
    </row>
    <row r="37487">
      <c r="B37487" s="31"/>
      <c r="G37487" s="272" t="s">
        <v>1099</v>
      </c>
    </row>
    <row r="37488">
      <c r="B37488" s="31"/>
      <c r="G37488" s="272" t="s">
        <v>1099</v>
      </c>
    </row>
    <row r="37489">
      <c r="B37489" s="31"/>
      <c r="G37489" s="272" t="s">
        <v>1099</v>
      </c>
    </row>
    <row r="37490">
      <c r="B37490" s="31"/>
      <c r="G37490" s="272" t="s">
        <v>1099</v>
      </c>
    </row>
    <row r="37491">
      <c r="B37491" s="31"/>
      <c r="G37491" s="272" t="s">
        <v>1099</v>
      </c>
    </row>
    <row r="37492">
      <c r="B37492" s="31"/>
      <c r="G37492" s="272" t="s">
        <v>1099</v>
      </c>
    </row>
    <row r="37493">
      <c r="B37493" s="31"/>
      <c r="G37493" s="272" t="s">
        <v>1099</v>
      </c>
    </row>
    <row r="37494">
      <c r="B37494" s="31"/>
      <c r="G37494" s="272" t="s">
        <v>1099</v>
      </c>
    </row>
    <row r="37495">
      <c r="B37495" s="31"/>
      <c r="G37495" s="272" t="s">
        <v>1099</v>
      </c>
    </row>
    <row r="37496">
      <c r="B37496" s="31"/>
      <c r="G37496" s="272" t="s">
        <v>1099</v>
      </c>
    </row>
    <row r="37497">
      <c r="B37497" s="31"/>
      <c r="G37497" s="272" t="s">
        <v>1099</v>
      </c>
    </row>
    <row r="37498">
      <c r="B37498" s="31"/>
      <c r="G37498" s="272" t="s">
        <v>1099</v>
      </c>
    </row>
    <row r="37499">
      <c r="B37499" s="31"/>
      <c r="G37499" s="272" t="s">
        <v>1099</v>
      </c>
    </row>
    <row r="37500">
      <c r="B37500" s="31"/>
      <c r="G37500" s="272" t="s">
        <v>1099</v>
      </c>
    </row>
    <row r="37501">
      <c r="B37501" s="31"/>
      <c r="G37501" s="272" t="s">
        <v>1099</v>
      </c>
    </row>
    <row r="37502">
      <c r="B37502" s="31"/>
      <c r="G37502" s="272" t="s">
        <v>1099</v>
      </c>
    </row>
    <row r="37503">
      <c r="B37503" s="31"/>
      <c r="G37503" s="272" t="s">
        <v>1099</v>
      </c>
    </row>
    <row r="37504">
      <c r="B37504" s="31"/>
      <c r="G37504" s="272" t="s">
        <v>1099</v>
      </c>
    </row>
    <row r="37505">
      <c r="B37505" s="31"/>
      <c r="G37505" s="272" t="s">
        <v>1099</v>
      </c>
    </row>
    <row r="37506">
      <c r="B37506" s="31"/>
      <c r="G37506" s="272" t="s">
        <v>1099</v>
      </c>
    </row>
    <row r="37507">
      <c r="B37507" s="31"/>
      <c r="G37507" s="272" t="s">
        <v>1099</v>
      </c>
    </row>
    <row r="37508">
      <c r="B37508" s="31"/>
      <c r="G37508" s="272" t="s">
        <v>1099</v>
      </c>
    </row>
    <row r="37509">
      <c r="B37509" s="31"/>
      <c r="G37509" s="272" t="s">
        <v>1099</v>
      </c>
    </row>
    <row r="37510">
      <c r="B37510" s="31"/>
      <c r="G37510" s="272" t="s">
        <v>1099</v>
      </c>
    </row>
    <row r="37511">
      <c r="B37511" s="31"/>
      <c r="G37511" s="272" t="s">
        <v>1099</v>
      </c>
    </row>
    <row r="37512">
      <c r="B37512" s="31"/>
      <c r="G37512" s="272" t="s">
        <v>1099</v>
      </c>
    </row>
    <row r="37513">
      <c r="B37513" s="31"/>
      <c r="G37513" s="272" t="s">
        <v>1099</v>
      </c>
    </row>
    <row r="37514">
      <c r="B37514" s="31"/>
      <c r="G37514" s="272" t="s">
        <v>1099</v>
      </c>
    </row>
    <row r="37515">
      <c r="B37515" s="31"/>
      <c r="G37515" s="272" t="s">
        <v>1099</v>
      </c>
    </row>
    <row r="37516">
      <c r="B37516" s="31"/>
      <c r="G37516" s="272" t="s">
        <v>1099</v>
      </c>
    </row>
    <row r="37517">
      <c r="B37517" s="31"/>
      <c r="G37517" s="272" t="s">
        <v>1099</v>
      </c>
    </row>
    <row r="37518">
      <c r="B37518" s="31"/>
      <c r="G37518" s="272" t="s">
        <v>1099</v>
      </c>
    </row>
    <row r="37519">
      <c r="B37519" s="31"/>
      <c r="G37519" s="272" t="s">
        <v>1099</v>
      </c>
    </row>
    <row r="37520">
      <c r="B37520" s="31"/>
      <c r="G37520" s="272" t="s">
        <v>1099</v>
      </c>
    </row>
    <row r="37521">
      <c r="B37521" s="31"/>
      <c r="G37521" s="272" t="s">
        <v>1099</v>
      </c>
    </row>
    <row r="37522">
      <c r="B37522" s="31"/>
      <c r="G37522" s="272" t="s">
        <v>1099</v>
      </c>
    </row>
    <row r="37523">
      <c r="B37523" s="31"/>
      <c r="G37523" s="272" t="s">
        <v>1099</v>
      </c>
    </row>
    <row r="37524">
      <c r="B37524" s="31"/>
      <c r="G37524" s="272" t="s">
        <v>1099</v>
      </c>
    </row>
    <row r="37525">
      <c r="B37525" s="31"/>
      <c r="G37525" s="272" t="s">
        <v>1099</v>
      </c>
    </row>
    <row r="37526">
      <c r="B37526" s="31"/>
      <c r="G37526" s="272" t="s">
        <v>1099</v>
      </c>
    </row>
    <row r="37527">
      <c r="B37527" s="31"/>
      <c r="G37527" s="272" t="s">
        <v>1099</v>
      </c>
    </row>
    <row r="37528">
      <c r="B37528" s="31"/>
      <c r="G37528" s="272" t="s">
        <v>1099</v>
      </c>
    </row>
    <row r="37529">
      <c r="B37529" s="31"/>
      <c r="G37529" s="272" t="s">
        <v>1099</v>
      </c>
    </row>
    <row r="37530">
      <c r="B37530" s="31"/>
      <c r="G37530" s="272" t="s">
        <v>1099</v>
      </c>
    </row>
    <row r="37531">
      <c r="B37531" s="31"/>
      <c r="G37531" s="272" t="s">
        <v>1099</v>
      </c>
    </row>
    <row r="37532">
      <c r="B37532" s="31"/>
      <c r="G37532" s="272" t="s">
        <v>1099</v>
      </c>
    </row>
    <row r="37533">
      <c r="B37533" s="31"/>
      <c r="G37533" s="272" t="s">
        <v>1099</v>
      </c>
    </row>
    <row r="37534">
      <c r="B37534" s="31"/>
      <c r="G37534" s="272" t="s">
        <v>1099</v>
      </c>
    </row>
    <row r="37535">
      <c r="B37535" s="31"/>
      <c r="G37535" s="272" t="s">
        <v>1099</v>
      </c>
    </row>
    <row r="37536">
      <c r="B37536" s="31"/>
      <c r="G37536" s="272" t="s">
        <v>1099</v>
      </c>
    </row>
    <row r="37537">
      <c r="B37537" s="31"/>
      <c r="G37537" s="272" t="s">
        <v>1099</v>
      </c>
    </row>
    <row r="37538">
      <c r="B37538" s="31"/>
      <c r="G37538" s="272" t="s">
        <v>1099</v>
      </c>
    </row>
    <row r="37539">
      <c r="B37539" s="31"/>
      <c r="G37539" s="272" t="s">
        <v>1099</v>
      </c>
    </row>
    <row r="37540">
      <c r="B37540" s="31"/>
      <c r="G37540" s="272" t="s">
        <v>1099</v>
      </c>
    </row>
    <row r="37541">
      <c r="B37541" s="31"/>
      <c r="G37541" s="272" t="s">
        <v>1099</v>
      </c>
    </row>
    <row r="37542">
      <c r="B37542" s="31"/>
      <c r="G37542" s="272" t="s">
        <v>1099</v>
      </c>
    </row>
    <row r="37543">
      <c r="B37543" s="31"/>
      <c r="G37543" s="272" t="s">
        <v>1099</v>
      </c>
    </row>
    <row r="37544">
      <c r="B37544" s="31"/>
      <c r="G37544" s="272" t="s">
        <v>1099</v>
      </c>
    </row>
    <row r="37545">
      <c r="B37545" s="31"/>
      <c r="G37545" s="272" t="s">
        <v>1099</v>
      </c>
    </row>
    <row r="37546">
      <c r="B37546" s="31"/>
      <c r="G37546" s="272" t="s">
        <v>1099</v>
      </c>
    </row>
    <row r="37547">
      <c r="B37547" s="31"/>
      <c r="G37547" s="272" t="s">
        <v>1099</v>
      </c>
    </row>
    <row r="37548">
      <c r="B37548" s="31"/>
      <c r="G37548" s="272" t="s">
        <v>1099</v>
      </c>
    </row>
    <row r="37549">
      <c r="B37549" s="31"/>
      <c r="G37549" s="272" t="s">
        <v>1099</v>
      </c>
    </row>
    <row r="37550">
      <c r="B37550" s="31"/>
      <c r="G37550" s="272" t="s">
        <v>1099</v>
      </c>
    </row>
    <row r="37551">
      <c r="B37551" s="31"/>
      <c r="G37551" s="272" t="s">
        <v>1099</v>
      </c>
    </row>
    <row r="37552">
      <c r="B37552" s="31"/>
      <c r="G37552" s="272" t="s">
        <v>1099</v>
      </c>
    </row>
    <row r="37553">
      <c r="B37553" s="31"/>
      <c r="G37553" s="272" t="s">
        <v>1099</v>
      </c>
    </row>
    <row r="37554">
      <c r="B37554" s="31"/>
      <c r="G37554" s="272" t="s">
        <v>1099</v>
      </c>
    </row>
    <row r="37555">
      <c r="B37555" s="31"/>
      <c r="G37555" s="272" t="s">
        <v>1099</v>
      </c>
    </row>
    <row r="37556">
      <c r="B37556" s="31"/>
      <c r="G37556" s="272" t="s">
        <v>1099</v>
      </c>
    </row>
    <row r="37557">
      <c r="B37557" s="31"/>
      <c r="G37557" s="272" t="s">
        <v>1099</v>
      </c>
    </row>
    <row r="37558">
      <c r="B37558" s="31"/>
      <c r="G37558" s="272" t="s">
        <v>1099</v>
      </c>
    </row>
    <row r="37559">
      <c r="B37559" s="31"/>
      <c r="G37559" s="272" t="s">
        <v>1099</v>
      </c>
    </row>
    <row r="37560">
      <c r="B37560" s="31"/>
      <c r="G37560" s="272" t="s">
        <v>1099</v>
      </c>
    </row>
    <row r="37561">
      <c r="B37561" s="31"/>
      <c r="G37561" s="272" t="s">
        <v>1099</v>
      </c>
    </row>
    <row r="37562">
      <c r="B37562" s="31"/>
      <c r="G37562" s="272" t="s">
        <v>1099</v>
      </c>
    </row>
    <row r="37563">
      <c r="B37563" s="31"/>
      <c r="G37563" s="272" t="s">
        <v>1099</v>
      </c>
    </row>
    <row r="37564">
      <c r="B37564" s="31"/>
      <c r="G37564" s="272" t="s">
        <v>1099</v>
      </c>
    </row>
    <row r="37565">
      <c r="B37565" s="31"/>
      <c r="G37565" s="272" t="s">
        <v>1099</v>
      </c>
    </row>
    <row r="37566">
      <c r="B37566" s="31"/>
      <c r="G37566" s="272" t="s">
        <v>1099</v>
      </c>
    </row>
    <row r="37567">
      <c r="B37567" s="31"/>
      <c r="G37567" s="272" t="s">
        <v>1099</v>
      </c>
    </row>
    <row r="37568">
      <c r="B37568" s="31"/>
      <c r="G37568" s="272" t="s">
        <v>1099</v>
      </c>
    </row>
    <row r="37569">
      <c r="B37569" s="31"/>
      <c r="G37569" s="272" t="s">
        <v>1099</v>
      </c>
    </row>
    <row r="37570">
      <c r="B37570" s="31"/>
      <c r="G37570" s="272" t="s">
        <v>1099</v>
      </c>
    </row>
    <row r="37571">
      <c r="B37571" s="31"/>
      <c r="G37571" s="272" t="s">
        <v>1099</v>
      </c>
    </row>
    <row r="37572">
      <c r="B37572" s="31"/>
      <c r="G37572" s="272" t="s">
        <v>1099</v>
      </c>
    </row>
    <row r="37573">
      <c r="B37573" s="31"/>
      <c r="G37573" s="272" t="s">
        <v>1099</v>
      </c>
    </row>
    <row r="37574">
      <c r="B37574" s="31"/>
      <c r="G37574" s="272" t="s">
        <v>1099</v>
      </c>
    </row>
    <row r="37575">
      <c r="B37575" s="31"/>
      <c r="G37575" s="272" t="s">
        <v>1099</v>
      </c>
    </row>
    <row r="37576">
      <c r="B37576" s="31"/>
      <c r="G37576" s="272" t="s">
        <v>1099</v>
      </c>
    </row>
    <row r="37577">
      <c r="B37577" s="31"/>
      <c r="G37577" s="272" t="s">
        <v>1099</v>
      </c>
    </row>
    <row r="37578">
      <c r="B37578" s="31"/>
      <c r="G37578" s="272" t="s">
        <v>1099</v>
      </c>
    </row>
    <row r="37579">
      <c r="B37579" s="31"/>
      <c r="G37579" s="272" t="s">
        <v>1099</v>
      </c>
    </row>
    <row r="37580">
      <c r="B37580" s="31"/>
      <c r="G37580" s="272" t="s">
        <v>1099</v>
      </c>
    </row>
    <row r="37581">
      <c r="B37581" s="31"/>
      <c r="G37581" s="272" t="s">
        <v>1099</v>
      </c>
    </row>
    <row r="37582">
      <c r="B37582" s="31"/>
      <c r="G37582" s="272" t="s">
        <v>1099</v>
      </c>
    </row>
    <row r="37583">
      <c r="B37583" s="31"/>
      <c r="G37583" s="272" t="s">
        <v>1099</v>
      </c>
    </row>
    <row r="37584">
      <c r="B37584" s="31"/>
      <c r="G37584" s="272" t="s">
        <v>1099</v>
      </c>
    </row>
    <row r="37585">
      <c r="B37585" s="31"/>
      <c r="G37585" s="272" t="s">
        <v>1099</v>
      </c>
    </row>
    <row r="37586">
      <c r="B37586" s="31"/>
      <c r="G37586" s="272" t="s">
        <v>1099</v>
      </c>
    </row>
    <row r="37587">
      <c r="B37587" s="31"/>
      <c r="G37587" s="272" t="s">
        <v>1099</v>
      </c>
    </row>
    <row r="37588">
      <c r="B37588" s="31"/>
      <c r="G37588" s="272" t="s">
        <v>1099</v>
      </c>
    </row>
    <row r="37589">
      <c r="B37589" s="31"/>
      <c r="G37589" s="272" t="s">
        <v>1099</v>
      </c>
    </row>
    <row r="37590">
      <c r="B37590" s="31"/>
      <c r="G37590" s="272" t="s">
        <v>1099</v>
      </c>
    </row>
    <row r="37591">
      <c r="B37591" s="31"/>
      <c r="G37591" s="272" t="s">
        <v>1099</v>
      </c>
    </row>
    <row r="37592">
      <c r="B37592" s="31"/>
      <c r="G37592" s="272" t="s">
        <v>1099</v>
      </c>
    </row>
    <row r="37593">
      <c r="B37593" s="31"/>
      <c r="G37593" s="272" t="s">
        <v>1099</v>
      </c>
    </row>
    <row r="37594">
      <c r="B37594" s="31"/>
      <c r="G37594" s="272" t="s">
        <v>1099</v>
      </c>
    </row>
    <row r="37595">
      <c r="B37595" s="31"/>
      <c r="G37595" s="272" t="s">
        <v>1099</v>
      </c>
    </row>
    <row r="37596">
      <c r="B37596" s="31"/>
      <c r="G37596" s="272" t="s">
        <v>1099</v>
      </c>
    </row>
    <row r="37597">
      <c r="B37597" s="31"/>
      <c r="G37597" s="272" t="s">
        <v>1099</v>
      </c>
    </row>
    <row r="37598">
      <c r="B37598" s="31"/>
      <c r="G37598" s="272" t="s">
        <v>1099</v>
      </c>
    </row>
    <row r="37599">
      <c r="B37599" s="31"/>
      <c r="G37599" s="272" t="s">
        <v>1099</v>
      </c>
    </row>
    <row r="37600">
      <c r="B37600" s="31"/>
      <c r="G37600" s="272" t="s">
        <v>1099</v>
      </c>
    </row>
    <row r="37601">
      <c r="B37601" s="31"/>
      <c r="G37601" s="272" t="s">
        <v>1099</v>
      </c>
    </row>
    <row r="37602">
      <c r="B37602" s="31"/>
      <c r="G37602" s="272" t="s">
        <v>1099</v>
      </c>
    </row>
    <row r="37603">
      <c r="B37603" s="31"/>
      <c r="G37603" s="272" t="s">
        <v>1099</v>
      </c>
    </row>
    <row r="37604">
      <c r="B37604" s="31"/>
      <c r="G37604" s="272" t="s">
        <v>1099</v>
      </c>
    </row>
    <row r="37605">
      <c r="B37605" s="31"/>
      <c r="G37605" s="272" t="s">
        <v>1099</v>
      </c>
    </row>
    <row r="37606">
      <c r="B37606" s="31"/>
      <c r="G37606" s="272" t="s">
        <v>1099</v>
      </c>
    </row>
    <row r="37607">
      <c r="B37607" s="31"/>
      <c r="G37607" s="272" t="s">
        <v>1099</v>
      </c>
    </row>
    <row r="37608">
      <c r="B37608" s="31"/>
      <c r="G37608" s="272" t="s">
        <v>1099</v>
      </c>
    </row>
    <row r="37609">
      <c r="B37609" s="31"/>
      <c r="G37609" s="272" t="s">
        <v>1099</v>
      </c>
    </row>
    <row r="37610">
      <c r="B37610" s="31"/>
      <c r="G37610" s="272" t="s">
        <v>1099</v>
      </c>
    </row>
    <row r="37611">
      <c r="B37611" s="31"/>
      <c r="G37611" s="272" t="s">
        <v>1099</v>
      </c>
    </row>
    <row r="37612">
      <c r="B37612" s="31"/>
      <c r="G37612" s="272" t="s">
        <v>1099</v>
      </c>
    </row>
    <row r="37613">
      <c r="B37613" s="31"/>
      <c r="G37613" s="272" t="s">
        <v>1099</v>
      </c>
    </row>
    <row r="37614">
      <c r="B37614" s="31"/>
      <c r="G37614" s="272" t="s">
        <v>1099</v>
      </c>
    </row>
    <row r="37615">
      <c r="B37615" s="31"/>
      <c r="G37615" s="272" t="s">
        <v>1099</v>
      </c>
    </row>
    <row r="37616">
      <c r="B37616" s="31"/>
      <c r="G37616" s="272" t="s">
        <v>1099</v>
      </c>
    </row>
    <row r="37617">
      <c r="B37617" s="31"/>
      <c r="G37617" s="272" t="s">
        <v>1099</v>
      </c>
    </row>
    <row r="37618">
      <c r="B37618" s="31"/>
      <c r="G37618" s="272" t="s">
        <v>1099</v>
      </c>
    </row>
    <row r="37619">
      <c r="B37619" s="31"/>
      <c r="G37619" s="272" t="s">
        <v>1099</v>
      </c>
    </row>
    <row r="37620">
      <c r="B37620" s="31"/>
      <c r="G37620" s="272" t="s">
        <v>1099</v>
      </c>
    </row>
    <row r="37621">
      <c r="B37621" s="31"/>
      <c r="G37621" s="272" t="s">
        <v>1099</v>
      </c>
    </row>
    <row r="37622">
      <c r="B37622" s="31"/>
      <c r="G37622" s="272" t="s">
        <v>1099</v>
      </c>
    </row>
    <row r="37623">
      <c r="B37623" s="31"/>
      <c r="G37623" s="272" t="s">
        <v>1099</v>
      </c>
    </row>
    <row r="37624">
      <c r="B37624" s="31"/>
      <c r="G37624" s="272" t="s">
        <v>1099</v>
      </c>
    </row>
    <row r="37625">
      <c r="B37625" s="31"/>
      <c r="G37625" s="272" t="s">
        <v>1099</v>
      </c>
    </row>
    <row r="37626">
      <c r="B37626" s="31"/>
      <c r="G37626" s="272" t="s">
        <v>1099</v>
      </c>
    </row>
    <row r="37627">
      <c r="B37627" s="31"/>
      <c r="G37627" s="272" t="s">
        <v>1099</v>
      </c>
    </row>
    <row r="37628">
      <c r="B37628" s="31"/>
      <c r="G37628" s="272" t="s">
        <v>1099</v>
      </c>
    </row>
    <row r="37629">
      <c r="B37629" s="31"/>
      <c r="G37629" s="272" t="s">
        <v>1099</v>
      </c>
    </row>
    <row r="37630">
      <c r="B37630" s="31"/>
      <c r="G37630" s="272" t="s">
        <v>1099</v>
      </c>
    </row>
    <row r="37631">
      <c r="B37631" s="31"/>
      <c r="G37631" s="272" t="s">
        <v>1099</v>
      </c>
    </row>
    <row r="37632">
      <c r="B37632" s="31"/>
      <c r="G37632" s="272" t="s">
        <v>1099</v>
      </c>
    </row>
    <row r="37633">
      <c r="B37633" s="31"/>
      <c r="G37633" s="272" t="s">
        <v>1099</v>
      </c>
    </row>
    <row r="37634">
      <c r="B37634" s="31"/>
      <c r="G37634" s="272" t="s">
        <v>1099</v>
      </c>
    </row>
    <row r="37635">
      <c r="B37635" s="31"/>
      <c r="G37635" s="272" t="s">
        <v>1099</v>
      </c>
    </row>
    <row r="37636">
      <c r="B37636" s="31"/>
      <c r="G37636" s="272" t="s">
        <v>1099</v>
      </c>
    </row>
    <row r="37637">
      <c r="B37637" s="31"/>
      <c r="G37637" s="272" t="s">
        <v>1099</v>
      </c>
    </row>
    <row r="37638">
      <c r="B37638" s="31"/>
      <c r="G37638" s="272" t="s">
        <v>1099</v>
      </c>
    </row>
    <row r="37639">
      <c r="B37639" s="31"/>
      <c r="G37639" s="272" t="s">
        <v>1099</v>
      </c>
    </row>
    <row r="37640">
      <c r="B37640" s="31"/>
      <c r="G37640" s="272" t="s">
        <v>1099</v>
      </c>
    </row>
    <row r="37641">
      <c r="B37641" s="31"/>
      <c r="G37641" s="272" t="s">
        <v>1099</v>
      </c>
    </row>
    <row r="37642">
      <c r="B37642" s="31"/>
      <c r="G37642" s="272" t="s">
        <v>1099</v>
      </c>
    </row>
    <row r="37643">
      <c r="B37643" s="31"/>
      <c r="G37643" s="272" t="s">
        <v>1099</v>
      </c>
    </row>
    <row r="37644">
      <c r="B37644" s="31"/>
      <c r="G37644" s="272" t="s">
        <v>1099</v>
      </c>
    </row>
    <row r="37645">
      <c r="B37645" s="31"/>
      <c r="G37645" s="272" t="s">
        <v>1099</v>
      </c>
    </row>
    <row r="37646">
      <c r="B37646" s="31"/>
      <c r="G37646" s="272" t="s">
        <v>1099</v>
      </c>
    </row>
    <row r="37647">
      <c r="B37647" s="31"/>
      <c r="G37647" s="272" t="s">
        <v>1099</v>
      </c>
    </row>
    <row r="37648">
      <c r="B37648" s="31"/>
      <c r="G37648" s="272" t="s">
        <v>1099</v>
      </c>
    </row>
    <row r="37649">
      <c r="B37649" s="31"/>
      <c r="G37649" s="272" t="s">
        <v>1099</v>
      </c>
    </row>
    <row r="37650">
      <c r="B37650" s="31"/>
      <c r="G37650" s="272" t="s">
        <v>1099</v>
      </c>
    </row>
    <row r="37651">
      <c r="B37651" s="31"/>
      <c r="G37651" s="272" t="s">
        <v>1099</v>
      </c>
    </row>
    <row r="37652">
      <c r="B37652" s="31"/>
      <c r="G37652" s="272" t="s">
        <v>1099</v>
      </c>
    </row>
    <row r="37653">
      <c r="B37653" s="31"/>
      <c r="G37653" s="272" t="s">
        <v>1099</v>
      </c>
    </row>
    <row r="37654">
      <c r="B37654" s="31"/>
      <c r="G37654" s="272" t="s">
        <v>1099</v>
      </c>
    </row>
    <row r="37655">
      <c r="B37655" s="31"/>
      <c r="G37655" s="272" t="s">
        <v>1099</v>
      </c>
    </row>
    <row r="37656">
      <c r="B37656" s="31"/>
      <c r="G37656" s="272" t="s">
        <v>1099</v>
      </c>
    </row>
    <row r="37657">
      <c r="B37657" s="31"/>
      <c r="G37657" s="272" t="s">
        <v>1099</v>
      </c>
    </row>
    <row r="37658">
      <c r="B37658" s="31"/>
      <c r="G37658" s="272" t="s">
        <v>1099</v>
      </c>
    </row>
    <row r="37659">
      <c r="B37659" s="31"/>
      <c r="G37659" s="272" t="s">
        <v>1099</v>
      </c>
    </row>
    <row r="37660">
      <c r="B37660" s="31"/>
      <c r="G37660" s="272" t="s">
        <v>1099</v>
      </c>
    </row>
    <row r="37661">
      <c r="B37661" s="31"/>
      <c r="G37661" s="272" t="s">
        <v>1099</v>
      </c>
    </row>
    <row r="37662">
      <c r="B37662" s="31"/>
      <c r="G37662" s="272" t="s">
        <v>1099</v>
      </c>
    </row>
    <row r="37663">
      <c r="B37663" s="31"/>
      <c r="G37663" s="272" t="s">
        <v>1099</v>
      </c>
    </row>
    <row r="37664">
      <c r="B37664" s="31"/>
      <c r="G37664" s="272" t="s">
        <v>1099</v>
      </c>
    </row>
    <row r="37665">
      <c r="B37665" s="31"/>
      <c r="G37665" s="272" t="s">
        <v>1099</v>
      </c>
    </row>
    <row r="37666">
      <c r="B37666" s="31"/>
      <c r="G37666" s="272" t="s">
        <v>1099</v>
      </c>
    </row>
    <row r="37667">
      <c r="B37667" s="31"/>
      <c r="G37667" s="272" t="s">
        <v>1099</v>
      </c>
    </row>
    <row r="37668">
      <c r="B37668" s="31"/>
      <c r="G37668" s="272" t="s">
        <v>1099</v>
      </c>
    </row>
    <row r="37669">
      <c r="B37669" s="31"/>
      <c r="G37669" s="272" t="s">
        <v>1099</v>
      </c>
    </row>
    <row r="37670">
      <c r="B37670" s="31"/>
      <c r="G37670" s="272" t="s">
        <v>1099</v>
      </c>
    </row>
    <row r="37671">
      <c r="B37671" s="31"/>
      <c r="G37671" s="272" t="s">
        <v>1099</v>
      </c>
    </row>
    <row r="37672">
      <c r="B37672" s="31"/>
      <c r="G37672" s="272" t="s">
        <v>1099</v>
      </c>
    </row>
    <row r="37673">
      <c r="B37673" s="31"/>
      <c r="G37673" s="272" t="s">
        <v>1099</v>
      </c>
    </row>
    <row r="37674">
      <c r="B37674" s="31"/>
      <c r="G37674" s="272" t="s">
        <v>1099</v>
      </c>
    </row>
    <row r="37675">
      <c r="B37675" s="31"/>
      <c r="G37675" s="272" t="s">
        <v>1099</v>
      </c>
    </row>
    <row r="37676">
      <c r="B37676" s="31"/>
      <c r="G37676" s="272" t="s">
        <v>1099</v>
      </c>
    </row>
    <row r="37677">
      <c r="B37677" s="31"/>
      <c r="G37677" s="272" t="s">
        <v>1099</v>
      </c>
    </row>
    <row r="37678">
      <c r="B37678" s="31"/>
      <c r="G37678" s="272" t="s">
        <v>1099</v>
      </c>
    </row>
    <row r="37679">
      <c r="B37679" s="31"/>
      <c r="G37679" s="272" t="s">
        <v>1099</v>
      </c>
    </row>
    <row r="37680">
      <c r="B37680" s="31"/>
      <c r="G37680" s="272" t="s">
        <v>1099</v>
      </c>
    </row>
    <row r="37681">
      <c r="B37681" s="31"/>
      <c r="G37681" s="272" t="s">
        <v>1099</v>
      </c>
    </row>
    <row r="37682">
      <c r="B37682" s="31"/>
      <c r="G37682" s="272" t="s">
        <v>1099</v>
      </c>
    </row>
    <row r="37683">
      <c r="B37683" s="31"/>
      <c r="G37683" s="272" t="s">
        <v>1099</v>
      </c>
    </row>
    <row r="37684">
      <c r="B37684" s="31"/>
      <c r="G37684" s="272" t="s">
        <v>1099</v>
      </c>
    </row>
    <row r="37685">
      <c r="B37685" s="31"/>
      <c r="G37685" s="272" t="s">
        <v>1099</v>
      </c>
    </row>
    <row r="37686">
      <c r="B37686" s="31"/>
      <c r="G37686" s="272" t="s">
        <v>1099</v>
      </c>
    </row>
    <row r="37687">
      <c r="B37687" s="31"/>
      <c r="G37687" s="272" t="s">
        <v>1099</v>
      </c>
    </row>
    <row r="37688">
      <c r="B37688" s="31"/>
      <c r="G37688" s="272" t="s">
        <v>1099</v>
      </c>
    </row>
    <row r="37689">
      <c r="B37689" s="31"/>
      <c r="G37689" s="272" t="s">
        <v>1099</v>
      </c>
    </row>
    <row r="37690">
      <c r="B37690" s="31"/>
      <c r="G37690" s="272" t="s">
        <v>1099</v>
      </c>
    </row>
    <row r="37691">
      <c r="B37691" s="31"/>
      <c r="G37691" s="272" t="s">
        <v>1099</v>
      </c>
    </row>
    <row r="37692">
      <c r="B37692" s="31"/>
      <c r="G37692" s="272" t="s">
        <v>1099</v>
      </c>
    </row>
    <row r="37693">
      <c r="B37693" s="31"/>
      <c r="G37693" s="272" t="s">
        <v>1099</v>
      </c>
    </row>
    <row r="37694">
      <c r="B37694" s="31"/>
      <c r="G37694" s="272" t="s">
        <v>1099</v>
      </c>
    </row>
    <row r="37695">
      <c r="B37695" s="31"/>
      <c r="G37695" s="272" t="s">
        <v>1099</v>
      </c>
    </row>
    <row r="37696">
      <c r="B37696" s="31"/>
      <c r="G37696" s="272" t="s">
        <v>1099</v>
      </c>
    </row>
    <row r="37697">
      <c r="B37697" s="31"/>
      <c r="G37697" s="272" t="s">
        <v>1099</v>
      </c>
    </row>
    <row r="37698">
      <c r="B37698" s="31"/>
      <c r="G37698" s="272" t="s">
        <v>1099</v>
      </c>
    </row>
    <row r="37699">
      <c r="B37699" s="31"/>
      <c r="G37699" s="272" t="s">
        <v>1099</v>
      </c>
    </row>
    <row r="37700">
      <c r="B37700" s="31"/>
      <c r="G37700" s="272" t="s">
        <v>1099</v>
      </c>
    </row>
    <row r="37701">
      <c r="B37701" s="31"/>
      <c r="G37701" s="272" t="s">
        <v>1099</v>
      </c>
    </row>
    <row r="37702">
      <c r="B37702" s="31"/>
      <c r="G37702" s="272" t="s">
        <v>1099</v>
      </c>
    </row>
    <row r="37703">
      <c r="B37703" s="31"/>
      <c r="G37703" s="272" t="s">
        <v>1099</v>
      </c>
    </row>
    <row r="37704">
      <c r="B37704" s="31"/>
      <c r="G37704" s="272" t="s">
        <v>1099</v>
      </c>
    </row>
    <row r="37705">
      <c r="B37705" s="31"/>
      <c r="G37705" s="272" t="s">
        <v>1099</v>
      </c>
    </row>
    <row r="37706">
      <c r="B37706" s="31"/>
      <c r="G37706" s="272" t="s">
        <v>1099</v>
      </c>
    </row>
    <row r="37707">
      <c r="B37707" s="31"/>
      <c r="G37707" s="272" t="s">
        <v>1099</v>
      </c>
    </row>
    <row r="37708">
      <c r="B37708" s="31"/>
      <c r="G37708" s="272" t="s">
        <v>1099</v>
      </c>
    </row>
    <row r="37709">
      <c r="B37709" s="31"/>
      <c r="G37709" s="272" t="s">
        <v>1099</v>
      </c>
    </row>
    <row r="37710">
      <c r="B37710" s="31"/>
      <c r="G37710" s="272" t="s">
        <v>1099</v>
      </c>
    </row>
    <row r="37711">
      <c r="B37711" s="31"/>
      <c r="G37711" s="272" t="s">
        <v>1099</v>
      </c>
    </row>
    <row r="37712">
      <c r="B37712" s="31"/>
      <c r="G37712" s="272" t="s">
        <v>1099</v>
      </c>
    </row>
    <row r="37713">
      <c r="B37713" s="31"/>
      <c r="G37713" s="272" t="s">
        <v>1099</v>
      </c>
    </row>
    <row r="37714">
      <c r="B37714" s="31"/>
      <c r="G37714" s="272" t="s">
        <v>1099</v>
      </c>
    </row>
    <row r="37715">
      <c r="B37715" s="31"/>
      <c r="G37715" s="272" t="s">
        <v>1099</v>
      </c>
    </row>
    <row r="37716">
      <c r="B37716" s="31"/>
      <c r="G37716" s="272" t="s">
        <v>1099</v>
      </c>
    </row>
    <row r="37717">
      <c r="B37717" s="31"/>
      <c r="G37717" s="272" t="s">
        <v>1099</v>
      </c>
    </row>
    <row r="37718">
      <c r="B37718" s="31"/>
      <c r="G37718" s="272" t="s">
        <v>1099</v>
      </c>
    </row>
    <row r="37719">
      <c r="B37719" s="31"/>
      <c r="G37719" s="272" t="s">
        <v>1099</v>
      </c>
    </row>
    <row r="37720">
      <c r="B37720" s="31"/>
      <c r="G37720" s="272" t="s">
        <v>1099</v>
      </c>
    </row>
    <row r="37721">
      <c r="B37721" s="31"/>
      <c r="G37721" s="272" t="s">
        <v>1099</v>
      </c>
    </row>
    <row r="37722">
      <c r="B37722" s="31"/>
      <c r="G37722" s="272" t="s">
        <v>1099</v>
      </c>
    </row>
    <row r="37723">
      <c r="B37723" s="31"/>
      <c r="G37723" s="272" t="s">
        <v>1099</v>
      </c>
    </row>
    <row r="37724">
      <c r="B37724" s="31"/>
      <c r="G37724" s="272" t="s">
        <v>1099</v>
      </c>
    </row>
    <row r="37725">
      <c r="B37725" s="31"/>
      <c r="G37725" s="272" t="s">
        <v>1099</v>
      </c>
    </row>
    <row r="37726">
      <c r="B37726" s="31"/>
      <c r="G37726" s="272" t="s">
        <v>1099</v>
      </c>
    </row>
    <row r="37727">
      <c r="B37727" s="31"/>
      <c r="G37727" s="272" t="s">
        <v>1099</v>
      </c>
    </row>
    <row r="37728">
      <c r="B37728" s="31"/>
      <c r="G37728" s="272" t="s">
        <v>1099</v>
      </c>
    </row>
    <row r="37729">
      <c r="B37729" s="31"/>
      <c r="G37729" s="272" t="s">
        <v>1099</v>
      </c>
    </row>
    <row r="37730">
      <c r="B37730" s="31"/>
      <c r="G37730" s="272" t="s">
        <v>1099</v>
      </c>
    </row>
    <row r="37731">
      <c r="B37731" s="31"/>
      <c r="G37731" s="272" t="s">
        <v>1099</v>
      </c>
    </row>
    <row r="37732">
      <c r="B37732" s="31"/>
      <c r="G37732" s="272" t="s">
        <v>1099</v>
      </c>
    </row>
    <row r="37733">
      <c r="B37733" s="31"/>
      <c r="G37733" s="272" t="s">
        <v>1099</v>
      </c>
    </row>
    <row r="37734">
      <c r="B37734" s="31"/>
      <c r="G37734" s="272" t="s">
        <v>1099</v>
      </c>
    </row>
    <row r="37735">
      <c r="B37735" s="31"/>
      <c r="G37735" s="272" t="s">
        <v>1099</v>
      </c>
    </row>
    <row r="37736">
      <c r="B37736" s="31"/>
      <c r="G37736" s="272" t="s">
        <v>1099</v>
      </c>
    </row>
    <row r="37737">
      <c r="B37737" s="31"/>
      <c r="G37737" s="272" t="s">
        <v>1099</v>
      </c>
    </row>
    <row r="37738">
      <c r="B37738" s="31"/>
      <c r="G37738" s="272" t="s">
        <v>1099</v>
      </c>
    </row>
    <row r="37739">
      <c r="B37739" s="31"/>
      <c r="G37739" s="272" t="s">
        <v>1099</v>
      </c>
    </row>
    <row r="37740">
      <c r="B37740" s="31"/>
      <c r="G37740" s="272" t="s">
        <v>1099</v>
      </c>
    </row>
    <row r="37741">
      <c r="B37741" s="31"/>
      <c r="G37741" s="272" t="s">
        <v>1099</v>
      </c>
    </row>
    <row r="37742">
      <c r="B37742" s="31"/>
      <c r="G37742" s="272" t="s">
        <v>1099</v>
      </c>
    </row>
    <row r="37743">
      <c r="B37743" s="31"/>
      <c r="G37743" s="272" t="s">
        <v>1099</v>
      </c>
    </row>
    <row r="37744">
      <c r="B37744" s="31"/>
      <c r="G37744" s="272" t="s">
        <v>1099</v>
      </c>
    </row>
    <row r="37745">
      <c r="B37745" s="31"/>
      <c r="G37745" s="272" t="s">
        <v>1099</v>
      </c>
    </row>
    <row r="37746">
      <c r="B37746" s="31"/>
      <c r="G37746" s="272" t="s">
        <v>1099</v>
      </c>
    </row>
    <row r="37747">
      <c r="B37747" s="31"/>
      <c r="G37747" s="272" t="s">
        <v>1099</v>
      </c>
    </row>
    <row r="37748">
      <c r="B37748" s="31"/>
      <c r="G37748" s="272" t="s">
        <v>1099</v>
      </c>
    </row>
    <row r="37749">
      <c r="B37749" s="31"/>
      <c r="G37749" s="272" t="s">
        <v>1099</v>
      </c>
    </row>
    <row r="37750">
      <c r="B37750" s="31"/>
      <c r="G37750" s="272" t="s">
        <v>1099</v>
      </c>
    </row>
    <row r="37751">
      <c r="B37751" s="31"/>
      <c r="G37751" s="272" t="s">
        <v>1099</v>
      </c>
    </row>
    <row r="37752">
      <c r="B37752" s="31"/>
      <c r="G37752" s="272" t="s">
        <v>1099</v>
      </c>
    </row>
    <row r="37753">
      <c r="B37753" s="31"/>
      <c r="G37753" s="272" t="s">
        <v>1099</v>
      </c>
    </row>
    <row r="37754">
      <c r="B37754" s="31"/>
      <c r="G37754" s="272" t="s">
        <v>1099</v>
      </c>
    </row>
    <row r="37755">
      <c r="B37755" s="31"/>
      <c r="G37755" s="272" t="s">
        <v>1099</v>
      </c>
    </row>
    <row r="37756">
      <c r="B37756" s="31"/>
      <c r="G37756" s="272" t="s">
        <v>1099</v>
      </c>
    </row>
    <row r="37757">
      <c r="B37757" s="31"/>
      <c r="G37757" s="272" t="s">
        <v>1099</v>
      </c>
    </row>
    <row r="37758">
      <c r="B37758" s="31"/>
      <c r="G37758" s="272" t="s">
        <v>1099</v>
      </c>
    </row>
    <row r="37759">
      <c r="B37759" s="31"/>
      <c r="G37759" s="272" t="s">
        <v>1099</v>
      </c>
    </row>
    <row r="37760">
      <c r="B37760" s="31"/>
      <c r="G37760" s="272" t="s">
        <v>1099</v>
      </c>
    </row>
    <row r="37761">
      <c r="B37761" s="31"/>
      <c r="G37761" s="272" t="s">
        <v>1099</v>
      </c>
    </row>
    <row r="37762">
      <c r="B37762" s="31"/>
      <c r="G37762" s="272" t="s">
        <v>1099</v>
      </c>
    </row>
    <row r="37763">
      <c r="B37763" s="31"/>
      <c r="G37763" s="272" t="s">
        <v>1099</v>
      </c>
    </row>
    <row r="37764">
      <c r="B37764" s="31"/>
      <c r="G37764" s="272" t="s">
        <v>1099</v>
      </c>
    </row>
    <row r="37765">
      <c r="B37765" s="31"/>
      <c r="G37765" s="272" t="s">
        <v>1099</v>
      </c>
    </row>
    <row r="37766">
      <c r="B37766" s="31"/>
      <c r="G37766" s="272" t="s">
        <v>1099</v>
      </c>
    </row>
    <row r="37767">
      <c r="B37767" s="31"/>
      <c r="G37767" s="272" t="s">
        <v>1099</v>
      </c>
    </row>
    <row r="37768">
      <c r="B37768" s="31"/>
      <c r="G37768" s="272" t="s">
        <v>1099</v>
      </c>
    </row>
    <row r="37769">
      <c r="B37769" s="31"/>
      <c r="G37769" s="272" t="s">
        <v>1099</v>
      </c>
    </row>
    <row r="37770">
      <c r="B37770" s="31"/>
      <c r="G37770" s="272" t="s">
        <v>1099</v>
      </c>
    </row>
    <row r="37771">
      <c r="B37771" s="31"/>
      <c r="G37771" s="272" t="s">
        <v>1099</v>
      </c>
    </row>
    <row r="37772">
      <c r="B37772" s="31"/>
      <c r="G37772" s="272" t="s">
        <v>1099</v>
      </c>
    </row>
    <row r="37773">
      <c r="B37773" s="31"/>
      <c r="G37773" s="272" t="s">
        <v>1099</v>
      </c>
    </row>
    <row r="37774">
      <c r="B37774" s="31"/>
      <c r="G37774" s="272" t="s">
        <v>1099</v>
      </c>
    </row>
    <row r="37775">
      <c r="B37775" s="31"/>
      <c r="G37775" s="272" t="s">
        <v>1099</v>
      </c>
    </row>
    <row r="37776">
      <c r="B37776" s="31"/>
      <c r="G37776" s="272" t="s">
        <v>1099</v>
      </c>
    </row>
    <row r="37777">
      <c r="B37777" s="31"/>
      <c r="G37777" s="272" t="s">
        <v>1099</v>
      </c>
    </row>
    <row r="37778">
      <c r="B37778" s="31"/>
      <c r="G37778" s="272" t="s">
        <v>1099</v>
      </c>
    </row>
    <row r="37779">
      <c r="B37779" s="31"/>
      <c r="G37779" s="272" t="s">
        <v>1099</v>
      </c>
    </row>
    <row r="37780">
      <c r="B37780" s="31"/>
      <c r="G37780" s="272" t="s">
        <v>1099</v>
      </c>
    </row>
    <row r="37781">
      <c r="B37781" s="31"/>
      <c r="G37781" s="272" t="s">
        <v>1099</v>
      </c>
    </row>
    <row r="37782">
      <c r="B37782" s="31"/>
      <c r="G37782" s="272" t="s">
        <v>1099</v>
      </c>
    </row>
    <row r="37783">
      <c r="B37783" s="31"/>
      <c r="G37783" s="272" t="s">
        <v>1099</v>
      </c>
    </row>
    <row r="37784">
      <c r="B37784" s="31"/>
      <c r="G37784" s="272" t="s">
        <v>1099</v>
      </c>
    </row>
    <row r="37785">
      <c r="B37785" s="31"/>
      <c r="G37785" s="272" t="s">
        <v>1099</v>
      </c>
    </row>
    <row r="37786">
      <c r="B37786" s="31"/>
      <c r="G37786" s="272" t="s">
        <v>1099</v>
      </c>
    </row>
    <row r="37787">
      <c r="B37787" s="31"/>
      <c r="G37787" s="272" t="s">
        <v>1099</v>
      </c>
    </row>
    <row r="37788">
      <c r="B37788" s="31"/>
      <c r="G37788" s="272" t="s">
        <v>1099</v>
      </c>
    </row>
    <row r="37789">
      <c r="B37789" s="31"/>
      <c r="G37789" s="272" t="s">
        <v>1099</v>
      </c>
    </row>
    <row r="37790">
      <c r="B37790" s="31"/>
      <c r="G37790" s="272" t="s">
        <v>1099</v>
      </c>
    </row>
    <row r="37791">
      <c r="B37791" s="31"/>
      <c r="G37791" s="272" t="s">
        <v>1099</v>
      </c>
    </row>
    <row r="37792">
      <c r="B37792" s="31"/>
      <c r="G37792" s="272" t="s">
        <v>1099</v>
      </c>
    </row>
    <row r="37793">
      <c r="B37793" s="31"/>
      <c r="G37793" s="272" t="s">
        <v>1099</v>
      </c>
    </row>
    <row r="37794">
      <c r="B37794" s="31"/>
      <c r="G37794" s="272" t="s">
        <v>1099</v>
      </c>
    </row>
    <row r="37795">
      <c r="B37795" s="31"/>
      <c r="G37795" s="272" t="s">
        <v>1099</v>
      </c>
    </row>
    <row r="37796">
      <c r="B37796" s="31"/>
      <c r="G37796" s="272" t="s">
        <v>1099</v>
      </c>
    </row>
    <row r="37797">
      <c r="B37797" s="31"/>
      <c r="G37797" s="272" t="s">
        <v>1099</v>
      </c>
    </row>
    <row r="37798">
      <c r="B37798" s="31"/>
      <c r="G37798" s="272" t="s">
        <v>1099</v>
      </c>
    </row>
    <row r="37799">
      <c r="B37799" s="31"/>
      <c r="G37799" s="272" t="s">
        <v>1099</v>
      </c>
    </row>
    <row r="37800">
      <c r="B37800" s="31"/>
      <c r="G37800" s="272" t="s">
        <v>1099</v>
      </c>
    </row>
    <row r="37801">
      <c r="B37801" s="31"/>
      <c r="G37801" s="272" t="s">
        <v>1099</v>
      </c>
    </row>
    <row r="37802">
      <c r="B37802" s="31"/>
      <c r="G37802" s="272" t="s">
        <v>1099</v>
      </c>
    </row>
    <row r="37803">
      <c r="B37803" s="31"/>
      <c r="G37803" s="272" t="s">
        <v>1099</v>
      </c>
    </row>
    <row r="37804">
      <c r="B37804" s="31"/>
      <c r="G37804" s="272" t="s">
        <v>1099</v>
      </c>
    </row>
    <row r="37805">
      <c r="B37805" s="31"/>
      <c r="G37805" s="272" t="s">
        <v>1099</v>
      </c>
    </row>
    <row r="37806">
      <c r="B37806" s="31"/>
      <c r="G37806" s="272" t="s">
        <v>1099</v>
      </c>
    </row>
    <row r="37807">
      <c r="B37807" s="31"/>
      <c r="G37807" s="272" t="s">
        <v>1099</v>
      </c>
    </row>
    <row r="37808">
      <c r="B37808" s="31"/>
      <c r="G37808" s="272" t="s">
        <v>1099</v>
      </c>
    </row>
    <row r="37809">
      <c r="B37809" s="31"/>
      <c r="G37809" s="272" t="s">
        <v>1099</v>
      </c>
    </row>
    <row r="37810">
      <c r="B37810" s="31"/>
      <c r="G37810" s="272" t="s">
        <v>1099</v>
      </c>
    </row>
    <row r="37811">
      <c r="B37811" s="31"/>
      <c r="G37811" s="272" t="s">
        <v>1099</v>
      </c>
    </row>
    <row r="37812">
      <c r="B37812" s="31"/>
      <c r="G37812" s="272" t="s">
        <v>1099</v>
      </c>
    </row>
    <row r="37813">
      <c r="B37813" s="31"/>
      <c r="G37813" s="272" t="s">
        <v>1099</v>
      </c>
    </row>
    <row r="37814">
      <c r="B37814" s="31"/>
      <c r="G37814" s="272" t="s">
        <v>1099</v>
      </c>
    </row>
    <row r="37815">
      <c r="B37815" s="31"/>
      <c r="G37815" s="272" t="s">
        <v>1099</v>
      </c>
    </row>
    <row r="37816">
      <c r="B37816" s="31"/>
      <c r="G37816" s="272" t="s">
        <v>1099</v>
      </c>
    </row>
    <row r="37817">
      <c r="B37817" s="31"/>
      <c r="G37817" s="272" t="s">
        <v>1099</v>
      </c>
    </row>
    <row r="37818">
      <c r="B37818" s="31"/>
      <c r="G37818" s="272" t="s">
        <v>1099</v>
      </c>
    </row>
    <row r="37819">
      <c r="B37819" s="31"/>
      <c r="G37819" s="272" t="s">
        <v>1099</v>
      </c>
    </row>
    <row r="37820">
      <c r="B37820" s="31"/>
      <c r="G37820" s="272" t="s">
        <v>1099</v>
      </c>
    </row>
    <row r="37821">
      <c r="B37821" s="31"/>
      <c r="G37821" s="272" t="s">
        <v>1099</v>
      </c>
    </row>
    <row r="37822">
      <c r="B37822" s="31"/>
      <c r="G37822" s="272" t="s">
        <v>1099</v>
      </c>
    </row>
    <row r="37823">
      <c r="B37823" s="31"/>
      <c r="G37823" s="272" t="s">
        <v>1099</v>
      </c>
    </row>
    <row r="37824">
      <c r="B37824" s="31"/>
      <c r="G37824" s="272" t="s">
        <v>1099</v>
      </c>
    </row>
    <row r="37825">
      <c r="B37825" s="31"/>
      <c r="G37825" s="272" t="s">
        <v>1099</v>
      </c>
    </row>
    <row r="37826">
      <c r="B37826" s="31"/>
      <c r="G37826" s="272" t="s">
        <v>1099</v>
      </c>
    </row>
    <row r="37827">
      <c r="B37827" s="31"/>
      <c r="G37827" s="272" t="s">
        <v>1099</v>
      </c>
    </row>
    <row r="37828">
      <c r="B37828" s="31"/>
      <c r="G37828" s="272" t="s">
        <v>1099</v>
      </c>
    </row>
    <row r="37829">
      <c r="B37829" s="31"/>
      <c r="G37829" s="272" t="s">
        <v>1099</v>
      </c>
    </row>
    <row r="37830">
      <c r="B37830" s="31"/>
      <c r="G37830" s="272" t="s">
        <v>1099</v>
      </c>
    </row>
    <row r="37831">
      <c r="B37831" s="31"/>
      <c r="G37831" s="272" t="s">
        <v>1099</v>
      </c>
    </row>
    <row r="37832">
      <c r="B37832" s="31"/>
      <c r="G37832" s="272" t="s">
        <v>1099</v>
      </c>
    </row>
    <row r="37833">
      <c r="B37833" s="31"/>
      <c r="G37833" s="272" t="s">
        <v>1099</v>
      </c>
    </row>
    <row r="37834">
      <c r="B37834" s="31"/>
      <c r="G37834" s="272" t="s">
        <v>1099</v>
      </c>
    </row>
    <row r="37835">
      <c r="B37835" s="31"/>
      <c r="G37835" s="272" t="s">
        <v>1099</v>
      </c>
    </row>
    <row r="37836">
      <c r="B37836" s="31"/>
      <c r="G37836" s="272" t="s">
        <v>1099</v>
      </c>
    </row>
    <row r="37837">
      <c r="B37837" s="31"/>
      <c r="G37837" s="272" t="s">
        <v>1099</v>
      </c>
    </row>
    <row r="37838">
      <c r="B37838" s="31"/>
      <c r="G37838" s="272" t="s">
        <v>1099</v>
      </c>
    </row>
    <row r="37839">
      <c r="B37839" s="31"/>
      <c r="G37839" s="272" t="s">
        <v>1099</v>
      </c>
    </row>
    <row r="37840">
      <c r="B37840" s="31"/>
      <c r="G37840" s="272" t="s">
        <v>1099</v>
      </c>
    </row>
    <row r="37841">
      <c r="B37841" s="31"/>
      <c r="G37841" s="272" t="s">
        <v>1099</v>
      </c>
    </row>
    <row r="37842">
      <c r="B37842" s="31"/>
      <c r="G37842" s="272" t="s">
        <v>1099</v>
      </c>
    </row>
    <row r="37843">
      <c r="B37843" s="31"/>
      <c r="G37843" s="272" t="s">
        <v>1099</v>
      </c>
    </row>
    <row r="37844">
      <c r="B37844" s="31"/>
      <c r="G37844" s="272" t="s">
        <v>1099</v>
      </c>
    </row>
    <row r="37845">
      <c r="B37845" s="31"/>
      <c r="G37845" s="272" t="s">
        <v>1099</v>
      </c>
    </row>
    <row r="37846">
      <c r="B37846" s="31"/>
      <c r="G37846" s="272" t="s">
        <v>1099</v>
      </c>
    </row>
    <row r="37847">
      <c r="B37847" s="31"/>
      <c r="G37847" s="272" t="s">
        <v>1099</v>
      </c>
    </row>
    <row r="37848">
      <c r="B37848" s="31"/>
      <c r="G37848" s="272" t="s">
        <v>1099</v>
      </c>
    </row>
    <row r="37849">
      <c r="B37849" s="31"/>
      <c r="G37849" s="272" t="s">
        <v>1099</v>
      </c>
    </row>
    <row r="37850">
      <c r="B37850" s="31"/>
      <c r="G37850" s="272" t="s">
        <v>1099</v>
      </c>
    </row>
    <row r="37851">
      <c r="B37851" s="31"/>
      <c r="G37851" s="272" t="s">
        <v>1099</v>
      </c>
    </row>
    <row r="37852">
      <c r="B37852" s="31"/>
      <c r="G37852" s="272" t="s">
        <v>1099</v>
      </c>
    </row>
    <row r="37853">
      <c r="B37853" s="31"/>
      <c r="G37853" s="272" t="s">
        <v>1099</v>
      </c>
    </row>
    <row r="37854">
      <c r="B37854" s="31"/>
      <c r="G37854" s="272" t="s">
        <v>1099</v>
      </c>
    </row>
    <row r="37855">
      <c r="B37855" s="31"/>
      <c r="G37855" s="272" t="s">
        <v>1099</v>
      </c>
    </row>
    <row r="37856">
      <c r="B37856" s="31"/>
      <c r="G37856" s="272" t="s">
        <v>1099</v>
      </c>
    </row>
    <row r="37857">
      <c r="B37857" s="31"/>
      <c r="G37857" s="272" t="s">
        <v>1099</v>
      </c>
    </row>
    <row r="37858">
      <c r="B37858" s="31"/>
      <c r="G37858" s="272" t="s">
        <v>1099</v>
      </c>
    </row>
    <row r="37859">
      <c r="B37859" s="31"/>
      <c r="G37859" s="272" t="s">
        <v>1099</v>
      </c>
    </row>
    <row r="37860">
      <c r="B37860" s="31"/>
      <c r="G37860" s="272" t="s">
        <v>1099</v>
      </c>
    </row>
    <row r="37861">
      <c r="B37861" s="31"/>
      <c r="G37861" s="272" t="s">
        <v>1099</v>
      </c>
    </row>
    <row r="37862">
      <c r="B37862" s="31"/>
      <c r="G37862" s="272" t="s">
        <v>1099</v>
      </c>
    </row>
    <row r="37863">
      <c r="B37863" s="31"/>
      <c r="G37863" s="272" t="s">
        <v>1099</v>
      </c>
    </row>
    <row r="37864">
      <c r="B37864" s="31"/>
      <c r="G37864" s="272" t="s">
        <v>1099</v>
      </c>
    </row>
    <row r="37865">
      <c r="B37865" s="31"/>
      <c r="G37865" s="272" t="s">
        <v>1099</v>
      </c>
    </row>
    <row r="37866">
      <c r="B37866" s="31"/>
      <c r="G37866" s="272" t="s">
        <v>1099</v>
      </c>
    </row>
    <row r="37867">
      <c r="B37867" s="31"/>
      <c r="G37867" s="272" t="s">
        <v>1099</v>
      </c>
    </row>
    <row r="37868">
      <c r="B37868" s="31"/>
      <c r="G37868" s="272" t="s">
        <v>1099</v>
      </c>
    </row>
    <row r="37869">
      <c r="B37869" s="31"/>
      <c r="G37869" s="272" t="s">
        <v>1099</v>
      </c>
    </row>
    <row r="37870">
      <c r="B37870" s="31"/>
      <c r="G37870" s="272" t="s">
        <v>1099</v>
      </c>
    </row>
    <row r="37871">
      <c r="B37871" s="31"/>
      <c r="G37871" s="272" t="s">
        <v>1099</v>
      </c>
    </row>
    <row r="37872">
      <c r="B37872" s="31"/>
      <c r="G37872" s="272" t="s">
        <v>1099</v>
      </c>
    </row>
    <row r="37873">
      <c r="B37873" s="31"/>
      <c r="G37873" s="272" t="s">
        <v>1099</v>
      </c>
    </row>
    <row r="37874">
      <c r="B37874" s="31"/>
      <c r="G37874" s="272" t="s">
        <v>1099</v>
      </c>
    </row>
    <row r="37875">
      <c r="B37875" s="31"/>
      <c r="G37875" s="272" t="s">
        <v>1099</v>
      </c>
    </row>
    <row r="37876">
      <c r="B37876" s="31"/>
      <c r="G37876" s="272" t="s">
        <v>1099</v>
      </c>
    </row>
    <row r="37877">
      <c r="B37877" s="31"/>
      <c r="G37877" s="272" t="s">
        <v>1099</v>
      </c>
    </row>
    <row r="37878">
      <c r="B37878" s="31"/>
      <c r="G37878" s="272" t="s">
        <v>1099</v>
      </c>
    </row>
    <row r="37879">
      <c r="B37879" s="31"/>
      <c r="G37879" s="272" t="s">
        <v>1099</v>
      </c>
    </row>
    <row r="37880">
      <c r="B37880" s="31"/>
      <c r="G37880" s="272" t="s">
        <v>1099</v>
      </c>
    </row>
    <row r="37881">
      <c r="B37881" s="31"/>
      <c r="G37881" s="272" t="s">
        <v>1099</v>
      </c>
    </row>
    <row r="37882">
      <c r="B37882" s="31"/>
      <c r="G37882" s="272" t="s">
        <v>1099</v>
      </c>
    </row>
    <row r="37883">
      <c r="B37883" s="31"/>
      <c r="G37883" s="272" t="s">
        <v>1099</v>
      </c>
    </row>
    <row r="37884">
      <c r="B37884" s="31"/>
      <c r="G37884" s="272" t="s">
        <v>1099</v>
      </c>
    </row>
    <row r="37885">
      <c r="B37885" s="31"/>
      <c r="G37885" s="272" t="s">
        <v>1099</v>
      </c>
    </row>
    <row r="37886">
      <c r="B37886" s="31"/>
      <c r="G37886" s="272" t="s">
        <v>1099</v>
      </c>
    </row>
    <row r="37887">
      <c r="B37887" s="31"/>
      <c r="G37887" s="272" t="s">
        <v>1099</v>
      </c>
    </row>
    <row r="37888">
      <c r="B37888" s="31"/>
      <c r="G37888" s="272" t="s">
        <v>1099</v>
      </c>
    </row>
    <row r="37889">
      <c r="B37889" s="31"/>
      <c r="G37889" s="272" t="s">
        <v>1099</v>
      </c>
    </row>
    <row r="37890">
      <c r="B37890" s="31"/>
      <c r="G37890" s="272" t="s">
        <v>1099</v>
      </c>
    </row>
    <row r="37891">
      <c r="B37891" s="31"/>
      <c r="G37891" s="272" t="s">
        <v>1099</v>
      </c>
    </row>
    <row r="37892">
      <c r="B37892" s="31"/>
      <c r="G37892" s="272" t="s">
        <v>1099</v>
      </c>
    </row>
    <row r="37893">
      <c r="B37893" s="31"/>
      <c r="G37893" s="272" t="s">
        <v>1099</v>
      </c>
    </row>
    <row r="37894">
      <c r="B37894" s="31"/>
      <c r="G37894" s="272" t="s">
        <v>1099</v>
      </c>
    </row>
    <row r="37895">
      <c r="B37895" s="31"/>
      <c r="G37895" s="272" t="s">
        <v>1099</v>
      </c>
    </row>
    <row r="37896">
      <c r="B37896" s="31"/>
      <c r="G37896" s="272" t="s">
        <v>1099</v>
      </c>
    </row>
    <row r="37897">
      <c r="B37897" s="31"/>
      <c r="G37897" s="272" t="s">
        <v>1099</v>
      </c>
    </row>
    <row r="37898">
      <c r="B37898" s="31"/>
      <c r="G37898" s="272" t="s">
        <v>1099</v>
      </c>
    </row>
    <row r="37899">
      <c r="B37899" s="31"/>
      <c r="G37899" s="272" t="s">
        <v>1099</v>
      </c>
    </row>
    <row r="37900">
      <c r="B37900" s="31"/>
      <c r="G37900" s="272" t="s">
        <v>1099</v>
      </c>
    </row>
    <row r="37901">
      <c r="B37901" s="31"/>
      <c r="G37901" s="272" t="s">
        <v>1099</v>
      </c>
    </row>
    <row r="37902">
      <c r="B37902" s="31"/>
      <c r="G37902" s="272" t="s">
        <v>1099</v>
      </c>
    </row>
    <row r="37903">
      <c r="B37903" s="31"/>
      <c r="G37903" s="272" t="s">
        <v>1099</v>
      </c>
    </row>
    <row r="37904">
      <c r="B37904" s="31"/>
      <c r="G37904" s="272" t="s">
        <v>1099</v>
      </c>
    </row>
    <row r="37905">
      <c r="B37905" s="31"/>
      <c r="G37905" s="272" t="s">
        <v>1099</v>
      </c>
    </row>
    <row r="37906">
      <c r="B37906" s="31"/>
      <c r="G37906" s="272" t="s">
        <v>1099</v>
      </c>
    </row>
    <row r="37907">
      <c r="B37907" s="31"/>
      <c r="G37907" s="272" t="s">
        <v>1099</v>
      </c>
    </row>
    <row r="37908">
      <c r="B37908" s="31"/>
      <c r="G37908" s="272" t="s">
        <v>1099</v>
      </c>
    </row>
    <row r="37909">
      <c r="B37909" s="31"/>
      <c r="G37909" s="272" t="s">
        <v>1099</v>
      </c>
    </row>
    <row r="37910">
      <c r="B37910" s="31"/>
      <c r="G37910" s="272" t="s">
        <v>1099</v>
      </c>
    </row>
    <row r="37911">
      <c r="B37911" s="31"/>
      <c r="G37911" s="272" t="s">
        <v>1099</v>
      </c>
    </row>
    <row r="37912">
      <c r="B37912" s="31"/>
      <c r="G37912" s="272" t="s">
        <v>1099</v>
      </c>
    </row>
    <row r="37913">
      <c r="B37913" s="31"/>
      <c r="G37913" s="272" t="s">
        <v>1099</v>
      </c>
    </row>
    <row r="37914">
      <c r="B37914" s="31"/>
      <c r="G37914" s="272" t="s">
        <v>1099</v>
      </c>
    </row>
    <row r="37915">
      <c r="B37915" s="31"/>
      <c r="G37915" s="272" t="s">
        <v>1099</v>
      </c>
    </row>
    <row r="37916">
      <c r="B37916" s="31"/>
      <c r="G37916" s="272" t="s">
        <v>1099</v>
      </c>
    </row>
    <row r="37917">
      <c r="B37917" s="31"/>
      <c r="G37917" s="272" t="s">
        <v>1099</v>
      </c>
    </row>
    <row r="37918">
      <c r="B37918" s="31"/>
      <c r="G37918" s="272" t="s">
        <v>1099</v>
      </c>
    </row>
    <row r="37919">
      <c r="B37919" s="31"/>
      <c r="G37919" s="272" t="s">
        <v>1099</v>
      </c>
    </row>
    <row r="37920">
      <c r="B37920" s="31"/>
      <c r="G37920" s="272" t="s">
        <v>1099</v>
      </c>
    </row>
    <row r="37921">
      <c r="B37921" s="31"/>
      <c r="G37921" s="272" t="s">
        <v>1099</v>
      </c>
    </row>
    <row r="37922">
      <c r="B37922" s="31"/>
      <c r="G37922" s="272" t="s">
        <v>1099</v>
      </c>
    </row>
    <row r="37923">
      <c r="B37923" s="31"/>
      <c r="G37923" s="272" t="s">
        <v>1099</v>
      </c>
    </row>
    <row r="37924">
      <c r="B37924" s="31"/>
      <c r="G37924" s="272" t="s">
        <v>1099</v>
      </c>
    </row>
    <row r="37925">
      <c r="B37925" s="31"/>
      <c r="G37925" s="272" t="s">
        <v>1099</v>
      </c>
    </row>
    <row r="37926">
      <c r="B37926" s="31"/>
      <c r="G37926" s="272" t="s">
        <v>1099</v>
      </c>
    </row>
    <row r="37927">
      <c r="B37927" s="31"/>
      <c r="G37927" s="272" t="s">
        <v>1099</v>
      </c>
    </row>
    <row r="37928">
      <c r="B37928" s="31"/>
      <c r="G37928" s="272" t="s">
        <v>1099</v>
      </c>
    </row>
    <row r="37929">
      <c r="B37929" s="31"/>
      <c r="G37929" s="272" t="s">
        <v>1099</v>
      </c>
    </row>
    <row r="37930">
      <c r="B37930" s="31"/>
      <c r="G37930" s="272" t="s">
        <v>1099</v>
      </c>
    </row>
    <row r="37931">
      <c r="B37931" s="31"/>
      <c r="G37931" s="272" t="s">
        <v>1099</v>
      </c>
    </row>
    <row r="37932">
      <c r="B37932" s="31"/>
      <c r="G37932" s="272" t="s">
        <v>1099</v>
      </c>
    </row>
    <row r="37933">
      <c r="B37933" s="31"/>
      <c r="G37933" s="272" t="s">
        <v>1099</v>
      </c>
    </row>
    <row r="37934">
      <c r="B37934" s="31"/>
      <c r="G37934" s="272" t="s">
        <v>1099</v>
      </c>
    </row>
    <row r="37935">
      <c r="B37935" s="31"/>
      <c r="G37935" s="272" t="s">
        <v>1099</v>
      </c>
    </row>
    <row r="37936">
      <c r="B37936" s="31"/>
      <c r="G37936" s="272" t="s">
        <v>1099</v>
      </c>
    </row>
    <row r="37937">
      <c r="B37937" s="31"/>
      <c r="G37937" s="272" t="s">
        <v>1099</v>
      </c>
    </row>
    <row r="37938">
      <c r="B37938" s="31"/>
      <c r="G37938" s="272" t="s">
        <v>1099</v>
      </c>
    </row>
    <row r="37939">
      <c r="B37939" s="31"/>
      <c r="G37939" s="272" t="s">
        <v>1099</v>
      </c>
    </row>
    <row r="37940">
      <c r="B37940" s="31"/>
      <c r="G37940" s="272" t="s">
        <v>1099</v>
      </c>
    </row>
    <row r="37941">
      <c r="B37941" s="31"/>
      <c r="G37941" s="272" t="s">
        <v>1099</v>
      </c>
    </row>
    <row r="37942">
      <c r="B37942" s="31"/>
      <c r="G37942" s="272" t="s">
        <v>1099</v>
      </c>
    </row>
    <row r="37943">
      <c r="B37943" s="31"/>
      <c r="G37943" s="272" t="s">
        <v>1099</v>
      </c>
    </row>
    <row r="37944">
      <c r="B37944" s="31"/>
      <c r="G37944" s="272" t="s">
        <v>1099</v>
      </c>
    </row>
    <row r="37945">
      <c r="B37945" s="31"/>
      <c r="G37945" s="272" t="s">
        <v>1099</v>
      </c>
    </row>
    <row r="37946">
      <c r="B37946" s="31"/>
      <c r="G37946" s="272" t="s">
        <v>1099</v>
      </c>
    </row>
    <row r="37947">
      <c r="B37947" s="31"/>
      <c r="G37947" s="272" t="s">
        <v>1099</v>
      </c>
    </row>
    <row r="37948">
      <c r="B37948" s="31"/>
      <c r="G37948" s="272" t="s">
        <v>1099</v>
      </c>
    </row>
    <row r="37949">
      <c r="B37949" s="31"/>
      <c r="G37949" s="272" t="s">
        <v>1099</v>
      </c>
    </row>
    <row r="37950">
      <c r="B37950" s="31"/>
      <c r="G37950" s="272" t="s">
        <v>1099</v>
      </c>
    </row>
    <row r="37951">
      <c r="B37951" s="31"/>
      <c r="G37951" s="272" t="s">
        <v>1099</v>
      </c>
    </row>
    <row r="37952">
      <c r="B37952" s="31"/>
      <c r="G37952" s="272" t="s">
        <v>1099</v>
      </c>
    </row>
    <row r="37953">
      <c r="B37953" s="31"/>
      <c r="G37953" s="272" t="s">
        <v>1099</v>
      </c>
    </row>
    <row r="37954">
      <c r="B37954" s="31"/>
      <c r="G37954" s="272" t="s">
        <v>1099</v>
      </c>
    </row>
    <row r="37955">
      <c r="B37955" s="31"/>
      <c r="G37955" s="272" t="s">
        <v>1099</v>
      </c>
    </row>
    <row r="37956">
      <c r="B37956" s="31"/>
      <c r="G37956" s="272" t="s">
        <v>1099</v>
      </c>
    </row>
    <row r="37957">
      <c r="B37957" s="31"/>
      <c r="G37957" s="272" t="s">
        <v>1099</v>
      </c>
    </row>
    <row r="37958">
      <c r="B37958" s="31"/>
      <c r="G37958" s="272" t="s">
        <v>1099</v>
      </c>
    </row>
    <row r="37959">
      <c r="B37959" s="31"/>
      <c r="G37959" s="272" t="s">
        <v>1099</v>
      </c>
    </row>
    <row r="37960">
      <c r="B37960" s="31"/>
      <c r="G37960" s="272" t="s">
        <v>1099</v>
      </c>
    </row>
    <row r="37961">
      <c r="B37961" s="31"/>
      <c r="G37961" s="272" t="s">
        <v>1099</v>
      </c>
    </row>
    <row r="37962">
      <c r="B37962" s="31"/>
      <c r="G37962" s="272" t="s">
        <v>1099</v>
      </c>
    </row>
    <row r="37963">
      <c r="B37963" s="31"/>
      <c r="G37963" s="272" t="s">
        <v>1099</v>
      </c>
    </row>
    <row r="37964">
      <c r="B37964" s="31"/>
      <c r="G37964" s="272" t="s">
        <v>1099</v>
      </c>
    </row>
    <row r="37965">
      <c r="B37965" s="31"/>
      <c r="G37965" s="272" t="s">
        <v>1099</v>
      </c>
    </row>
    <row r="37966">
      <c r="B37966" s="31"/>
      <c r="G37966" s="272" t="s">
        <v>1099</v>
      </c>
    </row>
    <row r="37967">
      <c r="B37967" s="31"/>
      <c r="G37967" s="272" t="s">
        <v>1099</v>
      </c>
    </row>
    <row r="37968">
      <c r="B37968" s="31"/>
      <c r="G37968" s="272" t="s">
        <v>1099</v>
      </c>
    </row>
    <row r="37969">
      <c r="B37969" s="31"/>
      <c r="G37969" s="272" t="s">
        <v>1099</v>
      </c>
    </row>
    <row r="37970">
      <c r="B37970" s="31"/>
      <c r="G37970" s="272" t="s">
        <v>1099</v>
      </c>
    </row>
    <row r="37971">
      <c r="B37971" s="31"/>
      <c r="G37971" s="272" t="s">
        <v>1099</v>
      </c>
    </row>
    <row r="37972">
      <c r="B37972" s="31"/>
      <c r="G37972" s="272" t="s">
        <v>1099</v>
      </c>
    </row>
    <row r="37973">
      <c r="B37973" s="31"/>
      <c r="G37973" s="272" t="s">
        <v>1099</v>
      </c>
    </row>
    <row r="37974">
      <c r="B37974" s="31"/>
      <c r="G37974" s="272" t="s">
        <v>1099</v>
      </c>
    </row>
    <row r="37975">
      <c r="B37975" s="31"/>
      <c r="G37975" s="272" t="s">
        <v>1099</v>
      </c>
    </row>
    <row r="37976">
      <c r="B37976" s="31"/>
      <c r="G37976" s="272" t="s">
        <v>1099</v>
      </c>
    </row>
    <row r="37977">
      <c r="B37977" s="31"/>
      <c r="G37977" s="272" t="s">
        <v>1099</v>
      </c>
    </row>
    <row r="37978">
      <c r="B37978" s="31"/>
      <c r="G37978" s="272" t="s">
        <v>1099</v>
      </c>
    </row>
    <row r="37979">
      <c r="B37979" s="31"/>
      <c r="G37979" s="272" t="s">
        <v>1099</v>
      </c>
    </row>
    <row r="37980">
      <c r="B37980" s="31"/>
      <c r="G37980" s="272" t="s">
        <v>1099</v>
      </c>
    </row>
    <row r="37981">
      <c r="B37981" s="31"/>
      <c r="G37981" s="272" t="s">
        <v>1099</v>
      </c>
    </row>
    <row r="37982">
      <c r="B37982" s="31"/>
      <c r="G37982" s="272" t="s">
        <v>1099</v>
      </c>
    </row>
    <row r="37983">
      <c r="B37983" s="31"/>
      <c r="G37983" s="272" t="s">
        <v>1099</v>
      </c>
    </row>
    <row r="37984">
      <c r="B37984" s="31"/>
      <c r="G37984" s="272" t="s">
        <v>1099</v>
      </c>
    </row>
    <row r="37985">
      <c r="B37985" s="31"/>
      <c r="G37985" s="272" t="s">
        <v>1099</v>
      </c>
    </row>
    <row r="37986">
      <c r="B37986" s="31"/>
      <c r="G37986" s="272" t="s">
        <v>1099</v>
      </c>
    </row>
    <row r="37987">
      <c r="B37987" s="31"/>
      <c r="G37987" s="272" t="s">
        <v>1099</v>
      </c>
    </row>
    <row r="37988">
      <c r="B37988" s="31"/>
      <c r="G37988" s="272" t="s">
        <v>1099</v>
      </c>
    </row>
    <row r="37989">
      <c r="B37989" s="31"/>
      <c r="G37989" s="272" t="s">
        <v>1099</v>
      </c>
    </row>
    <row r="37990">
      <c r="B37990" s="31"/>
      <c r="G37990" s="272" t="s">
        <v>1099</v>
      </c>
    </row>
    <row r="37991">
      <c r="B37991" s="31"/>
      <c r="G37991" s="272" t="s">
        <v>1099</v>
      </c>
    </row>
    <row r="37992">
      <c r="B37992" s="31"/>
      <c r="G37992" s="272" t="s">
        <v>1099</v>
      </c>
    </row>
    <row r="37993">
      <c r="B37993" s="31"/>
      <c r="G37993" s="272" t="s">
        <v>1099</v>
      </c>
    </row>
    <row r="37994">
      <c r="B37994" s="31"/>
      <c r="G37994" s="272" t="s">
        <v>1099</v>
      </c>
    </row>
    <row r="37995">
      <c r="B37995" s="31"/>
      <c r="G37995" s="272" t="s">
        <v>1099</v>
      </c>
    </row>
    <row r="37996">
      <c r="B37996" s="31"/>
      <c r="G37996" s="272" t="s">
        <v>1099</v>
      </c>
    </row>
    <row r="37997">
      <c r="B37997" s="31"/>
      <c r="G37997" s="272" t="s">
        <v>1099</v>
      </c>
    </row>
    <row r="37998">
      <c r="B37998" s="31"/>
      <c r="G37998" s="272" t="s">
        <v>1099</v>
      </c>
    </row>
    <row r="37999">
      <c r="B37999" s="31"/>
      <c r="G37999" s="272" t="s">
        <v>1099</v>
      </c>
    </row>
    <row r="38000">
      <c r="B38000" s="31"/>
      <c r="G38000" s="272" t="s">
        <v>1099</v>
      </c>
    </row>
    <row r="38001">
      <c r="B38001" s="31"/>
      <c r="G38001" s="272" t="s">
        <v>1099</v>
      </c>
    </row>
    <row r="38002">
      <c r="B38002" s="31"/>
      <c r="G38002" s="272" t="s">
        <v>1099</v>
      </c>
    </row>
    <row r="38003">
      <c r="B38003" s="31"/>
      <c r="G38003" s="272" t="s">
        <v>1099</v>
      </c>
    </row>
    <row r="38004">
      <c r="B38004" s="31"/>
      <c r="G38004" s="272" t="s">
        <v>1099</v>
      </c>
    </row>
    <row r="38005">
      <c r="B38005" s="31"/>
      <c r="G38005" s="272" t="s">
        <v>1099</v>
      </c>
    </row>
    <row r="38006">
      <c r="B38006" s="31"/>
      <c r="G38006" s="272" t="s">
        <v>1099</v>
      </c>
    </row>
    <row r="38007">
      <c r="B38007" s="31"/>
      <c r="G38007" s="272" t="s">
        <v>1099</v>
      </c>
    </row>
    <row r="38008">
      <c r="B38008" s="31"/>
      <c r="G38008" s="272" t="s">
        <v>1099</v>
      </c>
    </row>
    <row r="38009">
      <c r="B38009" s="31"/>
      <c r="G38009" s="272" t="s">
        <v>1099</v>
      </c>
    </row>
    <row r="38010">
      <c r="B38010" s="31"/>
      <c r="G38010" s="272" t="s">
        <v>1099</v>
      </c>
    </row>
    <row r="38011">
      <c r="B38011" s="31"/>
      <c r="G38011" s="272" t="s">
        <v>1099</v>
      </c>
    </row>
    <row r="38012">
      <c r="B38012" s="31"/>
      <c r="G38012" s="272" t="s">
        <v>1099</v>
      </c>
    </row>
    <row r="38013">
      <c r="B38013" s="31"/>
      <c r="G38013" s="272" t="s">
        <v>1099</v>
      </c>
    </row>
    <row r="38014">
      <c r="B38014" s="31"/>
      <c r="G38014" s="272" t="s">
        <v>1099</v>
      </c>
    </row>
    <row r="38015">
      <c r="B38015" s="31"/>
      <c r="G38015" s="272" t="s">
        <v>1099</v>
      </c>
    </row>
    <row r="38016">
      <c r="B38016" s="31"/>
      <c r="G38016" s="272" t="s">
        <v>1099</v>
      </c>
    </row>
    <row r="38017">
      <c r="B38017" s="31"/>
      <c r="G38017" s="272" t="s">
        <v>1099</v>
      </c>
    </row>
    <row r="38018">
      <c r="B38018" s="31"/>
      <c r="G38018" s="272" t="s">
        <v>1099</v>
      </c>
    </row>
    <row r="38019">
      <c r="B38019" s="31"/>
      <c r="G38019" s="272" t="s">
        <v>1099</v>
      </c>
    </row>
    <row r="38020">
      <c r="B38020" s="31"/>
      <c r="G38020" s="272" t="s">
        <v>1099</v>
      </c>
    </row>
    <row r="38021">
      <c r="B38021" s="31"/>
      <c r="G38021" s="272" t="s">
        <v>1099</v>
      </c>
    </row>
    <row r="38022">
      <c r="B38022" s="31"/>
      <c r="G38022" s="272" t="s">
        <v>1099</v>
      </c>
    </row>
    <row r="38023">
      <c r="B38023" s="31"/>
      <c r="G38023" s="272" t="s">
        <v>1099</v>
      </c>
    </row>
    <row r="38024">
      <c r="B38024" s="31"/>
      <c r="G38024" s="272" t="s">
        <v>1099</v>
      </c>
    </row>
    <row r="38025">
      <c r="B38025" s="31"/>
      <c r="G38025" s="272" t="s">
        <v>1099</v>
      </c>
    </row>
    <row r="38026">
      <c r="B38026" s="31"/>
      <c r="G38026" s="272" t="s">
        <v>1099</v>
      </c>
    </row>
    <row r="38027">
      <c r="B38027" s="31"/>
      <c r="G38027" s="272" t="s">
        <v>1099</v>
      </c>
    </row>
    <row r="38028">
      <c r="B38028" s="31"/>
      <c r="G38028" s="272" t="s">
        <v>1099</v>
      </c>
    </row>
    <row r="38029">
      <c r="B38029" s="31"/>
      <c r="G38029" s="272" t="s">
        <v>1099</v>
      </c>
    </row>
    <row r="38030">
      <c r="B38030" s="31"/>
      <c r="G38030" s="272" t="s">
        <v>1099</v>
      </c>
    </row>
    <row r="38031">
      <c r="B38031" s="31"/>
      <c r="G38031" s="272" t="s">
        <v>1099</v>
      </c>
    </row>
    <row r="38032">
      <c r="B38032" s="31"/>
      <c r="G38032" s="272" t="s">
        <v>1099</v>
      </c>
    </row>
    <row r="38033">
      <c r="B38033" s="31"/>
      <c r="G38033" s="272" t="s">
        <v>1099</v>
      </c>
    </row>
    <row r="38034">
      <c r="B38034" s="31"/>
      <c r="G38034" s="272" t="s">
        <v>1099</v>
      </c>
    </row>
    <row r="38035">
      <c r="B38035" s="31"/>
      <c r="G38035" s="272" t="s">
        <v>1099</v>
      </c>
    </row>
    <row r="38036">
      <c r="B38036" s="31"/>
      <c r="G38036" s="272" t="s">
        <v>1099</v>
      </c>
    </row>
    <row r="38037">
      <c r="B38037" s="31"/>
      <c r="G38037" s="272" t="s">
        <v>1099</v>
      </c>
    </row>
    <row r="38038">
      <c r="B38038" s="31"/>
      <c r="G38038" s="272" t="s">
        <v>1099</v>
      </c>
    </row>
    <row r="38039">
      <c r="B38039" s="31"/>
      <c r="G38039" s="272" t="s">
        <v>1099</v>
      </c>
    </row>
    <row r="38040">
      <c r="B38040" s="31"/>
      <c r="G38040" s="272" t="s">
        <v>1099</v>
      </c>
    </row>
    <row r="38041">
      <c r="B38041" s="31"/>
      <c r="G38041" s="272" t="s">
        <v>1099</v>
      </c>
    </row>
    <row r="38042">
      <c r="B38042" s="31"/>
      <c r="G38042" s="272" t="s">
        <v>1099</v>
      </c>
    </row>
    <row r="38043">
      <c r="B38043" s="31"/>
      <c r="G38043" s="272" t="s">
        <v>1099</v>
      </c>
    </row>
    <row r="38044">
      <c r="B38044" s="31"/>
      <c r="G38044" s="272" t="s">
        <v>1099</v>
      </c>
    </row>
    <row r="38045">
      <c r="B38045" s="31"/>
      <c r="G38045" s="272" t="s">
        <v>1099</v>
      </c>
    </row>
    <row r="38046">
      <c r="B38046" s="31"/>
      <c r="G38046" s="272" t="s">
        <v>1099</v>
      </c>
    </row>
    <row r="38047">
      <c r="B38047" s="31"/>
      <c r="G38047" s="272" t="s">
        <v>1099</v>
      </c>
    </row>
    <row r="38048">
      <c r="B38048" s="31"/>
      <c r="G38048" s="272" t="s">
        <v>1099</v>
      </c>
    </row>
    <row r="38049">
      <c r="B38049" s="31"/>
      <c r="G38049" s="272" t="s">
        <v>1099</v>
      </c>
    </row>
    <row r="38050">
      <c r="B38050" s="31"/>
      <c r="G38050" s="272" t="s">
        <v>1099</v>
      </c>
    </row>
    <row r="38051">
      <c r="B38051" s="31"/>
      <c r="G38051" s="272" t="s">
        <v>1099</v>
      </c>
    </row>
    <row r="38052">
      <c r="B38052" s="31"/>
      <c r="G38052" s="272" t="s">
        <v>1099</v>
      </c>
    </row>
    <row r="38053">
      <c r="B38053" s="31"/>
      <c r="G38053" s="272" t="s">
        <v>1099</v>
      </c>
    </row>
    <row r="38054">
      <c r="B38054" s="31"/>
      <c r="G38054" s="272" t="s">
        <v>1099</v>
      </c>
    </row>
    <row r="38055">
      <c r="B38055" s="31"/>
      <c r="G38055" s="272" t="s">
        <v>1099</v>
      </c>
    </row>
    <row r="38056">
      <c r="B38056" s="31"/>
      <c r="G38056" s="272" t="s">
        <v>1099</v>
      </c>
    </row>
    <row r="38057">
      <c r="B38057" s="31"/>
      <c r="G38057" s="272" t="s">
        <v>1099</v>
      </c>
    </row>
    <row r="38058">
      <c r="B38058" s="31"/>
      <c r="G38058" s="272" t="s">
        <v>1099</v>
      </c>
    </row>
    <row r="38059">
      <c r="B38059" s="31"/>
      <c r="G38059" s="272" t="s">
        <v>1099</v>
      </c>
    </row>
    <row r="38060">
      <c r="B38060" s="31"/>
      <c r="G38060" s="272" t="s">
        <v>1099</v>
      </c>
    </row>
    <row r="38061">
      <c r="B38061" s="31"/>
      <c r="G38061" s="272" t="s">
        <v>1099</v>
      </c>
    </row>
    <row r="38062">
      <c r="B38062" s="31"/>
      <c r="G38062" s="272" t="s">
        <v>1099</v>
      </c>
    </row>
    <row r="38063">
      <c r="B38063" s="31"/>
      <c r="G38063" s="272" t="s">
        <v>1099</v>
      </c>
    </row>
    <row r="38064">
      <c r="B38064" s="31"/>
      <c r="G38064" s="272" t="s">
        <v>1099</v>
      </c>
    </row>
    <row r="38065">
      <c r="B38065" s="31"/>
      <c r="G38065" s="272" t="s">
        <v>1099</v>
      </c>
    </row>
    <row r="38066">
      <c r="B38066" s="31"/>
      <c r="G38066" s="272" t="s">
        <v>1099</v>
      </c>
    </row>
    <row r="38067">
      <c r="B38067" s="31"/>
      <c r="G38067" s="272" t="s">
        <v>1099</v>
      </c>
    </row>
    <row r="38068">
      <c r="B38068" s="31"/>
      <c r="G38068" s="272" t="s">
        <v>1099</v>
      </c>
    </row>
    <row r="38069">
      <c r="B38069" s="31"/>
      <c r="G38069" s="272" t="s">
        <v>1099</v>
      </c>
    </row>
    <row r="38070">
      <c r="B38070" s="31"/>
      <c r="G38070" s="272" t="s">
        <v>1099</v>
      </c>
    </row>
    <row r="38071">
      <c r="B38071" s="31"/>
      <c r="G38071" s="272" t="s">
        <v>1099</v>
      </c>
    </row>
    <row r="38072">
      <c r="B38072" s="31"/>
      <c r="G38072" s="272" t="s">
        <v>1099</v>
      </c>
    </row>
    <row r="38073">
      <c r="B38073" s="31"/>
      <c r="G38073" s="272" t="s">
        <v>1099</v>
      </c>
    </row>
    <row r="38074">
      <c r="B38074" s="31"/>
      <c r="G38074" s="272" t="s">
        <v>1099</v>
      </c>
    </row>
    <row r="38075">
      <c r="B38075" s="31"/>
      <c r="G38075" s="272" t="s">
        <v>1099</v>
      </c>
    </row>
    <row r="38076">
      <c r="B38076" s="31"/>
      <c r="G38076" s="272" t="s">
        <v>1099</v>
      </c>
    </row>
    <row r="38077">
      <c r="B38077" s="31"/>
      <c r="G38077" s="272" t="s">
        <v>1099</v>
      </c>
    </row>
    <row r="38078">
      <c r="B38078" s="31"/>
      <c r="G38078" s="272" t="s">
        <v>1099</v>
      </c>
    </row>
    <row r="38079">
      <c r="B38079" s="31"/>
      <c r="G38079" s="272" t="s">
        <v>1099</v>
      </c>
    </row>
    <row r="38080">
      <c r="B38080" s="31"/>
      <c r="G38080" s="272" t="s">
        <v>1099</v>
      </c>
    </row>
    <row r="38081">
      <c r="B38081" s="31"/>
      <c r="G38081" s="272" t="s">
        <v>1099</v>
      </c>
    </row>
    <row r="38082">
      <c r="B38082" s="31"/>
      <c r="G38082" s="272" t="s">
        <v>1099</v>
      </c>
    </row>
    <row r="38083">
      <c r="B38083" s="31"/>
      <c r="G38083" s="272" t="s">
        <v>1099</v>
      </c>
    </row>
    <row r="38084">
      <c r="B38084" s="31"/>
      <c r="G38084" s="272" t="s">
        <v>1099</v>
      </c>
    </row>
    <row r="38085">
      <c r="B38085" s="31"/>
      <c r="G38085" s="272" t="s">
        <v>1099</v>
      </c>
    </row>
    <row r="38086">
      <c r="B38086" s="31"/>
      <c r="G38086" s="272" t="s">
        <v>1099</v>
      </c>
    </row>
    <row r="38087">
      <c r="B38087" s="31"/>
      <c r="G38087" s="272" t="s">
        <v>1099</v>
      </c>
    </row>
    <row r="38088">
      <c r="B38088" s="31"/>
      <c r="G38088" s="272" t="s">
        <v>1099</v>
      </c>
    </row>
    <row r="38089">
      <c r="B38089" s="31"/>
      <c r="G38089" s="272" t="s">
        <v>1099</v>
      </c>
    </row>
    <row r="38090">
      <c r="B38090" s="31"/>
      <c r="G38090" s="272" t="s">
        <v>1099</v>
      </c>
    </row>
    <row r="38091">
      <c r="B38091" s="31"/>
      <c r="G38091" s="272" t="s">
        <v>1099</v>
      </c>
    </row>
    <row r="38092">
      <c r="B38092" s="31"/>
      <c r="G38092" s="272" t="s">
        <v>1099</v>
      </c>
    </row>
    <row r="38093">
      <c r="B38093" s="31"/>
      <c r="G38093" s="272" t="s">
        <v>1099</v>
      </c>
    </row>
    <row r="38094">
      <c r="B38094" s="31"/>
      <c r="G38094" s="272" t="s">
        <v>1099</v>
      </c>
    </row>
    <row r="38095">
      <c r="B38095" s="31"/>
      <c r="G38095" s="272" t="s">
        <v>1099</v>
      </c>
    </row>
    <row r="38096">
      <c r="B38096" s="31"/>
      <c r="G38096" s="272" t="s">
        <v>1099</v>
      </c>
    </row>
    <row r="38097">
      <c r="B38097" s="31"/>
      <c r="G38097" s="272" t="s">
        <v>1099</v>
      </c>
    </row>
    <row r="38098">
      <c r="B38098" s="31"/>
      <c r="G38098" s="272" t="s">
        <v>1099</v>
      </c>
    </row>
    <row r="38099">
      <c r="B38099" s="31"/>
      <c r="G38099" s="272" t="s">
        <v>1099</v>
      </c>
    </row>
    <row r="38100">
      <c r="B38100" s="31"/>
      <c r="G38100" s="272" t="s">
        <v>1099</v>
      </c>
    </row>
    <row r="38101">
      <c r="B38101" s="31"/>
      <c r="G38101" s="272" t="s">
        <v>1099</v>
      </c>
    </row>
    <row r="38102">
      <c r="B38102" s="31"/>
      <c r="G38102" s="272" t="s">
        <v>1099</v>
      </c>
    </row>
    <row r="38103">
      <c r="B38103" s="31"/>
      <c r="G38103" s="272" t="s">
        <v>1099</v>
      </c>
    </row>
    <row r="38104">
      <c r="B38104" s="31"/>
      <c r="G38104" s="272" t="s">
        <v>1099</v>
      </c>
    </row>
    <row r="38105">
      <c r="B38105" s="31"/>
      <c r="G38105" s="272" t="s">
        <v>1099</v>
      </c>
    </row>
    <row r="38106">
      <c r="B38106" s="31"/>
      <c r="G38106" s="272" t="s">
        <v>1099</v>
      </c>
    </row>
    <row r="38107">
      <c r="B38107" s="31"/>
      <c r="G38107" s="272" t="s">
        <v>1099</v>
      </c>
    </row>
    <row r="38108">
      <c r="B38108" s="31"/>
      <c r="G38108" s="272" t="s">
        <v>1099</v>
      </c>
    </row>
    <row r="38109">
      <c r="B38109" s="31"/>
      <c r="G38109" s="272" t="s">
        <v>1099</v>
      </c>
    </row>
    <row r="38110">
      <c r="B38110" s="31"/>
      <c r="G38110" s="272" t="s">
        <v>1099</v>
      </c>
    </row>
    <row r="38111">
      <c r="B38111" s="31"/>
      <c r="G38111" s="272" t="s">
        <v>1099</v>
      </c>
    </row>
    <row r="38112">
      <c r="B38112" s="31"/>
      <c r="G38112" s="272" t="s">
        <v>1099</v>
      </c>
    </row>
    <row r="38113">
      <c r="B38113" s="31"/>
      <c r="G38113" s="272" t="s">
        <v>1099</v>
      </c>
    </row>
    <row r="38114">
      <c r="B38114" s="31"/>
      <c r="G38114" s="272" t="s">
        <v>1099</v>
      </c>
    </row>
    <row r="38115">
      <c r="B38115" s="31"/>
      <c r="G38115" s="272" t="s">
        <v>1099</v>
      </c>
    </row>
    <row r="38116">
      <c r="B38116" s="31"/>
      <c r="G38116" s="272" t="s">
        <v>1099</v>
      </c>
    </row>
    <row r="38117">
      <c r="B38117" s="31"/>
      <c r="G38117" s="272" t="s">
        <v>1099</v>
      </c>
    </row>
    <row r="38118">
      <c r="B38118" s="31"/>
      <c r="G38118" s="272" t="s">
        <v>1099</v>
      </c>
    </row>
    <row r="38119">
      <c r="B38119" s="31"/>
      <c r="G38119" s="272" t="s">
        <v>1099</v>
      </c>
    </row>
    <row r="38120">
      <c r="B38120" s="31"/>
      <c r="G38120" s="272" t="s">
        <v>1099</v>
      </c>
    </row>
    <row r="38121">
      <c r="B38121" s="31"/>
      <c r="G38121" s="272" t="s">
        <v>1099</v>
      </c>
    </row>
    <row r="38122">
      <c r="B38122" s="31"/>
      <c r="G38122" s="272" t="s">
        <v>1099</v>
      </c>
    </row>
    <row r="38123">
      <c r="B38123" s="31"/>
      <c r="G38123" s="272" t="s">
        <v>1099</v>
      </c>
    </row>
    <row r="38124">
      <c r="B38124" s="31"/>
      <c r="G38124" s="272" t="s">
        <v>1099</v>
      </c>
    </row>
    <row r="38125">
      <c r="B38125" s="31"/>
      <c r="G38125" s="272" t="s">
        <v>1099</v>
      </c>
    </row>
    <row r="38126">
      <c r="B38126" s="31"/>
      <c r="G38126" s="272" t="s">
        <v>1099</v>
      </c>
    </row>
    <row r="38127">
      <c r="B38127" s="31"/>
      <c r="G38127" s="272" t="s">
        <v>1099</v>
      </c>
    </row>
    <row r="38128">
      <c r="B38128" s="31"/>
      <c r="G38128" s="272" t="s">
        <v>1099</v>
      </c>
    </row>
    <row r="38129">
      <c r="B38129" s="31"/>
      <c r="G38129" s="272" t="s">
        <v>1099</v>
      </c>
    </row>
    <row r="38130">
      <c r="B38130" s="31"/>
      <c r="G38130" s="272" t="s">
        <v>1099</v>
      </c>
    </row>
    <row r="38131">
      <c r="B38131" s="31"/>
      <c r="G38131" s="272" t="s">
        <v>1099</v>
      </c>
    </row>
    <row r="38132">
      <c r="B38132" s="31"/>
      <c r="G38132" s="272" t="s">
        <v>1099</v>
      </c>
    </row>
    <row r="38133">
      <c r="B38133" s="31"/>
      <c r="G38133" s="272" t="s">
        <v>1099</v>
      </c>
    </row>
    <row r="38134">
      <c r="B38134" s="31"/>
      <c r="G38134" s="272" t="s">
        <v>1099</v>
      </c>
    </row>
    <row r="38135">
      <c r="B38135" s="31"/>
      <c r="G38135" s="272" t="s">
        <v>1099</v>
      </c>
    </row>
    <row r="38136">
      <c r="B38136" s="31"/>
      <c r="G38136" s="272" t="s">
        <v>1099</v>
      </c>
    </row>
    <row r="38137">
      <c r="B38137" s="31"/>
      <c r="G38137" s="272" t="s">
        <v>1099</v>
      </c>
    </row>
    <row r="38138">
      <c r="B38138" s="31"/>
      <c r="G38138" s="272" t="s">
        <v>1099</v>
      </c>
    </row>
    <row r="38139">
      <c r="B38139" s="31"/>
      <c r="G38139" s="272" t="s">
        <v>1099</v>
      </c>
    </row>
    <row r="38140">
      <c r="B38140" s="31"/>
      <c r="G38140" s="272" t="s">
        <v>1099</v>
      </c>
    </row>
    <row r="38141">
      <c r="B38141" s="31"/>
      <c r="G38141" s="272" t="s">
        <v>1099</v>
      </c>
    </row>
    <row r="38142">
      <c r="B38142" s="31"/>
      <c r="G38142" s="272" t="s">
        <v>1099</v>
      </c>
    </row>
    <row r="38143">
      <c r="B38143" s="31"/>
      <c r="G38143" s="272" t="s">
        <v>1099</v>
      </c>
    </row>
    <row r="38144">
      <c r="B38144" s="31"/>
      <c r="G38144" s="272" t="s">
        <v>1099</v>
      </c>
    </row>
    <row r="38145">
      <c r="B38145" s="31"/>
      <c r="G38145" s="272" t="s">
        <v>1099</v>
      </c>
    </row>
    <row r="38146">
      <c r="B38146" s="31"/>
      <c r="G38146" s="272" t="s">
        <v>1099</v>
      </c>
    </row>
    <row r="38147">
      <c r="B38147" s="31"/>
      <c r="G38147" s="272" t="s">
        <v>1099</v>
      </c>
    </row>
    <row r="38148">
      <c r="B38148" s="31"/>
      <c r="G38148" s="272" t="s">
        <v>1099</v>
      </c>
    </row>
    <row r="38149">
      <c r="B38149" s="31"/>
      <c r="G38149" s="272" t="s">
        <v>1099</v>
      </c>
    </row>
    <row r="38150">
      <c r="B38150" s="31"/>
      <c r="G38150" s="272" t="s">
        <v>1099</v>
      </c>
    </row>
    <row r="38151">
      <c r="B38151" s="31"/>
      <c r="G38151" s="272" t="s">
        <v>1099</v>
      </c>
    </row>
    <row r="38152">
      <c r="B38152" s="31"/>
      <c r="G38152" s="272" t="s">
        <v>1099</v>
      </c>
    </row>
    <row r="38153">
      <c r="B38153" s="31"/>
      <c r="G38153" s="272" t="s">
        <v>1099</v>
      </c>
    </row>
    <row r="38154">
      <c r="B38154" s="31"/>
      <c r="G38154" s="272" t="s">
        <v>1099</v>
      </c>
    </row>
    <row r="38155">
      <c r="B38155" s="31"/>
      <c r="G38155" s="272" t="s">
        <v>1099</v>
      </c>
    </row>
    <row r="38156">
      <c r="B38156" s="31"/>
      <c r="G38156" s="272" t="s">
        <v>1099</v>
      </c>
    </row>
    <row r="38157">
      <c r="B38157" s="31"/>
      <c r="G38157" s="272" t="s">
        <v>1099</v>
      </c>
    </row>
    <row r="38158">
      <c r="B38158" s="31"/>
      <c r="G38158" s="272" t="s">
        <v>1099</v>
      </c>
    </row>
    <row r="38159">
      <c r="B38159" s="31"/>
      <c r="G38159" s="272" t="s">
        <v>1099</v>
      </c>
    </row>
    <row r="38160">
      <c r="B38160" s="31"/>
      <c r="G38160" s="272" t="s">
        <v>1099</v>
      </c>
    </row>
    <row r="38161">
      <c r="B38161" s="31"/>
      <c r="G38161" s="272" t="s">
        <v>1099</v>
      </c>
    </row>
    <row r="38162">
      <c r="B38162" s="31"/>
      <c r="G38162" s="272" t="s">
        <v>1099</v>
      </c>
    </row>
    <row r="38163">
      <c r="B38163" s="31"/>
      <c r="G38163" s="272" t="s">
        <v>1099</v>
      </c>
    </row>
    <row r="38164">
      <c r="B38164" s="31"/>
      <c r="G38164" s="272" t="s">
        <v>1099</v>
      </c>
    </row>
    <row r="38165">
      <c r="B38165" s="31"/>
      <c r="G38165" s="272" t="s">
        <v>1099</v>
      </c>
    </row>
    <row r="38166">
      <c r="B38166" s="31"/>
      <c r="G38166" s="272" t="s">
        <v>1099</v>
      </c>
    </row>
    <row r="38167">
      <c r="B38167" s="31"/>
      <c r="G38167" s="272" t="s">
        <v>1099</v>
      </c>
    </row>
    <row r="38168">
      <c r="B38168" s="31"/>
      <c r="G38168" s="272" t="s">
        <v>1099</v>
      </c>
    </row>
    <row r="38169">
      <c r="B38169" s="31"/>
      <c r="G38169" s="272" t="s">
        <v>1099</v>
      </c>
    </row>
    <row r="38170">
      <c r="B38170" s="31"/>
      <c r="G38170" s="272" t="s">
        <v>1099</v>
      </c>
    </row>
    <row r="38171">
      <c r="B38171" s="31"/>
      <c r="G38171" s="272" t="s">
        <v>1099</v>
      </c>
    </row>
    <row r="38172">
      <c r="B38172" s="31"/>
      <c r="G38172" s="272" t="s">
        <v>1099</v>
      </c>
    </row>
    <row r="38173">
      <c r="B38173" s="31"/>
      <c r="G38173" s="272" t="s">
        <v>1099</v>
      </c>
    </row>
    <row r="38174">
      <c r="B38174" s="31"/>
      <c r="G38174" s="272" t="s">
        <v>1099</v>
      </c>
    </row>
    <row r="38175">
      <c r="B38175" s="31"/>
      <c r="G38175" s="272" t="s">
        <v>1099</v>
      </c>
    </row>
    <row r="38176">
      <c r="B38176" s="31"/>
      <c r="G38176" s="272" t="s">
        <v>1099</v>
      </c>
    </row>
    <row r="38177">
      <c r="B38177" s="31"/>
      <c r="G38177" s="272" t="s">
        <v>1099</v>
      </c>
    </row>
    <row r="38178">
      <c r="B38178" s="31"/>
      <c r="G38178" s="272" t="s">
        <v>1099</v>
      </c>
    </row>
    <row r="38179">
      <c r="B38179" s="31"/>
      <c r="G38179" s="272" t="s">
        <v>1099</v>
      </c>
    </row>
    <row r="38180">
      <c r="B38180" s="31"/>
      <c r="G38180" s="272" t="s">
        <v>1099</v>
      </c>
    </row>
    <row r="38181">
      <c r="B38181" s="31"/>
      <c r="G38181" s="272" t="s">
        <v>1099</v>
      </c>
    </row>
    <row r="38182">
      <c r="B38182" s="31"/>
      <c r="G38182" s="272" t="s">
        <v>1099</v>
      </c>
    </row>
    <row r="38183">
      <c r="B38183" s="31"/>
      <c r="G38183" s="272" t="s">
        <v>1099</v>
      </c>
    </row>
    <row r="38184">
      <c r="B38184" s="31"/>
      <c r="G38184" s="272" t="s">
        <v>1099</v>
      </c>
    </row>
    <row r="38185">
      <c r="B38185" s="31"/>
      <c r="G38185" s="272" t="s">
        <v>1099</v>
      </c>
    </row>
    <row r="38186">
      <c r="B38186" s="31"/>
      <c r="G38186" s="272" t="s">
        <v>1099</v>
      </c>
    </row>
    <row r="38187">
      <c r="B38187" s="31"/>
      <c r="G38187" s="272" t="s">
        <v>1099</v>
      </c>
    </row>
    <row r="38188">
      <c r="B38188" s="31"/>
      <c r="G38188" s="272" t="s">
        <v>1099</v>
      </c>
    </row>
    <row r="38189">
      <c r="B38189" s="31"/>
      <c r="G38189" s="272" t="s">
        <v>1099</v>
      </c>
    </row>
    <row r="38190">
      <c r="B38190" s="31"/>
      <c r="G38190" s="272" t="s">
        <v>1099</v>
      </c>
    </row>
    <row r="38191">
      <c r="B38191" s="31"/>
      <c r="G38191" s="272" t="s">
        <v>1099</v>
      </c>
    </row>
    <row r="38192">
      <c r="B38192" s="31"/>
      <c r="G38192" s="272" t="s">
        <v>1099</v>
      </c>
    </row>
    <row r="38193">
      <c r="B38193" s="31"/>
      <c r="G38193" s="272" t="s">
        <v>1099</v>
      </c>
    </row>
    <row r="38194">
      <c r="B38194" s="31"/>
      <c r="G38194" s="272" t="s">
        <v>1099</v>
      </c>
    </row>
    <row r="38195">
      <c r="B38195" s="31"/>
      <c r="G38195" s="272" t="s">
        <v>1099</v>
      </c>
    </row>
    <row r="38196">
      <c r="B38196" s="31"/>
      <c r="G38196" s="272" t="s">
        <v>1099</v>
      </c>
    </row>
    <row r="38197">
      <c r="B38197" s="31"/>
      <c r="G38197" s="272" t="s">
        <v>1099</v>
      </c>
    </row>
    <row r="38198">
      <c r="B38198" s="31"/>
      <c r="G38198" s="272" t="s">
        <v>1099</v>
      </c>
    </row>
    <row r="38199">
      <c r="B38199" s="31"/>
      <c r="G38199" s="272" t="s">
        <v>1099</v>
      </c>
    </row>
    <row r="38200">
      <c r="B38200" s="31"/>
      <c r="G38200" s="272" t="s">
        <v>1099</v>
      </c>
    </row>
    <row r="38201">
      <c r="B38201" s="31"/>
      <c r="G38201" s="272" t="s">
        <v>1099</v>
      </c>
    </row>
    <row r="38202">
      <c r="B38202" s="31"/>
      <c r="G38202" s="272" t="s">
        <v>1099</v>
      </c>
    </row>
    <row r="38203">
      <c r="B38203" s="31"/>
      <c r="G38203" s="272" t="s">
        <v>1099</v>
      </c>
    </row>
    <row r="38204">
      <c r="B38204" s="31"/>
      <c r="G38204" s="272" t="s">
        <v>1099</v>
      </c>
    </row>
    <row r="38205">
      <c r="B38205" s="31"/>
      <c r="G38205" s="272" t="s">
        <v>1099</v>
      </c>
    </row>
    <row r="38206">
      <c r="B38206" s="31"/>
      <c r="G38206" s="272" t="s">
        <v>1099</v>
      </c>
    </row>
    <row r="38207">
      <c r="B38207" s="31"/>
      <c r="G38207" s="272" t="s">
        <v>1099</v>
      </c>
    </row>
    <row r="38208">
      <c r="B38208" s="31"/>
      <c r="G38208" s="272" t="s">
        <v>1099</v>
      </c>
    </row>
    <row r="38209">
      <c r="B38209" s="31"/>
      <c r="G38209" s="272" t="s">
        <v>1099</v>
      </c>
    </row>
    <row r="38210">
      <c r="B38210" s="31"/>
      <c r="G38210" s="272" t="s">
        <v>1099</v>
      </c>
    </row>
    <row r="38211">
      <c r="B38211" s="31"/>
      <c r="G38211" s="272" t="s">
        <v>1099</v>
      </c>
    </row>
    <row r="38212">
      <c r="B38212" s="31"/>
      <c r="G38212" s="272" t="s">
        <v>1099</v>
      </c>
    </row>
    <row r="38213">
      <c r="B38213" s="31"/>
      <c r="G38213" s="272" t="s">
        <v>1099</v>
      </c>
    </row>
    <row r="38214">
      <c r="B38214" s="31"/>
      <c r="G38214" s="272" t="s">
        <v>1099</v>
      </c>
    </row>
    <row r="38215">
      <c r="B38215" s="31"/>
      <c r="G38215" s="272" t="s">
        <v>1099</v>
      </c>
    </row>
    <row r="38216">
      <c r="B38216" s="31"/>
      <c r="G38216" s="272" t="s">
        <v>1099</v>
      </c>
    </row>
    <row r="38217">
      <c r="B38217" s="31"/>
      <c r="G38217" s="272" t="s">
        <v>1099</v>
      </c>
    </row>
    <row r="38218">
      <c r="B38218" s="31"/>
      <c r="G38218" s="272" t="s">
        <v>1099</v>
      </c>
    </row>
    <row r="38219">
      <c r="B38219" s="31"/>
      <c r="G38219" s="272" t="s">
        <v>1099</v>
      </c>
    </row>
    <row r="38220">
      <c r="B38220" s="31"/>
      <c r="G38220" s="272" t="s">
        <v>1099</v>
      </c>
    </row>
    <row r="38221">
      <c r="B38221" s="31"/>
      <c r="G38221" s="272" t="s">
        <v>1099</v>
      </c>
    </row>
    <row r="38222">
      <c r="B38222" s="31"/>
      <c r="G38222" s="272" t="s">
        <v>1099</v>
      </c>
    </row>
    <row r="38223">
      <c r="B38223" s="31"/>
      <c r="G38223" s="272" t="s">
        <v>1099</v>
      </c>
    </row>
    <row r="38224">
      <c r="B38224" s="31"/>
      <c r="G38224" s="272" t="s">
        <v>1099</v>
      </c>
    </row>
    <row r="38225">
      <c r="B38225" s="31"/>
      <c r="G38225" s="272" t="s">
        <v>1099</v>
      </c>
    </row>
    <row r="38226">
      <c r="B38226" s="31"/>
      <c r="G38226" s="272" t="s">
        <v>1099</v>
      </c>
    </row>
    <row r="38227">
      <c r="B38227" s="31"/>
      <c r="G38227" s="272" t="s">
        <v>1099</v>
      </c>
    </row>
    <row r="38228">
      <c r="B38228" s="31"/>
      <c r="G38228" s="272" t="s">
        <v>1099</v>
      </c>
    </row>
    <row r="38229">
      <c r="B38229" s="31"/>
      <c r="G38229" s="272" t="s">
        <v>1099</v>
      </c>
    </row>
    <row r="38230">
      <c r="B38230" s="31"/>
      <c r="G38230" s="272" t="s">
        <v>1099</v>
      </c>
    </row>
    <row r="38231">
      <c r="B38231" s="31"/>
      <c r="G38231" s="272" t="s">
        <v>1099</v>
      </c>
    </row>
    <row r="38232">
      <c r="B38232" s="31"/>
      <c r="G38232" s="272" t="s">
        <v>1099</v>
      </c>
    </row>
    <row r="38233">
      <c r="B38233" s="31"/>
      <c r="G38233" s="272" t="s">
        <v>1099</v>
      </c>
    </row>
    <row r="38234">
      <c r="B38234" s="31"/>
      <c r="G38234" s="272" t="s">
        <v>1099</v>
      </c>
    </row>
    <row r="38235">
      <c r="B38235" s="31"/>
      <c r="G38235" s="272" t="s">
        <v>1099</v>
      </c>
    </row>
    <row r="38236">
      <c r="B38236" s="31"/>
      <c r="G38236" s="272" t="s">
        <v>1099</v>
      </c>
    </row>
    <row r="38237">
      <c r="B38237" s="31"/>
      <c r="G38237" s="272" t="s">
        <v>1099</v>
      </c>
    </row>
    <row r="38238">
      <c r="B38238" s="31"/>
      <c r="G38238" s="272" t="s">
        <v>1099</v>
      </c>
    </row>
    <row r="38239">
      <c r="B38239" s="31"/>
      <c r="G38239" s="272" t="s">
        <v>1099</v>
      </c>
    </row>
    <row r="38240">
      <c r="B38240" s="31"/>
      <c r="G38240" s="272" t="s">
        <v>1099</v>
      </c>
    </row>
    <row r="38241">
      <c r="B38241" s="31"/>
      <c r="G38241" s="272" t="s">
        <v>1099</v>
      </c>
    </row>
    <row r="38242">
      <c r="B38242" s="31"/>
      <c r="G38242" s="272" t="s">
        <v>1099</v>
      </c>
    </row>
    <row r="38243">
      <c r="B38243" s="31"/>
      <c r="G38243" s="272" t="s">
        <v>1099</v>
      </c>
    </row>
    <row r="38244">
      <c r="B38244" s="31"/>
      <c r="G38244" s="272" t="s">
        <v>1099</v>
      </c>
    </row>
    <row r="38245">
      <c r="B38245" s="31"/>
      <c r="G38245" s="272" t="s">
        <v>1099</v>
      </c>
    </row>
    <row r="38246">
      <c r="B38246" s="31"/>
      <c r="G38246" s="272" t="s">
        <v>1099</v>
      </c>
    </row>
    <row r="38247">
      <c r="B38247" s="31"/>
      <c r="G38247" s="272" t="s">
        <v>1099</v>
      </c>
    </row>
    <row r="38248">
      <c r="B38248" s="31"/>
      <c r="G38248" s="272" t="s">
        <v>1099</v>
      </c>
    </row>
    <row r="38249">
      <c r="B38249" s="31"/>
      <c r="G38249" s="272" t="s">
        <v>1099</v>
      </c>
    </row>
    <row r="38250">
      <c r="B38250" s="31"/>
      <c r="G38250" s="272" t="s">
        <v>1099</v>
      </c>
    </row>
    <row r="38251">
      <c r="B38251" s="31"/>
      <c r="G38251" s="272" t="s">
        <v>1099</v>
      </c>
    </row>
    <row r="38252">
      <c r="B38252" s="31"/>
      <c r="G38252" s="272" t="s">
        <v>1099</v>
      </c>
    </row>
    <row r="38253">
      <c r="B38253" s="31"/>
      <c r="G38253" s="272" t="s">
        <v>1099</v>
      </c>
    </row>
    <row r="38254">
      <c r="B38254" s="31"/>
      <c r="G38254" s="272" t="s">
        <v>1099</v>
      </c>
    </row>
    <row r="38255">
      <c r="B38255" s="31"/>
      <c r="G38255" s="272" t="s">
        <v>1099</v>
      </c>
    </row>
    <row r="38256">
      <c r="B38256" s="31"/>
      <c r="G38256" s="272" t="s">
        <v>1099</v>
      </c>
    </row>
    <row r="38257">
      <c r="B38257" s="31"/>
      <c r="G38257" s="272" t="s">
        <v>1099</v>
      </c>
    </row>
    <row r="38258">
      <c r="B38258" s="31"/>
      <c r="G38258" s="272" t="s">
        <v>1099</v>
      </c>
    </row>
    <row r="38259">
      <c r="B38259" s="31"/>
      <c r="G38259" s="272" t="s">
        <v>1099</v>
      </c>
    </row>
    <row r="38260">
      <c r="B38260" s="31"/>
      <c r="G38260" s="272" t="s">
        <v>1099</v>
      </c>
    </row>
    <row r="38261">
      <c r="B38261" s="31"/>
      <c r="G38261" s="272" t="s">
        <v>1099</v>
      </c>
    </row>
    <row r="38262">
      <c r="B38262" s="31"/>
      <c r="G38262" s="272" t="s">
        <v>1099</v>
      </c>
    </row>
    <row r="38263">
      <c r="B38263" s="31"/>
      <c r="G38263" s="272" t="s">
        <v>1099</v>
      </c>
    </row>
    <row r="38264">
      <c r="B38264" s="31"/>
      <c r="G38264" s="272" t="s">
        <v>1099</v>
      </c>
    </row>
    <row r="38265">
      <c r="B38265" s="31"/>
      <c r="G38265" s="272" t="s">
        <v>1099</v>
      </c>
    </row>
    <row r="38266">
      <c r="B38266" s="31"/>
      <c r="G38266" s="272" t="s">
        <v>1099</v>
      </c>
    </row>
    <row r="38267">
      <c r="B38267" s="31"/>
      <c r="G38267" s="272" t="s">
        <v>1099</v>
      </c>
    </row>
    <row r="38268">
      <c r="B38268" s="31"/>
      <c r="G38268" s="272" t="s">
        <v>1099</v>
      </c>
    </row>
    <row r="38269">
      <c r="B38269" s="31"/>
      <c r="G38269" s="272" t="s">
        <v>1099</v>
      </c>
    </row>
    <row r="38270">
      <c r="B38270" s="31"/>
      <c r="G38270" s="272" t="s">
        <v>1099</v>
      </c>
    </row>
    <row r="38271">
      <c r="B38271" s="31"/>
      <c r="G38271" s="272" t="s">
        <v>1099</v>
      </c>
    </row>
    <row r="38272">
      <c r="B38272" s="31"/>
      <c r="G38272" s="272" t="s">
        <v>1099</v>
      </c>
    </row>
    <row r="38273">
      <c r="B38273" s="31"/>
      <c r="G38273" s="272" t="s">
        <v>1099</v>
      </c>
    </row>
    <row r="38274">
      <c r="B38274" s="31"/>
      <c r="G38274" s="272" t="s">
        <v>1099</v>
      </c>
    </row>
    <row r="38275">
      <c r="B38275" s="31"/>
      <c r="G38275" s="272" t="s">
        <v>1099</v>
      </c>
    </row>
    <row r="38276">
      <c r="B38276" s="31"/>
      <c r="G38276" s="272" t="s">
        <v>1099</v>
      </c>
    </row>
    <row r="38277">
      <c r="B38277" s="31"/>
      <c r="G38277" s="272" t="s">
        <v>1099</v>
      </c>
    </row>
    <row r="38278">
      <c r="B38278" s="31"/>
      <c r="G38278" s="272" t="s">
        <v>1099</v>
      </c>
    </row>
    <row r="38279">
      <c r="B38279" s="31"/>
      <c r="G38279" s="272" t="s">
        <v>1099</v>
      </c>
    </row>
    <row r="38280">
      <c r="B38280" s="31"/>
      <c r="G38280" s="272" t="s">
        <v>1099</v>
      </c>
    </row>
    <row r="38281">
      <c r="B38281" s="31"/>
      <c r="G38281" s="272" t="s">
        <v>1099</v>
      </c>
    </row>
    <row r="38282">
      <c r="B38282" s="31"/>
      <c r="G38282" s="272" t="s">
        <v>1099</v>
      </c>
    </row>
    <row r="38283">
      <c r="B38283" s="31"/>
      <c r="G38283" s="272" t="s">
        <v>1099</v>
      </c>
    </row>
    <row r="38284">
      <c r="B38284" s="31"/>
      <c r="G38284" s="272" t="s">
        <v>1099</v>
      </c>
    </row>
    <row r="38285">
      <c r="B38285" s="31"/>
      <c r="G38285" s="272" t="s">
        <v>1099</v>
      </c>
    </row>
    <row r="38286">
      <c r="B38286" s="31"/>
      <c r="G38286" s="272" t="s">
        <v>1099</v>
      </c>
    </row>
    <row r="38287">
      <c r="B38287" s="31"/>
      <c r="G38287" s="272" t="s">
        <v>1099</v>
      </c>
    </row>
    <row r="38288">
      <c r="B38288" s="31"/>
      <c r="G38288" s="272" t="s">
        <v>1099</v>
      </c>
    </row>
    <row r="38289">
      <c r="B38289" s="31"/>
      <c r="G38289" s="272" t="s">
        <v>1099</v>
      </c>
    </row>
    <row r="38290">
      <c r="B38290" s="31"/>
      <c r="G38290" s="272" t="s">
        <v>1099</v>
      </c>
    </row>
    <row r="38291">
      <c r="B38291" s="31"/>
      <c r="G38291" s="272" t="s">
        <v>1099</v>
      </c>
    </row>
    <row r="38292">
      <c r="B38292" s="31"/>
      <c r="G38292" s="272" t="s">
        <v>1099</v>
      </c>
    </row>
    <row r="38293">
      <c r="B38293" s="31"/>
      <c r="G38293" s="272" t="s">
        <v>1099</v>
      </c>
    </row>
    <row r="38294">
      <c r="B38294" s="31"/>
      <c r="G38294" s="272" t="s">
        <v>1099</v>
      </c>
    </row>
    <row r="38295">
      <c r="B38295" s="31"/>
      <c r="G38295" s="272" t="s">
        <v>1099</v>
      </c>
    </row>
    <row r="38296">
      <c r="B38296" s="31"/>
      <c r="G38296" s="272" t="s">
        <v>1099</v>
      </c>
    </row>
    <row r="38297">
      <c r="B38297" s="31"/>
      <c r="G38297" s="272" t="s">
        <v>1099</v>
      </c>
    </row>
    <row r="38298">
      <c r="B38298" s="31"/>
      <c r="G38298" s="272" t="s">
        <v>1099</v>
      </c>
    </row>
    <row r="38299">
      <c r="B38299" s="31"/>
      <c r="G38299" s="272" t="s">
        <v>1099</v>
      </c>
    </row>
    <row r="38300">
      <c r="B38300" s="31"/>
      <c r="G38300" s="272" t="s">
        <v>1099</v>
      </c>
    </row>
    <row r="38301">
      <c r="B38301" s="31"/>
      <c r="G38301" s="272" t="s">
        <v>1099</v>
      </c>
    </row>
    <row r="38302">
      <c r="B38302" s="31"/>
      <c r="G38302" s="272" t="s">
        <v>1099</v>
      </c>
    </row>
    <row r="38303">
      <c r="B38303" s="31"/>
      <c r="G38303" s="272" t="s">
        <v>1099</v>
      </c>
    </row>
    <row r="38304">
      <c r="B38304" s="31"/>
      <c r="G38304" s="272" t="s">
        <v>1099</v>
      </c>
    </row>
    <row r="38305">
      <c r="B38305" s="31"/>
      <c r="G38305" s="272" t="s">
        <v>1099</v>
      </c>
    </row>
    <row r="38306">
      <c r="B38306" s="31"/>
      <c r="G38306" s="272" t="s">
        <v>1099</v>
      </c>
    </row>
    <row r="38307">
      <c r="B38307" s="31"/>
      <c r="G38307" s="272" t="s">
        <v>1099</v>
      </c>
    </row>
    <row r="38308">
      <c r="B38308" s="31"/>
      <c r="G38308" s="272" t="s">
        <v>1099</v>
      </c>
    </row>
    <row r="38309">
      <c r="B38309" s="31"/>
      <c r="G38309" s="272" t="s">
        <v>1099</v>
      </c>
    </row>
    <row r="38310">
      <c r="B38310" s="31"/>
      <c r="G38310" s="272" t="s">
        <v>1099</v>
      </c>
    </row>
    <row r="38311">
      <c r="B38311" s="31"/>
      <c r="G38311" s="272" t="s">
        <v>1099</v>
      </c>
    </row>
    <row r="38312">
      <c r="B38312" s="31"/>
      <c r="G38312" s="272" t="s">
        <v>1099</v>
      </c>
    </row>
    <row r="38313">
      <c r="B38313" s="31"/>
      <c r="G38313" s="272" t="s">
        <v>1099</v>
      </c>
    </row>
    <row r="38314">
      <c r="B38314" s="31"/>
      <c r="G38314" s="272" t="s">
        <v>1099</v>
      </c>
    </row>
    <row r="38315">
      <c r="B38315" s="31"/>
      <c r="G38315" s="272" t="s">
        <v>1099</v>
      </c>
    </row>
    <row r="38316">
      <c r="B38316" s="31"/>
      <c r="G38316" s="272" t="s">
        <v>1099</v>
      </c>
    </row>
    <row r="38317">
      <c r="B38317" s="31"/>
      <c r="G38317" s="272" t="s">
        <v>1099</v>
      </c>
    </row>
    <row r="38318">
      <c r="B38318" s="31"/>
      <c r="G38318" s="272" t="s">
        <v>1099</v>
      </c>
    </row>
    <row r="38319">
      <c r="B38319" s="31"/>
      <c r="G38319" s="272" t="s">
        <v>1099</v>
      </c>
    </row>
    <row r="38320">
      <c r="B38320" s="31"/>
      <c r="G38320" s="272" t="s">
        <v>1099</v>
      </c>
    </row>
    <row r="38321">
      <c r="B38321" s="31"/>
      <c r="G38321" s="272" t="s">
        <v>1099</v>
      </c>
    </row>
    <row r="38322">
      <c r="B38322" s="31"/>
      <c r="G38322" s="272" t="s">
        <v>1099</v>
      </c>
    </row>
    <row r="38323">
      <c r="B38323" s="31"/>
      <c r="G38323" s="272" t="s">
        <v>1099</v>
      </c>
    </row>
    <row r="38324">
      <c r="B38324" s="31"/>
      <c r="G38324" s="272" t="s">
        <v>1099</v>
      </c>
    </row>
    <row r="38325">
      <c r="B38325" s="31"/>
      <c r="G38325" s="272" t="s">
        <v>1099</v>
      </c>
    </row>
    <row r="38326">
      <c r="B38326" s="31"/>
      <c r="G38326" s="272" t="s">
        <v>1099</v>
      </c>
    </row>
    <row r="38327">
      <c r="B38327" s="31"/>
      <c r="G38327" s="272" t="s">
        <v>1099</v>
      </c>
    </row>
    <row r="38328">
      <c r="B38328" s="31"/>
      <c r="G38328" s="272" t="s">
        <v>1099</v>
      </c>
    </row>
    <row r="38329">
      <c r="B38329" s="31"/>
      <c r="G38329" s="272" t="s">
        <v>1099</v>
      </c>
    </row>
    <row r="38330">
      <c r="B38330" s="31"/>
      <c r="G38330" s="272" t="s">
        <v>1099</v>
      </c>
    </row>
    <row r="38331">
      <c r="B38331" s="31"/>
      <c r="G38331" s="272" t="s">
        <v>1099</v>
      </c>
    </row>
    <row r="38332">
      <c r="B38332" s="31"/>
      <c r="G38332" s="272" t="s">
        <v>1099</v>
      </c>
    </row>
    <row r="38333">
      <c r="B38333" s="31"/>
      <c r="G38333" s="272" t="s">
        <v>1099</v>
      </c>
    </row>
    <row r="38334">
      <c r="B38334" s="31"/>
      <c r="G38334" s="272" t="s">
        <v>1099</v>
      </c>
    </row>
    <row r="38335">
      <c r="B38335" s="31"/>
      <c r="G38335" s="272" t="s">
        <v>1099</v>
      </c>
    </row>
    <row r="38336">
      <c r="B38336" s="31"/>
      <c r="G38336" s="272" t="s">
        <v>1099</v>
      </c>
    </row>
    <row r="38337">
      <c r="B38337" s="31"/>
      <c r="G38337" s="272" t="s">
        <v>1099</v>
      </c>
    </row>
    <row r="38338">
      <c r="B38338" s="31"/>
      <c r="G38338" s="272" t="s">
        <v>1099</v>
      </c>
    </row>
    <row r="38339">
      <c r="B38339" s="31"/>
      <c r="G38339" s="272" t="s">
        <v>1099</v>
      </c>
    </row>
    <row r="38340">
      <c r="B38340" s="31"/>
      <c r="G38340" s="272" t="s">
        <v>1099</v>
      </c>
    </row>
    <row r="38341">
      <c r="B38341" s="31"/>
      <c r="G38341" s="272" t="s">
        <v>1099</v>
      </c>
    </row>
    <row r="38342">
      <c r="B38342" s="31"/>
      <c r="G38342" s="272" t="s">
        <v>1099</v>
      </c>
    </row>
    <row r="38343">
      <c r="B38343" s="31"/>
      <c r="G38343" s="272" t="s">
        <v>1099</v>
      </c>
    </row>
    <row r="38344">
      <c r="B38344" s="31"/>
      <c r="G38344" s="272" t="s">
        <v>1099</v>
      </c>
    </row>
    <row r="38345">
      <c r="B38345" s="31"/>
      <c r="G38345" s="272" t="s">
        <v>1099</v>
      </c>
    </row>
    <row r="38346">
      <c r="B38346" s="31"/>
      <c r="G38346" s="272" t="s">
        <v>1099</v>
      </c>
    </row>
    <row r="38347">
      <c r="B38347" s="31"/>
      <c r="G38347" s="272" t="s">
        <v>1099</v>
      </c>
    </row>
    <row r="38348">
      <c r="B38348" s="31"/>
      <c r="G38348" s="272" t="s">
        <v>1099</v>
      </c>
    </row>
    <row r="38349">
      <c r="B38349" s="31"/>
      <c r="G38349" s="272" t="s">
        <v>1099</v>
      </c>
    </row>
    <row r="38350">
      <c r="B38350" s="31"/>
      <c r="G38350" s="272" t="s">
        <v>1099</v>
      </c>
    </row>
    <row r="38351">
      <c r="B38351" s="31"/>
      <c r="G38351" s="272" t="s">
        <v>1099</v>
      </c>
    </row>
    <row r="38352">
      <c r="B38352" s="31"/>
      <c r="G38352" s="272" t="s">
        <v>1099</v>
      </c>
    </row>
    <row r="38353">
      <c r="B38353" s="31"/>
      <c r="G38353" s="272" t="s">
        <v>1099</v>
      </c>
    </row>
    <row r="38354">
      <c r="B38354" s="31"/>
      <c r="G38354" s="272" t="s">
        <v>1099</v>
      </c>
    </row>
    <row r="38355">
      <c r="B38355" s="31"/>
      <c r="G38355" s="272" t="s">
        <v>1099</v>
      </c>
    </row>
    <row r="38356">
      <c r="B38356" s="31"/>
      <c r="G38356" s="272" t="s">
        <v>1099</v>
      </c>
    </row>
    <row r="38357">
      <c r="B38357" s="31"/>
      <c r="G38357" s="272" t="s">
        <v>1099</v>
      </c>
    </row>
    <row r="38358">
      <c r="B38358" s="31"/>
      <c r="G38358" s="272" t="s">
        <v>1099</v>
      </c>
    </row>
    <row r="38359">
      <c r="B38359" s="31"/>
      <c r="G38359" s="272" t="s">
        <v>1099</v>
      </c>
    </row>
    <row r="38360">
      <c r="B38360" s="31"/>
      <c r="G38360" s="272" t="s">
        <v>1099</v>
      </c>
    </row>
    <row r="38361">
      <c r="B38361" s="31"/>
      <c r="G38361" s="272" t="s">
        <v>1099</v>
      </c>
    </row>
    <row r="38362">
      <c r="B38362" s="31"/>
      <c r="G38362" s="272" t="s">
        <v>1099</v>
      </c>
    </row>
    <row r="38363">
      <c r="B38363" s="31"/>
      <c r="G38363" s="272" t="s">
        <v>1099</v>
      </c>
    </row>
    <row r="38364">
      <c r="B38364" s="31"/>
      <c r="G38364" s="272" t="s">
        <v>1099</v>
      </c>
    </row>
    <row r="38365">
      <c r="B38365" s="31"/>
      <c r="G38365" s="272" t="s">
        <v>1099</v>
      </c>
    </row>
    <row r="38366">
      <c r="B38366" s="31"/>
      <c r="G38366" s="272" t="s">
        <v>1099</v>
      </c>
    </row>
    <row r="38367">
      <c r="B38367" s="31"/>
      <c r="G38367" s="272" t="s">
        <v>1099</v>
      </c>
    </row>
    <row r="38368">
      <c r="B38368" s="31"/>
      <c r="G38368" s="272" t="s">
        <v>1099</v>
      </c>
    </row>
    <row r="38369">
      <c r="B38369" s="31"/>
      <c r="G38369" s="272" t="s">
        <v>1099</v>
      </c>
    </row>
    <row r="38370">
      <c r="B38370" s="31"/>
      <c r="G38370" s="272" t="s">
        <v>1099</v>
      </c>
    </row>
    <row r="38371">
      <c r="B38371" s="31"/>
      <c r="G38371" s="272" t="s">
        <v>1099</v>
      </c>
    </row>
    <row r="38372">
      <c r="B38372" s="31"/>
      <c r="G38372" s="272" t="s">
        <v>1099</v>
      </c>
    </row>
    <row r="38373">
      <c r="B38373" s="31"/>
      <c r="G38373" s="272" t="s">
        <v>1099</v>
      </c>
    </row>
    <row r="38374">
      <c r="B38374" s="31"/>
      <c r="G38374" s="272" t="s">
        <v>1099</v>
      </c>
    </row>
    <row r="38375">
      <c r="B38375" s="31"/>
      <c r="G38375" s="272" t="s">
        <v>1099</v>
      </c>
    </row>
    <row r="38376">
      <c r="B38376" s="31"/>
      <c r="G38376" s="272" t="s">
        <v>1099</v>
      </c>
    </row>
    <row r="38377">
      <c r="B38377" s="31"/>
      <c r="G38377" s="272" t="s">
        <v>1099</v>
      </c>
    </row>
    <row r="38378">
      <c r="B38378" s="31"/>
      <c r="G38378" s="272" t="s">
        <v>1099</v>
      </c>
    </row>
    <row r="38379">
      <c r="B38379" s="31"/>
      <c r="G38379" s="272" t="s">
        <v>1099</v>
      </c>
    </row>
    <row r="38380">
      <c r="B38380" s="31"/>
      <c r="G38380" s="272" t="s">
        <v>1099</v>
      </c>
    </row>
    <row r="38381">
      <c r="B38381" s="31"/>
      <c r="G38381" s="272" t="s">
        <v>1099</v>
      </c>
    </row>
    <row r="38382">
      <c r="B38382" s="31"/>
      <c r="G38382" s="272" t="s">
        <v>1099</v>
      </c>
    </row>
    <row r="38383">
      <c r="B38383" s="31"/>
      <c r="G38383" s="272" t="s">
        <v>1099</v>
      </c>
    </row>
    <row r="38384">
      <c r="B38384" s="31"/>
      <c r="G38384" s="272" t="s">
        <v>1099</v>
      </c>
    </row>
    <row r="38385">
      <c r="B38385" s="31"/>
      <c r="G38385" s="272" t="s">
        <v>1099</v>
      </c>
    </row>
    <row r="38386">
      <c r="B38386" s="31"/>
      <c r="G38386" s="272" t="s">
        <v>1099</v>
      </c>
    </row>
    <row r="38387">
      <c r="B38387" s="31"/>
      <c r="G38387" s="272" t="s">
        <v>1099</v>
      </c>
    </row>
    <row r="38388">
      <c r="B38388" s="31"/>
      <c r="G38388" s="272" t="s">
        <v>1099</v>
      </c>
    </row>
    <row r="38389">
      <c r="B38389" s="31"/>
      <c r="G38389" s="272" t="s">
        <v>1099</v>
      </c>
    </row>
    <row r="38390">
      <c r="B38390" s="31"/>
      <c r="G38390" s="272" t="s">
        <v>1099</v>
      </c>
    </row>
    <row r="38391">
      <c r="B38391" s="31"/>
      <c r="G38391" s="272" t="s">
        <v>1099</v>
      </c>
    </row>
    <row r="38392">
      <c r="B38392" s="31"/>
      <c r="G38392" s="272" t="s">
        <v>1099</v>
      </c>
    </row>
    <row r="38393">
      <c r="B38393" s="31"/>
      <c r="G38393" s="272" t="s">
        <v>1099</v>
      </c>
    </row>
    <row r="38394">
      <c r="B38394" s="31"/>
      <c r="G38394" s="272" t="s">
        <v>1099</v>
      </c>
    </row>
    <row r="38395">
      <c r="B38395" s="31"/>
      <c r="G38395" s="272" t="s">
        <v>1099</v>
      </c>
    </row>
    <row r="38396">
      <c r="B38396" s="31"/>
      <c r="G38396" s="272" t="s">
        <v>1099</v>
      </c>
    </row>
    <row r="38397">
      <c r="B38397" s="31"/>
      <c r="G38397" s="272" t="s">
        <v>1099</v>
      </c>
    </row>
    <row r="38398">
      <c r="B38398" s="31"/>
      <c r="G38398" s="272" t="s">
        <v>1099</v>
      </c>
    </row>
    <row r="38399">
      <c r="B38399" s="31"/>
      <c r="G38399" s="272" t="s">
        <v>1099</v>
      </c>
    </row>
    <row r="38400">
      <c r="B38400" s="31"/>
      <c r="G38400" s="272" t="s">
        <v>1099</v>
      </c>
    </row>
    <row r="38401">
      <c r="B38401" s="31"/>
      <c r="G38401" s="272" t="s">
        <v>1099</v>
      </c>
    </row>
    <row r="38402">
      <c r="B38402" s="31"/>
      <c r="G38402" s="272" t="s">
        <v>1099</v>
      </c>
    </row>
    <row r="38403">
      <c r="B38403" s="31"/>
      <c r="G38403" s="272" t="s">
        <v>1099</v>
      </c>
    </row>
    <row r="38404">
      <c r="B38404" s="31"/>
      <c r="G38404" s="272" t="s">
        <v>1099</v>
      </c>
    </row>
    <row r="38405">
      <c r="B38405" s="31"/>
      <c r="G38405" s="272" t="s">
        <v>1099</v>
      </c>
    </row>
    <row r="38406">
      <c r="B38406" s="31"/>
      <c r="G38406" s="272" t="s">
        <v>1099</v>
      </c>
    </row>
    <row r="38407">
      <c r="B38407" s="31"/>
      <c r="G38407" s="272" t="s">
        <v>1099</v>
      </c>
    </row>
    <row r="38408">
      <c r="B38408" s="31"/>
      <c r="G38408" s="272" t="s">
        <v>1099</v>
      </c>
    </row>
    <row r="38409">
      <c r="B38409" s="31"/>
      <c r="G38409" s="272" t="s">
        <v>1099</v>
      </c>
    </row>
    <row r="38410">
      <c r="B38410" s="31"/>
      <c r="G38410" s="272" t="s">
        <v>1099</v>
      </c>
    </row>
    <row r="38411">
      <c r="B38411" s="31"/>
      <c r="G38411" s="272" t="s">
        <v>1099</v>
      </c>
    </row>
    <row r="38412">
      <c r="B38412" s="31"/>
      <c r="G38412" s="272" t="s">
        <v>1099</v>
      </c>
    </row>
    <row r="38413">
      <c r="B38413" s="31"/>
      <c r="G38413" s="272" t="s">
        <v>1099</v>
      </c>
    </row>
    <row r="38414">
      <c r="B38414" s="31"/>
      <c r="G38414" s="272" t="s">
        <v>1099</v>
      </c>
    </row>
    <row r="38415">
      <c r="B38415" s="31"/>
      <c r="G38415" s="272" t="s">
        <v>1099</v>
      </c>
    </row>
    <row r="38416">
      <c r="B38416" s="31"/>
      <c r="G38416" s="272" t="s">
        <v>1099</v>
      </c>
    </row>
    <row r="38417">
      <c r="B38417" s="31"/>
      <c r="G38417" s="272" t="s">
        <v>1099</v>
      </c>
    </row>
    <row r="38418">
      <c r="B38418" s="31"/>
      <c r="G38418" s="272" t="s">
        <v>1099</v>
      </c>
    </row>
    <row r="38419">
      <c r="B38419" s="31"/>
      <c r="G38419" s="272" t="s">
        <v>1099</v>
      </c>
    </row>
    <row r="38420">
      <c r="B38420" s="31"/>
      <c r="G38420" s="272" t="s">
        <v>1099</v>
      </c>
    </row>
    <row r="38421">
      <c r="B38421" s="31"/>
      <c r="G38421" s="272" t="s">
        <v>1099</v>
      </c>
    </row>
    <row r="38422">
      <c r="B38422" s="31"/>
      <c r="G38422" s="272" t="s">
        <v>1099</v>
      </c>
    </row>
    <row r="38423">
      <c r="B38423" s="31"/>
      <c r="G38423" s="272" t="s">
        <v>1099</v>
      </c>
    </row>
    <row r="38424">
      <c r="B38424" s="31"/>
      <c r="G38424" s="272" t="s">
        <v>1099</v>
      </c>
    </row>
    <row r="38425">
      <c r="B38425" s="31"/>
      <c r="G38425" s="272" t="s">
        <v>1099</v>
      </c>
    </row>
    <row r="38426">
      <c r="B38426" s="31"/>
      <c r="G38426" s="272" t="s">
        <v>1099</v>
      </c>
    </row>
    <row r="38427">
      <c r="B38427" s="31"/>
      <c r="G38427" s="272" t="s">
        <v>1099</v>
      </c>
    </row>
    <row r="38428">
      <c r="B38428" s="31"/>
      <c r="G38428" s="272" t="s">
        <v>1099</v>
      </c>
    </row>
    <row r="38429">
      <c r="B38429" s="31"/>
      <c r="G38429" s="272" t="s">
        <v>1099</v>
      </c>
    </row>
    <row r="38430">
      <c r="B38430" s="31"/>
      <c r="G38430" s="272" t="s">
        <v>1099</v>
      </c>
    </row>
    <row r="38431">
      <c r="B38431" s="31"/>
      <c r="G38431" s="272" t="s">
        <v>1099</v>
      </c>
    </row>
    <row r="38432">
      <c r="B38432" s="31"/>
      <c r="G38432" s="272" t="s">
        <v>1099</v>
      </c>
    </row>
    <row r="38433">
      <c r="B38433" s="31"/>
      <c r="G38433" s="272" t="s">
        <v>1099</v>
      </c>
    </row>
    <row r="38434">
      <c r="B38434" s="31"/>
      <c r="G38434" s="272" t="s">
        <v>1099</v>
      </c>
    </row>
    <row r="38435">
      <c r="B38435" s="31"/>
      <c r="G38435" s="272" t="s">
        <v>1099</v>
      </c>
    </row>
    <row r="38436">
      <c r="B38436" s="31"/>
      <c r="G38436" s="272" t="s">
        <v>1099</v>
      </c>
    </row>
    <row r="38437">
      <c r="B38437" s="31"/>
      <c r="G38437" s="272" t="s">
        <v>1099</v>
      </c>
    </row>
    <row r="38438">
      <c r="B38438" s="31"/>
      <c r="G38438" s="272" t="s">
        <v>1099</v>
      </c>
    </row>
    <row r="38439">
      <c r="B38439" s="31"/>
      <c r="G38439" s="272" t="s">
        <v>1099</v>
      </c>
    </row>
    <row r="38440">
      <c r="B38440" s="31"/>
      <c r="G38440" s="272" t="s">
        <v>1099</v>
      </c>
    </row>
    <row r="38441">
      <c r="B38441" s="31"/>
      <c r="G38441" s="272" t="s">
        <v>1099</v>
      </c>
    </row>
    <row r="38442">
      <c r="B38442" s="31"/>
      <c r="G38442" s="272" t="s">
        <v>1099</v>
      </c>
    </row>
    <row r="38443">
      <c r="B38443" s="31"/>
      <c r="G38443" s="272" t="s">
        <v>1099</v>
      </c>
    </row>
    <row r="38444">
      <c r="B38444" s="31"/>
      <c r="G38444" s="272" t="s">
        <v>1099</v>
      </c>
    </row>
    <row r="38445">
      <c r="B38445" s="31"/>
      <c r="G38445" s="272" t="s">
        <v>1099</v>
      </c>
    </row>
    <row r="38446">
      <c r="B38446" s="31"/>
      <c r="G38446" s="272" t="s">
        <v>1099</v>
      </c>
    </row>
    <row r="38447">
      <c r="B38447" s="31"/>
      <c r="G38447" s="272" t="s">
        <v>1099</v>
      </c>
    </row>
    <row r="38448">
      <c r="B38448" s="31"/>
      <c r="G38448" s="272" t="s">
        <v>1099</v>
      </c>
    </row>
    <row r="38449">
      <c r="B38449" s="31"/>
      <c r="G38449" s="272" t="s">
        <v>1099</v>
      </c>
    </row>
    <row r="38450">
      <c r="B38450" s="31"/>
      <c r="G38450" s="272" t="s">
        <v>1099</v>
      </c>
    </row>
    <row r="38451">
      <c r="B38451" s="31"/>
      <c r="G38451" s="272" t="s">
        <v>1099</v>
      </c>
    </row>
    <row r="38452">
      <c r="B38452" s="31"/>
      <c r="G38452" s="272" t="s">
        <v>1099</v>
      </c>
    </row>
    <row r="38453">
      <c r="B38453" s="31"/>
      <c r="G38453" s="272" t="s">
        <v>1099</v>
      </c>
    </row>
    <row r="38454">
      <c r="B38454" s="31"/>
      <c r="G38454" s="272" t="s">
        <v>1099</v>
      </c>
    </row>
    <row r="38455">
      <c r="B38455" s="31"/>
      <c r="G38455" s="272" t="s">
        <v>1099</v>
      </c>
    </row>
    <row r="38456">
      <c r="B38456" s="31"/>
      <c r="G38456" s="272" t="s">
        <v>1099</v>
      </c>
    </row>
    <row r="38457">
      <c r="B38457" s="31"/>
      <c r="G38457" s="272" t="s">
        <v>1099</v>
      </c>
    </row>
    <row r="38458">
      <c r="B38458" s="31"/>
      <c r="G38458" s="272" t="s">
        <v>1099</v>
      </c>
    </row>
    <row r="38459">
      <c r="B38459" s="31"/>
      <c r="G38459" s="272" t="s">
        <v>1099</v>
      </c>
    </row>
    <row r="38460">
      <c r="B38460" s="31"/>
      <c r="G38460" s="272" t="s">
        <v>1099</v>
      </c>
    </row>
    <row r="38461">
      <c r="B38461" s="31"/>
      <c r="G38461" s="272" t="s">
        <v>1099</v>
      </c>
    </row>
    <row r="38462">
      <c r="B38462" s="31"/>
      <c r="G38462" s="272" t="s">
        <v>1099</v>
      </c>
    </row>
    <row r="38463">
      <c r="B38463" s="31"/>
      <c r="G38463" s="272" t="s">
        <v>1099</v>
      </c>
    </row>
    <row r="38464">
      <c r="B38464" s="31"/>
      <c r="G38464" s="272" t="s">
        <v>1099</v>
      </c>
    </row>
    <row r="38465">
      <c r="B38465" s="31"/>
      <c r="G38465" s="272" t="s">
        <v>1099</v>
      </c>
    </row>
    <row r="38466">
      <c r="B38466" s="31"/>
      <c r="G38466" s="272" t="s">
        <v>1099</v>
      </c>
    </row>
    <row r="38467">
      <c r="B38467" s="31"/>
      <c r="G38467" s="272" t="s">
        <v>1099</v>
      </c>
    </row>
    <row r="38468">
      <c r="B38468" s="31"/>
      <c r="G38468" s="272" t="s">
        <v>1099</v>
      </c>
    </row>
    <row r="38469">
      <c r="B38469" s="31"/>
      <c r="G38469" s="272" t="s">
        <v>1099</v>
      </c>
    </row>
    <row r="38470">
      <c r="B38470" s="31"/>
      <c r="G38470" s="272" t="s">
        <v>1099</v>
      </c>
    </row>
    <row r="38471">
      <c r="B38471" s="31"/>
      <c r="G38471" s="272" t="s">
        <v>1099</v>
      </c>
    </row>
    <row r="38472">
      <c r="B38472" s="31"/>
      <c r="G38472" s="272" t="s">
        <v>1099</v>
      </c>
    </row>
    <row r="38473">
      <c r="B38473" s="31"/>
      <c r="G38473" s="272" t="s">
        <v>1099</v>
      </c>
    </row>
    <row r="38474">
      <c r="B38474" s="31"/>
      <c r="G38474" s="272" t="s">
        <v>1099</v>
      </c>
    </row>
    <row r="38475">
      <c r="B38475" s="31"/>
      <c r="G38475" s="272" t="s">
        <v>1099</v>
      </c>
    </row>
    <row r="38476">
      <c r="B38476" s="31"/>
      <c r="G38476" s="272" t="s">
        <v>1099</v>
      </c>
    </row>
    <row r="38477">
      <c r="B38477" s="31"/>
      <c r="G38477" s="272" t="s">
        <v>1099</v>
      </c>
    </row>
    <row r="38478">
      <c r="B38478" s="31"/>
      <c r="G38478" s="272" t="s">
        <v>1099</v>
      </c>
    </row>
    <row r="38479">
      <c r="B38479" s="31"/>
      <c r="G38479" s="272" t="s">
        <v>1099</v>
      </c>
    </row>
    <row r="38480">
      <c r="B38480" s="31"/>
      <c r="G38480" s="272" t="s">
        <v>1099</v>
      </c>
    </row>
    <row r="38481">
      <c r="B38481" s="31"/>
      <c r="G38481" s="272" t="s">
        <v>1099</v>
      </c>
    </row>
    <row r="38482">
      <c r="B38482" s="31"/>
      <c r="G38482" s="272" t="s">
        <v>1099</v>
      </c>
    </row>
    <row r="38483">
      <c r="B38483" s="31"/>
      <c r="G38483" s="272" t="s">
        <v>1099</v>
      </c>
    </row>
    <row r="38484">
      <c r="B38484" s="31"/>
      <c r="G38484" s="272" t="s">
        <v>1099</v>
      </c>
    </row>
    <row r="38485">
      <c r="B38485" s="31"/>
      <c r="G38485" s="272" t="s">
        <v>1099</v>
      </c>
    </row>
    <row r="38486">
      <c r="B38486" s="31"/>
      <c r="G38486" s="272" t="s">
        <v>1099</v>
      </c>
    </row>
    <row r="38487">
      <c r="B38487" s="31"/>
      <c r="G38487" s="272" t="s">
        <v>1099</v>
      </c>
    </row>
    <row r="38488">
      <c r="B38488" s="31"/>
      <c r="G38488" s="272" t="s">
        <v>1099</v>
      </c>
    </row>
    <row r="38489">
      <c r="B38489" s="31"/>
      <c r="G38489" s="272" t="s">
        <v>1099</v>
      </c>
    </row>
    <row r="38490">
      <c r="B38490" s="31"/>
      <c r="G38490" s="272" t="s">
        <v>1099</v>
      </c>
    </row>
    <row r="38491">
      <c r="B38491" s="31"/>
      <c r="G38491" s="272" t="s">
        <v>1099</v>
      </c>
    </row>
    <row r="38492">
      <c r="B38492" s="31"/>
      <c r="G38492" s="272" t="s">
        <v>1099</v>
      </c>
    </row>
    <row r="38493">
      <c r="B38493" s="31"/>
      <c r="G38493" s="272" t="s">
        <v>1099</v>
      </c>
    </row>
    <row r="38494">
      <c r="B38494" s="31"/>
      <c r="G38494" s="272" t="s">
        <v>1099</v>
      </c>
    </row>
    <row r="38495">
      <c r="B38495" s="31"/>
      <c r="G38495" s="272" t="s">
        <v>1099</v>
      </c>
    </row>
    <row r="38496">
      <c r="B38496" s="31"/>
      <c r="G38496" s="272" t="s">
        <v>1099</v>
      </c>
    </row>
    <row r="38497">
      <c r="B38497" s="31"/>
      <c r="G38497" s="272" t="s">
        <v>1099</v>
      </c>
    </row>
    <row r="38498">
      <c r="B38498" s="31"/>
      <c r="G38498" s="272" t="s">
        <v>1099</v>
      </c>
    </row>
    <row r="38499">
      <c r="B38499" s="31"/>
      <c r="G38499" s="272" t="s">
        <v>1099</v>
      </c>
    </row>
    <row r="38500">
      <c r="B38500" s="31"/>
      <c r="G38500" s="272" t="s">
        <v>1099</v>
      </c>
    </row>
    <row r="38501">
      <c r="B38501" s="31"/>
      <c r="G38501" s="272" t="s">
        <v>1099</v>
      </c>
    </row>
    <row r="38502">
      <c r="B38502" s="31"/>
      <c r="G38502" s="272" t="s">
        <v>1099</v>
      </c>
    </row>
    <row r="38503">
      <c r="B38503" s="31"/>
      <c r="G38503" s="272" t="s">
        <v>1099</v>
      </c>
    </row>
    <row r="38504">
      <c r="B38504" s="31"/>
      <c r="G38504" s="272" t="s">
        <v>1099</v>
      </c>
    </row>
    <row r="38505">
      <c r="B38505" s="31"/>
      <c r="G38505" s="272" t="s">
        <v>1099</v>
      </c>
    </row>
    <row r="38506">
      <c r="B38506" s="31"/>
      <c r="G38506" s="272" t="s">
        <v>1099</v>
      </c>
    </row>
    <row r="38507">
      <c r="B38507" s="31"/>
      <c r="G38507" s="272" t="s">
        <v>1099</v>
      </c>
    </row>
    <row r="38508">
      <c r="B38508" s="31"/>
      <c r="G38508" s="272" t="s">
        <v>1099</v>
      </c>
    </row>
    <row r="38509">
      <c r="B38509" s="31"/>
      <c r="G38509" s="272" t="s">
        <v>1099</v>
      </c>
    </row>
    <row r="38510">
      <c r="B38510" s="31"/>
      <c r="G38510" s="272" t="s">
        <v>1099</v>
      </c>
    </row>
    <row r="38511">
      <c r="B38511" s="31"/>
      <c r="G38511" s="272" t="s">
        <v>1099</v>
      </c>
    </row>
    <row r="38512">
      <c r="B38512" s="31"/>
      <c r="G38512" s="272" t="s">
        <v>1099</v>
      </c>
    </row>
    <row r="38513">
      <c r="B38513" s="31"/>
      <c r="G38513" s="272" t="s">
        <v>1099</v>
      </c>
    </row>
    <row r="38514">
      <c r="B38514" s="31"/>
      <c r="G38514" s="272" t="s">
        <v>1099</v>
      </c>
    </row>
    <row r="38515">
      <c r="B38515" s="31"/>
      <c r="G38515" s="272" t="s">
        <v>1099</v>
      </c>
    </row>
    <row r="38516">
      <c r="B38516" s="31"/>
      <c r="G38516" s="272" t="s">
        <v>1099</v>
      </c>
    </row>
    <row r="38517">
      <c r="B38517" s="31"/>
      <c r="G38517" s="272" t="s">
        <v>1099</v>
      </c>
    </row>
    <row r="38518">
      <c r="B38518" s="31"/>
      <c r="G38518" s="272" t="s">
        <v>1099</v>
      </c>
    </row>
    <row r="38519">
      <c r="B38519" s="31"/>
      <c r="G38519" s="272" t="s">
        <v>1099</v>
      </c>
    </row>
    <row r="38520">
      <c r="B38520" s="31"/>
      <c r="G38520" s="272" t="s">
        <v>1099</v>
      </c>
    </row>
    <row r="38521">
      <c r="B38521" s="31"/>
      <c r="G38521" s="272" t="s">
        <v>1099</v>
      </c>
    </row>
    <row r="38522">
      <c r="B38522" s="31"/>
      <c r="G38522" s="272" t="s">
        <v>1099</v>
      </c>
    </row>
    <row r="38523">
      <c r="B38523" s="31"/>
      <c r="G38523" s="272" t="s">
        <v>1099</v>
      </c>
    </row>
    <row r="38524">
      <c r="B38524" s="31"/>
      <c r="G38524" s="272" t="s">
        <v>1099</v>
      </c>
    </row>
    <row r="38525">
      <c r="B38525" s="31"/>
      <c r="G38525" s="272" t="s">
        <v>1099</v>
      </c>
    </row>
    <row r="38526">
      <c r="B38526" s="31"/>
      <c r="G38526" s="272" t="s">
        <v>1099</v>
      </c>
    </row>
    <row r="38527">
      <c r="B38527" s="31"/>
      <c r="G38527" s="272" t="s">
        <v>1099</v>
      </c>
    </row>
    <row r="38528">
      <c r="B38528" s="31"/>
      <c r="G38528" s="272" t="s">
        <v>1099</v>
      </c>
    </row>
    <row r="38529">
      <c r="B38529" s="31"/>
      <c r="G38529" s="272" t="s">
        <v>1099</v>
      </c>
    </row>
    <row r="38530">
      <c r="B38530" s="31"/>
      <c r="G38530" s="272" t="s">
        <v>1099</v>
      </c>
    </row>
    <row r="38531">
      <c r="B38531" s="31"/>
      <c r="G38531" s="272" t="s">
        <v>1099</v>
      </c>
    </row>
    <row r="38532">
      <c r="B38532" s="31"/>
      <c r="G38532" s="272" t="s">
        <v>1099</v>
      </c>
    </row>
    <row r="38533">
      <c r="B38533" s="31"/>
      <c r="G38533" s="272" t="s">
        <v>1099</v>
      </c>
    </row>
    <row r="38534">
      <c r="B38534" s="31"/>
      <c r="G38534" s="272" t="s">
        <v>1099</v>
      </c>
    </row>
    <row r="38535">
      <c r="B38535" s="31"/>
      <c r="G38535" s="272" t="s">
        <v>1099</v>
      </c>
    </row>
    <row r="38536">
      <c r="B38536" s="31"/>
      <c r="G38536" s="272" t="s">
        <v>1099</v>
      </c>
    </row>
    <row r="38537">
      <c r="B38537" s="31"/>
      <c r="G38537" s="272" t="s">
        <v>1099</v>
      </c>
    </row>
    <row r="38538">
      <c r="B38538" s="31"/>
      <c r="G38538" s="272" t="s">
        <v>1099</v>
      </c>
    </row>
    <row r="38539">
      <c r="B38539" s="31"/>
      <c r="G38539" s="272" t="s">
        <v>1099</v>
      </c>
    </row>
    <row r="38540">
      <c r="B38540" s="31"/>
      <c r="G38540" s="272" t="s">
        <v>1099</v>
      </c>
    </row>
    <row r="38541">
      <c r="B38541" s="31"/>
      <c r="G38541" s="272" t="s">
        <v>1099</v>
      </c>
    </row>
    <row r="38542">
      <c r="B38542" s="31"/>
      <c r="G38542" s="272" t="s">
        <v>1099</v>
      </c>
    </row>
    <row r="38543">
      <c r="B38543" s="31"/>
      <c r="G38543" s="272" t="s">
        <v>1099</v>
      </c>
    </row>
    <row r="38544">
      <c r="B38544" s="31"/>
      <c r="G38544" s="272" t="s">
        <v>1099</v>
      </c>
    </row>
    <row r="38545">
      <c r="B38545" s="31"/>
      <c r="G38545" s="272" t="s">
        <v>1099</v>
      </c>
    </row>
    <row r="38546">
      <c r="B38546" s="31"/>
      <c r="G38546" s="272" t="s">
        <v>1099</v>
      </c>
    </row>
    <row r="38547">
      <c r="B38547" s="31"/>
      <c r="G38547" s="272" t="s">
        <v>1099</v>
      </c>
    </row>
    <row r="38548">
      <c r="B38548" s="31"/>
      <c r="G38548" s="272" t="s">
        <v>1099</v>
      </c>
    </row>
    <row r="38549">
      <c r="B38549" s="31"/>
      <c r="G38549" s="272" t="s">
        <v>1099</v>
      </c>
    </row>
    <row r="38550">
      <c r="B38550" s="31"/>
      <c r="G38550" s="272" t="s">
        <v>1099</v>
      </c>
    </row>
    <row r="38551">
      <c r="B38551" s="31"/>
      <c r="G38551" s="272" t="s">
        <v>1099</v>
      </c>
    </row>
    <row r="38552">
      <c r="B38552" s="31"/>
      <c r="G38552" s="272" t="s">
        <v>1099</v>
      </c>
    </row>
    <row r="38553">
      <c r="B38553" s="31"/>
      <c r="G38553" s="272" t="s">
        <v>1099</v>
      </c>
    </row>
    <row r="38554">
      <c r="B38554" s="31"/>
      <c r="G38554" s="272" t="s">
        <v>1099</v>
      </c>
    </row>
    <row r="38555">
      <c r="B38555" s="31"/>
      <c r="G38555" s="272" t="s">
        <v>1099</v>
      </c>
    </row>
    <row r="38556">
      <c r="B38556" s="31"/>
      <c r="G38556" s="272" t="s">
        <v>1099</v>
      </c>
    </row>
    <row r="38557">
      <c r="B38557" s="31"/>
      <c r="G38557" s="272" t="s">
        <v>1099</v>
      </c>
    </row>
    <row r="38558">
      <c r="B38558" s="31"/>
      <c r="G38558" s="272" t="s">
        <v>1099</v>
      </c>
    </row>
    <row r="38559">
      <c r="B38559" s="31"/>
      <c r="G38559" s="272" t="s">
        <v>1099</v>
      </c>
    </row>
    <row r="38560">
      <c r="B38560" s="31"/>
      <c r="G38560" s="272" t="s">
        <v>1099</v>
      </c>
    </row>
    <row r="38561">
      <c r="B38561" s="31"/>
      <c r="G38561" s="272" t="s">
        <v>1099</v>
      </c>
    </row>
    <row r="38562">
      <c r="B38562" s="31"/>
      <c r="G38562" s="272" t="s">
        <v>1099</v>
      </c>
    </row>
    <row r="38563">
      <c r="B38563" s="31"/>
      <c r="G38563" s="272" t="s">
        <v>1099</v>
      </c>
    </row>
    <row r="38564">
      <c r="B38564" s="31"/>
      <c r="G38564" s="272" t="s">
        <v>1099</v>
      </c>
    </row>
    <row r="38565">
      <c r="B38565" s="31"/>
      <c r="G38565" s="272" t="s">
        <v>1099</v>
      </c>
    </row>
    <row r="38566">
      <c r="B38566" s="31"/>
      <c r="G38566" s="272" t="s">
        <v>1099</v>
      </c>
    </row>
    <row r="38567">
      <c r="B38567" s="31"/>
      <c r="G38567" s="272" t="s">
        <v>1099</v>
      </c>
    </row>
    <row r="38568">
      <c r="B38568" s="31"/>
      <c r="G38568" s="272" t="s">
        <v>1099</v>
      </c>
    </row>
    <row r="38569">
      <c r="B38569" s="31"/>
      <c r="G38569" s="272" t="s">
        <v>1099</v>
      </c>
    </row>
    <row r="38570">
      <c r="B38570" s="31"/>
      <c r="G38570" s="272" t="s">
        <v>1099</v>
      </c>
    </row>
    <row r="38571">
      <c r="B38571" s="31"/>
      <c r="G38571" s="272" t="s">
        <v>1099</v>
      </c>
    </row>
    <row r="38572">
      <c r="B38572" s="31"/>
      <c r="G38572" s="272" t="s">
        <v>1099</v>
      </c>
    </row>
    <row r="38573">
      <c r="B38573" s="31"/>
      <c r="G38573" s="272" t="s">
        <v>1099</v>
      </c>
    </row>
    <row r="38574">
      <c r="B38574" s="31"/>
      <c r="G38574" s="272" t="s">
        <v>1099</v>
      </c>
    </row>
    <row r="38575">
      <c r="B38575" s="31"/>
      <c r="G38575" s="272" t="s">
        <v>1099</v>
      </c>
    </row>
    <row r="38576">
      <c r="B38576" s="31"/>
      <c r="G38576" s="272" t="s">
        <v>1099</v>
      </c>
    </row>
    <row r="38577">
      <c r="B38577" s="31"/>
      <c r="G38577" s="272" t="s">
        <v>1099</v>
      </c>
    </row>
    <row r="38578">
      <c r="B38578" s="31"/>
      <c r="G38578" s="272" t="s">
        <v>1099</v>
      </c>
    </row>
    <row r="38579">
      <c r="B38579" s="31"/>
      <c r="G38579" s="272" t="s">
        <v>1099</v>
      </c>
    </row>
    <row r="38580">
      <c r="B38580" s="31"/>
      <c r="G38580" s="272" t="s">
        <v>1099</v>
      </c>
    </row>
    <row r="38581">
      <c r="B38581" s="31"/>
      <c r="G38581" s="272" t="s">
        <v>1099</v>
      </c>
    </row>
    <row r="38582">
      <c r="B38582" s="31"/>
      <c r="G38582" s="272" t="s">
        <v>1099</v>
      </c>
    </row>
    <row r="38583">
      <c r="B38583" s="31"/>
      <c r="G38583" s="272" t="s">
        <v>1099</v>
      </c>
    </row>
    <row r="38584">
      <c r="B38584" s="31"/>
      <c r="G38584" s="272" t="s">
        <v>1099</v>
      </c>
    </row>
    <row r="38585">
      <c r="B38585" s="31"/>
      <c r="G38585" s="272" t="s">
        <v>1099</v>
      </c>
    </row>
    <row r="38586">
      <c r="B38586" s="31"/>
      <c r="G38586" s="272" t="s">
        <v>1099</v>
      </c>
    </row>
    <row r="38587">
      <c r="B38587" s="31"/>
      <c r="G38587" s="272" t="s">
        <v>1099</v>
      </c>
    </row>
    <row r="38588">
      <c r="B38588" s="31"/>
      <c r="G38588" s="272" t="s">
        <v>1099</v>
      </c>
    </row>
    <row r="38589">
      <c r="B38589" s="31"/>
      <c r="G38589" s="272" t="s">
        <v>1099</v>
      </c>
    </row>
    <row r="38590">
      <c r="B38590" s="31"/>
      <c r="G38590" s="272" t="s">
        <v>1099</v>
      </c>
    </row>
    <row r="38591">
      <c r="B38591" s="31"/>
      <c r="G38591" s="272" t="s">
        <v>1099</v>
      </c>
    </row>
    <row r="38592">
      <c r="B38592" s="31"/>
      <c r="G38592" s="272" t="s">
        <v>1099</v>
      </c>
    </row>
    <row r="38593">
      <c r="B38593" s="31"/>
      <c r="G38593" s="272" t="s">
        <v>1099</v>
      </c>
    </row>
    <row r="38594">
      <c r="B38594" s="31"/>
      <c r="G38594" s="272" t="s">
        <v>1099</v>
      </c>
    </row>
    <row r="38595">
      <c r="B38595" s="31"/>
      <c r="G38595" s="272" t="s">
        <v>1099</v>
      </c>
    </row>
    <row r="38596">
      <c r="B38596" s="31"/>
      <c r="G38596" s="272" t="s">
        <v>1099</v>
      </c>
    </row>
    <row r="38597">
      <c r="B38597" s="31"/>
      <c r="G38597" s="272" t="s">
        <v>1099</v>
      </c>
    </row>
    <row r="38598">
      <c r="B38598" s="31"/>
      <c r="G38598" s="272" t="s">
        <v>1099</v>
      </c>
    </row>
    <row r="38599">
      <c r="B38599" s="31"/>
      <c r="G38599" s="272" t="s">
        <v>1099</v>
      </c>
    </row>
    <row r="38600">
      <c r="B38600" s="31"/>
      <c r="G38600" s="272" t="s">
        <v>1099</v>
      </c>
    </row>
    <row r="38601">
      <c r="B38601" s="31"/>
      <c r="G38601" s="272" t="s">
        <v>1099</v>
      </c>
    </row>
    <row r="38602">
      <c r="B38602" s="31"/>
      <c r="G38602" s="272" t="s">
        <v>1099</v>
      </c>
    </row>
    <row r="38603">
      <c r="B38603" s="31"/>
      <c r="G38603" s="272" t="s">
        <v>1099</v>
      </c>
    </row>
    <row r="38604">
      <c r="B38604" s="31"/>
      <c r="G38604" s="272" t="s">
        <v>1099</v>
      </c>
    </row>
    <row r="38605">
      <c r="B38605" s="31"/>
      <c r="G38605" s="272" t="s">
        <v>1099</v>
      </c>
    </row>
    <row r="38606">
      <c r="B38606" s="31"/>
      <c r="G38606" s="272" t="s">
        <v>1099</v>
      </c>
    </row>
    <row r="38607">
      <c r="B38607" s="31"/>
      <c r="G38607" s="272" t="s">
        <v>1099</v>
      </c>
    </row>
    <row r="38608">
      <c r="B38608" s="31"/>
      <c r="G38608" s="272" t="s">
        <v>1099</v>
      </c>
    </row>
    <row r="38609">
      <c r="B38609" s="31"/>
      <c r="G38609" s="272" t="s">
        <v>1099</v>
      </c>
    </row>
    <row r="38610">
      <c r="B38610" s="31"/>
      <c r="G38610" s="272" t="s">
        <v>1099</v>
      </c>
    </row>
    <row r="38611">
      <c r="B38611" s="31"/>
      <c r="G38611" s="272" t="s">
        <v>1099</v>
      </c>
    </row>
    <row r="38612">
      <c r="B38612" s="31"/>
      <c r="G38612" s="272" t="s">
        <v>1099</v>
      </c>
    </row>
    <row r="38613">
      <c r="B38613" s="31"/>
      <c r="G38613" s="272" t="s">
        <v>1099</v>
      </c>
    </row>
    <row r="38614">
      <c r="B38614" s="31"/>
      <c r="G38614" s="272" t="s">
        <v>1099</v>
      </c>
    </row>
    <row r="38615">
      <c r="B38615" s="31"/>
      <c r="G38615" s="272" t="s">
        <v>1099</v>
      </c>
    </row>
    <row r="38616">
      <c r="B38616" s="31"/>
      <c r="G38616" s="272" t="s">
        <v>1099</v>
      </c>
    </row>
    <row r="38617">
      <c r="B38617" s="31"/>
      <c r="G38617" s="272" t="s">
        <v>1099</v>
      </c>
    </row>
    <row r="38618">
      <c r="B38618" s="31"/>
      <c r="G38618" s="272" t="s">
        <v>1099</v>
      </c>
    </row>
    <row r="38619">
      <c r="B38619" s="31"/>
      <c r="G38619" s="272" t="s">
        <v>1099</v>
      </c>
    </row>
    <row r="38620">
      <c r="B38620" s="31"/>
      <c r="G38620" s="272" t="s">
        <v>1099</v>
      </c>
    </row>
    <row r="38621">
      <c r="B38621" s="31"/>
      <c r="G38621" s="272" t="s">
        <v>1099</v>
      </c>
    </row>
    <row r="38622">
      <c r="B38622" s="31"/>
      <c r="G38622" s="272" t="s">
        <v>1099</v>
      </c>
    </row>
    <row r="38623">
      <c r="B38623" s="31"/>
      <c r="G38623" s="272" t="s">
        <v>1099</v>
      </c>
    </row>
    <row r="38624">
      <c r="B38624" s="31"/>
      <c r="G38624" s="272" t="s">
        <v>1099</v>
      </c>
    </row>
    <row r="38625">
      <c r="B38625" s="31"/>
      <c r="G38625" s="272" t="s">
        <v>1099</v>
      </c>
    </row>
    <row r="38626">
      <c r="B38626" s="31"/>
      <c r="G38626" s="272" t="s">
        <v>1099</v>
      </c>
    </row>
    <row r="38627">
      <c r="B38627" s="31"/>
      <c r="G38627" s="272" t="s">
        <v>1099</v>
      </c>
    </row>
    <row r="38628">
      <c r="B38628" s="31"/>
      <c r="G38628" s="272" t="s">
        <v>1099</v>
      </c>
    </row>
    <row r="38629">
      <c r="B38629" s="31"/>
      <c r="G38629" s="272" t="s">
        <v>1099</v>
      </c>
    </row>
    <row r="38630">
      <c r="B38630" s="31"/>
      <c r="G38630" s="272" t="s">
        <v>1099</v>
      </c>
    </row>
    <row r="38631">
      <c r="B38631" s="31"/>
      <c r="G38631" s="272" t="s">
        <v>1099</v>
      </c>
    </row>
    <row r="38632">
      <c r="B38632" s="31"/>
      <c r="G38632" s="272" t="s">
        <v>1099</v>
      </c>
    </row>
    <row r="38633">
      <c r="B38633" s="31"/>
      <c r="G38633" s="272" t="s">
        <v>1099</v>
      </c>
    </row>
    <row r="38634">
      <c r="B38634" s="31"/>
      <c r="G38634" s="272" t="s">
        <v>1099</v>
      </c>
    </row>
    <row r="38635">
      <c r="B38635" s="31"/>
      <c r="G38635" s="272" t="s">
        <v>1099</v>
      </c>
    </row>
    <row r="38636">
      <c r="B38636" s="31"/>
      <c r="G38636" s="272" t="s">
        <v>1099</v>
      </c>
    </row>
    <row r="38637">
      <c r="B38637" s="31"/>
      <c r="G38637" s="272" t="s">
        <v>1099</v>
      </c>
    </row>
    <row r="38638">
      <c r="B38638" s="31"/>
      <c r="G38638" s="272" t="s">
        <v>1099</v>
      </c>
    </row>
    <row r="38639">
      <c r="B38639" s="31"/>
      <c r="G38639" s="272" t="s">
        <v>1099</v>
      </c>
    </row>
    <row r="38640">
      <c r="B38640" s="31"/>
      <c r="G38640" s="272" t="s">
        <v>1099</v>
      </c>
    </row>
    <row r="38641">
      <c r="B38641" s="31"/>
      <c r="G38641" s="272" t="s">
        <v>1099</v>
      </c>
    </row>
    <row r="38642">
      <c r="B38642" s="31"/>
      <c r="G38642" s="272" t="s">
        <v>1099</v>
      </c>
    </row>
    <row r="38643">
      <c r="B38643" s="31"/>
      <c r="G38643" s="272" t="s">
        <v>1099</v>
      </c>
    </row>
    <row r="38644">
      <c r="B38644" s="31"/>
      <c r="G38644" s="272" t="s">
        <v>1099</v>
      </c>
    </row>
    <row r="38645">
      <c r="B38645" s="31"/>
      <c r="G38645" s="272" t="s">
        <v>1099</v>
      </c>
    </row>
    <row r="38646">
      <c r="B38646" s="31"/>
      <c r="G38646" s="272" t="s">
        <v>1099</v>
      </c>
    </row>
    <row r="38647">
      <c r="B38647" s="31"/>
      <c r="G38647" s="272" t="s">
        <v>1099</v>
      </c>
    </row>
    <row r="38648">
      <c r="B38648" s="31"/>
      <c r="G38648" s="272" t="s">
        <v>1099</v>
      </c>
    </row>
    <row r="38649">
      <c r="B38649" s="31"/>
      <c r="G38649" s="272" t="s">
        <v>1099</v>
      </c>
    </row>
    <row r="38650">
      <c r="B38650" s="31"/>
      <c r="G38650" s="272" t="s">
        <v>1099</v>
      </c>
    </row>
    <row r="38651">
      <c r="B38651" s="31"/>
      <c r="G38651" s="272" t="s">
        <v>1099</v>
      </c>
    </row>
    <row r="38652">
      <c r="B38652" s="31"/>
      <c r="G38652" s="272" t="s">
        <v>1099</v>
      </c>
    </row>
    <row r="38653">
      <c r="B38653" s="31"/>
      <c r="G38653" s="272" t="s">
        <v>1099</v>
      </c>
    </row>
    <row r="38654">
      <c r="B38654" s="31"/>
      <c r="G38654" s="272" t="s">
        <v>1099</v>
      </c>
    </row>
    <row r="38655">
      <c r="B38655" s="31"/>
      <c r="G38655" s="272" t="s">
        <v>1099</v>
      </c>
    </row>
    <row r="38656">
      <c r="B38656" s="31"/>
      <c r="G38656" s="272" t="s">
        <v>1099</v>
      </c>
    </row>
    <row r="38657">
      <c r="B38657" s="31"/>
      <c r="G38657" s="272" t="s">
        <v>1099</v>
      </c>
    </row>
    <row r="38658">
      <c r="B38658" s="31"/>
      <c r="G38658" s="272" t="s">
        <v>1099</v>
      </c>
    </row>
    <row r="38659">
      <c r="B38659" s="31"/>
      <c r="G38659" s="272" t="s">
        <v>1099</v>
      </c>
    </row>
    <row r="38660">
      <c r="B38660" s="31"/>
      <c r="G38660" s="272" t="s">
        <v>1099</v>
      </c>
    </row>
    <row r="38661">
      <c r="B38661" s="31"/>
      <c r="G38661" s="272" t="s">
        <v>1099</v>
      </c>
    </row>
    <row r="38662">
      <c r="B38662" s="31"/>
      <c r="G38662" s="272" t="s">
        <v>1099</v>
      </c>
    </row>
    <row r="38663">
      <c r="B38663" s="31"/>
      <c r="G38663" s="272" t="s">
        <v>1099</v>
      </c>
    </row>
    <row r="38664">
      <c r="B38664" s="31"/>
      <c r="G38664" s="272" t="s">
        <v>1099</v>
      </c>
    </row>
    <row r="38665">
      <c r="B38665" s="31"/>
      <c r="G38665" s="272" t="s">
        <v>1099</v>
      </c>
    </row>
    <row r="38666">
      <c r="B38666" s="31"/>
      <c r="G38666" s="272" t="s">
        <v>1099</v>
      </c>
    </row>
    <row r="38667">
      <c r="B38667" s="31"/>
      <c r="G38667" s="272" t="s">
        <v>1099</v>
      </c>
    </row>
    <row r="38668">
      <c r="B38668" s="31"/>
      <c r="G38668" s="272" t="s">
        <v>1099</v>
      </c>
    </row>
    <row r="38669">
      <c r="B38669" s="31"/>
      <c r="G38669" s="272" t="s">
        <v>1099</v>
      </c>
    </row>
    <row r="38670">
      <c r="B38670" s="31"/>
      <c r="G38670" s="272" t="s">
        <v>1099</v>
      </c>
    </row>
    <row r="38671">
      <c r="B38671" s="31"/>
      <c r="G38671" s="272" t="s">
        <v>1099</v>
      </c>
    </row>
    <row r="38672">
      <c r="B38672" s="31"/>
      <c r="G38672" s="272" t="s">
        <v>1099</v>
      </c>
    </row>
    <row r="38673">
      <c r="B38673" s="31"/>
      <c r="G38673" s="272" t="s">
        <v>1099</v>
      </c>
    </row>
    <row r="38674">
      <c r="B38674" s="31"/>
      <c r="G38674" s="272" t="s">
        <v>1099</v>
      </c>
    </row>
    <row r="38675">
      <c r="B38675" s="31"/>
      <c r="G38675" s="272" t="s">
        <v>1099</v>
      </c>
    </row>
    <row r="38676">
      <c r="B38676" s="31"/>
      <c r="G38676" s="272" t="s">
        <v>1099</v>
      </c>
    </row>
    <row r="38677">
      <c r="B38677" s="31"/>
      <c r="G38677" s="272" t="s">
        <v>1099</v>
      </c>
    </row>
    <row r="38678">
      <c r="B38678" s="31"/>
      <c r="G38678" s="272" t="s">
        <v>1099</v>
      </c>
    </row>
    <row r="38679">
      <c r="B38679" s="31"/>
      <c r="G38679" s="272" t="s">
        <v>1099</v>
      </c>
    </row>
    <row r="38680">
      <c r="B38680" s="31"/>
      <c r="G38680" s="272" t="s">
        <v>1099</v>
      </c>
    </row>
    <row r="38681">
      <c r="B38681" s="31"/>
      <c r="G38681" s="272" t="s">
        <v>1099</v>
      </c>
    </row>
    <row r="38682">
      <c r="B38682" s="31"/>
      <c r="G38682" s="272" t="s">
        <v>1099</v>
      </c>
    </row>
    <row r="38683">
      <c r="B38683" s="31"/>
      <c r="G38683" s="272" t="s">
        <v>1099</v>
      </c>
    </row>
    <row r="38684">
      <c r="B38684" s="31"/>
      <c r="G38684" s="272" t="s">
        <v>1099</v>
      </c>
    </row>
    <row r="38685">
      <c r="B38685" s="31"/>
      <c r="G38685" s="272" t="s">
        <v>1099</v>
      </c>
    </row>
    <row r="38686">
      <c r="B38686" s="31"/>
      <c r="G38686" s="272" t="s">
        <v>1099</v>
      </c>
    </row>
    <row r="38687">
      <c r="B38687" s="31"/>
      <c r="G38687" s="272" t="s">
        <v>1099</v>
      </c>
    </row>
    <row r="38688">
      <c r="B38688" s="31"/>
      <c r="G38688" s="272" t="s">
        <v>1099</v>
      </c>
    </row>
    <row r="38689">
      <c r="B38689" s="31"/>
      <c r="G38689" s="272" t="s">
        <v>1099</v>
      </c>
    </row>
    <row r="38690">
      <c r="B38690" s="31"/>
      <c r="G38690" s="272" t="s">
        <v>1099</v>
      </c>
    </row>
    <row r="38691">
      <c r="B38691" s="31"/>
      <c r="G38691" s="272" t="s">
        <v>1099</v>
      </c>
    </row>
    <row r="38692">
      <c r="B38692" s="31"/>
      <c r="G38692" s="272" t="s">
        <v>1099</v>
      </c>
    </row>
    <row r="38693">
      <c r="B38693" s="31"/>
      <c r="G38693" s="272" t="s">
        <v>1099</v>
      </c>
    </row>
    <row r="38694">
      <c r="B38694" s="31"/>
      <c r="G38694" s="272" t="s">
        <v>1099</v>
      </c>
    </row>
    <row r="38695">
      <c r="B38695" s="31"/>
      <c r="G38695" s="272" t="s">
        <v>1099</v>
      </c>
    </row>
    <row r="38696">
      <c r="B38696" s="31"/>
      <c r="G38696" s="272" t="s">
        <v>1099</v>
      </c>
    </row>
    <row r="38697">
      <c r="B38697" s="31"/>
      <c r="G38697" s="272" t="s">
        <v>1099</v>
      </c>
    </row>
    <row r="38698">
      <c r="B38698" s="31"/>
      <c r="G38698" s="272" t="s">
        <v>1099</v>
      </c>
    </row>
    <row r="38699">
      <c r="B38699" s="31"/>
      <c r="G38699" s="272" t="s">
        <v>1099</v>
      </c>
    </row>
    <row r="38700">
      <c r="B38700" s="31"/>
      <c r="G38700" s="272" t="s">
        <v>1099</v>
      </c>
    </row>
    <row r="38701">
      <c r="B38701" s="31"/>
      <c r="G38701" s="272" t="s">
        <v>1099</v>
      </c>
    </row>
    <row r="38702">
      <c r="B38702" s="31"/>
      <c r="G38702" s="272" t="s">
        <v>1099</v>
      </c>
    </row>
    <row r="38703">
      <c r="B38703" s="31"/>
      <c r="G38703" s="272" t="s">
        <v>1099</v>
      </c>
    </row>
    <row r="38704">
      <c r="B38704" s="31"/>
      <c r="G38704" s="272" t="s">
        <v>1099</v>
      </c>
    </row>
    <row r="38705">
      <c r="B38705" s="31"/>
      <c r="G38705" s="272" t="s">
        <v>1099</v>
      </c>
    </row>
    <row r="38706">
      <c r="B38706" s="31"/>
      <c r="G38706" s="272" t="s">
        <v>1099</v>
      </c>
    </row>
    <row r="38707">
      <c r="B38707" s="31"/>
      <c r="G38707" s="272" t="s">
        <v>1099</v>
      </c>
    </row>
    <row r="38708">
      <c r="B38708" s="31"/>
      <c r="G38708" s="272" t="s">
        <v>1099</v>
      </c>
    </row>
    <row r="38709">
      <c r="B38709" s="31"/>
      <c r="G38709" s="272" t="s">
        <v>1099</v>
      </c>
    </row>
    <row r="38710">
      <c r="B38710" s="31"/>
      <c r="G38710" s="272" t="s">
        <v>1099</v>
      </c>
    </row>
    <row r="38711">
      <c r="B38711" s="31"/>
      <c r="G38711" s="272" t="s">
        <v>1099</v>
      </c>
    </row>
    <row r="38712">
      <c r="B38712" s="31"/>
      <c r="G38712" s="272" t="s">
        <v>1099</v>
      </c>
    </row>
    <row r="38713">
      <c r="B38713" s="31"/>
      <c r="G38713" s="272" t="s">
        <v>1099</v>
      </c>
    </row>
    <row r="38714">
      <c r="B38714" s="31"/>
      <c r="G38714" s="272" t="s">
        <v>1099</v>
      </c>
    </row>
    <row r="38715">
      <c r="B38715" s="31"/>
      <c r="G38715" s="272" t="s">
        <v>1099</v>
      </c>
    </row>
    <row r="38716">
      <c r="B38716" s="31"/>
      <c r="G38716" s="272" t="s">
        <v>1099</v>
      </c>
    </row>
    <row r="38717">
      <c r="B38717" s="31"/>
      <c r="G38717" s="272" t="s">
        <v>1099</v>
      </c>
    </row>
    <row r="38718">
      <c r="B38718" s="31"/>
      <c r="G38718" s="272" t="s">
        <v>1099</v>
      </c>
    </row>
    <row r="38719">
      <c r="B38719" s="31"/>
      <c r="G38719" s="272" t="s">
        <v>1099</v>
      </c>
    </row>
    <row r="38720">
      <c r="B38720" s="31"/>
      <c r="G38720" s="272" t="s">
        <v>1099</v>
      </c>
    </row>
    <row r="38721">
      <c r="B38721" s="31"/>
      <c r="G38721" s="272" t="s">
        <v>1099</v>
      </c>
    </row>
    <row r="38722">
      <c r="B38722" s="31"/>
      <c r="G38722" s="272" t="s">
        <v>1099</v>
      </c>
    </row>
    <row r="38723">
      <c r="B38723" s="31"/>
      <c r="G38723" s="272" t="s">
        <v>1099</v>
      </c>
    </row>
    <row r="38724">
      <c r="B38724" s="31"/>
      <c r="G38724" s="272" t="s">
        <v>1099</v>
      </c>
    </row>
    <row r="38725">
      <c r="B38725" s="31"/>
      <c r="G38725" s="272" t="s">
        <v>1099</v>
      </c>
    </row>
    <row r="38726">
      <c r="B38726" s="31"/>
      <c r="G38726" s="272" t="s">
        <v>1099</v>
      </c>
    </row>
    <row r="38727">
      <c r="B38727" s="31"/>
      <c r="G38727" s="272" t="s">
        <v>1099</v>
      </c>
    </row>
    <row r="38728">
      <c r="B38728" s="31"/>
      <c r="G38728" s="272" t="s">
        <v>1099</v>
      </c>
    </row>
    <row r="38729">
      <c r="B38729" s="31"/>
      <c r="G38729" s="272" t="s">
        <v>1099</v>
      </c>
    </row>
    <row r="38730">
      <c r="B38730" s="31"/>
      <c r="G38730" s="272" t="s">
        <v>1099</v>
      </c>
    </row>
    <row r="38731">
      <c r="B38731" s="31"/>
      <c r="G38731" s="272" t="s">
        <v>1099</v>
      </c>
    </row>
    <row r="38732">
      <c r="B38732" s="31"/>
      <c r="G38732" s="272" t="s">
        <v>1099</v>
      </c>
    </row>
    <row r="38733">
      <c r="B38733" s="31"/>
      <c r="G38733" s="272" t="s">
        <v>1099</v>
      </c>
    </row>
    <row r="38734">
      <c r="B38734" s="31"/>
      <c r="G38734" s="272" t="s">
        <v>1099</v>
      </c>
    </row>
    <row r="38735">
      <c r="B38735" s="31"/>
      <c r="G38735" s="272" t="s">
        <v>1099</v>
      </c>
    </row>
    <row r="38736">
      <c r="B38736" s="31"/>
      <c r="G38736" s="272" t="s">
        <v>1099</v>
      </c>
    </row>
    <row r="38737">
      <c r="B38737" s="31"/>
      <c r="G38737" s="272" t="s">
        <v>1099</v>
      </c>
    </row>
    <row r="38738">
      <c r="B38738" s="31"/>
      <c r="G38738" s="272" t="s">
        <v>1099</v>
      </c>
    </row>
    <row r="38739">
      <c r="B38739" s="31"/>
      <c r="G38739" s="272" t="s">
        <v>1099</v>
      </c>
    </row>
    <row r="38740">
      <c r="B38740" s="31"/>
      <c r="G38740" s="272" t="s">
        <v>1099</v>
      </c>
    </row>
    <row r="38741">
      <c r="B38741" s="31"/>
      <c r="G38741" s="272" t="s">
        <v>1099</v>
      </c>
    </row>
    <row r="38742">
      <c r="B38742" s="31"/>
      <c r="G38742" s="272" t="s">
        <v>1099</v>
      </c>
    </row>
    <row r="38743">
      <c r="B38743" s="31"/>
      <c r="G38743" s="272" t="s">
        <v>1099</v>
      </c>
    </row>
    <row r="38744">
      <c r="B38744" s="31"/>
      <c r="G38744" s="272" t="s">
        <v>1099</v>
      </c>
    </row>
    <row r="38745">
      <c r="B38745" s="31"/>
      <c r="G38745" s="272" t="s">
        <v>1099</v>
      </c>
    </row>
    <row r="38746">
      <c r="B38746" s="31"/>
      <c r="G38746" s="272" t="s">
        <v>1099</v>
      </c>
    </row>
    <row r="38747">
      <c r="B38747" s="31"/>
      <c r="G38747" s="272" t="s">
        <v>1099</v>
      </c>
    </row>
    <row r="38748">
      <c r="B38748" s="31"/>
      <c r="G38748" s="272" t="s">
        <v>1099</v>
      </c>
    </row>
    <row r="38749">
      <c r="B38749" s="31"/>
      <c r="G38749" s="272" t="s">
        <v>1099</v>
      </c>
    </row>
    <row r="38750">
      <c r="B38750" s="31"/>
      <c r="G38750" s="272" t="s">
        <v>1099</v>
      </c>
    </row>
    <row r="38751">
      <c r="B38751" s="31"/>
      <c r="G38751" s="272" t="s">
        <v>1099</v>
      </c>
    </row>
    <row r="38752">
      <c r="B38752" s="31"/>
      <c r="G38752" s="272" t="s">
        <v>1099</v>
      </c>
    </row>
    <row r="38753">
      <c r="B38753" s="31"/>
      <c r="G38753" s="272" t="s">
        <v>1099</v>
      </c>
    </row>
    <row r="38754">
      <c r="B38754" s="31"/>
      <c r="G38754" s="272" t="s">
        <v>1099</v>
      </c>
    </row>
    <row r="38755">
      <c r="B38755" s="31"/>
      <c r="G38755" s="272" t="s">
        <v>1099</v>
      </c>
    </row>
    <row r="38756">
      <c r="B38756" s="31"/>
      <c r="G38756" s="272" t="s">
        <v>1099</v>
      </c>
    </row>
    <row r="38757">
      <c r="B38757" s="31"/>
      <c r="G38757" s="272" t="s">
        <v>1099</v>
      </c>
    </row>
    <row r="38758">
      <c r="B38758" s="31"/>
      <c r="G38758" s="272" t="s">
        <v>1099</v>
      </c>
    </row>
    <row r="38759">
      <c r="B38759" s="31"/>
      <c r="G38759" s="272" t="s">
        <v>1099</v>
      </c>
    </row>
    <row r="38760">
      <c r="B38760" s="31"/>
      <c r="G38760" s="272" t="s">
        <v>1099</v>
      </c>
    </row>
    <row r="38761">
      <c r="B38761" s="31"/>
      <c r="G38761" s="272" t="s">
        <v>1099</v>
      </c>
    </row>
    <row r="38762">
      <c r="B38762" s="31"/>
      <c r="G38762" s="272" t="s">
        <v>1099</v>
      </c>
    </row>
    <row r="38763">
      <c r="B38763" s="31"/>
      <c r="G38763" s="272" t="s">
        <v>1099</v>
      </c>
    </row>
    <row r="38764">
      <c r="B38764" s="31"/>
      <c r="G38764" s="272" t="s">
        <v>1099</v>
      </c>
    </row>
    <row r="38765">
      <c r="B38765" s="31"/>
      <c r="G38765" s="272" t="s">
        <v>1099</v>
      </c>
    </row>
    <row r="38766">
      <c r="B38766" s="31"/>
      <c r="G38766" s="272" t="s">
        <v>1099</v>
      </c>
    </row>
    <row r="38767">
      <c r="B38767" s="31"/>
      <c r="G38767" s="272" t="s">
        <v>1099</v>
      </c>
    </row>
    <row r="38768">
      <c r="B38768" s="31"/>
      <c r="G38768" s="272" t="s">
        <v>1099</v>
      </c>
    </row>
    <row r="38769">
      <c r="B38769" s="31"/>
      <c r="G38769" s="272" t="s">
        <v>1099</v>
      </c>
    </row>
    <row r="38770">
      <c r="B38770" s="31"/>
      <c r="G38770" s="272" t="s">
        <v>1099</v>
      </c>
    </row>
    <row r="38771">
      <c r="B38771" s="31"/>
      <c r="G38771" s="272" t="s">
        <v>1099</v>
      </c>
    </row>
    <row r="38772">
      <c r="B38772" s="31"/>
      <c r="G38772" s="272" t="s">
        <v>1099</v>
      </c>
    </row>
    <row r="38773">
      <c r="B38773" s="31"/>
      <c r="G38773" s="272" t="s">
        <v>1099</v>
      </c>
    </row>
    <row r="38774">
      <c r="B38774" s="31"/>
      <c r="G38774" s="272" t="s">
        <v>1099</v>
      </c>
    </row>
    <row r="38775">
      <c r="B38775" s="31"/>
      <c r="G38775" s="272" t="s">
        <v>1099</v>
      </c>
    </row>
    <row r="38776">
      <c r="B38776" s="31"/>
      <c r="G38776" s="272" t="s">
        <v>1099</v>
      </c>
    </row>
    <row r="38777">
      <c r="B38777" s="31"/>
      <c r="G38777" s="272" t="s">
        <v>1099</v>
      </c>
    </row>
    <row r="38778">
      <c r="B38778" s="31"/>
      <c r="G38778" s="272" t="s">
        <v>1099</v>
      </c>
    </row>
    <row r="38779">
      <c r="B38779" s="31"/>
      <c r="G38779" s="272" t="s">
        <v>1099</v>
      </c>
    </row>
    <row r="38780">
      <c r="B38780" s="31"/>
      <c r="G38780" s="272" t="s">
        <v>1099</v>
      </c>
    </row>
    <row r="38781">
      <c r="B38781" s="31"/>
      <c r="G38781" s="272" t="s">
        <v>1099</v>
      </c>
    </row>
    <row r="38782">
      <c r="B38782" s="31"/>
      <c r="G38782" s="272" t="s">
        <v>1099</v>
      </c>
    </row>
    <row r="38783">
      <c r="B38783" s="31"/>
      <c r="G38783" s="272" t="s">
        <v>1099</v>
      </c>
    </row>
    <row r="38784">
      <c r="B38784" s="31"/>
      <c r="G38784" s="272" t="s">
        <v>1099</v>
      </c>
    </row>
    <row r="38785">
      <c r="B38785" s="31"/>
      <c r="G38785" s="272" t="s">
        <v>1099</v>
      </c>
    </row>
    <row r="38786">
      <c r="B38786" s="31"/>
      <c r="G38786" s="272" t="s">
        <v>1099</v>
      </c>
    </row>
    <row r="38787">
      <c r="B38787" s="31"/>
      <c r="G38787" s="272" t="s">
        <v>1099</v>
      </c>
    </row>
    <row r="38788">
      <c r="B38788" s="31"/>
      <c r="G38788" s="272" t="s">
        <v>1099</v>
      </c>
    </row>
    <row r="38789">
      <c r="B38789" s="31"/>
      <c r="G38789" s="272" t="s">
        <v>1099</v>
      </c>
    </row>
    <row r="38790">
      <c r="B38790" s="31"/>
      <c r="G38790" s="272" t="s">
        <v>1099</v>
      </c>
    </row>
    <row r="38791">
      <c r="B38791" s="31"/>
      <c r="G38791" s="272" t="s">
        <v>1099</v>
      </c>
    </row>
    <row r="38792">
      <c r="B38792" s="31"/>
      <c r="G38792" s="272" t="s">
        <v>1099</v>
      </c>
    </row>
    <row r="38793">
      <c r="B38793" s="31"/>
      <c r="G38793" s="272" t="s">
        <v>1099</v>
      </c>
    </row>
    <row r="38794">
      <c r="B38794" s="31"/>
      <c r="G38794" s="272" t="s">
        <v>1099</v>
      </c>
    </row>
    <row r="38795">
      <c r="B38795" s="31"/>
      <c r="G38795" s="272" t="s">
        <v>1099</v>
      </c>
    </row>
    <row r="38796">
      <c r="B38796" s="31"/>
      <c r="G38796" s="272" t="s">
        <v>1099</v>
      </c>
    </row>
    <row r="38797">
      <c r="B38797" s="31"/>
      <c r="G38797" s="272" t="s">
        <v>1099</v>
      </c>
    </row>
    <row r="38798">
      <c r="B38798" s="31"/>
      <c r="G38798" s="272" t="s">
        <v>1099</v>
      </c>
    </row>
    <row r="38799">
      <c r="B38799" s="31"/>
      <c r="G38799" s="272" t="s">
        <v>1099</v>
      </c>
    </row>
    <row r="38800">
      <c r="B38800" s="31"/>
      <c r="G38800" s="272" t="s">
        <v>1099</v>
      </c>
    </row>
    <row r="38801">
      <c r="B38801" s="31"/>
      <c r="G38801" s="272" t="s">
        <v>1099</v>
      </c>
    </row>
    <row r="38802">
      <c r="B38802" s="31"/>
      <c r="G38802" s="272" t="s">
        <v>1099</v>
      </c>
    </row>
    <row r="38803">
      <c r="B38803" s="31"/>
      <c r="G38803" s="272" t="s">
        <v>1099</v>
      </c>
    </row>
    <row r="38804">
      <c r="B38804" s="31"/>
      <c r="G38804" s="272" t="s">
        <v>1099</v>
      </c>
    </row>
    <row r="38805">
      <c r="B38805" s="31"/>
      <c r="G38805" s="272" t="s">
        <v>1099</v>
      </c>
    </row>
    <row r="38806">
      <c r="B38806" s="31"/>
      <c r="G38806" s="272" t="s">
        <v>1099</v>
      </c>
    </row>
    <row r="38807">
      <c r="B38807" s="31"/>
      <c r="G38807" s="272" t="s">
        <v>1099</v>
      </c>
    </row>
    <row r="38808">
      <c r="B38808" s="31"/>
      <c r="G38808" s="272" t="s">
        <v>1099</v>
      </c>
    </row>
    <row r="38809">
      <c r="B38809" s="31"/>
      <c r="G38809" s="272" t="s">
        <v>1099</v>
      </c>
    </row>
    <row r="38810">
      <c r="B38810" s="31"/>
      <c r="G38810" s="272" t="s">
        <v>1099</v>
      </c>
    </row>
    <row r="38811">
      <c r="B38811" s="31"/>
      <c r="G38811" s="272" t="s">
        <v>1099</v>
      </c>
    </row>
    <row r="38812">
      <c r="B38812" s="31"/>
      <c r="G38812" s="272" t="s">
        <v>1099</v>
      </c>
    </row>
    <row r="38813">
      <c r="B38813" s="31"/>
      <c r="G38813" s="272" t="s">
        <v>1099</v>
      </c>
    </row>
    <row r="38814">
      <c r="B38814" s="31"/>
      <c r="G38814" s="272" t="s">
        <v>1099</v>
      </c>
    </row>
    <row r="38815">
      <c r="B38815" s="31"/>
      <c r="G38815" s="272" t="s">
        <v>1099</v>
      </c>
    </row>
    <row r="38816">
      <c r="B38816" s="31"/>
      <c r="G38816" s="272" t="s">
        <v>1099</v>
      </c>
    </row>
    <row r="38817">
      <c r="B38817" s="31"/>
      <c r="G38817" s="272" t="s">
        <v>1099</v>
      </c>
    </row>
    <row r="38818">
      <c r="B38818" s="31"/>
      <c r="G38818" s="272" t="s">
        <v>1099</v>
      </c>
    </row>
    <row r="38819">
      <c r="B38819" s="31"/>
      <c r="G38819" s="272" t="s">
        <v>1099</v>
      </c>
    </row>
    <row r="38820">
      <c r="B38820" s="31"/>
      <c r="G38820" s="272" t="s">
        <v>1099</v>
      </c>
    </row>
    <row r="38821">
      <c r="B38821" s="31"/>
      <c r="G38821" s="272" t="s">
        <v>1099</v>
      </c>
    </row>
    <row r="38822">
      <c r="B38822" s="31"/>
      <c r="G38822" s="272" t="s">
        <v>1099</v>
      </c>
    </row>
    <row r="38823">
      <c r="B38823" s="31"/>
      <c r="G38823" s="272" t="s">
        <v>1099</v>
      </c>
    </row>
    <row r="38824">
      <c r="B38824" s="31"/>
      <c r="G38824" s="272" t="s">
        <v>1099</v>
      </c>
    </row>
    <row r="38825">
      <c r="B38825" s="31"/>
      <c r="G38825" s="272" t="s">
        <v>1099</v>
      </c>
    </row>
    <row r="38826">
      <c r="B38826" s="31"/>
      <c r="G38826" s="272" t="s">
        <v>1099</v>
      </c>
    </row>
    <row r="38827">
      <c r="B38827" s="31"/>
      <c r="G38827" s="272" t="s">
        <v>1099</v>
      </c>
    </row>
    <row r="38828">
      <c r="B38828" s="31"/>
      <c r="G38828" s="272" t="s">
        <v>1099</v>
      </c>
    </row>
    <row r="38829">
      <c r="B38829" s="31"/>
      <c r="G38829" s="272" t="s">
        <v>1099</v>
      </c>
    </row>
    <row r="38830">
      <c r="B38830" s="31"/>
      <c r="G38830" s="272" t="s">
        <v>1099</v>
      </c>
    </row>
    <row r="38831">
      <c r="B38831" s="31"/>
      <c r="G38831" s="272" t="s">
        <v>1099</v>
      </c>
    </row>
    <row r="38832">
      <c r="B38832" s="31"/>
      <c r="G38832" s="272" t="s">
        <v>1099</v>
      </c>
    </row>
    <row r="38833">
      <c r="B38833" s="31"/>
      <c r="G38833" s="272" t="s">
        <v>1099</v>
      </c>
    </row>
    <row r="38834">
      <c r="B38834" s="31"/>
      <c r="G38834" s="272" t="s">
        <v>1099</v>
      </c>
    </row>
    <row r="38835">
      <c r="B38835" s="31"/>
      <c r="G38835" s="272" t="s">
        <v>1099</v>
      </c>
    </row>
    <row r="38836">
      <c r="B38836" s="31"/>
      <c r="G38836" s="272" t="s">
        <v>1099</v>
      </c>
    </row>
    <row r="38837">
      <c r="B38837" s="31"/>
      <c r="G38837" s="272" t="s">
        <v>1099</v>
      </c>
    </row>
    <row r="38838">
      <c r="B38838" s="31"/>
      <c r="G38838" s="272" t="s">
        <v>1099</v>
      </c>
    </row>
    <row r="38839">
      <c r="B38839" s="31"/>
      <c r="G38839" s="272" t="s">
        <v>1099</v>
      </c>
    </row>
    <row r="38840">
      <c r="B38840" s="31"/>
      <c r="G38840" s="272" t="s">
        <v>1099</v>
      </c>
    </row>
    <row r="38841">
      <c r="B38841" s="31"/>
      <c r="G38841" s="272" t="s">
        <v>1099</v>
      </c>
    </row>
    <row r="38842">
      <c r="B38842" s="31"/>
      <c r="G38842" s="272" t="s">
        <v>1099</v>
      </c>
    </row>
    <row r="38843">
      <c r="B38843" s="31"/>
      <c r="G38843" s="272" t="s">
        <v>1099</v>
      </c>
    </row>
    <row r="38844">
      <c r="B38844" s="31"/>
      <c r="G38844" s="272" t="s">
        <v>1099</v>
      </c>
    </row>
    <row r="38845">
      <c r="B38845" s="31"/>
      <c r="G38845" s="272" t="s">
        <v>1099</v>
      </c>
    </row>
    <row r="38846">
      <c r="B38846" s="31"/>
      <c r="G38846" s="272" t="s">
        <v>1099</v>
      </c>
    </row>
    <row r="38847">
      <c r="B38847" s="31"/>
      <c r="G38847" s="272" t="s">
        <v>1099</v>
      </c>
    </row>
    <row r="38848">
      <c r="B38848" s="31"/>
      <c r="G38848" s="272" t="s">
        <v>1099</v>
      </c>
    </row>
    <row r="38849">
      <c r="B38849" s="31"/>
      <c r="G38849" s="272" t="s">
        <v>1099</v>
      </c>
    </row>
    <row r="38850">
      <c r="B38850" s="31"/>
      <c r="G38850" s="272" t="s">
        <v>1099</v>
      </c>
    </row>
    <row r="38851">
      <c r="B38851" s="31"/>
      <c r="G38851" s="272" t="s">
        <v>1099</v>
      </c>
    </row>
    <row r="38852">
      <c r="B38852" s="31"/>
      <c r="G38852" s="272" t="s">
        <v>1099</v>
      </c>
    </row>
    <row r="38853">
      <c r="B38853" s="31"/>
      <c r="G38853" s="272" t="s">
        <v>1099</v>
      </c>
    </row>
    <row r="38854">
      <c r="B38854" s="31"/>
      <c r="G38854" s="272" t="s">
        <v>1099</v>
      </c>
    </row>
    <row r="38855">
      <c r="B38855" s="31"/>
      <c r="G38855" s="272" t="s">
        <v>1099</v>
      </c>
    </row>
    <row r="38856">
      <c r="B38856" s="31"/>
      <c r="G38856" s="272" t="s">
        <v>1099</v>
      </c>
    </row>
    <row r="38857">
      <c r="B38857" s="31"/>
      <c r="G38857" s="272" t="s">
        <v>1099</v>
      </c>
    </row>
    <row r="38858">
      <c r="B38858" s="31"/>
      <c r="G38858" s="272" t="s">
        <v>1099</v>
      </c>
    </row>
    <row r="38859">
      <c r="B38859" s="31"/>
      <c r="G38859" s="272" t="s">
        <v>1099</v>
      </c>
    </row>
    <row r="38860">
      <c r="B38860" s="31"/>
      <c r="G38860" s="272" t="s">
        <v>1099</v>
      </c>
    </row>
    <row r="38861">
      <c r="B38861" s="31"/>
      <c r="G38861" s="272" t="s">
        <v>1099</v>
      </c>
    </row>
    <row r="38862">
      <c r="B38862" s="31"/>
      <c r="G38862" s="272" t="s">
        <v>1099</v>
      </c>
    </row>
    <row r="38863">
      <c r="B38863" s="31"/>
      <c r="G38863" s="272" t="s">
        <v>1099</v>
      </c>
    </row>
    <row r="38864">
      <c r="B38864" s="31"/>
      <c r="G38864" s="272" t="s">
        <v>1099</v>
      </c>
    </row>
    <row r="38865">
      <c r="B38865" s="31"/>
      <c r="G38865" s="272" t="s">
        <v>1099</v>
      </c>
    </row>
    <row r="38866">
      <c r="B38866" s="31"/>
      <c r="G38866" s="272" t="s">
        <v>1099</v>
      </c>
    </row>
    <row r="38867">
      <c r="B38867" s="31"/>
      <c r="G38867" s="272" t="s">
        <v>1099</v>
      </c>
    </row>
    <row r="38868">
      <c r="B38868" s="31"/>
      <c r="G38868" s="272" t="s">
        <v>1099</v>
      </c>
    </row>
    <row r="38869">
      <c r="B38869" s="31"/>
      <c r="G38869" s="272" t="s">
        <v>1099</v>
      </c>
    </row>
    <row r="38870">
      <c r="B38870" s="31"/>
      <c r="G38870" s="272" t="s">
        <v>1099</v>
      </c>
    </row>
    <row r="38871">
      <c r="B38871" s="31"/>
      <c r="G38871" s="272" t="s">
        <v>1099</v>
      </c>
    </row>
    <row r="38872">
      <c r="B38872" s="31"/>
      <c r="G38872" s="272" t="s">
        <v>1099</v>
      </c>
    </row>
    <row r="38873">
      <c r="B38873" s="31"/>
      <c r="G38873" s="272" t="s">
        <v>1099</v>
      </c>
    </row>
    <row r="38874">
      <c r="B38874" s="31"/>
      <c r="G38874" s="272" t="s">
        <v>1099</v>
      </c>
    </row>
    <row r="38875">
      <c r="B38875" s="31"/>
      <c r="G38875" s="272" t="s">
        <v>1099</v>
      </c>
    </row>
    <row r="38876">
      <c r="B38876" s="31"/>
      <c r="G38876" s="272" t="s">
        <v>1099</v>
      </c>
    </row>
    <row r="38877">
      <c r="B38877" s="31"/>
      <c r="G38877" s="272" t="s">
        <v>1099</v>
      </c>
    </row>
    <row r="38878">
      <c r="B38878" s="31"/>
      <c r="G38878" s="272" t="s">
        <v>1099</v>
      </c>
    </row>
    <row r="38879">
      <c r="B38879" s="31"/>
      <c r="G38879" s="272" t="s">
        <v>1099</v>
      </c>
    </row>
    <row r="38880">
      <c r="B38880" s="31"/>
      <c r="G38880" s="272" t="s">
        <v>1099</v>
      </c>
    </row>
    <row r="38881">
      <c r="B38881" s="31"/>
      <c r="G38881" s="272" t="s">
        <v>1099</v>
      </c>
    </row>
    <row r="38882">
      <c r="B38882" s="31"/>
      <c r="G38882" s="272" t="s">
        <v>1099</v>
      </c>
    </row>
    <row r="38883">
      <c r="B38883" s="31"/>
      <c r="G38883" s="272" t="s">
        <v>1099</v>
      </c>
    </row>
    <row r="38884">
      <c r="B38884" s="31"/>
      <c r="G38884" s="272" t="s">
        <v>1099</v>
      </c>
    </row>
    <row r="38885">
      <c r="B38885" s="31"/>
      <c r="G38885" s="272" t="s">
        <v>1099</v>
      </c>
    </row>
    <row r="38886">
      <c r="B38886" s="31"/>
      <c r="G38886" s="272" t="s">
        <v>1099</v>
      </c>
    </row>
    <row r="38887">
      <c r="B38887" s="31"/>
      <c r="G38887" s="272" t="s">
        <v>1099</v>
      </c>
    </row>
    <row r="38888">
      <c r="B38888" s="31"/>
      <c r="G38888" s="272" t="s">
        <v>1099</v>
      </c>
    </row>
    <row r="38889">
      <c r="B38889" s="31"/>
      <c r="G38889" s="272" t="s">
        <v>1099</v>
      </c>
    </row>
    <row r="38890">
      <c r="B38890" s="31"/>
      <c r="G38890" s="272" t="s">
        <v>1099</v>
      </c>
    </row>
    <row r="38891">
      <c r="B38891" s="31"/>
      <c r="G38891" s="272" t="s">
        <v>1099</v>
      </c>
    </row>
    <row r="38892">
      <c r="B38892" s="31"/>
      <c r="G38892" s="272" t="s">
        <v>1099</v>
      </c>
    </row>
    <row r="38893">
      <c r="B38893" s="31"/>
      <c r="G38893" s="272" t="s">
        <v>1099</v>
      </c>
    </row>
    <row r="38894">
      <c r="B38894" s="31"/>
      <c r="G38894" s="272" t="s">
        <v>1099</v>
      </c>
    </row>
    <row r="38895">
      <c r="B38895" s="31"/>
      <c r="G38895" s="272" t="s">
        <v>1099</v>
      </c>
    </row>
    <row r="38896">
      <c r="B38896" s="31"/>
      <c r="G38896" s="272" t="s">
        <v>1099</v>
      </c>
    </row>
    <row r="38897">
      <c r="B38897" s="31"/>
      <c r="G38897" s="272" t="s">
        <v>1099</v>
      </c>
    </row>
    <row r="38898">
      <c r="B38898" s="31"/>
      <c r="G38898" s="272" t="s">
        <v>1099</v>
      </c>
    </row>
    <row r="38899">
      <c r="B38899" s="31"/>
      <c r="G38899" s="272" t="s">
        <v>1099</v>
      </c>
    </row>
    <row r="38900">
      <c r="B38900" s="31"/>
      <c r="G38900" s="272" t="s">
        <v>1099</v>
      </c>
    </row>
    <row r="38901">
      <c r="B38901" s="31"/>
      <c r="G38901" s="272" t="s">
        <v>1099</v>
      </c>
    </row>
    <row r="38902">
      <c r="B38902" s="31"/>
      <c r="G38902" s="272" t="s">
        <v>1099</v>
      </c>
    </row>
    <row r="38903">
      <c r="B38903" s="31"/>
      <c r="G38903" s="272" t="s">
        <v>1099</v>
      </c>
    </row>
    <row r="38904">
      <c r="B38904" s="31"/>
      <c r="G38904" s="272" t="s">
        <v>1099</v>
      </c>
    </row>
    <row r="38905">
      <c r="B38905" s="31"/>
      <c r="G38905" s="272" t="s">
        <v>1099</v>
      </c>
    </row>
    <row r="38906">
      <c r="B38906" s="31"/>
      <c r="G38906" s="272" t="s">
        <v>1099</v>
      </c>
    </row>
    <row r="38907">
      <c r="B38907" s="31"/>
      <c r="G38907" s="272" t="s">
        <v>1099</v>
      </c>
    </row>
    <row r="38908">
      <c r="B38908" s="31"/>
      <c r="G38908" s="272" t="s">
        <v>1099</v>
      </c>
    </row>
    <row r="38909">
      <c r="B38909" s="31"/>
      <c r="G38909" s="272" t="s">
        <v>1099</v>
      </c>
    </row>
    <row r="38910">
      <c r="B38910" s="31"/>
      <c r="G38910" s="272" t="s">
        <v>1099</v>
      </c>
    </row>
    <row r="38911">
      <c r="B38911" s="31"/>
      <c r="G38911" s="272" t="s">
        <v>1099</v>
      </c>
    </row>
    <row r="38912">
      <c r="B38912" s="31"/>
      <c r="G38912" s="272" t="s">
        <v>1099</v>
      </c>
    </row>
    <row r="38913">
      <c r="B38913" s="31"/>
      <c r="G38913" s="272" t="s">
        <v>1099</v>
      </c>
    </row>
    <row r="38914">
      <c r="B38914" s="31"/>
      <c r="G38914" s="272" t="s">
        <v>1099</v>
      </c>
    </row>
    <row r="38915">
      <c r="B38915" s="31"/>
      <c r="G38915" s="272" t="s">
        <v>1099</v>
      </c>
    </row>
    <row r="38916">
      <c r="B38916" s="31"/>
      <c r="G38916" s="272" t="s">
        <v>1099</v>
      </c>
    </row>
    <row r="38917">
      <c r="B38917" s="31"/>
      <c r="G38917" s="272" t="s">
        <v>1099</v>
      </c>
    </row>
    <row r="38918">
      <c r="B38918" s="31"/>
      <c r="G38918" s="272" t="s">
        <v>1099</v>
      </c>
    </row>
    <row r="38919">
      <c r="B38919" s="31"/>
      <c r="G38919" s="272" t="s">
        <v>1099</v>
      </c>
    </row>
    <row r="38920">
      <c r="B38920" s="31"/>
      <c r="G38920" s="272" t="s">
        <v>1099</v>
      </c>
    </row>
    <row r="38921">
      <c r="B38921" s="31"/>
      <c r="G38921" s="272" t="s">
        <v>1099</v>
      </c>
    </row>
    <row r="38922">
      <c r="B38922" s="31"/>
      <c r="G38922" s="272" t="s">
        <v>1099</v>
      </c>
    </row>
    <row r="38923">
      <c r="B38923" s="31"/>
      <c r="G38923" s="272" t="s">
        <v>1099</v>
      </c>
    </row>
    <row r="38924">
      <c r="B38924" s="31"/>
      <c r="G38924" s="272" t="s">
        <v>1099</v>
      </c>
    </row>
    <row r="38925">
      <c r="B38925" s="31"/>
      <c r="G38925" s="272" t="s">
        <v>1099</v>
      </c>
    </row>
    <row r="38926">
      <c r="B38926" s="31"/>
      <c r="G38926" s="272" t="s">
        <v>1099</v>
      </c>
    </row>
    <row r="38927">
      <c r="B38927" s="31"/>
      <c r="G38927" s="272" t="s">
        <v>1099</v>
      </c>
    </row>
    <row r="38928">
      <c r="B38928" s="31"/>
      <c r="G38928" s="272" t="s">
        <v>1099</v>
      </c>
    </row>
    <row r="38929">
      <c r="B38929" s="31"/>
      <c r="G38929" s="272" t="s">
        <v>1099</v>
      </c>
    </row>
    <row r="38930">
      <c r="B38930" s="31"/>
      <c r="G38930" s="272" t="s">
        <v>1099</v>
      </c>
    </row>
    <row r="38931">
      <c r="B38931" s="31"/>
      <c r="G38931" s="272" t="s">
        <v>1099</v>
      </c>
    </row>
    <row r="38932">
      <c r="B38932" s="31"/>
      <c r="G38932" s="272" t="s">
        <v>1099</v>
      </c>
    </row>
    <row r="38933">
      <c r="B38933" s="31"/>
      <c r="G38933" s="272" t="s">
        <v>1099</v>
      </c>
    </row>
    <row r="38934">
      <c r="B38934" s="31"/>
      <c r="G38934" s="272" t="s">
        <v>1099</v>
      </c>
    </row>
    <row r="38935">
      <c r="B38935" s="31"/>
      <c r="G38935" s="272" t="s">
        <v>1099</v>
      </c>
    </row>
    <row r="38936">
      <c r="B38936" s="31"/>
      <c r="G38936" s="272" t="s">
        <v>1099</v>
      </c>
    </row>
    <row r="38937">
      <c r="B38937" s="31"/>
      <c r="G38937" s="272" t="s">
        <v>1099</v>
      </c>
    </row>
    <row r="38938">
      <c r="B38938" s="31"/>
      <c r="G38938" s="272" t="s">
        <v>1099</v>
      </c>
    </row>
    <row r="38939">
      <c r="B38939" s="31"/>
      <c r="G38939" s="272" t="s">
        <v>1099</v>
      </c>
    </row>
    <row r="38940">
      <c r="B38940" s="31"/>
      <c r="G38940" s="272" t="s">
        <v>1099</v>
      </c>
    </row>
    <row r="38941">
      <c r="B38941" s="31"/>
      <c r="G38941" s="272" t="s">
        <v>1099</v>
      </c>
    </row>
    <row r="38942">
      <c r="B38942" s="31"/>
      <c r="G38942" s="272" t="s">
        <v>1099</v>
      </c>
    </row>
    <row r="38943">
      <c r="B38943" s="31"/>
      <c r="G38943" s="272" t="s">
        <v>1099</v>
      </c>
    </row>
    <row r="38944">
      <c r="B38944" s="31"/>
      <c r="G38944" s="272" t="s">
        <v>1099</v>
      </c>
    </row>
    <row r="38945">
      <c r="B38945" s="31"/>
      <c r="G38945" s="272" t="s">
        <v>1099</v>
      </c>
    </row>
    <row r="38946">
      <c r="B38946" s="31"/>
      <c r="G38946" s="272" t="s">
        <v>1099</v>
      </c>
    </row>
    <row r="38947">
      <c r="B38947" s="31"/>
      <c r="G38947" s="272" t="s">
        <v>1099</v>
      </c>
    </row>
    <row r="38948">
      <c r="B38948" s="31"/>
      <c r="G38948" s="272" t="s">
        <v>1099</v>
      </c>
    </row>
    <row r="38949">
      <c r="B38949" s="31"/>
      <c r="G38949" s="272" t="s">
        <v>1099</v>
      </c>
    </row>
    <row r="38950">
      <c r="B38950" s="31"/>
      <c r="G38950" s="272" t="s">
        <v>1099</v>
      </c>
    </row>
    <row r="38951">
      <c r="B38951" s="31"/>
      <c r="G38951" s="272" t="s">
        <v>1099</v>
      </c>
    </row>
    <row r="38952">
      <c r="B38952" s="31"/>
      <c r="G38952" s="272" t="s">
        <v>1099</v>
      </c>
    </row>
    <row r="38953">
      <c r="B38953" s="31"/>
      <c r="G38953" s="272" t="s">
        <v>1099</v>
      </c>
    </row>
    <row r="38954">
      <c r="B38954" s="31"/>
      <c r="G38954" s="272" t="s">
        <v>1099</v>
      </c>
    </row>
    <row r="38955">
      <c r="B38955" s="31"/>
      <c r="G38955" s="272" t="s">
        <v>1099</v>
      </c>
    </row>
    <row r="38956">
      <c r="B38956" s="31"/>
      <c r="G38956" s="272" t="s">
        <v>1099</v>
      </c>
    </row>
    <row r="38957">
      <c r="B38957" s="31"/>
      <c r="G38957" s="272" t="s">
        <v>1099</v>
      </c>
    </row>
    <row r="38958">
      <c r="B38958" s="31"/>
      <c r="G38958" s="272" t="s">
        <v>1099</v>
      </c>
    </row>
    <row r="38959">
      <c r="B38959" s="31"/>
      <c r="G38959" s="272" t="s">
        <v>1099</v>
      </c>
    </row>
    <row r="38960">
      <c r="B38960" s="31"/>
      <c r="G38960" s="272" t="s">
        <v>1099</v>
      </c>
    </row>
    <row r="38961">
      <c r="B38961" s="31"/>
      <c r="G38961" s="272" t="s">
        <v>1099</v>
      </c>
    </row>
    <row r="38962">
      <c r="B38962" s="31"/>
      <c r="G38962" s="272" t="s">
        <v>1099</v>
      </c>
    </row>
    <row r="38963">
      <c r="B38963" s="31"/>
      <c r="G38963" s="272" t="s">
        <v>1099</v>
      </c>
    </row>
    <row r="38964">
      <c r="B38964" s="31"/>
      <c r="G38964" s="272" t="s">
        <v>1099</v>
      </c>
    </row>
    <row r="38965">
      <c r="B38965" s="31"/>
      <c r="G38965" s="272" t="s">
        <v>1099</v>
      </c>
    </row>
    <row r="38966">
      <c r="B38966" s="31"/>
      <c r="G38966" s="272" t="s">
        <v>1099</v>
      </c>
    </row>
    <row r="38967">
      <c r="B38967" s="31"/>
      <c r="G38967" s="272" t="s">
        <v>1099</v>
      </c>
    </row>
    <row r="38968">
      <c r="B38968" s="31"/>
      <c r="G38968" s="272" t="s">
        <v>1099</v>
      </c>
    </row>
    <row r="38969">
      <c r="B38969" s="31"/>
      <c r="G38969" s="272" t="s">
        <v>1099</v>
      </c>
    </row>
    <row r="38970">
      <c r="B38970" s="31"/>
      <c r="G38970" s="272" t="s">
        <v>1099</v>
      </c>
    </row>
    <row r="38971">
      <c r="B38971" s="31"/>
      <c r="G38971" s="272" t="s">
        <v>1099</v>
      </c>
    </row>
    <row r="38972">
      <c r="B38972" s="31"/>
      <c r="G38972" s="272" t="s">
        <v>1099</v>
      </c>
    </row>
    <row r="38973">
      <c r="B38973" s="31"/>
      <c r="G38973" s="272" t="s">
        <v>1099</v>
      </c>
    </row>
    <row r="38974">
      <c r="B38974" s="31"/>
      <c r="G38974" s="272" t="s">
        <v>1099</v>
      </c>
    </row>
    <row r="38975">
      <c r="B38975" s="31"/>
      <c r="G38975" s="272" t="s">
        <v>1099</v>
      </c>
    </row>
    <row r="38976">
      <c r="B38976" s="31"/>
      <c r="G38976" s="272" t="s">
        <v>1099</v>
      </c>
    </row>
    <row r="38977">
      <c r="B38977" s="31"/>
      <c r="G38977" s="272" t="s">
        <v>1099</v>
      </c>
    </row>
    <row r="38978">
      <c r="B38978" s="31"/>
      <c r="G38978" s="272" t="s">
        <v>1099</v>
      </c>
    </row>
    <row r="38979">
      <c r="B38979" s="31"/>
      <c r="G38979" s="272" t="s">
        <v>1099</v>
      </c>
    </row>
    <row r="38980">
      <c r="B38980" s="31"/>
      <c r="G38980" s="272" t="s">
        <v>1099</v>
      </c>
    </row>
    <row r="38981">
      <c r="B38981" s="31"/>
      <c r="G38981" s="272" t="s">
        <v>1099</v>
      </c>
    </row>
    <row r="38982">
      <c r="B38982" s="31"/>
      <c r="G38982" s="272" t="s">
        <v>1099</v>
      </c>
    </row>
    <row r="38983">
      <c r="B38983" s="31"/>
      <c r="G38983" s="272" t="s">
        <v>1099</v>
      </c>
    </row>
    <row r="38984">
      <c r="B38984" s="31"/>
      <c r="G38984" s="272" t="s">
        <v>1099</v>
      </c>
    </row>
    <row r="38985">
      <c r="B38985" s="31"/>
      <c r="G38985" s="272" t="s">
        <v>1099</v>
      </c>
    </row>
    <row r="38986">
      <c r="B38986" s="31"/>
      <c r="G38986" s="272" t="s">
        <v>1099</v>
      </c>
    </row>
    <row r="38987">
      <c r="B38987" s="31"/>
      <c r="G38987" s="272" t="s">
        <v>1099</v>
      </c>
    </row>
    <row r="38988">
      <c r="B38988" s="31"/>
      <c r="G38988" s="272" t="s">
        <v>1099</v>
      </c>
    </row>
    <row r="38989">
      <c r="B38989" s="31"/>
      <c r="G38989" s="272" t="s">
        <v>1099</v>
      </c>
    </row>
    <row r="38990">
      <c r="B38990" s="31"/>
      <c r="G38990" s="272" t="s">
        <v>1099</v>
      </c>
    </row>
    <row r="38991">
      <c r="B38991" s="31"/>
      <c r="G38991" s="272" t="s">
        <v>1099</v>
      </c>
    </row>
    <row r="38992">
      <c r="B38992" s="31"/>
      <c r="G38992" s="272" t="s">
        <v>1099</v>
      </c>
    </row>
    <row r="38993">
      <c r="B38993" s="31"/>
      <c r="G38993" s="272" t="s">
        <v>1099</v>
      </c>
    </row>
    <row r="38994">
      <c r="B38994" s="31"/>
      <c r="G38994" s="272" t="s">
        <v>1099</v>
      </c>
    </row>
    <row r="38995">
      <c r="B38995" s="31"/>
      <c r="G38995" s="272" t="s">
        <v>1099</v>
      </c>
    </row>
    <row r="38996">
      <c r="B38996" s="31"/>
      <c r="G38996" s="272" t="s">
        <v>1099</v>
      </c>
    </row>
    <row r="38997">
      <c r="B38997" s="31"/>
      <c r="G38997" s="272" t="s">
        <v>1099</v>
      </c>
    </row>
    <row r="38998">
      <c r="B38998" s="31"/>
      <c r="G38998" s="272" t="s">
        <v>1099</v>
      </c>
    </row>
    <row r="38999">
      <c r="B38999" s="31"/>
      <c r="G38999" s="272" t="s">
        <v>1099</v>
      </c>
    </row>
    <row r="39000">
      <c r="B39000" s="31"/>
      <c r="G39000" s="272" t="s">
        <v>1099</v>
      </c>
    </row>
    <row r="39001">
      <c r="B39001" s="31"/>
      <c r="G39001" s="272" t="s">
        <v>1099</v>
      </c>
    </row>
    <row r="39002">
      <c r="B39002" s="31"/>
      <c r="G39002" s="272" t="s">
        <v>1099</v>
      </c>
    </row>
    <row r="39003">
      <c r="B39003" s="31"/>
      <c r="G39003" s="272" t="s">
        <v>1099</v>
      </c>
    </row>
    <row r="39004">
      <c r="B39004" s="31"/>
      <c r="G39004" s="272" t="s">
        <v>1099</v>
      </c>
    </row>
    <row r="39005">
      <c r="B39005" s="31"/>
      <c r="G39005" s="272" t="s">
        <v>1099</v>
      </c>
    </row>
    <row r="39006">
      <c r="B39006" s="31"/>
      <c r="G39006" s="272" t="s">
        <v>1099</v>
      </c>
    </row>
    <row r="39007">
      <c r="B39007" s="31"/>
      <c r="G39007" s="272" t="s">
        <v>1099</v>
      </c>
    </row>
    <row r="39008">
      <c r="B39008" s="31"/>
      <c r="G39008" s="272" t="s">
        <v>1099</v>
      </c>
    </row>
    <row r="39009">
      <c r="B39009" s="31"/>
      <c r="G39009" s="272" t="s">
        <v>1099</v>
      </c>
    </row>
    <row r="39010">
      <c r="B39010" s="31"/>
      <c r="G39010" s="272" t="s">
        <v>1099</v>
      </c>
    </row>
    <row r="39011">
      <c r="B39011" s="31"/>
      <c r="G39011" s="272" t="s">
        <v>1099</v>
      </c>
    </row>
    <row r="39012">
      <c r="B39012" s="31"/>
      <c r="G39012" s="272" t="s">
        <v>1099</v>
      </c>
    </row>
    <row r="39013">
      <c r="B39013" s="31"/>
      <c r="G39013" s="272" t="s">
        <v>1099</v>
      </c>
    </row>
    <row r="39014">
      <c r="B39014" s="31"/>
      <c r="G39014" s="272" t="s">
        <v>1099</v>
      </c>
    </row>
    <row r="39015">
      <c r="B39015" s="31"/>
      <c r="G39015" s="272" t="s">
        <v>1099</v>
      </c>
    </row>
    <row r="39016">
      <c r="B39016" s="31"/>
      <c r="G39016" s="272" t="s">
        <v>1099</v>
      </c>
    </row>
    <row r="39017">
      <c r="B39017" s="31"/>
      <c r="G39017" s="272" t="s">
        <v>1099</v>
      </c>
    </row>
    <row r="39018">
      <c r="B39018" s="31"/>
      <c r="G39018" s="272" t="s">
        <v>1099</v>
      </c>
    </row>
    <row r="39019">
      <c r="B39019" s="31"/>
      <c r="G39019" s="272" t="s">
        <v>1099</v>
      </c>
    </row>
    <row r="39020">
      <c r="B39020" s="31"/>
      <c r="G39020" s="272" t="s">
        <v>1099</v>
      </c>
    </row>
    <row r="39021">
      <c r="B39021" s="31"/>
      <c r="G39021" s="272" t="s">
        <v>1099</v>
      </c>
    </row>
    <row r="39022">
      <c r="B39022" s="31"/>
      <c r="G39022" s="272" t="s">
        <v>1099</v>
      </c>
    </row>
    <row r="39023">
      <c r="B39023" s="31"/>
      <c r="G39023" s="272" t="s">
        <v>1099</v>
      </c>
    </row>
    <row r="39024">
      <c r="B39024" s="31"/>
      <c r="G39024" s="272" t="s">
        <v>1099</v>
      </c>
    </row>
    <row r="39025">
      <c r="B39025" s="31"/>
      <c r="G39025" s="272" t="s">
        <v>1099</v>
      </c>
    </row>
    <row r="39026">
      <c r="B39026" s="31"/>
      <c r="G39026" s="272" t="s">
        <v>1099</v>
      </c>
    </row>
    <row r="39027">
      <c r="B39027" s="31"/>
      <c r="G39027" s="272" t="s">
        <v>1099</v>
      </c>
    </row>
    <row r="39028">
      <c r="B39028" s="31"/>
      <c r="G39028" s="272" t="s">
        <v>1099</v>
      </c>
    </row>
    <row r="39029">
      <c r="B39029" s="31"/>
      <c r="G39029" s="272" t="s">
        <v>1099</v>
      </c>
    </row>
    <row r="39030">
      <c r="B39030" s="31"/>
      <c r="G39030" s="272" t="s">
        <v>1099</v>
      </c>
    </row>
    <row r="39031">
      <c r="B39031" s="31"/>
      <c r="G39031" s="272" t="s">
        <v>1099</v>
      </c>
    </row>
    <row r="39032">
      <c r="B39032" s="31"/>
      <c r="G39032" s="272" t="s">
        <v>1099</v>
      </c>
    </row>
    <row r="39033">
      <c r="B39033" s="31"/>
      <c r="G39033" s="272" t="s">
        <v>1099</v>
      </c>
    </row>
    <row r="39034">
      <c r="B39034" s="31"/>
      <c r="G39034" s="272" t="s">
        <v>1099</v>
      </c>
    </row>
    <row r="39035">
      <c r="B39035" s="31"/>
      <c r="G39035" s="272" t="s">
        <v>1099</v>
      </c>
    </row>
    <row r="39036">
      <c r="B39036" s="31"/>
      <c r="G39036" s="272" t="s">
        <v>1099</v>
      </c>
    </row>
    <row r="39037">
      <c r="B39037" s="31"/>
      <c r="G39037" s="272" t="s">
        <v>1099</v>
      </c>
    </row>
    <row r="39038">
      <c r="B39038" s="31"/>
      <c r="G39038" s="272" t="s">
        <v>1099</v>
      </c>
    </row>
    <row r="39039">
      <c r="B39039" s="31"/>
      <c r="G39039" s="272" t="s">
        <v>1099</v>
      </c>
    </row>
    <row r="39040">
      <c r="B39040" s="31"/>
      <c r="G39040" s="272" t="s">
        <v>1099</v>
      </c>
    </row>
    <row r="39041">
      <c r="B39041" s="31"/>
      <c r="G39041" s="272" t="s">
        <v>1099</v>
      </c>
    </row>
    <row r="39042">
      <c r="B39042" s="31"/>
      <c r="G39042" s="272" t="s">
        <v>1099</v>
      </c>
    </row>
    <row r="39043">
      <c r="B39043" s="31"/>
      <c r="G39043" s="272" t="s">
        <v>1099</v>
      </c>
    </row>
    <row r="39044">
      <c r="B39044" s="31"/>
      <c r="G39044" s="272" t="s">
        <v>1099</v>
      </c>
    </row>
    <row r="39045">
      <c r="B39045" s="31"/>
      <c r="G39045" s="272" t="s">
        <v>1099</v>
      </c>
    </row>
    <row r="39046">
      <c r="B39046" s="31"/>
      <c r="G39046" s="272" t="s">
        <v>1099</v>
      </c>
    </row>
    <row r="39047">
      <c r="B39047" s="31"/>
      <c r="G39047" s="272" t="s">
        <v>1099</v>
      </c>
    </row>
    <row r="39048">
      <c r="B39048" s="31"/>
      <c r="G39048" s="272" t="s">
        <v>1099</v>
      </c>
    </row>
    <row r="39049">
      <c r="B39049" s="31"/>
      <c r="G39049" s="272" t="s">
        <v>1099</v>
      </c>
    </row>
    <row r="39050">
      <c r="B39050" s="31"/>
      <c r="G39050" s="272" t="s">
        <v>1099</v>
      </c>
    </row>
    <row r="39051">
      <c r="B39051" s="31"/>
      <c r="G39051" s="272" t="s">
        <v>1099</v>
      </c>
    </row>
    <row r="39052">
      <c r="B39052" s="31"/>
      <c r="G39052" s="272" t="s">
        <v>1099</v>
      </c>
    </row>
    <row r="39053">
      <c r="B39053" s="31"/>
      <c r="G39053" s="272" t="s">
        <v>1099</v>
      </c>
    </row>
    <row r="39054">
      <c r="B39054" s="31"/>
      <c r="G39054" s="272" t="s">
        <v>1099</v>
      </c>
    </row>
    <row r="39055">
      <c r="B39055" s="31"/>
      <c r="G39055" s="272" t="s">
        <v>1099</v>
      </c>
    </row>
    <row r="39056">
      <c r="B39056" s="31"/>
      <c r="G39056" s="272" t="s">
        <v>1099</v>
      </c>
    </row>
    <row r="39057">
      <c r="B39057" s="31"/>
      <c r="G39057" s="272" t="s">
        <v>1099</v>
      </c>
    </row>
    <row r="39058">
      <c r="B39058" s="31"/>
      <c r="G39058" s="272" t="s">
        <v>1099</v>
      </c>
    </row>
    <row r="39059">
      <c r="B39059" s="31"/>
      <c r="G39059" s="272" t="s">
        <v>1099</v>
      </c>
    </row>
    <row r="39060">
      <c r="B39060" s="31"/>
      <c r="G39060" s="272" t="s">
        <v>1099</v>
      </c>
    </row>
    <row r="39061">
      <c r="B39061" s="31"/>
      <c r="G39061" s="272" t="s">
        <v>1099</v>
      </c>
    </row>
    <row r="39062">
      <c r="B39062" s="31"/>
      <c r="G39062" s="272" t="s">
        <v>1099</v>
      </c>
    </row>
    <row r="39063">
      <c r="B39063" s="31"/>
      <c r="G39063" s="272" t="s">
        <v>1099</v>
      </c>
    </row>
    <row r="39064">
      <c r="B39064" s="31"/>
      <c r="G39064" s="272" t="s">
        <v>1099</v>
      </c>
    </row>
    <row r="39065">
      <c r="B39065" s="31"/>
      <c r="G39065" s="272" t="s">
        <v>1099</v>
      </c>
    </row>
    <row r="39066">
      <c r="B39066" s="31"/>
      <c r="G39066" s="272" t="s">
        <v>1099</v>
      </c>
    </row>
    <row r="39067">
      <c r="B39067" s="31"/>
      <c r="G39067" s="272" t="s">
        <v>1099</v>
      </c>
    </row>
    <row r="39068">
      <c r="B39068" s="31"/>
      <c r="G39068" s="272" t="s">
        <v>1099</v>
      </c>
    </row>
    <row r="39069">
      <c r="B39069" s="31"/>
      <c r="G39069" s="272" t="s">
        <v>1099</v>
      </c>
    </row>
    <row r="39070">
      <c r="B39070" s="31"/>
      <c r="G39070" s="272" t="s">
        <v>1099</v>
      </c>
    </row>
    <row r="39071">
      <c r="B39071" s="31"/>
      <c r="G39071" s="272" t="s">
        <v>1099</v>
      </c>
    </row>
    <row r="39072">
      <c r="B39072" s="31"/>
      <c r="G39072" s="272" t="s">
        <v>1099</v>
      </c>
    </row>
    <row r="39073">
      <c r="B39073" s="31"/>
      <c r="G39073" s="272" t="s">
        <v>1099</v>
      </c>
    </row>
    <row r="39074">
      <c r="B39074" s="31"/>
      <c r="G39074" s="272" t="s">
        <v>1099</v>
      </c>
    </row>
    <row r="39075">
      <c r="B39075" s="31"/>
      <c r="G39075" s="272" t="s">
        <v>1099</v>
      </c>
    </row>
    <row r="39076">
      <c r="B39076" s="31"/>
      <c r="G39076" s="272" t="s">
        <v>1099</v>
      </c>
    </row>
    <row r="39077">
      <c r="B39077" s="31"/>
      <c r="G39077" s="272" t="s">
        <v>1099</v>
      </c>
    </row>
    <row r="39078">
      <c r="B39078" s="31"/>
      <c r="G39078" s="272" t="s">
        <v>1099</v>
      </c>
    </row>
    <row r="39079">
      <c r="B39079" s="31"/>
      <c r="G39079" s="272" t="s">
        <v>1099</v>
      </c>
    </row>
    <row r="39080">
      <c r="B39080" s="31"/>
      <c r="G39080" s="272" t="s">
        <v>1099</v>
      </c>
    </row>
    <row r="39081">
      <c r="B39081" s="31"/>
      <c r="G39081" s="272" t="s">
        <v>1099</v>
      </c>
    </row>
    <row r="39082">
      <c r="B39082" s="31"/>
      <c r="G39082" s="272" t="s">
        <v>1099</v>
      </c>
    </row>
    <row r="39083">
      <c r="B39083" s="31"/>
      <c r="G39083" s="272" t="s">
        <v>1099</v>
      </c>
    </row>
    <row r="39084">
      <c r="B39084" s="31"/>
      <c r="G39084" s="272" t="s">
        <v>1099</v>
      </c>
    </row>
    <row r="39085">
      <c r="B39085" s="31"/>
      <c r="G39085" s="272" t="s">
        <v>1099</v>
      </c>
    </row>
    <row r="39086">
      <c r="B39086" s="31"/>
      <c r="G39086" s="272" t="s">
        <v>1099</v>
      </c>
    </row>
    <row r="39087">
      <c r="B39087" s="31"/>
      <c r="G39087" s="272" t="s">
        <v>1099</v>
      </c>
    </row>
    <row r="39088">
      <c r="B39088" s="31"/>
      <c r="G39088" s="272" t="s">
        <v>1099</v>
      </c>
    </row>
    <row r="39089">
      <c r="B39089" s="31"/>
      <c r="G39089" s="272" t="s">
        <v>1099</v>
      </c>
    </row>
    <row r="39090">
      <c r="B39090" s="31"/>
      <c r="G39090" s="272" t="s">
        <v>1099</v>
      </c>
    </row>
    <row r="39091">
      <c r="B39091" s="31"/>
      <c r="G39091" s="272" t="s">
        <v>1099</v>
      </c>
    </row>
    <row r="39092">
      <c r="B39092" s="31"/>
      <c r="G39092" s="272" t="s">
        <v>1099</v>
      </c>
    </row>
    <row r="39093">
      <c r="B39093" s="31"/>
      <c r="G39093" s="272" t="s">
        <v>1099</v>
      </c>
    </row>
    <row r="39094">
      <c r="B39094" s="31"/>
      <c r="G39094" s="272" t="s">
        <v>1099</v>
      </c>
    </row>
    <row r="39095">
      <c r="B39095" s="31"/>
      <c r="G39095" s="272" t="s">
        <v>1099</v>
      </c>
    </row>
    <row r="39096">
      <c r="B39096" s="31"/>
      <c r="G39096" s="272" t="s">
        <v>1099</v>
      </c>
    </row>
    <row r="39097">
      <c r="B39097" s="31"/>
      <c r="G39097" s="272" t="s">
        <v>1099</v>
      </c>
    </row>
    <row r="39098">
      <c r="B39098" s="31"/>
      <c r="G39098" s="272" t="s">
        <v>1099</v>
      </c>
    </row>
    <row r="39099">
      <c r="B39099" s="31"/>
      <c r="G39099" s="272" t="s">
        <v>1099</v>
      </c>
    </row>
    <row r="39100">
      <c r="B39100" s="31"/>
      <c r="G39100" s="272" t="s">
        <v>1099</v>
      </c>
    </row>
    <row r="39101">
      <c r="B39101" s="31"/>
      <c r="G39101" s="272" t="s">
        <v>1099</v>
      </c>
    </row>
    <row r="39102">
      <c r="B39102" s="31"/>
      <c r="G39102" s="272" t="s">
        <v>1099</v>
      </c>
    </row>
    <row r="39103">
      <c r="B39103" s="31"/>
      <c r="G39103" s="272" t="s">
        <v>1099</v>
      </c>
    </row>
    <row r="39104">
      <c r="B39104" s="31"/>
      <c r="G39104" s="272" t="s">
        <v>1099</v>
      </c>
    </row>
    <row r="39105">
      <c r="B39105" s="31"/>
      <c r="G39105" s="272" t="s">
        <v>1099</v>
      </c>
    </row>
    <row r="39106">
      <c r="B39106" s="31"/>
      <c r="G39106" s="272" t="s">
        <v>1099</v>
      </c>
    </row>
    <row r="39107">
      <c r="B39107" s="31"/>
      <c r="G39107" s="272" t="s">
        <v>1099</v>
      </c>
    </row>
    <row r="39108">
      <c r="B39108" s="31"/>
      <c r="G39108" s="272" t="s">
        <v>1099</v>
      </c>
    </row>
    <row r="39109">
      <c r="B39109" s="31"/>
      <c r="G39109" s="272" t="s">
        <v>1099</v>
      </c>
    </row>
    <row r="39110">
      <c r="B39110" s="31"/>
      <c r="G39110" s="272" t="s">
        <v>1099</v>
      </c>
    </row>
    <row r="39111">
      <c r="B39111" s="31"/>
      <c r="G39111" s="272" t="s">
        <v>1099</v>
      </c>
    </row>
    <row r="39112">
      <c r="B39112" s="31"/>
      <c r="G39112" s="272" t="s">
        <v>1099</v>
      </c>
    </row>
    <row r="39113">
      <c r="B39113" s="31"/>
      <c r="G39113" s="272" t="s">
        <v>1099</v>
      </c>
    </row>
    <row r="39114">
      <c r="B39114" s="31"/>
      <c r="G39114" s="272" t="s">
        <v>1099</v>
      </c>
    </row>
    <row r="39115">
      <c r="B39115" s="31"/>
      <c r="G39115" s="272" t="s">
        <v>1099</v>
      </c>
    </row>
    <row r="39116">
      <c r="B39116" s="31"/>
      <c r="G39116" s="272" t="s">
        <v>1099</v>
      </c>
    </row>
    <row r="39117">
      <c r="B39117" s="31"/>
      <c r="G39117" s="272" t="s">
        <v>1099</v>
      </c>
    </row>
    <row r="39118">
      <c r="B39118" s="31"/>
      <c r="G39118" s="272" t="s">
        <v>1099</v>
      </c>
    </row>
    <row r="39119">
      <c r="B39119" s="31"/>
      <c r="G39119" s="272" t="s">
        <v>1099</v>
      </c>
    </row>
    <row r="39120">
      <c r="B39120" s="31"/>
      <c r="G39120" s="272" t="s">
        <v>1099</v>
      </c>
    </row>
    <row r="39121">
      <c r="B39121" s="31"/>
      <c r="G39121" s="272" t="s">
        <v>1099</v>
      </c>
    </row>
    <row r="39122">
      <c r="B39122" s="31"/>
      <c r="G39122" s="272" t="s">
        <v>1099</v>
      </c>
    </row>
    <row r="39123">
      <c r="B39123" s="31"/>
      <c r="G39123" s="272" t="s">
        <v>1099</v>
      </c>
    </row>
    <row r="39124">
      <c r="B39124" s="31"/>
      <c r="G39124" s="272" t="s">
        <v>1099</v>
      </c>
    </row>
    <row r="39125">
      <c r="B39125" s="31"/>
      <c r="G39125" s="272" t="s">
        <v>1099</v>
      </c>
    </row>
    <row r="39126">
      <c r="B39126" s="31"/>
      <c r="G39126" s="272" t="s">
        <v>1099</v>
      </c>
    </row>
    <row r="39127">
      <c r="B39127" s="31"/>
      <c r="G39127" s="272" t="s">
        <v>1099</v>
      </c>
    </row>
    <row r="39128">
      <c r="B39128" s="31"/>
      <c r="G39128" s="272" t="s">
        <v>1099</v>
      </c>
    </row>
    <row r="39129">
      <c r="B39129" s="31"/>
      <c r="G39129" s="272" t="s">
        <v>1099</v>
      </c>
    </row>
    <row r="39130">
      <c r="B39130" s="31"/>
      <c r="G39130" s="272" t="s">
        <v>1099</v>
      </c>
    </row>
    <row r="39131">
      <c r="B39131" s="31"/>
      <c r="G39131" s="272" t="s">
        <v>1099</v>
      </c>
    </row>
    <row r="39132">
      <c r="B39132" s="31"/>
      <c r="G39132" s="272" t="s">
        <v>1099</v>
      </c>
    </row>
    <row r="39133">
      <c r="B39133" s="31"/>
      <c r="G39133" s="272" t="s">
        <v>1099</v>
      </c>
    </row>
    <row r="39134">
      <c r="B39134" s="31"/>
      <c r="G39134" s="272" t="s">
        <v>1099</v>
      </c>
    </row>
    <row r="39135">
      <c r="B39135" s="31"/>
      <c r="G39135" s="272" t="s">
        <v>1099</v>
      </c>
    </row>
    <row r="39136">
      <c r="B39136" s="31"/>
      <c r="G39136" s="272" t="s">
        <v>1099</v>
      </c>
    </row>
    <row r="39137">
      <c r="B39137" s="31"/>
      <c r="G39137" s="272" t="s">
        <v>1099</v>
      </c>
    </row>
    <row r="39138">
      <c r="B39138" s="31"/>
      <c r="G39138" s="272" t="s">
        <v>1099</v>
      </c>
    </row>
    <row r="39139">
      <c r="B39139" s="31"/>
      <c r="G39139" s="272" t="s">
        <v>1099</v>
      </c>
    </row>
    <row r="39140">
      <c r="B39140" s="31"/>
      <c r="G39140" s="272" t="s">
        <v>1099</v>
      </c>
    </row>
    <row r="39141">
      <c r="B39141" s="31"/>
      <c r="G39141" s="272" t="s">
        <v>1099</v>
      </c>
    </row>
    <row r="39142">
      <c r="B39142" s="31"/>
      <c r="G39142" s="272" t="s">
        <v>1099</v>
      </c>
    </row>
    <row r="39143">
      <c r="B39143" s="31"/>
      <c r="G39143" s="272" t="s">
        <v>1099</v>
      </c>
    </row>
    <row r="39144">
      <c r="B39144" s="31"/>
      <c r="G39144" s="272" t="s">
        <v>1099</v>
      </c>
    </row>
    <row r="39145">
      <c r="B39145" s="31"/>
      <c r="G39145" s="272" t="s">
        <v>1099</v>
      </c>
    </row>
    <row r="39146">
      <c r="B39146" s="31"/>
      <c r="G39146" s="272" t="s">
        <v>1099</v>
      </c>
    </row>
    <row r="39147">
      <c r="B39147" s="31"/>
      <c r="G39147" s="272" t="s">
        <v>1099</v>
      </c>
    </row>
    <row r="39148">
      <c r="B39148" s="31"/>
      <c r="G39148" s="272" t="s">
        <v>1099</v>
      </c>
    </row>
    <row r="39149">
      <c r="B39149" s="31"/>
      <c r="G39149" s="272" t="s">
        <v>1099</v>
      </c>
    </row>
    <row r="39150">
      <c r="B39150" s="31"/>
      <c r="G39150" s="272" t="s">
        <v>1099</v>
      </c>
    </row>
    <row r="39151">
      <c r="B39151" s="31"/>
      <c r="G39151" s="272" t="s">
        <v>1099</v>
      </c>
    </row>
    <row r="39152">
      <c r="B39152" s="31"/>
      <c r="G39152" s="272" t="s">
        <v>1099</v>
      </c>
    </row>
    <row r="39153">
      <c r="B39153" s="31"/>
      <c r="G39153" s="272" t="s">
        <v>1099</v>
      </c>
    </row>
    <row r="39154">
      <c r="B39154" s="31"/>
      <c r="G39154" s="272" t="s">
        <v>1099</v>
      </c>
    </row>
    <row r="39155">
      <c r="B39155" s="31"/>
      <c r="G39155" s="272" t="s">
        <v>1099</v>
      </c>
    </row>
    <row r="39156">
      <c r="B39156" s="31"/>
      <c r="G39156" s="272" t="s">
        <v>1099</v>
      </c>
    </row>
    <row r="39157">
      <c r="B39157" s="31"/>
      <c r="G39157" s="272" t="s">
        <v>1099</v>
      </c>
    </row>
    <row r="39158">
      <c r="B39158" s="31"/>
      <c r="G39158" s="272" t="s">
        <v>1099</v>
      </c>
    </row>
    <row r="39159">
      <c r="B39159" s="31"/>
      <c r="G39159" s="272" t="s">
        <v>1099</v>
      </c>
    </row>
    <row r="39160">
      <c r="B39160" s="31"/>
      <c r="G39160" s="272" t="s">
        <v>1099</v>
      </c>
    </row>
    <row r="39161">
      <c r="B39161" s="31"/>
      <c r="G39161" s="272" t="s">
        <v>1099</v>
      </c>
    </row>
    <row r="39162">
      <c r="B39162" s="31"/>
      <c r="G39162" s="272" t="s">
        <v>1099</v>
      </c>
    </row>
    <row r="39163">
      <c r="B39163" s="31"/>
      <c r="G39163" s="272" t="s">
        <v>1099</v>
      </c>
    </row>
    <row r="39164">
      <c r="B39164" s="31"/>
      <c r="G39164" s="272" t="s">
        <v>1099</v>
      </c>
    </row>
    <row r="39165">
      <c r="B39165" s="31"/>
      <c r="G39165" s="272" t="s">
        <v>1099</v>
      </c>
    </row>
    <row r="39166">
      <c r="B39166" s="31"/>
      <c r="G39166" s="272" t="s">
        <v>1099</v>
      </c>
    </row>
    <row r="39167">
      <c r="B39167" s="31"/>
      <c r="G39167" s="272" t="s">
        <v>1099</v>
      </c>
    </row>
    <row r="39168">
      <c r="B39168" s="31"/>
      <c r="G39168" s="272" t="s">
        <v>1099</v>
      </c>
    </row>
    <row r="39169">
      <c r="B39169" s="31"/>
      <c r="G39169" s="272" t="s">
        <v>1099</v>
      </c>
    </row>
    <row r="39170">
      <c r="B39170" s="31"/>
      <c r="G39170" s="272" t="s">
        <v>1099</v>
      </c>
    </row>
    <row r="39171">
      <c r="B39171" s="31"/>
      <c r="G39171" s="272" t="s">
        <v>1099</v>
      </c>
    </row>
    <row r="39172">
      <c r="B39172" s="31"/>
      <c r="G39172" s="272" t="s">
        <v>1099</v>
      </c>
    </row>
    <row r="39173">
      <c r="B39173" s="31"/>
      <c r="G39173" s="272" t="s">
        <v>1099</v>
      </c>
    </row>
    <row r="39174">
      <c r="B39174" s="31"/>
      <c r="G39174" s="272" t="s">
        <v>1099</v>
      </c>
    </row>
    <row r="39175">
      <c r="B39175" s="31"/>
      <c r="G39175" s="272" t="s">
        <v>1099</v>
      </c>
    </row>
    <row r="39176">
      <c r="B39176" s="31"/>
      <c r="G39176" s="272" t="s">
        <v>1099</v>
      </c>
    </row>
    <row r="39177">
      <c r="B39177" s="31"/>
      <c r="G39177" s="272" t="s">
        <v>1099</v>
      </c>
    </row>
    <row r="39178">
      <c r="B39178" s="31"/>
      <c r="G39178" s="272" t="s">
        <v>1099</v>
      </c>
    </row>
    <row r="39179">
      <c r="B39179" s="31"/>
      <c r="G39179" s="272" t="s">
        <v>1099</v>
      </c>
    </row>
    <row r="39180">
      <c r="B39180" s="31"/>
      <c r="G39180" s="272" t="s">
        <v>1099</v>
      </c>
    </row>
    <row r="39181">
      <c r="B39181" s="31"/>
      <c r="G39181" s="272" t="s">
        <v>1099</v>
      </c>
    </row>
    <row r="39182">
      <c r="B39182" s="31"/>
      <c r="G39182" s="272" t="s">
        <v>1099</v>
      </c>
    </row>
    <row r="39183">
      <c r="B39183" s="31"/>
      <c r="G39183" s="272" t="s">
        <v>1099</v>
      </c>
    </row>
    <row r="39184">
      <c r="B39184" s="31"/>
      <c r="G39184" s="272" t="s">
        <v>1099</v>
      </c>
    </row>
    <row r="39185">
      <c r="B39185" s="31"/>
      <c r="G39185" s="272" t="s">
        <v>1099</v>
      </c>
    </row>
    <row r="39186">
      <c r="B39186" s="31"/>
      <c r="G39186" s="272" t="s">
        <v>1099</v>
      </c>
    </row>
    <row r="39187">
      <c r="B39187" s="31"/>
      <c r="G39187" s="272" t="s">
        <v>1099</v>
      </c>
    </row>
    <row r="39188">
      <c r="B39188" s="31"/>
      <c r="G39188" s="272" t="s">
        <v>1099</v>
      </c>
    </row>
    <row r="39189">
      <c r="B39189" s="31"/>
      <c r="G39189" s="272" t="s">
        <v>1099</v>
      </c>
    </row>
    <row r="39190">
      <c r="B39190" s="31"/>
      <c r="G39190" s="272" t="s">
        <v>1099</v>
      </c>
    </row>
    <row r="39191">
      <c r="B39191" s="31"/>
      <c r="G39191" s="272" t="s">
        <v>1099</v>
      </c>
    </row>
    <row r="39192">
      <c r="B39192" s="31"/>
      <c r="G39192" s="272" t="s">
        <v>1099</v>
      </c>
    </row>
    <row r="39193">
      <c r="B39193" s="31"/>
      <c r="G39193" s="272" t="s">
        <v>1099</v>
      </c>
    </row>
    <row r="39194">
      <c r="B39194" s="31"/>
      <c r="G39194" s="272" t="s">
        <v>1099</v>
      </c>
    </row>
    <row r="39195">
      <c r="B39195" s="31"/>
      <c r="G39195" s="272" t="s">
        <v>1099</v>
      </c>
    </row>
    <row r="39196">
      <c r="B39196" s="31"/>
      <c r="G39196" s="272" t="s">
        <v>1099</v>
      </c>
    </row>
    <row r="39197">
      <c r="B39197" s="31"/>
      <c r="G39197" s="272" t="s">
        <v>1099</v>
      </c>
    </row>
    <row r="39198">
      <c r="B39198" s="31"/>
      <c r="G39198" s="272" t="s">
        <v>1099</v>
      </c>
    </row>
    <row r="39199">
      <c r="B39199" s="31"/>
      <c r="G39199" s="272" t="s">
        <v>1099</v>
      </c>
    </row>
    <row r="39200">
      <c r="B39200" s="31"/>
      <c r="G39200" s="272" t="s">
        <v>1099</v>
      </c>
    </row>
    <row r="39201">
      <c r="B39201" s="31"/>
      <c r="G39201" s="272" t="s">
        <v>1099</v>
      </c>
    </row>
    <row r="39202">
      <c r="B39202" s="31"/>
      <c r="G39202" s="272" t="s">
        <v>1099</v>
      </c>
    </row>
    <row r="39203">
      <c r="B39203" s="31"/>
      <c r="G39203" s="272" t="s">
        <v>1099</v>
      </c>
    </row>
    <row r="39204">
      <c r="B39204" s="31"/>
      <c r="G39204" s="272" t="s">
        <v>1099</v>
      </c>
    </row>
    <row r="39205">
      <c r="B39205" s="31"/>
      <c r="G39205" s="272" t="s">
        <v>1099</v>
      </c>
    </row>
    <row r="39206">
      <c r="B39206" s="31"/>
      <c r="G39206" s="272" t="s">
        <v>1099</v>
      </c>
    </row>
    <row r="39207">
      <c r="B39207" s="31"/>
      <c r="G39207" s="272" t="s">
        <v>1099</v>
      </c>
    </row>
    <row r="39208">
      <c r="B39208" s="31"/>
      <c r="G39208" s="272" t="s">
        <v>1099</v>
      </c>
    </row>
    <row r="39209">
      <c r="B39209" s="31"/>
      <c r="G39209" s="272" t="s">
        <v>1099</v>
      </c>
    </row>
    <row r="39210">
      <c r="B39210" s="31"/>
      <c r="G39210" s="272" t="s">
        <v>1099</v>
      </c>
    </row>
    <row r="39211">
      <c r="B39211" s="31"/>
      <c r="G39211" s="272" t="s">
        <v>1099</v>
      </c>
    </row>
    <row r="39212">
      <c r="B39212" s="31"/>
      <c r="G39212" s="272" t="s">
        <v>1099</v>
      </c>
    </row>
    <row r="39213">
      <c r="B39213" s="31"/>
      <c r="G39213" s="272" t="s">
        <v>1099</v>
      </c>
    </row>
    <row r="39214">
      <c r="B39214" s="31"/>
      <c r="G39214" s="272" t="s">
        <v>1099</v>
      </c>
    </row>
    <row r="39215">
      <c r="B39215" s="31"/>
      <c r="G39215" s="272" t="s">
        <v>1099</v>
      </c>
    </row>
    <row r="39216">
      <c r="B39216" s="31"/>
      <c r="G39216" s="272" t="s">
        <v>1099</v>
      </c>
    </row>
    <row r="39217">
      <c r="B39217" s="31"/>
      <c r="G39217" s="272" t="s">
        <v>1099</v>
      </c>
    </row>
    <row r="39218">
      <c r="B39218" s="31"/>
      <c r="G39218" s="272" t="s">
        <v>1099</v>
      </c>
    </row>
    <row r="39219">
      <c r="B39219" s="31"/>
      <c r="G39219" s="272" t="s">
        <v>1099</v>
      </c>
    </row>
    <row r="39220">
      <c r="B39220" s="31"/>
      <c r="G39220" s="272" t="s">
        <v>1099</v>
      </c>
    </row>
    <row r="39221">
      <c r="B39221" s="31"/>
      <c r="G39221" s="272" t="s">
        <v>1099</v>
      </c>
    </row>
    <row r="39222">
      <c r="B39222" s="31"/>
      <c r="G39222" s="272" t="s">
        <v>1099</v>
      </c>
    </row>
    <row r="39223">
      <c r="B39223" s="31"/>
      <c r="G39223" s="272" t="s">
        <v>1099</v>
      </c>
    </row>
    <row r="39224">
      <c r="B39224" s="31"/>
      <c r="G39224" s="272" t="s">
        <v>1099</v>
      </c>
    </row>
    <row r="39225">
      <c r="B39225" s="31"/>
      <c r="G39225" s="272" t="s">
        <v>1099</v>
      </c>
    </row>
    <row r="39226">
      <c r="B39226" s="31"/>
      <c r="G39226" s="272" t="s">
        <v>1099</v>
      </c>
    </row>
    <row r="39227">
      <c r="B39227" s="31"/>
      <c r="G39227" s="272" t="s">
        <v>1099</v>
      </c>
    </row>
    <row r="39228">
      <c r="B39228" s="31"/>
      <c r="G39228" s="272" t="s">
        <v>1099</v>
      </c>
    </row>
    <row r="39229">
      <c r="B39229" s="31"/>
      <c r="G39229" s="272" t="s">
        <v>1099</v>
      </c>
    </row>
    <row r="39230">
      <c r="B39230" s="31"/>
      <c r="G39230" s="272" t="s">
        <v>1099</v>
      </c>
    </row>
    <row r="39231">
      <c r="B39231" s="31"/>
      <c r="G39231" s="272" t="s">
        <v>1099</v>
      </c>
    </row>
    <row r="39232">
      <c r="B39232" s="31"/>
      <c r="G39232" s="272" t="s">
        <v>1099</v>
      </c>
    </row>
    <row r="39233">
      <c r="B39233" s="31"/>
      <c r="G39233" s="272" t="s">
        <v>1099</v>
      </c>
    </row>
    <row r="39234">
      <c r="B39234" s="31"/>
      <c r="G39234" s="272" t="s">
        <v>1099</v>
      </c>
    </row>
    <row r="39235">
      <c r="B39235" s="31"/>
      <c r="G39235" s="272" t="s">
        <v>1099</v>
      </c>
    </row>
    <row r="39236">
      <c r="B39236" s="31"/>
      <c r="G39236" s="272" t="s">
        <v>1099</v>
      </c>
    </row>
    <row r="39237">
      <c r="B39237" s="31"/>
      <c r="G39237" s="272" t="s">
        <v>1099</v>
      </c>
    </row>
    <row r="39238">
      <c r="B39238" s="31"/>
      <c r="G39238" s="272" t="s">
        <v>1099</v>
      </c>
    </row>
    <row r="39239">
      <c r="B39239" s="31"/>
      <c r="G39239" s="272" t="s">
        <v>1099</v>
      </c>
    </row>
    <row r="39240">
      <c r="B39240" s="31"/>
      <c r="G39240" s="272" t="s">
        <v>1099</v>
      </c>
    </row>
    <row r="39241">
      <c r="B39241" s="31"/>
      <c r="G39241" s="272" t="s">
        <v>1099</v>
      </c>
    </row>
    <row r="39242">
      <c r="B39242" s="31"/>
      <c r="G39242" s="272" t="s">
        <v>1099</v>
      </c>
    </row>
    <row r="39243">
      <c r="B39243" s="31"/>
      <c r="G39243" s="272" t="s">
        <v>1099</v>
      </c>
    </row>
    <row r="39244">
      <c r="B39244" s="31"/>
      <c r="G39244" s="272" t="s">
        <v>1099</v>
      </c>
    </row>
    <row r="39245">
      <c r="B39245" s="31"/>
      <c r="G39245" s="272" t="s">
        <v>1099</v>
      </c>
    </row>
    <row r="39246">
      <c r="B39246" s="31"/>
      <c r="G39246" s="272" t="s">
        <v>1099</v>
      </c>
    </row>
    <row r="39247">
      <c r="B39247" s="31"/>
      <c r="G39247" s="272" t="s">
        <v>1099</v>
      </c>
    </row>
    <row r="39248">
      <c r="B39248" s="31"/>
      <c r="G39248" s="272" t="s">
        <v>1099</v>
      </c>
    </row>
    <row r="39249">
      <c r="B39249" s="31"/>
      <c r="G39249" s="272" t="s">
        <v>1099</v>
      </c>
    </row>
    <row r="39250">
      <c r="B39250" s="31"/>
      <c r="G39250" s="272" t="s">
        <v>1099</v>
      </c>
    </row>
    <row r="39251">
      <c r="B39251" s="31"/>
      <c r="G39251" s="272" t="s">
        <v>1099</v>
      </c>
    </row>
    <row r="39252">
      <c r="B39252" s="31"/>
      <c r="G39252" s="272" t="s">
        <v>1099</v>
      </c>
    </row>
    <row r="39253">
      <c r="B39253" s="31"/>
      <c r="G39253" s="272" t="s">
        <v>1099</v>
      </c>
    </row>
    <row r="39254">
      <c r="B39254" s="31"/>
      <c r="G39254" s="272" t="s">
        <v>1099</v>
      </c>
    </row>
    <row r="39255">
      <c r="B39255" s="31"/>
      <c r="G39255" s="272" t="s">
        <v>1099</v>
      </c>
    </row>
    <row r="39256">
      <c r="B39256" s="31"/>
      <c r="G39256" s="272" t="s">
        <v>1099</v>
      </c>
    </row>
    <row r="39257">
      <c r="B39257" s="31"/>
      <c r="G39257" s="272" t="s">
        <v>1099</v>
      </c>
    </row>
    <row r="39258">
      <c r="B39258" s="31"/>
      <c r="G39258" s="272" t="s">
        <v>1099</v>
      </c>
    </row>
    <row r="39259">
      <c r="B39259" s="31"/>
      <c r="G39259" s="272" t="s">
        <v>1099</v>
      </c>
    </row>
    <row r="39260">
      <c r="B39260" s="31"/>
      <c r="G39260" s="272" t="s">
        <v>1099</v>
      </c>
    </row>
    <row r="39261">
      <c r="B39261" s="31"/>
      <c r="G39261" s="272" t="s">
        <v>1099</v>
      </c>
    </row>
    <row r="39262">
      <c r="B39262" s="31"/>
      <c r="G39262" s="272" t="s">
        <v>1099</v>
      </c>
    </row>
    <row r="39263">
      <c r="B39263" s="31"/>
      <c r="G39263" s="272" t="s">
        <v>1099</v>
      </c>
    </row>
    <row r="39264">
      <c r="B39264" s="31"/>
      <c r="G39264" s="272" t="s">
        <v>1099</v>
      </c>
    </row>
    <row r="39265">
      <c r="B39265" s="31"/>
      <c r="G39265" s="272" t="s">
        <v>1099</v>
      </c>
    </row>
    <row r="39266">
      <c r="B39266" s="31"/>
      <c r="G39266" s="272" t="s">
        <v>1099</v>
      </c>
    </row>
    <row r="39267">
      <c r="B39267" s="31"/>
      <c r="G39267" s="272" t="s">
        <v>1099</v>
      </c>
    </row>
    <row r="39268">
      <c r="B39268" s="31"/>
      <c r="G39268" s="272" t="s">
        <v>1099</v>
      </c>
    </row>
    <row r="39269">
      <c r="B39269" s="31"/>
      <c r="G39269" s="272" t="s">
        <v>1099</v>
      </c>
    </row>
    <row r="39270">
      <c r="B39270" s="31"/>
      <c r="G39270" s="272" t="s">
        <v>1099</v>
      </c>
    </row>
    <row r="39271">
      <c r="B39271" s="31"/>
      <c r="G39271" s="272" t="s">
        <v>1099</v>
      </c>
    </row>
    <row r="39272">
      <c r="B39272" s="31"/>
      <c r="G39272" s="272" t="s">
        <v>1099</v>
      </c>
    </row>
    <row r="39273">
      <c r="B39273" s="31"/>
      <c r="G39273" s="272" t="s">
        <v>1099</v>
      </c>
    </row>
    <row r="39274">
      <c r="B39274" s="31"/>
      <c r="G39274" s="272" t="s">
        <v>1099</v>
      </c>
    </row>
    <row r="39275">
      <c r="B39275" s="31"/>
      <c r="G39275" s="272" t="s">
        <v>1099</v>
      </c>
    </row>
    <row r="39276">
      <c r="B39276" s="31"/>
      <c r="G39276" s="272" t="s">
        <v>1099</v>
      </c>
    </row>
    <row r="39277">
      <c r="B39277" s="31"/>
      <c r="G39277" s="272" t="s">
        <v>1099</v>
      </c>
    </row>
    <row r="39278">
      <c r="B39278" s="31"/>
      <c r="G39278" s="272" t="s">
        <v>1099</v>
      </c>
    </row>
    <row r="39279">
      <c r="B39279" s="31"/>
      <c r="G39279" s="272" t="s">
        <v>1099</v>
      </c>
    </row>
    <row r="39280">
      <c r="B39280" s="31"/>
      <c r="G39280" s="272" t="s">
        <v>1099</v>
      </c>
    </row>
    <row r="39281">
      <c r="B39281" s="31"/>
      <c r="G39281" s="272" t="s">
        <v>1099</v>
      </c>
    </row>
    <row r="39282">
      <c r="B39282" s="31"/>
      <c r="G39282" s="272" t="s">
        <v>1099</v>
      </c>
    </row>
    <row r="39283">
      <c r="B39283" s="31"/>
      <c r="G39283" s="272" t="s">
        <v>1099</v>
      </c>
    </row>
    <row r="39284">
      <c r="B39284" s="31"/>
      <c r="G39284" s="272" t="s">
        <v>1099</v>
      </c>
    </row>
    <row r="39285">
      <c r="B39285" s="31"/>
      <c r="G39285" s="272" t="s">
        <v>1099</v>
      </c>
    </row>
    <row r="39286">
      <c r="B39286" s="31"/>
      <c r="G39286" s="272" t="s">
        <v>1099</v>
      </c>
    </row>
    <row r="39287">
      <c r="B39287" s="31"/>
      <c r="G39287" s="272" t="s">
        <v>1099</v>
      </c>
    </row>
    <row r="39288">
      <c r="B39288" s="31"/>
      <c r="G39288" s="272" t="s">
        <v>1099</v>
      </c>
    </row>
    <row r="39289">
      <c r="B39289" s="31"/>
      <c r="G39289" s="272" t="s">
        <v>1099</v>
      </c>
    </row>
    <row r="39290">
      <c r="B39290" s="31"/>
      <c r="G39290" s="272" t="s">
        <v>1099</v>
      </c>
    </row>
    <row r="39291">
      <c r="B39291" s="31"/>
      <c r="G39291" s="272" t="s">
        <v>1099</v>
      </c>
    </row>
    <row r="39292">
      <c r="B39292" s="31"/>
      <c r="G39292" s="272" t="s">
        <v>1099</v>
      </c>
    </row>
    <row r="39293">
      <c r="B39293" s="31"/>
      <c r="G39293" s="272" t="s">
        <v>1099</v>
      </c>
    </row>
    <row r="39294">
      <c r="B39294" s="31"/>
      <c r="G39294" s="272" t="s">
        <v>1099</v>
      </c>
    </row>
    <row r="39295">
      <c r="B39295" s="31"/>
      <c r="G39295" s="272" t="s">
        <v>1099</v>
      </c>
    </row>
    <row r="39296">
      <c r="B39296" s="31"/>
      <c r="G39296" s="272" t="s">
        <v>1099</v>
      </c>
    </row>
    <row r="39297">
      <c r="B39297" s="31"/>
      <c r="G39297" s="272" t="s">
        <v>1099</v>
      </c>
    </row>
    <row r="39298">
      <c r="B39298" s="31"/>
      <c r="G39298" s="272" t="s">
        <v>1099</v>
      </c>
    </row>
    <row r="39299">
      <c r="B39299" s="31"/>
      <c r="G39299" s="272" t="s">
        <v>1099</v>
      </c>
    </row>
    <row r="39300">
      <c r="B39300" s="31"/>
      <c r="G39300" s="272" t="s">
        <v>1099</v>
      </c>
    </row>
    <row r="39301">
      <c r="B39301" s="31"/>
      <c r="G39301" s="272" t="s">
        <v>1099</v>
      </c>
    </row>
    <row r="39302">
      <c r="B39302" s="31"/>
      <c r="G39302" s="272" t="s">
        <v>1099</v>
      </c>
    </row>
    <row r="39303">
      <c r="B39303" s="31"/>
      <c r="G39303" s="272" t="s">
        <v>1099</v>
      </c>
    </row>
    <row r="39304">
      <c r="B39304" s="31"/>
      <c r="G39304" s="272" t="s">
        <v>1099</v>
      </c>
    </row>
    <row r="39305">
      <c r="B39305" s="31"/>
      <c r="G39305" s="272" t="s">
        <v>1099</v>
      </c>
    </row>
    <row r="39306">
      <c r="B39306" s="31"/>
      <c r="G39306" s="272" t="s">
        <v>1099</v>
      </c>
    </row>
    <row r="39307">
      <c r="B39307" s="31"/>
      <c r="G39307" s="272" t="s">
        <v>1099</v>
      </c>
    </row>
    <row r="39308">
      <c r="B39308" s="31"/>
      <c r="G39308" s="272" t="s">
        <v>1099</v>
      </c>
    </row>
    <row r="39309">
      <c r="B39309" s="31"/>
      <c r="G39309" s="272" t="s">
        <v>1099</v>
      </c>
    </row>
    <row r="39310">
      <c r="B39310" s="31"/>
      <c r="G39310" s="272" t="s">
        <v>1099</v>
      </c>
    </row>
    <row r="39311">
      <c r="B39311" s="31"/>
      <c r="G39311" s="272" t="s">
        <v>1099</v>
      </c>
    </row>
    <row r="39312">
      <c r="B39312" s="31"/>
      <c r="G39312" s="272" t="s">
        <v>1099</v>
      </c>
    </row>
    <row r="39313">
      <c r="B39313" s="31"/>
      <c r="G39313" s="272" t="s">
        <v>1099</v>
      </c>
    </row>
    <row r="39314">
      <c r="B39314" s="31"/>
      <c r="G39314" s="272" t="s">
        <v>1099</v>
      </c>
    </row>
    <row r="39315">
      <c r="B39315" s="31"/>
      <c r="G39315" s="272" t="s">
        <v>1099</v>
      </c>
    </row>
    <row r="39316">
      <c r="B39316" s="31"/>
      <c r="G39316" s="272" t="s">
        <v>1099</v>
      </c>
    </row>
    <row r="39317">
      <c r="B39317" s="31"/>
      <c r="G39317" s="272" t="s">
        <v>1099</v>
      </c>
    </row>
    <row r="39318">
      <c r="B39318" s="31"/>
      <c r="G39318" s="272" t="s">
        <v>1099</v>
      </c>
    </row>
    <row r="39319">
      <c r="B39319" s="31"/>
      <c r="G39319" s="272" t="s">
        <v>1099</v>
      </c>
    </row>
    <row r="39320">
      <c r="B39320" s="31"/>
      <c r="G39320" s="272" t="s">
        <v>1099</v>
      </c>
    </row>
    <row r="39321">
      <c r="B39321" s="31"/>
      <c r="G39321" s="272" t="s">
        <v>1099</v>
      </c>
    </row>
    <row r="39322">
      <c r="B39322" s="31"/>
      <c r="G39322" s="272" t="s">
        <v>1099</v>
      </c>
    </row>
    <row r="39323">
      <c r="B39323" s="31"/>
      <c r="G39323" s="272" t="s">
        <v>1099</v>
      </c>
    </row>
    <row r="39324">
      <c r="B39324" s="31"/>
      <c r="G39324" s="272" t="s">
        <v>1099</v>
      </c>
    </row>
    <row r="39325">
      <c r="B39325" s="31"/>
      <c r="G39325" s="272" t="s">
        <v>1099</v>
      </c>
    </row>
    <row r="39326">
      <c r="B39326" s="31"/>
      <c r="G39326" s="272" t="s">
        <v>1099</v>
      </c>
    </row>
    <row r="39327">
      <c r="B39327" s="31"/>
      <c r="G39327" s="272" t="s">
        <v>1099</v>
      </c>
    </row>
    <row r="39328">
      <c r="B39328" s="31"/>
      <c r="G39328" s="272" t="s">
        <v>1099</v>
      </c>
    </row>
    <row r="39329">
      <c r="B39329" s="31"/>
      <c r="G39329" s="272" t="s">
        <v>1099</v>
      </c>
    </row>
    <row r="39330">
      <c r="B39330" s="31"/>
      <c r="G39330" s="272" t="s">
        <v>1099</v>
      </c>
    </row>
    <row r="39331">
      <c r="B39331" s="31"/>
      <c r="G39331" s="272" t="s">
        <v>1099</v>
      </c>
    </row>
    <row r="39332">
      <c r="B39332" s="31"/>
      <c r="G39332" s="272" t="s">
        <v>1099</v>
      </c>
    </row>
    <row r="39333">
      <c r="B39333" s="31"/>
      <c r="G39333" s="272" t="s">
        <v>1099</v>
      </c>
    </row>
    <row r="39334">
      <c r="B39334" s="31"/>
      <c r="G39334" s="272" t="s">
        <v>1099</v>
      </c>
    </row>
    <row r="39335">
      <c r="B39335" s="31"/>
      <c r="G39335" s="272" t="s">
        <v>1099</v>
      </c>
    </row>
    <row r="39336">
      <c r="B39336" s="31"/>
      <c r="G39336" s="272" t="s">
        <v>1099</v>
      </c>
    </row>
    <row r="39337">
      <c r="B39337" s="31"/>
      <c r="G39337" s="272" t="s">
        <v>1099</v>
      </c>
    </row>
    <row r="39338">
      <c r="B39338" s="31"/>
      <c r="G39338" s="272" t="s">
        <v>1099</v>
      </c>
    </row>
    <row r="39339">
      <c r="B39339" s="31"/>
      <c r="G39339" s="272" t="s">
        <v>1099</v>
      </c>
    </row>
    <row r="39340">
      <c r="B39340" s="31"/>
      <c r="G39340" s="272" t="s">
        <v>1099</v>
      </c>
    </row>
    <row r="39341">
      <c r="B39341" s="31"/>
      <c r="G39341" s="272" t="s">
        <v>1099</v>
      </c>
    </row>
    <row r="39342">
      <c r="B39342" s="31"/>
      <c r="G39342" s="272" t="s">
        <v>1099</v>
      </c>
    </row>
    <row r="39343">
      <c r="B39343" s="31"/>
      <c r="G39343" s="272" t="s">
        <v>1099</v>
      </c>
    </row>
    <row r="39344">
      <c r="B39344" s="31"/>
      <c r="G39344" s="272" t="s">
        <v>1099</v>
      </c>
    </row>
    <row r="39345">
      <c r="B39345" s="31"/>
      <c r="G39345" s="272" t="s">
        <v>1099</v>
      </c>
    </row>
    <row r="39346">
      <c r="B39346" s="31"/>
      <c r="G39346" s="272" t="s">
        <v>1099</v>
      </c>
    </row>
    <row r="39347">
      <c r="B39347" s="31"/>
      <c r="G39347" s="272" t="s">
        <v>1099</v>
      </c>
    </row>
    <row r="39348">
      <c r="B39348" s="31"/>
      <c r="G39348" s="272" t="s">
        <v>1099</v>
      </c>
    </row>
    <row r="39349">
      <c r="B39349" s="31"/>
      <c r="G39349" s="272" t="s">
        <v>1099</v>
      </c>
    </row>
    <row r="39350">
      <c r="B39350" s="31"/>
      <c r="G39350" s="272" t="s">
        <v>1099</v>
      </c>
    </row>
    <row r="39351">
      <c r="B39351" s="31"/>
      <c r="G39351" s="272" t="s">
        <v>1099</v>
      </c>
    </row>
    <row r="39352">
      <c r="B39352" s="31"/>
      <c r="G39352" s="272" t="s">
        <v>1099</v>
      </c>
    </row>
    <row r="39353">
      <c r="B39353" s="31"/>
      <c r="G39353" s="272" t="s">
        <v>1099</v>
      </c>
    </row>
    <row r="39354">
      <c r="B39354" s="31"/>
      <c r="G39354" s="272" t="s">
        <v>1099</v>
      </c>
    </row>
    <row r="39355">
      <c r="B39355" s="31"/>
      <c r="G39355" s="272" t="s">
        <v>1099</v>
      </c>
    </row>
    <row r="39356">
      <c r="B39356" s="31"/>
      <c r="G39356" s="272" t="s">
        <v>1099</v>
      </c>
    </row>
    <row r="39357">
      <c r="B39357" s="31"/>
      <c r="G39357" s="272" t="s">
        <v>1099</v>
      </c>
    </row>
    <row r="39358">
      <c r="B39358" s="31"/>
      <c r="G39358" s="272" t="s">
        <v>1099</v>
      </c>
    </row>
    <row r="39359">
      <c r="B39359" s="31"/>
      <c r="G39359" s="272" t="s">
        <v>1099</v>
      </c>
    </row>
    <row r="39360">
      <c r="B39360" s="31"/>
      <c r="G39360" s="272" t="s">
        <v>1099</v>
      </c>
    </row>
    <row r="39361">
      <c r="B39361" s="31"/>
      <c r="G39361" s="272" t="s">
        <v>1099</v>
      </c>
    </row>
    <row r="39362">
      <c r="B39362" s="31"/>
      <c r="G39362" s="272" t="s">
        <v>1099</v>
      </c>
    </row>
    <row r="39363">
      <c r="B39363" s="31"/>
      <c r="G39363" s="272" t="s">
        <v>1099</v>
      </c>
    </row>
    <row r="39364">
      <c r="B39364" s="31"/>
      <c r="G39364" s="272" t="s">
        <v>1099</v>
      </c>
    </row>
    <row r="39365">
      <c r="B39365" s="31"/>
      <c r="G39365" s="272" t="s">
        <v>1099</v>
      </c>
    </row>
    <row r="39366">
      <c r="B39366" s="31"/>
      <c r="G39366" s="272" t="s">
        <v>1099</v>
      </c>
    </row>
    <row r="39367">
      <c r="B39367" s="31"/>
      <c r="G39367" s="272" t="s">
        <v>1099</v>
      </c>
    </row>
    <row r="39368">
      <c r="B39368" s="31"/>
      <c r="G39368" s="272" t="s">
        <v>1099</v>
      </c>
    </row>
    <row r="39369">
      <c r="B39369" s="31"/>
      <c r="G39369" s="272" t="s">
        <v>1099</v>
      </c>
    </row>
    <row r="39370">
      <c r="B39370" s="31"/>
      <c r="G39370" s="272" t="s">
        <v>1099</v>
      </c>
    </row>
    <row r="39371">
      <c r="B39371" s="31"/>
      <c r="G39371" s="272" t="s">
        <v>1099</v>
      </c>
    </row>
    <row r="39372">
      <c r="B39372" s="31"/>
      <c r="G39372" s="272" t="s">
        <v>1099</v>
      </c>
    </row>
    <row r="39373">
      <c r="B39373" s="31"/>
      <c r="G39373" s="272" t="s">
        <v>1099</v>
      </c>
    </row>
    <row r="39374">
      <c r="B39374" s="31"/>
      <c r="G39374" s="272" t="s">
        <v>1099</v>
      </c>
    </row>
    <row r="39375">
      <c r="B39375" s="31"/>
      <c r="G39375" s="272" t="s">
        <v>1099</v>
      </c>
    </row>
    <row r="39376">
      <c r="B39376" s="31"/>
      <c r="G39376" s="272" t="s">
        <v>1099</v>
      </c>
    </row>
    <row r="39377">
      <c r="B39377" s="31"/>
      <c r="G39377" s="272" t="s">
        <v>1099</v>
      </c>
    </row>
    <row r="39378">
      <c r="B39378" s="31"/>
      <c r="G39378" s="272" t="s">
        <v>1099</v>
      </c>
    </row>
    <row r="39379">
      <c r="B39379" s="31"/>
      <c r="G39379" s="272" t="s">
        <v>1099</v>
      </c>
    </row>
    <row r="39380">
      <c r="B39380" s="31"/>
      <c r="G39380" s="272" t="s">
        <v>1099</v>
      </c>
    </row>
    <row r="39381">
      <c r="B39381" s="31"/>
      <c r="G39381" s="272" t="s">
        <v>1099</v>
      </c>
    </row>
    <row r="39382">
      <c r="B39382" s="31"/>
      <c r="G39382" s="272" t="s">
        <v>1099</v>
      </c>
    </row>
    <row r="39383">
      <c r="B39383" s="31"/>
      <c r="G39383" s="272" t="s">
        <v>1099</v>
      </c>
    </row>
    <row r="39384">
      <c r="B39384" s="31"/>
      <c r="G39384" s="272" t="s">
        <v>1099</v>
      </c>
    </row>
    <row r="39385">
      <c r="B39385" s="31"/>
      <c r="G39385" s="272" t="s">
        <v>1099</v>
      </c>
    </row>
    <row r="39386">
      <c r="B39386" s="31"/>
      <c r="G39386" s="272" t="s">
        <v>1099</v>
      </c>
    </row>
    <row r="39387">
      <c r="B39387" s="31"/>
      <c r="G39387" s="272" t="s">
        <v>1099</v>
      </c>
    </row>
    <row r="39388">
      <c r="B39388" s="31"/>
      <c r="G39388" s="272" t="s">
        <v>1099</v>
      </c>
    </row>
    <row r="39389">
      <c r="B39389" s="31"/>
      <c r="G39389" s="272" t="s">
        <v>1099</v>
      </c>
    </row>
    <row r="39390">
      <c r="B39390" s="31"/>
      <c r="G39390" s="272" t="s">
        <v>1099</v>
      </c>
    </row>
    <row r="39391">
      <c r="B39391" s="31"/>
      <c r="G39391" s="272" t="s">
        <v>1099</v>
      </c>
    </row>
    <row r="39392">
      <c r="B39392" s="31"/>
      <c r="G39392" s="272" t="s">
        <v>1099</v>
      </c>
    </row>
    <row r="39393">
      <c r="B39393" s="31"/>
      <c r="G39393" s="272" t="s">
        <v>1099</v>
      </c>
    </row>
    <row r="39394">
      <c r="B39394" s="31"/>
      <c r="G39394" s="272" t="s">
        <v>1099</v>
      </c>
    </row>
    <row r="39395">
      <c r="B39395" s="31"/>
      <c r="G39395" s="272" t="s">
        <v>1099</v>
      </c>
    </row>
    <row r="39396">
      <c r="B39396" s="31"/>
      <c r="G39396" s="272" t="s">
        <v>1099</v>
      </c>
    </row>
    <row r="39397">
      <c r="B39397" s="31"/>
      <c r="G39397" s="272" t="s">
        <v>1099</v>
      </c>
    </row>
    <row r="39398">
      <c r="B39398" s="31"/>
      <c r="G39398" s="272" t="s">
        <v>1099</v>
      </c>
    </row>
    <row r="39399">
      <c r="B39399" s="31"/>
      <c r="G39399" s="272" t="s">
        <v>1099</v>
      </c>
    </row>
    <row r="39400">
      <c r="B39400" s="31"/>
      <c r="G39400" s="272" t="s">
        <v>1099</v>
      </c>
    </row>
    <row r="39401">
      <c r="B39401" s="31"/>
      <c r="G39401" s="272" t="s">
        <v>1099</v>
      </c>
    </row>
    <row r="39402">
      <c r="B39402" s="31"/>
      <c r="G39402" s="272" t="s">
        <v>1099</v>
      </c>
    </row>
    <row r="39403">
      <c r="B39403" s="31"/>
      <c r="G39403" s="272" t="s">
        <v>1099</v>
      </c>
    </row>
    <row r="39404">
      <c r="B39404" s="31"/>
      <c r="G39404" s="272" t="s">
        <v>1099</v>
      </c>
    </row>
    <row r="39405">
      <c r="B39405" s="31"/>
      <c r="G39405" s="272" t="s">
        <v>1099</v>
      </c>
    </row>
    <row r="39406">
      <c r="B39406" s="31"/>
      <c r="G39406" s="272" t="s">
        <v>1099</v>
      </c>
    </row>
    <row r="39407">
      <c r="B39407" s="31"/>
      <c r="G39407" s="272" t="s">
        <v>1099</v>
      </c>
    </row>
    <row r="39408">
      <c r="B39408" s="31"/>
      <c r="G39408" s="272" t="s">
        <v>1099</v>
      </c>
    </row>
    <row r="39409">
      <c r="B39409" s="31"/>
      <c r="G39409" s="272" t="s">
        <v>1099</v>
      </c>
    </row>
    <row r="39410">
      <c r="B39410" s="31"/>
      <c r="G39410" s="272" t="s">
        <v>1099</v>
      </c>
    </row>
    <row r="39411">
      <c r="B39411" s="31"/>
      <c r="G39411" s="272" t="s">
        <v>1099</v>
      </c>
    </row>
    <row r="39412">
      <c r="B39412" s="31"/>
      <c r="G39412" s="272" t="s">
        <v>1099</v>
      </c>
    </row>
    <row r="39413">
      <c r="B39413" s="31"/>
      <c r="G39413" s="272" t="s">
        <v>1099</v>
      </c>
    </row>
    <row r="39414">
      <c r="B39414" s="31"/>
      <c r="G39414" s="272" t="s">
        <v>1099</v>
      </c>
    </row>
    <row r="39415">
      <c r="B39415" s="31"/>
      <c r="G39415" s="272" t="s">
        <v>1099</v>
      </c>
    </row>
    <row r="39416">
      <c r="B39416" s="31"/>
      <c r="G39416" s="272" t="s">
        <v>1099</v>
      </c>
    </row>
    <row r="39417">
      <c r="B39417" s="31"/>
      <c r="G39417" s="272" t="s">
        <v>1099</v>
      </c>
    </row>
    <row r="39418">
      <c r="B39418" s="31"/>
      <c r="G39418" s="272" t="s">
        <v>1099</v>
      </c>
    </row>
    <row r="39419">
      <c r="B39419" s="31"/>
      <c r="G39419" s="272" t="s">
        <v>1099</v>
      </c>
    </row>
    <row r="39420">
      <c r="B39420" s="31"/>
      <c r="G39420" s="272" t="s">
        <v>1099</v>
      </c>
    </row>
    <row r="39421">
      <c r="B39421" s="31"/>
      <c r="G39421" s="272" t="s">
        <v>1099</v>
      </c>
    </row>
    <row r="39422">
      <c r="B39422" s="31"/>
      <c r="G39422" s="272" t="s">
        <v>1099</v>
      </c>
    </row>
    <row r="39423">
      <c r="B39423" s="31"/>
      <c r="G39423" s="272" t="s">
        <v>1099</v>
      </c>
    </row>
    <row r="39424">
      <c r="B39424" s="31"/>
      <c r="G39424" s="272" t="s">
        <v>1099</v>
      </c>
    </row>
    <row r="39425">
      <c r="B39425" s="31"/>
      <c r="G39425" s="272" t="s">
        <v>1099</v>
      </c>
    </row>
    <row r="39426">
      <c r="B39426" s="31"/>
      <c r="G39426" s="272" t="s">
        <v>1099</v>
      </c>
    </row>
    <row r="39427">
      <c r="B39427" s="31"/>
      <c r="G39427" s="272" t="s">
        <v>1099</v>
      </c>
    </row>
    <row r="39428">
      <c r="B39428" s="31"/>
      <c r="G39428" s="272" t="s">
        <v>1099</v>
      </c>
    </row>
    <row r="39429">
      <c r="B39429" s="31"/>
      <c r="G39429" s="272" t="s">
        <v>1099</v>
      </c>
    </row>
    <row r="39430">
      <c r="B39430" s="31"/>
      <c r="G39430" s="272" t="s">
        <v>1099</v>
      </c>
    </row>
    <row r="39431">
      <c r="B39431" s="31"/>
      <c r="G39431" s="272" t="s">
        <v>1099</v>
      </c>
    </row>
    <row r="39432">
      <c r="B39432" s="31"/>
      <c r="G39432" s="272" t="s">
        <v>1099</v>
      </c>
    </row>
    <row r="39433">
      <c r="B39433" s="31"/>
      <c r="G39433" s="272" t="s">
        <v>1099</v>
      </c>
    </row>
    <row r="39434">
      <c r="B39434" s="31"/>
      <c r="G39434" s="272" t="s">
        <v>1099</v>
      </c>
    </row>
    <row r="39435">
      <c r="B39435" s="31"/>
      <c r="G39435" s="272" t="s">
        <v>1099</v>
      </c>
    </row>
    <row r="39436">
      <c r="B39436" s="31"/>
      <c r="G39436" s="272" t="s">
        <v>1099</v>
      </c>
    </row>
    <row r="39437">
      <c r="B39437" s="31"/>
      <c r="G39437" s="272" t="s">
        <v>1099</v>
      </c>
    </row>
    <row r="39438">
      <c r="B39438" s="31"/>
      <c r="G39438" s="272" t="s">
        <v>1099</v>
      </c>
    </row>
    <row r="39439">
      <c r="B39439" s="31"/>
      <c r="G39439" s="272" t="s">
        <v>1099</v>
      </c>
    </row>
    <row r="39440">
      <c r="B39440" s="31"/>
      <c r="G39440" s="272" t="s">
        <v>1099</v>
      </c>
    </row>
    <row r="39441">
      <c r="B39441" s="31"/>
      <c r="G39441" s="272" t="s">
        <v>1099</v>
      </c>
    </row>
    <row r="39442">
      <c r="B39442" s="31"/>
      <c r="G39442" s="272" t="s">
        <v>1099</v>
      </c>
    </row>
    <row r="39443">
      <c r="B39443" s="31"/>
      <c r="G39443" s="272" t="s">
        <v>1099</v>
      </c>
    </row>
    <row r="39444">
      <c r="B39444" s="31"/>
      <c r="G39444" s="272" t="s">
        <v>1099</v>
      </c>
    </row>
    <row r="39445">
      <c r="B39445" s="31"/>
      <c r="G39445" s="272" t="s">
        <v>1099</v>
      </c>
    </row>
    <row r="39446">
      <c r="B39446" s="31"/>
      <c r="G39446" s="272" t="s">
        <v>1099</v>
      </c>
    </row>
    <row r="39447">
      <c r="B39447" s="31"/>
      <c r="G39447" s="272" t="s">
        <v>1099</v>
      </c>
    </row>
    <row r="39448">
      <c r="B39448" s="31"/>
      <c r="G39448" s="272" t="s">
        <v>1099</v>
      </c>
    </row>
    <row r="39449">
      <c r="B39449" s="31"/>
      <c r="G39449" s="272" t="s">
        <v>1099</v>
      </c>
    </row>
    <row r="39450">
      <c r="B39450" s="31"/>
      <c r="G39450" s="272" t="s">
        <v>1099</v>
      </c>
    </row>
    <row r="39451">
      <c r="B39451" s="31"/>
      <c r="G39451" s="272" t="s">
        <v>1099</v>
      </c>
    </row>
    <row r="39452">
      <c r="B39452" s="31"/>
      <c r="G39452" s="272" t="s">
        <v>1099</v>
      </c>
    </row>
    <row r="39453">
      <c r="B39453" s="31"/>
      <c r="G39453" s="272" t="s">
        <v>1099</v>
      </c>
    </row>
    <row r="39454">
      <c r="B39454" s="31"/>
      <c r="G39454" s="272" t="s">
        <v>1099</v>
      </c>
    </row>
    <row r="39455">
      <c r="B39455" s="31"/>
      <c r="G39455" s="272" t="s">
        <v>1099</v>
      </c>
    </row>
    <row r="39456">
      <c r="B39456" s="31"/>
      <c r="G39456" s="272" t="s">
        <v>1099</v>
      </c>
    </row>
    <row r="39457">
      <c r="B39457" s="31"/>
      <c r="G39457" s="272" t="s">
        <v>1099</v>
      </c>
    </row>
    <row r="39458">
      <c r="B39458" s="31"/>
      <c r="G39458" s="272" t="s">
        <v>1099</v>
      </c>
    </row>
    <row r="39459">
      <c r="B39459" s="31"/>
      <c r="G39459" s="272" t="s">
        <v>1099</v>
      </c>
    </row>
    <row r="39460">
      <c r="B39460" s="31"/>
      <c r="G39460" s="272" t="s">
        <v>1099</v>
      </c>
    </row>
    <row r="39461">
      <c r="B39461" s="31"/>
      <c r="G39461" s="272" t="s">
        <v>1099</v>
      </c>
    </row>
    <row r="39462">
      <c r="B39462" s="31"/>
      <c r="G39462" s="272" t="s">
        <v>1099</v>
      </c>
    </row>
    <row r="39463">
      <c r="B39463" s="31"/>
      <c r="G39463" s="272" t="s">
        <v>1099</v>
      </c>
    </row>
    <row r="39464">
      <c r="B39464" s="31"/>
      <c r="G39464" s="272" t="s">
        <v>1099</v>
      </c>
    </row>
    <row r="39465">
      <c r="B39465" s="31"/>
      <c r="G39465" s="272" t="s">
        <v>1099</v>
      </c>
    </row>
    <row r="39466">
      <c r="B39466" s="31"/>
      <c r="G39466" s="272" t="s">
        <v>1099</v>
      </c>
    </row>
    <row r="39467">
      <c r="B39467" s="31"/>
      <c r="G39467" s="272" t="s">
        <v>1099</v>
      </c>
    </row>
    <row r="39468">
      <c r="B39468" s="31"/>
      <c r="G39468" s="272" t="s">
        <v>1099</v>
      </c>
    </row>
    <row r="39469">
      <c r="B39469" s="31"/>
      <c r="G39469" s="272" t="s">
        <v>1099</v>
      </c>
    </row>
    <row r="39470">
      <c r="B39470" s="31"/>
      <c r="G39470" s="272" t="s">
        <v>1099</v>
      </c>
    </row>
    <row r="39471">
      <c r="B39471" s="31"/>
      <c r="G39471" s="272" t="s">
        <v>1099</v>
      </c>
    </row>
    <row r="39472">
      <c r="B39472" s="31"/>
      <c r="G39472" s="272" t="s">
        <v>1099</v>
      </c>
    </row>
    <row r="39473">
      <c r="B39473" s="31"/>
      <c r="G39473" s="272" t="s">
        <v>1099</v>
      </c>
    </row>
    <row r="39474">
      <c r="B39474" s="31"/>
      <c r="G39474" s="272" t="s">
        <v>1099</v>
      </c>
    </row>
    <row r="39475">
      <c r="B39475" s="31"/>
      <c r="G39475" s="272" t="s">
        <v>1099</v>
      </c>
    </row>
    <row r="39476">
      <c r="B39476" s="31"/>
      <c r="G39476" s="272" t="s">
        <v>1099</v>
      </c>
    </row>
    <row r="39477">
      <c r="B39477" s="31"/>
      <c r="G39477" s="272" t="s">
        <v>1099</v>
      </c>
    </row>
    <row r="39478">
      <c r="B39478" s="31"/>
      <c r="G39478" s="272" t="s">
        <v>1099</v>
      </c>
    </row>
    <row r="39479">
      <c r="B39479" s="31"/>
      <c r="G39479" s="272" t="s">
        <v>1099</v>
      </c>
    </row>
    <row r="39480">
      <c r="B39480" s="31"/>
      <c r="G39480" s="272" t="s">
        <v>1099</v>
      </c>
    </row>
    <row r="39481">
      <c r="B39481" s="31"/>
      <c r="G39481" s="272" t="s">
        <v>1099</v>
      </c>
    </row>
    <row r="39482">
      <c r="B39482" s="31"/>
      <c r="G39482" s="272" t="s">
        <v>1099</v>
      </c>
    </row>
    <row r="39483">
      <c r="B39483" s="31"/>
      <c r="G39483" s="272" t="s">
        <v>1099</v>
      </c>
    </row>
    <row r="39484">
      <c r="B39484" s="31"/>
      <c r="G39484" s="272" t="s">
        <v>1099</v>
      </c>
    </row>
    <row r="39485">
      <c r="B39485" s="31"/>
      <c r="G39485" s="272" t="s">
        <v>1099</v>
      </c>
    </row>
    <row r="39486">
      <c r="B39486" s="31"/>
      <c r="G39486" s="272" t="s">
        <v>1099</v>
      </c>
    </row>
    <row r="39487">
      <c r="B39487" s="31"/>
      <c r="G39487" s="272" t="s">
        <v>1099</v>
      </c>
    </row>
    <row r="39488">
      <c r="B39488" s="31"/>
      <c r="G39488" s="272" t="s">
        <v>1099</v>
      </c>
    </row>
    <row r="39489">
      <c r="B39489" s="31"/>
      <c r="G39489" s="272" t="s">
        <v>1099</v>
      </c>
    </row>
    <row r="39490">
      <c r="B39490" s="31"/>
      <c r="G39490" s="272" t="s">
        <v>1099</v>
      </c>
    </row>
    <row r="39491">
      <c r="B39491" s="31"/>
      <c r="G39491" s="272" t="s">
        <v>1099</v>
      </c>
    </row>
    <row r="39492">
      <c r="B39492" s="31"/>
      <c r="G39492" s="272" t="s">
        <v>1099</v>
      </c>
    </row>
    <row r="39493">
      <c r="B39493" s="31"/>
      <c r="G39493" s="272" t="s">
        <v>1099</v>
      </c>
    </row>
    <row r="39494">
      <c r="B39494" s="31"/>
      <c r="G39494" s="272" t="s">
        <v>1099</v>
      </c>
    </row>
    <row r="39495">
      <c r="B39495" s="31"/>
      <c r="G39495" s="272" t="s">
        <v>1099</v>
      </c>
    </row>
    <row r="39496">
      <c r="B39496" s="31"/>
      <c r="G39496" s="272" t="s">
        <v>1099</v>
      </c>
    </row>
    <row r="39497">
      <c r="B39497" s="31"/>
      <c r="G39497" s="272" t="s">
        <v>1099</v>
      </c>
    </row>
    <row r="39498">
      <c r="B39498" s="31"/>
      <c r="G39498" s="272" t="s">
        <v>1099</v>
      </c>
    </row>
    <row r="39499">
      <c r="B39499" s="31"/>
      <c r="G39499" s="272" t="s">
        <v>1099</v>
      </c>
    </row>
    <row r="39500">
      <c r="B39500" s="31"/>
      <c r="G39500" s="272" t="s">
        <v>1099</v>
      </c>
    </row>
    <row r="39501">
      <c r="B39501" s="31"/>
      <c r="G39501" s="272" t="s">
        <v>1099</v>
      </c>
    </row>
    <row r="39502">
      <c r="B39502" s="31"/>
      <c r="G39502" s="272" t="s">
        <v>1099</v>
      </c>
    </row>
    <row r="39503">
      <c r="B39503" s="31"/>
      <c r="G39503" s="272" t="s">
        <v>1099</v>
      </c>
    </row>
    <row r="39504">
      <c r="B39504" s="31"/>
      <c r="G39504" s="272" t="s">
        <v>1099</v>
      </c>
    </row>
    <row r="39505">
      <c r="B39505" s="31"/>
      <c r="G39505" s="272" t="s">
        <v>1099</v>
      </c>
    </row>
    <row r="39506">
      <c r="B39506" s="31"/>
      <c r="G39506" s="272" t="s">
        <v>1099</v>
      </c>
    </row>
    <row r="39507">
      <c r="B39507" s="31"/>
      <c r="G39507" s="272" t="s">
        <v>1099</v>
      </c>
    </row>
    <row r="39508">
      <c r="B39508" s="31"/>
      <c r="G39508" s="272" t="s">
        <v>1099</v>
      </c>
    </row>
    <row r="39509">
      <c r="B39509" s="31"/>
      <c r="G39509" s="272" t="s">
        <v>1099</v>
      </c>
    </row>
    <row r="39510">
      <c r="B39510" s="31"/>
      <c r="G39510" s="272" t="s">
        <v>1099</v>
      </c>
    </row>
    <row r="39511">
      <c r="B39511" s="31"/>
      <c r="G39511" s="272" t="s">
        <v>1099</v>
      </c>
    </row>
    <row r="39512">
      <c r="B39512" s="31"/>
      <c r="G39512" s="272" t="s">
        <v>1099</v>
      </c>
    </row>
    <row r="39513">
      <c r="B39513" s="31"/>
      <c r="G39513" s="272" t="s">
        <v>1099</v>
      </c>
    </row>
    <row r="39514">
      <c r="B39514" s="31"/>
      <c r="G39514" s="272" t="s">
        <v>1099</v>
      </c>
    </row>
    <row r="39515">
      <c r="B39515" s="31"/>
      <c r="G39515" s="272" t="s">
        <v>1099</v>
      </c>
    </row>
    <row r="39516">
      <c r="B39516" s="31"/>
      <c r="G39516" s="272" t="s">
        <v>1099</v>
      </c>
    </row>
    <row r="39517">
      <c r="B39517" s="31"/>
      <c r="G39517" s="272" t="s">
        <v>1099</v>
      </c>
    </row>
    <row r="39518">
      <c r="B39518" s="31"/>
      <c r="G39518" s="272" t="s">
        <v>1099</v>
      </c>
    </row>
    <row r="39519">
      <c r="B39519" s="31"/>
      <c r="G39519" s="272" t="s">
        <v>1099</v>
      </c>
    </row>
    <row r="39520">
      <c r="B39520" s="31"/>
      <c r="G39520" s="272" t="s">
        <v>1099</v>
      </c>
    </row>
    <row r="39521">
      <c r="B39521" s="31"/>
      <c r="G39521" s="272" t="s">
        <v>1099</v>
      </c>
    </row>
    <row r="39522">
      <c r="B39522" s="31"/>
      <c r="G39522" s="272" t="s">
        <v>1099</v>
      </c>
    </row>
    <row r="39523">
      <c r="B39523" s="31"/>
      <c r="G39523" s="272" t="s">
        <v>1099</v>
      </c>
    </row>
    <row r="39524">
      <c r="B39524" s="31"/>
      <c r="G39524" s="272" t="s">
        <v>1099</v>
      </c>
    </row>
    <row r="39525">
      <c r="B39525" s="31"/>
      <c r="G39525" s="272" t="s">
        <v>1099</v>
      </c>
    </row>
    <row r="39526">
      <c r="B39526" s="31"/>
      <c r="G39526" s="272" t="s">
        <v>1099</v>
      </c>
    </row>
    <row r="39527">
      <c r="B39527" s="31"/>
      <c r="G39527" s="272" t="s">
        <v>1099</v>
      </c>
    </row>
    <row r="39528">
      <c r="B39528" s="31"/>
      <c r="G39528" s="272" t="s">
        <v>1099</v>
      </c>
    </row>
    <row r="39529">
      <c r="B39529" s="31"/>
      <c r="G39529" s="272" t="s">
        <v>1099</v>
      </c>
    </row>
    <row r="39530">
      <c r="B39530" s="31"/>
      <c r="G39530" s="272" t="s">
        <v>1099</v>
      </c>
    </row>
    <row r="39531">
      <c r="B39531" s="31"/>
      <c r="G39531" s="272" t="s">
        <v>1099</v>
      </c>
    </row>
    <row r="39532">
      <c r="B39532" s="31"/>
      <c r="G39532" s="272" t="s">
        <v>1099</v>
      </c>
    </row>
    <row r="39533">
      <c r="B39533" s="31"/>
      <c r="G39533" s="272" t="s">
        <v>1099</v>
      </c>
    </row>
    <row r="39534">
      <c r="B39534" s="31"/>
      <c r="G39534" s="272" t="s">
        <v>1099</v>
      </c>
    </row>
    <row r="39535">
      <c r="B39535" s="31"/>
      <c r="G39535" s="272" t="s">
        <v>1099</v>
      </c>
    </row>
    <row r="39536">
      <c r="B39536" s="31"/>
      <c r="G39536" s="272" t="s">
        <v>1099</v>
      </c>
    </row>
    <row r="39537">
      <c r="B39537" s="31"/>
      <c r="G39537" s="272" t="s">
        <v>1099</v>
      </c>
    </row>
    <row r="39538">
      <c r="B39538" s="31"/>
      <c r="G39538" s="272" t="s">
        <v>1099</v>
      </c>
    </row>
    <row r="39539">
      <c r="B39539" s="31"/>
      <c r="G39539" s="272" t="s">
        <v>1099</v>
      </c>
    </row>
    <row r="39540">
      <c r="B39540" s="31"/>
      <c r="G39540" s="272" t="s">
        <v>1099</v>
      </c>
    </row>
    <row r="39541">
      <c r="B39541" s="31"/>
      <c r="G39541" s="272" t="s">
        <v>1099</v>
      </c>
    </row>
    <row r="39542">
      <c r="B39542" s="31"/>
      <c r="G39542" s="272" t="s">
        <v>1099</v>
      </c>
    </row>
    <row r="39543">
      <c r="B39543" s="31"/>
      <c r="G39543" s="272" t="s">
        <v>1099</v>
      </c>
    </row>
    <row r="39544">
      <c r="B39544" s="31"/>
      <c r="G39544" s="272" t="s">
        <v>1099</v>
      </c>
    </row>
    <row r="39545">
      <c r="B39545" s="31"/>
      <c r="G39545" s="272" t="s">
        <v>1099</v>
      </c>
    </row>
    <row r="39546">
      <c r="B39546" s="31"/>
      <c r="G39546" s="272" t="s">
        <v>1099</v>
      </c>
    </row>
    <row r="39547">
      <c r="B39547" s="31"/>
      <c r="G39547" s="272" t="s">
        <v>1099</v>
      </c>
    </row>
    <row r="39548">
      <c r="B39548" s="31"/>
      <c r="G39548" s="272" t="s">
        <v>1099</v>
      </c>
    </row>
    <row r="39549">
      <c r="B39549" s="31"/>
      <c r="G39549" s="272" t="s">
        <v>1099</v>
      </c>
    </row>
    <row r="39550">
      <c r="B39550" s="31"/>
      <c r="G39550" s="272" t="s">
        <v>1099</v>
      </c>
    </row>
    <row r="39551">
      <c r="B39551" s="31"/>
      <c r="G39551" s="272" t="s">
        <v>1099</v>
      </c>
    </row>
    <row r="39552">
      <c r="B39552" s="31"/>
      <c r="G39552" s="272" t="s">
        <v>1099</v>
      </c>
    </row>
    <row r="39553">
      <c r="B39553" s="31"/>
      <c r="G39553" s="272" t="s">
        <v>1099</v>
      </c>
    </row>
    <row r="39554">
      <c r="B39554" s="31"/>
      <c r="G39554" s="272" t="s">
        <v>1099</v>
      </c>
    </row>
    <row r="39555">
      <c r="B39555" s="31"/>
      <c r="G39555" s="272" t="s">
        <v>1099</v>
      </c>
    </row>
    <row r="39556">
      <c r="B39556" s="31"/>
      <c r="G39556" s="272" t="s">
        <v>1099</v>
      </c>
    </row>
    <row r="39557">
      <c r="B39557" s="31"/>
      <c r="G39557" s="272" t="s">
        <v>1099</v>
      </c>
    </row>
    <row r="39558">
      <c r="B39558" s="31"/>
      <c r="G39558" s="272" t="s">
        <v>1099</v>
      </c>
    </row>
    <row r="39559">
      <c r="B39559" s="31"/>
      <c r="G39559" s="272" t="s">
        <v>1099</v>
      </c>
    </row>
    <row r="39560">
      <c r="B39560" s="31"/>
      <c r="G39560" s="272" t="s">
        <v>1099</v>
      </c>
    </row>
    <row r="39561">
      <c r="B39561" s="31"/>
      <c r="G39561" s="272" t="s">
        <v>1099</v>
      </c>
    </row>
    <row r="39562">
      <c r="B39562" s="31"/>
      <c r="G39562" s="272" t="s">
        <v>1099</v>
      </c>
    </row>
    <row r="39563">
      <c r="B39563" s="31"/>
      <c r="G39563" s="272" t="s">
        <v>1099</v>
      </c>
    </row>
    <row r="39564">
      <c r="B39564" s="31"/>
      <c r="G39564" s="272" t="s">
        <v>1099</v>
      </c>
    </row>
    <row r="39565">
      <c r="B39565" s="31"/>
      <c r="G39565" s="272" t="s">
        <v>1099</v>
      </c>
    </row>
    <row r="39566">
      <c r="B39566" s="31"/>
      <c r="G39566" s="272" t="s">
        <v>1099</v>
      </c>
    </row>
    <row r="39567">
      <c r="B39567" s="31"/>
      <c r="G39567" s="272" t="s">
        <v>1099</v>
      </c>
    </row>
    <row r="39568">
      <c r="B39568" s="31"/>
      <c r="G39568" s="272" t="s">
        <v>1099</v>
      </c>
    </row>
    <row r="39569">
      <c r="B39569" s="31"/>
      <c r="G39569" s="272" t="s">
        <v>1099</v>
      </c>
    </row>
    <row r="39570">
      <c r="B39570" s="31"/>
      <c r="G39570" s="272" t="s">
        <v>1099</v>
      </c>
    </row>
    <row r="39571">
      <c r="B39571" s="31"/>
      <c r="G39571" s="272" t="s">
        <v>1099</v>
      </c>
    </row>
    <row r="39572">
      <c r="B39572" s="31"/>
      <c r="G39572" s="272" t="s">
        <v>1099</v>
      </c>
    </row>
    <row r="39573">
      <c r="B39573" s="31"/>
      <c r="G39573" s="272" t="s">
        <v>1099</v>
      </c>
    </row>
    <row r="39574">
      <c r="B39574" s="31"/>
      <c r="G39574" s="272" t="s">
        <v>1099</v>
      </c>
    </row>
    <row r="39575">
      <c r="B39575" s="31"/>
      <c r="G39575" s="272" t="s">
        <v>1099</v>
      </c>
    </row>
    <row r="39576">
      <c r="B39576" s="31"/>
      <c r="G39576" s="272" t="s">
        <v>1099</v>
      </c>
    </row>
    <row r="39577">
      <c r="B39577" s="31"/>
      <c r="G39577" s="272" t="s">
        <v>1099</v>
      </c>
    </row>
    <row r="39578">
      <c r="B39578" s="31"/>
      <c r="G39578" s="272" t="s">
        <v>1099</v>
      </c>
    </row>
    <row r="39579">
      <c r="B39579" s="31"/>
      <c r="G39579" s="272" t="s">
        <v>1099</v>
      </c>
    </row>
    <row r="39580">
      <c r="B39580" s="31"/>
      <c r="G39580" s="272" t="s">
        <v>1099</v>
      </c>
    </row>
    <row r="39581">
      <c r="B39581" s="31"/>
      <c r="G39581" s="272" t="s">
        <v>1099</v>
      </c>
    </row>
    <row r="39582">
      <c r="B39582" s="31"/>
      <c r="G39582" s="272" t="s">
        <v>1099</v>
      </c>
    </row>
    <row r="39583">
      <c r="B39583" s="31"/>
      <c r="G39583" s="272" t="s">
        <v>1099</v>
      </c>
    </row>
    <row r="39584">
      <c r="B39584" s="31"/>
      <c r="G39584" s="272" t="s">
        <v>1099</v>
      </c>
    </row>
    <row r="39585">
      <c r="B39585" s="31"/>
      <c r="G39585" s="272" t="s">
        <v>1099</v>
      </c>
    </row>
    <row r="39586">
      <c r="B39586" s="31"/>
      <c r="G39586" s="272" t="s">
        <v>1099</v>
      </c>
    </row>
    <row r="39587">
      <c r="B39587" s="31"/>
      <c r="G39587" s="272" t="s">
        <v>1099</v>
      </c>
    </row>
    <row r="39588">
      <c r="B39588" s="31"/>
      <c r="G39588" s="272" t="s">
        <v>1099</v>
      </c>
    </row>
    <row r="39589">
      <c r="B39589" s="31"/>
      <c r="G39589" s="272" t="s">
        <v>1099</v>
      </c>
    </row>
    <row r="39590">
      <c r="B39590" s="31"/>
      <c r="G39590" s="272" t="s">
        <v>1099</v>
      </c>
    </row>
    <row r="39591">
      <c r="B39591" s="31"/>
      <c r="G39591" s="272" t="s">
        <v>1099</v>
      </c>
    </row>
    <row r="39592">
      <c r="B39592" s="31"/>
      <c r="G39592" s="272" t="s">
        <v>1099</v>
      </c>
    </row>
    <row r="39593">
      <c r="B39593" s="31"/>
      <c r="G39593" s="272" t="s">
        <v>1099</v>
      </c>
    </row>
    <row r="39594">
      <c r="B39594" s="31"/>
      <c r="G39594" s="272" t="s">
        <v>1099</v>
      </c>
    </row>
    <row r="39595">
      <c r="B39595" s="31"/>
      <c r="G39595" s="272" t="s">
        <v>1099</v>
      </c>
    </row>
    <row r="39596">
      <c r="B39596" s="31"/>
      <c r="G39596" s="272" t="s">
        <v>1099</v>
      </c>
    </row>
    <row r="39597">
      <c r="B39597" s="31"/>
      <c r="G39597" s="272" t="s">
        <v>1099</v>
      </c>
    </row>
    <row r="39598">
      <c r="B39598" s="31"/>
      <c r="G39598" s="272" t="s">
        <v>1099</v>
      </c>
    </row>
    <row r="39599">
      <c r="B39599" s="31"/>
      <c r="G39599" s="272" t="s">
        <v>1099</v>
      </c>
    </row>
    <row r="39600">
      <c r="B39600" s="31"/>
      <c r="G39600" s="272" t="s">
        <v>1099</v>
      </c>
    </row>
    <row r="39601">
      <c r="B39601" s="31"/>
      <c r="G39601" s="272" t="s">
        <v>1099</v>
      </c>
    </row>
    <row r="39602">
      <c r="B39602" s="31"/>
      <c r="G39602" s="272" t="s">
        <v>1099</v>
      </c>
    </row>
    <row r="39603">
      <c r="B39603" s="31"/>
      <c r="G39603" s="272" t="s">
        <v>1099</v>
      </c>
    </row>
    <row r="39604">
      <c r="B39604" s="31"/>
      <c r="G39604" s="272" t="s">
        <v>1099</v>
      </c>
    </row>
    <row r="39605">
      <c r="B39605" s="31"/>
      <c r="G39605" s="272" t="s">
        <v>1099</v>
      </c>
    </row>
    <row r="39606">
      <c r="B39606" s="31"/>
      <c r="G39606" s="272" t="s">
        <v>1099</v>
      </c>
    </row>
    <row r="39607">
      <c r="B39607" s="31"/>
      <c r="G39607" s="272" t="s">
        <v>1099</v>
      </c>
    </row>
    <row r="39608">
      <c r="B39608" s="31"/>
      <c r="G39608" s="272" t="s">
        <v>1099</v>
      </c>
    </row>
    <row r="39609">
      <c r="B39609" s="31"/>
      <c r="G39609" s="272" t="s">
        <v>1099</v>
      </c>
    </row>
    <row r="39610">
      <c r="B39610" s="31"/>
      <c r="G39610" s="272" t="s">
        <v>1099</v>
      </c>
    </row>
    <row r="39611">
      <c r="B39611" s="31"/>
      <c r="G39611" s="272" t="s">
        <v>1099</v>
      </c>
    </row>
    <row r="39612">
      <c r="B39612" s="31"/>
      <c r="G39612" s="272" t="s">
        <v>1099</v>
      </c>
    </row>
    <row r="39613">
      <c r="B39613" s="31"/>
      <c r="G39613" s="272" t="s">
        <v>1099</v>
      </c>
    </row>
    <row r="39614">
      <c r="B39614" s="31"/>
      <c r="G39614" s="272" t="s">
        <v>1099</v>
      </c>
    </row>
    <row r="39615">
      <c r="B39615" s="31"/>
      <c r="G39615" s="272" t="s">
        <v>1099</v>
      </c>
    </row>
    <row r="39616">
      <c r="B39616" s="31"/>
      <c r="G39616" s="272" t="s">
        <v>1099</v>
      </c>
    </row>
    <row r="39617">
      <c r="B39617" s="31"/>
      <c r="G39617" s="272" t="s">
        <v>1099</v>
      </c>
    </row>
    <row r="39618">
      <c r="B39618" s="31"/>
      <c r="G39618" s="272" t="s">
        <v>1099</v>
      </c>
    </row>
    <row r="39619">
      <c r="B39619" s="31"/>
      <c r="G39619" s="272" t="s">
        <v>1099</v>
      </c>
    </row>
    <row r="39620">
      <c r="B39620" s="31"/>
      <c r="G39620" s="272" t="s">
        <v>1099</v>
      </c>
    </row>
    <row r="39621">
      <c r="B39621" s="31"/>
      <c r="G39621" s="272" t="s">
        <v>1099</v>
      </c>
    </row>
    <row r="39622">
      <c r="B39622" s="31"/>
      <c r="G39622" s="272" t="s">
        <v>1099</v>
      </c>
    </row>
    <row r="39623">
      <c r="B39623" s="31"/>
      <c r="G39623" s="272" t="s">
        <v>1099</v>
      </c>
    </row>
    <row r="39624">
      <c r="B39624" s="31"/>
      <c r="G39624" s="272" t="s">
        <v>1099</v>
      </c>
    </row>
    <row r="39625">
      <c r="B39625" s="31"/>
      <c r="G39625" s="272" t="s">
        <v>1099</v>
      </c>
    </row>
    <row r="39626">
      <c r="B39626" s="31"/>
      <c r="G39626" s="272" t="s">
        <v>1099</v>
      </c>
    </row>
    <row r="39627">
      <c r="B39627" s="31"/>
      <c r="G39627" s="272" t="s">
        <v>1099</v>
      </c>
    </row>
    <row r="39628">
      <c r="B39628" s="31"/>
      <c r="G39628" s="272" t="s">
        <v>1099</v>
      </c>
    </row>
    <row r="39629">
      <c r="B39629" s="31"/>
      <c r="G39629" s="272" t="s">
        <v>1099</v>
      </c>
    </row>
    <row r="39630">
      <c r="B39630" s="31"/>
      <c r="G39630" s="272" t="s">
        <v>1099</v>
      </c>
    </row>
    <row r="39631">
      <c r="B39631" s="31"/>
      <c r="G39631" s="272" t="s">
        <v>1099</v>
      </c>
    </row>
    <row r="39632">
      <c r="B39632" s="31"/>
      <c r="G39632" s="272" t="s">
        <v>1099</v>
      </c>
    </row>
    <row r="39633">
      <c r="B39633" s="31"/>
      <c r="G39633" s="272" t="s">
        <v>1099</v>
      </c>
    </row>
    <row r="39634">
      <c r="B39634" s="31"/>
      <c r="G39634" s="272" t="s">
        <v>1099</v>
      </c>
    </row>
    <row r="39635">
      <c r="B39635" s="31"/>
      <c r="G39635" s="272" t="s">
        <v>1099</v>
      </c>
    </row>
    <row r="39636">
      <c r="B39636" s="31"/>
      <c r="G39636" s="272" t="s">
        <v>1099</v>
      </c>
    </row>
    <row r="39637">
      <c r="B39637" s="31"/>
      <c r="G39637" s="272" t="s">
        <v>1099</v>
      </c>
    </row>
    <row r="39638">
      <c r="B39638" s="31"/>
      <c r="G39638" s="272" t="s">
        <v>1099</v>
      </c>
    </row>
    <row r="39639">
      <c r="B39639" s="31"/>
      <c r="G39639" s="272" t="s">
        <v>1099</v>
      </c>
    </row>
    <row r="39640">
      <c r="B39640" s="31"/>
      <c r="G39640" s="272" t="s">
        <v>1099</v>
      </c>
    </row>
    <row r="39641">
      <c r="B39641" s="31"/>
      <c r="G39641" s="272" t="s">
        <v>1099</v>
      </c>
    </row>
    <row r="39642">
      <c r="B39642" s="31"/>
      <c r="G39642" s="272" t="s">
        <v>1099</v>
      </c>
    </row>
    <row r="39643">
      <c r="B39643" s="31"/>
      <c r="G39643" s="272" t="s">
        <v>1099</v>
      </c>
    </row>
    <row r="39644">
      <c r="B39644" s="31"/>
      <c r="G39644" s="272" t="s">
        <v>1099</v>
      </c>
    </row>
    <row r="39645">
      <c r="B39645" s="31"/>
      <c r="G39645" s="272" t="s">
        <v>1099</v>
      </c>
    </row>
    <row r="39646">
      <c r="B39646" s="31"/>
      <c r="G39646" s="272" t="s">
        <v>1099</v>
      </c>
    </row>
    <row r="39647">
      <c r="B39647" s="31"/>
      <c r="G39647" s="272" t="s">
        <v>1099</v>
      </c>
    </row>
    <row r="39648">
      <c r="B39648" s="31"/>
      <c r="G39648" s="272" t="s">
        <v>1099</v>
      </c>
    </row>
    <row r="39649">
      <c r="B39649" s="31"/>
      <c r="G39649" s="272" t="s">
        <v>1099</v>
      </c>
    </row>
    <row r="39650">
      <c r="B39650" s="31"/>
      <c r="G39650" s="272" t="s">
        <v>1099</v>
      </c>
    </row>
    <row r="39651">
      <c r="B39651" s="31"/>
      <c r="G39651" s="272" t="s">
        <v>1099</v>
      </c>
    </row>
    <row r="39652">
      <c r="B39652" s="31"/>
      <c r="G39652" s="272" t="s">
        <v>1099</v>
      </c>
    </row>
    <row r="39653">
      <c r="B39653" s="31"/>
      <c r="G39653" s="272" t="s">
        <v>1099</v>
      </c>
    </row>
    <row r="39654">
      <c r="B39654" s="31"/>
      <c r="G39654" s="272" t="s">
        <v>1099</v>
      </c>
    </row>
    <row r="39655">
      <c r="B39655" s="31"/>
      <c r="G39655" s="272" t="s">
        <v>1099</v>
      </c>
    </row>
    <row r="39656">
      <c r="B39656" s="31"/>
      <c r="G39656" s="272" t="s">
        <v>1099</v>
      </c>
    </row>
    <row r="39657">
      <c r="B39657" s="31"/>
      <c r="G39657" s="272" t="s">
        <v>1099</v>
      </c>
    </row>
    <row r="39658">
      <c r="B39658" s="31"/>
      <c r="G39658" s="272" t="s">
        <v>1099</v>
      </c>
    </row>
    <row r="39659">
      <c r="B39659" s="31"/>
      <c r="G39659" s="272" t="s">
        <v>1099</v>
      </c>
    </row>
    <row r="39660">
      <c r="B39660" s="31"/>
      <c r="G39660" s="272" t="s">
        <v>1099</v>
      </c>
    </row>
    <row r="39661">
      <c r="B39661" s="31"/>
      <c r="G39661" s="272" t="s">
        <v>1099</v>
      </c>
    </row>
    <row r="39662">
      <c r="B39662" s="31"/>
      <c r="G39662" s="272" t="s">
        <v>1099</v>
      </c>
    </row>
    <row r="39663">
      <c r="B39663" s="31"/>
      <c r="G39663" s="272" t="s">
        <v>1099</v>
      </c>
    </row>
    <row r="39664">
      <c r="B39664" s="31"/>
      <c r="G39664" s="272" t="s">
        <v>1099</v>
      </c>
    </row>
    <row r="39665">
      <c r="B39665" s="31"/>
      <c r="G39665" s="272" t="s">
        <v>1099</v>
      </c>
    </row>
    <row r="39666">
      <c r="B39666" s="31"/>
      <c r="G39666" s="272" t="s">
        <v>1099</v>
      </c>
    </row>
    <row r="39667">
      <c r="B39667" s="31"/>
      <c r="G39667" s="272" t="s">
        <v>1099</v>
      </c>
    </row>
    <row r="39668">
      <c r="B39668" s="31"/>
      <c r="G39668" s="272" t="s">
        <v>1099</v>
      </c>
    </row>
    <row r="39669">
      <c r="B39669" s="31"/>
      <c r="G39669" s="272" t="s">
        <v>1099</v>
      </c>
    </row>
    <row r="39670">
      <c r="B39670" s="31"/>
      <c r="G39670" s="272" t="s">
        <v>1099</v>
      </c>
    </row>
    <row r="39671">
      <c r="B39671" s="31"/>
      <c r="G39671" s="272" t="s">
        <v>1099</v>
      </c>
    </row>
    <row r="39672">
      <c r="B39672" s="31"/>
      <c r="G39672" s="272" t="s">
        <v>1099</v>
      </c>
    </row>
    <row r="39673">
      <c r="B39673" s="31"/>
      <c r="G39673" s="272" t="s">
        <v>1099</v>
      </c>
    </row>
    <row r="39674">
      <c r="B39674" s="31"/>
      <c r="G39674" s="272" t="s">
        <v>1099</v>
      </c>
    </row>
    <row r="39675">
      <c r="B39675" s="31"/>
      <c r="G39675" s="272" t="s">
        <v>1099</v>
      </c>
    </row>
    <row r="39676">
      <c r="B39676" s="31"/>
      <c r="G39676" s="272" t="s">
        <v>1099</v>
      </c>
    </row>
    <row r="39677">
      <c r="B39677" s="31"/>
      <c r="G39677" s="272" t="s">
        <v>1099</v>
      </c>
    </row>
    <row r="39678">
      <c r="B39678" s="31"/>
      <c r="G39678" s="272" t="s">
        <v>1099</v>
      </c>
    </row>
    <row r="39679">
      <c r="B39679" s="31"/>
      <c r="G39679" s="272" t="s">
        <v>1099</v>
      </c>
    </row>
    <row r="39680">
      <c r="B39680" s="31"/>
      <c r="G39680" s="272" t="s">
        <v>1099</v>
      </c>
    </row>
    <row r="39681">
      <c r="B39681" s="31"/>
      <c r="G39681" s="272" t="s">
        <v>1099</v>
      </c>
    </row>
    <row r="39682">
      <c r="B39682" s="31"/>
      <c r="G39682" s="272" t="s">
        <v>1099</v>
      </c>
    </row>
    <row r="39683">
      <c r="B39683" s="31"/>
      <c r="G39683" s="272" t="s">
        <v>1099</v>
      </c>
    </row>
    <row r="39684">
      <c r="B39684" s="31"/>
      <c r="G39684" s="272" t="s">
        <v>1099</v>
      </c>
    </row>
    <row r="39685">
      <c r="B39685" s="31"/>
      <c r="G39685" s="272" t="s">
        <v>1099</v>
      </c>
    </row>
    <row r="39686">
      <c r="B39686" s="31"/>
      <c r="G39686" s="272" t="s">
        <v>1099</v>
      </c>
    </row>
    <row r="39687">
      <c r="B39687" s="31"/>
      <c r="G39687" s="272" t="s">
        <v>1099</v>
      </c>
    </row>
    <row r="39688">
      <c r="B39688" s="31"/>
      <c r="G39688" s="272" t="s">
        <v>1099</v>
      </c>
    </row>
    <row r="39689">
      <c r="B39689" s="31"/>
      <c r="G39689" s="272" t="s">
        <v>1099</v>
      </c>
    </row>
    <row r="39690">
      <c r="B39690" s="31"/>
      <c r="G39690" s="272" t="s">
        <v>1099</v>
      </c>
    </row>
    <row r="39691">
      <c r="B39691" s="31"/>
      <c r="G39691" s="272" t="s">
        <v>1099</v>
      </c>
    </row>
    <row r="39692">
      <c r="B39692" s="31"/>
      <c r="G39692" s="272" t="s">
        <v>1099</v>
      </c>
    </row>
    <row r="39693">
      <c r="B39693" s="31"/>
      <c r="G39693" s="272" t="s">
        <v>1099</v>
      </c>
    </row>
    <row r="39694">
      <c r="B39694" s="31"/>
      <c r="G39694" s="272" t="s">
        <v>1099</v>
      </c>
    </row>
    <row r="39695">
      <c r="B39695" s="31"/>
      <c r="G39695" s="272" t="s">
        <v>1099</v>
      </c>
    </row>
    <row r="39696">
      <c r="B39696" s="31"/>
      <c r="G39696" s="272" t="s">
        <v>1099</v>
      </c>
    </row>
    <row r="39697">
      <c r="B39697" s="31"/>
      <c r="G39697" s="272" t="s">
        <v>1099</v>
      </c>
    </row>
    <row r="39698">
      <c r="B39698" s="31"/>
      <c r="G39698" s="272" t="s">
        <v>1099</v>
      </c>
    </row>
    <row r="39699">
      <c r="B39699" s="31"/>
      <c r="G39699" s="272" t="s">
        <v>1099</v>
      </c>
    </row>
    <row r="39700">
      <c r="B39700" s="31"/>
      <c r="G39700" s="272" t="s">
        <v>1099</v>
      </c>
    </row>
    <row r="39701">
      <c r="B39701" s="31"/>
      <c r="G39701" s="272" t="s">
        <v>1099</v>
      </c>
    </row>
    <row r="39702">
      <c r="B39702" s="31"/>
      <c r="G39702" s="272" t="s">
        <v>1099</v>
      </c>
    </row>
    <row r="39703">
      <c r="B39703" s="31"/>
      <c r="G39703" s="272" t="s">
        <v>1099</v>
      </c>
    </row>
    <row r="39704">
      <c r="B39704" s="31"/>
      <c r="G39704" s="272" t="s">
        <v>1099</v>
      </c>
    </row>
    <row r="39705">
      <c r="B39705" s="31"/>
      <c r="G39705" s="272" t="s">
        <v>1099</v>
      </c>
    </row>
    <row r="39706">
      <c r="B39706" s="31"/>
      <c r="G39706" s="272" t="s">
        <v>1099</v>
      </c>
    </row>
    <row r="39707">
      <c r="B39707" s="31"/>
      <c r="G39707" s="272" t="s">
        <v>1099</v>
      </c>
    </row>
    <row r="39708">
      <c r="B39708" s="31"/>
      <c r="G39708" s="272" t="s">
        <v>1099</v>
      </c>
    </row>
    <row r="39709">
      <c r="B39709" s="31"/>
      <c r="G39709" s="272" t="s">
        <v>1099</v>
      </c>
    </row>
    <row r="39710">
      <c r="B39710" s="31"/>
      <c r="G39710" s="272" t="s">
        <v>1099</v>
      </c>
    </row>
    <row r="39711">
      <c r="B39711" s="31"/>
      <c r="G39711" s="272" t="s">
        <v>1099</v>
      </c>
    </row>
    <row r="39712">
      <c r="B39712" s="31"/>
      <c r="G39712" s="272" t="s">
        <v>1099</v>
      </c>
    </row>
    <row r="39713">
      <c r="B39713" s="31"/>
      <c r="G39713" s="272" t="s">
        <v>1099</v>
      </c>
    </row>
    <row r="39714">
      <c r="B39714" s="31"/>
      <c r="G39714" s="272" t="s">
        <v>1099</v>
      </c>
    </row>
    <row r="39715">
      <c r="B39715" s="31"/>
      <c r="G39715" s="272" t="s">
        <v>1099</v>
      </c>
    </row>
    <row r="39716">
      <c r="B39716" s="31"/>
      <c r="G39716" s="272" t="s">
        <v>1099</v>
      </c>
    </row>
    <row r="39717">
      <c r="B39717" s="31"/>
      <c r="G39717" s="272" t="s">
        <v>1099</v>
      </c>
    </row>
    <row r="39718">
      <c r="B39718" s="31"/>
      <c r="G39718" s="272" t="s">
        <v>1099</v>
      </c>
    </row>
    <row r="39719">
      <c r="B39719" s="31"/>
      <c r="G39719" s="272" t="s">
        <v>1099</v>
      </c>
    </row>
    <row r="39720">
      <c r="B39720" s="31"/>
      <c r="G39720" s="272" t="s">
        <v>1099</v>
      </c>
    </row>
    <row r="39721">
      <c r="B39721" s="31"/>
      <c r="G39721" s="272" t="s">
        <v>1099</v>
      </c>
    </row>
    <row r="39722">
      <c r="B39722" s="31"/>
      <c r="G39722" s="272" t="s">
        <v>1099</v>
      </c>
    </row>
    <row r="39723">
      <c r="B39723" s="31"/>
      <c r="G39723" s="272" t="s">
        <v>1099</v>
      </c>
    </row>
    <row r="39724">
      <c r="B39724" s="31"/>
      <c r="G39724" s="272" t="s">
        <v>1099</v>
      </c>
    </row>
    <row r="39725">
      <c r="B39725" s="31"/>
      <c r="G39725" s="272" t="s">
        <v>1099</v>
      </c>
    </row>
    <row r="39726">
      <c r="B39726" s="31"/>
      <c r="G39726" s="272" t="s">
        <v>1099</v>
      </c>
    </row>
    <row r="39727">
      <c r="B39727" s="31"/>
      <c r="G39727" s="272" t="s">
        <v>1099</v>
      </c>
    </row>
    <row r="39728">
      <c r="B39728" s="31"/>
      <c r="G39728" s="272" t="s">
        <v>1099</v>
      </c>
    </row>
    <row r="39729">
      <c r="B39729" s="31"/>
      <c r="G39729" s="272" t="s">
        <v>1099</v>
      </c>
    </row>
    <row r="39730">
      <c r="B39730" s="31"/>
      <c r="G39730" s="272" t="s">
        <v>1099</v>
      </c>
    </row>
    <row r="39731">
      <c r="B39731" s="31"/>
      <c r="G39731" s="272" t="s">
        <v>1099</v>
      </c>
    </row>
    <row r="39732">
      <c r="B39732" s="31"/>
      <c r="G39732" s="272" t="s">
        <v>1099</v>
      </c>
    </row>
    <row r="39733">
      <c r="B39733" s="31"/>
      <c r="G39733" s="272" t="s">
        <v>1099</v>
      </c>
    </row>
    <row r="39734">
      <c r="B39734" s="31"/>
      <c r="G39734" s="272" t="s">
        <v>1099</v>
      </c>
    </row>
    <row r="39735">
      <c r="B39735" s="31"/>
      <c r="G39735" s="272" t="s">
        <v>1099</v>
      </c>
    </row>
    <row r="39736">
      <c r="B39736" s="31"/>
      <c r="G39736" s="272" t="s">
        <v>1099</v>
      </c>
    </row>
    <row r="39737">
      <c r="B39737" s="31"/>
      <c r="G39737" s="272" t="s">
        <v>1099</v>
      </c>
    </row>
    <row r="39738">
      <c r="B39738" s="31"/>
      <c r="G39738" s="272" t="s">
        <v>1099</v>
      </c>
    </row>
    <row r="39739">
      <c r="B39739" s="31"/>
      <c r="G39739" s="272" t="s">
        <v>1099</v>
      </c>
    </row>
    <row r="39740">
      <c r="B39740" s="31"/>
      <c r="G39740" s="272" t="s">
        <v>1099</v>
      </c>
    </row>
    <row r="39741">
      <c r="B39741" s="31"/>
      <c r="G39741" s="272" t="s">
        <v>1099</v>
      </c>
    </row>
    <row r="39742">
      <c r="B39742" s="31"/>
      <c r="G39742" s="272" t="s">
        <v>1099</v>
      </c>
    </row>
    <row r="39743">
      <c r="B39743" s="31"/>
      <c r="G39743" s="272" t="s">
        <v>1099</v>
      </c>
    </row>
    <row r="39744">
      <c r="B39744" s="31"/>
      <c r="G39744" s="272" t="s">
        <v>1099</v>
      </c>
    </row>
    <row r="39745">
      <c r="B39745" s="31"/>
      <c r="G39745" s="272" t="s">
        <v>1099</v>
      </c>
    </row>
    <row r="39746">
      <c r="B39746" s="31"/>
      <c r="G39746" s="272" t="s">
        <v>1099</v>
      </c>
    </row>
    <row r="39747">
      <c r="B39747" s="31"/>
      <c r="G39747" s="272" t="s">
        <v>1099</v>
      </c>
    </row>
    <row r="39748">
      <c r="B39748" s="31"/>
      <c r="G39748" s="272" t="s">
        <v>1099</v>
      </c>
    </row>
    <row r="39749">
      <c r="B39749" s="31"/>
      <c r="G39749" s="272" t="s">
        <v>1099</v>
      </c>
    </row>
    <row r="39750">
      <c r="B39750" s="31"/>
      <c r="G39750" s="272" t="s">
        <v>1099</v>
      </c>
    </row>
    <row r="39751">
      <c r="B39751" s="31"/>
      <c r="G39751" s="272" t="s">
        <v>1099</v>
      </c>
    </row>
    <row r="39752">
      <c r="B39752" s="31"/>
      <c r="G39752" s="272" t="s">
        <v>1099</v>
      </c>
    </row>
    <row r="39753">
      <c r="B39753" s="31"/>
      <c r="G39753" s="272" t="s">
        <v>1099</v>
      </c>
    </row>
    <row r="39754">
      <c r="B39754" s="31"/>
      <c r="G39754" s="272" t="s">
        <v>1099</v>
      </c>
    </row>
    <row r="39755">
      <c r="B39755" s="31"/>
      <c r="G39755" s="272" t="s">
        <v>1099</v>
      </c>
    </row>
    <row r="39756">
      <c r="B39756" s="31"/>
      <c r="G39756" s="272" t="s">
        <v>1099</v>
      </c>
    </row>
    <row r="39757">
      <c r="B39757" s="31"/>
      <c r="G39757" s="272" t="s">
        <v>1099</v>
      </c>
    </row>
    <row r="39758">
      <c r="B39758" s="31"/>
      <c r="G39758" s="272" t="s">
        <v>1099</v>
      </c>
    </row>
    <row r="39759">
      <c r="B39759" s="31"/>
      <c r="G39759" s="272" t="s">
        <v>1099</v>
      </c>
    </row>
    <row r="39760">
      <c r="B39760" s="31"/>
      <c r="G39760" s="272" t="s">
        <v>1099</v>
      </c>
    </row>
    <row r="39761">
      <c r="B39761" s="31"/>
      <c r="G39761" s="272" t="s">
        <v>1099</v>
      </c>
    </row>
    <row r="39762">
      <c r="B39762" s="31"/>
      <c r="G39762" s="272" t="s">
        <v>1099</v>
      </c>
    </row>
    <row r="39763">
      <c r="B39763" s="31"/>
      <c r="G39763" s="272" t="s">
        <v>1099</v>
      </c>
    </row>
    <row r="39764">
      <c r="B39764" s="31"/>
      <c r="G39764" s="272" t="s">
        <v>1099</v>
      </c>
    </row>
    <row r="39765">
      <c r="B39765" s="31"/>
      <c r="G39765" s="272" t="s">
        <v>1099</v>
      </c>
    </row>
    <row r="39766">
      <c r="B39766" s="31"/>
      <c r="G39766" s="272" t="s">
        <v>1099</v>
      </c>
    </row>
    <row r="39767">
      <c r="B39767" s="31"/>
      <c r="G39767" s="272" t="s">
        <v>1099</v>
      </c>
    </row>
    <row r="39768">
      <c r="B39768" s="31"/>
      <c r="G39768" s="272" t="s">
        <v>1099</v>
      </c>
    </row>
    <row r="39769">
      <c r="B39769" s="31"/>
      <c r="G39769" s="272" t="s">
        <v>1099</v>
      </c>
    </row>
    <row r="39770">
      <c r="B39770" s="31"/>
      <c r="G39770" s="272" t="s">
        <v>1099</v>
      </c>
    </row>
    <row r="39771">
      <c r="B39771" s="31"/>
      <c r="G39771" s="272" t="s">
        <v>1099</v>
      </c>
    </row>
    <row r="39772">
      <c r="B39772" s="31"/>
      <c r="G39772" s="272" t="s">
        <v>1099</v>
      </c>
    </row>
    <row r="39773">
      <c r="B39773" s="31"/>
      <c r="G39773" s="272" t="s">
        <v>1099</v>
      </c>
    </row>
    <row r="39774">
      <c r="B39774" s="31"/>
      <c r="G39774" s="272" t="s">
        <v>1099</v>
      </c>
    </row>
    <row r="39775">
      <c r="B39775" s="31"/>
      <c r="G39775" s="272" t="s">
        <v>1099</v>
      </c>
    </row>
    <row r="39776">
      <c r="B39776" s="31"/>
      <c r="G39776" s="272" t="s">
        <v>1099</v>
      </c>
    </row>
    <row r="39777">
      <c r="B39777" s="31"/>
      <c r="G39777" s="272" t="s">
        <v>1099</v>
      </c>
    </row>
    <row r="39778">
      <c r="B39778" s="31"/>
      <c r="G39778" s="272" t="s">
        <v>1099</v>
      </c>
    </row>
    <row r="39779">
      <c r="B39779" s="31"/>
      <c r="G39779" s="272" t="s">
        <v>1099</v>
      </c>
    </row>
    <row r="39780">
      <c r="B39780" s="31"/>
      <c r="G39780" s="272" t="s">
        <v>1099</v>
      </c>
    </row>
    <row r="39781">
      <c r="B39781" s="31"/>
      <c r="G39781" s="272" t="s">
        <v>1099</v>
      </c>
    </row>
    <row r="39782">
      <c r="B39782" s="31"/>
      <c r="G39782" s="272" t="s">
        <v>1099</v>
      </c>
    </row>
    <row r="39783">
      <c r="B39783" s="31"/>
      <c r="G39783" s="272" t="s">
        <v>1099</v>
      </c>
    </row>
    <row r="39784">
      <c r="B39784" s="31"/>
      <c r="G39784" s="272" t="s">
        <v>1099</v>
      </c>
    </row>
    <row r="39785">
      <c r="B39785" s="31"/>
      <c r="G39785" s="272" t="s">
        <v>1099</v>
      </c>
    </row>
    <row r="39786">
      <c r="B39786" s="31"/>
      <c r="G39786" s="272" t="s">
        <v>1099</v>
      </c>
    </row>
    <row r="39787">
      <c r="B39787" s="31"/>
      <c r="G39787" s="272" t="s">
        <v>1099</v>
      </c>
    </row>
    <row r="39788">
      <c r="B39788" s="31"/>
      <c r="G39788" s="272" t="s">
        <v>1099</v>
      </c>
    </row>
    <row r="39789">
      <c r="B39789" s="31"/>
      <c r="G39789" s="272" t="s">
        <v>1099</v>
      </c>
    </row>
    <row r="39790">
      <c r="B39790" s="31"/>
      <c r="G39790" s="272" t="s">
        <v>1099</v>
      </c>
    </row>
    <row r="39791">
      <c r="B39791" s="31"/>
      <c r="G39791" s="272" t="s">
        <v>1099</v>
      </c>
    </row>
    <row r="39792">
      <c r="B39792" s="31"/>
      <c r="G39792" s="272" t="s">
        <v>1099</v>
      </c>
    </row>
    <row r="39793">
      <c r="B39793" s="31"/>
      <c r="G39793" s="272" t="s">
        <v>1099</v>
      </c>
    </row>
    <row r="39794">
      <c r="B39794" s="31"/>
      <c r="G39794" s="272" t="s">
        <v>1099</v>
      </c>
    </row>
    <row r="39795">
      <c r="B39795" s="31"/>
      <c r="G39795" s="272" t="s">
        <v>1099</v>
      </c>
    </row>
    <row r="39796">
      <c r="B39796" s="31"/>
      <c r="G39796" s="272" t="s">
        <v>1099</v>
      </c>
    </row>
    <row r="39797">
      <c r="B39797" s="31"/>
      <c r="G39797" s="272" t="s">
        <v>1099</v>
      </c>
    </row>
    <row r="39798">
      <c r="B39798" s="31"/>
      <c r="G39798" s="272" t="s">
        <v>1099</v>
      </c>
    </row>
    <row r="39799">
      <c r="B39799" s="31"/>
      <c r="G39799" s="272" t="s">
        <v>1099</v>
      </c>
    </row>
    <row r="39800">
      <c r="B39800" s="31"/>
      <c r="G39800" s="272" t="s">
        <v>1099</v>
      </c>
    </row>
    <row r="39801">
      <c r="B39801" s="31"/>
      <c r="G39801" s="272" t="s">
        <v>1099</v>
      </c>
    </row>
    <row r="39802">
      <c r="B39802" s="31"/>
      <c r="G39802" s="272" t="s">
        <v>1099</v>
      </c>
    </row>
    <row r="39803">
      <c r="B39803" s="31"/>
      <c r="G39803" s="272" t="s">
        <v>1099</v>
      </c>
    </row>
    <row r="39804">
      <c r="B39804" s="31"/>
      <c r="G39804" s="272" t="s">
        <v>1099</v>
      </c>
    </row>
    <row r="39805">
      <c r="B39805" s="31"/>
      <c r="G39805" s="272" t="s">
        <v>1099</v>
      </c>
    </row>
    <row r="39806">
      <c r="B39806" s="31"/>
      <c r="G39806" s="272" t="s">
        <v>1099</v>
      </c>
    </row>
    <row r="39807">
      <c r="B39807" s="31"/>
      <c r="G39807" s="272" t="s">
        <v>1099</v>
      </c>
    </row>
    <row r="39808">
      <c r="B39808" s="31"/>
      <c r="G39808" s="272" t="s">
        <v>1099</v>
      </c>
    </row>
    <row r="39809">
      <c r="B39809" s="31"/>
      <c r="G39809" s="272" t="s">
        <v>1099</v>
      </c>
    </row>
    <row r="39810">
      <c r="B39810" s="31"/>
      <c r="G39810" s="272" t="s">
        <v>1099</v>
      </c>
    </row>
    <row r="39811">
      <c r="B39811" s="31"/>
      <c r="G39811" s="272" t="s">
        <v>1099</v>
      </c>
    </row>
    <row r="39812">
      <c r="B39812" s="31"/>
      <c r="G39812" s="272" t="s">
        <v>1099</v>
      </c>
    </row>
    <row r="39813">
      <c r="B39813" s="31"/>
      <c r="G39813" s="272" t="s">
        <v>1099</v>
      </c>
    </row>
    <row r="39814">
      <c r="B39814" s="31"/>
      <c r="G39814" s="272" t="s">
        <v>1099</v>
      </c>
    </row>
    <row r="39815">
      <c r="B39815" s="31"/>
      <c r="G39815" s="272" t="s">
        <v>1099</v>
      </c>
    </row>
    <row r="39816">
      <c r="B39816" s="31"/>
      <c r="G39816" s="272" t="s">
        <v>1099</v>
      </c>
    </row>
    <row r="39817">
      <c r="B39817" s="31"/>
      <c r="G39817" s="272" t="s">
        <v>1099</v>
      </c>
    </row>
    <row r="39818">
      <c r="B39818" s="31"/>
      <c r="G39818" s="272" t="s">
        <v>1099</v>
      </c>
    </row>
    <row r="39819">
      <c r="B39819" s="31"/>
      <c r="G39819" s="272" t="s">
        <v>1099</v>
      </c>
    </row>
    <row r="39820">
      <c r="B39820" s="31"/>
      <c r="G39820" s="272" t="s">
        <v>1099</v>
      </c>
    </row>
    <row r="39821">
      <c r="B39821" s="31"/>
      <c r="G39821" s="272" t="s">
        <v>1099</v>
      </c>
    </row>
    <row r="39822">
      <c r="B39822" s="31"/>
      <c r="G39822" s="272" t="s">
        <v>1099</v>
      </c>
    </row>
    <row r="39823">
      <c r="B39823" s="31"/>
      <c r="G39823" s="272" t="s">
        <v>1099</v>
      </c>
    </row>
    <row r="39824">
      <c r="B39824" s="31"/>
      <c r="G39824" s="272" t="s">
        <v>1099</v>
      </c>
    </row>
    <row r="39825">
      <c r="B39825" s="31"/>
      <c r="G39825" s="272" t="s">
        <v>1099</v>
      </c>
    </row>
    <row r="39826">
      <c r="B39826" s="31"/>
      <c r="G39826" s="272" t="s">
        <v>1099</v>
      </c>
    </row>
    <row r="39827">
      <c r="B39827" s="31"/>
      <c r="G39827" s="272" t="s">
        <v>1099</v>
      </c>
    </row>
    <row r="39828">
      <c r="B39828" s="31"/>
      <c r="G39828" s="272" t="s">
        <v>1099</v>
      </c>
    </row>
    <row r="39829">
      <c r="B39829" s="31"/>
      <c r="G39829" s="272" t="s">
        <v>1099</v>
      </c>
    </row>
    <row r="39830">
      <c r="B39830" s="31"/>
      <c r="G39830" s="272" t="s">
        <v>1099</v>
      </c>
    </row>
    <row r="39831">
      <c r="B39831" s="31"/>
      <c r="G39831" s="272" t="s">
        <v>1099</v>
      </c>
    </row>
    <row r="39832">
      <c r="B39832" s="31"/>
      <c r="G39832" s="272" t="s">
        <v>1099</v>
      </c>
    </row>
    <row r="39833">
      <c r="B39833" s="31"/>
      <c r="G39833" s="272" t="s">
        <v>1099</v>
      </c>
    </row>
    <row r="39834">
      <c r="B39834" s="31"/>
      <c r="G39834" s="272" t="s">
        <v>1099</v>
      </c>
    </row>
    <row r="39835">
      <c r="B39835" s="31"/>
      <c r="G39835" s="272" t="s">
        <v>1099</v>
      </c>
    </row>
    <row r="39836">
      <c r="B39836" s="31"/>
      <c r="G39836" s="272" t="s">
        <v>1099</v>
      </c>
    </row>
    <row r="39837">
      <c r="B39837" s="31"/>
      <c r="G39837" s="272" t="s">
        <v>1099</v>
      </c>
    </row>
    <row r="39838">
      <c r="B39838" s="31"/>
      <c r="G39838" s="272" t="s">
        <v>1099</v>
      </c>
    </row>
    <row r="39839">
      <c r="B39839" s="31"/>
      <c r="G39839" s="272" t="s">
        <v>1099</v>
      </c>
    </row>
    <row r="39840">
      <c r="B39840" s="31"/>
      <c r="G39840" s="272" t="s">
        <v>1099</v>
      </c>
    </row>
    <row r="39841">
      <c r="B39841" s="31"/>
      <c r="G39841" s="272" t="s">
        <v>1099</v>
      </c>
    </row>
    <row r="39842">
      <c r="B39842" s="31"/>
      <c r="G39842" s="272" t="s">
        <v>1099</v>
      </c>
    </row>
    <row r="39843">
      <c r="B39843" s="31"/>
      <c r="G39843" s="272" t="s">
        <v>1099</v>
      </c>
    </row>
    <row r="39844">
      <c r="B39844" s="31"/>
      <c r="G39844" s="272" t="s">
        <v>1099</v>
      </c>
    </row>
    <row r="39845">
      <c r="B39845" s="31"/>
      <c r="G39845" s="272" t="s">
        <v>1099</v>
      </c>
    </row>
    <row r="39846">
      <c r="B39846" s="31"/>
      <c r="G39846" s="272" t="s">
        <v>1099</v>
      </c>
    </row>
    <row r="39847">
      <c r="B39847" s="31"/>
      <c r="G39847" s="272" t="s">
        <v>1099</v>
      </c>
    </row>
    <row r="39848">
      <c r="B39848" s="31"/>
      <c r="G39848" s="272" t="s">
        <v>1099</v>
      </c>
    </row>
    <row r="39849">
      <c r="B39849" s="31"/>
      <c r="G39849" s="272" t="s">
        <v>1099</v>
      </c>
    </row>
    <row r="39850">
      <c r="B39850" s="31"/>
      <c r="G39850" s="272" t="s">
        <v>1099</v>
      </c>
    </row>
    <row r="39851">
      <c r="B39851" s="31"/>
      <c r="G39851" s="272" t="s">
        <v>1099</v>
      </c>
    </row>
    <row r="39852">
      <c r="B39852" s="31"/>
      <c r="G39852" s="272" t="s">
        <v>1099</v>
      </c>
    </row>
    <row r="39853">
      <c r="B39853" s="31"/>
      <c r="G39853" s="272" t="s">
        <v>1099</v>
      </c>
    </row>
    <row r="39854">
      <c r="B39854" s="31"/>
      <c r="G39854" s="272" t="s">
        <v>1099</v>
      </c>
    </row>
    <row r="39855">
      <c r="B39855" s="31"/>
      <c r="G39855" s="272" t="s">
        <v>1099</v>
      </c>
    </row>
    <row r="39856">
      <c r="B39856" s="31"/>
      <c r="G39856" s="272" t="s">
        <v>1099</v>
      </c>
    </row>
    <row r="39857">
      <c r="B39857" s="31"/>
      <c r="G39857" s="272" t="s">
        <v>1099</v>
      </c>
    </row>
    <row r="39858">
      <c r="B39858" s="31"/>
      <c r="G39858" s="272" t="s">
        <v>1099</v>
      </c>
    </row>
    <row r="39859">
      <c r="B39859" s="31"/>
      <c r="G39859" s="272" t="s">
        <v>1099</v>
      </c>
    </row>
    <row r="39860">
      <c r="B39860" s="31"/>
      <c r="G39860" s="272" t="s">
        <v>1099</v>
      </c>
    </row>
    <row r="39861">
      <c r="B39861" s="31"/>
      <c r="G39861" s="272" t="s">
        <v>1099</v>
      </c>
    </row>
    <row r="39862">
      <c r="B39862" s="31"/>
      <c r="G39862" s="272" t="s">
        <v>1099</v>
      </c>
    </row>
    <row r="39863">
      <c r="B39863" s="31"/>
      <c r="G39863" s="272" t="s">
        <v>1099</v>
      </c>
    </row>
    <row r="39864">
      <c r="B39864" s="31"/>
      <c r="G39864" s="272" t="s">
        <v>1099</v>
      </c>
    </row>
    <row r="39865">
      <c r="B39865" s="31"/>
      <c r="G39865" s="272" t="s">
        <v>1099</v>
      </c>
    </row>
    <row r="39866">
      <c r="B39866" s="31"/>
      <c r="G39866" s="272" t="s">
        <v>1099</v>
      </c>
    </row>
    <row r="39867">
      <c r="B39867" s="31"/>
      <c r="G39867" s="272" t="s">
        <v>1099</v>
      </c>
    </row>
    <row r="39868">
      <c r="B39868" s="31"/>
      <c r="G39868" s="272" t="s">
        <v>1099</v>
      </c>
    </row>
    <row r="39869">
      <c r="B39869" s="31"/>
      <c r="G39869" s="272" t="s">
        <v>1099</v>
      </c>
    </row>
    <row r="39870">
      <c r="B39870" s="31"/>
      <c r="G39870" s="272" t="s">
        <v>1099</v>
      </c>
    </row>
    <row r="39871">
      <c r="B39871" s="31"/>
      <c r="G39871" s="272" t="s">
        <v>1099</v>
      </c>
    </row>
    <row r="39872">
      <c r="B39872" s="31"/>
      <c r="G39872" s="272" t="s">
        <v>1099</v>
      </c>
    </row>
    <row r="39873">
      <c r="B39873" s="31"/>
      <c r="G39873" s="272" t="s">
        <v>1099</v>
      </c>
    </row>
    <row r="39874">
      <c r="B39874" s="31"/>
      <c r="G39874" s="272" t="s">
        <v>1099</v>
      </c>
    </row>
    <row r="39875">
      <c r="B39875" s="31"/>
      <c r="G39875" s="272" t="s">
        <v>1099</v>
      </c>
    </row>
    <row r="39876">
      <c r="B39876" s="31"/>
      <c r="G39876" s="272" t="s">
        <v>1099</v>
      </c>
    </row>
    <row r="39877">
      <c r="B39877" s="31"/>
      <c r="G39877" s="272" t="s">
        <v>1099</v>
      </c>
    </row>
    <row r="39878">
      <c r="B39878" s="31"/>
      <c r="G39878" s="272" t="s">
        <v>1099</v>
      </c>
    </row>
    <row r="39879">
      <c r="B39879" s="31"/>
      <c r="G39879" s="272" t="s">
        <v>1099</v>
      </c>
    </row>
    <row r="39880">
      <c r="B39880" s="31"/>
      <c r="G39880" s="272" t="s">
        <v>1099</v>
      </c>
    </row>
    <row r="39881">
      <c r="B39881" s="31"/>
      <c r="G39881" s="272" t="s">
        <v>1099</v>
      </c>
    </row>
    <row r="39882">
      <c r="B39882" s="31"/>
      <c r="G39882" s="272" t="s">
        <v>1099</v>
      </c>
    </row>
    <row r="39883">
      <c r="B39883" s="31"/>
      <c r="G39883" s="272" t="s">
        <v>1099</v>
      </c>
    </row>
    <row r="39884">
      <c r="B39884" s="31"/>
      <c r="G39884" s="272" t="s">
        <v>1099</v>
      </c>
    </row>
    <row r="39885">
      <c r="B39885" s="31"/>
      <c r="G39885" s="272" t="s">
        <v>1099</v>
      </c>
    </row>
    <row r="39886">
      <c r="B39886" s="31"/>
      <c r="G39886" s="272" t="s">
        <v>1099</v>
      </c>
    </row>
    <row r="39887">
      <c r="B39887" s="31"/>
      <c r="G39887" s="272" t="s">
        <v>1099</v>
      </c>
    </row>
    <row r="39888">
      <c r="B39888" s="31"/>
      <c r="G39888" s="272" t="s">
        <v>1099</v>
      </c>
    </row>
    <row r="39889">
      <c r="B39889" s="31"/>
      <c r="G39889" s="272" t="s">
        <v>1099</v>
      </c>
    </row>
    <row r="39890">
      <c r="B39890" s="31"/>
      <c r="G39890" s="272" t="s">
        <v>1099</v>
      </c>
    </row>
    <row r="39891">
      <c r="B39891" s="31"/>
      <c r="G39891" s="272" t="s">
        <v>1099</v>
      </c>
    </row>
    <row r="39892">
      <c r="B39892" s="31"/>
      <c r="G39892" s="272" t="s">
        <v>1099</v>
      </c>
    </row>
    <row r="39893">
      <c r="B39893" s="31"/>
      <c r="G39893" s="272" t="s">
        <v>1099</v>
      </c>
    </row>
    <row r="39894">
      <c r="B39894" s="31"/>
      <c r="G39894" s="272" t="s">
        <v>1099</v>
      </c>
    </row>
    <row r="39895">
      <c r="B39895" s="31"/>
      <c r="G39895" s="272" t="s">
        <v>1099</v>
      </c>
    </row>
    <row r="39896">
      <c r="B39896" s="31"/>
      <c r="G39896" s="272" t="s">
        <v>1099</v>
      </c>
    </row>
    <row r="39897">
      <c r="B39897" s="31"/>
      <c r="G39897" s="272" t="s">
        <v>1099</v>
      </c>
    </row>
    <row r="39898">
      <c r="B39898" s="31"/>
      <c r="G39898" s="272" t="s">
        <v>1099</v>
      </c>
    </row>
    <row r="39899">
      <c r="B39899" s="31"/>
      <c r="G39899" s="272" t="s">
        <v>1099</v>
      </c>
    </row>
    <row r="39900">
      <c r="B39900" s="31"/>
      <c r="G39900" s="272" t="s">
        <v>1099</v>
      </c>
    </row>
    <row r="39901">
      <c r="B39901" s="31"/>
      <c r="G39901" s="272" t="s">
        <v>1099</v>
      </c>
    </row>
    <row r="39902">
      <c r="B39902" s="31"/>
      <c r="G39902" s="272" t="s">
        <v>1099</v>
      </c>
    </row>
    <row r="39903">
      <c r="B39903" s="31"/>
      <c r="G39903" s="272" t="s">
        <v>1099</v>
      </c>
    </row>
    <row r="39904">
      <c r="B39904" s="31"/>
      <c r="G39904" s="272" t="s">
        <v>1099</v>
      </c>
    </row>
    <row r="39905">
      <c r="B39905" s="31"/>
      <c r="G39905" s="272" t="s">
        <v>1099</v>
      </c>
    </row>
    <row r="39906">
      <c r="B39906" s="31"/>
      <c r="G39906" s="272" t="s">
        <v>1099</v>
      </c>
    </row>
    <row r="39907">
      <c r="B39907" s="31"/>
      <c r="G39907" s="272" t="s">
        <v>1099</v>
      </c>
    </row>
    <row r="39908">
      <c r="B39908" s="31"/>
      <c r="G39908" s="272" t="s">
        <v>1099</v>
      </c>
    </row>
    <row r="39909">
      <c r="B39909" s="31"/>
      <c r="G39909" s="272" t="s">
        <v>1099</v>
      </c>
    </row>
    <row r="39910">
      <c r="B39910" s="31"/>
      <c r="G39910" s="272" t="s">
        <v>1099</v>
      </c>
    </row>
    <row r="39911">
      <c r="B39911" s="31"/>
      <c r="G39911" s="272" t="s">
        <v>1099</v>
      </c>
    </row>
    <row r="39912">
      <c r="B39912" s="31"/>
      <c r="G39912" s="272" t="s">
        <v>1099</v>
      </c>
    </row>
    <row r="39913">
      <c r="B39913" s="31"/>
      <c r="G39913" s="272" t="s">
        <v>1099</v>
      </c>
    </row>
    <row r="39914">
      <c r="B39914" s="31"/>
      <c r="G39914" s="272" t="s">
        <v>1099</v>
      </c>
    </row>
    <row r="39915">
      <c r="B39915" s="31"/>
      <c r="G39915" s="272" t="s">
        <v>1099</v>
      </c>
    </row>
    <row r="39916">
      <c r="B39916" s="31"/>
      <c r="G39916" s="272" t="s">
        <v>1099</v>
      </c>
    </row>
    <row r="39917">
      <c r="B39917" s="31"/>
      <c r="G39917" s="272" t="s">
        <v>1099</v>
      </c>
    </row>
    <row r="39918">
      <c r="B39918" s="31"/>
      <c r="G39918" s="272" t="s">
        <v>1099</v>
      </c>
    </row>
    <row r="39919">
      <c r="B39919" s="31"/>
      <c r="G39919" s="272" t="s">
        <v>1099</v>
      </c>
    </row>
    <row r="39920">
      <c r="B39920" s="31"/>
      <c r="G39920" s="272" t="s">
        <v>1099</v>
      </c>
    </row>
    <row r="39921">
      <c r="B39921" s="31"/>
      <c r="G39921" s="272" t="s">
        <v>1099</v>
      </c>
    </row>
    <row r="39922">
      <c r="B39922" s="31"/>
      <c r="G39922" s="272" t="s">
        <v>1099</v>
      </c>
    </row>
    <row r="39923">
      <c r="B39923" s="31"/>
      <c r="G39923" s="272" t="s">
        <v>1099</v>
      </c>
    </row>
    <row r="39924">
      <c r="B39924" s="31"/>
      <c r="G39924" s="272" t="s">
        <v>1099</v>
      </c>
    </row>
    <row r="39925">
      <c r="B39925" s="31"/>
      <c r="G39925" s="272" t="s">
        <v>1099</v>
      </c>
    </row>
    <row r="39926">
      <c r="B39926" s="31"/>
      <c r="G39926" s="272" t="s">
        <v>1099</v>
      </c>
    </row>
    <row r="39927">
      <c r="B39927" s="31"/>
      <c r="G39927" s="272" t="s">
        <v>1099</v>
      </c>
    </row>
    <row r="39928">
      <c r="B39928" s="31"/>
      <c r="G39928" s="272" t="s">
        <v>1099</v>
      </c>
    </row>
    <row r="39929">
      <c r="B39929" s="31"/>
      <c r="G39929" s="272" t="s">
        <v>1099</v>
      </c>
    </row>
    <row r="39930">
      <c r="B39930" s="31"/>
      <c r="G39930" s="272" t="s">
        <v>1099</v>
      </c>
    </row>
    <row r="39931">
      <c r="B39931" s="31"/>
      <c r="G39931" s="272" t="s">
        <v>1099</v>
      </c>
    </row>
    <row r="39932">
      <c r="B39932" s="31"/>
      <c r="G39932" s="272" t="s">
        <v>1099</v>
      </c>
    </row>
    <row r="39933">
      <c r="B39933" s="31"/>
      <c r="G39933" s="272" t="s">
        <v>1099</v>
      </c>
    </row>
    <row r="39934">
      <c r="B39934" s="31"/>
      <c r="G39934" s="272" t="s">
        <v>1099</v>
      </c>
    </row>
    <row r="39935">
      <c r="B39935" s="31"/>
      <c r="G39935" s="272" t="s">
        <v>1099</v>
      </c>
    </row>
    <row r="39936">
      <c r="B39936" s="31"/>
      <c r="G39936" s="272" t="s">
        <v>1099</v>
      </c>
    </row>
    <row r="39937">
      <c r="B39937" s="31"/>
      <c r="G39937" s="272" t="s">
        <v>1099</v>
      </c>
    </row>
    <row r="39938">
      <c r="B39938" s="31"/>
      <c r="G39938" s="272" t="s">
        <v>1099</v>
      </c>
    </row>
    <row r="39939">
      <c r="B39939" s="31"/>
      <c r="G39939" s="272" t="s">
        <v>1099</v>
      </c>
    </row>
    <row r="39940">
      <c r="B39940" s="31"/>
      <c r="G39940" s="272" t="s">
        <v>1099</v>
      </c>
    </row>
    <row r="39941">
      <c r="B39941" s="31"/>
      <c r="G39941" s="272" t="s">
        <v>1099</v>
      </c>
    </row>
    <row r="39942">
      <c r="B39942" s="31"/>
      <c r="G39942" s="272" t="s">
        <v>1099</v>
      </c>
    </row>
    <row r="39943">
      <c r="B39943" s="31"/>
      <c r="G39943" s="272" t="s">
        <v>1099</v>
      </c>
    </row>
    <row r="39944">
      <c r="B39944" s="31"/>
      <c r="G39944" s="272" t="s">
        <v>1099</v>
      </c>
    </row>
    <row r="39945">
      <c r="B39945" s="31"/>
      <c r="G39945" s="272" t="s">
        <v>1099</v>
      </c>
    </row>
    <row r="39946">
      <c r="B39946" s="31"/>
      <c r="G39946" s="272" t="s">
        <v>1099</v>
      </c>
    </row>
    <row r="39947">
      <c r="B39947" s="31"/>
      <c r="G39947" s="272" t="s">
        <v>1099</v>
      </c>
    </row>
    <row r="39948">
      <c r="B39948" s="31"/>
      <c r="G39948" s="272" t="s">
        <v>1099</v>
      </c>
    </row>
    <row r="39949">
      <c r="B39949" s="31"/>
      <c r="G39949" s="272" t="s">
        <v>1099</v>
      </c>
    </row>
    <row r="39950">
      <c r="B39950" s="31"/>
      <c r="G39950" s="272" t="s">
        <v>1099</v>
      </c>
    </row>
    <row r="39951">
      <c r="B39951" s="31"/>
      <c r="G39951" s="272" t="s">
        <v>1099</v>
      </c>
    </row>
    <row r="39952">
      <c r="B39952" s="31"/>
      <c r="G39952" s="272" t="s">
        <v>1099</v>
      </c>
    </row>
    <row r="39953">
      <c r="B39953" s="31"/>
      <c r="G39953" s="272" t="s">
        <v>1099</v>
      </c>
    </row>
    <row r="39954">
      <c r="B39954" s="31"/>
      <c r="G39954" s="272" t="s">
        <v>1099</v>
      </c>
    </row>
    <row r="39955">
      <c r="B39955" s="31"/>
      <c r="G39955" s="272" t="s">
        <v>1099</v>
      </c>
    </row>
    <row r="39956">
      <c r="B39956" s="31"/>
      <c r="G39956" s="272" t="s">
        <v>1099</v>
      </c>
    </row>
    <row r="39957">
      <c r="B39957" s="31"/>
      <c r="G39957" s="272" t="s">
        <v>1099</v>
      </c>
    </row>
    <row r="39958">
      <c r="B39958" s="31"/>
      <c r="G39958" s="272" t="s">
        <v>1099</v>
      </c>
    </row>
    <row r="39959">
      <c r="B39959" s="31"/>
      <c r="G39959" s="272" t="s">
        <v>1099</v>
      </c>
    </row>
    <row r="39960">
      <c r="B39960" s="31"/>
      <c r="G39960" s="272" t="s">
        <v>1099</v>
      </c>
    </row>
    <row r="39961">
      <c r="B39961" s="31"/>
      <c r="G39961" s="272" t="s">
        <v>1099</v>
      </c>
    </row>
    <row r="39962">
      <c r="B39962" s="31"/>
      <c r="G39962" s="272" t="s">
        <v>1099</v>
      </c>
    </row>
    <row r="39963">
      <c r="B39963" s="31"/>
      <c r="G39963" s="272" t="s">
        <v>1099</v>
      </c>
    </row>
    <row r="39964">
      <c r="B39964" s="31"/>
      <c r="G39964" s="272" t="s">
        <v>1099</v>
      </c>
    </row>
    <row r="39965">
      <c r="B39965" s="31"/>
      <c r="G39965" s="272" t="s">
        <v>1099</v>
      </c>
    </row>
    <row r="39966">
      <c r="B39966" s="31"/>
      <c r="G39966" s="272" t="s">
        <v>1099</v>
      </c>
    </row>
    <row r="39967">
      <c r="B39967" s="31"/>
      <c r="G39967" s="272" t="s">
        <v>1099</v>
      </c>
    </row>
    <row r="39968">
      <c r="B39968" s="31"/>
      <c r="G39968" s="272" t="s">
        <v>1099</v>
      </c>
    </row>
    <row r="39969">
      <c r="B39969" s="31"/>
      <c r="G39969" s="272" t="s">
        <v>1099</v>
      </c>
    </row>
    <row r="39970">
      <c r="B39970" s="31"/>
      <c r="G39970" s="272" t="s">
        <v>1099</v>
      </c>
    </row>
    <row r="39971">
      <c r="B39971" s="31"/>
      <c r="G39971" s="272" t="s">
        <v>1099</v>
      </c>
    </row>
    <row r="39972">
      <c r="B39972" s="31"/>
      <c r="G39972" s="272" t="s">
        <v>1099</v>
      </c>
    </row>
    <row r="39973">
      <c r="B39973" s="31"/>
      <c r="G39973" s="272" t="s">
        <v>1099</v>
      </c>
    </row>
    <row r="39974">
      <c r="B39974" s="31"/>
      <c r="G39974" s="272" t="s">
        <v>1099</v>
      </c>
    </row>
    <row r="39975">
      <c r="B39975" s="31"/>
      <c r="G39975" s="272" t="s">
        <v>1099</v>
      </c>
    </row>
    <row r="39976">
      <c r="B39976" s="31"/>
      <c r="G39976" s="272" t="s">
        <v>1099</v>
      </c>
    </row>
    <row r="39977">
      <c r="B39977" s="31"/>
      <c r="G39977" s="272" t="s">
        <v>1099</v>
      </c>
    </row>
    <row r="39978">
      <c r="B39978" s="31"/>
      <c r="G39978" s="272" t="s">
        <v>1099</v>
      </c>
    </row>
    <row r="39979">
      <c r="B39979" s="31"/>
      <c r="G39979" s="272" t="s">
        <v>1099</v>
      </c>
    </row>
    <row r="39980">
      <c r="B39980" s="31"/>
      <c r="G39980" s="272" t="s">
        <v>1099</v>
      </c>
    </row>
    <row r="39981">
      <c r="B39981" s="31"/>
      <c r="G39981" s="272" t="s">
        <v>1099</v>
      </c>
    </row>
    <row r="39982">
      <c r="B39982" s="31"/>
      <c r="G39982" s="272" t="s">
        <v>1099</v>
      </c>
    </row>
    <row r="39983">
      <c r="B39983" s="31"/>
      <c r="G39983" s="272" t="s">
        <v>1099</v>
      </c>
    </row>
    <row r="39984">
      <c r="B39984" s="31"/>
      <c r="G39984" s="272" t="s">
        <v>1099</v>
      </c>
    </row>
    <row r="39985">
      <c r="B39985" s="31"/>
      <c r="G39985" s="272" t="s">
        <v>1099</v>
      </c>
    </row>
    <row r="39986">
      <c r="B39986" s="31"/>
      <c r="G39986" s="272" t="s">
        <v>1099</v>
      </c>
    </row>
    <row r="39987">
      <c r="B39987" s="31"/>
      <c r="G39987" s="272" t="s">
        <v>1099</v>
      </c>
    </row>
    <row r="39988">
      <c r="B39988" s="31"/>
      <c r="G39988" s="272" t="s">
        <v>1099</v>
      </c>
    </row>
    <row r="39989">
      <c r="B39989" s="31"/>
      <c r="G39989" s="272" t="s">
        <v>1099</v>
      </c>
    </row>
    <row r="39990">
      <c r="B39990" s="31"/>
      <c r="G39990" s="272" t="s">
        <v>1099</v>
      </c>
    </row>
    <row r="39991">
      <c r="B39991" s="31"/>
      <c r="G39991" s="272" t="s">
        <v>1099</v>
      </c>
    </row>
    <row r="39992">
      <c r="B39992" s="31"/>
      <c r="G39992" s="272" t="s">
        <v>1099</v>
      </c>
    </row>
    <row r="39993">
      <c r="B39993" s="31"/>
      <c r="G39993" s="272" t="s">
        <v>1099</v>
      </c>
    </row>
    <row r="39994">
      <c r="B39994" s="31"/>
      <c r="G39994" s="272" t="s">
        <v>1099</v>
      </c>
    </row>
    <row r="39995">
      <c r="B39995" s="31"/>
      <c r="G39995" s="272" t="s">
        <v>1099</v>
      </c>
    </row>
    <row r="39996">
      <c r="B39996" s="31"/>
      <c r="G39996" s="272" t="s">
        <v>1099</v>
      </c>
    </row>
    <row r="39997">
      <c r="B39997" s="31"/>
      <c r="G39997" s="272" t="s">
        <v>1099</v>
      </c>
    </row>
    <row r="39998">
      <c r="B39998" s="31"/>
      <c r="G39998" s="272" t="s">
        <v>1099</v>
      </c>
    </row>
    <row r="39999">
      <c r="B39999" s="31"/>
      <c r="G39999" s="272" t="s">
        <v>1099</v>
      </c>
    </row>
    <row r="40000">
      <c r="B40000" s="31"/>
      <c r="G40000" s="272" t="s">
        <v>1099</v>
      </c>
    </row>
    <row r="40001">
      <c r="B40001" s="31"/>
      <c r="G40001" s="272" t="s">
        <v>1099</v>
      </c>
    </row>
    <row r="40002">
      <c r="B40002" s="31"/>
      <c r="G40002" s="272" t="s">
        <v>1099</v>
      </c>
    </row>
    <row r="40003">
      <c r="B40003" s="31"/>
      <c r="G40003" s="272" t="s">
        <v>1099</v>
      </c>
    </row>
    <row r="40004">
      <c r="B40004" s="31"/>
      <c r="G40004" s="272" t="s">
        <v>1099</v>
      </c>
    </row>
    <row r="40005">
      <c r="B40005" s="31"/>
      <c r="G40005" s="272" t="s">
        <v>1099</v>
      </c>
    </row>
    <row r="40006">
      <c r="B40006" s="31"/>
      <c r="G40006" s="272" t="s">
        <v>1099</v>
      </c>
    </row>
    <row r="40007">
      <c r="B40007" s="31"/>
      <c r="G40007" s="272" t="s">
        <v>1099</v>
      </c>
    </row>
    <row r="40008">
      <c r="B40008" s="31"/>
      <c r="G40008" s="272" t="s">
        <v>1099</v>
      </c>
    </row>
    <row r="40009">
      <c r="B40009" s="31"/>
      <c r="G40009" s="272" t="s">
        <v>1099</v>
      </c>
    </row>
    <row r="40010">
      <c r="B40010" s="31"/>
      <c r="G40010" s="272" t="s">
        <v>1099</v>
      </c>
    </row>
    <row r="40011">
      <c r="B40011" s="31"/>
      <c r="G40011" s="272" t="s">
        <v>1099</v>
      </c>
    </row>
    <row r="40012">
      <c r="B40012" s="31"/>
      <c r="G40012" s="272" t="s">
        <v>1099</v>
      </c>
    </row>
    <row r="40013">
      <c r="B40013" s="31"/>
      <c r="G40013" s="272" t="s">
        <v>1099</v>
      </c>
    </row>
    <row r="40014">
      <c r="B40014" s="31"/>
      <c r="G40014" s="272" t="s">
        <v>1099</v>
      </c>
    </row>
    <row r="40015">
      <c r="B40015" s="31"/>
      <c r="G40015" s="272" t="s">
        <v>1099</v>
      </c>
    </row>
    <row r="40016">
      <c r="B40016" s="31"/>
      <c r="G40016" s="272" t="s">
        <v>1099</v>
      </c>
    </row>
    <row r="40017">
      <c r="B40017" s="31"/>
      <c r="G40017" s="272" t="s">
        <v>1099</v>
      </c>
    </row>
    <row r="40018">
      <c r="B40018" s="31"/>
      <c r="G40018" s="272" t="s">
        <v>1099</v>
      </c>
    </row>
    <row r="40019">
      <c r="B40019" s="31"/>
      <c r="G40019" s="272" t="s">
        <v>1099</v>
      </c>
    </row>
    <row r="40020">
      <c r="B40020" s="31"/>
      <c r="G40020" s="272" t="s">
        <v>1099</v>
      </c>
    </row>
    <row r="40021">
      <c r="B40021" s="31"/>
      <c r="G40021" s="272" t="s">
        <v>1099</v>
      </c>
    </row>
    <row r="40022">
      <c r="B40022" s="31"/>
      <c r="G40022" s="272" t="s">
        <v>1099</v>
      </c>
    </row>
    <row r="40023">
      <c r="B40023" s="31"/>
      <c r="G40023" s="272" t="s">
        <v>1099</v>
      </c>
    </row>
    <row r="40024">
      <c r="B40024" s="31"/>
      <c r="G40024" s="272" t="s">
        <v>1099</v>
      </c>
    </row>
    <row r="40025">
      <c r="B40025" s="31"/>
      <c r="G40025" s="272" t="s">
        <v>1099</v>
      </c>
    </row>
    <row r="40026">
      <c r="B40026" s="31"/>
      <c r="G40026" s="272" t="s">
        <v>1099</v>
      </c>
    </row>
    <row r="40027">
      <c r="B40027" s="31"/>
      <c r="G40027" s="272" t="s">
        <v>1099</v>
      </c>
    </row>
    <row r="40028">
      <c r="B40028" s="31"/>
      <c r="G40028" s="272" t="s">
        <v>1099</v>
      </c>
    </row>
    <row r="40029">
      <c r="B40029" s="31"/>
      <c r="G40029" s="272" t="s">
        <v>1099</v>
      </c>
    </row>
    <row r="40030">
      <c r="B40030" s="31"/>
      <c r="G40030" s="272" t="s">
        <v>1099</v>
      </c>
    </row>
    <row r="40031">
      <c r="B40031" s="31"/>
      <c r="G40031" s="272" t="s">
        <v>1099</v>
      </c>
    </row>
    <row r="40032">
      <c r="B40032" s="31"/>
      <c r="G40032" s="272" t="s">
        <v>1099</v>
      </c>
    </row>
    <row r="40033">
      <c r="B40033" s="31"/>
      <c r="G40033" s="272" t="s">
        <v>1099</v>
      </c>
    </row>
    <row r="40034">
      <c r="B40034" s="31"/>
      <c r="G40034" s="272" t="s">
        <v>1099</v>
      </c>
    </row>
    <row r="40035">
      <c r="B40035" s="31"/>
      <c r="G40035" s="272" t="s">
        <v>1099</v>
      </c>
    </row>
    <row r="40036">
      <c r="B40036" s="31"/>
      <c r="G40036" s="272" t="s">
        <v>1099</v>
      </c>
    </row>
    <row r="40037">
      <c r="B40037" s="31"/>
      <c r="G40037" s="272" t="s">
        <v>1099</v>
      </c>
    </row>
    <row r="40038">
      <c r="B40038" s="31"/>
      <c r="G40038" s="272" t="s">
        <v>1099</v>
      </c>
    </row>
    <row r="40039">
      <c r="B40039" s="31"/>
      <c r="G40039" s="272" t="s">
        <v>1099</v>
      </c>
    </row>
    <row r="40040">
      <c r="B40040" s="31"/>
      <c r="G40040" s="272" t="s">
        <v>1099</v>
      </c>
    </row>
    <row r="40041">
      <c r="B40041" s="31"/>
      <c r="G40041" s="272" t="s">
        <v>1099</v>
      </c>
    </row>
    <row r="40042">
      <c r="B40042" s="31"/>
      <c r="G40042" s="272" t="s">
        <v>1099</v>
      </c>
    </row>
    <row r="40043">
      <c r="B40043" s="31"/>
      <c r="G40043" s="272" t="s">
        <v>1099</v>
      </c>
    </row>
    <row r="40044">
      <c r="B40044" s="31"/>
      <c r="G40044" s="272" t="s">
        <v>1099</v>
      </c>
    </row>
    <row r="40045">
      <c r="B40045" s="31"/>
      <c r="G40045" s="272" t="s">
        <v>1099</v>
      </c>
    </row>
    <row r="40046">
      <c r="B40046" s="31"/>
      <c r="G40046" s="272" t="s">
        <v>1099</v>
      </c>
    </row>
    <row r="40047">
      <c r="B40047" s="31"/>
      <c r="G40047" s="272" t="s">
        <v>1099</v>
      </c>
    </row>
    <row r="40048">
      <c r="B40048" s="31"/>
      <c r="G40048" s="272" t="s">
        <v>1099</v>
      </c>
    </row>
    <row r="40049">
      <c r="B40049" s="31"/>
      <c r="G40049" s="272" t="s">
        <v>1099</v>
      </c>
    </row>
    <row r="40050">
      <c r="B40050" s="31"/>
      <c r="G40050" s="272" t="s">
        <v>1099</v>
      </c>
    </row>
    <row r="40051">
      <c r="B40051" s="31"/>
      <c r="G40051" s="272" t="s">
        <v>1099</v>
      </c>
    </row>
    <row r="40052">
      <c r="B40052" s="31"/>
      <c r="G40052" s="272" t="s">
        <v>1099</v>
      </c>
    </row>
    <row r="40053">
      <c r="B40053" s="31"/>
      <c r="G40053" s="272" t="s">
        <v>1099</v>
      </c>
    </row>
    <row r="40054">
      <c r="B40054" s="31"/>
      <c r="G40054" s="272" t="s">
        <v>1099</v>
      </c>
    </row>
    <row r="40055">
      <c r="B40055" s="31"/>
      <c r="G40055" s="272" t="s">
        <v>1099</v>
      </c>
    </row>
    <row r="40056">
      <c r="B40056" s="31"/>
      <c r="G40056" s="272" t="s">
        <v>1099</v>
      </c>
    </row>
    <row r="40057">
      <c r="B40057" s="31"/>
      <c r="G40057" s="272" t="s">
        <v>1099</v>
      </c>
    </row>
    <row r="40058">
      <c r="B40058" s="31"/>
      <c r="G40058" s="272" t="s">
        <v>1099</v>
      </c>
    </row>
    <row r="40059">
      <c r="B40059" s="31"/>
      <c r="G40059" s="272" t="s">
        <v>1099</v>
      </c>
    </row>
    <row r="40060">
      <c r="B40060" s="31"/>
      <c r="G40060" s="272" t="s">
        <v>1099</v>
      </c>
    </row>
    <row r="40061">
      <c r="B40061" s="31"/>
      <c r="G40061" s="272" t="s">
        <v>1099</v>
      </c>
    </row>
    <row r="40062">
      <c r="B40062" s="31"/>
      <c r="G40062" s="272" t="s">
        <v>1099</v>
      </c>
    </row>
    <row r="40063">
      <c r="B40063" s="31"/>
      <c r="G40063" s="272" t="s">
        <v>1099</v>
      </c>
    </row>
    <row r="40064">
      <c r="B40064" s="31"/>
      <c r="G40064" s="272" t="s">
        <v>1099</v>
      </c>
    </row>
    <row r="40065">
      <c r="B40065" s="31"/>
      <c r="G40065" s="272" t="s">
        <v>1099</v>
      </c>
    </row>
    <row r="40066">
      <c r="B40066" s="31"/>
      <c r="G40066" s="272" t="s">
        <v>1099</v>
      </c>
    </row>
    <row r="40067">
      <c r="B40067" s="31"/>
      <c r="G40067" s="272" t="s">
        <v>1099</v>
      </c>
    </row>
    <row r="40068">
      <c r="B40068" s="31"/>
      <c r="G40068" s="272" t="s">
        <v>1099</v>
      </c>
    </row>
    <row r="40069">
      <c r="B40069" s="31"/>
      <c r="G40069" s="272" t="s">
        <v>1099</v>
      </c>
    </row>
    <row r="40070">
      <c r="B40070" s="31"/>
      <c r="G40070" s="272" t="s">
        <v>1099</v>
      </c>
    </row>
    <row r="40071">
      <c r="B40071" s="31"/>
      <c r="G40071" s="272" t="s">
        <v>1099</v>
      </c>
    </row>
    <row r="40072">
      <c r="B40072" s="31"/>
      <c r="G40072" s="272" t="s">
        <v>1099</v>
      </c>
    </row>
    <row r="40073">
      <c r="B40073" s="31"/>
      <c r="G40073" s="272" t="s">
        <v>1099</v>
      </c>
    </row>
    <row r="40074">
      <c r="B40074" s="31"/>
      <c r="G40074" s="272" t="s">
        <v>1099</v>
      </c>
    </row>
    <row r="40075">
      <c r="B40075" s="31"/>
      <c r="G40075" s="272" t="s">
        <v>1099</v>
      </c>
    </row>
    <row r="40076">
      <c r="B40076" s="31"/>
      <c r="G40076" s="272" t="s">
        <v>1099</v>
      </c>
    </row>
    <row r="40077">
      <c r="B40077" s="31"/>
      <c r="G40077" s="272" t="s">
        <v>1099</v>
      </c>
    </row>
    <row r="40078">
      <c r="B40078" s="31"/>
      <c r="G40078" s="272" t="s">
        <v>1099</v>
      </c>
    </row>
    <row r="40079">
      <c r="B40079" s="31"/>
      <c r="G40079" s="272" t="s">
        <v>1099</v>
      </c>
    </row>
    <row r="40080">
      <c r="B40080" s="31"/>
      <c r="G40080" s="272" t="s">
        <v>1099</v>
      </c>
    </row>
    <row r="40081">
      <c r="B40081" s="31"/>
      <c r="G40081" s="272" t="s">
        <v>1099</v>
      </c>
    </row>
    <row r="40082">
      <c r="B40082" s="31"/>
      <c r="G40082" s="272" t="s">
        <v>1099</v>
      </c>
    </row>
    <row r="40083">
      <c r="B40083" s="31"/>
      <c r="G40083" s="272" t="s">
        <v>1099</v>
      </c>
    </row>
    <row r="40084">
      <c r="B40084" s="31"/>
      <c r="G40084" s="272" t="s">
        <v>1099</v>
      </c>
    </row>
    <row r="40085">
      <c r="B40085" s="31"/>
      <c r="G40085" s="272" t="s">
        <v>1099</v>
      </c>
    </row>
    <row r="40086">
      <c r="B40086" s="31"/>
      <c r="G40086" s="272" t="s">
        <v>1099</v>
      </c>
    </row>
    <row r="40087">
      <c r="B40087" s="31"/>
      <c r="G40087" s="272" t="s">
        <v>1099</v>
      </c>
    </row>
    <row r="40088">
      <c r="B40088" s="31"/>
      <c r="G40088" s="272" t="s">
        <v>1099</v>
      </c>
    </row>
    <row r="40089">
      <c r="B40089" s="31"/>
      <c r="G40089" s="272" t="s">
        <v>1099</v>
      </c>
    </row>
    <row r="40090">
      <c r="B40090" s="31"/>
      <c r="G40090" s="272" t="s">
        <v>1099</v>
      </c>
    </row>
    <row r="40091">
      <c r="B40091" s="31"/>
      <c r="G40091" s="272" t="s">
        <v>1099</v>
      </c>
    </row>
    <row r="40092">
      <c r="B40092" s="31"/>
      <c r="G40092" s="272" t="s">
        <v>1099</v>
      </c>
    </row>
    <row r="40093">
      <c r="B40093" s="31"/>
      <c r="G40093" s="272" t="s">
        <v>1099</v>
      </c>
    </row>
    <row r="40094">
      <c r="B40094" s="31"/>
      <c r="G40094" s="272" t="s">
        <v>1099</v>
      </c>
    </row>
    <row r="40095">
      <c r="B40095" s="31"/>
      <c r="G40095" s="272" t="s">
        <v>1099</v>
      </c>
    </row>
    <row r="40096">
      <c r="B40096" s="31"/>
      <c r="G40096" s="272" t="s">
        <v>1099</v>
      </c>
    </row>
    <row r="40097">
      <c r="B40097" s="31"/>
      <c r="G40097" s="272" t="s">
        <v>1099</v>
      </c>
    </row>
    <row r="40098">
      <c r="B40098" s="31"/>
      <c r="G40098" s="272" t="s">
        <v>1099</v>
      </c>
    </row>
    <row r="40099">
      <c r="B40099" s="31"/>
      <c r="G40099" s="272" t="s">
        <v>1099</v>
      </c>
    </row>
    <row r="40100">
      <c r="B40100" s="31"/>
      <c r="G40100" s="272" t="s">
        <v>1099</v>
      </c>
    </row>
    <row r="40101">
      <c r="B40101" s="31"/>
      <c r="G40101" s="272" t="s">
        <v>1099</v>
      </c>
    </row>
    <row r="40102">
      <c r="B40102" s="31"/>
      <c r="G40102" s="272" t="s">
        <v>1099</v>
      </c>
    </row>
    <row r="40103">
      <c r="B40103" s="31"/>
      <c r="G40103" s="272" t="s">
        <v>1099</v>
      </c>
    </row>
    <row r="40104">
      <c r="B40104" s="31"/>
      <c r="G40104" s="272" t="s">
        <v>1099</v>
      </c>
    </row>
    <row r="40105">
      <c r="B40105" s="31"/>
      <c r="G40105" s="272" t="s">
        <v>1099</v>
      </c>
    </row>
    <row r="40106">
      <c r="B40106" s="31"/>
      <c r="G40106" s="272" t="s">
        <v>1099</v>
      </c>
    </row>
    <row r="40107">
      <c r="B40107" s="31"/>
      <c r="G40107" s="272" t="s">
        <v>1099</v>
      </c>
    </row>
    <row r="40108">
      <c r="B40108" s="31"/>
      <c r="G40108" s="272" t="s">
        <v>1099</v>
      </c>
    </row>
    <row r="40109">
      <c r="B40109" s="31"/>
      <c r="G40109" s="272" t="s">
        <v>1099</v>
      </c>
    </row>
    <row r="40110">
      <c r="B40110" s="31"/>
      <c r="G40110" s="272" t="s">
        <v>1099</v>
      </c>
    </row>
    <row r="40111">
      <c r="B40111" s="31"/>
      <c r="G40111" s="272" t="s">
        <v>1099</v>
      </c>
    </row>
    <row r="40112">
      <c r="B40112" s="31"/>
      <c r="G40112" s="272" t="s">
        <v>1099</v>
      </c>
    </row>
    <row r="40113">
      <c r="B40113" s="31"/>
      <c r="G40113" s="272" t="s">
        <v>1099</v>
      </c>
    </row>
    <row r="40114">
      <c r="B40114" s="31"/>
      <c r="G40114" s="272" t="s">
        <v>1099</v>
      </c>
    </row>
    <row r="40115">
      <c r="B40115" s="31"/>
      <c r="G40115" s="272" t="s">
        <v>1099</v>
      </c>
    </row>
    <row r="40116">
      <c r="B40116" s="31"/>
      <c r="G40116" s="272" t="s">
        <v>1099</v>
      </c>
    </row>
    <row r="40117">
      <c r="B40117" s="31"/>
      <c r="G40117" s="272" t="s">
        <v>1099</v>
      </c>
    </row>
    <row r="40118">
      <c r="B40118" s="31"/>
      <c r="G40118" s="272" t="s">
        <v>1099</v>
      </c>
    </row>
    <row r="40119">
      <c r="B40119" s="31"/>
      <c r="G40119" s="272" t="s">
        <v>1099</v>
      </c>
    </row>
    <row r="40120">
      <c r="B40120" s="31"/>
      <c r="G40120" s="272" t="s">
        <v>1099</v>
      </c>
    </row>
    <row r="40121">
      <c r="B40121" s="31"/>
      <c r="G40121" s="272" t="s">
        <v>1099</v>
      </c>
    </row>
    <row r="40122">
      <c r="B40122" s="31"/>
      <c r="G40122" s="272" t="s">
        <v>1099</v>
      </c>
    </row>
    <row r="40123">
      <c r="B40123" s="31"/>
      <c r="G40123" s="272" t="s">
        <v>1099</v>
      </c>
    </row>
    <row r="40124">
      <c r="B40124" s="31"/>
      <c r="G40124" s="272" t="s">
        <v>1099</v>
      </c>
    </row>
    <row r="40125">
      <c r="B40125" s="31"/>
      <c r="G40125" s="272" t="s">
        <v>1099</v>
      </c>
    </row>
    <row r="40126">
      <c r="B40126" s="31"/>
      <c r="G40126" s="272" t="s">
        <v>1099</v>
      </c>
    </row>
    <row r="40127">
      <c r="B40127" s="31"/>
      <c r="G40127" s="272" t="s">
        <v>1099</v>
      </c>
    </row>
    <row r="40128">
      <c r="B40128" s="31"/>
      <c r="G40128" s="272" t="s">
        <v>1099</v>
      </c>
    </row>
    <row r="40129">
      <c r="B40129" s="31"/>
      <c r="G40129" s="272" t="s">
        <v>1099</v>
      </c>
    </row>
    <row r="40130">
      <c r="B40130" s="31"/>
      <c r="G40130" s="272" t="s">
        <v>1099</v>
      </c>
    </row>
    <row r="40131">
      <c r="B40131" s="31"/>
      <c r="G40131" s="272" t="s">
        <v>1099</v>
      </c>
    </row>
    <row r="40132">
      <c r="B40132" s="31"/>
      <c r="G40132" s="272" t="s">
        <v>1099</v>
      </c>
    </row>
    <row r="40133">
      <c r="B40133" s="31"/>
      <c r="G40133" s="272" t="s">
        <v>1099</v>
      </c>
    </row>
    <row r="40134">
      <c r="B40134" s="31"/>
      <c r="G40134" s="272" t="s">
        <v>1099</v>
      </c>
    </row>
    <row r="40135">
      <c r="B40135" s="31"/>
      <c r="G40135" s="272" t="s">
        <v>1099</v>
      </c>
    </row>
    <row r="40136">
      <c r="B40136" s="31"/>
      <c r="G40136" s="272" t="s">
        <v>1099</v>
      </c>
    </row>
    <row r="40137">
      <c r="B40137" s="31"/>
      <c r="G40137" s="272" t="s">
        <v>1099</v>
      </c>
    </row>
    <row r="40138">
      <c r="B40138" s="31"/>
      <c r="G40138" s="272" t="s">
        <v>1099</v>
      </c>
    </row>
    <row r="40139">
      <c r="B40139" s="31"/>
      <c r="G40139" s="272" t="s">
        <v>1099</v>
      </c>
    </row>
    <row r="40140">
      <c r="B40140" s="31"/>
      <c r="G40140" s="272" t="s">
        <v>1099</v>
      </c>
    </row>
    <row r="40141">
      <c r="B40141" s="31"/>
      <c r="G40141" s="272" t="s">
        <v>1099</v>
      </c>
    </row>
    <row r="40142">
      <c r="B40142" s="31"/>
      <c r="G40142" s="272" t="s">
        <v>1099</v>
      </c>
    </row>
    <row r="40143">
      <c r="B40143" s="31"/>
      <c r="G40143" s="272" t="s">
        <v>1099</v>
      </c>
    </row>
    <row r="40144">
      <c r="B40144" s="31"/>
      <c r="G40144" s="272" t="s">
        <v>1099</v>
      </c>
    </row>
    <row r="40145">
      <c r="B40145" s="31"/>
      <c r="G40145" s="272" t="s">
        <v>1099</v>
      </c>
    </row>
    <row r="40146">
      <c r="B40146" s="31"/>
      <c r="G40146" s="272" t="s">
        <v>1099</v>
      </c>
    </row>
    <row r="40147">
      <c r="B40147" s="31"/>
      <c r="G40147" s="272" t="s">
        <v>1099</v>
      </c>
    </row>
    <row r="40148">
      <c r="B40148" s="31"/>
      <c r="G40148" s="272" t="s">
        <v>1099</v>
      </c>
    </row>
    <row r="40149">
      <c r="B40149" s="31"/>
      <c r="G40149" s="272" t="s">
        <v>1099</v>
      </c>
    </row>
    <row r="40150">
      <c r="B40150" s="31"/>
      <c r="G40150" s="272" t="s">
        <v>1099</v>
      </c>
    </row>
    <row r="40151">
      <c r="B40151" s="31"/>
      <c r="G40151" s="272" t="s">
        <v>1099</v>
      </c>
    </row>
    <row r="40152">
      <c r="B40152" s="31"/>
      <c r="G40152" s="272" t="s">
        <v>1099</v>
      </c>
    </row>
    <row r="40153">
      <c r="B40153" s="31"/>
      <c r="G40153" s="272" t="s">
        <v>1099</v>
      </c>
    </row>
    <row r="40154">
      <c r="B40154" s="31"/>
      <c r="G40154" s="272" t="s">
        <v>1099</v>
      </c>
    </row>
    <row r="40155">
      <c r="B40155" s="31"/>
      <c r="G40155" s="272" t="s">
        <v>1099</v>
      </c>
    </row>
    <row r="40156">
      <c r="B40156" s="31"/>
      <c r="G40156" s="272" t="s">
        <v>1099</v>
      </c>
    </row>
    <row r="40157">
      <c r="B40157" s="31"/>
      <c r="G40157" s="272" t="s">
        <v>1099</v>
      </c>
    </row>
    <row r="40158">
      <c r="B40158" s="31"/>
      <c r="G40158" s="272" t="s">
        <v>1099</v>
      </c>
    </row>
    <row r="40159">
      <c r="B40159" s="31"/>
      <c r="G40159" s="272" t="s">
        <v>1099</v>
      </c>
    </row>
    <row r="40160">
      <c r="B40160" s="31"/>
      <c r="G40160" s="272" t="s">
        <v>1099</v>
      </c>
    </row>
    <row r="40161">
      <c r="B40161" s="31"/>
      <c r="G40161" s="272" t="s">
        <v>1099</v>
      </c>
    </row>
    <row r="40162">
      <c r="B40162" s="31"/>
      <c r="G40162" s="272" t="s">
        <v>1099</v>
      </c>
    </row>
    <row r="40163">
      <c r="B40163" s="31"/>
      <c r="G40163" s="272" t="s">
        <v>1099</v>
      </c>
    </row>
    <row r="40164">
      <c r="B40164" s="31"/>
      <c r="G40164" s="272" t="s">
        <v>1099</v>
      </c>
    </row>
    <row r="40165">
      <c r="B40165" s="31"/>
      <c r="G40165" s="272" t="s">
        <v>1099</v>
      </c>
    </row>
    <row r="40166">
      <c r="B40166" s="31"/>
      <c r="G40166" s="272" t="s">
        <v>1099</v>
      </c>
    </row>
    <row r="40167">
      <c r="B40167" s="31"/>
      <c r="G40167" s="272" t="s">
        <v>1099</v>
      </c>
    </row>
    <row r="40168">
      <c r="B40168" s="31"/>
      <c r="G40168" s="272" t="s">
        <v>1099</v>
      </c>
    </row>
    <row r="40169">
      <c r="B40169" s="31"/>
      <c r="G40169" s="272" t="s">
        <v>1099</v>
      </c>
    </row>
    <row r="40170">
      <c r="B40170" s="31"/>
      <c r="G40170" s="272" t="s">
        <v>1099</v>
      </c>
    </row>
    <row r="40171">
      <c r="B40171" s="31"/>
      <c r="G40171" s="272" t="s">
        <v>1099</v>
      </c>
    </row>
    <row r="40172">
      <c r="B40172" s="31"/>
      <c r="G40172" s="272" t="s">
        <v>1099</v>
      </c>
    </row>
    <row r="40173">
      <c r="B40173" s="31"/>
      <c r="G40173" s="272" t="s">
        <v>1099</v>
      </c>
    </row>
    <row r="40174">
      <c r="B40174" s="31"/>
      <c r="G40174" s="272" t="s">
        <v>1099</v>
      </c>
    </row>
    <row r="40175">
      <c r="B40175" s="31"/>
      <c r="G40175" s="272" t="s">
        <v>1099</v>
      </c>
    </row>
    <row r="40176">
      <c r="B40176" s="31"/>
      <c r="G40176" s="272" t="s">
        <v>1099</v>
      </c>
    </row>
    <row r="40177">
      <c r="B40177" s="31"/>
      <c r="G40177" s="272" t="s">
        <v>1099</v>
      </c>
    </row>
    <row r="40178">
      <c r="B40178" s="31"/>
      <c r="G40178" s="272" t="s">
        <v>1099</v>
      </c>
    </row>
    <row r="40179">
      <c r="B40179" s="31"/>
      <c r="G40179" s="272" t="s">
        <v>1099</v>
      </c>
    </row>
    <row r="40180">
      <c r="B40180" s="31"/>
      <c r="G40180" s="272" t="s">
        <v>1099</v>
      </c>
    </row>
    <row r="40181">
      <c r="B40181" s="31"/>
      <c r="G40181" s="272" t="s">
        <v>1099</v>
      </c>
    </row>
    <row r="40182">
      <c r="B40182" s="31"/>
      <c r="G40182" s="272" t="s">
        <v>1099</v>
      </c>
    </row>
    <row r="40183">
      <c r="B40183" s="31"/>
      <c r="G40183" s="272" t="s">
        <v>1099</v>
      </c>
    </row>
    <row r="40184">
      <c r="B40184" s="31"/>
      <c r="G40184" s="272" t="s">
        <v>1099</v>
      </c>
    </row>
    <row r="40185">
      <c r="B40185" s="31"/>
      <c r="G40185" s="272" t="s">
        <v>1099</v>
      </c>
    </row>
    <row r="40186">
      <c r="B40186" s="31"/>
      <c r="G40186" s="272" t="s">
        <v>1099</v>
      </c>
    </row>
    <row r="40187">
      <c r="B40187" s="31"/>
      <c r="G40187" s="272" t="s">
        <v>1099</v>
      </c>
    </row>
    <row r="40188">
      <c r="B40188" s="31"/>
      <c r="G40188" s="272" t="s">
        <v>1099</v>
      </c>
    </row>
    <row r="40189">
      <c r="B40189" s="31"/>
      <c r="G40189" s="272" t="s">
        <v>1099</v>
      </c>
    </row>
    <row r="40190">
      <c r="B40190" s="31"/>
      <c r="G40190" s="272" t="s">
        <v>1099</v>
      </c>
    </row>
    <row r="40191">
      <c r="B40191" s="31"/>
      <c r="G40191" s="272" t="s">
        <v>1099</v>
      </c>
    </row>
    <row r="40192">
      <c r="B40192" s="31"/>
      <c r="G40192" s="272" t="s">
        <v>1099</v>
      </c>
    </row>
    <row r="40193">
      <c r="B40193" s="31"/>
      <c r="G40193" s="272" t="s">
        <v>1099</v>
      </c>
    </row>
    <row r="40194">
      <c r="B40194" s="31"/>
      <c r="G40194" s="272" t="s">
        <v>1099</v>
      </c>
    </row>
    <row r="40195">
      <c r="B40195" s="31"/>
      <c r="G40195" s="272" t="s">
        <v>1099</v>
      </c>
    </row>
    <row r="40196">
      <c r="B40196" s="31"/>
      <c r="G40196" s="272" t="s">
        <v>1099</v>
      </c>
    </row>
    <row r="40197">
      <c r="B40197" s="31"/>
      <c r="G40197" s="272" t="s">
        <v>1099</v>
      </c>
    </row>
    <row r="40198">
      <c r="B40198" s="31"/>
      <c r="G40198" s="272" t="s">
        <v>1099</v>
      </c>
    </row>
    <row r="40199">
      <c r="B40199" s="31"/>
      <c r="G40199" s="272" t="s">
        <v>1099</v>
      </c>
    </row>
    <row r="40200">
      <c r="B40200" s="31"/>
      <c r="G40200" s="272" t="s">
        <v>1099</v>
      </c>
    </row>
    <row r="40201">
      <c r="B40201" s="31"/>
      <c r="G40201" s="272" t="s">
        <v>1099</v>
      </c>
    </row>
    <row r="40202">
      <c r="B40202" s="31"/>
      <c r="G40202" s="272" t="s">
        <v>1099</v>
      </c>
    </row>
    <row r="40203">
      <c r="B40203" s="31"/>
      <c r="G40203" s="272" t="s">
        <v>1099</v>
      </c>
    </row>
    <row r="40204">
      <c r="B40204" s="31"/>
      <c r="G40204" s="272" t="s">
        <v>1099</v>
      </c>
    </row>
    <row r="40205">
      <c r="B40205" s="31"/>
      <c r="G40205" s="272" t="s">
        <v>1099</v>
      </c>
    </row>
    <row r="40206">
      <c r="B40206" s="31"/>
      <c r="G40206" s="272" t="s">
        <v>1099</v>
      </c>
    </row>
    <row r="40207">
      <c r="B40207" s="31"/>
      <c r="G40207" s="272" t="s">
        <v>1099</v>
      </c>
    </row>
    <row r="40208">
      <c r="B40208" s="31"/>
      <c r="G40208" s="272" t="s">
        <v>1099</v>
      </c>
    </row>
    <row r="40209">
      <c r="B40209" s="31"/>
      <c r="G40209" s="272" t="s">
        <v>1099</v>
      </c>
    </row>
    <row r="40210">
      <c r="B40210" s="31"/>
      <c r="G40210" s="272" t="s">
        <v>1099</v>
      </c>
    </row>
    <row r="40211">
      <c r="B40211" s="31"/>
      <c r="G40211" s="272" t="s">
        <v>1099</v>
      </c>
    </row>
    <row r="40212">
      <c r="B40212" s="31"/>
      <c r="G40212" s="272" t="s">
        <v>1099</v>
      </c>
    </row>
    <row r="40213">
      <c r="B40213" s="31"/>
      <c r="G40213" s="272" t="s">
        <v>1099</v>
      </c>
    </row>
    <row r="40214">
      <c r="B40214" s="31"/>
      <c r="G40214" s="272" t="s">
        <v>1099</v>
      </c>
    </row>
    <row r="40215">
      <c r="B40215" s="31"/>
      <c r="G40215" s="272" t="s">
        <v>1099</v>
      </c>
    </row>
    <row r="40216">
      <c r="B40216" s="31"/>
      <c r="G40216" s="272" t="s">
        <v>1099</v>
      </c>
    </row>
    <row r="40217">
      <c r="B40217" s="31"/>
      <c r="G40217" s="272" t="s">
        <v>1099</v>
      </c>
    </row>
    <row r="40218">
      <c r="B40218" s="31"/>
      <c r="G40218" s="272" t="s">
        <v>1099</v>
      </c>
    </row>
    <row r="40219">
      <c r="B40219" s="31"/>
      <c r="G40219" s="272" t="s">
        <v>1099</v>
      </c>
    </row>
    <row r="40220">
      <c r="B40220" s="31"/>
      <c r="G40220" s="272" t="s">
        <v>1099</v>
      </c>
    </row>
    <row r="40221">
      <c r="B40221" s="31"/>
      <c r="G40221" s="272" t="s">
        <v>1099</v>
      </c>
    </row>
    <row r="40222">
      <c r="B40222" s="31"/>
      <c r="G40222" s="272" t="s">
        <v>1099</v>
      </c>
    </row>
    <row r="40223">
      <c r="B40223" s="31"/>
      <c r="G40223" s="272" t="s">
        <v>1099</v>
      </c>
    </row>
    <row r="40224">
      <c r="B40224" s="31"/>
      <c r="G40224" s="272" t="s">
        <v>1099</v>
      </c>
    </row>
    <row r="40225">
      <c r="B40225" s="31"/>
      <c r="G40225" s="272" t="s">
        <v>1099</v>
      </c>
    </row>
    <row r="40226">
      <c r="B40226" s="31"/>
      <c r="G40226" s="272" t="s">
        <v>1099</v>
      </c>
    </row>
    <row r="40227">
      <c r="B40227" s="31"/>
      <c r="G40227" s="272" t="s">
        <v>1099</v>
      </c>
    </row>
    <row r="40228">
      <c r="B40228" s="31"/>
      <c r="G40228" s="272" t="s">
        <v>1099</v>
      </c>
    </row>
    <row r="40229">
      <c r="B40229" s="31"/>
      <c r="G40229" s="272" t="s">
        <v>1099</v>
      </c>
    </row>
    <row r="40230">
      <c r="B40230" s="31"/>
      <c r="G40230" s="272" t="s">
        <v>1099</v>
      </c>
    </row>
    <row r="40231">
      <c r="B40231" s="31"/>
      <c r="G40231" s="272" t="s">
        <v>1099</v>
      </c>
    </row>
    <row r="40232">
      <c r="B40232" s="31"/>
      <c r="G40232" s="272" t="s">
        <v>1099</v>
      </c>
    </row>
    <row r="40233">
      <c r="B40233" s="31"/>
      <c r="G40233" s="272" t="s">
        <v>1099</v>
      </c>
    </row>
    <row r="40234">
      <c r="B40234" s="31"/>
      <c r="G40234" s="272" t="s">
        <v>1099</v>
      </c>
    </row>
    <row r="40235">
      <c r="B40235" s="31"/>
      <c r="G40235" s="272" t="s">
        <v>1099</v>
      </c>
    </row>
    <row r="40236">
      <c r="B40236" s="31"/>
      <c r="G40236" s="272" t="s">
        <v>1099</v>
      </c>
    </row>
    <row r="40237">
      <c r="B40237" s="31"/>
      <c r="G40237" s="272" t="s">
        <v>1099</v>
      </c>
    </row>
    <row r="40238">
      <c r="B40238" s="31"/>
      <c r="G40238" s="272" t="s">
        <v>1099</v>
      </c>
    </row>
    <row r="40239">
      <c r="B40239" s="31"/>
      <c r="G40239" s="272" t="s">
        <v>1099</v>
      </c>
    </row>
    <row r="40240">
      <c r="B40240" s="31"/>
      <c r="G40240" s="272" t="s">
        <v>1099</v>
      </c>
    </row>
    <row r="40241">
      <c r="B40241" s="31"/>
      <c r="G40241" s="272" t="s">
        <v>1099</v>
      </c>
    </row>
    <row r="40242">
      <c r="B40242" s="31"/>
      <c r="G40242" s="272" t="s">
        <v>1099</v>
      </c>
    </row>
    <row r="40243">
      <c r="B40243" s="31"/>
      <c r="G40243" s="272" t="s">
        <v>1099</v>
      </c>
    </row>
    <row r="40244">
      <c r="B40244" s="31"/>
      <c r="G40244" s="272" t="s">
        <v>1099</v>
      </c>
    </row>
    <row r="40245">
      <c r="B40245" s="31"/>
      <c r="G40245" s="272" t="s">
        <v>1099</v>
      </c>
    </row>
    <row r="40246">
      <c r="B40246" s="31"/>
      <c r="G40246" s="272" t="s">
        <v>1099</v>
      </c>
    </row>
    <row r="40247">
      <c r="B40247" s="31"/>
      <c r="G40247" s="272" t="s">
        <v>1099</v>
      </c>
    </row>
    <row r="40248">
      <c r="B40248" s="31"/>
      <c r="G40248" s="272" t="s">
        <v>1099</v>
      </c>
    </row>
    <row r="40249">
      <c r="B40249" s="31"/>
      <c r="G40249" s="272" t="s">
        <v>1099</v>
      </c>
    </row>
    <row r="40250">
      <c r="B40250" s="31"/>
      <c r="G40250" s="272" t="s">
        <v>1099</v>
      </c>
    </row>
    <row r="40251">
      <c r="B40251" s="31"/>
      <c r="G40251" s="272" t="s">
        <v>1099</v>
      </c>
    </row>
    <row r="40252">
      <c r="B40252" s="31"/>
      <c r="G40252" s="272" t="s">
        <v>1099</v>
      </c>
    </row>
    <row r="40253">
      <c r="B40253" s="31"/>
      <c r="G40253" s="272" t="s">
        <v>1099</v>
      </c>
    </row>
    <row r="40254">
      <c r="B40254" s="31"/>
      <c r="G40254" s="272" t="s">
        <v>1099</v>
      </c>
    </row>
    <row r="40255">
      <c r="B40255" s="31"/>
      <c r="G40255" s="272" t="s">
        <v>1099</v>
      </c>
    </row>
    <row r="40256">
      <c r="B40256" s="31"/>
      <c r="G40256" s="272" t="s">
        <v>1099</v>
      </c>
    </row>
    <row r="40257">
      <c r="B40257" s="31"/>
      <c r="G40257" s="272" t="s">
        <v>1099</v>
      </c>
    </row>
    <row r="40258">
      <c r="B40258" s="31"/>
      <c r="G40258" s="272" t="s">
        <v>1099</v>
      </c>
    </row>
    <row r="40259">
      <c r="B40259" s="31"/>
      <c r="G40259" s="272" t="s">
        <v>1099</v>
      </c>
    </row>
    <row r="40260">
      <c r="B40260" s="31"/>
      <c r="G40260" s="272" t="s">
        <v>1099</v>
      </c>
    </row>
    <row r="40261">
      <c r="B40261" s="31"/>
      <c r="G40261" s="272" t="s">
        <v>1099</v>
      </c>
    </row>
    <row r="40262">
      <c r="B40262" s="31"/>
      <c r="G40262" s="272" t="s">
        <v>1099</v>
      </c>
    </row>
    <row r="40263">
      <c r="B40263" s="31"/>
      <c r="G40263" s="272" t="s">
        <v>1099</v>
      </c>
    </row>
    <row r="40264">
      <c r="B40264" s="31"/>
      <c r="G40264" s="272" t="s">
        <v>1099</v>
      </c>
    </row>
    <row r="40265">
      <c r="B40265" s="31"/>
      <c r="G40265" s="272" t="s">
        <v>1099</v>
      </c>
    </row>
    <row r="40266">
      <c r="B40266" s="31"/>
      <c r="G40266" s="272" t="s">
        <v>1099</v>
      </c>
    </row>
    <row r="40267">
      <c r="B40267" s="31"/>
      <c r="G40267" s="272" t="s">
        <v>1099</v>
      </c>
    </row>
    <row r="40268">
      <c r="B40268" s="31"/>
      <c r="G40268" s="272" t="s">
        <v>1099</v>
      </c>
    </row>
    <row r="40269">
      <c r="B40269" s="31"/>
      <c r="G40269" s="272" t="s">
        <v>1099</v>
      </c>
    </row>
    <row r="40270">
      <c r="B40270" s="31"/>
      <c r="G40270" s="272" t="s">
        <v>1099</v>
      </c>
    </row>
    <row r="40271">
      <c r="B40271" s="31"/>
      <c r="G40271" s="272" t="s">
        <v>1099</v>
      </c>
    </row>
    <row r="40272">
      <c r="B40272" s="31"/>
      <c r="G40272" s="272" t="s">
        <v>1099</v>
      </c>
    </row>
    <row r="40273">
      <c r="B40273" s="31"/>
      <c r="G40273" s="272" t="s">
        <v>1099</v>
      </c>
    </row>
    <row r="40274">
      <c r="B40274" s="31"/>
      <c r="G40274" s="272" t="s">
        <v>1099</v>
      </c>
    </row>
    <row r="40275">
      <c r="B40275" s="31"/>
      <c r="G40275" s="272" t="s">
        <v>1099</v>
      </c>
    </row>
    <row r="40276">
      <c r="B40276" s="31"/>
      <c r="G40276" s="272" t="s">
        <v>1099</v>
      </c>
    </row>
    <row r="40277">
      <c r="B40277" s="31"/>
      <c r="G40277" s="272" t="s">
        <v>1099</v>
      </c>
    </row>
    <row r="40278">
      <c r="B40278" s="31"/>
      <c r="G40278" s="272" t="s">
        <v>1099</v>
      </c>
    </row>
    <row r="40279">
      <c r="B40279" s="31"/>
      <c r="G40279" s="272" t="s">
        <v>1099</v>
      </c>
    </row>
    <row r="40280">
      <c r="B40280" s="31"/>
      <c r="G40280" s="272" t="s">
        <v>1099</v>
      </c>
    </row>
    <row r="40281">
      <c r="B40281" s="31"/>
      <c r="G40281" s="272" t="s">
        <v>1099</v>
      </c>
    </row>
    <row r="40282">
      <c r="B40282" s="31"/>
      <c r="G40282" s="272" t="s">
        <v>1099</v>
      </c>
    </row>
    <row r="40283">
      <c r="B40283" s="31"/>
      <c r="G40283" s="272" t="s">
        <v>1099</v>
      </c>
    </row>
    <row r="40284">
      <c r="B40284" s="31"/>
      <c r="G40284" s="272" t="s">
        <v>1099</v>
      </c>
    </row>
    <row r="40285">
      <c r="B40285" s="31"/>
      <c r="G40285" s="272" t="s">
        <v>1099</v>
      </c>
    </row>
    <row r="40286">
      <c r="B40286" s="31"/>
      <c r="G40286" s="272" t="s">
        <v>1099</v>
      </c>
    </row>
    <row r="40287">
      <c r="B40287" s="31"/>
      <c r="G40287" s="272" t="s">
        <v>1099</v>
      </c>
    </row>
    <row r="40288">
      <c r="B40288" s="31"/>
      <c r="G40288" s="272" t="s">
        <v>1099</v>
      </c>
    </row>
    <row r="40289">
      <c r="B40289" s="31"/>
      <c r="G40289" s="272" t="s">
        <v>1099</v>
      </c>
    </row>
    <row r="40290">
      <c r="B40290" s="31"/>
      <c r="G40290" s="272" t="s">
        <v>1099</v>
      </c>
    </row>
    <row r="40291">
      <c r="B40291" s="31"/>
      <c r="G40291" s="272" t="s">
        <v>1099</v>
      </c>
    </row>
    <row r="40292">
      <c r="B40292" s="31"/>
      <c r="G40292" s="272" t="s">
        <v>1099</v>
      </c>
    </row>
    <row r="40293">
      <c r="B40293" s="31"/>
      <c r="G40293" s="272" t="s">
        <v>1099</v>
      </c>
    </row>
    <row r="40294">
      <c r="B40294" s="31"/>
      <c r="G40294" s="272" t="s">
        <v>1099</v>
      </c>
    </row>
    <row r="40295">
      <c r="B40295" s="31"/>
      <c r="G40295" s="272" t="s">
        <v>1099</v>
      </c>
    </row>
    <row r="40296">
      <c r="B40296" s="31"/>
      <c r="G40296" s="272" t="s">
        <v>1099</v>
      </c>
    </row>
    <row r="40297">
      <c r="B40297" s="31"/>
      <c r="G40297" s="272" t="s">
        <v>1099</v>
      </c>
    </row>
    <row r="40298">
      <c r="B40298" s="31"/>
      <c r="G40298" s="272" t="s">
        <v>1099</v>
      </c>
    </row>
    <row r="40299">
      <c r="B40299" s="31"/>
      <c r="G40299" s="272" t="s">
        <v>1099</v>
      </c>
    </row>
    <row r="40300">
      <c r="B40300" s="31"/>
      <c r="G40300" s="272" t="s">
        <v>1099</v>
      </c>
    </row>
    <row r="40301">
      <c r="B40301" s="31"/>
      <c r="G40301" s="272" t="s">
        <v>1099</v>
      </c>
    </row>
    <row r="40302">
      <c r="B40302" s="31"/>
      <c r="G40302" s="272" t="s">
        <v>1099</v>
      </c>
    </row>
    <row r="40303">
      <c r="B40303" s="31"/>
      <c r="G40303" s="272" t="s">
        <v>1099</v>
      </c>
    </row>
    <row r="40304">
      <c r="B40304" s="31"/>
      <c r="G40304" s="272" t="s">
        <v>1099</v>
      </c>
    </row>
    <row r="40305">
      <c r="B40305" s="31"/>
      <c r="G40305" s="272" t="s">
        <v>1099</v>
      </c>
    </row>
    <row r="40306">
      <c r="B40306" s="31"/>
      <c r="G40306" s="272" t="s">
        <v>1099</v>
      </c>
    </row>
    <row r="40307">
      <c r="B40307" s="31"/>
      <c r="G40307" s="272" t="s">
        <v>1099</v>
      </c>
    </row>
    <row r="40308">
      <c r="B40308" s="31"/>
      <c r="G40308" s="272" t="s">
        <v>1099</v>
      </c>
    </row>
    <row r="40309">
      <c r="B40309" s="31"/>
      <c r="G40309" s="272" t="s">
        <v>1099</v>
      </c>
    </row>
    <row r="40310">
      <c r="B40310" s="31"/>
      <c r="G40310" s="272" t="s">
        <v>1099</v>
      </c>
    </row>
    <row r="40311">
      <c r="B40311" s="31"/>
      <c r="G40311" s="272" t="s">
        <v>1099</v>
      </c>
    </row>
    <row r="40312">
      <c r="B40312" s="31"/>
      <c r="G40312" s="272" t="s">
        <v>1099</v>
      </c>
    </row>
    <row r="40313">
      <c r="B40313" s="31"/>
      <c r="G40313" s="272" t="s">
        <v>1099</v>
      </c>
    </row>
    <row r="40314">
      <c r="B40314" s="31"/>
      <c r="G40314" s="272" t="s">
        <v>1099</v>
      </c>
    </row>
    <row r="40315">
      <c r="B40315" s="31"/>
      <c r="G40315" s="272" t="s">
        <v>1099</v>
      </c>
    </row>
    <row r="40316">
      <c r="B40316" s="31"/>
      <c r="G40316" s="272" t="s">
        <v>1099</v>
      </c>
    </row>
    <row r="40317">
      <c r="B40317" s="31"/>
      <c r="G40317" s="272" t="s">
        <v>1099</v>
      </c>
    </row>
    <row r="40318">
      <c r="B40318" s="31"/>
      <c r="G40318" s="272" t="s">
        <v>1099</v>
      </c>
    </row>
    <row r="40319">
      <c r="B40319" s="31"/>
      <c r="G40319" s="272" t="s">
        <v>1099</v>
      </c>
    </row>
    <row r="40320">
      <c r="B40320" s="31"/>
      <c r="G40320" s="272" t="s">
        <v>1099</v>
      </c>
    </row>
    <row r="40321">
      <c r="B40321" s="31"/>
      <c r="G40321" s="272" t="s">
        <v>1099</v>
      </c>
    </row>
    <row r="40322">
      <c r="B40322" s="31"/>
      <c r="G40322" s="272" t="s">
        <v>1099</v>
      </c>
    </row>
    <row r="40323">
      <c r="B40323" s="31"/>
      <c r="G40323" s="272" t="s">
        <v>1099</v>
      </c>
    </row>
    <row r="40324">
      <c r="B40324" s="31"/>
      <c r="G40324" s="272" t="s">
        <v>1099</v>
      </c>
    </row>
    <row r="40325">
      <c r="B40325" s="31"/>
      <c r="G40325" s="272" t="s">
        <v>1099</v>
      </c>
    </row>
    <row r="40326">
      <c r="B40326" s="31"/>
      <c r="G40326" s="272" t="s">
        <v>1099</v>
      </c>
    </row>
    <row r="40327">
      <c r="B40327" s="31"/>
      <c r="G40327" s="272" t="s">
        <v>1099</v>
      </c>
    </row>
    <row r="40328">
      <c r="B40328" s="31"/>
      <c r="G40328" s="272" t="s">
        <v>1099</v>
      </c>
    </row>
    <row r="40329">
      <c r="B40329" s="31"/>
      <c r="G40329" s="272" t="s">
        <v>1099</v>
      </c>
    </row>
    <row r="40330">
      <c r="B40330" s="31"/>
      <c r="G40330" s="272" t="s">
        <v>1099</v>
      </c>
    </row>
    <row r="40331">
      <c r="B40331" s="31"/>
      <c r="G40331" s="272" t="s">
        <v>1099</v>
      </c>
    </row>
    <row r="40332">
      <c r="B40332" s="31"/>
      <c r="G40332" s="272" t="s">
        <v>1099</v>
      </c>
    </row>
    <row r="40333">
      <c r="B40333" s="31"/>
      <c r="G40333" s="272" t="s">
        <v>1099</v>
      </c>
    </row>
    <row r="40334">
      <c r="B40334" s="31"/>
      <c r="G40334" s="272" t="s">
        <v>1099</v>
      </c>
    </row>
    <row r="40335">
      <c r="B40335" s="31"/>
      <c r="G40335" s="272" t="s">
        <v>1099</v>
      </c>
    </row>
    <row r="40336">
      <c r="B40336" s="31"/>
      <c r="G40336" s="272" t="s">
        <v>1099</v>
      </c>
    </row>
    <row r="40337">
      <c r="B40337" s="31"/>
      <c r="G40337" s="272" t="s">
        <v>1099</v>
      </c>
    </row>
    <row r="40338">
      <c r="B40338" s="31"/>
      <c r="G40338" s="272" t="s">
        <v>1099</v>
      </c>
    </row>
    <row r="40339">
      <c r="B40339" s="31"/>
      <c r="G40339" s="272" t="s">
        <v>1099</v>
      </c>
    </row>
    <row r="40340">
      <c r="B40340" s="31"/>
      <c r="G40340" s="272" t="s">
        <v>1099</v>
      </c>
    </row>
    <row r="40341">
      <c r="B40341" s="31"/>
      <c r="G40341" s="272" t="s">
        <v>1099</v>
      </c>
    </row>
    <row r="40342">
      <c r="B40342" s="31"/>
      <c r="G40342" s="272" t="s">
        <v>1099</v>
      </c>
    </row>
    <row r="40343">
      <c r="B40343" s="31"/>
      <c r="G40343" s="272" t="s">
        <v>1099</v>
      </c>
    </row>
    <row r="40344">
      <c r="B40344" s="31"/>
      <c r="G40344" s="272" t="s">
        <v>1099</v>
      </c>
    </row>
    <row r="40345">
      <c r="B40345" s="31"/>
      <c r="G40345" s="272" t="s">
        <v>1099</v>
      </c>
    </row>
    <row r="40346">
      <c r="B40346" s="31"/>
      <c r="G40346" s="272" t="s">
        <v>1099</v>
      </c>
    </row>
    <row r="40347">
      <c r="B40347" s="31"/>
      <c r="G40347" s="272" t="s">
        <v>1099</v>
      </c>
    </row>
    <row r="40348">
      <c r="B40348" s="31"/>
      <c r="G40348" s="272" t="s">
        <v>1099</v>
      </c>
    </row>
    <row r="40349">
      <c r="B40349" s="31"/>
      <c r="G40349" s="272" t="s">
        <v>1099</v>
      </c>
    </row>
    <row r="40350">
      <c r="B40350" s="31"/>
      <c r="G40350" s="272" t="s">
        <v>1099</v>
      </c>
    </row>
    <row r="40351">
      <c r="B40351" s="31"/>
      <c r="G40351" s="272" t="s">
        <v>1099</v>
      </c>
    </row>
    <row r="40352">
      <c r="B40352" s="31"/>
      <c r="G40352" s="272" t="s">
        <v>1099</v>
      </c>
    </row>
    <row r="40353">
      <c r="B40353" s="31"/>
      <c r="G40353" s="272" t="s">
        <v>1099</v>
      </c>
    </row>
    <row r="40354">
      <c r="B40354" s="31"/>
      <c r="G40354" s="272" t="s">
        <v>1099</v>
      </c>
    </row>
    <row r="40355">
      <c r="B40355" s="31"/>
      <c r="G40355" s="272" t="s">
        <v>1099</v>
      </c>
    </row>
    <row r="40356">
      <c r="B40356" s="31"/>
      <c r="G40356" s="272" t="s">
        <v>1099</v>
      </c>
    </row>
    <row r="40357">
      <c r="B40357" s="31"/>
      <c r="G40357" s="272" t="s">
        <v>1099</v>
      </c>
    </row>
    <row r="40358">
      <c r="B40358" s="31"/>
      <c r="G40358" s="272" t="s">
        <v>1099</v>
      </c>
    </row>
    <row r="40359">
      <c r="B40359" s="31"/>
      <c r="G40359" s="272" t="s">
        <v>1099</v>
      </c>
    </row>
    <row r="40360">
      <c r="B40360" s="31"/>
      <c r="G40360" s="272" t="s">
        <v>1099</v>
      </c>
    </row>
    <row r="40361">
      <c r="B40361" s="31"/>
      <c r="G40361" s="272" t="s">
        <v>1099</v>
      </c>
    </row>
    <row r="40362">
      <c r="B40362" s="31"/>
      <c r="G40362" s="272" t="s">
        <v>1099</v>
      </c>
    </row>
    <row r="40363">
      <c r="B40363" s="31"/>
      <c r="G40363" s="272" t="s">
        <v>1099</v>
      </c>
    </row>
    <row r="40364">
      <c r="B40364" s="31"/>
      <c r="G40364" s="272" t="s">
        <v>1099</v>
      </c>
    </row>
    <row r="40365">
      <c r="B40365" s="31"/>
      <c r="G40365" s="272" t="s">
        <v>1099</v>
      </c>
    </row>
    <row r="40366">
      <c r="B40366" s="31"/>
      <c r="G40366" s="272" t="s">
        <v>1099</v>
      </c>
    </row>
    <row r="40367">
      <c r="B40367" s="31"/>
      <c r="G40367" s="272" t="s">
        <v>1099</v>
      </c>
    </row>
    <row r="40368">
      <c r="B40368" s="31"/>
      <c r="G40368" s="272" t="s">
        <v>1099</v>
      </c>
    </row>
    <row r="40369">
      <c r="B40369" s="31"/>
      <c r="G40369" s="272" t="s">
        <v>1099</v>
      </c>
    </row>
    <row r="40370">
      <c r="B40370" s="31"/>
      <c r="G40370" s="272" t="s">
        <v>1099</v>
      </c>
    </row>
    <row r="40371">
      <c r="B40371" s="31"/>
      <c r="G40371" s="272" t="s">
        <v>1099</v>
      </c>
    </row>
    <row r="40372">
      <c r="B40372" s="31"/>
      <c r="G40372" s="272" t="s">
        <v>1099</v>
      </c>
    </row>
    <row r="40373">
      <c r="B40373" s="31"/>
      <c r="G40373" s="272" t="s">
        <v>1099</v>
      </c>
    </row>
    <row r="40374">
      <c r="B40374" s="31"/>
      <c r="G40374" s="272" t="s">
        <v>1099</v>
      </c>
    </row>
    <row r="40375">
      <c r="B40375" s="31"/>
      <c r="G40375" s="272" t="s">
        <v>1099</v>
      </c>
    </row>
    <row r="40376">
      <c r="B40376" s="31"/>
      <c r="G40376" s="272" t="s">
        <v>1099</v>
      </c>
    </row>
    <row r="40377">
      <c r="B40377" s="31"/>
      <c r="G40377" s="272" t="s">
        <v>1099</v>
      </c>
    </row>
    <row r="40378">
      <c r="B40378" s="31"/>
      <c r="G40378" s="272" t="s">
        <v>1099</v>
      </c>
    </row>
    <row r="40379">
      <c r="B40379" s="31"/>
      <c r="G40379" s="272" t="s">
        <v>1099</v>
      </c>
    </row>
    <row r="40380">
      <c r="B40380" s="31"/>
      <c r="G40380" s="272" t="s">
        <v>1099</v>
      </c>
    </row>
    <row r="40381">
      <c r="B40381" s="31"/>
      <c r="G40381" s="272" t="s">
        <v>1099</v>
      </c>
    </row>
    <row r="40382">
      <c r="B40382" s="31"/>
      <c r="G40382" s="272" t="s">
        <v>1099</v>
      </c>
    </row>
    <row r="40383">
      <c r="B40383" s="31"/>
      <c r="G40383" s="272" t="s">
        <v>1099</v>
      </c>
    </row>
    <row r="40384">
      <c r="B40384" s="31"/>
      <c r="G40384" s="272" t="s">
        <v>1099</v>
      </c>
    </row>
    <row r="40385">
      <c r="B40385" s="31"/>
      <c r="G40385" s="272" t="s">
        <v>1099</v>
      </c>
    </row>
    <row r="40386">
      <c r="B40386" s="31"/>
      <c r="G40386" s="272" t="s">
        <v>1099</v>
      </c>
    </row>
    <row r="40387">
      <c r="B40387" s="31"/>
      <c r="G40387" s="272" t="s">
        <v>1099</v>
      </c>
    </row>
    <row r="40388">
      <c r="B40388" s="31"/>
      <c r="G40388" s="272" t="s">
        <v>1099</v>
      </c>
    </row>
    <row r="40389">
      <c r="B40389" s="31"/>
      <c r="G40389" s="272" t="s">
        <v>1099</v>
      </c>
    </row>
    <row r="40390">
      <c r="B40390" s="31"/>
      <c r="G40390" s="272" t="s">
        <v>1099</v>
      </c>
    </row>
    <row r="40391">
      <c r="B40391" s="31"/>
      <c r="G40391" s="272" t="s">
        <v>1099</v>
      </c>
    </row>
    <row r="40392">
      <c r="B40392" s="31"/>
      <c r="G40392" s="272" t="s">
        <v>1099</v>
      </c>
    </row>
    <row r="40393">
      <c r="B40393" s="31"/>
      <c r="G40393" s="272" t="s">
        <v>1099</v>
      </c>
    </row>
    <row r="40394">
      <c r="B40394" s="31"/>
      <c r="G40394" s="272" t="s">
        <v>1099</v>
      </c>
    </row>
    <row r="40395">
      <c r="B40395" s="31"/>
      <c r="G40395" s="272" t="s">
        <v>1099</v>
      </c>
    </row>
    <row r="40396">
      <c r="B40396" s="31"/>
      <c r="G40396" s="272" t="s">
        <v>1099</v>
      </c>
    </row>
    <row r="40397">
      <c r="B40397" s="31"/>
      <c r="G40397" s="272" t="s">
        <v>1099</v>
      </c>
    </row>
    <row r="40398">
      <c r="B40398" s="31"/>
      <c r="G40398" s="272" t="s">
        <v>1099</v>
      </c>
    </row>
    <row r="40399">
      <c r="B40399" s="31"/>
      <c r="G40399" s="272" t="s">
        <v>1099</v>
      </c>
    </row>
    <row r="40400">
      <c r="B40400" s="31"/>
      <c r="G40400" s="272" t="s">
        <v>1099</v>
      </c>
    </row>
    <row r="40401">
      <c r="B40401" s="31"/>
      <c r="G40401" s="272" t="s">
        <v>1099</v>
      </c>
    </row>
    <row r="40402">
      <c r="B40402" s="31"/>
      <c r="G40402" s="272" t="s">
        <v>1099</v>
      </c>
    </row>
    <row r="40403">
      <c r="B40403" s="31"/>
      <c r="G40403" s="272" t="s">
        <v>1099</v>
      </c>
    </row>
    <row r="40404">
      <c r="B40404" s="31"/>
      <c r="G40404" s="272" t="s">
        <v>1099</v>
      </c>
    </row>
    <row r="40405">
      <c r="B40405" s="31"/>
      <c r="G40405" s="272" t="s">
        <v>1099</v>
      </c>
    </row>
    <row r="40406">
      <c r="B40406" s="31"/>
      <c r="G40406" s="272" t="s">
        <v>1099</v>
      </c>
    </row>
    <row r="40407">
      <c r="B40407" s="31"/>
      <c r="G40407" s="272" t="s">
        <v>1099</v>
      </c>
    </row>
    <row r="40408">
      <c r="B40408" s="31"/>
      <c r="G40408" s="272" t="s">
        <v>1099</v>
      </c>
    </row>
    <row r="40409">
      <c r="B40409" s="31"/>
      <c r="G40409" s="272" t="s">
        <v>1099</v>
      </c>
    </row>
    <row r="40410">
      <c r="B40410" s="31"/>
      <c r="G40410" s="272" t="s">
        <v>1099</v>
      </c>
    </row>
    <row r="40411">
      <c r="B40411" s="31"/>
      <c r="G40411" s="272" t="s">
        <v>1099</v>
      </c>
    </row>
    <row r="40412">
      <c r="B40412" s="31"/>
      <c r="G40412" s="272" t="s">
        <v>1099</v>
      </c>
    </row>
    <row r="40413">
      <c r="B40413" s="31"/>
      <c r="G40413" s="272" t="s">
        <v>1099</v>
      </c>
    </row>
    <row r="40414">
      <c r="B40414" s="31"/>
      <c r="G40414" s="272" t="s">
        <v>1099</v>
      </c>
    </row>
    <row r="40415">
      <c r="B40415" s="31"/>
      <c r="G40415" s="272" t="s">
        <v>1099</v>
      </c>
    </row>
    <row r="40416">
      <c r="B40416" s="31"/>
      <c r="G40416" s="272" t="s">
        <v>1099</v>
      </c>
    </row>
    <row r="40417">
      <c r="B40417" s="31"/>
      <c r="G40417" s="272" t="s">
        <v>1099</v>
      </c>
    </row>
    <row r="40418">
      <c r="B40418" s="31"/>
      <c r="G40418" s="272" t="s">
        <v>1099</v>
      </c>
    </row>
    <row r="40419">
      <c r="B40419" s="31"/>
      <c r="G40419" s="272" t="s">
        <v>1099</v>
      </c>
    </row>
    <row r="40420">
      <c r="B40420" s="31"/>
      <c r="G40420" s="272" t="s">
        <v>1099</v>
      </c>
    </row>
    <row r="40421">
      <c r="B40421" s="31"/>
      <c r="G40421" s="272" t="s">
        <v>1099</v>
      </c>
    </row>
    <row r="40422">
      <c r="B40422" s="31"/>
      <c r="G40422" s="272" t="s">
        <v>1099</v>
      </c>
    </row>
    <row r="40423">
      <c r="B40423" s="31"/>
      <c r="G40423" s="272" t="s">
        <v>1099</v>
      </c>
    </row>
    <row r="40424">
      <c r="B40424" s="31"/>
      <c r="G40424" s="272" t="s">
        <v>1099</v>
      </c>
    </row>
    <row r="40425">
      <c r="B40425" s="31"/>
      <c r="G40425" s="272" t="s">
        <v>1099</v>
      </c>
    </row>
    <row r="40426">
      <c r="B40426" s="31"/>
      <c r="G40426" s="272" t="s">
        <v>1099</v>
      </c>
    </row>
    <row r="40427">
      <c r="B40427" s="31"/>
      <c r="G40427" s="272" t="s">
        <v>1099</v>
      </c>
    </row>
    <row r="40428">
      <c r="B40428" s="31"/>
      <c r="G40428" s="272" t="s">
        <v>1099</v>
      </c>
    </row>
    <row r="40429">
      <c r="B40429" s="31"/>
      <c r="G40429" s="272" t="s">
        <v>1099</v>
      </c>
    </row>
    <row r="40430">
      <c r="B40430" s="31"/>
      <c r="G40430" s="272" t="s">
        <v>1099</v>
      </c>
    </row>
    <row r="40431">
      <c r="B40431" s="31"/>
      <c r="G40431" s="272" t="s">
        <v>1099</v>
      </c>
    </row>
    <row r="40432">
      <c r="B40432" s="31"/>
      <c r="G40432" s="272" t="s">
        <v>1099</v>
      </c>
    </row>
    <row r="40433">
      <c r="B40433" s="31"/>
      <c r="G40433" s="272" t="s">
        <v>1099</v>
      </c>
    </row>
    <row r="40434">
      <c r="B40434" s="31"/>
      <c r="G40434" s="272" t="s">
        <v>1099</v>
      </c>
    </row>
    <row r="40435">
      <c r="B40435" s="31"/>
      <c r="G40435" s="272" t="s">
        <v>1099</v>
      </c>
    </row>
    <row r="40436">
      <c r="B40436" s="31"/>
      <c r="G40436" s="272" t="s">
        <v>1099</v>
      </c>
    </row>
    <row r="40437">
      <c r="B40437" s="31"/>
      <c r="G40437" s="272" t="s">
        <v>1099</v>
      </c>
    </row>
    <row r="40438">
      <c r="B40438" s="31"/>
      <c r="G40438" s="272" t="s">
        <v>1099</v>
      </c>
    </row>
    <row r="40439">
      <c r="B40439" s="31"/>
      <c r="G40439" s="272" t="s">
        <v>1099</v>
      </c>
    </row>
    <row r="40440">
      <c r="B40440" s="31"/>
      <c r="G40440" s="272" t="s">
        <v>1099</v>
      </c>
    </row>
    <row r="40441">
      <c r="B40441" s="31"/>
      <c r="G40441" s="272" t="s">
        <v>1099</v>
      </c>
    </row>
    <row r="40442">
      <c r="B40442" s="31"/>
      <c r="G40442" s="272" t="s">
        <v>1099</v>
      </c>
    </row>
    <row r="40443">
      <c r="B40443" s="31"/>
      <c r="G40443" s="272" t="s">
        <v>1099</v>
      </c>
    </row>
    <row r="40444">
      <c r="B40444" s="31"/>
      <c r="G40444" s="272" t="s">
        <v>1099</v>
      </c>
    </row>
    <row r="40445">
      <c r="B40445" s="31"/>
      <c r="G40445" s="272" t="s">
        <v>1099</v>
      </c>
    </row>
    <row r="40446">
      <c r="B40446" s="31"/>
      <c r="G40446" s="272" t="s">
        <v>1099</v>
      </c>
    </row>
    <row r="40447">
      <c r="B40447" s="31"/>
      <c r="G40447" s="272" t="s">
        <v>1099</v>
      </c>
    </row>
    <row r="40448">
      <c r="B40448" s="31"/>
      <c r="G40448" s="272" t="s">
        <v>1099</v>
      </c>
    </row>
    <row r="40449">
      <c r="B40449" s="31"/>
      <c r="G40449" s="272" t="s">
        <v>1099</v>
      </c>
    </row>
    <row r="40450">
      <c r="B40450" s="31"/>
      <c r="G40450" s="272" t="s">
        <v>1099</v>
      </c>
    </row>
    <row r="40451">
      <c r="B40451" s="31"/>
      <c r="G40451" s="272" t="s">
        <v>1099</v>
      </c>
    </row>
    <row r="40452">
      <c r="B40452" s="31"/>
      <c r="G40452" s="272" t="s">
        <v>1099</v>
      </c>
    </row>
    <row r="40453">
      <c r="B40453" s="31"/>
      <c r="G40453" s="272" t="s">
        <v>1099</v>
      </c>
    </row>
    <row r="40454">
      <c r="B40454" s="31"/>
      <c r="G40454" s="272" t="s">
        <v>1099</v>
      </c>
    </row>
    <row r="40455">
      <c r="B40455" s="31"/>
      <c r="G40455" s="272" t="s">
        <v>1099</v>
      </c>
    </row>
    <row r="40456">
      <c r="B40456" s="31"/>
      <c r="G40456" s="272" t="s">
        <v>1099</v>
      </c>
    </row>
    <row r="40457">
      <c r="B40457" s="31"/>
      <c r="G40457" s="272" t="s">
        <v>1099</v>
      </c>
    </row>
    <row r="40458">
      <c r="B40458" s="31"/>
      <c r="G40458" s="272" t="s">
        <v>1099</v>
      </c>
    </row>
    <row r="40459">
      <c r="B40459" s="31"/>
      <c r="G40459" s="272" t="s">
        <v>1099</v>
      </c>
    </row>
    <row r="40460">
      <c r="B40460" s="31"/>
      <c r="G40460" s="272" t="s">
        <v>1099</v>
      </c>
    </row>
    <row r="40461">
      <c r="B40461" s="31"/>
      <c r="G40461" s="272" t="s">
        <v>1099</v>
      </c>
    </row>
    <row r="40462">
      <c r="B40462" s="31"/>
      <c r="G40462" s="272" t="s">
        <v>1099</v>
      </c>
    </row>
    <row r="40463">
      <c r="B40463" s="31"/>
      <c r="G40463" s="272" t="s">
        <v>1099</v>
      </c>
    </row>
    <row r="40464">
      <c r="B40464" s="31"/>
      <c r="G40464" s="272" t="s">
        <v>1099</v>
      </c>
    </row>
    <row r="40465">
      <c r="B40465" s="31"/>
      <c r="G40465" s="272" t="s">
        <v>1099</v>
      </c>
    </row>
    <row r="40466">
      <c r="B40466" s="31"/>
      <c r="G40466" s="272" t="s">
        <v>1099</v>
      </c>
    </row>
    <row r="40467">
      <c r="B40467" s="31"/>
      <c r="G40467" s="272" t="s">
        <v>1099</v>
      </c>
    </row>
    <row r="40468">
      <c r="B40468" s="31"/>
      <c r="G40468" s="272" t="s">
        <v>1099</v>
      </c>
    </row>
    <row r="40469">
      <c r="B40469" s="31"/>
      <c r="G40469" s="272" t="s">
        <v>1099</v>
      </c>
    </row>
    <row r="40470">
      <c r="B40470" s="31"/>
      <c r="G40470" s="272" t="s">
        <v>1099</v>
      </c>
    </row>
    <row r="40471">
      <c r="B40471" s="31"/>
      <c r="G40471" s="272" t="s">
        <v>1099</v>
      </c>
    </row>
    <row r="40472">
      <c r="B40472" s="31"/>
      <c r="G40472" s="272" t="s">
        <v>1099</v>
      </c>
    </row>
    <row r="40473">
      <c r="B40473" s="31"/>
      <c r="G40473" s="272" t="s">
        <v>1099</v>
      </c>
    </row>
    <row r="40474">
      <c r="B40474" s="31"/>
      <c r="G40474" s="272" t="s">
        <v>1099</v>
      </c>
    </row>
    <row r="40475">
      <c r="B40475" s="31"/>
      <c r="G40475" s="272" t="s">
        <v>1099</v>
      </c>
    </row>
    <row r="40476">
      <c r="B40476" s="31"/>
      <c r="G40476" s="272" t="s">
        <v>1099</v>
      </c>
    </row>
    <row r="40477">
      <c r="B40477" s="31"/>
      <c r="G40477" s="272" t="s">
        <v>1099</v>
      </c>
    </row>
    <row r="40478">
      <c r="B40478" s="31"/>
      <c r="G40478" s="272" t="s">
        <v>1099</v>
      </c>
    </row>
    <row r="40479">
      <c r="B40479" s="31"/>
      <c r="G40479" s="272" t="s">
        <v>1099</v>
      </c>
    </row>
    <row r="40480">
      <c r="B40480" s="31"/>
      <c r="G40480" s="272" t="s">
        <v>1099</v>
      </c>
    </row>
    <row r="40481">
      <c r="B40481" s="31"/>
      <c r="G40481" s="272" t="s">
        <v>1099</v>
      </c>
    </row>
    <row r="40482">
      <c r="B40482" s="31"/>
      <c r="G40482" s="272" t="s">
        <v>1099</v>
      </c>
    </row>
    <row r="40483">
      <c r="B40483" s="31"/>
      <c r="G40483" s="272" t="s">
        <v>1099</v>
      </c>
    </row>
    <row r="40484">
      <c r="B40484" s="31"/>
      <c r="G40484" s="272" t="s">
        <v>1099</v>
      </c>
    </row>
    <row r="40485">
      <c r="B40485" s="31"/>
      <c r="G40485" s="272" t="s">
        <v>1099</v>
      </c>
    </row>
    <row r="40486">
      <c r="B40486" s="31"/>
      <c r="G40486" s="272" t="s">
        <v>1099</v>
      </c>
    </row>
    <row r="40487">
      <c r="B40487" s="31"/>
      <c r="G40487" s="272" t="s">
        <v>1099</v>
      </c>
    </row>
    <row r="40488">
      <c r="B40488" s="31"/>
      <c r="G40488" s="272" t="s">
        <v>1099</v>
      </c>
    </row>
    <row r="40489">
      <c r="B40489" s="31"/>
      <c r="G40489" s="272" t="s">
        <v>1099</v>
      </c>
    </row>
    <row r="40490">
      <c r="B40490" s="31"/>
      <c r="G40490" s="272" t="s">
        <v>1099</v>
      </c>
    </row>
    <row r="40491">
      <c r="B40491" s="31"/>
      <c r="G40491" s="272" t="s">
        <v>1099</v>
      </c>
    </row>
    <row r="40492">
      <c r="B40492" s="31"/>
      <c r="G40492" s="272" t="s">
        <v>1099</v>
      </c>
    </row>
    <row r="40493">
      <c r="B40493" s="31"/>
      <c r="G40493" s="272" t="s">
        <v>1099</v>
      </c>
    </row>
    <row r="40494">
      <c r="B40494" s="31"/>
      <c r="G40494" s="272" t="s">
        <v>1099</v>
      </c>
    </row>
    <row r="40495">
      <c r="B40495" s="31"/>
      <c r="G40495" s="272" t="s">
        <v>1099</v>
      </c>
    </row>
    <row r="40496">
      <c r="B40496" s="31"/>
      <c r="G40496" s="272" t="s">
        <v>1099</v>
      </c>
    </row>
    <row r="40497">
      <c r="B40497" s="31"/>
      <c r="G40497" s="272" t="s">
        <v>1099</v>
      </c>
    </row>
    <row r="40498">
      <c r="B40498" s="31"/>
      <c r="G40498" s="272" t="s">
        <v>1099</v>
      </c>
    </row>
    <row r="40499">
      <c r="B40499" s="31"/>
      <c r="G40499" s="272" t="s">
        <v>1099</v>
      </c>
    </row>
    <row r="40500">
      <c r="B40500" s="31"/>
      <c r="G40500" s="272" t="s">
        <v>1099</v>
      </c>
    </row>
    <row r="40501">
      <c r="B40501" s="31"/>
      <c r="G40501" s="272" t="s">
        <v>1099</v>
      </c>
    </row>
    <row r="40502">
      <c r="B40502" s="31"/>
      <c r="G40502" s="272" t="s">
        <v>1099</v>
      </c>
    </row>
    <row r="40503">
      <c r="B40503" s="31"/>
      <c r="G40503" s="272" t="s">
        <v>1099</v>
      </c>
    </row>
    <row r="40504">
      <c r="B40504" s="31"/>
      <c r="G40504" s="272" t="s">
        <v>1099</v>
      </c>
    </row>
    <row r="40505">
      <c r="B40505" s="31"/>
      <c r="G40505" s="272" t="s">
        <v>1099</v>
      </c>
    </row>
    <row r="40506">
      <c r="B40506" s="31"/>
      <c r="G40506" s="272" t="s">
        <v>1099</v>
      </c>
    </row>
    <row r="40507">
      <c r="B40507" s="31"/>
      <c r="G40507" s="272" t="s">
        <v>1099</v>
      </c>
    </row>
    <row r="40508">
      <c r="B40508" s="31"/>
      <c r="G40508" s="272" t="s">
        <v>1099</v>
      </c>
    </row>
    <row r="40509">
      <c r="B40509" s="31"/>
      <c r="G40509" s="272" t="s">
        <v>1099</v>
      </c>
    </row>
    <row r="40510">
      <c r="B40510" s="31"/>
      <c r="G40510" s="272" t="s">
        <v>1099</v>
      </c>
    </row>
    <row r="40511">
      <c r="B40511" s="31"/>
      <c r="G40511" s="272" t="s">
        <v>1099</v>
      </c>
    </row>
    <row r="40512">
      <c r="B40512" s="31"/>
      <c r="G40512" s="272" t="s">
        <v>1099</v>
      </c>
    </row>
    <row r="40513">
      <c r="B40513" s="31"/>
      <c r="G40513" s="272" t="s">
        <v>1099</v>
      </c>
    </row>
    <row r="40514">
      <c r="B40514" s="31"/>
      <c r="G40514" s="272" t="s">
        <v>1099</v>
      </c>
    </row>
    <row r="40515">
      <c r="B40515" s="31"/>
      <c r="G40515" s="272" t="s">
        <v>1099</v>
      </c>
    </row>
    <row r="40516">
      <c r="B40516" s="31"/>
      <c r="G40516" s="272" t="s">
        <v>1099</v>
      </c>
    </row>
    <row r="40517">
      <c r="B40517" s="31"/>
      <c r="G40517" s="272" t="s">
        <v>1099</v>
      </c>
    </row>
    <row r="40518">
      <c r="B40518" s="31"/>
      <c r="G40518" s="272" t="s">
        <v>1099</v>
      </c>
    </row>
    <row r="40519">
      <c r="B40519" s="31"/>
      <c r="G40519" s="272" t="s">
        <v>1099</v>
      </c>
    </row>
    <row r="40520">
      <c r="B40520" s="31"/>
      <c r="G40520" s="272" t="s">
        <v>1099</v>
      </c>
    </row>
    <row r="40521">
      <c r="B40521" s="31"/>
      <c r="G40521" s="272" t="s">
        <v>1099</v>
      </c>
    </row>
    <row r="40522">
      <c r="B40522" s="31"/>
      <c r="G40522" s="272" t="s">
        <v>1099</v>
      </c>
    </row>
    <row r="40523">
      <c r="B40523" s="31"/>
      <c r="G40523" s="272" t="s">
        <v>1099</v>
      </c>
    </row>
    <row r="40524">
      <c r="B40524" s="31"/>
      <c r="G40524" s="272" t="s">
        <v>1099</v>
      </c>
    </row>
    <row r="40525">
      <c r="B40525" s="31"/>
      <c r="G40525" s="272" t="s">
        <v>1099</v>
      </c>
    </row>
    <row r="40526">
      <c r="B40526" s="31"/>
      <c r="G40526" s="272" t="s">
        <v>1099</v>
      </c>
    </row>
    <row r="40527">
      <c r="B40527" s="31"/>
      <c r="G40527" s="272" t="s">
        <v>1099</v>
      </c>
    </row>
    <row r="40528">
      <c r="B40528" s="31"/>
      <c r="G40528" s="272" t="s">
        <v>1099</v>
      </c>
    </row>
    <row r="40529">
      <c r="B40529" s="31"/>
      <c r="G40529" s="272" t="s">
        <v>1099</v>
      </c>
    </row>
    <row r="40530">
      <c r="B40530" s="31"/>
      <c r="G40530" s="272" t="s">
        <v>1099</v>
      </c>
    </row>
    <row r="40531">
      <c r="B40531" s="31"/>
      <c r="G40531" s="272" t="s">
        <v>1099</v>
      </c>
    </row>
    <row r="40532">
      <c r="B40532" s="31"/>
      <c r="G40532" s="272" t="s">
        <v>1099</v>
      </c>
    </row>
    <row r="40533">
      <c r="B40533" s="31"/>
      <c r="G40533" s="272" t="s">
        <v>1099</v>
      </c>
    </row>
    <row r="40534">
      <c r="B40534" s="31"/>
      <c r="G40534" s="272" t="s">
        <v>1099</v>
      </c>
    </row>
    <row r="40535">
      <c r="B40535" s="31"/>
      <c r="G40535" s="272" t="s">
        <v>1099</v>
      </c>
    </row>
    <row r="40536">
      <c r="B40536" s="31"/>
      <c r="G40536" s="272" t="s">
        <v>1099</v>
      </c>
    </row>
    <row r="40537">
      <c r="B40537" s="31"/>
      <c r="G40537" s="272" t="s">
        <v>1099</v>
      </c>
    </row>
    <row r="40538">
      <c r="B40538" s="31"/>
      <c r="G40538" s="272" t="s">
        <v>1099</v>
      </c>
    </row>
    <row r="40539">
      <c r="B40539" s="31"/>
      <c r="G40539" s="272" t="s">
        <v>1099</v>
      </c>
    </row>
    <row r="40540">
      <c r="B40540" s="31"/>
      <c r="G40540" s="272" t="s">
        <v>1099</v>
      </c>
    </row>
    <row r="40541">
      <c r="B40541" s="31"/>
      <c r="G40541" s="272" t="s">
        <v>1099</v>
      </c>
    </row>
    <row r="40542">
      <c r="B40542" s="31"/>
      <c r="G40542" s="272" t="s">
        <v>1099</v>
      </c>
    </row>
    <row r="40543">
      <c r="B40543" s="31"/>
      <c r="G40543" s="272" t="s">
        <v>1099</v>
      </c>
    </row>
    <row r="40544">
      <c r="B40544" s="31"/>
      <c r="G40544" s="272" t="s">
        <v>1099</v>
      </c>
    </row>
    <row r="40545">
      <c r="B40545" s="31"/>
      <c r="G40545" s="272" t="s">
        <v>1099</v>
      </c>
    </row>
    <row r="40546">
      <c r="B40546" s="31"/>
      <c r="G40546" s="272" t="s">
        <v>1099</v>
      </c>
    </row>
    <row r="40547">
      <c r="B40547" s="31"/>
      <c r="G40547" s="272" t="s">
        <v>1099</v>
      </c>
    </row>
    <row r="40548">
      <c r="B40548" s="31"/>
      <c r="G40548" s="272" t="s">
        <v>1099</v>
      </c>
    </row>
    <row r="40549">
      <c r="B40549" s="31"/>
      <c r="G40549" s="272" t="s">
        <v>1099</v>
      </c>
    </row>
    <row r="40550">
      <c r="B40550" s="31"/>
      <c r="G40550" s="272" t="s">
        <v>1099</v>
      </c>
    </row>
    <row r="40551">
      <c r="B40551" s="31"/>
      <c r="G40551" s="272" t="s">
        <v>1099</v>
      </c>
    </row>
    <row r="40552">
      <c r="B40552" s="31"/>
      <c r="G40552" s="272" t="s">
        <v>1099</v>
      </c>
    </row>
    <row r="40553">
      <c r="B40553" s="31"/>
      <c r="G40553" s="272" t="s">
        <v>1099</v>
      </c>
    </row>
    <row r="40554">
      <c r="B40554" s="31"/>
      <c r="G40554" s="272" t="s">
        <v>1099</v>
      </c>
    </row>
    <row r="40555">
      <c r="B40555" s="31"/>
      <c r="G40555" s="272" t="s">
        <v>1099</v>
      </c>
    </row>
    <row r="40556">
      <c r="B40556" s="31"/>
      <c r="G40556" s="272" t="s">
        <v>1099</v>
      </c>
    </row>
    <row r="40557">
      <c r="B40557" s="31"/>
      <c r="G40557" s="272" t="s">
        <v>1099</v>
      </c>
    </row>
    <row r="40558">
      <c r="B40558" s="31"/>
      <c r="G40558" s="272" t="s">
        <v>1099</v>
      </c>
    </row>
    <row r="40559">
      <c r="B40559" s="31"/>
      <c r="G40559" s="272" t="s">
        <v>1099</v>
      </c>
    </row>
    <row r="40560">
      <c r="B40560" s="31"/>
      <c r="G40560" s="272" t="s">
        <v>1099</v>
      </c>
    </row>
    <row r="40561">
      <c r="B40561" s="31"/>
      <c r="G40561" s="272" t="s">
        <v>1099</v>
      </c>
    </row>
    <row r="40562">
      <c r="B40562" s="31"/>
      <c r="G40562" s="272" t="s">
        <v>1099</v>
      </c>
    </row>
    <row r="40563">
      <c r="B40563" s="31"/>
      <c r="G40563" s="272" t="s">
        <v>1099</v>
      </c>
    </row>
    <row r="40564">
      <c r="B40564" s="31"/>
      <c r="G40564" s="272" t="s">
        <v>1099</v>
      </c>
    </row>
    <row r="40565">
      <c r="B40565" s="31"/>
      <c r="G40565" s="272" t="s">
        <v>1099</v>
      </c>
    </row>
    <row r="40566">
      <c r="B40566" s="31"/>
      <c r="G40566" s="272" t="s">
        <v>1099</v>
      </c>
    </row>
    <row r="40567">
      <c r="B40567" s="31"/>
      <c r="G40567" s="272" t="s">
        <v>1099</v>
      </c>
    </row>
    <row r="40568">
      <c r="B40568" s="31"/>
      <c r="G40568" s="272" t="s">
        <v>1099</v>
      </c>
    </row>
    <row r="40569">
      <c r="B40569" s="31"/>
      <c r="G40569" s="272" t="s">
        <v>1099</v>
      </c>
    </row>
    <row r="40570">
      <c r="B40570" s="31"/>
      <c r="G40570" s="272" t="s">
        <v>1099</v>
      </c>
    </row>
    <row r="40571">
      <c r="B40571" s="31"/>
      <c r="G40571" s="272" t="s">
        <v>1099</v>
      </c>
    </row>
    <row r="40572">
      <c r="B40572" s="31"/>
      <c r="G40572" s="272" t="s">
        <v>1099</v>
      </c>
    </row>
    <row r="40573">
      <c r="B40573" s="31"/>
      <c r="G40573" s="272" t="s">
        <v>1099</v>
      </c>
    </row>
    <row r="40574">
      <c r="B40574" s="31"/>
      <c r="G40574" s="272" t="s">
        <v>1099</v>
      </c>
    </row>
    <row r="40575">
      <c r="B40575" s="31"/>
      <c r="G40575" s="272" t="s">
        <v>1099</v>
      </c>
    </row>
    <row r="40576">
      <c r="B40576" s="31"/>
      <c r="G40576" s="272" t="s">
        <v>1099</v>
      </c>
    </row>
    <row r="40577">
      <c r="B40577" s="31"/>
      <c r="G40577" s="272" t="s">
        <v>1099</v>
      </c>
    </row>
    <row r="40578">
      <c r="B40578" s="31"/>
      <c r="G40578" s="272" t="s">
        <v>1099</v>
      </c>
    </row>
    <row r="40579">
      <c r="B40579" s="31"/>
      <c r="G40579" s="272" t="s">
        <v>1099</v>
      </c>
    </row>
    <row r="40580">
      <c r="B40580" s="31"/>
      <c r="G40580" s="272" t="s">
        <v>1099</v>
      </c>
    </row>
    <row r="40581">
      <c r="B40581" s="31"/>
      <c r="G40581" s="272" t="s">
        <v>1099</v>
      </c>
    </row>
    <row r="40582">
      <c r="B40582" s="31"/>
      <c r="G40582" s="272" t="s">
        <v>1099</v>
      </c>
    </row>
    <row r="40583">
      <c r="B40583" s="31"/>
      <c r="G40583" s="272" t="s">
        <v>1099</v>
      </c>
    </row>
    <row r="40584">
      <c r="B40584" s="31"/>
      <c r="G40584" s="272" t="s">
        <v>1099</v>
      </c>
    </row>
    <row r="40585">
      <c r="B40585" s="31"/>
      <c r="G40585" s="272" t="s">
        <v>1099</v>
      </c>
    </row>
    <row r="40586">
      <c r="B40586" s="31"/>
      <c r="G40586" s="272" t="s">
        <v>1099</v>
      </c>
    </row>
    <row r="40587">
      <c r="B40587" s="31"/>
      <c r="G40587" s="272" t="s">
        <v>1099</v>
      </c>
    </row>
    <row r="40588">
      <c r="B40588" s="31"/>
      <c r="G40588" s="272" t="s">
        <v>1099</v>
      </c>
    </row>
    <row r="40589">
      <c r="B40589" s="31"/>
      <c r="G40589" s="272" t="s">
        <v>1099</v>
      </c>
    </row>
    <row r="40590">
      <c r="B40590" s="31"/>
      <c r="G40590" s="272" t="s">
        <v>1099</v>
      </c>
    </row>
    <row r="40591">
      <c r="B40591" s="31"/>
      <c r="G40591" s="272" t="s">
        <v>1099</v>
      </c>
    </row>
    <row r="40592">
      <c r="B40592" s="31"/>
      <c r="G40592" s="272" t="s">
        <v>1099</v>
      </c>
    </row>
    <row r="40593">
      <c r="B40593" s="31"/>
      <c r="G40593" s="272" t="s">
        <v>1099</v>
      </c>
    </row>
    <row r="40594">
      <c r="B40594" s="31"/>
      <c r="G40594" s="272" t="s">
        <v>1099</v>
      </c>
    </row>
    <row r="40595">
      <c r="B40595" s="31"/>
      <c r="G40595" s="272" t="s">
        <v>1099</v>
      </c>
    </row>
    <row r="40596">
      <c r="B40596" s="31"/>
      <c r="G40596" s="272" t="s">
        <v>1099</v>
      </c>
    </row>
    <row r="40597">
      <c r="B40597" s="31"/>
      <c r="G40597" s="272" t="s">
        <v>1099</v>
      </c>
    </row>
    <row r="40598">
      <c r="B40598" s="31"/>
      <c r="G40598" s="272" t="s">
        <v>1099</v>
      </c>
    </row>
    <row r="40599">
      <c r="B40599" s="31"/>
      <c r="G40599" s="272" t="s">
        <v>1099</v>
      </c>
    </row>
    <row r="40600">
      <c r="B40600" s="31"/>
      <c r="G40600" s="272" t="s">
        <v>1099</v>
      </c>
    </row>
    <row r="40601">
      <c r="B40601" s="31"/>
      <c r="G40601" s="272" t="s">
        <v>1099</v>
      </c>
    </row>
    <row r="40602">
      <c r="B40602" s="31"/>
      <c r="G40602" s="272" t="s">
        <v>1099</v>
      </c>
    </row>
    <row r="40603">
      <c r="B40603" s="31"/>
      <c r="G40603" s="272" t="s">
        <v>1099</v>
      </c>
    </row>
    <row r="40604">
      <c r="B40604" s="31"/>
      <c r="G40604" s="272" t="s">
        <v>1099</v>
      </c>
    </row>
    <row r="40605">
      <c r="B40605" s="31"/>
      <c r="G40605" s="272" t="s">
        <v>1099</v>
      </c>
    </row>
    <row r="40606">
      <c r="B40606" s="31"/>
      <c r="G40606" s="272" t="s">
        <v>1099</v>
      </c>
    </row>
    <row r="40607">
      <c r="B40607" s="31"/>
      <c r="G40607" s="272" t="s">
        <v>1099</v>
      </c>
    </row>
    <row r="40608">
      <c r="B40608" s="31"/>
      <c r="G40608" s="272" t="s">
        <v>1099</v>
      </c>
    </row>
    <row r="40609">
      <c r="B40609" s="31"/>
      <c r="G40609" s="272" t="s">
        <v>1099</v>
      </c>
    </row>
    <row r="40610">
      <c r="B40610" s="31"/>
      <c r="G40610" s="272" t="s">
        <v>1099</v>
      </c>
    </row>
    <row r="40611">
      <c r="B40611" s="31"/>
      <c r="G40611" s="272" t="s">
        <v>1099</v>
      </c>
    </row>
    <row r="40612">
      <c r="B40612" s="31"/>
      <c r="G40612" s="272" t="s">
        <v>1099</v>
      </c>
    </row>
    <row r="40613">
      <c r="B40613" s="31"/>
      <c r="G40613" s="272" t="s">
        <v>1099</v>
      </c>
    </row>
    <row r="40614">
      <c r="B40614" s="31"/>
      <c r="G40614" s="272" t="s">
        <v>1099</v>
      </c>
    </row>
    <row r="40615">
      <c r="B40615" s="31"/>
      <c r="G40615" s="272" t="s">
        <v>1099</v>
      </c>
    </row>
    <row r="40616">
      <c r="B40616" s="31"/>
      <c r="G40616" s="272" t="s">
        <v>1099</v>
      </c>
    </row>
    <row r="40617">
      <c r="B40617" s="31"/>
      <c r="G40617" s="272" t="s">
        <v>1099</v>
      </c>
    </row>
    <row r="40618">
      <c r="B40618" s="31"/>
      <c r="G40618" s="272" t="s">
        <v>1099</v>
      </c>
    </row>
    <row r="40619">
      <c r="B40619" s="31"/>
      <c r="G40619" s="272" t="s">
        <v>1099</v>
      </c>
    </row>
    <row r="40620">
      <c r="B40620" s="31"/>
      <c r="G40620" s="272" t="s">
        <v>1099</v>
      </c>
    </row>
    <row r="40621">
      <c r="B40621" s="31"/>
      <c r="G40621" s="272" t="s">
        <v>1099</v>
      </c>
    </row>
    <row r="40622">
      <c r="B40622" s="31"/>
      <c r="G40622" s="272" t="s">
        <v>1099</v>
      </c>
    </row>
    <row r="40623">
      <c r="B40623" s="31"/>
      <c r="G40623" s="272" t="s">
        <v>1099</v>
      </c>
    </row>
    <row r="40624">
      <c r="B40624" s="31"/>
      <c r="G40624" s="272" t="s">
        <v>1099</v>
      </c>
    </row>
    <row r="40625">
      <c r="B40625" s="31"/>
      <c r="G40625" s="272" t="s">
        <v>1099</v>
      </c>
    </row>
    <row r="40626">
      <c r="B40626" s="31"/>
      <c r="G40626" s="272" t="s">
        <v>1099</v>
      </c>
    </row>
    <row r="40627">
      <c r="B40627" s="31"/>
      <c r="G40627" s="272" t="s">
        <v>1099</v>
      </c>
    </row>
    <row r="40628">
      <c r="B40628" s="31"/>
      <c r="G40628" s="272" t="s">
        <v>1099</v>
      </c>
    </row>
    <row r="40629">
      <c r="B40629" s="31"/>
      <c r="G40629" s="272" t="s">
        <v>1099</v>
      </c>
    </row>
    <row r="40630">
      <c r="B40630" s="31"/>
      <c r="G40630" s="272" t="s">
        <v>1099</v>
      </c>
    </row>
    <row r="40631">
      <c r="B40631" s="31"/>
      <c r="G40631" s="272" t="s">
        <v>1099</v>
      </c>
    </row>
    <row r="40632">
      <c r="B40632" s="31"/>
      <c r="G40632" s="272" t="s">
        <v>1099</v>
      </c>
    </row>
    <row r="40633">
      <c r="B40633" s="31"/>
      <c r="G40633" s="272" t="s">
        <v>1099</v>
      </c>
    </row>
    <row r="40634">
      <c r="B40634" s="31"/>
      <c r="G40634" s="272" t="s">
        <v>1099</v>
      </c>
    </row>
    <row r="40635">
      <c r="B40635" s="31"/>
      <c r="G40635" s="272" t="s">
        <v>1099</v>
      </c>
    </row>
    <row r="40636">
      <c r="B40636" s="31"/>
      <c r="G40636" s="272" t="s">
        <v>1099</v>
      </c>
    </row>
    <row r="40637">
      <c r="B40637" s="31"/>
      <c r="G40637" s="272" t="s">
        <v>1099</v>
      </c>
    </row>
    <row r="40638">
      <c r="B40638" s="31"/>
      <c r="G40638" s="272" t="s">
        <v>1099</v>
      </c>
    </row>
    <row r="40639">
      <c r="B40639" s="31"/>
      <c r="G40639" s="272" t="s">
        <v>1099</v>
      </c>
    </row>
    <row r="40640">
      <c r="B40640" s="31"/>
      <c r="G40640" s="272" t="s">
        <v>1099</v>
      </c>
    </row>
    <row r="40641">
      <c r="B40641" s="31"/>
      <c r="G40641" s="272" t="s">
        <v>1099</v>
      </c>
    </row>
    <row r="40642">
      <c r="B40642" s="31"/>
      <c r="G40642" s="272" t="s">
        <v>1099</v>
      </c>
    </row>
    <row r="40643">
      <c r="B40643" s="31"/>
      <c r="G40643" s="272" t="s">
        <v>1099</v>
      </c>
    </row>
    <row r="40644">
      <c r="B40644" s="31"/>
      <c r="G40644" s="272" t="s">
        <v>1099</v>
      </c>
    </row>
    <row r="40645">
      <c r="B40645" s="31"/>
      <c r="G40645" s="272" t="s">
        <v>1099</v>
      </c>
    </row>
    <row r="40646">
      <c r="B40646" s="31"/>
      <c r="G40646" s="272" t="s">
        <v>1099</v>
      </c>
    </row>
    <row r="40647">
      <c r="B40647" s="31"/>
      <c r="G40647" s="272" t="s">
        <v>1099</v>
      </c>
    </row>
    <row r="40648">
      <c r="B40648" s="31"/>
      <c r="G40648" s="272" t="s">
        <v>1099</v>
      </c>
    </row>
    <row r="40649">
      <c r="B40649" s="31"/>
      <c r="G40649" s="272" t="s">
        <v>1099</v>
      </c>
    </row>
    <row r="40650">
      <c r="B40650" s="31"/>
      <c r="G40650" s="272" t="s">
        <v>1099</v>
      </c>
    </row>
    <row r="40651">
      <c r="B40651" s="31"/>
      <c r="G40651" s="272" t="s">
        <v>1099</v>
      </c>
    </row>
    <row r="40652">
      <c r="B40652" s="31"/>
      <c r="G40652" s="272" t="s">
        <v>1099</v>
      </c>
    </row>
    <row r="40653">
      <c r="B40653" s="31"/>
      <c r="G40653" s="272" t="s">
        <v>1099</v>
      </c>
    </row>
    <row r="40654">
      <c r="B40654" s="31"/>
      <c r="G40654" s="272" t="s">
        <v>1099</v>
      </c>
    </row>
    <row r="40655">
      <c r="B40655" s="31"/>
      <c r="G40655" s="272" t="s">
        <v>1099</v>
      </c>
    </row>
    <row r="40656">
      <c r="B40656" s="31"/>
      <c r="G40656" s="272" t="s">
        <v>1099</v>
      </c>
    </row>
    <row r="40657">
      <c r="B40657" s="31"/>
      <c r="G40657" s="272" t="s">
        <v>1099</v>
      </c>
    </row>
    <row r="40658">
      <c r="B40658" s="31"/>
      <c r="G40658" s="272" t="s">
        <v>1099</v>
      </c>
    </row>
    <row r="40659">
      <c r="B40659" s="31"/>
      <c r="G40659" s="272" t="s">
        <v>1099</v>
      </c>
    </row>
    <row r="40660">
      <c r="B40660" s="31"/>
      <c r="G40660" s="272" t="s">
        <v>1099</v>
      </c>
    </row>
    <row r="40661">
      <c r="B40661" s="31"/>
      <c r="G40661" s="272" t="s">
        <v>1099</v>
      </c>
    </row>
    <row r="40662">
      <c r="B40662" s="31"/>
      <c r="G40662" s="272" t="s">
        <v>1099</v>
      </c>
    </row>
    <row r="40663">
      <c r="B40663" s="31"/>
      <c r="G40663" s="272" t="s">
        <v>1099</v>
      </c>
    </row>
    <row r="40664">
      <c r="B40664" s="31"/>
      <c r="G40664" s="272" t="s">
        <v>1099</v>
      </c>
    </row>
    <row r="40665">
      <c r="B40665" s="31"/>
      <c r="G40665" s="272" t="s">
        <v>1099</v>
      </c>
    </row>
    <row r="40666">
      <c r="B40666" s="31"/>
      <c r="G40666" s="272" t="s">
        <v>1099</v>
      </c>
    </row>
    <row r="40667">
      <c r="B40667" s="31"/>
      <c r="G40667" s="272" t="s">
        <v>1099</v>
      </c>
    </row>
    <row r="40668">
      <c r="B40668" s="31"/>
      <c r="G40668" s="272" t="s">
        <v>1099</v>
      </c>
    </row>
    <row r="40669">
      <c r="B40669" s="31"/>
      <c r="G40669" s="272" t="s">
        <v>1099</v>
      </c>
    </row>
    <row r="40670">
      <c r="B40670" s="31"/>
      <c r="G40670" s="272" t="s">
        <v>1099</v>
      </c>
    </row>
    <row r="40671">
      <c r="B40671" s="31"/>
      <c r="G40671" s="272" t="s">
        <v>1099</v>
      </c>
    </row>
    <row r="40672">
      <c r="B40672" s="31"/>
      <c r="G40672" s="272" t="s">
        <v>1099</v>
      </c>
    </row>
    <row r="40673">
      <c r="B40673" s="31"/>
      <c r="G40673" s="272" t="s">
        <v>1099</v>
      </c>
    </row>
    <row r="40674">
      <c r="B40674" s="31"/>
      <c r="G40674" s="272" t="s">
        <v>1099</v>
      </c>
    </row>
    <row r="40675">
      <c r="B40675" s="31"/>
      <c r="G40675" s="272" t="s">
        <v>1099</v>
      </c>
    </row>
    <row r="40676">
      <c r="B40676" s="31"/>
      <c r="G40676" s="272" t="s">
        <v>1099</v>
      </c>
    </row>
    <row r="40677">
      <c r="B40677" s="31"/>
      <c r="G40677" s="272" t="s">
        <v>1099</v>
      </c>
    </row>
    <row r="40678">
      <c r="B40678" s="31"/>
      <c r="G40678" s="272" t="s">
        <v>1099</v>
      </c>
    </row>
    <row r="40679">
      <c r="B40679" s="31"/>
      <c r="G40679" s="272" t="s">
        <v>1099</v>
      </c>
    </row>
    <row r="40680">
      <c r="B40680" s="31"/>
      <c r="G40680" s="272" t="s">
        <v>1099</v>
      </c>
    </row>
    <row r="40681">
      <c r="B40681" s="31"/>
      <c r="G40681" s="272" t="s">
        <v>1099</v>
      </c>
    </row>
    <row r="40682">
      <c r="B40682" s="31"/>
      <c r="G40682" s="272" t="s">
        <v>1099</v>
      </c>
    </row>
    <row r="40683">
      <c r="B40683" s="31"/>
      <c r="G40683" s="272" t="s">
        <v>1099</v>
      </c>
    </row>
    <row r="40684">
      <c r="B40684" s="31"/>
      <c r="G40684" s="272" t="s">
        <v>1099</v>
      </c>
    </row>
    <row r="40685">
      <c r="B40685" s="31"/>
      <c r="G40685" s="272" t="s">
        <v>1099</v>
      </c>
    </row>
    <row r="40686">
      <c r="B40686" s="31"/>
      <c r="G40686" s="272" t="s">
        <v>1099</v>
      </c>
    </row>
    <row r="40687">
      <c r="B40687" s="31"/>
      <c r="G40687" s="272" t="s">
        <v>1099</v>
      </c>
    </row>
    <row r="40688">
      <c r="B40688" s="31"/>
      <c r="G40688" s="272" t="s">
        <v>1099</v>
      </c>
    </row>
    <row r="40689">
      <c r="B40689" s="31"/>
      <c r="G40689" s="272" t="s">
        <v>1099</v>
      </c>
    </row>
    <row r="40690">
      <c r="B40690" s="31"/>
      <c r="G40690" s="272" t="s">
        <v>1099</v>
      </c>
    </row>
    <row r="40691">
      <c r="B40691" s="31"/>
      <c r="G40691" s="272" t="s">
        <v>1099</v>
      </c>
    </row>
    <row r="40692">
      <c r="B40692" s="31"/>
      <c r="G40692" s="272" t="s">
        <v>1099</v>
      </c>
    </row>
    <row r="40693">
      <c r="B40693" s="31"/>
      <c r="G40693" s="272" t="s">
        <v>1099</v>
      </c>
    </row>
    <row r="40694">
      <c r="B40694" s="31"/>
      <c r="G40694" s="272" t="s">
        <v>1099</v>
      </c>
    </row>
    <row r="40695">
      <c r="B40695" s="31"/>
      <c r="G40695" s="272" t="s">
        <v>1099</v>
      </c>
    </row>
    <row r="40696">
      <c r="B40696" s="31"/>
      <c r="G40696" s="272" t="s">
        <v>1099</v>
      </c>
    </row>
    <row r="40697">
      <c r="B40697" s="31"/>
      <c r="G40697" s="272" t="s">
        <v>1099</v>
      </c>
    </row>
    <row r="40698">
      <c r="B40698" s="31"/>
      <c r="G40698" s="272" t="s">
        <v>1099</v>
      </c>
    </row>
    <row r="40699">
      <c r="B40699" s="31"/>
      <c r="G40699" s="272" t="s">
        <v>1099</v>
      </c>
    </row>
    <row r="40700">
      <c r="B40700" s="31"/>
      <c r="G40700" s="272" t="s">
        <v>1099</v>
      </c>
    </row>
    <row r="40701">
      <c r="B40701" s="31"/>
      <c r="G40701" s="272" t="s">
        <v>1099</v>
      </c>
    </row>
    <row r="40702">
      <c r="B40702" s="31"/>
      <c r="G40702" s="272" t="s">
        <v>1099</v>
      </c>
    </row>
    <row r="40703">
      <c r="B40703" s="31"/>
      <c r="G40703" s="272" t="s">
        <v>1099</v>
      </c>
    </row>
    <row r="40704">
      <c r="B40704" s="31"/>
      <c r="G40704" s="272" t="s">
        <v>1099</v>
      </c>
    </row>
    <row r="40705">
      <c r="B40705" s="31"/>
      <c r="G40705" s="272" t="s">
        <v>1099</v>
      </c>
    </row>
    <row r="40706">
      <c r="B40706" s="31"/>
      <c r="G40706" s="272" t="s">
        <v>1099</v>
      </c>
    </row>
    <row r="40707">
      <c r="B40707" s="31"/>
      <c r="G40707" s="272" t="s">
        <v>1099</v>
      </c>
    </row>
    <row r="40708">
      <c r="B40708" s="31"/>
      <c r="G40708" s="272" t="s">
        <v>1099</v>
      </c>
    </row>
    <row r="40709">
      <c r="B40709" s="31"/>
      <c r="G40709" s="272" t="s">
        <v>1099</v>
      </c>
    </row>
    <row r="40710">
      <c r="B40710" s="31"/>
      <c r="G40710" s="272" t="s">
        <v>1099</v>
      </c>
    </row>
    <row r="40711">
      <c r="B40711" s="31"/>
      <c r="G40711" s="272" t="s">
        <v>1099</v>
      </c>
    </row>
    <row r="40712">
      <c r="B40712" s="31"/>
      <c r="G40712" s="272" t="s">
        <v>1099</v>
      </c>
    </row>
    <row r="40713">
      <c r="B40713" s="31"/>
      <c r="G40713" s="272" t="s">
        <v>1099</v>
      </c>
    </row>
    <row r="40714">
      <c r="B40714" s="31"/>
      <c r="G40714" s="272" t="s">
        <v>1099</v>
      </c>
    </row>
    <row r="40715">
      <c r="B40715" s="31"/>
      <c r="G40715" s="272" t="s">
        <v>1099</v>
      </c>
    </row>
    <row r="40716">
      <c r="B40716" s="31"/>
      <c r="G40716" s="272" t="s">
        <v>1099</v>
      </c>
    </row>
    <row r="40717">
      <c r="B40717" s="31"/>
      <c r="G40717" s="272" t="s">
        <v>1099</v>
      </c>
    </row>
    <row r="40718">
      <c r="B40718" s="31"/>
      <c r="G40718" s="272" t="s">
        <v>1099</v>
      </c>
    </row>
    <row r="40719">
      <c r="B40719" s="31"/>
      <c r="G40719" s="272" t="s">
        <v>1099</v>
      </c>
    </row>
    <row r="40720">
      <c r="B40720" s="31"/>
      <c r="G40720" s="272" t="s">
        <v>1099</v>
      </c>
    </row>
    <row r="40721">
      <c r="B40721" s="31"/>
      <c r="G40721" s="272" t="s">
        <v>1099</v>
      </c>
    </row>
    <row r="40722">
      <c r="B40722" s="31"/>
      <c r="G40722" s="272" t="s">
        <v>1099</v>
      </c>
    </row>
    <row r="40723">
      <c r="B40723" s="31"/>
      <c r="G40723" s="272" t="s">
        <v>1099</v>
      </c>
    </row>
    <row r="40724">
      <c r="B40724" s="31"/>
      <c r="G40724" s="272" t="s">
        <v>1099</v>
      </c>
    </row>
    <row r="40725">
      <c r="B40725" s="31"/>
      <c r="G40725" s="272" t="s">
        <v>1099</v>
      </c>
    </row>
    <row r="40726">
      <c r="B40726" s="31"/>
      <c r="G40726" s="272" t="s">
        <v>1099</v>
      </c>
    </row>
    <row r="40727">
      <c r="B40727" s="31"/>
      <c r="G40727" s="272" t="s">
        <v>1099</v>
      </c>
    </row>
    <row r="40728">
      <c r="B40728" s="31"/>
      <c r="G40728" s="272" t="s">
        <v>1099</v>
      </c>
    </row>
    <row r="40729">
      <c r="B40729" s="31"/>
      <c r="G40729" s="272" t="s">
        <v>1099</v>
      </c>
    </row>
    <row r="40730">
      <c r="B40730" s="31"/>
      <c r="G40730" s="272" t="s">
        <v>1099</v>
      </c>
    </row>
    <row r="40731">
      <c r="B40731" s="31"/>
      <c r="G40731" s="272" t="s">
        <v>1099</v>
      </c>
    </row>
    <row r="40732">
      <c r="B40732" s="31"/>
      <c r="G40732" s="272" t="s">
        <v>1099</v>
      </c>
    </row>
    <row r="40733">
      <c r="B40733" s="31"/>
      <c r="G40733" s="272" t="s">
        <v>1099</v>
      </c>
    </row>
    <row r="40734">
      <c r="B40734" s="31"/>
      <c r="G40734" s="272" t="s">
        <v>1099</v>
      </c>
    </row>
    <row r="40735">
      <c r="B40735" s="31"/>
      <c r="G40735" s="272" t="s">
        <v>1099</v>
      </c>
    </row>
    <row r="40736">
      <c r="B40736" s="31"/>
      <c r="G40736" s="272" t="s">
        <v>1099</v>
      </c>
    </row>
    <row r="40737">
      <c r="B40737" s="31"/>
      <c r="G40737" s="272" t="s">
        <v>1099</v>
      </c>
    </row>
    <row r="40738">
      <c r="B40738" s="31"/>
      <c r="G40738" s="272" t="s">
        <v>1099</v>
      </c>
    </row>
    <row r="40739">
      <c r="B40739" s="31"/>
      <c r="G40739" s="272" t="s">
        <v>1099</v>
      </c>
    </row>
    <row r="40740">
      <c r="B40740" s="31"/>
      <c r="G40740" s="272" t="s">
        <v>1099</v>
      </c>
    </row>
    <row r="40741">
      <c r="B40741" s="31"/>
      <c r="G40741" s="272" t="s">
        <v>1099</v>
      </c>
    </row>
    <row r="40742">
      <c r="B40742" s="31"/>
      <c r="G40742" s="272" t="s">
        <v>1099</v>
      </c>
    </row>
    <row r="40743">
      <c r="B40743" s="31"/>
      <c r="G40743" s="272" t="s">
        <v>1099</v>
      </c>
    </row>
    <row r="40744">
      <c r="B40744" s="31"/>
      <c r="G40744" s="272" t="s">
        <v>1099</v>
      </c>
    </row>
    <row r="40745">
      <c r="B40745" s="31"/>
      <c r="G40745" s="272" t="s">
        <v>1099</v>
      </c>
    </row>
    <row r="40746">
      <c r="B40746" s="31"/>
      <c r="G40746" s="272" t="s">
        <v>1099</v>
      </c>
    </row>
    <row r="40747">
      <c r="B40747" s="31"/>
      <c r="G40747" s="272" t="s">
        <v>1099</v>
      </c>
    </row>
    <row r="40748">
      <c r="B40748" s="31"/>
      <c r="G40748" s="272" t="s">
        <v>1099</v>
      </c>
    </row>
    <row r="40749">
      <c r="B40749" s="31"/>
      <c r="G40749" s="272" t="s">
        <v>1099</v>
      </c>
    </row>
    <row r="40750">
      <c r="B40750" s="31"/>
      <c r="G40750" s="272" t="s">
        <v>1099</v>
      </c>
    </row>
    <row r="40751">
      <c r="B40751" s="31"/>
      <c r="G40751" s="272" t="s">
        <v>1099</v>
      </c>
    </row>
    <row r="40752">
      <c r="B40752" s="31"/>
      <c r="G40752" s="272" t="s">
        <v>1099</v>
      </c>
    </row>
    <row r="40753">
      <c r="B40753" s="31"/>
      <c r="G40753" s="272" t="s">
        <v>1099</v>
      </c>
    </row>
    <row r="40754">
      <c r="B40754" s="31"/>
      <c r="G40754" s="272" t="s">
        <v>1099</v>
      </c>
    </row>
    <row r="40755">
      <c r="B40755" s="31"/>
      <c r="G40755" s="272" t="s">
        <v>1099</v>
      </c>
    </row>
    <row r="40756">
      <c r="B40756" s="31"/>
      <c r="G40756" s="272" t="s">
        <v>1099</v>
      </c>
    </row>
    <row r="40757">
      <c r="B40757" s="31"/>
      <c r="G40757" s="272" t="s">
        <v>1099</v>
      </c>
    </row>
    <row r="40758">
      <c r="B40758" s="31"/>
      <c r="G40758" s="272" t="s">
        <v>1099</v>
      </c>
    </row>
    <row r="40759">
      <c r="B40759" s="31"/>
      <c r="G40759" s="272" t="s">
        <v>1099</v>
      </c>
    </row>
    <row r="40760">
      <c r="B40760" s="31"/>
      <c r="G40760" s="272" t="s">
        <v>1099</v>
      </c>
    </row>
    <row r="40761">
      <c r="B40761" s="31"/>
      <c r="G40761" s="272" t="s">
        <v>1099</v>
      </c>
    </row>
    <row r="40762">
      <c r="B40762" s="31"/>
      <c r="G40762" s="272" t="s">
        <v>1099</v>
      </c>
    </row>
    <row r="40763">
      <c r="B40763" s="31"/>
      <c r="G40763" s="272" t="s">
        <v>1099</v>
      </c>
    </row>
    <row r="40764">
      <c r="B40764" s="31"/>
      <c r="G40764" s="272" t="s">
        <v>1099</v>
      </c>
    </row>
    <row r="40765">
      <c r="B40765" s="31"/>
      <c r="G40765" s="272" t="s">
        <v>1099</v>
      </c>
    </row>
    <row r="40766">
      <c r="B40766" s="31"/>
      <c r="G40766" s="272" t="s">
        <v>1099</v>
      </c>
    </row>
    <row r="40767">
      <c r="B40767" s="31"/>
      <c r="G40767" s="272" t="s">
        <v>1099</v>
      </c>
    </row>
    <row r="40768">
      <c r="B40768" s="31"/>
      <c r="G40768" s="272" t="s">
        <v>1099</v>
      </c>
    </row>
    <row r="40769">
      <c r="B40769" s="31"/>
      <c r="G40769" s="272" t="s">
        <v>1099</v>
      </c>
    </row>
    <row r="40770">
      <c r="B40770" s="31"/>
      <c r="G40770" s="272" t="s">
        <v>1099</v>
      </c>
    </row>
    <row r="40771">
      <c r="B40771" s="31"/>
      <c r="G40771" s="272" t="s">
        <v>1099</v>
      </c>
    </row>
    <row r="40772">
      <c r="B40772" s="31"/>
      <c r="G40772" s="272" t="s">
        <v>1099</v>
      </c>
    </row>
    <row r="40773">
      <c r="B40773" s="31"/>
      <c r="G40773" s="272" t="s">
        <v>1099</v>
      </c>
    </row>
    <row r="40774">
      <c r="B40774" s="31"/>
      <c r="G40774" s="272" t="s">
        <v>1099</v>
      </c>
    </row>
    <row r="40775">
      <c r="B40775" s="31"/>
      <c r="G40775" s="272" t="s">
        <v>1099</v>
      </c>
    </row>
    <row r="40776">
      <c r="B40776" s="31"/>
      <c r="G40776" s="272" t="s">
        <v>1099</v>
      </c>
    </row>
    <row r="40777">
      <c r="B40777" s="31"/>
      <c r="G40777" s="272" t="s">
        <v>1099</v>
      </c>
    </row>
    <row r="40778">
      <c r="B40778" s="31"/>
      <c r="G40778" s="272" t="s">
        <v>1099</v>
      </c>
    </row>
    <row r="40779">
      <c r="B40779" s="31"/>
      <c r="G40779" s="272" t="s">
        <v>1099</v>
      </c>
    </row>
    <row r="40780">
      <c r="B40780" s="31"/>
      <c r="G40780" s="272" t="s">
        <v>1099</v>
      </c>
    </row>
    <row r="40781">
      <c r="B40781" s="31"/>
      <c r="G40781" s="272" t="s">
        <v>1099</v>
      </c>
    </row>
    <row r="40782">
      <c r="B40782" s="31"/>
      <c r="G40782" s="272" t="s">
        <v>1099</v>
      </c>
    </row>
    <row r="40783">
      <c r="B40783" s="31"/>
      <c r="G40783" s="272" t="s">
        <v>1099</v>
      </c>
    </row>
    <row r="40784">
      <c r="B40784" s="31"/>
      <c r="G40784" s="272" t="s">
        <v>1099</v>
      </c>
    </row>
    <row r="40785">
      <c r="B40785" s="31"/>
      <c r="G40785" s="272" t="s">
        <v>1099</v>
      </c>
    </row>
    <row r="40786">
      <c r="B40786" s="31"/>
      <c r="G40786" s="272" t="s">
        <v>1099</v>
      </c>
    </row>
    <row r="40787">
      <c r="B40787" s="31"/>
      <c r="G40787" s="272" t="s">
        <v>1099</v>
      </c>
    </row>
    <row r="40788">
      <c r="B40788" s="31"/>
      <c r="G40788" s="272" t="s">
        <v>1099</v>
      </c>
    </row>
    <row r="40789">
      <c r="B40789" s="31"/>
      <c r="G40789" s="272" t="s">
        <v>1099</v>
      </c>
    </row>
    <row r="40790">
      <c r="B40790" s="31"/>
      <c r="G40790" s="272" t="s">
        <v>1099</v>
      </c>
    </row>
    <row r="40791">
      <c r="B40791" s="31"/>
      <c r="G40791" s="272" t="s">
        <v>1099</v>
      </c>
    </row>
    <row r="40792">
      <c r="B40792" s="31"/>
      <c r="G40792" s="272" t="s">
        <v>1099</v>
      </c>
    </row>
    <row r="40793">
      <c r="B40793" s="31"/>
      <c r="G40793" s="272" t="s">
        <v>1099</v>
      </c>
    </row>
    <row r="40794">
      <c r="B40794" s="31"/>
      <c r="G40794" s="272" t="s">
        <v>1099</v>
      </c>
    </row>
    <row r="40795">
      <c r="B40795" s="31"/>
      <c r="G40795" s="272" t="s">
        <v>1099</v>
      </c>
    </row>
    <row r="40796">
      <c r="B40796" s="31"/>
      <c r="G40796" s="272" t="s">
        <v>1099</v>
      </c>
    </row>
    <row r="40797">
      <c r="B40797" s="31"/>
      <c r="G40797" s="272" t="s">
        <v>1099</v>
      </c>
    </row>
    <row r="40798">
      <c r="B40798" s="31"/>
      <c r="G40798" s="272" t="s">
        <v>1099</v>
      </c>
    </row>
    <row r="40799">
      <c r="B40799" s="31"/>
      <c r="G40799" s="272" t="s">
        <v>1099</v>
      </c>
    </row>
    <row r="40800">
      <c r="B40800" s="31"/>
      <c r="G40800" s="272" t="s">
        <v>1099</v>
      </c>
    </row>
    <row r="40801">
      <c r="B40801" s="31"/>
      <c r="G40801" s="272" t="s">
        <v>1099</v>
      </c>
    </row>
    <row r="40802">
      <c r="B40802" s="31"/>
      <c r="G40802" s="272" t="s">
        <v>1099</v>
      </c>
    </row>
    <row r="40803">
      <c r="B40803" s="31"/>
      <c r="G40803" s="272" t="s">
        <v>1099</v>
      </c>
    </row>
    <row r="40804">
      <c r="B40804" s="31"/>
      <c r="G40804" s="272" t="s">
        <v>1099</v>
      </c>
    </row>
    <row r="40805">
      <c r="B40805" s="31"/>
      <c r="G40805" s="272" t="s">
        <v>1099</v>
      </c>
    </row>
    <row r="40806">
      <c r="B40806" s="31"/>
      <c r="G40806" s="272" t="s">
        <v>1099</v>
      </c>
    </row>
    <row r="40807">
      <c r="B40807" s="31"/>
      <c r="G40807" s="272" t="s">
        <v>1099</v>
      </c>
    </row>
    <row r="40808">
      <c r="B40808" s="31"/>
      <c r="G40808" s="272" t="s">
        <v>1099</v>
      </c>
    </row>
    <row r="40809">
      <c r="B40809" s="31"/>
      <c r="G40809" s="272" t="s">
        <v>1099</v>
      </c>
    </row>
    <row r="40810">
      <c r="B40810" s="31"/>
      <c r="G40810" s="272" t="s">
        <v>1099</v>
      </c>
    </row>
    <row r="40811">
      <c r="B40811" s="31"/>
      <c r="G40811" s="272" t="s">
        <v>1099</v>
      </c>
    </row>
    <row r="40812">
      <c r="B40812" s="31"/>
      <c r="G40812" s="272" t="s">
        <v>1099</v>
      </c>
    </row>
    <row r="40813">
      <c r="B40813" s="31"/>
      <c r="G40813" s="272" t="s">
        <v>1099</v>
      </c>
    </row>
    <row r="40814">
      <c r="B40814" s="31"/>
      <c r="G40814" s="272" t="s">
        <v>1099</v>
      </c>
    </row>
    <row r="40815">
      <c r="B40815" s="31"/>
      <c r="G40815" s="272" t="s">
        <v>1099</v>
      </c>
    </row>
    <row r="40816">
      <c r="B40816" s="31"/>
      <c r="G40816" s="272" t="s">
        <v>1099</v>
      </c>
    </row>
    <row r="40817">
      <c r="B40817" s="31"/>
      <c r="G40817" s="272" t="s">
        <v>1099</v>
      </c>
    </row>
    <row r="40818">
      <c r="B40818" s="31"/>
      <c r="G40818" s="272" t="s">
        <v>1099</v>
      </c>
    </row>
    <row r="40819">
      <c r="B40819" s="31"/>
      <c r="G40819" s="272" t="s">
        <v>1099</v>
      </c>
    </row>
    <row r="40820">
      <c r="B40820" s="31"/>
      <c r="G40820" s="272" t="s">
        <v>1099</v>
      </c>
    </row>
    <row r="40821">
      <c r="B40821" s="31"/>
      <c r="G40821" s="272" t="s">
        <v>1099</v>
      </c>
    </row>
    <row r="40822">
      <c r="B40822" s="31"/>
      <c r="G40822" s="272" t="s">
        <v>1099</v>
      </c>
    </row>
    <row r="40823">
      <c r="B40823" s="31"/>
      <c r="G40823" s="272" t="s">
        <v>1099</v>
      </c>
    </row>
    <row r="40824">
      <c r="B40824" s="31"/>
      <c r="G40824" s="272" t="s">
        <v>1099</v>
      </c>
    </row>
    <row r="40825">
      <c r="B40825" s="31"/>
      <c r="G40825" s="272" t="s">
        <v>1099</v>
      </c>
    </row>
    <row r="40826">
      <c r="B40826" s="31"/>
      <c r="G40826" s="272" t="s">
        <v>1099</v>
      </c>
    </row>
    <row r="40827">
      <c r="B40827" s="31"/>
      <c r="G40827" s="272" t="s">
        <v>1099</v>
      </c>
    </row>
    <row r="40828">
      <c r="B40828" s="31"/>
      <c r="G40828" s="272" t="s">
        <v>1099</v>
      </c>
    </row>
    <row r="40829">
      <c r="B40829" s="31"/>
      <c r="G40829" s="272" t="s">
        <v>1099</v>
      </c>
    </row>
    <row r="40830">
      <c r="B40830" s="31"/>
      <c r="G40830" s="272" t="s">
        <v>1099</v>
      </c>
    </row>
    <row r="40831">
      <c r="B40831" s="31"/>
      <c r="G40831" s="272" t="s">
        <v>1099</v>
      </c>
    </row>
    <row r="40832">
      <c r="B40832" s="31"/>
      <c r="G40832" s="272" t="s">
        <v>1099</v>
      </c>
    </row>
    <row r="40833">
      <c r="B40833" s="31"/>
      <c r="G40833" s="272" t="s">
        <v>1099</v>
      </c>
    </row>
    <row r="40834">
      <c r="B40834" s="31"/>
      <c r="G40834" s="272" t="s">
        <v>1099</v>
      </c>
    </row>
    <row r="40835">
      <c r="B40835" s="31"/>
      <c r="G40835" s="272" t="s">
        <v>1099</v>
      </c>
    </row>
    <row r="40836">
      <c r="B40836" s="31"/>
      <c r="G40836" s="272" t="s">
        <v>1099</v>
      </c>
    </row>
    <row r="40837">
      <c r="B40837" s="31"/>
      <c r="G40837" s="272" t="s">
        <v>1099</v>
      </c>
    </row>
    <row r="40838">
      <c r="B40838" s="31"/>
      <c r="G40838" s="272" t="s">
        <v>1099</v>
      </c>
    </row>
    <row r="40839">
      <c r="B40839" s="31"/>
      <c r="G40839" s="272" t="s">
        <v>1099</v>
      </c>
    </row>
    <row r="40840">
      <c r="B40840" s="31"/>
      <c r="G40840" s="272" t="s">
        <v>1099</v>
      </c>
    </row>
    <row r="40841">
      <c r="B40841" s="31"/>
      <c r="G40841" s="272" t="s">
        <v>1099</v>
      </c>
    </row>
    <row r="40842">
      <c r="B40842" s="31"/>
      <c r="G40842" s="272" t="s">
        <v>1099</v>
      </c>
    </row>
    <row r="40843">
      <c r="B40843" s="31"/>
      <c r="G40843" s="272" t="s">
        <v>1099</v>
      </c>
    </row>
    <row r="40844">
      <c r="B40844" s="31"/>
      <c r="G40844" s="272" t="s">
        <v>1099</v>
      </c>
    </row>
    <row r="40845">
      <c r="B40845" s="31"/>
      <c r="G40845" s="272" t="s">
        <v>1099</v>
      </c>
    </row>
    <row r="40846">
      <c r="B40846" s="31"/>
      <c r="G40846" s="272" t="s">
        <v>1099</v>
      </c>
    </row>
    <row r="40847">
      <c r="B40847" s="31"/>
      <c r="G40847" s="272" t="s">
        <v>1099</v>
      </c>
    </row>
    <row r="40848">
      <c r="B40848" s="31"/>
      <c r="G40848" s="272" t="s">
        <v>1099</v>
      </c>
    </row>
    <row r="40849">
      <c r="B40849" s="31"/>
      <c r="G40849" s="272" t="s">
        <v>1099</v>
      </c>
    </row>
    <row r="40850">
      <c r="B40850" s="31"/>
      <c r="G40850" s="272" t="s">
        <v>1099</v>
      </c>
    </row>
    <row r="40851">
      <c r="B40851" s="31"/>
      <c r="G40851" s="272" t="s">
        <v>1099</v>
      </c>
    </row>
    <row r="40852">
      <c r="B40852" s="31"/>
      <c r="G40852" s="272" t="s">
        <v>1099</v>
      </c>
    </row>
    <row r="40853">
      <c r="B40853" s="31"/>
      <c r="G40853" s="272" t="s">
        <v>1099</v>
      </c>
    </row>
    <row r="40854">
      <c r="B40854" s="31"/>
      <c r="G40854" s="272" t="s">
        <v>1099</v>
      </c>
    </row>
    <row r="40855">
      <c r="B40855" s="31"/>
      <c r="G40855" s="272" t="s">
        <v>1099</v>
      </c>
    </row>
    <row r="40856">
      <c r="B40856" s="31"/>
      <c r="G40856" s="272" t="s">
        <v>1099</v>
      </c>
    </row>
    <row r="40857">
      <c r="B40857" s="31"/>
      <c r="G40857" s="272" t="s">
        <v>1099</v>
      </c>
    </row>
    <row r="40858">
      <c r="B40858" s="31"/>
      <c r="G40858" s="272" t="s">
        <v>1099</v>
      </c>
    </row>
    <row r="40859">
      <c r="B40859" s="31"/>
      <c r="G40859" s="272" t="s">
        <v>1099</v>
      </c>
    </row>
    <row r="40860">
      <c r="B40860" s="31"/>
      <c r="G40860" s="272" t="s">
        <v>1099</v>
      </c>
    </row>
    <row r="40861">
      <c r="B40861" s="31"/>
      <c r="G40861" s="272" t="s">
        <v>1099</v>
      </c>
    </row>
    <row r="40862">
      <c r="B40862" s="31"/>
      <c r="G40862" s="272" t="s">
        <v>1099</v>
      </c>
    </row>
    <row r="40863">
      <c r="B40863" s="31"/>
      <c r="G40863" s="272" t="s">
        <v>1099</v>
      </c>
    </row>
    <row r="40864">
      <c r="B40864" s="31"/>
      <c r="G40864" s="272" t="s">
        <v>1099</v>
      </c>
    </row>
    <row r="40865">
      <c r="B40865" s="31"/>
      <c r="G40865" s="272" t="s">
        <v>1099</v>
      </c>
    </row>
    <row r="40866">
      <c r="B40866" s="31"/>
      <c r="G40866" s="272" t="s">
        <v>1099</v>
      </c>
    </row>
    <row r="40867">
      <c r="B40867" s="31"/>
      <c r="G40867" s="272" t="s">
        <v>1099</v>
      </c>
    </row>
    <row r="40868">
      <c r="B40868" s="31"/>
      <c r="G40868" s="272" t="s">
        <v>1099</v>
      </c>
    </row>
    <row r="40869">
      <c r="B40869" s="31"/>
      <c r="G40869" s="272" t="s">
        <v>1099</v>
      </c>
    </row>
    <row r="40870">
      <c r="B40870" s="31"/>
      <c r="G40870" s="272" t="s">
        <v>1099</v>
      </c>
    </row>
    <row r="40871">
      <c r="B40871" s="31"/>
      <c r="G40871" s="272" t="s">
        <v>1099</v>
      </c>
    </row>
    <row r="40872">
      <c r="B40872" s="31"/>
      <c r="G40872" s="272" t="s">
        <v>1099</v>
      </c>
    </row>
    <row r="40873">
      <c r="B40873" s="31"/>
      <c r="G40873" s="272" t="s">
        <v>1099</v>
      </c>
    </row>
    <row r="40874">
      <c r="B40874" s="31"/>
      <c r="G40874" s="272" t="s">
        <v>1099</v>
      </c>
    </row>
    <row r="40875">
      <c r="B40875" s="31"/>
      <c r="G40875" s="272" t="s">
        <v>1099</v>
      </c>
    </row>
    <row r="40876">
      <c r="B40876" s="31"/>
      <c r="G40876" s="272" t="s">
        <v>1099</v>
      </c>
    </row>
    <row r="40877">
      <c r="B40877" s="31"/>
      <c r="G40877" s="272" t="s">
        <v>1099</v>
      </c>
    </row>
    <row r="40878">
      <c r="B40878" s="31"/>
      <c r="G40878" s="272" t="s">
        <v>1099</v>
      </c>
    </row>
    <row r="40879">
      <c r="B40879" s="31"/>
      <c r="G40879" s="272" t="s">
        <v>1099</v>
      </c>
    </row>
    <row r="40880">
      <c r="B40880" s="31"/>
      <c r="G40880" s="272" t="s">
        <v>1099</v>
      </c>
    </row>
    <row r="40881">
      <c r="B40881" s="31"/>
      <c r="G40881" s="272" t="s">
        <v>1099</v>
      </c>
    </row>
    <row r="40882">
      <c r="B40882" s="31"/>
      <c r="G40882" s="272" t="s">
        <v>1099</v>
      </c>
    </row>
    <row r="40883">
      <c r="B40883" s="31"/>
      <c r="G40883" s="272" t="s">
        <v>1099</v>
      </c>
    </row>
    <row r="40884">
      <c r="B40884" s="31"/>
      <c r="G40884" s="272" t="s">
        <v>1099</v>
      </c>
    </row>
    <row r="40885">
      <c r="B40885" s="31"/>
      <c r="G40885" s="272" t="s">
        <v>1099</v>
      </c>
    </row>
    <row r="40886">
      <c r="B40886" s="31"/>
      <c r="G40886" s="272" t="s">
        <v>1099</v>
      </c>
    </row>
    <row r="40887">
      <c r="B40887" s="31"/>
      <c r="G40887" s="272" t="s">
        <v>1099</v>
      </c>
    </row>
    <row r="40888">
      <c r="B40888" s="31"/>
      <c r="G40888" s="272" t="s">
        <v>1099</v>
      </c>
    </row>
    <row r="40889">
      <c r="B40889" s="31"/>
      <c r="G40889" s="272" t="s">
        <v>1099</v>
      </c>
    </row>
    <row r="40890">
      <c r="B40890" s="31"/>
      <c r="G40890" s="272" t="s">
        <v>1099</v>
      </c>
    </row>
    <row r="40891">
      <c r="B40891" s="31"/>
      <c r="G40891" s="272" t="s">
        <v>1099</v>
      </c>
    </row>
    <row r="40892">
      <c r="B40892" s="31"/>
      <c r="G40892" s="272" t="s">
        <v>1099</v>
      </c>
    </row>
    <row r="40893">
      <c r="B40893" s="31"/>
      <c r="G40893" s="272" t="s">
        <v>1099</v>
      </c>
    </row>
    <row r="40894">
      <c r="B40894" s="31"/>
      <c r="G40894" s="272" t="s">
        <v>1099</v>
      </c>
    </row>
    <row r="40895">
      <c r="B40895" s="31"/>
      <c r="G40895" s="272" t="s">
        <v>1099</v>
      </c>
    </row>
    <row r="40896">
      <c r="B40896" s="31"/>
      <c r="G40896" s="272" t="s">
        <v>1099</v>
      </c>
    </row>
    <row r="40897">
      <c r="B40897" s="31"/>
      <c r="G40897" s="272" t="s">
        <v>1099</v>
      </c>
    </row>
    <row r="40898">
      <c r="B40898" s="31"/>
      <c r="G40898" s="272" t="s">
        <v>1099</v>
      </c>
    </row>
    <row r="40899">
      <c r="B40899" s="31"/>
      <c r="G40899" s="272" t="s">
        <v>1099</v>
      </c>
    </row>
    <row r="40900">
      <c r="B40900" s="31"/>
      <c r="G40900" s="272" t="s">
        <v>1099</v>
      </c>
    </row>
    <row r="40901">
      <c r="B40901" s="31"/>
      <c r="G40901" s="272" t="s">
        <v>1099</v>
      </c>
    </row>
    <row r="40902">
      <c r="B40902" s="31"/>
      <c r="G40902" s="272" t="s">
        <v>1099</v>
      </c>
    </row>
    <row r="40903">
      <c r="B40903" s="31"/>
      <c r="G40903" s="272" t="s">
        <v>1099</v>
      </c>
    </row>
    <row r="40904">
      <c r="B40904" s="31"/>
      <c r="G40904" s="272" t="s">
        <v>1099</v>
      </c>
    </row>
    <row r="40905">
      <c r="B40905" s="31"/>
      <c r="G40905" s="272" t="s">
        <v>1099</v>
      </c>
    </row>
    <row r="40906">
      <c r="B40906" s="31"/>
      <c r="G40906" s="272" t="s">
        <v>1099</v>
      </c>
    </row>
    <row r="40907">
      <c r="B40907" s="31"/>
      <c r="G40907" s="272" t="s">
        <v>1099</v>
      </c>
    </row>
    <row r="40908">
      <c r="B40908" s="31"/>
      <c r="G40908" s="272" t="s">
        <v>1099</v>
      </c>
    </row>
    <row r="40909">
      <c r="B40909" s="31"/>
      <c r="G40909" s="272" t="s">
        <v>1099</v>
      </c>
    </row>
    <row r="40910">
      <c r="B40910" s="31"/>
      <c r="G40910" s="272" t="s">
        <v>1099</v>
      </c>
    </row>
    <row r="40911">
      <c r="B40911" s="31"/>
      <c r="G40911" s="272" t="s">
        <v>1099</v>
      </c>
    </row>
    <row r="40912">
      <c r="B40912" s="31"/>
      <c r="G40912" s="272" t="s">
        <v>1099</v>
      </c>
    </row>
    <row r="40913">
      <c r="B40913" s="31"/>
      <c r="G40913" s="272" t="s">
        <v>1099</v>
      </c>
    </row>
    <row r="40914">
      <c r="B40914" s="31"/>
      <c r="G40914" s="272" t="s">
        <v>1099</v>
      </c>
    </row>
    <row r="40915">
      <c r="B40915" s="31"/>
      <c r="G40915" s="272" t="s">
        <v>1099</v>
      </c>
    </row>
    <row r="40916">
      <c r="B40916" s="31"/>
      <c r="G40916" s="272" t="s">
        <v>1099</v>
      </c>
    </row>
    <row r="40917">
      <c r="B40917" s="31"/>
      <c r="G40917" s="272" t="s">
        <v>1099</v>
      </c>
    </row>
    <row r="40918">
      <c r="B40918" s="31"/>
      <c r="G40918" s="272" t="s">
        <v>1099</v>
      </c>
    </row>
    <row r="40919">
      <c r="B40919" s="31"/>
      <c r="G40919" s="272" t="s">
        <v>1099</v>
      </c>
    </row>
    <row r="40920">
      <c r="B40920" s="31"/>
      <c r="G40920" s="272" t="s">
        <v>1099</v>
      </c>
    </row>
    <row r="40921">
      <c r="B40921" s="31"/>
      <c r="G40921" s="272" t="s">
        <v>1099</v>
      </c>
    </row>
    <row r="40922">
      <c r="B40922" s="31"/>
      <c r="G40922" s="272" t="s">
        <v>1099</v>
      </c>
    </row>
    <row r="40923">
      <c r="B40923" s="31"/>
      <c r="G40923" s="272" t="s">
        <v>1099</v>
      </c>
    </row>
    <row r="40924">
      <c r="B40924" s="31"/>
      <c r="G40924" s="272" t="s">
        <v>1099</v>
      </c>
    </row>
    <row r="40925">
      <c r="B40925" s="31"/>
      <c r="G40925" s="272" t="s">
        <v>1099</v>
      </c>
    </row>
    <row r="40926">
      <c r="B40926" s="31"/>
      <c r="G40926" s="272" t="s">
        <v>1099</v>
      </c>
    </row>
    <row r="40927">
      <c r="B40927" s="31"/>
      <c r="G40927" s="272" t="s">
        <v>1099</v>
      </c>
    </row>
    <row r="40928">
      <c r="B40928" s="31"/>
      <c r="G40928" s="272" t="s">
        <v>1099</v>
      </c>
    </row>
    <row r="40929">
      <c r="B40929" s="31"/>
      <c r="G40929" s="272" t="s">
        <v>1099</v>
      </c>
    </row>
    <row r="40930">
      <c r="B40930" s="31"/>
      <c r="G40930" s="272" t="s">
        <v>1099</v>
      </c>
    </row>
    <row r="40931">
      <c r="B40931" s="31"/>
      <c r="G40931" s="272" t="s">
        <v>1099</v>
      </c>
    </row>
    <row r="40932">
      <c r="B40932" s="31"/>
      <c r="G40932" s="272" t="s">
        <v>1099</v>
      </c>
    </row>
    <row r="40933">
      <c r="B40933" s="31"/>
      <c r="G40933" s="272" t="s">
        <v>1099</v>
      </c>
    </row>
    <row r="40934">
      <c r="B40934" s="31"/>
      <c r="G40934" s="272" t="s">
        <v>1099</v>
      </c>
    </row>
    <row r="40935">
      <c r="B40935" s="31"/>
      <c r="G40935" s="272" t="s">
        <v>1099</v>
      </c>
    </row>
    <row r="40936">
      <c r="B40936" s="31"/>
      <c r="G40936" s="272" t="s">
        <v>1099</v>
      </c>
    </row>
    <row r="40937">
      <c r="B40937" s="31"/>
      <c r="G40937" s="272" t="s">
        <v>1099</v>
      </c>
    </row>
    <row r="40938">
      <c r="B40938" s="31"/>
      <c r="G40938" s="272" t="s">
        <v>1099</v>
      </c>
    </row>
    <row r="40939">
      <c r="B40939" s="31"/>
      <c r="G40939" s="272" t="s">
        <v>1099</v>
      </c>
    </row>
    <row r="40940">
      <c r="B40940" s="31"/>
      <c r="G40940" s="272" t="s">
        <v>1099</v>
      </c>
    </row>
    <row r="40941">
      <c r="B40941" s="31"/>
      <c r="G40941" s="272" t="s">
        <v>1099</v>
      </c>
    </row>
    <row r="40942">
      <c r="B40942" s="31"/>
      <c r="G40942" s="272" t="s">
        <v>1099</v>
      </c>
    </row>
    <row r="40943">
      <c r="B40943" s="31"/>
      <c r="G40943" s="272" t="s">
        <v>1099</v>
      </c>
    </row>
    <row r="40944">
      <c r="B40944" s="31"/>
      <c r="G40944" s="272" t="s">
        <v>1099</v>
      </c>
    </row>
    <row r="40945">
      <c r="B40945" s="31"/>
      <c r="G40945" s="272" t="s">
        <v>1099</v>
      </c>
    </row>
    <row r="40946">
      <c r="B40946" s="31"/>
      <c r="G40946" s="272" t="s">
        <v>1099</v>
      </c>
    </row>
    <row r="40947">
      <c r="B40947" s="31"/>
      <c r="G40947" s="272" t="s">
        <v>1099</v>
      </c>
    </row>
    <row r="40948">
      <c r="B40948" s="31"/>
      <c r="G40948" s="272" t="s">
        <v>1099</v>
      </c>
    </row>
    <row r="40949">
      <c r="B40949" s="31"/>
      <c r="G40949" s="272" t="s">
        <v>1099</v>
      </c>
    </row>
    <row r="40950">
      <c r="B40950" s="31"/>
      <c r="G40950" s="272" t="s">
        <v>1099</v>
      </c>
    </row>
    <row r="40951">
      <c r="B40951" s="31"/>
      <c r="G40951" s="272" t="s">
        <v>1099</v>
      </c>
    </row>
    <row r="40952">
      <c r="B40952" s="31"/>
      <c r="G40952" s="272" t="s">
        <v>1099</v>
      </c>
    </row>
    <row r="40953">
      <c r="B40953" s="31"/>
      <c r="G40953" s="272" t="s">
        <v>1099</v>
      </c>
    </row>
    <row r="40954">
      <c r="B40954" s="31"/>
      <c r="G40954" s="272" t="s">
        <v>1099</v>
      </c>
    </row>
    <row r="40955">
      <c r="B40955" s="31"/>
      <c r="G40955" s="272" t="s">
        <v>1099</v>
      </c>
    </row>
    <row r="40956">
      <c r="B40956" s="31"/>
      <c r="G40956" s="272" t="s">
        <v>1099</v>
      </c>
    </row>
    <row r="40957">
      <c r="B40957" s="31"/>
      <c r="G40957" s="272" t="s">
        <v>1099</v>
      </c>
    </row>
    <row r="40958">
      <c r="B40958" s="31"/>
      <c r="G40958" s="272" t="s">
        <v>1099</v>
      </c>
    </row>
    <row r="40959">
      <c r="B40959" s="31"/>
      <c r="G40959" s="272" t="s">
        <v>1099</v>
      </c>
    </row>
    <row r="40960">
      <c r="B40960" s="31"/>
      <c r="G40960" s="272" t="s">
        <v>1099</v>
      </c>
    </row>
    <row r="40961">
      <c r="B40961" s="31"/>
      <c r="G40961" s="272" t="s">
        <v>1099</v>
      </c>
    </row>
    <row r="40962">
      <c r="B40962" s="31"/>
      <c r="G40962" s="272" t="s">
        <v>1099</v>
      </c>
    </row>
    <row r="40963">
      <c r="B40963" s="31"/>
      <c r="G40963" s="272" t="s">
        <v>1099</v>
      </c>
    </row>
    <row r="40964">
      <c r="B40964" s="31"/>
      <c r="G40964" s="272" t="s">
        <v>1099</v>
      </c>
    </row>
    <row r="40965">
      <c r="B40965" s="31"/>
      <c r="G40965" s="272" t="s">
        <v>1099</v>
      </c>
    </row>
    <row r="40966">
      <c r="B40966" s="31"/>
      <c r="G40966" s="272" t="s">
        <v>1099</v>
      </c>
    </row>
    <row r="40967">
      <c r="B40967" s="31"/>
      <c r="G40967" s="272" t="s">
        <v>1099</v>
      </c>
    </row>
    <row r="40968">
      <c r="B40968" s="31"/>
      <c r="G40968" s="272" t="s">
        <v>1099</v>
      </c>
    </row>
    <row r="40969">
      <c r="B40969" s="31"/>
      <c r="G40969" s="272" t="s">
        <v>1099</v>
      </c>
    </row>
    <row r="40970">
      <c r="B40970" s="31"/>
      <c r="G40970" s="272" t="s">
        <v>1099</v>
      </c>
    </row>
    <row r="40971">
      <c r="B40971" s="31"/>
      <c r="G40971" s="272" t="s">
        <v>1099</v>
      </c>
    </row>
    <row r="40972">
      <c r="B40972" s="31"/>
      <c r="G40972" s="272" t="s">
        <v>1099</v>
      </c>
    </row>
    <row r="40973">
      <c r="B40973" s="31"/>
      <c r="G40973" s="272" t="s">
        <v>1099</v>
      </c>
    </row>
    <row r="40974">
      <c r="B40974" s="31"/>
      <c r="G40974" s="272" t="s">
        <v>1099</v>
      </c>
    </row>
    <row r="40975">
      <c r="B40975" s="31"/>
      <c r="G40975" s="272" t="s">
        <v>1099</v>
      </c>
    </row>
    <row r="40976">
      <c r="B40976" s="31"/>
      <c r="G40976" s="272" t="s">
        <v>1099</v>
      </c>
    </row>
    <row r="40977">
      <c r="B40977" s="31"/>
      <c r="G40977" s="272" t="s">
        <v>1099</v>
      </c>
    </row>
    <row r="40978">
      <c r="B40978" s="31"/>
      <c r="G40978" s="272" t="s">
        <v>1099</v>
      </c>
    </row>
    <row r="40979">
      <c r="B40979" s="31"/>
      <c r="G40979" s="272" t="s">
        <v>1099</v>
      </c>
    </row>
    <row r="40980">
      <c r="B40980" s="31"/>
      <c r="G40980" s="272" t="s">
        <v>1099</v>
      </c>
    </row>
    <row r="40981">
      <c r="B40981" s="31"/>
      <c r="G40981" s="272" t="s">
        <v>1099</v>
      </c>
    </row>
    <row r="40982">
      <c r="B40982" s="31"/>
      <c r="G40982" s="272" t="s">
        <v>1099</v>
      </c>
    </row>
    <row r="40983">
      <c r="B40983" s="31"/>
      <c r="G40983" s="272" t="s">
        <v>1099</v>
      </c>
    </row>
    <row r="40984">
      <c r="B40984" s="31"/>
      <c r="G40984" s="272" t="s">
        <v>1099</v>
      </c>
    </row>
    <row r="40985">
      <c r="B40985" s="31"/>
      <c r="G40985" s="272" t="s">
        <v>1099</v>
      </c>
    </row>
    <row r="40986">
      <c r="B40986" s="31"/>
      <c r="G40986" s="272" t="s">
        <v>1099</v>
      </c>
    </row>
    <row r="40987">
      <c r="B40987" s="31"/>
      <c r="G40987" s="272" t="s">
        <v>1099</v>
      </c>
    </row>
    <row r="40988">
      <c r="B40988" s="31"/>
      <c r="G40988" s="272" t="s">
        <v>1099</v>
      </c>
    </row>
    <row r="40989">
      <c r="B40989" s="31"/>
      <c r="G40989" s="272" t="s">
        <v>1099</v>
      </c>
    </row>
    <row r="40990">
      <c r="B40990" s="31"/>
      <c r="G40990" s="272" t="s">
        <v>1099</v>
      </c>
    </row>
    <row r="40991">
      <c r="B40991" s="31"/>
      <c r="G40991" s="272" t="s">
        <v>1099</v>
      </c>
    </row>
    <row r="40992">
      <c r="B40992" s="31"/>
      <c r="G40992" s="272" t="s">
        <v>1099</v>
      </c>
    </row>
    <row r="40993">
      <c r="B40993" s="31"/>
      <c r="G40993" s="272" t="s">
        <v>1099</v>
      </c>
    </row>
    <row r="40994">
      <c r="B40994" s="31"/>
      <c r="G40994" s="272" t="s">
        <v>1099</v>
      </c>
    </row>
    <row r="40995">
      <c r="B40995" s="31"/>
      <c r="G40995" s="272" t="s">
        <v>1099</v>
      </c>
    </row>
    <row r="40996">
      <c r="B40996" s="31"/>
      <c r="G40996" s="272" t="s">
        <v>1099</v>
      </c>
    </row>
    <row r="40997">
      <c r="B40997" s="31"/>
      <c r="G40997" s="272" t="s">
        <v>1099</v>
      </c>
    </row>
    <row r="40998">
      <c r="B40998" s="31"/>
      <c r="G40998" s="272" t="s">
        <v>1099</v>
      </c>
    </row>
    <row r="40999">
      <c r="B40999" s="31"/>
      <c r="G40999" s="272" t="s">
        <v>1099</v>
      </c>
    </row>
    <row r="41000">
      <c r="B41000" s="31"/>
      <c r="G41000" s="272" t="s">
        <v>1099</v>
      </c>
    </row>
    <row r="41001">
      <c r="B41001" s="31"/>
      <c r="G41001" s="272" t="s">
        <v>1099</v>
      </c>
    </row>
    <row r="41002">
      <c r="B41002" s="31"/>
      <c r="G41002" s="272" t="s">
        <v>1099</v>
      </c>
    </row>
    <row r="41003">
      <c r="B41003" s="31"/>
      <c r="G41003" s="272" t="s">
        <v>1099</v>
      </c>
    </row>
    <row r="41004">
      <c r="B41004" s="31"/>
      <c r="G41004" s="272" t="s">
        <v>1099</v>
      </c>
    </row>
    <row r="41005">
      <c r="B41005" s="31"/>
      <c r="G41005" s="272" t="s">
        <v>1099</v>
      </c>
    </row>
    <row r="41006">
      <c r="B41006" s="31"/>
      <c r="G41006" s="272" t="s">
        <v>1099</v>
      </c>
    </row>
    <row r="41007">
      <c r="B41007" s="31"/>
      <c r="G41007" s="272" t="s">
        <v>1099</v>
      </c>
    </row>
    <row r="41008">
      <c r="B41008" s="31"/>
      <c r="G41008" s="272" t="s">
        <v>1099</v>
      </c>
    </row>
    <row r="41009">
      <c r="B41009" s="31"/>
      <c r="G41009" s="272" t="s">
        <v>1099</v>
      </c>
    </row>
    <row r="41010">
      <c r="B41010" s="31"/>
      <c r="G41010" s="272" t="s">
        <v>1099</v>
      </c>
    </row>
    <row r="41011">
      <c r="B41011" s="31"/>
      <c r="G41011" s="272" t="s">
        <v>1099</v>
      </c>
    </row>
    <row r="41012">
      <c r="B41012" s="31"/>
      <c r="G41012" s="272" t="s">
        <v>1099</v>
      </c>
    </row>
    <row r="41013">
      <c r="B41013" s="31"/>
      <c r="G41013" s="272" t="s">
        <v>1099</v>
      </c>
    </row>
    <row r="41014">
      <c r="B41014" s="31"/>
      <c r="G41014" s="272" t="s">
        <v>1099</v>
      </c>
    </row>
    <row r="41015">
      <c r="B41015" s="31"/>
      <c r="G41015" s="272" t="s">
        <v>1099</v>
      </c>
    </row>
    <row r="41016">
      <c r="B41016" s="31"/>
      <c r="G41016" s="272" t="s">
        <v>1099</v>
      </c>
    </row>
    <row r="41017">
      <c r="B41017" s="31"/>
      <c r="G41017" s="272" t="s">
        <v>1099</v>
      </c>
    </row>
    <row r="41018">
      <c r="B41018" s="31"/>
      <c r="G41018" s="272" t="s">
        <v>1099</v>
      </c>
    </row>
    <row r="41019">
      <c r="B41019" s="31"/>
      <c r="G41019" s="272" t="s">
        <v>1099</v>
      </c>
    </row>
    <row r="41020">
      <c r="B41020" s="31"/>
      <c r="G41020" s="272" t="s">
        <v>1099</v>
      </c>
    </row>
    <row r="41021">
      <c r="B41021" s="31"/>
      <c r="G41021" s="272" t="s">
        <v>1099</v>
      </c>
    </row>
    <row r="41022">
      <c r="B41022" s="31"/>
      <c r="G41022" s="272" t="s">
        <v>1099</v>
      </c>
    </row>
    <row r="41023">
      <c r="B41023" s="31"/>
      <c r="G41023" s="272" t="s">
        <v>1099</v>
      </c>
    </row>
    <row r="41024">
      <c r="B41024" s="31"/>
      <c r="G41024" s="272" t="s">
        <v>1099</v>
      </c>
    </row>
    <row r="41025">
      <c r="B41025" s="31"/>
      <c r="G41025" s="272" t="s">
        <v>1099</v>
      </c>
    </row>
    <row r="41026">
      <c r="B41026" s="31"/>
      <c r="G41026" s="272" t="s">
        <v>1099</v>
      </c>
    </row>
    <row r="41027">
      <c r="B41027" s="31"/>
      <c r="G41027" s="272" t="s">
        <v>1099</v>
      </c>
    </row>
    <row r="41028">
      <c r="B41028" s="31"/>
      <c r="G41028" s="272" t="s">
        <v>1099</v>
      </c>
    </row>
    <row r="41029">
      <c r="B41029" s="31"/>
      <c r="G41029" s="272" t="s">
        <v>1099</v>
      </c>
    </row>
    <row r="41030">
      <c r="B41030" s="31"/>
      <c r="G41030" s="272" t="s">
        <v>1099</v>
      </c>
    </row>
    <row r="41031">
      <c r="B41031" s="31"/>
      <c r="G41031" s="272" t="s">
        <v>1099</v>
      </c>
    </row>
    <row r="41032">
      <c r="B41032" s="31"/>
      <c r="G41032" s="272" t="s">
        <v>1099</v>
      </c>
    </row>
    <row r="41033">
      <c r="B41033" s="31"/>
      <c r="G41033" s="272" t="s">
        <v>1099</v>
      </c>
    </row>
    <row r="41034">
      <c r="B41034" s="31"/>
      <c r="G41034" s="272" t="s">
        <v>1099</v>
      </c>
    </row>
    <row r="41035">
      <c r="B41035" s="31"/>
      <c r="G41035" s="272" t="s">
        <v>1099</v>
      </c>
    </row>
    <row r="41036">
      <c r="B41036" s="31"/>
      <c r="G41036" s="272" t="s">
        <v>1099</v>
      </c>
    </row>
    <row r="41037">
      <c r="B41037" s="31"/>
      <c r="G41037" s="272" t="s">
        <v>1099</v>
      </c>
    </row>
    <row r="41038">
      <c r="B41038" s="31"/>
      <c r="G41038" s="272" t="s">
        <v>1099</v>
      </c>
    </row>
    <row r="41039">
      <c r="B41039" s="31"/>
      <c r="G41039" s="272" t="s">
        <v>1099</v>
      </c>
    </row>
    <row r="41040">
      <c r="B41040" s="31"/>
      <c r="G41040" s="272" t="s">
        <v>1099</v>
      </c>
    </row>
    <row r="41041">
      <c r="B41041" s="31"/>
      <c r="G41041" s="272" t="s">
        <v>1099</v>
      </c>
    </row>
    <row r="41042">
      <c r="B41042" s="31"/>
      <c r="G41042" s="272" t="s">
        <v>1099</v>
      </c>
    </row>
    <row r="41043">
      <c r="B41043" s="31"/>
      <c r="G41043" s="272" t="s">
        <v>1099</v>
      </c>
    </row>
    <row r="41044">
      <c r="B41044" s="31"/>
      <c r="G41044" s="272" t="s">
        <v>1099</v>
      </c>
    </row>
    <row r="41045">
      <c r="B41045" s="31"/>
      <c r="G41045" s="272" t="s">
        <v>1099</v>
      </c>
    </row>
    <row r="41046">
      <c r="B41046" s="31"/>
      <c r="G41046" s="272" t="s">
        <v>1099</v>
      </c>
    </row>
    <row r="41047">
      <c r="B41047" s="31"/>
      <c r="G41047" s="272" t="s">
        <v>1099</v>
      </c>
    </row>
    <row r="41048">
      <c r="B41048" s="31"/>
      <c r="G41048" s="272" t="s">
        <v>1099</v>
      </c>
    </row>
    <row r="41049">
      <c r="B41049" s="31"/>
      <c r="G41049" s="272" t="s">
        <v>1099</v>
      </c>
    </row>
    <row r="41050">
      <c r="B41050" s="31"/>
      <c r="G41050" s="272" t="s">
        <v>1099</v>
      </c>
    </row>
    <row r="41051">
      <c r="B41051" s="31"/>
      <c r="G41051" s="272" t="s">
        <v>1099</v>
      </c>
    </row>
    <row r="41052">
      <c r="B41052" s="31"/>
      <c r="G41052" s="272" t="s">
        <v>1099</v>
      </c>
    </row>
    <row r="41053">
      <c r="B41053" s="31"/>
      <c r="G41053" s="272" t="s">
        <v>1099</v>
      </c>
    </row>
    <row r="41054">
      <c r="B41054" s="31"/>
      <c r="G41054" s="272" t="s">
        <v>1099</v>
      </c>
    </row>
    <row r="41055">
      <c r="B41055" s="31"/>
      <c r="G41055" s="272" t="s">
        <v>1099</v>
      </c>
    </row>
    <row r="41056">
      <c r="B41056" s="31"/>
      <c r="G41056" s="272" t="s">
        <v>1099</v>
      </c>
    </row>
    <row r="41057">
      <c r="B41057" s="31"/>
      <c r="G41057" s="272" t="s">
        <v>1099</v>
      </c>
    </row>
    <row r="41058">
      <c r="B41058" s="31"/>
      <c r="G41058" s="272" t="s">
        <v>1099</v>
      </c>
    </row>
    <row r="41059">
      <c r="B41059" s="31"/>
      <c r="G41059" s="272" t="s">
        <v>1099</v>
      </c>
    </row>
    <row r="41060">
      <c r="B41060" s="31"/>
      <c r="G41060" s="272" t="s">
        <v>1099</v>
      </c>
    </row>
    <row r="41061">
      <c r="B41061" s="31"/>
      <c r="G41061" s="272" t="s">
        <v>1099</v>
      </c>
    </row>
    <row r="41062">
      <c r="B41062" s="31"/>
      <c r="G41062" s="272" t="s">
        <v>1099</v>
      </c>
    </row>
    <row r="41063">
      <c r="B41063" s="31"/>
      <c r="G41063" s="272" t="s">
        <v>1099</v>
      </c>
    </row>
    <row r="41064">
      <c r="B41064" s="31"/>
      <c r="G41064" s="272" t="s">
        <v>1099</v>
      </c>
    </row>
    <row r="41065">
      <c r="B41065" s="31"/>
      <c r="G41065" s="272" t="s">
        <v>1099</v>
      </c>
    </row>
    <row r="41066">
      <c r="B41066" s="31"/>
      <c r="G41066" s="272" t="s">
        <v>1099</v>
      </c>
    </row>
    <row r="41067">
      <c r="B41067" s="31"/>
      <c r="G41067" s="272" t="s">
        <v>1099</v>
      </c>
    </row>
    <row r="41068">
      <c r="B41068" s="31"/>
      <c r="G41068" s="272" t="s">
        <v>1099</v>
      </c>
    </row>
    <row r="41069">
      <c r="B41069" s="31"/>
      <c r="G41069" s="272" t="s">
        <v>1099</v>
      </c>
    </row>
    <row r="41070">
      <c r="B41070" s="31"/>
      <c r="G41070" s="272" t="s">
        <v>1099</v>
      </c>
    </row>
    <row r="41071">
      <c r="B41071" s="31"/>
      <c r="G41071" s="272" t="s">
        <v>1099</v>
      </c>
    </row>
    <row r="41072">
      <c r="B41072" s="31"/>
      <c r="G41072" s="272" t="s">
        <v>1099</v>
      </c>
    </row>
    <row r="41073">
      <c r="B41073" s="31"/>
      <c r="G41073" s="272" t="s">
        <v>1099</v>
      </c>
    </row>
    <row r="41074">
      <c r="B41074" s="31"/>
      <c r="G41074" s="272" t="s">
        <v>1099</v>
      </c>
    </row>
    <row r="41075">
      <c r="B41075" s="31"/>
      <c r="G41075" s="272" t="s">
        <v>1099</v>
      </c>
    </row>
    <row r="41076">
      <c r="B41076" s="31"/>
      <c r="G41076" s="272" t="s">
        <v>1099</v>
      </c>
    </row>
    <row r="41077">
      <c r="B41077" s="31"/>
      <c r="G41077" s="272" t="s">
        <v>1099</v>
      </c>
    </row>
    <row r="41078">
      <c r="B41078" s="31"/>
      <c r="G41078" s="272" t="s">
        <v>1099</v>
      </c>
    </row>
    <row r="41079">
      <c r="B41079" s="31"/>
      <c r="G41079" s="272" t="s">
        <v>1099</v>
      </c>
    </row>
    <row r="41080">
      <c r="B41080" s="31"/>
      <c r="G41080" s="272" t="s">
        <v>1099</v>
      </c>
    </row>
    <row r="41081">
      <c r="B41081" s="31"/>
      <c r="G41081" s="272" t="s">
        <v>1099</v>
      </c>
    </row>
    <row r="41082">
      <c r="B41082" s="31"/>
      <c r="G41082" s="272" t="s">
        <v>1099</v>
      </c>
    </row>
    <row r="41083">
      <c r="B41083" s="31"/>
      <c r="G41083" s="272" t="s">
        <v>1099</v>
      </c>
    </row>
    <row r="41084">
      <c r="B41084" s="31"/>
      <c r="G41084" s="272" t="s">
        <v>1099</v>
      </c>
    </row>
    <row r="41085">
      <c r="B41085" s="31"/>
      <c r="G41085" s="272" t="s">
        <v>1099</v>
      </c>
    </row>
    <row r="41086">
      <c r="B41086" s="31"/>
      <c r="G41086" s="272" t="s">
        <v>1099</v>
      </c>
    </row>
    <row r="41087">
      <c r="B41087" s="31"/>
      <c r="G41087" s="272" t="s">
        <v>1099</v>
      </c>
    </row>
    <row r="41088">
      <c r="B41088" s="31"/>
      <c r="G41088" s="272" t="s">
        <v>1099</v>
      </c>
    </row>
    <row r="41089">
      <c r="B41089" s="31"/>
      <c r="G41089" s="272" t="s">
        <v>1099</v>
      </c>
    </row>
    <row r="41090">
      <c r="B41090" s="31"/>
      <c r="G41090" s="272" t="s">
        <v>1099</v>
      </c>
    </row>
    <row r="41091">
      <c r="B41091" s="31"/>
      <c r="G41091" s="272" t="s">
        <v>1099</v>
      </c>
    </row>
    <row r="41092">
      <c r="B41092" s="31"/>
      <c r="G41092" s="272" t="s">
        <v>1099</v>
      </c>
    </row>
    <row r="41093">
      <c r="B41093" s="31"/>
      <c r="G41093" s="272" t="s">
        <v>1099</v>
      </c>
    </row>
    <row r="41094">
      <c r="B41094" s="31"/>
      <c r="G41094" s="272" t="s">
        <v>1099</v>
      </c>
    </row>
    <row r="41095">
      <c r="B41095" s="31"/>
      <c r="G41095" s="272" t="s">
        <v>1099</v>
      </c>
    </row>
    <row r="41096">
      <c r="B41096" s="31"/>
      <c r="G41096" s="272" t="s">
        <v>1099</v>
      </c>
    </row>
    <row r="41097">
      <c r="B41097" s="31"/>
      <c r="G41097" s="272" t="s">
        <v>1099</v>
      </c>
    </row>
    <row r="41098">
      <c r="B41098" s="31"/>
      <c r="G41098" s="272" t="s">
        <v>1099</v>
      </c>
    </row>
    <row r="41099">
      <c r="B41099" s="31"/>
      <c r="G41099" s="272" t="s">
        <v>1099</v>
      </c>
    </row>
    <row r="41100">
      <c r="B41100" s="31"/>
      <c r="G41100" s="272" t="s">
        <v>1099</v>
      </c>
    </row>
    <row r="41101">
      <c r="B41101" s="31"/>
      <c r="G41101" s="272" t="s">
        <v>1099</v>
      </c>
    </row>
    <row r="41102">
      <c r="B41102" s="31"/>
      <c r="G41102" s="272" t="s">
        <v>1099</v>
      </c>
    </row>
    <row r="41103">
      <c r="B41103" s="31"/>
      <c r="G41103" s="272" t="s">
        <v>1099</v>
      </c>
    </row>
    <row r="41104">
      <c r="B41104" s="31"/>
      <c r="G41104" s="272" t="s">
        <v>1099</v>
      </c>
    </row>
    <row r="41105">
      <c r="B41105" s="31"/>
      <c r="G41105" s="272" t="s">
        <v>1099</v>
      </c>
    </row>
    <row r="41106">
      <c r="B41106" s="31"/>
      <c r="G41106" s="272" t="s">
        <v>1099</v>
      </c>
    </row>
    <row r="41107">
      <c r="B41107" s="31"/>
      <c r="G41107" s="272" t="s">
        <v>1099</v>
      </c>
    </row>
    <row r="41108">
      <c r="B41108" s="31"/>
      <c r="G41108" s="272" t="s">
        <v>1099</v>
      </c>
    </row>
    <row r="41109">
      <c r="B41109" s="31"/>
      <c r="G41109" s="272" t="s">
        <v>1099</v>
      </c>
    </row>
    <row r="41110">
      <c r="B41110" s="31"/>
      <c r="G41110" s="272" t="s">
        <v>1099</v>
      </c>
    </row>
    <row r="41111">
      <c r="B41111" s="31"/>
      <c r="G41111" s="272" t="s">
        <v>1099</v>
      </c>
    </row>
    <row r="41112">
      <c r="B41112" s="31"/>
      <c r="G41112" s="272" t="s">
        <v>1099</v>
      </c>
    </row>
    <row r="41113">
      <c r="B41113" s="31"/>
      <c r="G41113" s="272" t="s">
        <v>1099</v>
      </c>
    </row>
    <row r="41114">
      <c r="B41114" s="31"/>
      <c r="G41114" s="272" t="s">
        <v>1099</v>
      </c>
    </row>
    <row r="41115">
      <c r="B41115" s="31"/>
      <c r="G41115" s="272" t="s">
        <v>1099</v>
      </c>
    </row>
    <row r="41116">
      <c r="B41116" s="31"/>
      <c r="G41116" s="272" t="s">
        <v>1099</v>
      </c>
    </row>
    <row r="41117">
      <c r="B41117" s="31"/>
      <c r="G41117" s="272" t="s">
        <v>1099</v>
      </c>
    </row>
    <row r="41118">
      <c r="B41118" s="31"/>
      <c r="G41118" s="272" t="s">
        <v>1099</v>
      </c>
    </row>
    <row r="41119">
      <c r="B41119" s="31"/>
      <c r="G41119" s="272" t="s">
        <v>1099</v>
      </c>
    </row>
    <row r="41120">
      <c r="B41120" s="31"/>
      <c r="G41120" s="272" t="s">
        <v>1099</v>
      </c>
    </row>
    <row r="41121">
      <c r="B41121" s="31"/>
      <c r="G41121" s="272" t="s">
        <v>1099</v>
      </c>
    </row>
    <row r="41122">
      <c r="B41122" s="31"/>
      <c r="G41122" s="272" t="s">
        <v>1099</v>
      </c>
    </row>
    <row r="41123">
      <c r="B41123" s="31"/>
      <c r="G41123" s="272" t="s">
        <v>1099</v>
      </c>
    </row>
    <row r="41124">
      <c r="B41124" s="31"/>
      <c r="G41124" s="272" t="s">
        <v>1099</v>
      </c>
    </row>
    <row r="41125">
      <c r="B41125" s="31"/>
      <c r="G41125" s="272" t="s">
        <v>1099</v>
      </c>
    </row>
    <row r="41126">
      <c r="B41126" s="31"/>
      <c r="G41126" s="272" t="s">
        <v>1099</v>
      </c>
    </row>
    <row r="41127">
      <c r="B41127" s="31"/>
      <c r="G41127" s="272" t="s">
        <v>1099</v>
      </c>
    </row>
    <row r="41128">
      <c r="B41128" s="31"/>
      <c r="G41128" s="272" t="s">
        <v>1099</v>
      </c>
    </row>
    <row r="41129">
      <c r="B41129" s="31"/>
      <c r="G41129" s="272" t="s">
        <v>1099</v>
      </c>
    </row>
    <row r="41130">
      <c r="B41130" s="31"/>
      <c r="G41130" s="272" t="s">
        <v>1099</v>
      </c>
    </row>
    <row r="41131">
      <c r="B41131" s="31"/>
      <c r="G41131" s="272" t="s">
        <v>1099</v>
      </c>
    </row>
    <row r="41132">
      <c r="B41132" s="31"/>
      <c r="G41132" s="272" t="s">
        <v>1099</v>
      </c>
    </row>
    <row r="41133">
      <c r="B41133" s="31"/>
      <c r="G41133" s="272" t="s">
        <v>1099</v>
      </c>
    </row>
    <row r="41134">
      <c r="B41134" s="31"/>
      <c r="G41134" s="272" t="s">
        <v>1099</v>
      </c>
    </row>
    <row r="41135">
      <c r="B41135" s="31"/>
      <c r="G41135" s="272" t="s">
        <v>1099</v>
      </c>
    </row>
    <row r="41136">
      <c r="B41136" s="31"/>
      <c r="G41136" s="272" t="s">
        <v>1099</v>
      </c>
    </row>
    <row r="41137">
      <c r="B41137" s="31"/>
      <c r="G41137" s="272" t="s">
        <v>1099</v>
      </c>
    </row>
    <row r="41138">
      <c r="B41138" s="31"/>
      <c r="G41138" s="272" t="s">
        <v>1099</v>
      </c>
    </row>
    <row r="41139">
      <c r="B41139" s="31"/>
      <c r="G41139" s="272" t="s">
        <v>1099</v>
      </c>
    </row>
    <row r="41140">
      <c r="B41140" s="31"/>
      <c r="G41140" s="272" t="s">
        <v>1099</v>
      </c>
    </row>
    <row r="41141">
      <c r="B41141" s="31"/>
      <c r="G41141" s="272" t="s">
        <v>1099</v>
      </c>
    </row>
    <row r="41142">
      <c r="B41142" s="31"/>
      <c r="G41142" s="272" t="s">
        <v>1099</v>
      </c>
    </row>
    <row r="41143">
      <c r="B41143" s="31"/>
      <c r="G41143" s="272" t="s">
        <v>1099</v>
      </c>
    </row>
    <row r="41144">
      <c r="B41144" s="31"/>
      <c r="G41144" s="272" t="s">
        <v>1099</v>
      </c>
    </row>
    <row r="41145">
      <c r="B41145" s="31"/>
      <c r="G41145" s="272" t="s">
        <v>1099</v>
      </c>
    </row>
    <row r="41146">
      <c r="B41146" s="31"/>
      <c r="G41146" s="272" t="s">
        <v>1099</v>
      </c>
    </row>
    <row r="41147">
      <c r="B41147" s="31"/>
      <c r="G41147" s="272" t="s">
        <v>1099</v>
      </c>
    </row>
    <row r="41148">
      <c r="B41148" s="31"/>
      <c r="G41148" s="272" t="s">
        <v>1099</v>
      </c>
    </row>
    <row r="41149">
      <c r="B41149" s="31"/>
      <c r="G41149" s="272" t="s">
        <v>1099</v>
      </c>
    </row>
    <row r="41150">
      <c r="B41150" s="31"/>
      <c r="G41150" s="272" t="s">
        <v>1099</v>
      </c>
    </row>
    <row r="41151">
      <c r="B41151" s="31"/>
      <c r="G41151" s="272" t="s">
        <v>1099</v>
      </c>
    </row>
    <row r="41152">
      <c r="B41152" s="31"/>
      <c r="G41152" s="272" t="s">
        <v>1099</v>
      </c>
    </row>
    <row r="41153">
      <c r="B41153" s="31"/>
      <c r="G41153" s="272" t="s">
        <v>1099</v>
      </c>
    </row>
    <row r="41154">
      <c r="B41154" s="31"/>
      <c r="G41154" s="272" t="s">
        <v>1099</v>
      </c>
    </row>
    <row r="41155">
      <c r="B41155" s="31"/>
      <c r="G41155" s="272" t="s">
        <v>1099</v>
      </c>
    </row>
    <row r="41156">
      <c r="B41156" s="31"/>
      <c r="G41156" s="272" t="s">
        <v>1099</v>
      </c>
    </row>
    <row r="41157">
      <c r="B41157" s="31"/>
      <c r="G41157" s="272" t="s">
        <v>1099</v>
      </c>
    </row>
    <row r="41158">
      <c r="B41158" s="31"/>
      <c r="G41158" s="272" t="s">
        <v>1099</v>
      </c>
    </row>
    <row r="41159">
      <c r="B41159" s="31"/>
      <c r="G41159" s="272" t="s">
        <v>1099</v>
      </c>
    </row>
    <row r="41160">
      <c r="B41160" s="31"/>
      <c r="G41160" s="272" t="s">
        <v>1099</v>
      </c>
    </row>
    <row r="41161">
      <c r="B41161" s="31"/>
      <c r="G41161" s="272" t="s">
        <v>1099</v>
      </c>
    </row>
    <row r="41162">
      <c r="B41162" s="31"/>
      <c r="G41162" s="272" t="s">
        <v>1099</v>
      </c>
    </row>
    <row r="41163">
      <c r="B41163" s="31"/>
      <c r="G41163" s="272" t="s">
        <v>1099</v>
      </c>
    </row>
    <row r="41164">
      <c r="B41164" s="31"/>
      <c r="G41164" s="272" t="s">
        <v>1099</v>
      </c>
    </row>
    <row r="41165">
      <c r="B41165" s="31"/>
      <c r="G41165" s="272" t="s">
        <v>1099</v>
      </c>
    </row>
    <row r="41166">
      <c r="B41166" s="31"/>
      <c r="G41166" s="272" t="s">
        <v>1099</v>
      </c>
    </row>
    <row r="41167">
      <c r="B41167" s="31"/>
      <c r="G41167" s="272" t="s">
        <v>1099</v>
      </c>
    </row>
    <row r="41168">
      <c r="B41168" s="31"/>
      <c r="G41168" s="272" t="s">
        <v>1099</v>
      </c>
    </row>
    <row r="41169">
      <c r="B41169" s="31"/>
      <c r="G41169" s="272" t="s">
        <v>1099</v>
      </c>
    </row>
    <row r="41170">
      <c r="B41170" s="31"/>
      <c r="G41170" s="272" t="s">
        <v>1099</v>
      </c>
    </row>
    <row r="41171">
      <c r="B41171" s="31"/>
      <c r="G41171" s="272" t="s">
        <v>1099</v>
      </c>
    </row>
    <row r="41172">
      <c r="B41172" s="31"/>
      <c r="G41172" s="272" t="s">
        <v>1099</v>
      </c>
    </row>
    <row r="41173">
      <c r="B41173" s="31"/>
      <c r="G41173" s="272" t="s">
        <v>1099</v>
      </c>
    </row>
    <row r="41174">
      <c r="B41174" s="31"/>
      <c r="G41174" s="272" t="s">
        <v>1099</v>
      </c>
    </row>
    <row r="41175">
      <c r="B41175" s="31"/>
      <c r="G41175" s="272" t="s">
        <v>1099</v>
      </c>
    </row>
    <row r="41176">
      <c r="B41176" s="31"/>
      <c r="G41176" s="272" t="s">
        <v>1099</v>
      </c>
    </row>
    <row r="41177">
      <c r="B41177" s="31"/>
      <c r="G41177" s="272" t="s">
        <v>1099</v>
      </c>
    </row>
    <row r="41178">
      <c r="B41178" s="31"/>
      <c r="G41178" s="272" t="s">
        <v>1099</v>
      </c>
    </row>
    <row r="41179">
      <c r="B41179" s="31"/>
      <c r="G41179" s="272" t="s">
        <v>1099</v>
      </c>
    </row>
    <row r="41180">
      <c r="B41180" s="31"/>
      <c r="G41180" s="272" t="s">
        <v>1099</v>
      </c>
    </row>
    <row r="41181">
      <c r="B41181" s="31"/>
      <c r="G41181" s="272" t="s">
        <v>1099</v>
      </c>
    </row>
    <row r="41182">
      <c r="B41182" s="31"/>
      <c r="G41182" s="272" t="s">
        <v>1099</v>
      </c>
    </row>
    <row r="41183">
      <c r="B41183" s="31"/>
      <c r="G41183" s="272" t="s">
        <v>1099</v>
      </c>
    </row>
    <row r="41184">
      <c r="B41184" s="31"/>
      <c r="G41184" s="272" t="s">
        <v>1099</v>
      </c>
    </row>
    <row r="41185">
      <c r="B41185" s="31"/>
      <c r="G41185" s="272" t="s">
        <v>1099</v>
      </c>
    </row>
    <row r="41186">
      <c r="B41186" s="31"/>
      <c r="G41186" s="272" t="s">
        <v>1099</v>
      </c>
    </row>
    <row r="41187">
      <c r="B41187" s="31"/>
      <c r="G41187" s="272" t="s">
        <v>1099</v>
      </c>
    </row>
    <row r="41188">
      <c r="B41188" s="31"/>
      <c r="G41188" s="272" t="s">
        <v>1099</v>
      </c>
    </row>
    <row r="41189">
      <c r="B41189" s="31"/>
      <c r="G41189" s="272" t="s">
        <v>1099</v>
      </c>
    </row>
    <row r="41190">
      <c r="B41190" s="31"/>
      <c r="G41190" s="272" t="s">
        <v>1099</v>
      </c>
    </row>
    <row r="41191">
      <c r="B41191" s="31"/>
      <c r="G41191" s="272" t="s">
        <v>1099</v>
      </c>
    </row>
    <row r="41192">
      <c r="B41192" s="31"/>
      <c r="G41192" s="272" t="s">
        <v>1099</v>
      </c>
    </row>
    <row r="41193">
      <c r="B41193" s="31"/>
      <c r="G41193" s="272" t="s">
        <v>1099</v>
      </c>
    </row>
    <row r="41194">
      <c r="B41194" s="31"/>
      <c r="G41194" s="272" t="s">
        <v>1099</v>
      </c>
    </row>
    <row r="41195">
      <c r="B41195" s="31"/>
      <c r="G41195" s="272" t="s">
        <v>1099</v>
      </c>
    </row>
    <row r="41196">
      <c r="B41196" s="31"/>
      <c r="G41196" s="272" t="s">
        <v>1099</v>
      </c>
    </row>
    <row r="41197">
      <c r="B41197" s="31"/>
      <c r="G41197" s="272" t="s">
        <v>1099</v>
      </c>
    </row>
    <row r="41198">
      <c r="B41198" s="31"/>
      <c r="G41198" s="272" t="s">
        <v>1099</v>
      </c>
    </row>
    <row r="41199">
      <c r="B41199" s="31"/>
      <c r="G41199" s="272" t="s">
        <v>1099</v>
      </c>
    </row>
    <row r="41200">
      <c r="B41200" s="31"/>
      <c r="G41200" s="272" t="s">
        <v>1099</v>
      </c>
    </row>
    <row r="41201">
      <c r="B41201" s="31"/>
      <c r="G41201" s="272" t="s">
        <v>1099</v>
      </c>
    </row>
    <row r="41202">
      <c r="B41202" s="31"/>
      <c r="G41202" s="272" t="s">
        <v>1099</v>
      </c>
    </row>
    <row r="41203">
      <c r="B41203" s="31"/>
      <c r="G41203" s="272" t="s">
        <v>1099</v>
      </c>
    </row>
    <row r="41204">
      <c r="B41204" s="31"/>
      <c r="G41204" s="272" t="s">
        <v>1099</v>
      </c>
    </row>
    <row r="41205">
      <c r="B41205" s="31"/>
      <c r="G41205" s="272" t="s">
        <v>1099</v>
      </c>
    </row>
    <row r="41206">
      <c r="B41206" s="31"/>
      <c r="G41206" s="272" t="s">
        <v>1099</v>
      </c>
    </row>
    <row r="41207">
      <c r="B41207" s="31"/>
      <c r="G41207" s="272" t="s">
        <v>1099</v>
      </c>
    </row>
    <row r="41208">
      <c r="B41208" s="31"/>
      <c r="G41208" s="272" t="s">
        <v>1099</v>
      </c>
    </row>
    <row r="41209">
      <c r="B41209" s="31"/>
      <c r="G41209" s="272" t="s">
        <v>1099</v>
      </c>
    </row>
    <row r="41210">
      <c r="B41210" s="31"/>
      <c r="G41210" s="272" t="s">
        <v>1099</v>
      </c>
    </row>
    <row r="41211">
      <c r="B41211" s="31"/>
      <c r="G41211" s="272" t="s">
        <v>1099</v>
      </c>
    </row>
    <row r="41212">
      <c r="B41212" s="31"/>
      <c r="G41212" s="272" t="s">
        <v>1099</v>
      </c>
    </row>
    <row r="41213">
      <c r="B41213" s="31"/>
      <c r="G41213" s="272" t="s">
        <v>1099</v>
      </c>
    </row>
    <row r="41214">
      <c r="B41214" s="31"/>
      <c r="G41214" s="272" t="s">
        <v>1099</v>
      </c>
    </row>
    <row r="41215">
      <c r="B41215" s="31"/>
      <c r="G41215" s="272" t="s">
        <v>1099</v>
      </c>
    </row>
    <row r="41216">
      <c r="B41216" s="31"/>
      <c r="G41216" s="272" t="s">
        <v>1099</v>
      </c>
    </row>
    <row r="41217">
      <c r="B41217" s="31"/>
      <c r="G41217" s="272" t="s">
        <v>1099</v>
      </c>
    </row>
    <row r="41218">
      <c r="B41218" s="31"/>
      <c r="G41218" s="272" t="s">
        <v>1099</v>
      </c>
    </row>
    <row r="41219">
      <c r="B41219" s="31"/>
      <c r="G41219" s="272" t="s">
        <v>1099</v>
      </c>
    </row>
    <row r="41220">
      <c r="B41220" s="31"/>
      <c r="G41220" s="272" t="s">
        <v>1099</v>
      </c>
    </row>
    <row r="41221">
      <c r="B41221" s="31"/>
      <c r="G41221" s="272" t="s">
        <v>1099</v>
      </c>
    </row>
    <row r="41222">
      <c r="B41222" s="31"/>
      <c r="G41222" s="272" t="s">
        <v>1099</v>
      </c>
    </row>
    <row r="41223">
      <c r="B41223" s="31"/>
      <c r="G41223" s="272" t="s">
        <v>1099</v>
      </c>
    </row>
    <row r="41224">
      <c r="B41224" s="31"/>
      <c r="G41224" s="272" t="s">
        <v>1099</v>
      </c>
    </row>
    <row r="41225">
      <c r="B41225" s="31"/>
      <c r="G41225" s="272" t="s">
        <v>1099</v>
      </c>
    </row>
    <row r="41226">
      <c r="B41226" s="31"/>
      <c r="G41226" s="272" t="s">
        <v>1099</v>
      </c>
    </row>
    <row r="41227">
      <c r="B41227" s="31"/>
      <c r="G41227" s="272" t="s">
        <v>1099</v>
      </c>
    </row>
    <row r="41228">
      <c r="B41228" s="31"/>
      <c r="G41228" s="272" t="s">
        <v>1099</v>
      </c>
    </row>
    <row r="41229">
      <c r="B41229" s="31"/>
      <c r="G41229" s="272" t="s">
        <v>1099</v>
      </c>
    </row>
    <row r="41230">
      <c r="B41230" s="31"/>
      <c r="G41230" s="272" t="s">
        <v>1099</v>
      </c>
    </row>
    <row r="41231">
      <c r="B41231" s="31"/>
      <c r="G41231" s="272" t="s">
        <v>1099</v>
      </c>
    </row>
    <row r="41232">
      <c r="B41232" s="31"/>
      <c r="G41232" s="272" t="s">
        <v>1099</v>
      </c>
    </row>
    <row r="41233">
      <c r="B41233" s="31"/>
      <c r="G41233" s="272" t="s">
        <v>1099</v>
      </c>
    </row>
    <row r="41234">
      <c r="B41234" s="31"/>
      <c r="G41234" s="272" t="s">
        <v>1099</v>
      </c>
    </row>
    <row r="41235">
      <c r="B41235" s="31"/>
      <c r="G41235" s="272" t="s">
        <v>1099</v>
      </c>
    </row>
    <row r="41236">
      <c r="B41236" s="31"/>
      <c r="G41236" s="272" t="s">
        <v>1099</v>
      </c>
    </row>
    <row r="41237">
      <c r="B41237" s="31"/>
      <c r="G41237" s="272" t="s">
        <v>1099</v>
      </c>
    </row>
    <row r="41238">
      <c r="B41238" s="31"/>
      <c r="G41238" s="272" t="s">
        <v>1099</v>
      </c>
    </row>
    <row r="41239">
      <c r="B41239" s="31"/>
      <c r="G41239" s="272" t="s">
        <v>1099</v>
      </c>
    </row>
    <row r="41240">
      <c r="B41240" s="31"/>
      <c r="G41240" s="272" t="s">
        <v>1099</v>
      </c>
    </row>
    <row r="41241">
      <c r="B41241" s="31"/>
      <c r="G41241" s="272" t="s">
        <v>1099</v>
      </c>
    </row>
    <row r="41242">
      <c r="B41242" s="31"/>
      <c r="G41242" s="272" t="s">
        <v>1099</v>
      </c>
    </row>
    <row r="41243">
      <c r="B41243" s="31"/>
      <c r="G41243" s="272" t="s">
        <v>1099</v>
      </c>
    </row>
    <row r="41244">
      <c r="B41244" s="31"/>
      <c r="G41244" s="272" t="s">
        <v>1099</v>
      </c>
    </row>
    <row r="41245">
      <c r="B41245" s="31"/>
      <c r="G41245" s="272" t="s">
        <v>1099</v>
      </c>
    </row>
    <row r="41246">
      <c r="B41246" s="31"/>
      <c r="G41246" s="272" t="s">
        <v>1099</v>
      </c>
    </row>
    <row r="41247">
      <c r="B41247" s="31"/>
      <c r="G41247" s="272" t="s">
        <v>1099</v>
      </c>
    </row>
    <row r="41248">
      <c r="B41248" s="31"/>
      <c r="G41248" s="272" t="s">
        <v>1099</v>
      </c>
    </row>
    <row r="41249">
      <c r="B41249" s="31"/>
      <c r="G41249" s="272" t="s">
        <v>1099</v>
      </c>
    </row>
    <row r="41250">
      <c r="B41250" s="31"/>
      <c r="G41250" s="272" t="s">
        <v>1099</v>
      </c>
    </row>
    <row r="41251">
      <c r="B41251" s="31"/>
      <c r="G41251" s="272" t="s">
        <v>1099</v>
      </c>
    </row>
    <row r="41252">
      <c r="B41252" s="31"/>
      <c r="G41252" s="272" t="s">
        <v>1099</v>
      </c>
    </row>
    <row r="41253">
      <c r="B41253" s="31"/>
      <c r="G41253" s="272" t="s">
        <v>1099</v>
      </c>
    </row>
    <row r="41254">
      <c r="B41254" s="31"/>
      <c r="G41254" s="272" t="s">
        <v>1099</v>
      </c>
    </row>
    <row r="41255">
      <c r="B41255" s="31"/>
      <c r="G41255" s="272" t="s">
        <v>1099</v>
      </c>
    </row>
    <row r="41256">
      <c r="B41256" s="31"/>
      <c r="G41256" s="272" t="s">
        <v>1099</v>
      </c>
    </row>
    <row r="41257">
      <c r="B41257" s="31"/>
      <c r="G41257" s="272" t="s">
        <v>1099</v>
      </c>
    </row>
    <row r="41258">
      <c r="B41258" s="31"/>
      <c r="G41258" s="272" t="s">
        <v>1099</v>
      </c>
    </row>
    <row r="41259">
      <c r="B41259" s="31"/>
      <c r="G41259" s="272" t="s">
        <v>1099</v>
      </c>
    </row>
    <row r="41260">
      <c r="B41260" s="31"/>
      <c r="G41260" s="272" t="s">
        <v>1099</v>
      </c>
    </row>
    <row r="41261">
      <c r="B41261" s="31"/>
      <c r="G41261" s="272" t="s">
        <v>1099</v>
      </c>
    </row>
    <row r="41262">
      <c r="B41262" s="31"/>
      <c r="G41262" s="272" t="s">
        <v>1099</v>
      </c>
    </row>
    <row r="41263">
      <c r="B41263" s="31"/>
      <c r="G41263" s="272" t="s">
        <v>1099</v>
      </c>
    </row>
    <row r="41264">
      <c r="B41264" s="31"/>
      <c r="G41264" s="272" t="s">
        <v>1099</v>
      </c>
    </row>
    <row r="41265">
      <c r="B41265" s="31"/>
      <c r="G41265" s="272" t="s">
        <v>1099</v>
      </c>
    </row>
    <row r="41266">
      <c r="B41266" s="31"/>
      <c r="G41266" s="272" t="s">
        <v>1099</v>
      </c>
    </row>
    <row r="41267">
      <c r="B41267" s="31"/>
      <c r="G41267" s="272" t="s">
        <v>1099</v>
      </c>
    </row>
    <row r="41268">
      <c r="B41268" s="31"/>
      <c r="G41268" s="272" t="s">
        <v>1099</v>
      </c>
    </row>
    <row r="41269">
      <c r="B41269" s="31"/>
      <c r="G41269" s="272" t="s">
        <v>1099</v>
      </c>
    </row>
    <row r="41270">
      <c r="B41270" s="31"/>
      <c r="G41270" s="272" t="s">
        <v>1099</v>
      </c>
    </row>
    <row r="41271">
      <c r="B41271" s="31"/>
      <c r="G41271" s="272" t="s">
        <v>1099</v>
      </c>
    </row>
    <row r="41272">
      <c r="B41272" s="31"/>
      <c r="G41272" s="272" t="s">
        <v>1099</v>
      </c>
    </row>
    <row r="41273">
      <c r="B41273" s="31"/>
      <c r="G41273" s="272" t="s">
        <v>1099</v>
      </c>
    </row>
    <row r="41274">
      <c r="B41274" s="31"/>
      <c r="G41274" s="272" t="s">
        <v>1099</v>
      </c>
    </row>
    <row r="41275">
      <c r="B41275" s="31"/>
      <c r="G41275" s="272" t="s">
        <v>1099</v>
      </c>
    </row>
    <row r="41276">
      <c r="B41276" s="31"/>
      <c r="G41276" s="272" t="s">
        <v>1099</v>
      </c>
    </row>
    <row r="41277">
      <c r="B41277" s="31"/>
      <c r="G41277" s="272" t="s">
        <v>1099</v>
      </c>
    </row>
    <row r="41278">
      <c r="B41278" s="31"/>
      <c r="G41278" s="272" t="s">
        <v>1099</v>
      </c>
    </row>
    <row r="41279">
      <c r="B41279" s="31"/>
      <c r="G41279" s="272" t="s">
        <v>1099</v>
      </c>
    </row>
    <row r="41280">
      <c r="B41280" s="31"/>
      <c r="G41280" s="272" t="s">
        <v>1099</v>
      </c>
    </row>
    <row r="41281">
      <c r="B41281" s="31"/>
      <c r="G41281" s="272" t="s">
        <v>1099</v>
      </c>
    </row>
    <row r="41282">
      <c r="B41282" s="31"/>
      <c r="G41282" s="272" t="s">
        <v>1099</v>
      </c>
    </row>
    <row r="41283">
      <c r="B41283" s="31"/>
      <c r="G41283" s="272" t="s">
        <v>1099</v>
      </c>
    </row>
    <row r="41284">
      <c r="B41284" s="31"/>
      <c r="G41284" s="272" t="s">
        <v>1099</v>
      </c>
    </row>
    <row r="41285">
      <c r="B41285" s="31"/>
      <c r="G41285" s="272" t="s">
        <v>1099</v>
      </c>
    </row>
    <row r="41286">
      <c r="B41286" s="31"/>
      <c r="G41286" s="272" t="s">
        <v>1099</v>
      </c>
    </row>
    <row r="41287">
      <c r="B41287" s="31"/>
      <c r="G41287" s="272" t="s">
        <v>1099</v>
      </c>
    </row>
    <row r="41288">
      <c r="B41288" s="31"/>
      <c r="G41288" s="272" t="s">
        <v>1099</v>
      </c>
    </row>
    <row r="41289">
      <c r="B41289" s="31"/>
      <c r="G41289" s="272" t="s">
        <v>1099</v>
      </c>
    </row>
    <row r="41290">
      <c r="B41290" s="31"/>
      <c r="G41290" s="272" t="s">
        <v>1099</v>
      </c>
    </row>
    <row r="41291">
      <c r="B41291" s="31"/>
      <c r="G41291" s="272" t="s">
        <v>1099</v>
      </c>
    </row>
    <row r="41292">
      <c r="B41292" s="31"/>
      <c r="G41292" s="272" t="s">
        <v>1099</v>
      </c>
    </row>
    <row r="41293">
      <c r="B41293" s="31"/>
      <c r="G41293" s="272" t="s">
        <v>1099</v>
      </c>
    </row>
    <row r="41294">
      <c r="B41294" s="31"/>
      <c r="G41294" s="272" t="s">
        <v>1099</v>
      </c>
    </row>
    <row r="41295">
      <c r="B41295" s="31"/>
      <c r="G41295" s="272" t="s">
        <v>1099</v>
      </c>
    </row>
    <row r="41296">
      <c r="B41296" s="31"/>
      <c r="G41296" s="272" t="s">
        <v>1099</v>
      </c>
    </row>
    <row r="41297">
      <c r="B41297" s="31"/>
      <c r="G41297" s="272" t="s">
        <v>1099</v>
      </c>
    </row>
    <row r="41298">
      <c r="B41298" s="31"/>
      <c r="G41298" s="272" t="s">
        <v>1099</v>
      </c>
    </row>
    <row r="41299">
      <c r="B41299" s="31"/>
      <c r="G41299" s="272" t="s">
        <v>1099</v>
      </c>
    </row>
    <row r="41300">
      <c r="B41300" s="31"/>
      <c r="G41300" s="272" t="s">
        <v>1099</v>
      </c>
    </row>
    <row r="41301">
      <c r="B41301" s="31"/>
      <c r="G41301" s="272" t="s">
        <v>1099</v>
      </c>
    </row>
    <row r="41302">
      <c r="B41302" s="31"/>
      <c r="G41302" s="272" t="s">
        <v>1099</v>
      </c>
    </row>
    <row r="41303">
      <c r="B41303" s="31"/>
      <c r="G41303" s="272" t="s">
        <v>1099</v>
      </c>
    </row>
    <row r="41304">
      <c r="B41304" s="31"/>
      <c r="G41304" s="272" t="s">
        <v>1099</v>
      </c>
    </row>
    <row r="41305">
      <c r="B41305" s="31"/>
      <c r="G41305" s="272" t="s">
        <v>1099</v>
      </c>
    </row>
    <row r="41306">
      <c r="B41306" s="31"/>
      <c r="G41306" s="272" t="s">
        <v>1099</v>
      </c>
    </row>
    <row r="41307">
      <c r="B41307" s="31"/>
      <c r="G41307" s="272" t="s">
        <v>1099</v>
      </c>
    </row>
    <row r="41308">
      <c r="B41308" s="31"/>
      <c r="G41308" s="272" t="s">
        <v>1099</v>
      </c>
    </row>
    <row r="41309">
      <c r="B41309" s="31"/>
      <c r="G41309" s="272" t="s">
        <v>1099</v>
      </c>
    </row>
    <row r="41310">
      <c r="B41310" s="31"/>
      <c r="G41310" s="272" t="s">
        <v>1099</v>
      </c>
    </row>
    <row r="41311">
      <c r="B41311" s="31"/>
      <c r="G41311" s="272" t="s">
        <v>1099</v>
      </c>
    </row>
    <row r="41312">
      <c r="B41312" s="31"/>
      <c r="G41312" s="272" t="s">
        <v>1099</v>
      </c>
    </row>
    <row r="41313">
      <c r="B41313" s="31"/>
      <c r="G41313" s="272" t="s">
        <v>1099</v>
      </c>
    </row>
    <row r="41314">
      <c r="B41314" s="31"/>
      <c r="G41314" s="272" t="s">
        <v>1099</v>
      </c>
    </row>
    <row r="41315">
      <c r="B41315" s="31"/>
      <c r="G41315" s="272" t="s">
        <v>1099</v>
      </c>
    </row>
    <row r="41316">
      <c r="B41316" s="31"/>
      <c r="G41316" s="272" t="s">
        <v>1099</v>
      </c>
    </row>
    <row r="41317">
      <c r="B41317" s="31"/>
      <c r="G41317" s="272" t="s">
        <v>1099</v>
      </c>
    </row>
    <row r="41318">
      <c r="B41318" s="31"/>
      <c r="G41318" s="272" t="s">
        <v>1099</v>
      </c>
    </row>
    <row r="41319">
      <c r="B41319" s="31"/>
      <c r="G41319" s="272" t="s">
        <v>1099</v>
      </c>
    </row>
    <row r="41320">
      <c r="B41320" s="31"/>
      <c r="G41320" s="272" t="s">
        <v>1099</v>
      </c>
    </row>
    <row r="41321">
      <c r="B41321" s="31"/>
      <c r="G41321" s="272" t="s">
        <v>1099</v>
      </c>
    </row>
    <row r="41322">
      <c r="B41322" s="31"/>
      <c r="G41322" s="272" t="s">
        <v>1099</v>
      </c>
    </row>
    <row r="41323">
      <c r="B41323" s="31"/>
      <c r="G41323" s="272" t="s">
        <v>1099</v>
      </c>
    </row>
    <row r="41324">
      <c r="B41324" s="31"/>
      <c r="G41324" s="272" t="s">
        <v>1099</v>
      </c>
    </row>
    <row r="41325">
      <c r="B41325" s="31"/>
      <c r="G41325" s="272" t="s">
        <v>1099</v>
      </c>
    </row>
    <row r="41326">
      <c r="B41326" s="31"/>
      <c r="G41326" s="272" t="s">
        <v>1099</v>
      </c>
    </row>
    <row r="41327">
      <c r="B41327" s="31"/>
      <c r="G41327" s="272" t="s">
        <v>1099</v>
      </c>
    </row>
    <row r="41328">
      <c r="B41328" s="31"/>
      <c r="G41328" s="272" t="s">
        <v>1099</v>
      </c>
    </row>
    <row r="41329">
      <c r="B41329" s="31"/>
      <c r="G41329" s="272" t="s">
        <v>1099</v>
      </c>
    </row>
    <row r="41330">
      <c r="B41330" s="31"/>
      <c r="G41330" s="272" t="s">
        <v>1099</v>
      </c>
    </row>
    <row r="41331">
      <c r="B41331" s="31"/>
      <c r="G41331" s="272" t="s">
        <v>1099</v>
      </c>
    </row>
    <row r="41332">
      <c r="B41332" s="31"/>
      <c r="G41332" s="272" t="s">
        <v>1099</v>
      </c>
    </row>
    <row r="41333">
      <c r="B41333" s="31"/>
      <c r="G41333" s="272" t="s">
        <v>1099</v>
      </c>
    </row>
    <row r="41334">
      <c r="B41334" s="31"/>
      <c r="G41334" s="272" t="s">
        <v>1099</v>
      </c>
    </row>
    <row r="41335">
      <c r="B41335" s="31"/>
      <c r="G41335" s="272" t="s">
        <v>1099</v>
      </c>
    </row>
    <row r="41336">
      <c r="B41336" s="31"/>
      <c r="G41336" s="272" t="s">
        <v>1099</v>
      </c>
    </row>
    <row r="41337">
      <c r="B41337" s="31"/>
      <c r="G41337" s="272" t="s">
        <v>1099</v>
      </c>
    </row>
    <row r="41338">
      <c r="B41338" s="31"/>
      <c r="G41338" s="272" t="s">
        <v>1099</v>
      </c>
    </row>
    <row r="41339">
      <c r="B41339" s="31"/>
      <c r="G41339" s="272" t="s">
        <v>1099</v>
      </c>
    </row>
    <row r="41340">
      <c r="B41340" s="31"/>
      <c r="G41340" s="272" t="s">
        <v>1099</v>
      </c>
    </row>
    <row r="41341">
      <c r="B41341" s="31"/>
      <c r="G41341" s="272" t="s">
        <v>1099</v>
      </c>
    </row>
    <row r="41342">
      <c r="B41342" s="31"/>
      <c r="G41342" s="272" t="s">
        <v>1099</v>
      </c>
    </row>
    <row r="41343">
      <c r="B41343" s="31"/>
      <c r="G41343" s="272" t="s">
        <v>1099</v>
      </c>
    </row>
    <row r="41344">
      <c r="B41344" s="31"/>
      <c r="G41344" s="272" t="s">
        <v>1099</v>
      </c>
    </row>
    <row r="41345">
      <c r="B41345" s="31"/>
      <c r="G41345" s="272" t="s">
        <v>1099</v>
      </c>
    </row>
    <row r="41346">
      <c r="B41346" s="31"/>
      <c r="G41346" s="272" t="s">
        <v>1099</v>
      </c>
    </row>
    <row r="41347">
      <c r="B41347" s="31"/>
      <c r="G41347" s="272" t="s">
        <v>1099</v>
      </c>
    </row>
    <row r="41348">
      <c r="B41348" s="31"/>
      <c r="G41348" s="272" t="s">
        <v>1099</v>
      </c>
    </row>
    <row r="41349">
      <c r="B41349" s="31"/>
      <c r="G41349" s="272" t="s">
        <v>1099</v>
      </c>
    </row>
    <row r="41350">
      <c r="B41350" s="31"/>
      <c r="G41350" s="272" t="s">
        <v>1099</v>
      </c>
    </row>
    <row r="41351">
      <c r="B41351" s="31"/>
      <c r="G41351" s="272" t="s">
        <v>1099</v>
      </c>
    </row>
    <row r="41352">
      <c r="B41352" s="31"/>
      <c r="G41352" s="272" t="s">
        <v>1099</v>
      </c>
    </row>
    <row r="41353">
      <c r="B41353" s="31"/>
      <c r="G41353" s="272" t="s">
        <v>1099</v>
      </c>
    </row>
    <row r="41354">
      <c r="B41354" s="31"/>
      <c r="G41354" s="272" t="s">
        <v>1099</v>
      </c>
    </row>
    <row r="41355">
      <c r="B41355" s="31"/>
      <c r="G41355" s="272" t="s">
        <v>1099</v>
      </c>
    </row>
    <row r="41356">
      <c r="B41356" s="31"/>
      <c r="G41356" s="272" t="s">
        <v>1099</v>
      </c>
    </row>
    <row r="41357">
      <c r="B41357" s="31"/>
      <c r="G41357" s="272" t="s">
        <v>1099</v>
      </c>
    </row>
    <row r="41358">
      <c r="B41358" s="31"/>
      <c r="G41358" s="272" t="s">
        <v>1099</v>
      </c>
    </row>
    <row r="41359">
      <c r="B41359" s="31"/>
      <c r="G41359" s="272" t="s">
        <v>1099</v>
      </c>
    </row>
    <row r="41360">
      <c r="B41360" s="31"/>
      <c r="G41360" s="272" t="s">
        <v>1099</v>
      </c>
    </row>
    <row r="41361">
      <c r="B41361" s="31"/>
      <c r="G41361" s="272" t="s">
        <v>1099</v>
      </c>
    </row>
    <row r="41362">
      <c r="B41362" s="31"/>
      <c r="G41362" s="272" t="s">
        <v>1099</v>
      </c>
    </row>
    <row r="41363">
      <c r="B41363" s="31"/>
      <c r="G41363" s="272" t="s">
        <v>1099</v>
      </c>
    </row>
    <row r="41364">
      <c r="B41364" s="31"/>
      <c r="G41364" s="272" t="s">
        <v>1099</v>
      </c>
    </row>
    <row r="41365">
      <c r="B41365" s="31"/>
      <c r="G41365" s="272" t="s">
        <v>1099</v>
      </c>
    </row>
    <row r="41366">
      <c r="B41366" s="31"/>
      <c r="G41366" s="272" t="s">
        <v>1099</v>
      </c>
    </row>
    <row r="41367">
      <c r="B41367" s="31"/>
      <c r="G41367" s="272" t="s">
        <v>1099</v>
      </c>
    </row>
    <row r="41368">
      <c r="B41368" s="31"/>
      <c r="G41368" s="272" t="s">
        <v>1099</v>
      </c>
    </row>
    <row r="41369">
      <c r="B41369" s="31"/>
      <c r="G41369" s="272" t="s">
        <v>1099</v>
      </c>
    </row>
    <row r="41370">
      <c r="B41370" s="31"/>
      <c r="G41370" s="272" t="s">
        <v>1099</v>
      </c>
    </row>
    <row r="41371">
      <c r="B41371" s="31"/>
      <c r="G41371" s="272" t="s">
        <v>1099</v>
      </c>
    </row>
    <row r="41372">
      <c r="B41372" s="31"/>
      <c r="G41372" s="272" t="s">
        <v>1099</v>
      </c>
    </row>
    <row r="41373">
      <c r="B41373" s="31"/>
      <c r="G41373" s="272" t="s">
        <v>1099</v>
      </c>
    </row>
    <row r="41374">
      <c r="B41374" s="31"/>
      <c r="G41374" s="272" t="s">
        <v>1099</v>
      </c>
    </row>
    <row r="41375">
      <c r="B41375" s="31"/>
      <c r="G41375" s="272" t="s">
        <v>1099</v>
      </c>
    </row>
    <row r="41376">
      <c r="B41376" s="31"/>
      <c r="G41376" s="272" t="s">
        <v>1099</v>
      </c>
    </row>
    <row r="41377">
      <c r="B41377" s="31"/>
      <c r="G41377" s="272" t="s">
        <v>1099</v>
      </c>
    </row>
    <row r="41378">
      <c r="B41378" s="31"/>
      <c r="G41378" s="272" t="s">
        <v>1099</v>
      </c>
    </row>
    <row r="41379">
      <c r="B41379" s="31"/>
      <c r="G41379" s="272" t="s">
        <v>1099</v>
      </c>
    </row>
    <row r="41380">
      <c r="B41380" s="31"/>
      <c r="G41380" s="272" t="s">
        <v>1099</v>
      </c>
    </row>
    <row r="41381">
      <c r="B41381" s="31"/>
      <c r="G41381" s="272" t="s">
        <v>1099</v>
      </c>
    </row>
    <row r="41382">
      <c r="B41382" s="31"/>
      <c r="G41382" s="272" t="s">
        <v>1099</v>
      </c>
    </row>
    <row r="41383">
      <c r="B41383" s="31"/>
      <c r="G41383" s="272" t="s">
        <v>1099</v>
      </c>
    </row>
    <row r="41384">
      <c r="B41384" s="31"/>
      <c r="G41384" s="272" t="s">
        <v>1099</v>
      </c>
    </row>
    <row r="41385">
      <c r="B41385" s="31"/>
      <c r="G41385" s="272" t="s">
        <v>1099</v>
      </c>
    </row>
    <row r="41386">
      <c r="B41386" s="31"/>
      <c r="G41386" s="272" t="s">
        <v>1099</v>
      </c>
    </row>
    <row r="41387">
      <c r="B41387" s="31"/>
      <c r="G41387" s="272" t="s">
        <v>1099</v>
      </c>
    </row>
    <row r="41388">
      <c r="B41388" s="31"/>
      <c r="G41388" s="272" t="s">
        <v>1099</v>
      </c>
    </row>
    <row r="41389">
      <c r="B41389" s="31"/>
      <c r="G41389" s="272" t="s">
        <v>1099</v>
      </c>
    </row>
    <row r="41390">
      <c r="B41390" s="31"/>
      <c r="G41390" s="272" t="s">
        <v>1099</v>
      </c>
    </row>
    <row r="41391">
      <c r="B41391" s="31"/>
      <c r="G41391" s="272" t="s">
        <v>1099</v>
      </c>
    </row>
    <row r="41392">
      <c r="B41392" s="31"/>
      <c r="G41392" s="272" t="s">
        <v>1099</v>
      </c>
    </row>
    <row r="41393">
      <c r="B41393" s="31"/>
      <c r="G41393" s="272" t="s">
        <v>1099</v>
      </c>
    </row>
    <row r="41394">
      <c r="B41394" s="31"/>
      <c r="G41394" s="272" t="s">
        <v>1099</v>
      </c>
    </row>
    <row r="41395">
      <c r="B41395" s="31"/>
      <c r="G41395" s="272" t="s">
        <v>1099</v>
      </c>
    </row>
    <row r="41396">
      <c r="B41396" s="31"/>
      <c r="G41396" s="272" t="s">
        <v>1099</v>
      </c>
    </row>
    <row r="41397">
      <c r="B41397" s="31"/>
      <c r="G41397" s="272" t="s">
        <v>1099</v>
      </c>
    </row>
    <row r="41398">
      <c r="B41398" s="31"/>
      <c r="G41398" s="272" t="s">
        <v>1099</v>
      </c>
    </row>
    <row r="41399">
      <c r="B41399" s="31"/>
      <c r="G41399" s="272" t="s">
        <v>1099</v>
      </c>
    </row>
    <row r="41400">
      <c r="B41400" s="31"/>
      <c r="G41400" s="272" t="s">
        <v>1099</v>
      </c>
    </row>
    <row r="41401">
      <c r="B41401" s="31"/>
      <c r="G41401" s="272" t="s">
        <v>1099</v>
      </c>
    </row>
    <row r="41402">
      <c r="B41402" s="31"/>
      <c r="G41402" s="272" t="s">
        <v>1099</v>
      </c>
    </row>
    <row r="41403">
      <c r="B41403" s="31"/>
      <c r="G41403" s="272" t="s">
        <v>1099</v>
      </c>
    </row>
    <row r="41404">
      <c r="B41404" s="31"/>
      <c r="G41404" s="272" t="s">
        <v>1099</v>
      </c>
    </row>
    <row r="41405">
      <c r="B41405" s="31"/>
      <c r="G41405" s="272" t="s">
        <v>1099</v>
      </c>
    </row>
    <row r="41406">
      <c r="B41406" s="31"/>
      <c r="G41406" s="272" t="s">
        <v>1099</v>
      </c>
    </row>
    <row r="41407">
      <c r="B41407" s="31"/>
      <c r="G41407" s="272" t="s">
        <v>1099</v>
      </c>
    </row>
    <row r="41408">
      <c r="B41408" s="31"/>
      <c r="G41408" s="272" t="s">
        <v>1099</v>
      </c>
    </row>
    <row r="41409">
      <c r="B41409" s="31"/>
      <c r="G41409" s="272" t="s">
        <v>1099</v>
      </c>
    </row>
    <row r="41410">
      <c r="B41410" s="31"/>
      <c r="G41410" s="272" t="s">
        <v>1099</v>
      </c>
    </row>
    <row r="41411">
      <c r="B41411" s="31"/>
      <c r="G41411" s="272" t="s">
        <v>1099</v>
      </c>
    </row>
    <row r="41412">
      <c r="B41412" s="31"/>
      <c r="G41412" s="272" t="s">
        <v>1099</v>
      </c>
    </row>
    <row r="41413">
      <c r="B41413" s="31"/>
      <c r="G41413" s="272" t="s">
        <v>1099</v>
      </c>
    </row>
    <row r="41414">
      <c r="B41414" s="31"/>
      <c r="G41414" s="272" t="s">
        <v>1099</v>
      </c>
    </row>
    <row r="41415">
      <c r="B41415" s="31"/>
      <c r="G41415" s="272" t="s">
        <v>1099</v>
      </c>
    </row>
    <row r="41416">
      <c r="B41416" s="31"/>
      <c r="G41416" s="272" t="s">
        <v>1099</v>
      </c>
    </row>
    <row r="41417">
      <c r="B41417" s="31"/>
      <c r="G41417" s="272" t="s">
        <v>1099</v>
      </c>
    </row>
    <row r="41418">
      <c r="B41418" s="31"/>
      <c r="G41418" s="272" t="s">
        <v>1099</v>
      </c>
    </row>
    <row r="41419">
      <c r="B41419" s="31"/>
      <c r="G41419" s="272" t="s">
        <v>1099</v>
      </c>
    </row>
    <row r="41420">
      <c r="B41420" s="31"/>
      <c r="G41420" s="272" t="s">
        <v>1099</v>
      </c>
    </row>
    <row r="41421">
      <c r="B41421" s="31"/>
      <c r="G41421" s="272" t="s">
        <v>1099</v>
      </c>
    </row>
    <row r="41422">
      <c r="B41422" s="31"/>
      <c r="G41422" s="272" t="s">
        <v>1099</v>
      </c>
    </row>
    <row r="41423">
      <c r="B41423" s="31"/>
      <c r="G41423" s="272" t="s">
        <v>1099</v>
      </c>
    </row>
    <row r="41424">
      <c r="B41424" s="31"/>
      <c r="G41424" s="272" t="s">
        <v>1099</v>
      </c>
    </row>
    <row r="41425">
      <c r="B41425" s="31"/>
      <c r="G41425" s="272" t="s">
        <v>1099</v>
      </c>
    </row>
    <row r="41426">
      <c r="B41426" s="31"/>
      <c r="G41426" s="272" t="s">
        <v>1099</v>
      </c>
    </row>
    <row r="41427">
      <c r="B41427" s="31"/>
      <c r="G41427" s="272" t="s">
        <v>1099</v>
      </c>
    </row>
    <row r="41428">
      <c r="B41428" s="31"/>
      <c r="G41428" s="272" t="s">
        <v>1099</v>
      </c>
    </row>
    <row r="41429">
      <c r="B41429" s="31"/>
      <c r="G41429" s="272" t="s">
        <v>1099</v>
      </c>
    </row>
    <row r="41430">
      <c r="B41430" s="31"/>
      <c r="G41430" s="272" t="s">
        <v>1099</v>
      </c>
    </row>
    <row r="41431">
      <c r="B41431" s="31"/>
      <c r="G41431" s="272" t="s">
        <v>1099</v>
      </c>
    </row>
    <row r="41432">
      <c r="B41432" s="31"/>
      <c r="G41432" s="272" t="s">
        <v>1099</v>
      </c>
    </row>
    <row r="41433">
      <c r="B41433" s="31"/>
      <c r="G41433" s="272" t="s">
        <v>1099</v>
      </c>
    </row>
    <row r="41434">
      <c r="B41434" s="31"/>
      <c r="G41434" s="272" t="s">
        <v>1099</v>
      </c>
    </row>
    <row r="41435">
      <c r="B41435" s="31"/>
      <c r="G41435" s="272" t="s">
        <v>1099</v>
      </c>
    </row>
    <row r="41436">
      <c r="B41436" s="31"/>
      <c r="G41436" s="272" t="s">
        <v>1099</v>
      </c>
    </row>
    <row r="41437">
      <c r="B41437" s="31"/>
      <c r="G41437" s="272" t="s">
        <v>1099</v>
      </c>
    </row>
    <row r="41438">
      <c r="B41438" s="31"/>
      <c r="G41438" s="272" t="s">
        <v>1099</v>
      </c>
    </row>
    <row r="41439">
      <c r="B41439" s="31"/>
      <c r="G41439" s="272" t="s">
        <v>1099</v>
      </c>
    </row>
    <row r="41440">
      <c r="B41440" s="31"/>
      <c r="G41440" s="272" t="s">
        <v>1099</v>
      </c>
    </row>
    <row r="41441">
      <c r="B41441" s="31"/>
      <c r="G41441" s="272" t="s">
        <v>1099</v>
      </c>
    </row>
    <row r="41442">
      <c r="B41442" s="31"/>
      <c r="G41442" s="272" t="s">
        <v>1099</v>
      </c>
    </row>
    <row r="41443">
      <c r="B41443" s="31"/>
      <c r="G41443" s="272" t="s">
        <v>1099</v>
      </c>
    </row>
    <row r="41444">
      <c r="B41444" s="31"/>
      <c r="G41444" s="272" t="s">
        <v>1099</v>
      </c>
    </row>
    <row r="41445">
      <c r="B41445" s="31"/>
      <c r="G41445" s="272" t="s">
        <v>1099</v>
      </c>
    </row>
    <row r="41446">
      <c r="B41446" s="31"/>
      <c r="G41446" s="272" t="s">
        <v>1099</v>
      </c>
    </row>
    <row r="41447">
      <c r="B41447" s="31"/>
      <c r="G41447" s="272" t="s">
        <v>1099</v>
      </c>
    </row>
    <row r="41448">
      <c r="B41448" s="31"/>
      <c r="G41448" s="272" t="s">
        <v>1099</v>
      </c>
    </row>
    <row r="41449">
      <c r="B41449" s="31"/>
      <c r="G41449" s="272" t="s">
        <v>1099</v>
      </c>
    </row>
    <row r="41450">
      <c r="B41450" s="31"/>
      <c r="G41450" s="272" t="s">
        <v>1099</v>
      </c>
    </row>
    <row r="41451">
      <c r="B41451" s="31"/>
      <c r="G41451" s="272" t="s">
        <v>1099</v>
      </c>
    </row>
    <row r="41452">
      <c r="B41452" s="31"/>
      <c r="G41452" s="272" t="s">
        <v>1099</v>
      </c>
    </row>
    <row r="41453">
      <c r="B41453" s="31"/>
      <c r="G41453" s="272" t="s">
        <v>1099</v>
      </c>
    </row>
    <row r="41454">
      <c r="B41454" s="31"/>
      <c r="G41454" s="272" t="s">
        <v>1099</v>
      </c>
    </row>
    <row r="41455">
      <c r="B41455" s="31"/>
      <c r="G41455" s="272" t="s">
        <v>1099</v>
      </c>
    </row>
    <row r="41456">
      <c r="B41456" s="31"/>
      <c r="G41456" s="272" t="s">
        <v>1099</v>
      </c>
    </row>
    <row r="41457">
      <c r="B41457" s="31"/>
      <c r="G41457" s="272" t="s">
        <v>1099</v>
      </c>
    </row>
    <row r="41458">
      <c r="B41458" s="31"/>
      <c r="G41458" s="272" t="s">
        <v>1099</v>
      </c>
    </row>
    <row r="41459">
      <c r="B41459" s="31"/>
      <c r="G41459" s="272" t="s">
        <v>1099</v>
      </c>
    </row>
    <row r="41460">
      <c r="B41460" s="31"/>
      <c r="G41460" s="272" t="s">
        <v>1099</v>
      </c>
    </row>
    <row r="41461">
      <c r="B41461" s="31"/>
      <c r="G41461" s="272" t="s">
        <v>1099</v>
      </c>
    </row>
    <row r="41462">
      <c r="B41462" s="31"/>
      <c r="G41462" s="272" t="s">
        <v>1099</v>
      </c>
    </row>
    <row r="41463">
      <c r="B41463" s="31"/>
      <c r="G41463" s="272" t="s">
        <v>1099</v>
      </c>
    </row>
    <row r="41464">
      <c r="B41464" s="31"/>
      <c r="G41464" s="272" t="s">
        <v>1099</v>
      </c>
    </row>
    <row r="41465">
      <c r="B41465" s="31"/>
      <c r="G41465" s="272" t="s">
        <v>1099</v>
      </c>
    </row>
    <row r="41466">
      <c r="B41466" s="31"/>
      <c r="G41466" s="272" t="s">
        <v>1099</v>
      </c>
    </row>
    <row r="41467">
      <c r="B41467" s="31"/>
      <c r="G41467" s="272" t="s">
        <v>1099</v>
      </c>
    </row>
    <row r="41468">
      <c r="B41468" s="31"/>
      <c r="G41468" s="272" t="s">
        <v>1099</v>
      </c>
    </row>
    <row r="41469">
      <c r="B41469" s="31"/>
      <c r="G41469" s="272" t="s">
        <v>1099</v>
      </c>
    </row>
    <row r="41470">
      <c r="B41470" s="31"/>
      <c r="G41470" s="272" t="s">
        <v>1099</v>
      </c>
    </row>
    <row r="41471">
      <c r="B41471" s="31"/>
      <c r="G41471" s="272" t="s">
        <v>1099</v>
      </c>
    </row>
    <row r="41472">
      <c r="B41472" s="31"/>
      <c r="G41472" s="272" t="s">
        <v>1099</v>
      </c>
    </row>
    <row r="41473">
      <c r="B41473" s="31"/>
      <c r="G41473" s="272" t="s">
        <v>1099</v>
      </c>
    </row>
    <row r="41474">
      <c r="B41474" s="31"/>
      <c r="G41474" s="272" t="s">
        <v>1099</v>
      </c>
    </row>
    <row r="41475">
      <c r="B41475" s="31"/>
      <c r="G41475" s="272" t="s">
        <v>1099</v>
      </c>
    </row>
    <row r="41476">
      <c r="B41476" s="31"/>
      <c r="G41476" s="272" t="s">
        <v>1099</v>
      </c>
    </row>
    <row r="41477">
      <c r="B41477" s="31"/>
      <c r="G41477" s="272" t="s">
        <v>1099</v>
      </c>
    </row>
    <row r="41478">
      <c r="B41478" s="31"/>
      <c r="G41478" s="272" t="s">
        <v>1099</v>
      </c>
    </row>
    <row r="41479">
      <c r="B41479" s="31"/>
      <c r="G41479" s="272" t="s">
        <v>1099</v>
      </c>
    </row>
    <row r="41480">
      <c r="B41480" s="31"/>
      <c r="G41480" s="272" t="s">
        <v>1099</v>
      </c>
    </row>
    <row r="41481">
      <c r="B41481" s="31"/>
      <c r="G41481" s="272" t="s">
        <v>1099</v>
      </c>
    </row>
    <row r="41482">
      <c r="B41482" s="31"/>
      <c r="G41482" s="272" t="s">
        <v>1099</v>
      </c>
    </row>
    <row r="41483">
      <c r="B41483" s="31"/>
      <c r="G41483" s="272" t="s">
        <v>1099</v>
      </c>
    </row>
    <row r="41484">
      <c r="B41484" s="31"/>
      <c r="G41484" s="272" t="s">
        <v>1099</v>
      </c>
    </row>
    <row r="41485">
      <c r="B41485" s="31"/>
      <c r="G41485" s="272" t="s">
        <v>1099</v>
      </c>
    </row>
    <row r="41486">
      <c r="B41486" s="31"/>
      <c r="G41486" s="272" t="s">
        <v>1099</v>
      </c>
    </row>
    <row r="41487">
      <c r="B41487" s="31"/>
      <c r="G41487" s="272" t="s">
        <v>1099</v>
      </c>
    </row>
    <row r="41488">
      <c r="B41488" s="31"/>
      <c r="G41488" s="272" t="s">
        <v>1099</v>
      </c>
    </row>
    <row r="41489">
      <c r="B41489" s="31"/>
      <c r="G41489" s="272" t="s">
        <v>1099</v>
      </c>
    </row>
    <row r="41490">
      <c r="B41490" s="31"/>
      <c r="G41490" s="272" t="s">
        <v>1099</v>
      </c>
    </row>
    <row r="41491">
      <c r="B41491" s="31"/>
      <c r="G41491" s="272" t="s">
        <v>1099</v>
      </c>
    </row>
    <row r="41492">
      <c r="B41492" s="31"/>
      <c r="G41492" s="272" t="s">
        <v>1099</v>
      </c>
    </row>
    <row r="41493">
      <c r="B41493" s="31"/>
      <c r="G41493" s="272" t="s">
        <v>1099</v>
      </c>
    </row>
    <row r="41494">
      <c r="B41494" s="31"/>
      <c r="G41494" s="272" t="s">
        <v>1099</v>
      </c>
    </row>
    <row r="41495">
      <c r="B41495" s="31"/>
      <c r="G41495" s="272" t="s">
        <v>1099</v>
      </c>
    </row>
    <row r="41496">
      <c r="B41496" s="31"/>
      <c r="G41496" s="272" t="s">
        <v>1099</v>
      </c>
    </row>
    <row r="41497">
      <c r="B41497" s="31"/>
      <c r="G41497" s="272" t="s">
        <v>1099</v>
      </c>
    </row>
    <row r="41498">
      <c r="B41498" s="31"/>
      <c r="G41498" s="272" t="s">
        <v>1099</v>
      </c>
    </row>
    <row r="41499">
      <c r="B41499" s="31"/>
      <c r="G41499" s="272" t="s">
        <v>1099</v>
      </c>
    </row>
    <row r="41500">
      <c r="B41500" s="31"/>
      <c r="G41500" s="272" t="s">
        <v>1099</v>
      </c>
    </row>
    <row r="41501">
      <c r="B41501" s="31"/>
      <c r="G41501" s="272" t="s">
        <v>1099</v>
      </c>
    </row>
    <row r="41502">
      <c r="B41502" s="31"/>
      <c r="G41502" s="272" t="s">
        <v>1099</v>
      </c>
    </row>
    <row r="41503">
      <c r="B41503" s="31"/>
      <c r="G41503" s="272" t="s">
        <v>1099</v>
      </c>
    </row>
    <row r="41504">
      <c r="B41504" s="31"/>
      <c r="G41504" s="272" t="s">
        <v>1099</v>
      </c>
    </row>
    <row r="41505">
      <c r="B41505" s="31"/>
      <c r="G41505" s="272" t="s">
        <v>1099</v>
      </c>
    </row>
    <row r="41506">
      <c r="B41506" s="31"/>
      <c r="G41506" s="272" t="s">
        <v>1099</v>
      </c>
    </row>
    <row r="41507">
      <c r="B41507" s="31"/>
      <c r="G41507" s="272" t="s">
        <v>1099</v>
      </c>
    </row>
    <row r="41508">
      <c r="B41508" s="31"/>
      <c r="G41508" s="272" t="s">
        <v>1099</v>
      </c>
    </row>
    <row r="41509">
      <c r="B41509" s="31"/>
      <c r="G41509" s="272" t="s">
        <v>1099</v>
      </c>
    </row>
    <row r="41510">
      <c r="B41510" s="31"/>
      <c r="G41510" s="272" t="s">
        <v>1099</v>
      </c>
    </row>
    <row r="41511">
      <c r="B41511" s="31"/>
      <c r="G41511" s="272" t="s">
        <v>1099</v>
      </c>
    </row>
    <row r="41512">
      <c r="B41512" s="31"/>
      <c r="G41512" s="272" t="s">
        <v>1099</v>
      </c>
    </row>
    <row r="41513">
      <c r="B41513" s="31"/>
      <c r="G41513" s="272" t="s">
        <v>1099</v>
      </c>
    </row>
    <row r="41514">
      <c r="B41514" s="31"/>
      <c r="G41514" s="272" t="s">
        <v>1099</v>
      </c>
    </row>
    <row r="41515">
      <c r="B41515" s="31"/>
      <c r="G41515" s="272" t="s">
        <v>1099</v>
      </c>
    </row>
    <row r="41516">
      <c r="B41516" s="31"/>
      <c r="G41516" s="272" t="s">
        <v>1099</v>
      </c>
    </row>
    <row r="41517">
      <c r="B41517" s="31"/>
      <c r="G41517" s="272" t="s">
        <v>1099</v>
      </c>
    </row>
    <row r="41518">
      <c r="B41518" s="31"/>
      <c r="G41518" s="272" t="s">
        <v>1099</v>
      </c>
    </row>
    <row r="41519">
      <c r="B41519" s="31"/>
      <c r="G41519" s="272" t="s">
        <v>1099</v>
      </c>
    </row>
    <row r="41520">
      <c r="B41520" s="31"/>
      <c r="G41520" s="272" t="s">
        <v>1099</v>
      </c>
    </row>
    <row r="41521">
      <c r="B41521" s="31"/>
      <c r="G41521" s="272" t="s">
        <v>1099</v>
      </c>
    </row>
    <row r="41522">
      <c r="B41522" s="31"/>
      <c r="G41522" s="272" t="s">
        <v>1099</v>
      </c>
    </row>
    <row r="41523">
      <c r="B41523" s="31"/>
      <c r="G41523" s="272" t="s">
        <v>1099</v>
      </c>
    </row>
    <row r="41524">
      <c r="B41524" s="31"/>
      <c r="G41524" s="272" t="s">
        <v>1099</v>
      </c>
    </row>
    <row r="41525">
      <c r="B41525" s="31"/>
      <c r="G41525" s="272" t="s">
        <v>1099</v>
      </c>
    </row>
    <row r="41526">
      <c r="B41526" s="31"/>
      <c r="G41526" s="272" t="s">
        <v>1099</v>
      </c>
    </row>
    <row r="41527">
      <c r="B41527" s="31"/>
      <c r="G41527" s="272" t="s">
        <v>1099</v>
      </c>
    </row>
    <row r="41528">
      <c r="B41528" s="31"/>
      <c r="G41528" s="272" t="s">
        <v>1099</v>
      </c>
    </row>
    <row r="41529">
      <c r="B41529" s="31"/>
      <c r="G41529" s="272" t="s">
        <v>1099</v>
      </c>
    </row>
    <row r="41530">
      <c r="B41530" s="31"/>
      <c r="G41530" s="272" t="s">
        <v>1099</v>
      </c>
    </row>
    <row r="41531">
      <c r="B41531" s="31"/>
      <c r="G41531" s="272" t="s">
        <v>1099</v>
      </c>
    </row>
    <row r="41532">
      <c r="B41532" s="31"/>
      <c r="G41532" s="272" t="s">
        <v>1099</v>
      </c>
    </row>
    <row r="41533">
      <c r="B41533" s="31"/>
      <c r="G41533" s="272" t="s">
        <v>1099</v>
      </c>
    </row>
    <row r="41534">
      <c r="B41534" s="31"/>
      <c r="G41534" s="272" t="s">
        <v>1099</v>
      </c>
    </row>
    <row r="41535">
      <c r="B41535" s="31"/>
      <c r="G41535" s="272" t="s">
        <v>1099</v>
      </c>
    </row>
    <row r="41536">
      <c r="B41536" s="31"/>
      <c r="G41536" s="272" t="s">
        <v>1099</v>
      </c>
    </row>
    <row r="41537">
      <c r="B41537" s="31"/>
      <c r="G41537" s="272" t="s">
        <v>1099</v>
      </c>
    </row>
    <row r="41538">
      <c r="B41538" s="31"/>
      <c r="G41538" s="272" t="s">
        <v>1099</v>
      </c>
    </row>
    <row r="41539">
      <c r="B41539" s="31"/>
      <c r="G41539" s="272" t="s">
        <v>1099</v>
      </c>
    </row>
    <row r="41540">
      <c r="B41540" s="31"/>
      <c r="G41540" s="272" t="s">
        <v>1099</v>
      </c>
    </row>
    <row r="41541">
      <c r="B41541" s="31"/>
      <c r="G41541" s="272" t="s">
        <v>1099</v>
      </c>
    </row>
    <row r="41542">
      <c r="B41542" s="31"/>
      <c r="G41542" s="272" t="s">
        <v>1099</v>
      </c>
    </row>
    <row r="41543">
      <c r="B41543" s="31"/>
      <c r="G41543" s="272" t="s">
        <v>1099</v>
      </c>
    </row>
    <row r="41544">
      <c r="B41544" s="31"/>
      <c r="G41544" s="272" t="s">
        <v>1099</v>
      </c>
    </row>
    <row r="41545">
      <c r="B41545" s="31"/>
      <c r="G41545" s="272" t="s">
        <v>1099</v>
      </c>
    </row>
    <row r="41546">
      <c r="B41546" s="31"/>
      <c r="G41546" s="272" t="s">
        <v>1099</v>
      </c>
    </row>
    <row r="41547">
      <c r="B41547" s="31"/>
      <c r="G41547" s="272" t="s">
        <v>1099</v>
      </c>
    </row>
    <row r="41548">
      <c r="B41548" s="31"/>
      <c r="G41548" s="272" t="s">
        <v>1099</v>
      </c>
    </row>
    <row r="41549">
      <c r="B41549" s="31"/>
      <c r="G41549" s="272" t="s">
        <v>1099</v>
      </c>
    </row>
    <row r="41550">
      <c r="B41550" s="31"/>
      <c r="G41550" s="272" t="s">
        <v>1099</v>
      </c>
    </row>
    <row r="41551">
      <c r="B41551" s="31"/>
      <c r="G41551" s="272" t="s">
        <v>1099</v>
      </c>
    </row>
    <row r="41552">
      <c r="B41552" s="31"/>
      <c r="G41552" s="272" t="s">
        <v>1099</v>
      </c>
    </row>
    <row r="41553">
      <c r="B41553" s="31"/>
      <c r="G41553" s="272" t="s">
        <v>1099</v>
      </c>
    </row>
    <row r="41554">
      <c r="B41554" s="31"/>
      <c r="G41554" s="272" t="s">
        <v>1099</v>
      </c>
    </row>
    <row r="41555">
      <c r="B41555" s="31"/>
      <c r="G41555" s="272" t="s">
        <v>1099</v>
      </c>
    </row>
    <row r="41556">
      <c r="B41556" s="31"/>
      <c r="G41556" s="272" t="s">
        <v>1099</v>
      </c>
    </row>
    <row r="41557">
      <c r="B41557" s="31"/>
      <c r="G41557" s="272" t="s">
        <v>1099</v>
      </c>
    </row>
    <row r="41558">
      <c r="B41558" s="31"/>
      <c r="G41558" s="272" t="s">
        <v>1099</v>
      </c>
    </row>
    <row r="41559">
      <c r="B41559" s="31"/>
      <c r="G41559" s="272" t="s">
        <v>1099</v>
      </c>
    </row>
    <row r="41560">
      <c r="B41560" s="31"/>
      <c r="G41560" s="272" t="s">
        <v>1099</v>
      </c>
    </row>
    <row r="41561">
      <c r="B41561" s="31"/>
      <c r="G41561" s="272" t="s">
        <v>1099</v>
      </c>
    </row>
    <row r="41562">
      <c r="B41562" s="31"/>
      <c r="G41562" s="272" t="s">
        <v>1099</v>
      </c>
    </row>
    <row r="41563">
      <c r="B41563" s="31"/>
      <c r="G41563" s="272" t="s">
        <v>1099</v>
      </c>
    </row>
    <row r="41564">
      <c r="B41564" s="31"/>
      <c r="G41564" s="272" t="s">
        <v>1099</v>
      </c>
    </row>
    <row r="41565">
      <c r="B41565" s="31"/>
      <c r="G41565" s="272" t="s">
        <v>1099</v>
      </c>
    </row>
    <row r="41566">
      <c r="B41566" s="31"/>
      <c r="G41566" s="272" t="s">
        <v>1099</v>
      </c>
    </row>
    <row r="41567">
      <c r="B41567" s="31"/>
      <c r="G41567" s="272" t="s">
        <v>1099</v>
      </c>
    </row>
    <row r="41568">
      <c r="B41568" s="31"/>
      <c r="G41568" s="272" t="s">
        <v>1099</v>
      </c>
    </row>
    <row r="41569">
      <c r="B41569" s="31"/>
      <c r="G41569" s="272" t="s">
        <v>1099</v>
      </c>
    </row>
    <row r="41570">
      <c r="B41570" s="31"/>
      <c r="G41570" s="272" t="s">
        <v>1099</v>
      </c>
    </row>
    <row r="41571">
      <c r="B41571" s="31"/>
      <c r="G41571" s="272" t="s">
        <v>1099</v>
      </c>
    </row>
    <row r="41572">
      <c r="B41572" s="31"/>
      <c r="G41572" s="272" t="s">
        <v>1099</v>
      </c>
    </row>
    <row r="41573">
      <c r="B41573" s="31"/>
      <c r="G41573" s="272" t="s">
        <v>1099</v>
      </c>
    </row>
    <row r="41574">
      <c r="B41574" s="31"/>
      <c r="G41574" s="272" t="s">
        <v>1099</v>
      </c>
    </row>
    <row r="41575">
      <c r="B41575" s="31"/>
      <c r="G41575" s="272" t="s">
        <v>1099</v>
      </c>
    </row>
    <row r="41576">
      <c r="B41576" s="31"/>
      <c r="G41576" s="272" t="s">
        <v>1099</v>
      </c>
    </row>
    <row r="41577">
      <c r="B41577" s="31"/>
      <c r="G41577" s="272" t="s">
        <v>1099</v>
      </c>
    </row>
    <row r="41578">
      <c r="B41578" s="31"/>
      <c r="G41578" s="272" t="s">
        <v>1099</v>
      </c>
    </row>
    <row r="41579">
      <c r="B41579" s="31"/>
      <c r="G41579" s="272" t="s">
        <v>1099</v>
      </c>
    </row>
    <row r="41580">
      <c r="B41580" s="31"/>
      <c r="G41580" s="272" t="s">
        <v>1099</v>
      </c>
    </row>
    <row r="41581">
      <c r="B41581" s="31"/>
      <c r="G41581" s="272" t="s">
        <v>1099</v>
      </c>
    </row>
    <row r="41582">
      <c r="B41582" s="31"/>
      <c r="G41582" s="272" t="s">
        <v>1099</v>
      </c>
    </row>
    <row r="41583">
      <c r="B41583" s="31"/>
      <c r="G41583" s="272" t="s">
        <v>1099</v>
      </c>
    </row>
    <row r="41584">
      <c r="B41584" s="31"/>
      <c r="G41584" s="272" t="s">
        <v>1099</v>
      </c>
    </row>
    <row r="41585">
      <c r="B41585" s="31"/>
      <c r="G41585" s="272" t="s">
        <v>1099</v>
      </c>
    </row>
    <row r="41586">
      <c r="B41586" s="31"/>
      <c r="G41586" s="272" t="s">
        <v>1099</v>
      </c>
    </row>
    <row r="41587">
      <c r="B41587" s="31"/>
      <c r="G41587" s="272" t="s">
        <v>1099</v>
      </c>
    </row>
    <row r="41588">
      <c r="B41588" s="31"/>
      <c r="G41588" s="272" t="s">
        <v>1099</v>
      </c>
    </row>
    <row r="41589">
      <c r="B41589" s="31"/>
      <c r="G41589" s="272" t="s">
        <v>1099</v>
      </c>
    </row>
    <row r="41590">
      <c r="B41590" s="31"/>
      <c r="G41590" s="272" t="s">
        <v>1099</v>
      </c>
    </row>
    <row r="41591">
      <c r="B41591" s="31"/>
      <c r="G41591" s="272" t="s">
        <v>1099</v>
      </c>
    </row>
    <row r="41592">
      <c r="B41592" s="31"/>
      <c r="G41592" s="272" t="s">
        <v>1099</v>
      </c>
    </row>
    <row r="41593">
      <c r="B41593" s="31"/>
      <c r="G41593" s="272" t="s">
        <v>1099</v>
      </c>
    </row>
    <row r="41594">
      <c r="B41594" s="31"/>
      <c r="G41594" s="272" t="s">
        <v>1099</v>
      </c>
    </row>
    <row r="41595">
      <c r="B41595" s="31"/>
      <c r="G41595" s="272" t="s">
        <v>1099</v>
      </c>
    </row>
    <row r="41596">
      <c r="B41596" s="31"/>
      <c r="G41596" s="272" t="s">
        <v>1099</v>
      </c>
    </row>
    <row r="41597">
      <c r="B41597" s="31"/>
      <c r="G41597" s="272" t="s">
        <v>1099</v>
      </c>
    </row>
    <row r="41598">
      <c r="B41598" s="31"/>
      <c r="G41598" s="272" t="s">
        <v>1099</v>
      </c>
    </row>
    <row r="41599">
      <c r="B41599" s="31"/>
      <c r="G41599" s="272" t="s">
        <v>1099</v>
      </c>
    </row>
    <row r="41600">
      <c r="B41600" s="31"/>
      <c r="G41600" s="272" t="s">
        <v>1099</v>
      </c>
    </row>
    <row r="41601">
      <c r="B41601" s="31"/>
      <c r="G41601" s="272" t="s">
        <v>1099</v>
      </c>
    </row>
    <row r="41602">
      <c r="B41602" s="31"/>
      <c r="G41602" s="272" t="s">
        <v>1099</v>
      </c>
    </row>
    <row r="41603">
      <c r="B41603" s="31"/>
      <c r="G41603" s="272" t="s">
        <v>1099</v>
      </c>
    </row>
    <row r="41604">
      <c r="B41604" s="31"/>
      <c r="G41604" s="272" t="s">
        <v>1099</v>
      </c>
    </row>
    <row r="41605">
      <c r="B41605" s="31"/>
      <c r="G41605" s="272" t="s">
        <v>1099</v>
      </c>
    </row>
    <row r="41606">
      <c r="B41606" s="31"/>
      <c r="G41606" s="272" t="s">
        <v>1099</v>
      </c>
    </row>
    <row r="41607">
      <c r="B41607" s="31"/>
      <c r="G41607" s="272" t="s">
        <v>1099</v>
      </c>
    </row>
    <row r="41608">
      <c r="B41608" s="31"/>
      <c r="G41608" s="272" t="s">
        <v>1099</v>
      </c>
    </row>
    <row r="41609">
      <c r="B41609" s="31"/>
      <c r="G41609" s="272" t="s">
        <v>1099</v>
      </c>
    </row>
    <row r="41610">
      <c r="B41610" s="31"/>
      <c r="G41610" s="272" t="s">
        <v>1099</v>
      </c>
    </row>
    <row r="41611">
      <c r="B41611" s="31"/>
      <c r="G41611" s="272" t="s">
        <v>1099</v>
      </c>
    </row>
    <row r="41612">
      <c r="B41612" s="31"/>
      <c r="G41612" s="272" t="s">
        <v>1099</v>
      </c>
    </row>
    <row r="41613">
      <c r="B41613" s="31"/>
      <c r="G41613" s="272" t="s">
        <v>1099</v>
      </c>
    </row>
    <row r="41614">
      <c r="B41614" s="31"/>
      <c r="G41614" s="272" t="s">
        <v>1099</v>
      </c>
    </row>
    <row r="41615">
      <c r="B41615" s="31"/>
      <c r="G41615" s="272" t="s">
        <v>1099</v>
      </c>
    </row>
    <row r="41616">
      <c r="B41616" s="31"/>
      <c r="G41616" s="272" t="s">
        <v>1099</v>
      </c>
    </row>
    <row r="41617">
      <c r="B41617" s="31"/>
      <c r="G41617" s="272" t="s">
        <v>1099</v>
      </c>
    </row>
    <row r="41618">
      <c r="B41618" s="31"/>
      <c r="G41618" s="272" t="s">
        <v>1099</v>
      </c>
    </row>
    <row r="41619">
      <c r="B41619" s="31"/>
      <c r="G41619" s="272" t="s">
        <v>1099</v>
      </c>
    </row>
    <row r="41620">
      <c r="B41620" s="31"/>
      <c r="G41620" s="272" t="s">
        <v>1099</v>
      </c>
    </row>
    <row r="41621">
      <c r="B41621" s="31"/>
      <c r="G41621" s="272" t="s">
        <v>1099</v>
      </c>
    </row>
    <row r="41622">
      <c r="B41622" s="31"/>
      <c r="G41622" s="272" t="s">
        <v>1099</v>
      </c>
    </row>
    <row r="41623">
      <c r="B41623" s="31"/>
      <c r="G41623" s="272" t="s">
        <v>1099</v>
      </c>
    </row>
    <row r="41624">
      <c r="B41624" s="31"/>
      <c r="G41624" s="272" t="s">
        <v>1099</v>
      </c>
    </row>
    <row r="41625">
      <c r="B41625" s="31"/>
      <c r="G41625" s="272" t="s">
        <v>1099</v>
      </c>
    </row>
    <row r="41626">
      <c r="B41626" s="31"/>
      <c r="G41626" s="272" t="s">
        <v>1099</v>
      </c>
    </row>
    <row r="41627">
      <c r="B41627" s="31"/>
      <c r="G41627" s="272" t="s">
        <v>1099</v>
      </c>
    </row>
    <row r="41628">
      <c r="B41628" s="31"/>
      <c r="G41628" s="272" t="s">
        <v>1099</v>
      </c>
    </row>
    <row r="41629">
      <c r="B41629" s="31"/>
      <c r="G41629" s="272" t="s">
        <v>1099</v>
      </c>
    </row>
    <row r="41630">
      <c r="B41630" s="31"/>
      <c r="G41630" s="272" t="s">
        <v>1099</v>
      </c>
    </row>
    <row r="41631">
      <c r="B41631" s="31"/>
      <c r="G41631" s="272" t="s">
        <v>1099</v>
      </c>
    </row>
    <row r="41632">
      <c r="B41632" s="31"/>
      <c r="G41632" s="272" t="s">
        <v>1099</v>
      </c>
    </row>
    <row r="41633">
      <c r="B41633" s="31"/>
      <c r="G41633" s="272" t="s">
        <v>1099</v>
      </c>
    </row>
    <row r="41634">
      <c r="B41634" s="31"/>
      <c r="G41634" s="272" t="s">
        <v>1099</v>
      </c>
    </row>
    <row r="41635">
      <c r="B41635" s="31"/>
      <c r="G41635" s="272" t="s">
        <v>1099</v>
      </c>
    </row>
    <row r="41636">
      <c r="B41636" s="31"/>
      <c r="G41636" s="272" t="s">
        <v>1099</v>
      </c>
    </row>
    <row r="41637">
      <c r="B41637" s="31"/>
      <c r="G41637" s="272" t="s">
        <v>1099</v>
      </c>
    </row>
    <row r="41638">
      <c r="B41638" s="31"/>
      <c r="G41638" s="272" t="s">
        <v>1099</v>
      </c>
    </row>
    <row r="41639">
      <c r="B41639" s="31"/>
      <c r="G41639" s="272" t="s">
        <v>1099</v>
      </c>
    </row>
    <row r="41640">
      <c r="B41640" s="31"/>
      <c r="G41640" s="272" t="s">
        <v>1099</v>
      </c>
    </row>
    <row r="41641">
      <c r="B41641" s="31"/>
      <c r="G41641" s="272" t="s">
        <v>1099</v>
      </c>
    </row>
    <row r="41642">
      <c r="B41642" s="31"/>
      <c r="G41642" s="272" t="s">
        <v>1099</v>
      </c>
    </row>
    <row r="41643">
      <c r="B41643" s="31"/>
      <c r="G41643" s="272" t="s">
        <v>1099</v>
      </c>
    </row>
    <row r="41644">
      <c r="B41644" s="31"/>
      <c r="G41644" s="272" t="s">
        <v>1099</v>
      </c>
    </row>
    <row r="41645">
      <c r="B41645" s="31"/>
      <c r="G41645" s="272" t="s">
        <v>1099</v>
      </c>
    </row>
    <row r="41646">
      <c r="B41646" s="31"/>
      <c r="G41646" s="272" t="s">
        <v>1099</v>
      </c>
    </row>
    <row r="41647">
      <c r="B41647" s="31"/>
      <c r="G41647" s="272" t="s">
        <v>1099</v>
      </c>
    </row>
    <row r="41648">
      <c r="B41648" s="31"/>
      <c r="G41648" s="272" t="s">
        <v>1099</v>
      </c>
    </row>
    <row r="41649">
      <c r="B41649" s="31"/>
      <c r="G41649" s="272" t="s">
        <v>1099</v>
      </c>
    </row>
    <row r="41650">
      <c r="B41650" s="31"/>
      <c r="G41650" s="272" t="s">
        <v>1099</v>
      </c>
    </row>
    <row r="41651">
      <c r="B41651" s="31"/>
      <c r="G41651" s="272" t="s">
        <v>1099</v>
      </c>
    </row>
    <row r="41652">
      <c r="B41652" s="31"/>
      <c r="G41652" s="272" t="s">
        <v>1099</v>
      </c>
    </row>
    <row r="41653">
      <c r="B41653" s="31"/>
      <c r="G41653" s="272" t="s">
        <v>1099</v>
      </c>
    </row>
    <row r="41654">
      <c r="B41654" s="31"/>
      <c r="G41654" s="272" t="s">
        <v>1099</v>
      </c>
    </row>
    <row r="41655">
      <c r="B41655" s="31"/>
      <c r="G41655" s="272" t="s">
        <v>1099</v>
      </c>
    </row>
    <row r="41656">
      <c r="B41656" s="31"/>
      <c r="G41656" s="272" t="s">
        <v>1099</v>
      </c>
    </row>
    <row r="41657">
      <c r="B41657" s="31"/>
      <c r="G41657" s="272" t="s">
        <v>1099</v>
      </c>
    </row>
    <row r="41658">
      <c r="B41658" s="31"/>
      <c r="G41658" s="272" t="s">
        <v>1099</v>
      </c>
    </row>
    <row r="41659">
      <c r="B41659" s="31"/>
      <c r="G41659" s="272" t="s">
        <v>1099</v>
      </c>
    </row>
    <row r="41660">
      <c r="B41660" s="31"/>
      <c r="G41660" s="272" t="s">
        <v>1099</v>
      </c>
    </row>
    <row r="41661">
      <c r="B41661" s="31"/>
      <c r="G41661" s="272" t="s">
        <v>1099</v>
      </c>
    </row>
    <row r="41662">
      <c r="B41662" s="31"/>
      <c r="G41662" s="272" t="s">
        <v>1099</v>
      </c>
    </row>
    <row r="41663">
      <c r="B41663" s="31"/>
      <c r="G41663" s="272" t="s">
        <v>1099</v>
      </c>
    </row>
    <row r="41664">
      <c r="B41664" s="31"/>
      <c r="G41664" s="272" t="s">
        <v>1099</v>
      </c>
    </row>
    <row r="41665">
      <c r="B41665" s="31"/>
      <c r="G41665" s="272" t="s">
        <v>1099</v>
      </c>
    </row>
    <row r="41666">
      <c r="B41666" s="31"/>
      <c r="G41666" s="272" t="s">
        <v>1099</v>
      </c>
    </row>
    <row r="41667">
      <c r="B41667" s="31"/>
      <c r="G41667" s="272" t="s">
        <v>1099</v>
      </c>
    </row>
    <row r="41668">
      <c r="B41668" s="31"/>
      <c r="G41668" s="272" t="s">
        <v>1099</v>
      </c>
    </row>
    <row r="41669">
      <c r="B41669" s="31"/>
      <c r="G41669" s="272" t="s">
        <v>1099</v>
      </c>
    </row>
    <row r="41670">
      <c r="B41670" s="31"/>
      <c r="G41670" s="272" t="s">
        <v>1099</v>
      </c>
    </row>
    <row r="41671">
      <c r="B41671" s="31"/>
      <c r="G41671" s="272" t="s">
        <v>1099</v>
      </c>
    </row>
    <row r="41672">
      <c r="B41672" s="31"/>
      <c r="G41672" s="272" t="s">
        <v>1099</v>
      </c>
    </row>
    <row r="41673">
      <c r="B41673" s="31"/>
      <c r="G41673" s="272" t="s">
        <v>1099</v>
      </c>
    </row>
    <row r="41674">
      <c r="B41674" s="31"/>
      <c r="G41674" s="272" t="s">
        <v>1099</v>
      </c>
    </row>
    <row r="41675">
      <c r="B41675" s="31"/>
      <c r="G41675" s="272" t="s">
        <v>1099</v>
      </c>
    </row>
    <row r="41676">
      <c r="B41676" s="31"/>
      <c r="G41676" s="272" t="s">
        <v>1099</v>
      </c>
    </row>
    <row r="41677">
      <c r="B41677" s="31"/>
      <c r="G41677" s="272" t="s">
        <v>1099</v>
      </c>
    </row>
    <row r="41678">
      <c r="B41678" s="31"/>
      <c r="G41678" s="272" t="s">
        <v>1099</v>
      </c>
    </row>
    <row r="41679">
      <c r="B41679" s="31"/>
      <c r="G41679" s="272" t="s">
        <v>1099</v>
      </c>
    </row>
    <row r="41680">
      <c r="B41680" s="31"/>
      <c r="G41680" s="272" t="s">
        <v>1099</v>
      </c>
    </row>
    <row r="41681">
      <c r="B41681" s="31"/>
      <c r="G41681" s="272" t="s">
        <v>1099</v>
      </c>
    </row>
    <row r="41682">
      <c r="B41682" s="31"/>
      <c r="G41682" s="272" t="s">
        <v>1099</v>
      </c>
    </row>
    <row r="41683">
      <c r="B41683" s="31"/>
      <c r="G41683" s="272" t="s">
        <v>1099</v>
      </c>
    </row>
    <row r="41684">
      <c r="B41684" s="31"/>
      <c r="G41684" s="272" t="s">
        <v>1099</v>
      </c>
    </row>
    <row r="41685">
      <c r="B41685" s="31"/>
      <c r="G41685" s="272" t="s">
        <v>1099</v>
      </c>
    </row>
    <row r="41686">
      <c r="B41686" s="31"/>
      <c r="G41686" s="272" t="s">
        <v>1099</v>
      </c>
    </row>
    <row r="41687">
      <c r="B41687" s="31"/>
      <c r="G41687" s="272" t="s">
        <v>1099</v>
      </c>
    </row>
    <row r="41688">
      <c r="B41688" s="31"/>
      <c r="G41688" s="272" t="s">
        <v>1099</v>
      </c>
    </row>
    <row r="41689">
      <c r="B41689" s="31"/>
      <c r="G41689" s="272" t="s">
        <v>1099</v>
      </c>
    </row>
    <row r="41690">
      <c r="B41690" s="31"/>
      <c r="G41690" s="272" t="s">
        <v>1099</v>
      </c>
    </row>
    <row r="41691">
      <c r="B41691" s="31"/>
      <c r="G41691" s="272" t="s">
        <v>1099</v>
      </c>
    </row>
    <row r="41692">
      <c r="B41692" s="31"/>
      <c r="G41692" s="272" t="s">
        <v>1099</v>
      </c>
    </row>
    <row r="41693">
      <c r="B41693" s="31"/>
      <c r="G41693" s="272" t="s">
        <v>1099</v>
      </c>
    </row>
    <row r="41694">
      <c r="B41694" s="31"/>
      <c r="G41694" s="272" t="s">
        <v>1099</v>
      </c>
    </row>
    <row r="41695">
      <c r="B41695" s="31"/>
      <c r="G41695" s="272" t="s">
        <v>1099</v>
      </c>
    </row>
    <row r="41696">
      <c r="B41696" s="31"/>
      <c r="G41696" s="272" t="s">
        <v>1099</v>
      </c>
    </row>
    <row r="41697">
      <c r="B41697" s="31"/>
      <c r="G41697" s="272" t="s">
        <v>1099</v>
      </c>
    </row>
    <row r="41698">
      <c r="B41698" s="31"/>
      <c r="G41698" s="272" t="s">
        <v>1099</v>
      </c>
    </row>
    <row r="41699">
      <c r="B41699" s="31"/>
      <c r="G41699" s="272" t="s">
        <v>1099</v>
      </c>
    </row>
    <row r="41700">
      <c r="B41700" s="31"/>
      <c r="G41700" s="272" t="s">
        <v>1099</v>
      </c>
    </row>
    <row r="41701">
      <c r="B41701" s="31"/>
      <c r="G41701" s="272" t="s">
        <v>1099</v>
      </c>
    </row>
    <row r="41702">
      <c r="B41702" s="31"/>
      <c r="G41702" s="272" t="s">
        <v>1099</v>
      </c>
    </row>
    <row r="41703">
      <c r="B41703" s="31"/>
      <c r="G41703" s="272" t="s">
        <v>1099</v>
      </c>
    </row>
    <row r="41704">
      <c r="B41704" s="31"/>
      <c r="G41704" s="272" t="s">
        <v>1099</v>
      </c>
    </row>
    <row r="41705">
      <c r="B41705" s="31"/>
      <c r="G41705" s="272" t="s">
        <v>1099</v>
      </c>
    </row>
    <row r="41706">
      <c r="B41706" s="31"/>
      <c r="G41706" s="272" t="s">
        <v>1099</v>
      </c>
    </row>
    <row r="41707">
      <c r="B41707" s="31"/>
      <c r="G41707" s="272" t="s">
        <v>1099</v>
      </c>
    </row>
    <row r="41708">
      <c r="B41708" s="31"/>
      <c r="G41708" s="272" t="s">
        <v>1099</v>
      </c>
    </row>
    <row r="41709">
      <c r="B41709" s="31"/>
      <c r="G41709" s="272" t="s">
        <v>1099</v>
      </c>
    </row>
    <row r="41710">
      <c r="B41710" s="31"/>
      <c r="G41710" s="272" t="s">
        <v>1099</v>
      </c>
    </row>
    <row r="41711">
      <c r="B41711" s="31"/>
      <c r="G41711" s="272" t="s">
        <v>1099</v>
      </c>
    </row>
    <row r="41712">
      <c r="B41712" s="31"/>
      <c r="G41712" s="272" t="s">
        <v>1099</v>
      </c>
    </row>
    <row r="41713">
      <c r="B41713" s="31"/>
      <c r="G41713" s="272" t="s">
        <v>1099</v>
      </c>
    </row>
    <row r="41714">
      <c r="B41714" s="31"/>
      <c r="G41714" s="272" t="s">
        <v>1099</v>
      </c>
    </row>
    <row r="41715">
      <c r="B41715" s="31"/>
      <c r="G41715" s="272" t="s">
        <v>1099</v>
      </c>
    </row>
    <row r="41716">
      <c r="B41716" s="31"/>
      <c r="G41716" s="272" t="s">
        <v>1099</v>
      </c>
    </row>
    <row r="41717">
      <c r="B41717" s="31"/>
      <c r="G41717" s="272" t="s">
        <v>1099</v>
      </c>
    </row>
    <row r="41718">
      <c r="B41718" s="31"/>
      <c r="G41718" s="272" t="s">
        <v>1099</v>
      </c>
    </row>
    <row r="41719">
      <c r="B41719" s="31"/>
      <c r="G41719" s="272" t="s">
        <v>1099</v>
      </c>
    </row>
    <row r="41720">
      <c r="B41720" s="31"/>
      <c r="G41720" s="272" t="s">
        <v>1099</v>
      </c>
    </row>
    <row r="41721">
      <c r="B41721" s="31"/>
      <c r="G41721" s="272" t="s">
        <v>1099</v>
      </c>
    </row>
    <row r="41722">
      <c r="B41722" s="31"/>
      <c r="G41722" s="272" t="s">
        <v>1099</v>
      </c>
    </row>
    <row r="41723">
      <c r="B41723" s="31"/>
      <c r="G41723" s="272" t="s">
        <v>1099</v>
      </c>
    </row>
    <row r="41724">
      <c r="B41724" s="31"/>
      <c r="G41724" s="272" t="s">
        <v>1099</v>
      </c>
    </row>
    <row r="41725">
      <c r="B41725" s="31"/>
      <c r="G41725" s="272" t="s">
        <v>1099</v>
      </c>
    </row>
    <row r="41726">
      <c r="B41726" s="31"/>
      <c r="G41726" s="272" t="s">
        <v>1099</v>
      </c>
    </row>
    <row r="41727">
      <c r="B41727" s="31"/>
      <c r="G41727" s="272" t="s">
        <v>1099</v>
      </c>
    </row>
    <row r="41728">
      <c r="B41728" s="31"/>
      <c r="G41728" s="272" t="s">
        <v>1099</v>
      </c>
    </row>
    <row r="41729">
      <c r="B41729" s="31"/>
      <c r="G41729" s="272" t="s">
        <v>1099</v>
      </c>
    </row>
    <row r="41730">
      <c r="B41730" s="31"/>
      <c r="G41730" s="272" t="s">
        <v>1099</v>
      </c>
    </row>
    <row r="41731">
      <c r="B41731" s="31"/>
      <c r="G41731" s="272" t="s">
        <v>1099</v>
      </c>
    </row>
    <row r="41732">
      <c r="B41732" s="31"/>
      <c r="G41732" s="272" t="s">
        <v>1099</v>
      </c>
    </row>
    <row r="41733">
      <c r="B41733" s="31"/>
      <c r="G41733" s="272" t="s">
        <v>1099</v>
      </c>
    </row>
    <row r="41734">
      <c r="B41734" s="31"/>
      <c r="G41734" s="272" t="s">
        <v>1099</v>
      </c>
    </row>
    <row r="41735">
      <c r="B41735" s="31"/>
      <c r="G41735" s="272" t="s">
        <v>1099</v>
      </c>
    </row>
    <row r="41736">
      <c r="B41736" s="31"/>
      <c r="G41736" s="272" t="s">
        <v>1099</v>
      </c>
    </row>
    <row r="41737">
      <c r="B41737" s="31"/>
      <c r="G41737" s="272" t="s">
        <v>1099</v>
      </c>
    </row>
    <row r="41738">
      <c r="B41738" s="31"/>
      <c r="G41738" s="272" t="s">
        <v>1099</v>
      </c>
    </row>
    <row r="41739">
      <c r="B41739" s="31"/>
      <c r="G41739" s="272" t="s">
        <v>1099</v>
      </c>
    </row>
    <row r="41740">
      <c r="B41740" s="31"/>
      <c r="G41740" s="272" t="s">
        <v>1099</v>
      </c>
    </row>
    <row r="41741">
      <c r="B41741" s="31"/>
      <c r="G41741" s="272" t="s">
        <v>1099</v>
      </c>
    </row>
    <row r="41742">
      <c r="B41742" s="31"/>
      <c r="G41742" s="272" t="s">
        <v>1099</v>
      </c>
    </row>
    <row r="41743">
      <c r="B41743" s="31"/>
      <c r="G41743" s="272" t="s">
        <v>1099</v>
      </c>
    </row>
    <row r="41744">
      <c r="B41744" s="31"/>
      <c r="G41744" s="272" t="s">
        <v>1099</v>
      </c>
    </row>
    <row r="41745">
      <c r="B41745" s="31"/>
      <c r="G41745" s="272" t="s">
        <v>1099</v>
      </c>
    </row>
    <row r="41746">
      <c r="B41746" s="31"/>
      <c r="G41746" s="272" t="s">
        <v>1099</v>
      </c>
    </row>
    <row r="41747">
      <c r="B41747" s="31"/>
      <c r="G41747" s="272" t="s">
        <v>1099</v>
      </c>
    </row>
    <row r="41748">
      <c r="B41748" s="31"/>
      <c r="G41748" s="272" t="s">
        <v>1099</v>
      </c>
    </row>
    <row r="41749">
      <c r="B41749" s="31"/>
      <c r="G41749" s="272" t="s">
        <v>1099</v>
      </c>
    </row>
    <row r="41750">
      <c r="B41750" s="31"/>
      <c r="G41750" s="272" t="s">
        <v>1099</v>
      </c>
    </row>
    <row r="41751">
      <c r="B41751" s="31"/>
      <c r="G41751" s="272" t="s">
        <v>1099</v>
      </c>
    </row>
    <row r="41752">
      <c r="B41752" s="31"/>
      <c r="G41752" s="272" t="s">
        <v>1099</v>
      </c>
    </row>
    <row r="41753">
      <c r="B41753" s="31"/>
      <c r="G41753" s="272" t="s">
        <v>1099</v>
      </c>
    </row>
    <row r="41754">
      <c r="B41754" s="31"/>
      <c r="G41754" s="272" t="s">
        <v>1099</v>
      </c>
    </row>
    <row r="41755">
      <c r="B41755" s="31"/>
      <c r="G41755" s="272" t="s">
        <v>1099</v>
      </c>
    </row>
    <row r="41756">
      <c r="B41756" s="31"/>
      <c r="G41756" s="272" t="s">
        <v>1099</v>
      </c>
    </row>
    <row r="41757">
      <c r="B41757" s="31"/>
      <c r="G41757" s="272" t="s">
        <v>1099</v>
      </c>
    </row>
    <row r="41758">
      <c r="B41758" s="31"/>
      <c r="G41758" s="272" t="s">
        <v>1099</v>
      </c>
    </row>
    <row r="41759">
      <c r="B41759" s="31"/>
      <c r="G41759" s="272" t="s">
        <v>1099</v>
      </c>
    </row>
    <row r="41760">
      <c r="B41760" s="31"/>
      <c r="G41760" s="272" t="s">
        <v>1099</v>
      </c>
    </row>
    <row r="41761">
      <c r="B41761" s="31"/>
      <c r="G41761" s="272" t="s">
        <v>1099</v>
      </c>
    </row>
    <row r="41762">
      <c r="B41762" s="31"/>
      <c r="G41762" s="272" t="s">
        <v>1099</v>
      </c>
    </row>
    <row r="41763">
      <c r="B41763" s="31"/>
      <c r="G41763" s="272" t="s">
        <v>1099</v>
      </c>
    </row>
    <row r="41764">
      <c r="B41764" s="31"/>
      <c r="G41764" s="272" t="s">
        <v>1099</v>
      </c>
    </row>
    <row r="41765">
      <c r="B41765" s="31"/>
      <c r="G41765" s="272" t="s">
        <v>1099</v>
      </c>
    </row>
    <row r="41766">
      <c r="B41766" s="31"/>
      <c r="G41766" s="272" t="s">
        <v>1099</v>
      </c>
    </row>
    <row r="41767">
      <c r="B41767" s="31"/>
      <c r="G41767" s="272" t="s">
        <v>1099</v>
      </c>
    </row>
    <row r="41768">
      <c r="B41768" s="31"/>
      <c r="G41768" s="272" t="s">
        <v>1099</v>
      </c>
    </row>
    <row r="41769">
      <c r="B41769" s="31"/>
      <c r="G41769" s="272" t="s">
        <v>1099</v>
      </c>
    </row>
    <row r="41770">
      <c r="B41770" s="31"/>
      <c r="G41770" s="272" t="s">
        <v>1099</v>
      </c>
    </row>
    <row r="41771">
      <c r="B41771" s="31"/>
      <c r="G41771" s="272" t="s">
        <v>1099</v>
      </c>
    </row>
    <row r="41772">
      <c r="B41772" s="31"/>
      <c r="G41772" s="272" t="s">
        <v>1099</v>
      </c>
    </row>
    <row r="41773">
      <c r="B41773" s="31"/>
      <c r="G41773" s="272" t="s">
        <v>1099</v>
      </c>
    </row>
    <row r="41774">
      <c r="B41774" s="31"/>
      <c r="G41774" s="272" t="s">
        <v>1099</v>
      </c>
    </row>
    <row r="41775">
      <c r="B41775" s="31"/>
      <c r="G41775" s="272" t="s">
        <v>1099</v>
      </c>
    </row>
    <row r="41776">
      <c r="B41776" s="31"/>
      <c r="G41776" s="272" t="s">
        <v>1099</v>
      </c>
    </row>
    <row r="41777">
      <c r="B41777" s="31"/>
      <c r="G41777" s="272" t="s">
        <v>1099</v>
      </c>
    </row>
    <row r="41778">
      <c r="B41778" s="31"/>
      <c r="G41778" s="272" t="s">
        <v>1099</v>
      </c>
    </row>
    <row r="41779">
      <c r="B41779" s="31"/>
      <c r="G41779" s="272" t="s">
        <v>1099</v>
      </c>
    </row>
    <row r="41780">
      <c r="B41780" s="31"/>
      <c r="G41780" s="272" t="s">
        <v>1099</v>
      </c>
    </row>
    <row r="41781">
      <c r="B41781" s="31"/>
      <c r="G41781" s="272" t="s">
        <v>1099</v>
      </c>
    </row>
    <row r="41782">
      <c r="B41782" s="31"/>
      <c r="G41782" s="272" t="s">
        <v>1099</v>
      </c>
    </row>
    <row r="41783">
      <c r="B41783" s="31"/>
      <c r="G41783" s="272" t="s">
        <v>1099</v>
      </c>
    </row>
    <row r="41784">
      <c r="B41784" s="31"/>
      <c r="G41784" s="272" t="s">
        <v>1099</v>
      </c>
    </row>
    <row r="41785">
      <c r="B41785" s="31"/>
      <c r="G41785" s="272" t="s">
        <v>1099</v>
      </c>
    </row>
    <row r="41786">
      <c r="B41786" s="31"/>
      <c r="G41786" s="272" t="s">
        <v>1099</v>
      </c>
    </row>
    <row r="41787">
      <c r="B41787" s="31"/>
      <c r="G41787" s="272" t="s">
        <v>1099</v>
      </c>
    </row>
    <row r="41788">
      <c r="B41788" s="31"/>
      <c r="G41788" s="272" t="s">
        <v>1099</v>
      </c>
    </row>
    <row r="41789">
      <c r="B41789" s="31"/>
      <c r="G41789" s="272" t="s">
        <v>1099</v>
      </c>
    </row>
    <row r="41790">
      <c r="B41790" s="31"/>
      <c r="G41790" s="272" t="s">
        <v>1099</v>
      </c>
    </row>
    <row r="41791">
      <c r="B41791" s="31"/>
      <c r="G41791" s="272" t="s">
        <v>1099</v>
      </c>
    </row>
    <row r="41792">
      <c r="B41792" s="31"/>
      <c r="G41792" s="272" t="s">
        <v>1099</v>
      </c>
    </row>
    <row r="41793">
      <c r="B41793" s="31"/>
      <c r="G41793" s="272" t="s">
        <v>1099</v>
      </c>
    </row>
    <row r="41794">
      <c r="B41794" s="31"/>
      <c r="G41794" s="272" t="s">
        <v>1099</v>
      </c>
    </row>
    <row r="41795">
      <c r="B41795" s="31"/>
      <c r="G41795" s="272" t="s">
        <v>1099</v>
      </c>
    </row>
    <row r="41796">
      <c r="B41796" s="31"/>
      <c r="G41796" s="272" t="s">
        <v>1099</v>
      </c>
    </row>
    <row r="41797">
      <c r="B41797" s="31"/>
      <c r="G41797" s="272" t="s">
        <v>1099</v>
      </c>
    </row>
    <row r="41798">
      <c r="B41798" s="31"/>
      <c r="G41798" s="272" t="s">
        <v>1099</v>
      </c>
    </row>
    <row r="41799">
      <c r="B41799" s="31"/>
      <c r="G41799" s="272" t="s">
        <v>1099</v>
      </c>
    </row>
    <row r="41800">
      <c r="B41800" s="31"/>
      <c r="G41800" s="272" t="s">
        <v>1099</v>
      </c>
    </row>
    <row r="41801">
      <c r="B41801" s="31"/>
      <c r="G41801" s="272" t="s">
        <v>1099</v>
      </c>
    </row>
    <row r="41802">
      <c r="B41802" s="31"/>
      <c r="G41802" s="272" t="s">
        <v>1099</v>
      </c>
    </row>
    <row r="41803">
      <c r="B41803" s="31"/>
      <c r="G41803" s="272" t="s">
        <v>1099</v>
      </c>
    </row>
    <row r="41804">
      <c r="B41804" s="31"/>
      <c r="G41804" s="272" t="s">
        <v>1099</v>
      </c>
    </row>
    <row r="41805">
      <c r="B41805" s="31"/>
      <c r="G41805" s="272" t="s">
        <v>1099</v>
      </c>
    </row>
    <row r="41806">
      <c r="B41806" s="31"/>
      <c r="G41806" s="272" t="s">
        <v>1099</v>
      </c>
    </row>
    <row r="41807">
      <c r="B41807" s="31"/>
      <c r="G41807" s="272" t="s">
        <v>1099</v>
      </c>
    </row>
    <row r="41808">
      <c r="B41808" s="31"/>
      <c r="G41808" s="272" t="s">
        <v>1099</v>
      </c>
    </row>
    <row r="41809">
      <c r="B41809" s="31"/>
      <c r="G41809" s="272" t="s">
        <v>1099</v>
      </c>
    </row>
    <row r="41810">
      <c r="B41810" s="31"/>
      <c r="G41810" s="272" t="s">
        <v>1099</v>
      </c>
    </row>
    <row r="41811">
      <c r="B41811" s="31"/>
      <c r="G41811" s="272" t="s">
        <v>1099</v>
      </c>
    </row>
    <row r="41812">
      <c r="B41812" s="31"/>
      <c r="G41812" s="272" t="s">
        <v>1099</v>
      </c>
    </row>
    <row r="41813">
      <c r="B41813" s="31"/>
      <c r="G41813" s="272" t="s">
        <v>1099</v>
      </c>
    </row>
    <row r="41814">
      <c r="B41814" s="31"/>
      <c r="G41814" s="272" t="s">
        <v>1099</v>
      </c>
    </row>
    <row r="41815">
      <c r="B41815" s="31"/>
      <c r="G41815" s="272" t="s">
        <v>1099</v>
      </c>
    </row>
    <row r="41816">
      <c r="B41816" s="31"/>
      <c r="G41816" s="272" t="s">
        <v>1099</v>
      </c>
    </row>
    <row r="41817">
      <c r="B41817" s="31"/>
      <c r="G41817" s="272" t="s">
        <v>1099</v>
      </c>
    </row>
    <row r="41818">
      <c r="B41818" s="31"/>
      <c r="G41818" s="272" t="s">
        <v>1099</v>
      </c>
    </row>
    <row r="41819">
      <c r="B41819" s="31"/>
      <c r="G41819" s="272" t="s">
        <v>1099</v>
      </c>
    </row>
    <row r="41820">
      <c r="B41820" s="31"/>
      <c r="G41820" s="272" t="s">
        <v>1099</v>
      </c>
    </row>
    <row r="41821">
      <c r="B41821" s="31"/>
      <c r="G41821" s="272" t="s">
        <v>1099</v>
      </c>
    </row>
    <row r="41822">
      <c r="B41822" s="31"/>
      <c r="G41822" s="272" t="s">
        <v>1099</v>
      </c>
    </row>
    <row r="41823">
      <c r="B41823" s="31"/>
      <c r="G41823" s="272" t="s">
        <v>1099</v>
      </c>
    </row>
    <row r="41824">
      <c r="B41824" s="31"/>
      <c r="G41824" s="272" t="s">
        <v>1099</v>
      </c>
    </row>
    <row r="41825">
      <c r="B41825" s="31"/>
      <c r="G41825" s="272" t="s">
        <v>1099</v>
      </c>
    </row>
    <row r="41826">
      <c r="B41826" s="31"/>
      <c r="G41826" s="272" t="s">
        <v>1099</v>
      </c>
    </row>
    <row r="41827">
      <c r="B41827" s="31"/>
      <c r="G41827" s="272" t="s">
        <v>1099</v>
      </c>
    </row>
    <row r="41828">
      <c r="B41828" s="31"/>
      <c r="G41828" s="272" t="s">
        <v>1099</v>
      </c>
    </row>
    <row r="41829">
      <c r="B41829" s="31"/>
      <c r="G41829" s="272" t="s">
        <v>1099</v>
      </c>
    </row>
    <row r="41830">
      <c r="B41830" s="31"/>
      <c r="G41830" s="272" t="s">
        <v>1099</v>
      </c>
    </row>
    <row r="41831">
      <c r="B41831" s="31"/>
      <c r="G41831" s="272" t="s">
        <v>1099</v>
      </c>
    </row>
    <row r="41832">
      <c r="B41832" s="31"/>
      <c r="G41832" s="272" t="s">
        <v>1099</v>
      </c>
    </row>
    <row r="41833">
      <c r="B41833" s="31"/>
      <c r="G41833" s="272" t="s">
        <v>1099</v>
      </c>
    </row>
    <row r="41834">
      <c r="B41834" s="31"/>
      <c r="G41834" s="272" t="s">
        <v>1099</v>
      </c>
    </row>
    <row r="41835">
      <c r="B41835" s="31"/>
      <c r="G41835" s="272" t="s">
        <v>1099</v>
      </c>
    </row>
    <row r="41836">
      <c r="B41836" s="31"/>
      <c r="G41836" s="272" t="s">
        <v>1099</v>
      </c>
    </row>
    <row r="41837">
      <c r="B41837" s="31"/>
      <c r="G41837" s="272" t="s">
        <v>1099</v>
      </c>
    </row>
    <row r="41838">
      <c r="B41838" s="31"/>
      <c r="G41838" s="272" t="s">
        <v>1099</v>
      </c>
    </row>
    <row r="41839">
      <c r="B41839" s="31"/>
      <c r="G41839" s="272" t="s">
        <v>1099</v>
      </c>
    </row>
    <row r="41840">
      <c r="B41840" s="31"/>
      <c r="G41840" s="272" t="s">
        <v>1099</v>
      </c>
    </row>
    <row r="41841">
      <c r="B41841" s="31"/>
      <c r="G41841" s="272" t="s">
        <v>1099</v>
      </c>
    </row>
    <row r="41842">
      <c r="B41842" s="31"/>
      <c r="G41842" s="272" t="s">
        <v>1099</v>
      </c>
    </row>
    <row r="41843">
      <c r="B41843" s="31"/>
      <c r="G41843" s="272" t="s">
        <v>1099</v>
      </c>
    </row>
    <row r="41844">
      <c r="B41844" s="31"/>
      <c r="G41844" s="272" t="s">
        <v>1099</v>
      </c>
    </row>
    <row r="41845">
      <c r="B41845" s="31"/>
      <c r="G41845" s="272" t="s">
        <v>1099</v>
      </c>
    </row>
    <row r="41846">
      <c r="B41846" s="31"/>
      <c r="G41846" s="272" t="s">
        <v>1099</v>
      </c>
    </row>
    <row r="41847">
      <c r="B41847" s="31"/>
      <c r="G41847" s="272" t="s">
        <v>1099</v>
      </c>
    </row>
    <row r="41848">
      <c r="B41848" s="31"/>
      <c r="G41848" s="272" t="s">
        <v>1099</v>
      </c>
    </row>
    <row r="41849">
      <c r="B41849" s="31"/>
      <c r="G41849" s="272" t="s">
        <v>1099</v>
      </c>
    </row>
    <row r="41850">
      <c r="B41850" s="31"/>
      <c r="G41850" s="272" t="s">
        <v>1099</v>
      </c>
    </row>
    <row r="41851">
      <c r="B41851" s="31"/>
      <c r="G41851" s="272" t="s">
        <v>1099</v>
      </c>
    </row>
    <row r="41852">
      <c r="B41852" s="31"/>
      <c r="G41852" s="272" t="s">
        <v>1099</v>
      </c>
    </row>
    <row r="41853">
      <c r="B41853" s="31"/>
      <c r="G41853" s="272" t="s">
        <v>1099</v>
      </c>
    </row>
    <row r="41854">
      <c r="B41854" s="31"/>
      <c r="G41854" s="272" t="s">
        <v>1099</v>
      </c>
    </row>
    <row r="41855">
      <c r="B41855" s="31"/>
      <c r="G41855" s="272" t="s">
        <v>1099</v>
      </c>
    </row>
    <row r="41856">
      <c r="B41856" s="31"/>
      <c r="G41856" s="272" t="s">
        <v>1099</v>
      </c>
    </row>
    <row r="41857">
      <c r="B41857" s="31"/>
      <c r="G41857" s="272" t="s">
        <v>1099</v>
      </c>
    </row>
    <row r="41858">
      <c r="B41858" s="31"/>
      <c r="G41858" s="272" t="s">
        <v>1099</v>
      </c>
    </row>
    <row r="41859">
      <c r="B41859" s="31"/>
      <c r="G41859" s="272" t="s">
        <v>1099</v>
      </c>
    </row>
    <row r="41860">
      <c r="B41860" s="31"/>
      <c r="G41860" s="272" t="s">
        <v>1099</v>
      </c>
    </row>
    <row r="41861">
      <c r="B41861" s="31"/>
      <c r="G41861" s="272" t="s">
        <v>1099</v>
      </c>
    </row>
    <row r="41862">
      <c r="B41862" s="31"/>
      <c r="G41862" s="272" t="s">
        <v>1099</v>
      </c>
    </row>
    <row r="41863">
      <c r="B41863" s="31"/>
      <c r="G41863" s="272" t="s">
        <v>1099</v>
      </c>
    </row>
    <row r="41864">
      <c r="B41864" s="31"/>
      <c r="G41864" s="272" t="s">
        <v>1099</v>
      </c>
    </row>
    <row r="41865">
      <c r="B41865" s="31"/>
      <c r="G41865" s="272" t="s">
        <v>1099</v>
      </c>
    </row>
    <row r="41866">
      <c r="B41866" s="31"/>
      <c r="G41866" s="272" t="s">
        <v>1099</v>
      </c>
    </row>
    <row r="41867">
      <c r="B41867" s="31"/>
      <c r="G41867" s="272" t="s">
        <v>1099</v>
      </c>
    </row>
    <row r="41868">
      <c r="B41868" s="31"/>
      <c r="G41868" s="272" t="s">
        <v>1099</v>
      </c>
    </row>
    <row r="41869">
      <c r="B41869" s="31"/>
      <c r="G41869" s="272" t="s">
        <v>1099</v>
      </c>
    </row>
    <row r="41870">
      <c r="B41870" s="31"/>
      <c r="G41870" s="272" t="s">
        <v>1099</v>
      </c>
    </row>
    <row r="41871">
      <c r="B41871" s="31"/>
      <c r="G41871" s="272" t="s">
        <v>1099</v>
      </c>
    </row>
    <row r="41872">
      <c r="B41872" s="31"/>
      <c r="G41872" s="272" t="s">
        <v>1099</v>
      </c>
    </row>
    <row r="41873">
      <c r="B41873" s="31"/>
      <c r="G41873" s="272" t="s">
        <v>1099</v>
      </c>
    </row>
    <row r="41874">
      <c r="B41874" s="31"/>
      <c r="G41874" s="272" t="s">
        <v>1099</v>
      </c>
    </row>
    <row r="41875">
      <c r="B41875" s="31"/>
      <c r="G41875" s="272" t="s">
        <v>1099</v>
      </c>
    </row>
    <row r="41876">
      <c r="B41876" s="31"/>
      <c r="G41876" s="272" t="s">
        <v>1099</v>
      </c>
    </row>
    <row r="41877">
      <c r="B41877" s="31"/>
      <c r="G41877" s="272" t="s">
        <v>1099</v>
      </c>
    </row>
    <row r="41878">
      <c r="B41878" s="31"/>
      <c r="G41878" s="272" t="s">
        <v>1099</v>
      </c>
    </row>
    <row r="41879">
      <c r="B41879" s="31"/>
      <c r="G41879" s="272" t="s">
        <v>1099</v>
      </c>
    </row>
    <row r="41880">
      <c r="B41880" s="31"/>
      <c r="G41880" s="272" t="s">
        <v>1099</v>
      </c>
    </row>
    <row r="41881">
      <c r="B41881" s="31"/>
      <c r="G41881" s="272" t="s">
        <v>1099</v>
      </c>
    </row>
    <row r="41882">
      <c r="B41882" s="31"/>
      <c r="G41882" s="272" t="s">
        <v>1099</v>
      </c>
    </row>
    <row r="41883">
      <c r="B41883" s="31"/>
      <c r="G41883" s="272" t="s">
        <v>1099</v>
      </c>
    </row>
    <row r="41884">
      <c r="B41884" s="31"/>
      <c r="G41884" s="272" t="s">
        <v>1099</v>
      </c>
    </row>
    <row r="41885">
      <c r="B41885" s="31"/>
      <c r="G41885" s="272" t="s">
        <v>1099</v>
      </c>
    </row>
    <row r="41886">
      <c r="B41886" s="31"/>
      <c r="G41886" s="272" t="s">
        <v>1099</v>
      </c>
    </row>
    <row r="41887">
      <c r="B41887" s="31"/>
      <c r="G41887" s="272" t="s">
        <v>1099</v>
      </c>
    </row>
    <row r="41888">
      <c r="B41888" s="31"/>
      <c r="G41888" s="272" t="s">
        <v>1099</v>
      </c>
    </row>
    <row r="41889">
      <c r="B41889" s="31"/>
      <c r="G41889" s="272" t="s">
        <v>1099</v>
      </c>
    </row>
    <row r="41890">
      <c r="B41890" s="31"/>
      <c r="G41890" s="272" t="s">
        <v>1099</v>
      </c>
    </row>
    <row r="41891">
      <c r="B41891" s="31"/>
      <c r="G41891" s="272" t="s">
        <v>1099</v>
      </c>
    </row>
    <row r="41892">
      <c r="B41892" s="31"/>
      <c r="G41892" s="272" t="s">
        <v>1099</v>
      </c>
    </row>
    <row r="41893">
      <c r="B41893" s="31"/>
      <c r="G41893" s="272" t="s">
        <v>1099</v>
      </c>
    </row>
    <row r="41894">
      <c r="B41894" s="31"/>
      <c r="G41894" s="272" t="s">
        <v>1099</v>
      </c>
    </row>
    <row r="41895">
      <c r="B41895" s="31"/>
      <c r="G41895" s="272" t="s">
        <v>1099</v>
      </c>
    </row>
    <row r="41896">
      <c r="B41896" s="31"/>
      <c r="G41896" s="272" t="s">
        <v>1099</v>
      </c>
    </row>
    <row r="41897">
      <c r="B41897" s="31"/>
      <c r="G41897" s="272" t="s">
        <v>1099</v>
      </c>
    </row>
    <row r="41898">
      <c r="B41898" s="31"/>
      <c r="G41898" s="272" t="s">
        <v>1099</v>
      </c>
    </row>
    <row r="41899">
      <c r="B41899" s="31"/>
      <c r="G41899" s="272" t="s">
        <v>1099</v>
      </c>
    </row>
    <row r="41900">
      <c r="B41900" s="31"/>
      <c r="G41900" s="272" t="s">
        <v>1099</v>
      </c>
    </row>
    <row r="41901">
      <c r="B41901" s="31"/>
      <c r="G41901" s="272" t="s">
        <v>1099</v>
      </c>
    </row>
    <row r="41902">
      <c r="B41902" s="31"/>
      <c r="G41902" s="272" t="s">
        <v>1099</v>
      </c>
    </row>
    <row r="41903">
      <c r="B41903" s="31"/>
      <c r="G41903" s="272" t="s">
        <v>1099</v>
      </c>
    </row>
    <row r="41904">
      <c r="B41904" s="31"/>
      <c r="G41904" s="272" t="s">
        <v>1099</v>
      </c>
    </row>
    <row r="41905">
      <c r="B41905" s="31"/>
      <c r="G41905" s="272" t="s">
        <v>1099</v>
      </c>
    </row>
    <row r="41906">
      <c r="B41906" s="31"/>
      <c r="G41906" s="272" t="s">
        <v>1099</v>
      </c>
    </row>
    <row r="41907">
      <c r="B41907" s="31"/>
      <c r="G41907" s="272" t="s">
        <v>1099</v>
      </c>
    </row>
    <row r="41908">
      <c r="B41908" s="31"/>
      <c r="G41908" s="272" t="s">
        <v>1099</v>
      </c>
    </row>
    <row r="41909">
      <c r="B41909" s="31"/>
      <c r="G41909" s="272" t="s">
        <v>1099</v>
      </c>
    </row>
    <row r="41910">
      <c r="B41910" s="31"/>
      <c r="G41910" s="272" t="s">
        <v>1099</v>
      </c>
    </row>
    <row r="41911">
      <c r="B41911" s="31"/>
      <c r="G41911" s="272" t="s">
        <v>1099</v>
      </c>
    </row>
    <row r="41912">
      <c r="B41912" s="31"/>
      <c r="G41912" s="272" t="s">
        <v>1099</v>
      </c>
    </row>
    <row r="41913">
      <c r="B41913" s="31"/>
      <c r="G41913" s="272" t="s">
        <v>1099</v>
      </c>
    </row>
    <row r="41914">
      <c r="B41914" s="31"/>
      <c r="G41914" s="272" t="s">
        <v>1099</v>
      </c>
    </row>
    <row r="41915">
      <c r="B41915" s="31"/>
      <c r="G41915" s="272" t="s">
        <v>1099</v>
      </c>
    </row>
    <row r="41916">
      <c r="B41916" s="31"/>
      <c r="G41916" s="272" t="s">
        <v>1099</v>
      </c>
    </row>
    <row r="41917">
      <c r="B41917" s="31"/>
      <c r="G41917" s="272" t="s">
        <v>1099</v>
      </c>
    </row>
    <row r="41918">
      <c r="B41918" s="31"/>
      <c r="G41918" s="272" t="s">
        <v>1099</v>
      </c>
    </row>
    <row r="41919">
      <c r="B41919" s="31"/>
      <c r="G41919" s="272" t="s">
        <v>1099</v>
      </c>
    </row>
    <row r="41920">
      <c r="B41920" s="31"/>
      <c r="G41920" s="272" t="s">
        <v>1099</v>
      </c>
    </row>
    <row r="41921">
      <c r="B41921" s="31"/>
      <c r="G41921" s="272" t="s">
        <v>1099</v>
      </c>
    </row>
    <row r="41922">
      <c r="B41922" s="31"/>
      <c r="G41922" s="272" t="s">
        <v>1099</v>
      </c>
    </row>
    <row r="41923">
      <c r="B41923" s="31"/>
      <c r="G41923" s="272" t="s">
        <v>1099</v>
      </c>
    </row>
    <row r="41924">
      <c r="B41924" s="31"/>
      <c r="G41924" s="272" t="s">
        <v>1099</v>
      </c>
    </row>
    <row r="41925">
      <c r="B41925" s="31"/>
      <c r="G41925" s="272" t="s">
        <v>1099</v>
      </c>
    </row>
    <row r="41926">
      <c r="B41926" s="31"/>
      <c r="G41926" s="272" t="s">
        <v>1099</v>
      </c>
    </row>
    <row r="41927">
      <c r="B41927" s="31"/>
      <c r="G41927" s="272" t="s">
        <v>1099</v>
      </c>
    </row>
    <row r="41928">
      <c r="B41928" s="31"/>
      <c r="G41928" s="272" t="s">
        <v>1099</v>
      </c>
    </row>
    <row r="41929">
      <c r="B41929" s="31"/>
      <c r="G41929" s="272" t="s">
        <v>1099</v>
      </c>
    </row>
    <row r="41930">
      <c r="B41930" s="31"/>
      <c r="G41930" s="272" t="s">
        <v>1099</v>
      </c>
    </row>
    <row r="41931">
      <c r="B41931" s="31"/>
      <c r="G41931" s="272" t="s">
        <v>1099</v>
      </c>
    </row>
    <row r="41932">
      <c r="B41932" s="31"/>
      <c r="G41932" s="272" t="s">
        <v>1099</v>
      </c>
    </row>
    <row r="41933">
      <c r="B41933" s="31"/>
      <c r="G41933" s="272" t="s">
        <v>1099</v>
      </c>
    </row>
    <row r="41934">
      <c r="B41934" s="31"/>
      <c r="G41934" s="272" t="s">
        <v>1099</v>
      </c>
    </row>
    <row r="41935">
      <c r="B41935" s="31"/>
      <c r="G41935" s="272" t="s">
        <v>1099</v>
      </c>
    </row>
    <row r="41936">
      <c r="B41936" s="31"/>
      <c r="G41936" s="272" t="s">
        <v>1099</v>
      </c>
    </row>
    <row r="41937">
      <c r="B41937" s="31"/>
      <c r="G41937" s="272" t="s">
        <v>1099</v>
      </c>
    </row>
    <row r="41938">
      <c r="B41938" s="31"/>
      <c r="G41938" s="272" t="s">
        <v>1099</v>
      </c>
    </row>
    <row r="41939">
      <c r="B41939" s="31"/>
      <c r="G41939" s="272" t="s">
        <v>1099</v>
      </c>
    </row>
    <row r="41940">
      <c r="B41940" s="31"/>
      <c r="G41940" s="272" t="s">
        <v>1099</v>
      </c>
    </row>
    <row r="41941">
      <c r="B41941" s="31"/>
      <c r="G41941" s="272" t="s">
        <v>1099</v>
      </c>
    </row>
    <row r="41942">
      <c r="B41942" s="31"/>
      <c r="G41942" s="272" t="s">
        <v>1099</v>
      </c>
    </row>
    <row r="41943">
      <c r="B41943" s="31"/>
      <c r="G41943" s="272" t="s">
        <v>1099</v>
      </c>
    </row>
    <row r="41944">
      <c r="B41944" s="31"/>
      <c r="G41944" s="272" t="s">
        <v>1099</v>
      </c>
    </row>
    <row r="41945">
      <c r="B41945" s="31"/>
      <c r="G41945" s="272" t="s">
        <v>1099</v>
      </c>
    </row>
    <row r="41946">
      <c r="B41946" s="31"/>
      <c r="G41946" s="272" t="s">
        <v>1099</v>
      </c>
    </row>
    <row r="41947">
      <c r="B41947" s="31"/>
      <c r="G41947" s="272" t="s">
        <v>1099</v>
      </c>
    </row>
    <row r="41948">
      <c r="B41948" s="31"/>
      <c r="G41948" s="272" t="s">
        <v>1099</v>
      </c>
    </row>
    <row r="41949">
      <c r="B41949" s="31"/>
      <c r="G41949" s="272" t="s">
        <v>1099</v>
      </c>
    </row>
    <row r="41950">
      <c r="B41950" s="31"/>
      <c r="G41950" s="272" t="s">
        <v>1099</v>
      </c>
    </row>
    <row r="41951">
      <c r="B41951" s="31"/>
      <c r="G41951" s="272" t="s">
        <v>1099</v>
      </c>
    </row>
    <row r="41952">
      <c r="B41952" s="31"/>
      <c r="G41952" s="272" t="s">
        <v>1099</v>
      </c>
    </row>
    <row r="41953">
      <c r="B41953" s="31"/>
      <c r="G41953" s="272" t="s">
        <v>1099</v>
      </c>
    </row>
    <row r="41954">
      <c r="B41954" s="31"/>
      <c r="G41954" s="272" t="s">
        <v>1099</v>
      </c>
    </row>
    <row r="41955">
      <c r="B41955" s="31"/>
      <c r="G41955" s="272" t="s">
        <v>1099</v>
      </c>
    </row>
    <row r="41956">
      <c r="B41956" s="31"/>
      <c r="G41956" s="272" t="s">
        <v>1099</v>
      </c>
    </row>
    <row r="41957">
      <c r="B41957" s="31"/>
      <c r="G41957" s="272" t="s">
        <v>1099</v>
      </c>
    </row>
    <row r="41958">
      <c r="B41958" s="31"/>
      <c r="G41958" s="272" t="s">
        <v>1099</v>
      </c>
    </row>
    <row r="41959">
      <c r="B41959" s="31"/>
      <c r="G41959" s="272" t="s">
        <v>1099</v>
      </c>
    </row>
    <row r="41960">
      <c r="B41960" s="31"/>
      <c r="G41960" s="272" t="s">
        <v>1099</v>
      </c>
    </row>
    <row r="41961">
      <c r="B41961" s="31"/>
      <c r="G41961" s="272" t="s">
        <v>1099</v>
      </c>
    </row>
    <row r="41962">
      <c r="B41962" s="31"/>
      <c r="G41962" s="272" t="s">
        <v>1099</v>
      </c>
    </row>
    <row r="41963">
      <c r="B41963" s="31"/>
      <c r="G41963" s="272" t="s">
        <v>1099</v>
      </c>
    </row>
    <row r="41964">
      <c r="B41964" s="31"/>
      <c r="G41964" s="272" t="s">
        <v>1099</v>
      </c>
    </row>
    <row r="41965">
      <c r="B41965" s="31"/>
      <c r="G41965" s="272" t="s">
        <v>1099</v>
      </c>
    </row>
    <row r="41966">
      <c r="B41966" s="31"/>
      <c r="G41966" s="272" t="s">
        <v>1099</v>
      </c>
    </row>
    <row r="41967">
      <c r="B41967" s="31"/>
      <c r="G41967" s="272" t="s">
        <v>1099</v>
      </c>
    </row>
    <row r="41968">
      <c r="B41968" s="31"/>
      <c r="G41968" s="272" t="s">
        <v>1099</v>
      </c>
    </row>
    <row r="41969">
      <c r="B41969" s="31"/>
      <c r="G41969" s="272" t="s">
        <v>1099</v>
      </c>
    </row>
    <row r="41970">
      <c r="B41970" s="31"/>
      <c r="G41970" s="272" t="s">
        <v>1099</v>
      </c>
    </row>
    <row r="41971">
      <c r="B41971" s="31"/>
      <c r="G41971" s="272" t="s">
        <v>1099</v>
      </c>
    </row>
    <row r="41972">
      <c r="B41972" s="31"/>
      <c r="G41972" s="272" t="s">
        <v>1099</v>
      </c>
    </row>
    <row r="41973">
      <c r="B41973" s="31"/>
      <c r="G41973" s="272" t="s">
        <v>1099</v>
      </c>
    </row>
    <row r="41974">
      <c r="B41974" s="31"/>
      <c r="G41974" s="272" t="s">
        <v>1099</v>
      </c>
    </row>
    <row r="41975">
      <c r="B41975" s="31"/>
      <c r="G41975" s="272" t="s">
        <v>1099</v>
      </c>
    </row>
    <row r="41976">
      <c r="B41976" s="31"/>
      <c r="G41976" s="272" t="s">
        <v>1099</v>
      </c>
    </row>
    <row r="41977">
      <c r="B41977" s="31"/>
      <c r="G41977" s="272" t="s">
        <v>1099</v>
      </c>
    </row>
    <row r="41978">
      <c r="B41978" s="31"/>
      <c r="G41978" s="272" t="s">
        <v>1099</v>
      </c>
    </row>
    <row r="41979">
      <c r="B41979" s="31"/>
      <c r="G41979" s="272" t="s">
        <v>1099</v>
      </c>
    </row>
    <row r="41980">
      <c r="B41980" s="31"/>
      <c r="G41980" s="272" t="s">
        <v>1099</v>
      </c>
    </row>
    <row r="41981">
      <c r="B41981" s="31"/>
      <c r="G41981" s="272" t="s">
        <v>1099</v>
      </c>
    </row>
    <row r="41982">
      <c r="B41982" s="31"/>
      <c r="G41982" s="272" t="s">
        <v>1099</v>
      </c>
    </row>
    <row r="41983">
      <c r="B41983" s="31"/>
      <c r="G41983" s="272" t="s">
        <v>1099</v>
      </c>
    </row>
    <row r="41984">
      <c r="B41984" s="31"/>
      <c r="G41984" s="272" t="s">
        <v>1099</v>
      </c>
    </row>
    <row r="41985">
      <c r="B41985" s="31"/>
      <c r="G41985" s="272" t="s">
        <v>1099</v>
      </c>
    </row>
    <row r="41986">
      <c r="B41986" s="31"/>
      <c r="G41986" s="272" t="s">
        <v>1099</v>
      </c>
    </row>
    <row r="41987">
      <c r="B41987" s="31"/>
      <c r="G41987" s="272" t="s">
        <v>1099</v>
      </c>
    </row>
    <row r="41988">
      <c r="B41988" s="31"/>
      <c r="G41988" s="272" t="s">
        <v>1099</v>
      </c>
    </row>
    <row r="41989">
      <c r="B41989" s="31"/>
      <c r="G41989" s="272" t="s">
        <v>1099</v>
      </c>
    </row>
    <row r="41990">
      <c r="B41990" s="31"/>
      <c r="G41990" s="272" t="s">
        <v>1099</v>
      </c>
    </row>
    <row r="41991">
      <c r="B41991" s="31"/>
      <c r="G41991" s="272" t="s">
        <v>1099</v>
      </c>
    </row>
    <row r="41992">
      <c r="B41992" s="31"/>
      <c r="G41992" s="272" t="s">
        <v>1099</v>
      </c>
    </row>
    <row r="41993">
      <c r="B41993" s="31"/>
      <c r="G41993" s="272" t="s">
        <v>1099</v>
      </c>
    </row>
    <row r="41994">
      <c r="B41994" s="31"/>
      <c r="G41994" s="272" t="s">
        <v>1099</v>
      </c>
    </row>
    <row r="41995">
      <c r="B41995" s="31"/>
      <c r="G41995" s="272" t="s">
        <v>1099</v>
      </c>
    </row>
    <row r="41996">
      <c r="B41996" s="31"/>
      <c r="G41996" s="272" t="s">
        <v>1099</v>
      </c>
    </row>
    <row r="41997">
      <c r="B41997" s="31"/>
      <c r="G41997" s="272" t="s">
        <v>1099</v>
      </c>
    </row>
    <row r="41998">
      <c r="B41998" s="31"/>
      <c r="G41998" s="272" t="s">
        <v>1099</v>
      </c>
    </row>
    <row r="41999">
      <c r="B41999" s="31"/>
      <c r="G41999" s="272" t="s">
        <v>1099</v>
      </c>
    </row>
    <row r="42000">
      <c r="B42000" s="31"/>
      <c r="G42000" s="272" t="s">
        <v>1099</v>
      </c>
    </row>
    <row r="42001">
      <c r="B42001" s="31"/>
      <c r="G42001" s="272" t="s">
        <v>1099</v>
      </c>
    </row>
    <row r="42002">
      <c r="B42002" s="31"/>
      <c r="G42002" s="272" t="s">
        <v>1099</v>
      </c>
    </row>
    <row r="42003">
      <c r="B42003" s="31"/>
      <c r="G42003" s="272" t="s">
        <v>1099</v>
      </c>
    </row>
    <row r="42004">
      <c r="B42004" s="31"/>
      <c r="G42004" s="272" t="s">
        <v>1099</v>
      </c>
    </row>
    <row r="42005">
      <c r="B42005" s="31"/>
      <c r="G42005" s="272" t="s">
        <v>1099</v>
      </c>
    </row>
    <row r="42006">
      <c r="B42006" s="31"/>
      <c r="G42006" s="272" t="s">
        <v>1099</v>
      </c>
    </row>
    <row r="42007">
      <c r="B42007" s="31"/>
      <c r="G42007" s="272" t="s">
        <v>1099</v>
      </c>
    </row>
    <row r="42008">
      <c r="B42008" s="31"/>
      <c r="G42008" s="272" t="s">
        <v>1099</v>
      </c>
    </row>
    <row r="42009">
      <c r="B42009" s="31"/>
      <c r="G42009" s="272" t="s">
        <v>1099</v>
      </c>
    </row>
    <row r="42010">
      <c r="B42010" s="31"/>
      <c r="G42010" s="272" t="s">
        <v>1099</v>
      </c>
    </row>
    <row r="42011">
      <c r="B42011" s="31"/>
      <c r="G42011" s="272" t="s">
        <v>1099</v>
      </c>
    </row>
    <row r="42012">
      <c r="B42012" s="31"/>
      <c r="G42012" s="272" t="s">
        <v>1099</v>
      </c>
    </row>
    <row r="42013">
      <c r="B42013" s="31"/>
      <c r="G42013" s="272" t="s">
        <v>1099</v>
      </c>
    </row>
    <row r="42014">
      <c r="B42014" s="31"/>
      <c r="G42014" s="272" t="s">
        <v>1099</v>
      </c>
    </row>
    <row r="42015">
      <c r="B42015" s="31"/>
      <c r="G42015" s="272" t="s">
        <v>1099</v>
      </c>
    </row>
    <row r="42016">
      <c r="B42016" s="31"/>
      <c r="G42016" s="272" t="s">
        <v>1099</v>
      </c>
    </row>
    <row r="42017">
      <c r="B42017" s="31"/>
      <c r="G42017" s="272" t="s">
        <v>1099</v>
      </c>
    </row>
    <row r="42018">
      <c r="B42018" s="31"/>
      <c r="G42018" s="272" t="s">
        <v>1099</v>
      </c>
    </row>
    <row r="42019">
      <c r="B42019" s="31"/>
      <c r="G42019" s="272" t="s">
        <v>1099</v>
      </c>
    </row>
    <row r="42020">
      <c r="B42020" s="31"/>
      <c r="G42020" s="272" t="s">
        <v>1099</v>
      </c>
    </row>
    <row r="42021">
      <c r="B42021" s="31"/>
      <c r="G42021" s="272" t="s">
        <v>1099</v>
      </c>
    </row>
    <row r="42022">
      <c r="B42022" s="31"/>
      <c r="G42022" s="272" t="s">
        <v>1099</v>
      </c>
    </row>
    <row r="42023">
      <c r="B42023" s="31"/>
      <c r="G42023" s="272" t="s">
        <v>1099</v>
      </c>
    </row>
    <row r="42024">
      <c r="B42024" s="31"/>
      <c r="G42024" s="272" t="s">
        <v>1099</v>
      </c>
    </row>
    <row r="42025">
      <c r="B42025" s="31"/>
      <c r="G42025" s="272" t="s">
        <v>1099</v>
      </c>
    </row>
    <row r="42026">
      <c r="B42026" s="31"/>
      <c r="G42026" s="272" t="s">
        <v>1099</v>
      </c>
    </row>
    <row r="42027">
      <c r="B42027" s="31"/>
      <c r="G42027" s="272" t="s">
        <v>1099</v>
      </c>
    </row>
    <row r="42028">
      <c r="B42028" s="31"/>
      <c r="G42028" s="272" t="s">
        <v>1099</v>
      </c>
    </row>
    <row r="42029">
      <c r="B42029" s="31"/>
      <c r="G42029" s="272" t="s">
        <v>1099</v>
      </c>
    </row>
    <row r="42030">
      <c r="B42030" s="31"/>
      <c r="G42030" s="272" t="s">
        <v>1099</v>
      </c>
    </row>
    <row r="42031">
      <c r="B42031" s="31"/>
      <c r="G42031" s="272" t="s">
        <v>1099</v>
      </c>
    </row>
    <row r="42032">
      <c r="B42032" s="31"/>
      <c r="G42032" s="272" t="s">
        <v>1099</v>
      </c>
    </row>
    <row r="42033">
      <c r="B42033" s="31"/>
      <c r="G42033" s="272" t="s">
        <v>1099</v>
      </c>
    </row>
    <row r="42034">
      <c r="B42034" s="31"/>
      <c r="G42034" s="272" t="s">
        <v>1099</v>
      </c>
    </row>
    <row r="42035">
      <c r="B42035" s="31"/>
      <c r="G42035" s="272" t="s">
        <v>1099</v>
      </c>
    </row>
    <row r="42036">
      <c r="B42036" s="31"/>
      <c r="G42036" s="272" t="s">
        <v>1099</v>
      </c>
    </row>
    <row r="42037">
      <c r="B42037" s="31"/>
      <c r="G42037" s="272" t="s">
        <v>1099</v>
      </c>
    </row>
    <row r="42038">
      <c r="B42038" s="31"/>
      <c r="G42038" s="272" t="s">
        <v>1099</v>
      </c>
    </row>
    <row r="42039">
      <c r="B42039" s="31"/>
      <c r="G42039" s="272" t="s">
        <v>1099</v>
      </c>
    </row>
    <row r="42040">
      <c r="B42040" s="31"/>
      <c r="G42040" s="272" t="s">
        <v>1099</v>
      </c>
    </row>
    <row r="42041">
      <c r="B42041" s="31"/>
      <c r="G42041" s="272" t="s">
        <v>1099</v>
      </c>
    </row>
    <row r="42042">
      <c r="B42042" s="31"/>
      <c r="G42042" s="272" t="s">
        <v>1099</v>
      </c>
    </row>
    <row r="42043">
      <c r="B42043" s="31"/>
      <c r="G42043" s="272" t="s">
        <v>1099</v>
      </c>
    </row>
    <row r="42044">
      <c r="B42044" s="31"/>
      <c r="G42044" s="272" t="s">
        <v>1099</v>
      </c>
    </row>
    <row r="42045">
      <c r="B42045" s="31"/>
      <c r="G42045" s="272" t="s">
        <v>1099</v>
      </c>
    </row>
    <row r="42046">
      <c r="B42046" s="31"/>
      <c r="G42046" s="272" t="s">
        <v>1099</v>
      </c>
    </row>
    <row r="42047">
      <c r="B42047" s="31"/>
      <c r="G42047" s="272" t="s">
        <v>1099</v>
      </c>
    </row>
    <row r="42048">
      <c r="B42048" s="31"/>
      <c r="G42048" s="272" t="s">
        <v>1099</v>
      </c>
    </row>
    <row r="42049">
      <c r="B42049" s="31"/>
      <c r="G42049" s="272" t="s">
        <v>1099</v>
      </c>
    </row>
    <row r="42050">
      <c r="B42050" s="31"/>
      <c r="G42050" s="272" t="s">
        <v>1099</v>
      </c>
    </row>
    <row r="42051">
      <c r="B42051" s="31"/>
      <c r="G42051" s="272" t="s">
        <v>1099</v>
      </c>
    </row>
    <row r="42052">
      <c r="B42052" s="31"/>
      <c r="G42052" s="272" t="s">
        <v>1099</v>
      </c>
    </row>
    <row r="42053">
      <c r="B42053" s="31"/>
      <c r="G42053" s="272" t="s">
        <v>1099</v>
      </c>
    </row>
    <row r="42054">
      <c r="B42054" s="31"/>
      <c r="G42054" s="272" t="s">
        <v>1099</v>
      </c>
    </row>
    <row r="42055">
      <c r="B42055" s="31"/>
      <c r="G42055" s="272" t="s">
        <v>1099</v>
      </c>
    </row>
    <row r="42056">
      <c r="B42056" s="31"/>
      <c r="G42056" s="272" t="s">
        <v>1099</v>
      </c>
    </row>
    <row r="42057">
      <c r="B42057" s="31"/>
      <c r="G42057" s="272" t="s">
        <v>1099</v>
      </c>
    </row>
    <row r="42058">
      <c r="B42058" s="31"/>
      <c r="G42058" s="272" t="s">
        <v>1099</v>
      </c>
    </row>
    <row r="42059">
      <c r="B42059" s="31"/>
      <c r="G42059" s="272" t="s">
        <v>1099</v>
      </c>
    </row>
    <row r="42060">
      <c r="B42060" s="31"/>
      <c r="G42060" s="272" t="s">
        <v>1099</v>
      </c>
    </row>
    <row r="42061">
      <c r="B42061" s="31"/>
      <c r="G42061" s="272" t="s">
        <v>1099</v>
      </c>
    </row>
    <row r="42062">
      <c r="B42062" s="31"/>
      <c r="G42062" s="272" t="s">
        <v>1099</v>
      </c>
    </row>
    <row r="42063">
      <c r="B42063" s="31"/>
      <c r="G42063" s="272" t="s">
        <v>1099</v>
      </c>
    </row>
    <row r="42064">
      <c r="B42064" s="31"/>
      <c r="G42064" s="272" t="s">
        <v>1099</v>
      </c>
    </row>
    <row r="42065">
      <c r="B42065" s="31"/>
      <c r="G42065" s="272" t="s">
        <v>1099</v>
      </c>
    </row>
    <row r="42066">
      <c r="B42066" s="31"/>
      <c r="G42066" s="272" t="s">
        <v>1099</v>
      </c>
    </row>
    <row r="42067">
      <c r="B42067" s="31"/>
      <c r="G42067" s="272" t="s">
        <v>1099</v>
      </c>
    </row>
    <row r="42068">
      <c r="B42068" s="31"/>
      <c r="G42068" s="272" t="s">
        <v>1099</v>
      </c>
    </row>
    <row r="42069">
      <c r="B42069" s="31"/>
      <c r="G42069" s="272" t="s">
        <v>1099</v>
      </c>
    </row>
    <row r="42070">
      <c r="B42070" s="31"/>
      <c r="G42070" s="272" t="s">
        <v>1099</v>
      </c>
    </row>
    <row r="42071">
      <c r="B42071" s="31"/>
      <c r="G42071" s="272" t="s">
        <v>1099</v>
      </c>
    </row>
    <row r="42072">
      <c r="B42072" s="31"/>
      <c r="G42072" s="272" t="s">
        <v>1099</v>
      </c>
    </row>
    <row r="42073">
      <c r="B42073" s="31"/>
      <c r="G42073" s="272" t="s">
        <v>1099</v>
      </c>
    </row>
    <row r="42074">
      <c r="B42074" s="31"/>
      <c r="G42074" s="272" t="s">
        <v>1099</v>
      </c>
    </row>
    <row r="42075">
      <c r="B42075" s="31"/>
      <c r="G42075" s="272" t="s">
        <v>1099</v>
      </c>
    </row>
    <row r="42076">
      <c r="B42076" s="31"/>
      <c r="G42076" s="272" t="s">
        <v>1099</v>
      </c>
    </row>
    <row r="42077">
      <c r="B42077" s="31"/>
      <c r="G42077" s="272" t="s">
        <v>1099</v>
      </c>
    </row>
    <row r="42078">
      <c r="B42078" s="31"/>
      <c r="G42078" s="272" t="s">
        <v>1099</v>
      </c>
    </row>
    <row r="42079">
      <c r="B42079" s="31"/>
      <c r="G42079" s="272" t="s">
        <v>1099</v>
      </c>
    </row>
    <row r="42080">
      <c r="B42080" s="31"/>
      <c r="G42080" s="272" t="s">
        <v>1099</v>
      </c>
    </row>
    <row r="42081">
      <c r="B42081" s="31"/>
      <c r="G42081" s="272" t="s">
        <v>1099</v>
      </c>
    </row>
    <row r="42082">
      <c r="B42082" s="31"/>
      <c r="G42082" s="272" t="s">
        <v>1099</v>
      </c>
    </row>
    <row r="42083">
      <c r="B42083" s="31"/>
      <c r="G42083" s="272" t="s">
        <v>1099</v>
      </c>
    </row>
    <row r="42084">
      <c r="B42084" s="31"/>
      <c r="G42084" s="272" t="s">
        <v>1099</v>
      </c>
    </row>
    <row r="42085">
      <c r="B42085" s="31"/>
      <c r="G42085" s="272" t="s">
        <v>1099</v>
      </c>
    </row>
    <row r="42086">
      <c r="B42086" s="31"/>
      <c r="G42086" s="272" t="s">
        <v>1099</v>
      </c>
    </row>
    <row r="42087">
      <c r="B42087" s="31"/>
      <c r="G42087" s="272" t="s">
        <v>1099</v>
      </c>
    </row>
    <row r="42088">
      <c r="B42088" s="31"/>
      <c r="G42088" s="272" t="s">
        <v>1099</v>
      </c>
    </row>
    <row r="42089">
      <c r="B42089" s="31"/>
      <c r="G42089" s="272" t="s">
        <v>1099</v>
      </c>
    </row>
    <row r="42090">
      <c r="B42090" s="31"/>
      <c r="G42090" s="272" t="s">
        <v>1099</v>
      </c>
    </row>
    <row r="42091">
      <c r="B42091" s="31"/>
      <c r="G42091" s="272" t="s">
        <v>1099</v>
      </c>
    </row>
    <row r="42092">
      <c r="B42092" s="31"/>
      <c r="G42092" s="272" t="s">
        <v>1099</v>
      </c>
    </row>
    <row r="42093">
      <c r="B42093" s="31"/>
      <c r="G42093" s="272" t="s">
        <v>1099</v>
      </c>
    </row>
    <row r="42094">
      <c r="B42094" s="31"/>
      <c r="G42094" s="272" t="s">
        <v>1099</v>
      </c>
    </row>
    <row r="42095">
      <c r="B42095" s="31"/>
      <c r="G42095" s="272" t="s">
        <v>1099</v>
      </c>
    </row>
    <row r="42096">
      <c r="B42096" s="31"/>
      <c r="G42096" s="272" t="s">
        <v>1099</v>
      </c>
    </row>
    <row r="42097">
      <c r="B42097" s="31"/>
      <c r="G42097" s="272" t="s">
        <v>1099</v>
      </c>
    </row>
    <row r="42098">
      <c r="B42098" s="31"/>
      <c r="G42098" s="272" t="s">
        <v>1099</v>
      </c>
    </row>
    <row r="42099">
      <c r="B42099" s="31"/>
      <c r="G42099" s="272" t="s">
        <v>1099</v>
      </c>
    </row>
    <row r="42100">
      <c r="B42100" s="31"/>
      <c r="G42100" s="272" t="s">
        <v>1099</v>
      </c>
    </row>
    <row r="42101">
      <c r="B42101" s="31"/>
      <c r="G42101" s="272" t="s">
        <v>1099</v>
      </c>
    </row>
    <row r="42102">
      <c r="B42102" s="31"/>
      <c r="G42102" s="272" t="s">
        <v>1099</v>
      </c>
    </row>
    <row r="42103">
      <c r="B42103" s="31"/>
      <c r="G42103" s="272" t="s">
        <v>1099</v>
      </c>
    </row>
    <row r="42104">
      <c r="B42104" s="31"/>
      <c r="G42104" s="272" t="s">
        <v>1099</v>
      </c>
    </row>
    <row r="42105">
      <c r="B42105" s="31"/>
      <c r="G42105" s="272" t="s">
        <v>1099</v>
      </c>
    </row>
    <row r="42106">
      <c r="B42106" s="31"/>
      <c r="G42106" s="272" t="s">
        <v>1099</v>
      </c>
    </row>
    <row r="42107">
      <c r="B42107" s="31"/>
      <c r="G42107" s="272" t="s">
        <v>1099</v>
      </c>
    </row>
    <row r="42108">
      <c r="B42108" s="31"/>
      <c r="G42108" s="272" t="s">
        <v>1099</v>
      </c>
    </row>
    <row r="42109">
      <c r="B42109" s="31"/>
      <c r="G42109" s="272" t="s">
        <v>1099</v>
      </c>
    </row>
    <row r="42110">
      <c r="B42110" s="31"/>
      <c r="G42110" s="272" t="s">
        <v>1099</v>
      </c>
    </row>
    <row r="42111">
      <c r="B42111" s="31"/>
      <c r="G42111" s="272" t="s">
        <v>1099</v>
      </c>
    </row>
    <row r="42112">
      <c r="B42112" s="31"/>
      <c r="G42112" s="272" t="s">
        <v>1099</v>
      </c>
    </row>
    <row r="42113">
      <c r="B42113" s="31"/>
      <c r="G42113" s="272" t="s">
        <v>1099</v>
      </c>
    </row>
    <row r="42114">
      <c r="B42114" s="31"/>
      <c r="G42114" s="272" t="s">
        <v>1099</v>
      </c>
    </row>
    <row r="42115">
      <c r="B42115" s="31"/>
      <c r="G42115" s="272" t="s">
        <v>1099</v>
      </c>
    </row>
    <row r="42116">
      <c r="B42116" s="31"/>
      <c r="G42116" s="272" t="s">
        <v>1099</v>
      </c>
    </row>
    <row r="42117">
      <c r="B42117" s="31"/>
      <c r="G42117" s="272" t="s">
        <v>1099</v>
      </c>
    </row>
    <row r="42118">
      <c r="B42118" s="31"/>
      <c r="G42118" s="272" t="s">
        <v>1099</v>
      </c>
    </row>
    <row r="42119">
      <c r="B42119" s="31"/>
      <c r="G42119" s="272" t="s">
        <v>1099</v>
      </c>
    </row>
    <row r="42120">
      <c r="B42120" s="31"/>
      <c r="G42120" s="272" t="s">
        <v>1099</v>
      </c>
    </row>
    <row r="42121">
      <c r="B42121" s="31"/>
      <c r="G42121" s="272" t="s">
        <v>1099</v>
      </c>
    </row>
    <row r="42122">
      <c r="B42122" s="31"/>
      <c r="G42122" s="272" t="s">
        <v>1099</v>
      </c>
    </row>
    <row r="42123">
      <c r="B42123" s="31"/>
      <c r="G42123" s="272" t="s">
        <v>1099</v>
      </c>
    </row>
    <row r="42124">
      <c r="B42124" s="31"/>
      <c r="G42124" s="272" t="s">
        <v>1099</v>
      </c>
    </row>
    <row r="42125">
      <c r="B42125" s="31"/>
      <c r="G42125" s="272" t="s">
        <v>1099</v>
      </c>
    </row>
    <row r="42126">
      <c r="B42126" s="31"/>
      <c r="G42126" s="272" t="s">
        <v>1099</v>
      </c>
    </row>
    <row r="42127">
      <c r="B42127" s="31"/>
      <c r="G42127" s="272" t="s">
        <v>1099</v>
      </c>
    </row>
    <row r="42128">
      <c r="B42128" s="31"/>
      <c r="G42128" s="272" t="s">
        <v>1099</v>
      </c>
    </row>
    <row r="42129">
      <c r="B42129" s="31"/>
      <c r="G42129" s="272" t="s">
        <v>1099</v>
      </c>
    </row>
    <row r="42130">
      <c r="B42130" s="31"/>
      <c r="G42130" s="272" t="s">
        <v>1099</v>
      </c>
    </row>
    <row r="42131">
      <c r="B42131" s="31"/>
      <c r="G42131" s="272" t="s">
        <v>1099</v>
      </c>
    </row>
    <row r="42132">
      <c r="B42132" s="31"/>
      <c r="G42132" s="272" t="s">
        <v>1099</v>
      </c>
    </row>
    <row r="42133">
      <c r="B42133" s="31"/>
      <c r="G42133" s="272" t="s">
        <v>1099</v>
      </c>
    </row>
    <row r="42134">
      <c r="B42134" s="31"/>
      <c r="G42134" s="272" t="s">
        <v>1099</v>
      </c>
    </row>
    <row r="42135">
      <c r="B42135" s="31"/>
      <c r="G42135" s="272" t="s">
        <v>1099</v>
      </c>
    </row>
    <row r="42136">
      <c r="B42136" s="31"/>
      <c r="G42136" s="272" t="s">
        <v>1099</v>
      </c>
    </row>
    <row r="42137">
      <c r="B42137" s="31"/>
      <c r="G42137" s="272" t="s">
        <v>1099</v>
      </c>
    </row>
    <row r="42138">
      <c r="B42138" s="31"/>
      <c r="G42138" s="272" t="s">
        <v>1099</v>
      </c>
    </row>
    <row r="42139">
      <c r="B42139" s="31"/>
      <c r="G42139" s="272" t="s">
        <v>1099</v>
      </c>
    </row>
    <row r="42140">
      <c r="B42140" s="31"/>
      <c r="G42140" s="272" t="s">
        <v>1099</v>
      </c>
    </row>
    <row r="42141">
      <c r="B42141" s="31"/>
      <c r="G42141" s="272" t="s">
        <v>1099</v>
      </c>
    </row>
    <row r="42142">
      <c r="B42142" s="31"/>
      <c r="G42142" s="272" t="s">
        <v>1099</v>
      </c>
    </row>
    <row r="42143">
      <c r="B42143" s="31"/>
      <c r="G42143" s="272" t="s">
        <v>1099</v>
      </c>
    </row>
    <row r="42144">
      <c r="B42144" s="31"/>
      <c r="G42144" s="272" t="s">
        <v>1099</v>
      </c>
    </row>
    <row r="42145">
      <c r="B42145" s="31"/>
      <c r="G42145" s="272" t="s">
        <v>1099</v>
      </c>
    </row>
    <row r="42146">
      <c r="B42146" s="31"/>
      <c r="G42146" s="272" t="s">
        <v>1099</v>
      </c>
    </row>
    <row r="42147">
      <c r="B42147" s="31"/>
      <c r="G42147" s="272" t="s">
        <v>1099</v>
      </c>
    </row>
    <row r="42148">
      <c r="B42148" s="31"/>
      <c r="G42148" s="272" t="s">
        <v>1099</v>
      </c>
    </row>
    <row r="42149">
      <c r="B42149" s="31"/>
      <c r="G42149" s="272" t="s">
        <v>1099</v>
      </c>
    </row>
    <row r="42150">
      <c r="B42150" s="31"/>
      <c r="G42150" s="272" t="s">
        <v>1099</v>
      </c>
    </row>
    <row r="42151">
      <c r="B42151" s="31"/>
      <c r="G42151" s="272" t="s">
        <v>1099</v>
      </c>
    </row>
    <row r="42152">
      <c r="B42152" s="31"/>
      <c r="G42152" s="272" t="s">
        <v>1099</v>
      </c>
    </row>
    <row r="42153">
      <c r="B42153" s="31"/>
      <c r="G42153" s="272" t="s">
        <v>1099</v>
      </c>
    </row>
    <row r="42154">
      <c r="B42154" s="31"/>
      <c r="G42154" s="272" t="s">
        <v>1099</v>
      </c>
    </row>
    <row r="42155">
      <c r="B42155" s="31"/>
      <c r="G42155" s="272" t="s">
        <v>1099</v>
      </c>
    </row>
    <row r="42156">
      <c r="B42156" s="31"/>
      <c r="G42156" s="272" t="s">
        <v>1099</v>
      </c>
    </row>
    <row r="42157">
      <c r="B42157" s="31"/>
      <c r="G42157" s="272" t="s">
        <v>1099</v>
      </c>
    </row>
    <row r="42158">
      <c r="B42158" s="31"/>
      <c r="G42158" s="272" t="s">
        <v>1099</v>
      </c>
    </row>
    <row r="42159">
      <c r="B42159" s="31"/>
      <c r="G42159" s="272" t="s">
        <v>1099</v>
      </c>
    </row>
    <row r="42160">
      <c r="B42160" s="31"/>
      <c r="G42160" s="272" t="s">
        <v>1099</v>
      </c>
    </row>
    <row r="42161">
      <c r="B42161" s="31"/>
      <c r="G42161" s="272" t="s">
        <v>1099</v>
      </c>
    </row>
    <row r="42162">
      <c r="B42162" s="31"/>
      <c r="G42162" s="272" t="s">
        <v>1099</v>
      </c>
    </row>
    <row r="42163">
      <c r="B42163" s="31"/>
      <c r="G42163" s="272" t="s">
        <v>1099</v>
      </c>
    </row>
    <row r="42164">
      <c r="B42164" s="31"/>
      <c r="G42164" s="272" t="s">
        <v>1099</v>
      </c>
    </row>
    <row r="42165">
      <c r="B42165" s="31"/>
      <c r="G42165" s="272" t="s">
        <v>1099</v>
      </c>
    </row>
    <row r="42166">
      <c r="B42166" s="31"/>
      <c r="G42166" s="272" t="s">
        <v>1099</v>
      </c>
    </row>
    <row r="42167">
      <c r="B42167" s="31"/>
      <c r="G42167" s="272" t="s">
        <v>1099</v>
      </c>
    </row>
    <row r="42168">
      <c r="B42168" s="31"/>
      <c r="G42168" s="272" t="s">
        <v>1099</v>
      </c>
    </row>
    <row r="42169">
      <c r="B42169" s="31"/>
      <c r="G42169" s="272" t="s">
        <v>1099</v>
      </c>
    </row>
    <row r="42170">
      <c r="B42170" s="31"/>
      <c r="G42170" s="272" t="s">
        <v>1099</v>
      </c>
    </row>
    <row r="42171">
      <c r="B42171" s="31"/>
      <c r="G42171" s="272" t="s">
        <v>1099</v>
      </c>
    </row>
    <row r="42172">
      <c r="B42172" s="31"/>
      <c r="G42172" s="272" t="s">
        <v>1099</v>
      </c>
    </row>
    <row r="42173">
      <c r="B42173" s="31"/>
      <c r="G42173" s="272" t="s">
        <v>1099</v>
      </c>
    </row>
    <row r="42174">
      <c r="B42174" s="31"/>
      <c r="G42174" s="272" t="s">
        <v>1099</v>
      </c>
    </row>
    <row r="42175">
      <c r="B42175" s="31"/>
      <c r="G42175" s="272" t="s">
        <v>1099</v>
      </c>
    </row>
    <row r="42176">
      <c r="B42176" s="31"/>
      <c r="G42176" s="272" t="s">
        <v>1099</v>
      </c>
    </row>
    <row r="42177">
      <c r="B42177" s="31"/>
      <c r="G42177" s="272" t="s">
        <v>1099</v>
      </c>
    </row>
    <row r="42178">
      <c r="B42178" s="31"/>
      <c r="G42178" s="272" t="s">
        <v>1099</v>
      </c>
    </row>
    <row r="42179">
      <c r="B42179" s="31"/>
      <c r="G42179" s="272" t="s">
        <v>1099</v>
      </c>
    </row>
    <row r="42180">
      <c r="B42180" s="31"/>
      <c r="G42180" s="272" t="s">
        <v>1099</v>
      </c>
    </row>
    <row r="42181">
      <c r="B42181" s="31"/>
      <c r="G42181" s="272" t="s">
        <v>1099</v>
      </c>
    </row>
    <row r="42182">
      <c r="B42182" s="31"/>
      <c r="G42182" s="272" t="s">
        <v>1099</v>
      </c>
    </row>
    <row r="42183">
      <c r="B42183" s="31"/>
      <c r="G42183" s="272" t="s">
        <v>1099</v>
      </c>
    </row>
    <row r="42184">
      <c r="B42184" s="31"/>
      <c r="G42184" s="272" t="s">
        <v>1099</v>
      </c>
    </row>
    <row r="42185">
      <c r="B42185" s="31"/>
      <c r="G42185" s="272" t="s">
        <v>1099</v>
      </c>
    </row>
    <row r="42186">
      <c r="B42186" s="31"/>
      <c r="G42186" s="272" t="s">
        <v>1099</v>
      </c>
    </row>
    <row r="42187">
      <c r="B42187" s="31"/>
      <c r="G42187" s="272" t="s">
        <v>1099</v>
      </c>
    </row>
    <row r="42188">
      <c r="B42188" s="31"/>
      <c r="G42188" s="272" t="s">
        <v>1099</v>
      </c>
    </row>
    <row r="42189">
      <c r="B42189" s="31"/>
      <c r="G42189" s="272" t="s">
        <v>1099</v>
      </c>
    </row>
    <row r="42190">
      <c r="B42190" s="31"/>
      <c r="G42190" s="272" t="s">
        <v>1099</v>
      </c>
    </row>
    <row r="42191">
      <c r="B42191" s="31"/>
      <c r="G42191" s="272" t="s">
        <v>1099</v>
      </c>
    </row>
    <row r="42192">
      <c r="B42192" s="31"/>
      <c r="G42192" s="272" t="s">
        <v>1099</v>
      </c>
    </row>
    <row r="42193">
      <c r="B42193" s="31"/>
      <c r="G42193" s="272" t="s">
        <v>1099</v>
      </c>
    </row>
    <row r="42194">
      <c r="B42194" s="31"/>
      <c r="G42194" s="272" t="s">
        <v>1099</v>
      </c>
    </row>
    <row r="42195">
      <c r="B42195" s="31"/>
      <c r="G42195" s="272" t="s">
        <v>1099</v>
      </c>
    </row>
    <row r="42196">
      <c r="B42196" s="31"/>
      <c r="G42196" s="272" t="s">
        <v>1099</v>
      </c>
    </row>
    <row r="42197">
      <c r="B42197" s="31"/>
      <c r="G42197" s="272" t="s">
        <v>1099</v>
      </c>
    </row>
    <row r="42198">
      <c r="B42198" s="31"/>
      <c r="G42198" s="272" t="s">
        <v>1099</v>
      </c>
    </row>
    <row r="42199">
      <c r="B42199" s="31"/>
      <c r="G42199" s="272" t="s">
        <v>1099</v>
      </c>
    </row>
    <row r="42200">
      <c r="B42200" s="31"/>
      <c r="G42200" s="272" t="s">
        <v>1099</v>
      </c>
    </row>
    <row r="42201">
      <c r="B42201" s="31"/>
      <c r="G42201" s="272" t="s">
        <v>1099</v>
      </c>
    </row>
    <row r="42202">
      <c r="B42202" s="31"/>
      <c r="G42202" s="272" t="s">
        <v>1099</v>
      </c>
    </row>
    <row r="42203">
      <c r="B42203" s="31"/>
      <c r="G42203" s="272" t="s">
        <v>1099</v>
      </c>
    </row>
    <row r="42204">
      <c r="B42204" s="31"/>
      <c r="G42204" s="272" t="s">
        <v>1099</v>
      </c>
    </row>
    <row r="42205">
      <c r="B42205" s="31"/>
      <c r="G42205" s="272" t="s">
        <v>1099</v>
      </c>
    </row>
    <row r="42206">
      <c r="B42206" s="31"/>
      <c r="G42206" s="272" t="s">
        <v>1099</v>
      </c>
    </row>
    <row r="42207">
      <c r="B42207" s="31"/>
      <c r="G42207" s="272" t="s">
        <v>1099</v>
      </c>
    </row>
    <row r="42208">
      <c r="B42208" s="31"/>
      <c r="G42208" s="272" t="s">
        <v>1099</v>
      </c>
    </row>
    <row r="42209">
      <c r="B42209" s="31"/>
      <c r="G42209" s="272" t="s">
        <v>1099</v>
      </c>
    </row>
    <row r="42210">
      <c r="B42210" s="31"/>
      <c r="G42210" s="272" t="s">
        <v>1099</v>
      </c>
    </row>
    <row r="42211">
      <c r="B42211" s="31"/>
      <c r="G42211" s="272" t="s">
        <v>1099</v>
      </c>
    </row>
    <row r="42212">
      <c r="B42212" s="31"/>
      <c r="G42212" s="272" t="s">
        <v>1099</v>
      </c>
    </row>
    <row r="42213">
      <c r="B42213" s="31"/>
      <c r="G42213" s="272" t="s">
        <v>1099</v>
      </c>
    </row>
    <row r="42214">
      <c r="B42214" s="31"/>
      <c r="G42214" s="272" t="s">
        <v>1099</v>
      </c>
    </row>
    <row r="42215">
      <c r="B42215" s="31"/>
      <c r="G42215" s="272" t="s">
        <v>1099</v>
      </c>
    </row>
    <row r="42216">
      <c r="B42216" s="31"/>
      <c r="G42216" s="272" t="s">
        <v>1099</v>
      </c>
    </row>
    <row r="42217">
      <c r="B42217" s="31"/>
      <c r="G42217" s="272" t="s">
        <v>1099</v>
      </c>
    </row>
    <row r="42218">
      <c r="B42218" s="31"/>
      <c r="G42218" s="272" t="s">
        <v>1099</v>
      </c>
    </row>
    <row r="42219">
      <c r="B42219" s="31"/>
      <c r="G42219" s="272" t="s">
        <v>1099</v>
      </c>
    </row>
    <row r="42220">
      <c r="B42220" s="31"/>
      <c r="G42220" s="272" t="s">
        <v>1099</v>
      </c>
    </row>
    <row r="42221">
      <c r="B42221" s="31"/>
      <c r="G42221" s="272" t="s">
        <v>1099</v>
      </c>
    </row>
    <row r="42222">
      <c r="B42222" s="31"/>
      <c r="G42222" s="272" t="s">
        <v>1099</v>
      </c>
    </row>
    <row r="42223">
      <c r="B42223" s="31"/>
      <c r="G42223" s="272" t="s">
        <v>1099</v>
      </c>
    </row>
    <row r="42224">
      <c r="B42224" s="31"/>
      <c r="G42224" s="272" t="s">
        <v>1099</v>
      </c>
    </row>
    <row r="42225">
      <c r="B42225" s="31"/>
      <c r="G42225" s="272" t="s">
        <v>1099</v>
      </c>
    </row>
    <row r="42226">
      <c r="B42226" s="31"/>
      <c r="G42226" s="272" t="s">
        <v>1099</v>
      </c>
    </row>
    <row r="42227">
      <c r="B42227" s="31"/>
      <c r="G42227" s="272" t="s">
        <v>1099</v>
      </c>
    </row>
    <row r="42228">
      <c r="B42228" s="31"/>
      <c r="G42228" s="272" t="s">
        <v>1099</v>
      </c>
    </row>
    <row r="42229">
      <c r="B42229" s="31"/>
      <c r="G42229" s="272" t="s">
        <v>1099</v>
      </c>
    </row>
    <row r="42230">
      <c r="B42230" s="31"/>
      <c r="G42230" s="272" t="s">
        <v>1099</v>
      </c>
    </row>
    <row r="42231">
      <c r="B42231" s="31"/>
      <c r="G42231" s="272" t="s">
        <v>1099</v>
      </c>
    </row>
    <row r="42232">
      <c r="B42232" s="31"/>
      <c r="G42232" s="272" t="s">
        <v>1099</v>
      </c>
    </row>
    <row r="42233">
      <c r="B42233" s="31"/>
      <c r="G42233" s="272" t="s">
        <v>1099</v>
      </c>
    </row>
    <row r="42234">
      <c r="B42234" s="31"/>
      <c r="G42234" s="272" t="s">
        <v>1099</v>
      </c>
    </row>
    <row r="42235">
      <c r="B42235" s="31"/>
      <c r="G42235" s="272" t="s">
        <v>1099</v>
      </c>
    </row>
    <row r="42236">
      <c r="B42236" s="31"/>
      <c r="G42236" s="272" t="s">
        <v>1099</v>
      </c>
    </row>
    <row r="42237">
      <c r="B42237" s="31"/>
      <c r="G42237" s="272" t="s">
        <v>1099</v>
      </c>
    </row>
    <row r="42238">
      <c r="B42238" s="31"/>
      <c r="G42238" s="272" t="s">
        <v>1099</v>
      </c>
    </row>
    <row r="42239">
      <c r="B42239" s="31"/>
      <c r="G42239" s="272" t="s">
        <v>1099</v>
      </c>
    </row>
    <row r="42240">
      <c r="B42240" s="31"/>
      <c r="G42240" s="272" t="s">
        <v>1099</v>
      </c>
    </row>
    <row r="42241">
      <c r="B42241" s="31"/>
      <c r="G42241" s="272" t="s">
        <v>1099</v>
      </c>
    </row>
    <row r="42242">
      <c r="B42242" s="31"/>
      <c r="G42242" s="272" t="s">
        <v>1099</v>
      </c>
    </row>
    <row r="42243">
      <c r="B42243" s="31"/>
      <c r="G42243" s="272" t="s">
        <v>1099</v>
      </c>
    </row>
    <row r="42244">
      <c r="B42244" s="31"/>
      <c r="G42244" s="272" t="s">
        <v>1099</v>
      </c>
    </row>
    <row r="42245">
      <c r="B42245" s="31"/>
      <c r="G42245" s="272" t="s">
        <v>1099</v>
      </c>
    </row>
    <row r="42246">
      <c r="B42246" s="31"/>
      <c r="G42246" s="272" t="s">
        <v>1099</v>
      </c>
    </row>
    <row r="42247">
      <c r="B42247" s="31"/>
      <c r="G42247" s="272" t="s">
        <v>1099</v>
      </c>
    </row>
    <row r="42248">
      <c r="B42248" s="31"/>
      <c r="G42248" s="272" t="s">
        <v>1099</v>
      </c>
    </row>
    <row r="42249">
      <c r="B42249" s="31"/>
      <c r="G42249" s="272" t="s">
        <v>1099</v>
      </c>
    </row>
    <row r="42250">
      <c r="B42250" s="31"/>
      <c r="G42250" s="272" t="s">
        <v>1099</v>
      </c>
    </row>
    <row r="42251">
      <c r="B42251" s="31"/>
      <c r="G42251" s="272" t="s">
        <v>1099</v>
      </c>
    </row>
    <row r="42252">
      <c r="B42252" s="31"/>
      <c r="G42252" s="272" t="s">
        <v>1099</v>
      </c>
    </row>
    <row r="42253">
      <c r="B42253" s="31"/>
      <c r="G42253" s="272" t="s">
        <v>1099</v>
      </c>
    </row>
    <row r="42254">
      <c r="B42254" s="31"/>
      <c r="G42254" s="272" t="s">
        <v>1099</v>
      </c>
    </row>
    <row r="42255">
      <c r="B42255" s="31"/>
      <c r="G42255" s="272" t="s">
        <v>1099</v>
      </c>
    </row>
    <row r="42256">
      <c r="B42256" s="31"/>
      <c r="G42256" s="272" t="s">
        <v>1099</v>
      </c>
    </row>
    <row r="42257">
      <c r="B42257" s="31"/>
      <c r="G42257" s="272" t="s">
        <v>1099</v>
      </c>
    </row>
    <row r="42258">
      <c r="B42258" s="31"/>
      <c r="G42258" s="272" t="s">
        <v>1099</v>
      </c>
    </row>
    <row r="42259">
      <c r="B42259" s="31"/>
      <c r="G42259" s="272" t="s">
        <v>1099</v>
      </c>
    </row>
    <row r="42260">
      <c r="B42260" s="31"/>
      <c r="G42260" s="272" t="s">
        <v>1099</v>
      </c>
    </row>
    <row r="42261">
      <c r="B42261" s="31"/>
      <c r="G42261" s="272" t="s">
        <v>1099</v>
      </c>
    </row>
    <row r="42262">
      <c r="B42262" s="31"/>
      <c r="G42262" s="272" t="s">
        <v>1099</v>
      </c>
    </row>
    <row r="42263">
      <c r="B42263" s="31"/>
      <c r="G42263" s="272" t="s">
        <v>1099</v>
      </c>
    </row>
    <row r="42264">
      <c r="B42264" s="31"/>
      <c r="G42264" s="272" t="s">
        <v>1099</v>
      </c>
    </row>
    <row r="42265">
      <c r="B42265" s="31"/>
      <c r="G42265" s="272" t="s">
        <v>1099</v>
      </c>
    </row>
    <row r="42266">
      <c r="B42266" s="31"/>
      <c r="G42266" s="272" t="s">
        <v>1099</v>
      </c>
    </row>
    <row r="42267">
      <c r="B42267" s="31"/>
      <c r="G42267" s="272" t="s">
        <v>1099</v>
      </c>
    </row>
    <row r="42268">
      <c r="B42268" s="31"/>
      <c r="G42268" s="272" t="s">
        <v>1099</v>
      </c>
    </row>
    <row r="42269">
      <c r="B42269" s="31"/>
      <c r="G42269" s="272" t="s">
        <v>1099</v>
      </c>
    </row>
    <row r="42270">
      <c r="B42270" s="31"/>
      <c r="G42270" s="272" t="s">
        <v>1099</v>
      </c>
    </row>
    <row r="42271">
      <c r="B42271" s="31"/>
      <c r="G42271" s="272" t="s">
        <v>1099</v>
      </c>
    </row>
    <row r="42272">
      <c r="B42272" s="31"/>
      <c r="G42272" s="272" t="s">
        <v>1099</v>
      </c>
    </row>
    <row r="42273">
      <c r="B42273" s="31"/>
      <c r="G42273" s="272" t="s">
        <v>1099</v>
      </c>
    </row>
    <row r="42274">
      <c r="B42274" s="31"/>
      <c r="G42274" s="272" t="s">
        <v>1099</v>
      </c>
    </row>
    <row r="42275">
      <c r="B42275" s="31"/>
      <c r="G42275" s="272" t="s">
        <v>1099</v>
      </c>
    </row>
    <row r="42276">
      <c r="B42276" s="31"/>
      <c r="G42276" s="272" t="s">
        <v>1099</v>
      </c>
    </row>
    <row r="42277">
      <c r="B42277" s="31"/>
      <c r="G42277" s="272" t="s">
        <v>1099</v>
      </c>
    </row>
    <row r="42278">
      <c r="B42278" s="31"/>
      <c r="G42278" s="272" t="s">
        <v>1099</v>
      </c>
    </row>
    <row r="42279">
      <c r="B42279" s="31"/>
      <c r="G42279" s="272" t="s">
        <v>1099</v>
      </c>
    </row>
    <row r="42280">
      <c r="B42280" s="31"/>
      <c r="G42280" s="272" t="s">
        <v>1099</v>
      </c>
    </row>
    <row r="42281">
      <c r="B42281" s="31"/>
      <c r="G42281" s="272" t="s">
        <v>1099</v>
      </c>
    </row>
    <row r="42282">
      <c r="B42282" s="31"/>
      <c r="G42282" s="272" t="s">
        <v>1099</v>
      </c>
    </row>
    <row r="42283">
      <c r="B42283" s="31"/>
      <c r="G42283" s="272" t="s">
        <v>1099</v>
      </c>
    </row>
    <row r="42284">
      <c r="B42284" s="31"/>
      <c r="G42284" s="272" t="s">
        <v>1099</v>
      </c>
    </row>
    <row r="42285">
      <c r="B42285" s="31"/>
      <c r="G42285" s="272" t="s">
        <v>1099</v>
      </c>
    </row>
    <row r="42286">
      <c r="B42286" s="31"/>
      <c r="G42286" s="272" t="s">
        <v>1099</v>
      </c>
    </row>
    <row r="42287">
      <c r="B42287" s="31"/>
      <c r="G42287" s="272" t="s">
        <v>1099</v>
      </c>
    </row>
    <row r="42288">
      <c r="B42288" s="31"/>
      <c r="G42288" s="272" t="s">
        <v>1099</v>
      </c>
    </row>
    <row r="42289">
      <c r="B42289" s="31"/>
      <c r="G42289" s="272" t="s">
        <v>1099</v>
      </c>
    </row>
    <row r="42290">
      <c r="B42290" s="31"/>
      <c r="G42290" s="272" t="s">
        <v>1099</v>
      </c>
    </row>
    <row r="42291">
      <c r="B42291" s="31"/>
      <c r="G42291" s="272" t="s">
        <v>1099</v>
      </c>
    </row>
    <row r="42292">
      <c r="B42292" s="31"/>
      <c r="G42292" s="272" t="s">
        <v>1099</v>
      </c>
    </row>
    <row r="42293">
      <c r="B42293" s="31"/>
      <c r="G42293" s="272" t="s">
        <v>1099</v>
      </c>
    </row>
    <row r="42294">
      <c r="B42294" s="31"/>
      <c r="G42294" s="272" t="s">
        <v>1099</v>
      </c>
    </row>
    <row r="42295">
      <c r="B42295" s="31"/>
      <c r="G42295" s="272" t="s">
        <v>1099</v>
      </c>
    </row>
    <row r="42296">
      <c r="B42296" s="31"/>
      <c r="G42296" s="272" t="s">
        <v>1099</v>
      </c>
    </row>
    <row r="42297">
      <c r="B42297" s="31"/>
      <c r="G42297" s="272" t="s">
        <v>1099</v>
      </c>
    </row>
    <row r="42298">
      <c r="B42298" s="31"/>
      <c r="G42298" s="272" t="s">
        <v>1099</v>
      </c>
    </row>
    <row r="42299">
      <c r="B42299" s="31"/>
      <c r="G42299" s="272" t="s">
        <v>1099</v>
      </c>
    </row>
    <row r="42300">
      <c r="B42300" s="31"/>
      <c r="G42300" s="272" t="s">
        <v>1099</v>
      </c>
    </row>
    <row r="42301">
      <c r="B42301" s="31"/>
      <c r="G42301" s="272" t="s">
        <v>1099</v>
      </c>
    </row>
    <row r="42302">
      <c r="B42302" s="31"/>
      <c r="G42302" s="272" t="s">
        <v>1099</v>
      </c>
    </row>
    <row r="42303">
      <c r="B42303" s="31"/>
      <c r="G42303" s="272" t="s">
        <v>1099</v>
      </c>
    </row>
    <row r="42304">
      <c r="B42304" s="31"/>
      <c r="G42304" s="272" t="s">
        <v>1099</v>
      </c>
    </row>
    <row r="42305">
      <c r="B42305" s="31"/>
      <c r="G42305" s="272" t="s">
        <v>1099</v>
      </c>
    </row>
    <row r="42306">
      <c r="B42306" s="31"/>
      <c r="G42306" s="272" t="s">
        <v>1099</v>
      </c>
    </row>
    <row r="42307">
      <c r="B42307" s="31"/>
      <c r="G42307" s="272" t="s">
        <v>1099</v>
      </c>
    </row>
    <row r="42308">
      <c r="B42308" s="31"/>
      <c r="G42308" s="272" t="s">
        <v>1099</v>
      </c>
    </row>
    <row r="42309">
      <c r="B42309" s="31"/>
      <c r="G42309" s="272" t="s">
        <v>1099</v>
      </c>
    </row>
    <row r="42310">
      <c r="B42310" s="31"/>
      <c r="G42310" s="272" t="s">
        <v>1099</v>
      </c>
    </row>
    <row r="42311">
      <c r="B42311" s="31"/>
      <c r="G42311" s="272" t="s">
        <v>1099</v>
      </c>
    </row>
    <row r="42312">
      <c r="B42312" s="31"/>
      <c r="G42312" s="272" t="s">
        <v>1099</v>
      </c>
    </row>
    <row r="42313">
      <c r="B42313" s="31"/>
      <c r="G42313" s="272" t="s">
        <v>1099</v>
      </c>
    </row>
    <row r="42314">
      <c r="B42314" s="31"/>
      <c r="G42314" s="272" t="s">
        <v>1099</v>
      </c>
    </row>
    <row r="42315">
      <c r="B42315" s="31"/>
      <c r="G42315" s="272" t="s">
        <v>1099</v>
      </c>
    </row>
    <row r="42316">
      <c r="B42316" s="31"/>
      <c r="G42316" s="272" t="s">
        <v>1099</v>
      </c>
    </row>
    <row r="42317">
      <c r="B42317" s="31"/>
      <c r="G42317" s="272" t="s">
        <v>1099</v>
      </c>
    </row>
    <row r="42318">
      <c r="B42318" s="31"/>
      <c r="G42318" s="272" t="s">
        <v>1099</v>
      </c>
    </row>
    <row r="42319">
      <c r="B42319" s="31"/>
      <c r="G42319" s="272" t="s">
        <v>1099</v>
      </c>
    </row>
    <row r="42320">
      <c r="B42320" s="31"/>
      <c r="G42320" s="272" t="s">
        <v>1099</v>
      </c>
    </row>
    <row r="42321">
      <c r="B42321" s="31"/>
      <c r="G42321" s="272" t="s">
        <v>1099</v>
      </c>
    </row>
    <row r="42322">
      <c r="B42322" s="31"/>
      <c r="G42322" s="272" t="s">
        <v>1099</v>
      </c>
    </row>
    <row r="42323">
      <c r="B42323" s="31"/>
      <c r="G42323" s="272" t="s">
        <v>1099</v>
      </c>
    </row>
    <row r="42324">
      <c r="B42324" s="31"/>
      <c r="G42324" s="272" t="s">
        <v>1099</v>
      </c>
    </row>
    <row r="42325">
      <c r="B42325" s="31"/>
      <c r="G42325" s="272" t="s">
        <v>1099</v>
      </c>
    </row>
    <row r="42326">
      <c r="B42326" s="31"/>
      <c r="G42326" s="272" t="s">
        <v>1099</v>
      </c>
    </row>
    <row r="42327">
      <c r="B42327" s="31"/>
      <c r="G42327" s="272" t="s">
        <v>1099</v>
      </c>
    </row>
    <row r="42328">
      <c r="B42328" s="31"/>
      <c r="G42328" s="272" t="s">
        <v>1099</v>
      </c>
    </row>
    <row r="42329">
      <c r="B42329" s="31"/>
      <c r="G42329" s="272" t="s">
        <v>1099</v>
      </c>
    </row>
    <row r="42330">
      <c r="B42330" s="31"/>
      <c r="G42330" s="272" t="s">
        <v>1099</v>
      </c>
    </row>
    <row r="42331">
      <c r="B42331" s="31"/>
      <c r="G42331" s="272" t="s">
        <v>1099</v>
      </c>
    </row>
    <row r="42332">
      <c r="B42332" s="31"/>
      <c r="G42332" s="272" t="s">
        <v>1099</v>
      </c>
    </row>
    <row r="42333">
      <c r="B42333" s="31"/>
      <c r="G42333" s="272" t="s">
        <v>1099</v>
      </c>
    </row>
    <row r="42334">
      <c r="B42334" s="31"/>
      <c r="G42334" s="272" t="s">
        <v>1099</v>
      </c>
    </row>
    <row r="42335">
      <c r="B42335" s="31"/>
      <c r="G42335" s="272" t="s">
        <v>1099</v>
      </c>
    </row>
    <row r="42336">
      <c r="B42336" s="31"/>
      <c r="G42336" s="272" t="s">
        <v>1099</v>
      </c>
    </row>
    <row r="42337">
      <c r="B42337" s="31"/>
      <c r="G42337" s="272" t="s">
        <v>1099</v>
      </c>
    </row>
    <row r="42338">
      <c r="B42338" s="31"/>
      <c r="G42338" s="272" t="s">
        <v>1099</v>
      </c>
    </row>
    <row r="42339">
      <c r="B42339" s="31"/>
      <c r="G42339" s="272" t="s">
        <v>1099</v>
      </c>
    </row>
    <row r="42340">
      <c r="B42340" s="31"/>
      <c r="G42340" s="272" t="s">
        <v>1099</v>
      </c>
    </row>
    <row r="42341">
      <c r="B42341" s="31"/>
      <c r="G42341" s="272" t="s">
        <v>1099</v>
      </c>
    </row>
    <row r="42342">
      <c r="B42342" s="31"/>
      <c r="G42342" s="272" t="s">
        <v>1099</v>
      </c>
    </row>
    <row r="42343">
      <c r="B42343" s="31"/>
      <c r="G42343" s="272" t="s">
        <v>1099</v>
      </c>
    </row>
    <row r="42344">
      <c r="B42344" s="31"/>
      <c r="G42344" s="272" t="s">
        <v>1099</v>
      </c>
    </row>
    <row r="42345">
      <c r="B42345" s="31"/>
      <c r="G42345" s="272" t="s">
        <v>1099</v>
      </c>
    </row>
    <row r="42346">
      <c r="B42346" s="31"/>
      <c r="G42346" s="272" t="s">
        <v>1099</v>
      </c>
    </row>
    <row r="42347">
      <c r="B42347" s="31"/>
      <c r="G42347" s="272" t="s">
        <v>1099</v>
      </c>
    </row>
    <row r="42348">
      <c r="B42348" s="31"/>
      <c r="G42348" s="272" t="s">
        <v>1099</v>
      </c>
    </row>
    <row r="42349">
      <c r="B42349" s="31"/>
      <c r="G42349" s="272" t="s">
        <v>1099</v>
      </c>
    </row>
    <row r="42350">
      <c r="B42350" s="31"/>
      <c r="G42350" s="272" t="s">
        <v>1099</v>
      </c>
    </row>
    <row r="42351">
      <c r="B42351" s="31"/>
      <c r="G42351" s="272" t="s">
        <v>1099</v>
      </c>
    </row>
    <row r="42352">
      <c r="B42352" s="31"/>
      <c r="G42352" s="272" t="s">
        <v>1099</v>
      </c>
    </row>
    <row r="42353">
      <c r="B42353" s="31"/>
      <c r="G42353" s="272" t="s">
        <v>1099</v>
      </c>
    </row>
    <row r="42354">
      <c r="B42354" s="31"/>
      <c r="G42354" s="272" t="s">
        <v>1099</v>
      </c>
    </row>
    <row r="42355">
      <c r="B42355" s="31"/>
      <c r="G42355" s="272" t="s">
        <v>1099</v>
      </c>
    </row>
    <row r="42356">
      <c r="B42356" s="31"/>
      <c r="G42356" s="272" t="s">
        <v>1099</v>
      </c>
    </row>
    <row r="42357">
      <c r="B42357" s="31"/>
      <c r="G42357" s="272" t="s">
        <v>1099</v>
      </c>
    </row>
    <row r="42358">
      <c r="B42358" s="31"/>
      <c r="G42358" s="272" t="s">
        <v>1099</v>
      </c>
    </row>
    <row r="42359">
      <c r="B42359" s="31"/>
      <c r="G42359" s="272" t="s">
        <v>1099</v>
      </c>
    </row>
    <row r="42360">
      <c r="B42360" s="31"/>
      <c r="G42360" s="272" t="s">
        <v>1099</v>
      </c>
    </row>
    <row r="42361">
      <c r="B42361" s="31"/>
      <c r="G42361" s="272" t="s">
        <v>1099</v>
      </c>
    </row>
    <row r="42362">
      <c r="B42362" s="31"/>
      <c r="G42362" s="272" t="s">
        <v>1099</v>
      </c>
    </row>
    <row r="42363">
      <c r="B42363" s="31"/>
      <c r="G42363" s="272" t="s">
        <v>1099</v>
      </c>
    </row>
    <row r="42364">
      <c r="B42364" s="31"/>
      <c r="G42364" s="272" t="s">
        <v>1099</v>
      </c>
    </row>
    <row r="42365">
      <c r="B42365" s="31"/>
      <c r="G42365" s="272" t="s">
        <v>1099</v>
      </c>
    </row>
    <row r="42366">
      <c r="B42366" s="31"/>
      <c r="G42366" s="272" t="s">
        <v>1099</v>
      </c>
    </row>
    <row r="42367">
      <c r="B42367" s="31"/>
      <c r="G42367" s="272" t="s">
        <v>1099</v>
      </c>
    </row>
    <row r="42368">
      <c r="B42368" s="31"/>
      <c r="G42368" s="272" t="s">
        <v>1099</v>
      </c>
    </row>
    <row r="42369">
      <c r="B42369" s="31"/>
      <c r="G42369" s="272" t="s">
        <v>1099</v>
      </c>
    </row>
    <row r="42370">
      <c r="B42370" s="31"/>
      <c r="G42370" s="272" t="s">
        <v>1099</v>
      </c>
    </row>
    <row r="42371">
      <c r="B42371" s="31"/>
      <c r="G42371" s="272" t="s">
        <v>1099</v>
      </c>
    </row>
    <row r="42372">
      <c r="B42372" s="31"/>
      <c r="G42372" s="272" t="s">
        <v>1099</v>
      </c>
    </row>
    <row r="42373">
      <c r="B42373" s="31"/>
      <c r="G42373" s="272" t="s">
        <v>1099</v>
      </c>
    </row>
    <row r="42374">
      <c r="B42374" s="31"/>
      <c r="G42374" s="272" t="s">
        <v>1099</v>
      </c>
    </row>
    <row r="42375">
      <c r="B42375" s="31"/>
      <c r="G42375" s="272" t="s">
        <v>1099</v>
      </c>
    </row>
    <row r="42376">
      <c r="B42376" s="31"/>
      <c r="G42376" s="272" t="s">
        <v>1099</v>
      </c>
    </row>
    <row r="42377">
      <c r="B42377" s="31"/>
      <c r="G42377" s="272" t="s">
        <v>1099</v>
      </c>
    </row>
    <row r="42378">
      <c r="B42378" s="31"/>
      <c r="G42378" s="272" t="s">
        <v>1099</v>
      </c>
    </row>
    <row r="42379">
      <c r="B42379" s="31"/>
      <c r="G42379" s="272" t="s">
        <v>1099</v>
      </c>
    </row>
    <row r="42380">
      <c r="B42380" s="31"/>
      <c r="G42380" s="272" t="s">
        <v>1099</v>
      </c>
    </row>
    <row r="42381">
      <c r="B42381" s="31"/>
      <c r="G42381" s="272" t="s">
        <v>1099</v>
      </c>
    </row>
    <row r="42382">
      <c r="B42382" s="31"/>
      <c r="G42382" s="272" t="s">
        <v>1099</v>
      </c>
    </row>
    <row r="42383">
      <c r="B42383" s="31"/>
      <c r="G42383" s="272" t="s">
        <v>1099</v>
      </c>
    </row>
    <row r="42384">
      <c r="B42384" s="31"/>
      <c r="G42384" s="272" t="s">
        <v>1099</v>
      </c>
    </row>
    <row r="42385">
      <c r="B42385" s="31"/>
      <c r="G42385" s="272" t="s">
        <v>1099</v>
      </c>
    </row>
    <row r="42386">
      <c r="B42386" s="31"/>
      <c r="G42386" s="272" t="s">
        <v>1099</v>
      </c>
    </row>
    <row r="42387">
      <c r="B42387" s="31"/>
      <c r="G42387" s="272" t="s">
        <v>1099</v>
      </c>
    </row>
    <row r="42388">
      <c r="B42388" s="31"/>
      <c r="G42388" s="272" t="s">
        <v>1099</v>
      </c>
    </row>
    <row r="42389">
      <c r="B42389" s="31"/>
      <c r="G42389" s="272" t="s">
        <v>1099</v>
      </c>
    </row>
    <row r="42390">
      <c r="B42390" s="31"/>
      <c r="G42390" s="272" t="s">
        <v>1099</v>
      </c>
    </row>
    <row r="42391">
      <c r="B42391" s="31"/>
      <c r="G42391" s="272" t="s">
        <v>1099</v>
      </c>
    </row>
    <row r="42392">
      <c r="B42392" s="31"/>
      <c r="G42392" s="272" t="s">
        <v>1099</v>
      </c>
    </row>
    <row r="42393">
      <c r="B42393" s="31"/>
      <c r="G42393" s="272" t="s">
        <v>1099</v>
      </c>
    </row>
    <row r="42394">
      <c r="B42394" s="31"/>
      <c r="G42394" s="272" t="s">
        <v>1099</v>
      </c>
    </row>
    <row r="42395">
      <c r="B42395" s="31"/>
      <c r="G42395" s="272" t="s">
        <v>1099</v>
      </c>
    </row>
    <row r="42396">
      <c r="B42396" s="31"/>
      <c r="G42396" s="272" t="s">
        <v>1099</v>
      </c>
    </row>
    <row r="42397">
      <c r="B42397" s="31"/>
      <c r="G42397" s="272" t="s">
        <v>1099</v>
      </c>
    </row>
    <row r="42398">
      <c r="B42398" s="31"/>
      <c r="G42398" s="272" t="s">
        <v>1099</v>
      </c>
    </row>
    <row r="42399">
      <c r="B42399" s="31"/>
      <c r="G42399" s="272" t="s">
        <v>1099</v>
      </c>
    </row>
    <row r="42400">
      <c r="B42400" s="31"/>
      <c r="G42400" s="272" t="s">
        <v>1099</v>
      </c>
    </row>
    <row r="42401">
      <c r="B42401" s="31"/>
      <c r="G42401" s="272" t="s">
        <v>1099</v>
      </c>
    </row>
    <row r="42402">
      <c r="B42402" s="31"/>
      <c r="G42402" s="272" t="s">
        <v>1099</v>
      </c>
    </row>
    <row r="42403">
      <c r="B42403" s="31"/>
      <c r="G42403" s="272" t="s">
        <v>1099</v>
      </c>
    </row>
    <row r="42404">
      <c r="B42404" s="31"/>
      <c r="G42404" s="272" t="s">
        <v>1099</v>
      </c>
    </row>
    <row r="42405">
      <c r="B42405" s="31"/>
      <c r="G42405" s="272" t="s">
        <v>1099</v>
      </c>
    </row>
    <row r="42406">
      <c r="B42406" s="31"/>
      <c r="G42406" s="272" t="s">
        <v>1099</v>
      </c>
    </row>
    <row r="42407">
      <c r="B42407" s="31"/>
      <c r="G42407" s="272" t="s">
        <v>1099</v>
      </c>
    </row>
    <row r="42408">
      <c r="B42408" s="31"/>
      <c r="G42408" s="272" t="s">
        <v>1099</v>
      </c>
    </row>
    <row r="42409">
      <c r="B42409" s="31"/>
      <c r="G42409" s="272" t="s">
        <v>1099</v>
      </c>
    </row>
    <row r="42410">
      <c r="B42410" s="31"/>
      <c r="G42410" s="272" t="s">
        <v>1099</v>
      </c>
    </row>
    <row r="42411">
      <c r="B42411" s="31"/>
      <c r="G42411" s="272" t="s">
        <v>1099</v>
      </c>
    </row>
    <row r="42412">
      <c r="B42412" s="31"/>
      <c r="G42412" s="272" t="s">
        <v>1099</v>
      </c>
    </row>
    <row r="42413">
      <c r="B42413" s="31"/>
      <c r="G42413" s="272" t="s">
        <v>1099</v>
      </c>
    </row>
    <row r="42414">
      <c r="B42414" s="31"/>
      <c r="G42414" s="272" t="s">
        <v>1099</v>
      </c>
    </row>
    <row r="42415">
      <c r="B42415" s="31"/>
      <c r="G42415" s="272" t="s">
        <v>1099</v>
      </c>
    </row>
    <row r="42416">
      <c r="B42416" s="31"/>
      <c r="G42416" s="272" t="s">
        <v>1099</v>
      </c>
    </row>
    <row r="42417">
      <c r="B42417" s="31"/>
      <c r="G42417" s="272" t="s">
        <v>1099</v>
      </c>
    </row>
    <row r="42418">
      <c r="B42418" s="31"/>
      <c r="G42418" s="272" t="s">
        <v>1099</v>
      </c>
    </row>
    <row r="42419">
      <c r="B42419" s="31"/>
      <c r="G42419" s="272" t="s">
        <v>1099</v>
      </c>
    </row>
    <row r="42420">
      <c r="B42420" s="31"/>
      <c r="G42420" s="272" t="s">
        <v>1099</v>
      </c>
    </row>
    <row r="42421">
      <c r="B42421" s="31"/>
      <c r="G42421" s="272" t="s">
        <v>1099</v>
      </c>
    </row>
    <row r="42422">
      <c r="B42422" s="31"/>
      <c r="G42422" s="272" t="s">
        <v>1099</v>
      </c>
    </row>
    <row r="42423">
      <c r="B42423" s="31"/>
      <c r="G42423" s="272" t="s">
        <v>1099</v>
      </c>
    </row>
    <row r="42424">
      <c r="B42424" s="31"/>
      <c r="G42424" s="272" t="s">
        <v>1099</v>
      </c>
    </row>
    <row r="42425">
      <c r="B42425" s="31"/>
      <c r="G42425" s="272" t="s">
        <v>1099</v>
      </c>
    </row>
    <row r="42426">
      <c r="B42426" s="31"/>
      <c r="G42426" s="272" t="s">
        <v>1099</v>
      </c>
    </row>
    <row r="42427">
      <c r="B42427" s="31"/>
      <c r="G42427" s="272" t="s">
        <v>1099</v>
      </c>
    </row>
    <row r="42428">
      <c r="B42428" s="31"/>
      <c r="G42428" s="272" t="s">
        <v>1099</v>
      </c>
    </row>
    <row r="42429">
      <c r="B42429" s="31"/>
      <c r="G42429" s="272" t="s">
        <v>1099</v>
      </c>
    </row>
    <row r="42430">
      <c r="B42430" s="31"/>
      <c r="G42430" s="272" t="s">
        <v>1099</v>
      </c>
    </row>
    <row r="42431">
      <c r="B42431" s="31"/>
      <c r="G42431" s="272" t="s">
        <v>1099</v>
      </c>
    </row>
    <row r="42432">
      <c r="B42432" s="31"/>
      <c r="G42432" s="272" t="s">
        <v>1099</v>
      </c>
    </row>
    <row r="42433">
      <c r="B42433" s="31"/>
      <c r="G42433" s="272" t="s">
        <v>1099</v>
      </c>
    </row>
    <row r="42434">
      <c r="B42434" s="31"/>
      <c r="G42434" s="272" t="s">
        <v>1099</v>
      </c>
    </row>
    <row r="42435">
      <c r="B42435" s="31"/>
      <c r="G42435" s="272" t="s">
        <v>1099</v>
      </c>
    </row>
    <row r="42436">
      <c r="B42436" s="31"/>
      <c r="G42436" s="272" t="s">
        <v>1099</v>
      </c>
    </row>
    <row r="42437">
      <c r="B42437" s="31"/>
      <c r="G42437" s="272" t="s">
        <v>1099</v>
      </c>
    </row>
    <row r="42438">
      <c r="B42438" s="31"/>
      <c r="G42438" s="272" t="s">
        <v>1099</v>
      </c>
    </row>
    <row r="42439">
      <c r="B42439" s="31"/>
      <c r="G42439" s="272" t="s">
        <v>1099</v>
      </c>
    </row>
    <row r="42440">
      <c r="B42440" s="31"/>
      <c r="G42440" s="272" t="s">
        <v>1099</v>
      </c>
    </row>
    <row r="42441">
      <c r="B42441" s="31"/>
      <c r="G42441" s="272" t="s">
        <v>1099</v>
      </c>
    </row>
    <row r="42442">
      <c r="B42442" s="31"/>
      <c r="G42442" s="272" t="s">
        <v>1099</v>
      </c>
    </row>
    <row r="42443">
      <c r="B42443" s="31"/>
      <c r="G42443" s="272" t="s">
        <v>1099</v>
      </c>
    </row>
    <row r="42444">
      <c r="B42444" s="31"/>
      <c r="G42444" s="272" t="s">
        <v>1099</v>
      </c>
    </row>
    <row r="42445">
      <c r="B42445" s="31"/>
      <c r="G42445" s="272" t="s">
        <v>1099</v>
      </c>
    </row>
    <row r="42446">
      <c r="B42446" s="31"/>
      <c r="G42446" s="272" t="s">
        <v>1099</v>
      </c>
    </row>
    <row r="42447">
      <c r="B42447" s="31"/>
      <c r="G42447" s="272" t="s">
        <v>1099</v>
      </c>
    </row>
    <row r="42448">
      <c r="B42448" s="31"/>
      <c r="G42448" s="272" t="s">
        <v>1099</v>
      </c>
    </row>
    <row r="42449">
      <c r="B42449" s="31"/>
      <c r="G42449" s="272" t="s">
        <v>1099</v>
      </c>
    </row>
    <row r="42450">
      <c r="B42450" s="31"/>
      <c r="G42450" s="272" t="s">
        <v>1099</v>
      </c>
    </row>
    <row r="42451">
      <c r="B42451" s="31"/>
      <c r="G42451" s="272" t="s">
        <v>1099</v>
      </c>
    </row>
    <row r="42452">
      <c r="B42452" s="31"/>
      <c r="G42452" s="272" t="s">
        <v>1099</v>
      </c>
    </row>
    <row r="42453">
      <c r="B42453" s="31"/>
      <c r="G42453" s="272" t="s">
        <v>1099</v>
      </c>
    </row>
    <row r="42454">
      <c r="B42454" s="31"/>
      <c r="G42454" s="272" t="s">
        <v>1099</v>
      </c>
    </row>
    <row r="42455">
      <c r="B42455" s="31"/>
      <c r="G42455" s="272" t="s">
        <v>1099</v>
      </c>
    </row>
    <row r="42456">
      <c r="B42456" s="31"/>
      <c r="G42456" s="272" t="s">
        <v>1099</v>
      </c>
    </row>
    <row r="42457">
      <c r="B42457" s="31"/>
      <c r="G42457" s="272" t="s">
        <v>1099</v>
      </c>
    </row>
    <row r="42458">
      <c r="B42458" s="31"/>
      <c r="G42458" s="272" t="s">
        <v>1099</v>
      </c>
    </row>
    <row r="42459">
      <c r="B42459" s="31"/>
      <c r="G42459" s="272" t="s">
        <v>1099</v>
      </c>
    </row>
    <row r="42460">
      <c r="B42460" s="31"/>
      <c r="G42460" s="272" t="s">
        <v>1099</v>
      </c>
    </row>
    <row r="42461">
      <c r="B42461" s="31"/>
      <c r="G42461" s="272" t="s">
        <v>1099</v>
      </c>
    </row>
    <row r="42462">
      <c r="B42462" s="31"/>
      <c r="G42462" s="272" t="s">
        <v>1099</v>
      </c>
    </row>
    <row r="42463">
      <c r="B42463" s="31"/>
      <c r="G42463" s="272" t="s">
        <v>1099</v>
      </c>
    </row>
    <row r="42464">
      <c r="B42464" s="31"/>
      <c r="G42464" s="272" t="s">
        <v>1099</v>
      </c>
    </row>
    <row r="42465">
      <c r="B42465" s="31"/>
      <c r="G42465" s="272" t="s">
        <v>1099</v>
      </c>
    </row>
    <row r="42466">
      <c r="B42466" s="31"/>
      <c r="G42466" s="272" t="s">
        <v>1099</v>
      </c>
    </row>
    <row r="42467">
      <c r="B42467" s="31"/>
      <c r="G42467" s="272" t="s">
        <v>1099</v>
      </c>
    </row>
    <row r="42468">
      <c r="B42468" s="31"/>
      <c r="G42468" s="272" t="s">
        <v>1099</v>
      </c>
    </row>
    <row r="42469">
      <c r="B42469" s="31"/>
      <c r="G42469" s="272" t="s">
        <v>1099</v>
      </c>
    </row>
    <row r="42470">
      <c r="B42470" s="31"/>
      <c r="G42470" s="272" t="s">
        <v>1099</v>
      </c>
    </row>
    <row r="42471">
      <c r="B42471" s="31"/>
      <c r="G42471" s="272" t="s">
        <v>1099</v>
      </c>
    </row>
    <row r="42472">
      <c r="B42472" s="31"/>
      <c r="G42472" s="272" t="s">
        <v>1099</v>
      </c>
    </row>
    <row r="42473">
      <c r="B42473" s="31"/>
      <c r="G42473" s="272" t="s">
        <v>1099</v>
      </c>
    </row>
    <row r="42474">
      <c r="B42474" s="31"/>
      <c r="G42474" s="272" t="s">
        <v>1099</v>
      </c>
    </row>
    <row r="42475">
      <c r="B42475" s="31"/>
      <c r="G42475" s="272" t="s">
        <v>1099</v>
      </c>
    </row>
    <row r="42476">
      <c r="B42476" s="31"/>
      <c r="G42476" s="272" t="s">
        <v>1099</v>
      </c>
    </row>
    <row r="42477">
      <c r="B42477" s="31"/>
      <c r="G42477" s="272" t="s">
        <v>1099</v>
      </c>
    </row>
    <row r="42478">
      <c r="B42478" s="31"/>
      <c r="G42478" s="272" t="s">
        <v>1099</v>
      </c>
    </row>
    <row r="42479">
      <c r="B42479" s="31"/>
      <c r="G42479" s="272" t="s">
        <v>1099</v>
      </c>
    </row>
    <row r="42480">
      <c r="B42480" s="31"/>
      <c r="G42480" s="272" t="s">
        <v>1099</v>
      </c>
    </row>
    <row r="42481">
      <c r="B42481" s="31"/>
      <c r="G42481" s="272" t="s">
        <v>1099</v>
      </c>
    </row>
    <row r="42482">
      <c r="B42482" s="31"/>
      <c r="G42482" s="272" t="s">
        <v>1099</v>
      </c>
    </row>
    <row r="42483">
      <c r="B42483" s="31"/>
      <c r="G42483" s="272" t="s">
        <v>1099</v>
      </c>
    </row>
    <row r="42484">
      <c r="B42484" s="31"/>
      <c r="G42484" s="272" t="s">
        <v>1099</v>
      </c>
    </row>
    <row r="42485">
      <c r="B42485" s="31"/>
      <c r="G42485" s="272" t="s">
        <v>1099</v>
      </c>
    </row>
    <row r="42486">
      <c r="B42486" s="31"/>
      <c r="G42486" s="272" t="s">
        <v>1099</v>
      </c>
    </row>
    <row r="42487">
      <c r="B42487" s="31"/>
      <c r="G42487" s="272" t="s">
        <v>1099</v>
      </c>
    </row>
    <row r="42488">
      <c r="B42488" s="31"/>
      <c r="G42488" s="272" t="s">
        <v>1099</v>
      </c>
    </row>
    <row r="42489">
      <c r="B42489" s="31"/>
      <c r="G42489" s="272" t="s">
        <v>1099</v>
      </c>
    </row>
    <row r="42490">
      <c r="B42490" s="31"/>
      <c r="G42490" s="272" t="s">
        <v>1099</v>
      </c>
    </row>
    <row r="42491">
      <c r="B42491" s="31"/>
      <c r="G42491" s="272" t="s">
        <v>1099</v>
      </c>
    </row>
    <row r="42492">
      <c r="B42492" s="31"/>
      <c r="G42492" s="272" t="s">
        <v>1099</v>
      </c>
    </row>
    <row r="42493">
      <c r="B42493" s="31"/>
      <c r="G42493" s="272" t="s">
        <v>1099</v>
      </c>
    </row>
    <row r="42494">
      <c r="B42494" s="31"/>
      <c r="G42494" s="272" t="s">
        <v>1099</v>
      </c>
    </row>
    <row r="42495">
      <c r="B42495" s="31"/>
      <c r="G42495" s="272" t="s">
        <v>1099</v>
      </c>
    </row>
    <row r="42496">
      <c r="B42496" s="31"/>
      <c r="G42496" s="272" t="s">
        <v>1099</v>
      </c>
    </row>
    <row r="42497">
      <c r="B42497" s="31"/>
      <c r="G42497" s="272" t="s">
        <v>1099</v>
      </c>
    </row>
    <row r="42498">
      <c r="B42498" s="31"/>
      <c r="G42498" s="272" t="s">
        <v>1099</v>
      </c>
    </row>
    <row r="42499">
      <c r="B42499" s="31"/>
      <c r="G42499" s="272" t="s">
        <v>1099</v>
      </c>
    </row>
    <row r="42500">
      <c r="B42500" s="31"/>
      <c r="G42500" s="272" t="s">
        <v>1099</v>
      </c>
    </row>
    <row r="42501">
      <c r="B42501" s="31"/>
      <c r="G42501" s="272" t="s">
        <v>1099</v>
      </c>
    </row>
    <row r="42502">
      <c r="B42502" s="31"/>
      <c r="G42502" s="272" t="s">
        <v>1099</v>
      </c>
    </row>
    <row r="42503">
      <c r="B42503" s="31"/>
      <c r="G42503" s="272" t="s">
        <v>1099</v>
      </c>
    </row>
    <row r="42504">
      <c r="B42504" s="31"/>
      <c r="G42504" s="272" t="s">
        <v>1099</v>
      </c>
    </row>
    <row r="42505">
      <c r="B42505" s="31"/>
      <c r="G42505" s="272" t="s">
        <v>1099</v>
      </c>
    </row>
    <row r="42506">
      <c r="B42506" s="31"/>
      <c r="G42506" s="272" t="s">
        <v>1099</v>
      </c>
    </row>
    <row r="42507">
      <c r="B42507" s="31"/>
      <c r="G42507" s="272" t="s">
        <v>1099</v>
      </c>
    </row>
    <row r="42508">
      <c r="B42508" s="31"/>
      <c r="G42508" s="272" t="s">
        <v>1099</v>
      </c>
    </row>
    <row r="42509">
      <c r="B42509" s="31"/>
      <c r="G42509" s="272" t="s">
        <v>1099</v>
      </c>
    </row>
    <row r="42510">
      <c r="B42510" s="31"/>
      <c r="G42510" s="272" t="s">
        <v>1099</v>
      </c>
    </row>
    <row r="42511">
      <c r="B42511" s="31"/>
      <c r="G42511" s="272" t="s">
        <v>1099</v>
      </c>
    </row>
    <row r="42512">
      <c r="B42512" s="31"/>
      <c r="G42512" s="272" t="s">
        <v>1099</v>
      </c>
    </row>
    <row r="42513">
      <c r="B42513" s="31"/>
      <c r="G42513" s="272" t="s">
        <v>1099</v>
      </c>
    </row>
    <row r="42514">
      <c r="B42514" s="31"/>
      <c r="G42514" s="272" t="s">
        <v>1099</v>
      </c>
    </row>
    <row r="42515">
      <c r="B42515" s="31"/>
      <c r="G42515" s="272" t="s">
        <v>1099</v>
      </c>
    </row>
    <row r="42516">
      <c r="B42516" s="31"/>
      <c r="G42516" s="272" t="s">
        <v>1099</v>
      </c>
    </row>
    <row r="42517">
      <c r="B42517" s="31"/>
      <c r="G42517" s="272" t="s">
        <v>1099</v>
      </c>
    </row>
    <row r="42518">
      <c r="B42518" s="31"/>
      <c r="G42518" s="272" t="s">
        <v>1099</v>
      </c>
    </row>
    <row r="42519">
      <c r="B42519" s="31"/>
      <c r="G42519" s="272" t="s">
        <v>1099</v>
      </c>
    </row>
    <row r="42520">
      <c r="B42520" s="31"/>
      <c r="G42520" s="272" t="s">
        <v>1099</v>
      </c>
    </row>
    <row r="42521">
      <c r="B42521" s="31"/>
      <c r="G42521" s="272" t="s">
        <v>1099</v>
      </c>
    </row>
    <row r="42522">
      <c r="B42522" s="31"/>
      <c r="G42522" s="272" t="s">
        <v>1099</v>
      </c>
    </row>
    <row r="42523">
      <c r="B42523" s="31"/>
      <c r="G42523" s="272" t="s">
        <v>1099</v>
      </c>
    </row>
    <row r="42524">
      <c r="B42524" s="31"/>
      <c r="G42524" s="272" t="s">
        <v>1099</v>
      </c>
    </row>
    <row r="42525">
      <c r="B42525" s="31"/>
      <c r="G42525" s="272" t="s">
        <v>1099</v>
      </c>
    </row>
    <row r="42526">
      <c r="B42526" s="31"/>
      <c r="G42526" s="272" t="s">
        <v>1099</v>
      </c>
    </row>
    <row r="42527">
      <c r="B42527" s="31"/>
      <c r="G42527" s="272" t="s">
        <v>1099</v>
      </c>
    </row>
    <row r="42528">
      <c r="B42528" s="31"/>
      <c r="G42528" s="272" t="s">
        <v>1099</v>
      </c>
    </row>
    <row r="42529">
      <c r="B42529" s="31"/>
      <c r="G42529" s="272" t="s">
        <v>1099</v>
      </c>
    </row>
    <row r="42530">
      <c r="B42530" s="31"/>
      <c r="G42530" s="272" t="s">
        <v>1099</v>
      </c>
    </row>
    <row r="42531">
      <c r="B42531" s="31"/>
      <c r="G42531" s="272" t="s">
        <v>1099</v>
      </c>
    </row>
    <row r="42532">
      <c r="B42532" s="31"/>
      <c r="G42532" s="272" t="s">
        <v>1099</v>
      </c>
    </row>
    <row r="42533">
      <c r="B42533" s="31"/>
      <c r="G42533" s="272" t="s">
        <v>1099</v>
      </c>
    </row>
    <row r="42534">
      <c r="B42534" s="31"/>
      <c r="G42534" s="272" t="s">
        <v>1099</v>
      </c>
    </row>
    <row r="42535">
      <c r="B42535" s="31"/>
      <c r="G42535" s="272" t="s">
        <v>1099</v>
      </c>
    </row>
    <row r="42536">
      <c r="B42536" s="31"/>
      <c r="G42536" s="272" t="s">
        <v>1099</v>
      </c>
    </row>
    <row r="42537">
      <c r="B42537" s="31"/>
      <c r="G42537" s="272" t="s">
        <v>1099</v>
      </c>
    </row>
    <row r="42538">
      <c r="B42538" s="31"/>
      <c r="G42538" s="272" t="s">
        <v>1099</v>
      </c>
    </row>
    <row r="42539">
      <c r="B42539" s="31"/>
      <c r="G42539" s="272" t="s">
        <v>1099</v>
      </c>
    </row>
    <row r="42540">
      <c r="B42540" s="31"/>
      <c r="G42540" s="272" t="s">
        <v>1099</v>
      </c>
    </row>
    <row r="42541">
      <c r="B42541" s="31"/>
      <c r="G42541" s="272" t="s">
        <v>1099</v>
      </c>
    </row>
    <row r="42542">
      <c r="B42542" s="31"/>
      <c r="G42542" s="272" t="s">
        <v>1099</v>
      </c>
    </row>
    <row r="42543">
      <c r="B42543" s="31"/>
      <c r="G42543" s="272" t="s">
        <v>1099</v>
      </c>
    </row>
    <row r="42544">
      <c r="B42544" s="31"/>
      <c r="G42544" s="272" t="s">
        <v>1099</v>
      </c>
    </row>
    <row r="42545">
      <c r="B42545" s="31"/>
      <c r="G42545" s="272" t="s">
        <v>1099</v>
      </c>
    </row>
    <row r="42546">
      <c r="B42546" s="31"/>
      <c r="G42546" s="272" t="s">
        <v>1099</v>
      </c>
    </row>
    <row r="42547">
      <c r="B42547" s="31"/>
      <c r="G42547" s="272" t="s">
        <v>1099</v>
      </c>
    </row>
    <row r="42548">
      <c r="B42548" s="31"/>
      <c r="G42548" s="272" t="s">
        <v>1099</v>
      </c>
    </row>
    <row r="42549">
      <c r="B42549" s="31"/>
      <c r="G42549" s="272" t="s">
        <v>1099</v>
      </c>
    </row>
    <row r="42550">
      <c r="B42550" s="31"/>
      <c r="G42550" s="272" t="s">
        <v>1099</v>
      </c>
    </row>
    <row r="42551">
      <c r="B42551" s="31"/>
      <c r="G42551" s="272" t="s">
        <v>1099</v>
      </c>
    </row>
    <row r="42552">
      <c r="B42552" s="31"/>
      <c r="G42552" s="272" t="s">
        <v>1099</v>
      </c>
    </row>
    <row r="42553">
      <c r="B42553" s="31"/>
      <c r="G42553" s="272" t="s">
        <v>1099</v>
      </c>
    </row>
    <row r="42554">
      <c r="B42554" s="31"/>
      <c r="G42554" s="272" t="s">
        <v>1099</v>
      </c>
    </row>
    <row r="42555">
      <c r="B42555" s="31"/>
      <c r="G42555" s="272" t="s">
        <v>1099</v>
      </c>
    </row>
    <row r="42556">
      <c r="B42556" s="31"/>
      <c r="G42556" s="272" t="s">
        <v>1099</v>
      </c>
    </row>
    <row r="42557">
      <c r="B42557" s="31"/>
      <c r="G42557" s="272" t="s">
        <v>1099</v>
      </c>
    </row>
    <row r="42558">
      <c r="B42558" s="31"/>
      <c r="G42558" s="272" t="s">
        <v>1099</v>
      </c>
    </row>
    <row r="42559">
      <c r="B42559" s="31"/>
      <c r="G42559" s="272" t="s">
        <v>1099</v>
      </c>
    </row>
    <row r="42560">
      <c r="B42560" s="31"/>
      <c r="G42560" s="272" t="s">
        <v>1099</v>
      </c>
    </row>
    <row r="42561">
      <c r="B42561" s="31"/>
      <c r="G42561" s="272" t="s">
        <v>1099</v>
      </c>
    </row>
    <row r="42562">
      <c r="B42562" s="31"/>
      <c r="G42562" s="272" t="s">
        <v>1099</v>
      </c>
    </row>
    <row r="42563">
      <c r="B42563" s="31"/>
      <c r="G42563" s="272" t="s">
        <v>1099</v>
      </c>
    </row>
    <row r="42564">
      <c r="B42564" s="31"/>
      <c r="G42564" s="272" t="s">
        <v>1099</v>
      </c>
    </row>
    <row r="42565">
      <c r="B42565" s="31"/>
      <c r="G42565" s="272" t="s">
        <v>1099</v>
      </c>
    </row>
    <row r="42566">
      <c r="B42566" s="31"/>
      <c r="G42566" s="272" t="s">
        <v>1099</v>
      </c>
    </row>
    <row r="42567">
      <c r="B42567" s="31"/>
      <c r="G42567" s="272" t="s">
        <v>1099</v>
      </c>
    </row>
    <row r="42568">
      <c r="B42568" s="31"/>
      <c r="G42568" s="272" t="s">
        <v>1099</v>
      </c>
    </row>
    <row r="42569">
      <c r="B42569" s="31"/>
      <c r="G42569" s="272" t="s">
        <v>1099</v>
      </c>
    </row>
    <row r="42570">
      <c r="B42570" s="31"/>
      <c r="G42570" s="272" t="s">
        <v>1099</v>
      </c>
    </row>
    <row r="42571">
      <c r="B42571" s="31"/>
      <c r="G42571" s="272" t="s">
        <v>1099</v>
      </c>
    </row>
    <row r="42572">
      <c r="B42572" s="31"/>
      <c r="G42572" s="272" t="s">
        <v>1099</v>
      </c>
    </row>
    <row r="42573">
      <c r="B42573" s="31"/>
      <c r="G42573" s="272" t="s">
        <v>1099</v>
      </c>
    </row>
    <row r="42574">
      <c r="B42574" s="31"/>
      <c r="G42574" s="272" t="s">
        <v>1099</v>
      </c>
    </row>
    <row r="42575">
      <c r="B42575" s="31"/>
      <c r="G42575" s="272" t="s">
        <v>1099</v>
      </c>
    </row>
    <row r="42576">
      <c r="B42576" s="31"/>
      <c r="G42576" s="272" t="s">
        <v>1099</v>
      </c>
    </row>
    <row r="42577">
      <c r="B42577" s="31"/>
      <c r="G42577" s="272" t="s">
        <v>1099</v>
      </c>
    </row>
    <row r="42578">
      <c r="B42578" s="31"/>
      <c r="G42578" s="272" t="s">
        <v>1099</v>
      </c>
    </row>
    <row r="42579">
      <c r="B42579" s="31"/>
      <c r="G42579" s="272" t="s">
        <v>1099</v>
      </c>
    </row>
    <row r="42580">
      <c r="B42580" s="31"/>
      <c r="G42580" s="272" t="s">
        <v>1099</v>
      </c>
    </row>
    <row r="42581">
      <c r="B42581" s="31"/>
      <c r="G42581" s="272" t="s">
        <v>1099</v>
      </c>
    </row>
    <row r="42582">
      <c r="B42582" s="31"/>
      <c r="G42582" s="272" t="s">
        <v>1099</v>
      </c>
    </row>
    <row r="42583">
      <c r="B42583" s="31"/>
      <c r="G42583" s="272" t="s">
        <v>1099</v>
      </c>
    </row>
    <row r="42584">
      <c r="B42584" s="31"/>
      <c r="G42584" s="272" t="s">
        <v>1099</v>
      </c>
    </row>
    <row r="42585">
      <c r="B42585" s="31"/>
      <c r="G42585" s="272" t="s">
        <v>1099</v>
      </c>
    </row>
    <row r="42586">
      <c r="B42586" s="31"/>
      <c r="G42586" s="272" t="s">
        <v>1099</v>
      </c>
    </row>
    <row r="42587">
      <c r="B42587" s="31"/>
      <c r="G42587" s="272" t="s">
        <v>1099</v>
      </c>
    </row>
    <row r="42588">
      <c r="B42588" s="31"/>
      <c r="G42588" s="272" t="s">
        <v>1099</v>
      </c>
    </row>
    <row r="42589">
      <c r="B42589" s="31"/>
      <c r="G42589" s="272" t="s">
        <v>1099</v>
      </c>
    </row>
    <row r="42590">
      <c r="B42590" s="31"/>
      <c r="G42590" s="272" t="s">
        <v>1099</v>
      </c>
    </row>
    <row r="42591">
      <c r="B42591" s="31"/>
      <c r="G42591" s="272" t="s">
        <v>1099</v>
      </c>
    </row>
    <row r="42592">
      <c r="B42592" s="31"/>
      <c r="G42592" s="272" t="s">
        <v>1099</v>
      </c>
    </row>
    <row r="42593">
      <c r="B42593" s="31"/>
      <c r="G42593" s="272" t="s">
        <v>1099</v>
      </c>
    </row>
    <row r="42594">
      <c r="B42594" s="31"/>
      <c r="G42594" s="272" t="s">
        <v>1099</v>
      </c>
    </row>
    <row r="42595">
      <c r="B42595" s="31"/>
      <c r="G42595" s="272" t="s">
        <v>1099</v>
      </c>
    </row>
    <row r="42596">
      <c r="B42596" s="31"/>
      <c r="G42596" s="272" t="s">
        <v>1099</v>
      </c>
    </row>
    <row r="42597">
      <c r="B42597" s="31"/>
      <c r="G42597" s="272" t="s">
        <v>1099</v>
      </c>
    </row>
    <row r="42598">
      <c r="B42598" s="31"/>
      <c r="G42598" s="272" t="s">
        <v>1099</v>
      </c>
    </row>
    <row r="42599">
      <c r="B42599" s="31"/>
      <c r="G42599" s="272" t="s">
        <v>1099</v>
      </c>
    </row>
    <row r="42600">
      <c r="B42600" s="31"/>
      <c r="G42600" s="272" t="s">
        <v>1099</v>
      </c>
    </row>
    <row r="42601">
      <c r="B42601" s="31"/>
      <c r="G42601" s="272" t="s">
        <v>1099</v>
      </c>
    </row>
    <row r="42602">
      <c r="B42602" s="31"/>
      <c r="G42602" s="272" t="s">
        <v>1099</v>
      </c>
    </row>
    <row r="42603">
      <c r="B42603" s="31"/>
      <c r="G42603" s="272" t="s">
        <v>1099</v>
      </c>
    </row>
    <row r="42604">
      <c r="B42604" s="31"/>
      <c r="G42604" s="272" t="s">
        <v>1099</v>
      </c>
    </row>
    <row r="42605">
      <c r="B42605" s="31"/>
      <c r="G42605" s="272" t="s">
        <v>1099</v>
      </c>
    </row>
    <row r="42606">
      <c r="B42606" s="31"/>
      <c r="G42606" s="272" t="s">
        <v>1099</v>
      </c>
    </row>
    <row r="42607">
      <c r="B42607" s="31"/>
      <c r="G42607" s="272" t="s">
        <v>1099</v>
      </c>
    </row>
    <row r="42608">
      <c r="B42608" s="31"/>
      <c r="G42608" s="272" t="s">
        <v>1099</v>
      </c>
    </row>
    <row r="42609">
      <c r="B42609" s="31"/>
      <c r="G42609" s="272" t="s">
        <v>1099</v>
      </c>
    </row>
    <row r="42610">
      <c r="B42610" s="31"/>
      <c r="G42610" s="272" t="s">
        <v>1099</v>
      </c>
    </row>
    <row r="42611">
      <c r="B42611" s="31"/>
      <c r="G42611" s="272" t="s">
        <v>1099</v>
      </c>
    </row>
    <row r="42612">
      <c r="B42612" s="31"/>
      <c r="G42612" s="272" t="s">
        <v>1099</v>
      </c>
    </row>
    <row r="42613">
      <c r="B42613" s="31"/>
      <c r="G42613" s="272" t="s">
        <v>1099</v>
      </c>
    </row>
    <row r="42614">
      <c r="B42614" s="31"/>
      <c r="G42614" s="272" t="s">
        <v>1099</v>
      </c>
    </row>
    <row r="42615">
      <c r="B42615" s="31"/>
      <c r="G42615" s="272" t="s">
        <v>1099</v>
      </c>
    </row>
    <row r="42616">
      <c r="B42616" s="31"/>
      <c r="G42616" s="272" t="s">
        <v>1099</v>
      </c>
    </row>
    <row r="42617">
      <c r="B42617" s="31"/>
      <c r="G42617" s="272" t="s">
        <v>1099</v>
      </c>
    </row>
    <row r="42618">
      <c r="B42618" s="31"/>
      <c r="G42618" s="272" t="s">
        <v>1099</v>
      </c>
    </row>
    <row r="42619">
      <c r="B42619" s="31"/>
      <c r="G42619" s="272" t="s">
        <v>1099</v>
      </c>
    </row>
    <row r="42620">
      <c r="B42620" s="31"/>
      <c r="G42620" s="272" t="s">
        <v>1099</v>
      </c>
    </row>
    <row r="42621">
      <c r="B42621" s="31"/>
      <c r="G42621" s="272" t="s">
        <v>1099</v>
      </c>
    </row>
    <row r="42622">
      <c r="B42622" s="31"/>
      <c r="G42622" s="272" t="s">
        <v>1099</v>
      </c>
    </row>
    <row r="42623">
      <c r="B42623" s="31"/>
      <c r="G42623" s="272" t="s">
        <v>1099</v>
      </c>
    </row>
    <row r="42624">
      <c r="B42624" s="31"/>
      <c r="G42624" s="272" t="s">
        <v>1099</v>
      </c>
    </row>
    <row r="42625">
      <c r="B42625" s="31"/>
      <c r="G42625" s="272" t="s">
        <v>1099</v>
      </c>
    </row>
    <row r="42626">
      <c r="B42626" s="31"/>
      <c r="G42626" s="272" t="s">
        <v>1099</v>
      </c>
    </row>
    <row r="42627">
      <c r="B42627" s="31"/>
      <c r="G42627" s="272" t="s">
        <v>1099</v>
      </c>
    </row>
    <row r="42628">
      <c r="B42628" s="31"/>
      <c r="G42628" s="272" t="s">
        <v>1099</v>
      </c>
    </row>
    <row r="42629">
      <c r="B42629" s="31"/>
      <c r="G42629" s="272" t="s">
        <v>1099</v>
      </c>
    </row>
    <row r="42630">
      <c r="B42630" s="31"/>
      <c r="G42630" s="272" t="s">
        <v>1099</v>
      </c>
    </row>
    <row r="42631">
      <c r="B42631" s="31"/>
      <c r="G42631" s="272" t="s">
        <v>1099</v>
      </c>
    </row>
    <row r="42632">
      <c r="B42632" s="31"/>
      <c r="G42632" s="272" t="s">
        <v>1099</v>
      </c>
    </row>
    <row r="42633">
      <c r="B42633" s="31"/>
      <c r="G42633" s="272" t="s">
        <v>1099</v>
      </c>
    </row>
    <row r="42634">
      <c r="B42634" s="31"/>
      <c r="G42634" s="272" t="s">
        <v>1099</v>
      </c>
    </row>
    <row r="42635">
      <c r="B42635" s="31"/>
      <c r="G42635" s="272" t="s">
        <v>1099</v>
      </c>
    </row>
    <row r="42636">
      <c r="B42636" s="31"/>
      <c r="G42636" s="272" t="s">
        <v>1099</v>
      </c>
    </row>
    <row r="42637">
      <c r="B42637" s="31"/>
      <c r="G42637" s="272" t="s">
        <v>1099</v>
      </c>
    </row>
    <row r="42638">
      <c r="B42638" s="31"/>
      <c r="G42638" s="272" t="s">
        <v>1099</v>
      </c>
    </row>
    <row r="42639">
      <c r="B42639" s="31"/>
      <c r="G42639" s="272" t="s">
        <v>1099</v>
      </c>
    </row>
    <row r="42640">
      <c r="B42640" s="31"/>
      <c r="G42640" s="272" t="s">
        <v>1099</v>
      </c>
    </row>
    <row r="42641">
      <c r="B42641" s="31"/>
      <c r="G42641" s="272" t="s">
        <v>1099</v>
      </c>
    </row>
    <row r="42642">
      <c r="B42642" s="31"/>
      <c r="G42642" s="272" t="s">
        <v>1099</v>
      </c>
    </row>
    <row r="42643">
      <c r="B42643" s="31"/>
      <c r="G42643" s="272" t="s">
        <v>1099</v>
      </c>
    </row>
    <row r="42644">
      <c r="B42644" s="31"/>
      <c r="G42644" s="272" t="s">
        <v>1099</v>
      </c>
    </row>
    <row r="42645">
      <c r="B42645" s="31"/>
      <c r="G42645" s="272" t="s">
        <v>1099</v>
      </c>
    </row>
    <row r="42646">
      <c r="B42646" s="31"/>
      <c r="G42646" s="272" t="s">
        <v>1099</v>
      </c>
    </row>
    <row r="42647">
      <c r="B42647" s="31"/>
      <c r="G42647" s="272" t="s">
        <v>1099</v>
      </c>
    </row>
    <row r="42648">
      <c r="B42648" s="31"/>
      <c r="G42648" s="272" t="s">
        <v>1099</v>
      </c>
    </row>
    <row r="42649">
      <c r="B42649" s="31"/>
      <c r="G42649" s="272" t="s">
        <v>1099</v>
      </c>
    </row>
    <row r="42650">
      <c r="B42650" s="31"/>
      <c r="G42650" s="272" t="s">
        <v>1099</v>
      </c>
    </row>
    <row r="42651">
      <c r="B42651" s="31"/>
      <c r="G42651" s="272" t="s">
        <v>1099</v>
      </c>
    </row>
    <row r="42652">
      <c r="B42652" s="31"/>
      <c r="G42652" s="272" t="s">
        <v>1099</v>
      </c>
    </row>
    <row r="42653">
      <c r="B42653" s="31"/>
      <c r="G42653" s="272" t="s">
        <v>1099</v>
      </c>
    </row>
    <row r="42654">
      <c r="B42654" s="31"/>
      <c r="G42654" s="272" t="s">
        <v>1099</v>
      </c>
    </row>
    <row r="42655">
      <c r="B42655" s="31"/>
      <c r="G42655" s="272" t="s">
        <v>1099</v>
      </c>
    </row>
    <row r="42656">
      <c r="B42656" s="31"/>
      <c r="G42656" s="272" t="s">
        <v>1099</v>
      </c>
    </row>
    <row r="42657">
      <c r="B42657" s="31"/>
      <c r="G42657" s="272" t="s">
        <v>1099</v>
      </c>
    </row>
    <row r="42658">
      <c r="B42658" s="31"/>
      <c r="G42658" s="272" t="s">
        <v>1099</v>
      </c>
    </row>
    <row r="42659">
      <c r="B42659" s="31"/>
      <c r="G42659" s="272" t="s">
        <v>1099</v>
      </c>
    </row>
    <row r="42660">
      <c r="B42660" s="31"/>
      <c r="G42660" s="272" t="s">
        <v>1099</v>
      </c>
    </row>
    <row r="42661">
      <c r="B42661" s="31"/>
      <c r="G42661" s="272" t="s">
        <v>1099</v>
      </c>
    </row>
    <row r="42662">
      <c r="B42662" s="31"/>
      <c r="G42662" s="272" t="s">
        <v>1099</v>
      </c>
    </row>
    <row r="42663">
      <c r="B42663" s="31"/>
      <c r="G42663" s="272" t="s">
        <v>1099</v>
      </c>
    </row>
    <row r="42664">
      <c r="B42664" s="31"/>
      <c r="G42664" s="272" t="s">
        <v>1099</v>
      </c>
    </row>
    <row r="42665">
      <c r="B42665" s="31"/>
      <c r="G42665" s="272" t="s">
        <v>1099</v>
      </c>
    </row>
    <row r="42666">
      <c r="B42666" s="31"/>
      <c r="G42666" s="272" t="s">
        <v>1099</v>
      </c>
    </row>
    <row r="42667">
      <c r="B42667" s="31"/>
      <c r="G42667" s="272" t="s">
        <v>1099</v>
      </c>
    </row>
    <row r="42668">
      <c r="B42668" s="31"/>
      <c r="G42668" s="272" t="s">
        <v>1099</v>
      </c>
    </row>
    <row r="42669">
      <c r="B42669" s="31"/>
      <c r="G42669" s="272" t="s">
        <v>1099</v>
      </c>
    </row>
    <row r="42670">
      <c r="B42670" s="31"/>
      <c r="G42670" s="272" t="s">
        <v>1099</v>
      </c>
    </row>
    <row r="42671">
      <c r="B42671" s="31"/>
      <c r="G42671" s="272" t="s">
        <v>1099</v>
      </c>
    </row>
    <row r="42672">
      <c r="B42672" s="31"/>
      <c r="G42672" s="272" t="s">
        <v>1099</v>
      </c>
    </row>
    <row r="42673">
      <c r="B42673" s="31"/>
      <c r="G42673" s="272" t="s">
        <v>1099</v>
      </c>
    </row>
    <row r="42674">
      <c r="B42674" s="31"/>
      <c r="G42674" s="272" t="s">
        <v>1099</v>
      </c>
    </row>
    <row r="42675">
      <c r="B42675" s="31"/>
      <c r="G42675" s="272" t="s">
        <v>1099</v>
      </c>
    </row>
    <row r="42676">
      <c r="B42676" s="31"/>
      <c r="G42676" s="272" t="s">
        <v>1099</v>
      </c>
    </row>
    <row r="42677">
      <c r="B42677" s="31"/>
      <c r="G42677" s="272" t="s">
        <v>1099</v>
      </c>
    </row>
    <row r="42678">
      <c r="B42678" s="31"/>
      <c r="G42678" s="272" t="s">
        <v>1099</v>
      </c>
    </row>
    <row r="42679">
      <c r="B42679" s="31"/>
      <c r="G42679" s="272" t="s">
        <v>1099</v>
      </c>
    </row>
    <row r="42680">
      <c r="B42680" s="31"/>
      <c r="G42680" s="272" t="s">
        <v>1099</v>
      </c>
    </row>
    <row r="42681">
      <c r="B42681" s="31"/>
      <c r="G42681" s="272" t="s">
        <v>1099</v>
      </c>
    </row>
    <row r="42682">
      <c r="B42682" s="31"/>
      <c r="G42682" s="272" t="s">
        <v>1099</v>
      </c>
    </row>
    <row r="42683">
      <c r="B42683" s="31"/>
      <c r="G42683" s="272" t="s">
        <v>1099</v>
      </c>
    </row>
    <row r="42684">
      <c r="B42684" s="31"/>
      <c r="G42684" s="272" t="s">
        <v>1099</v>
      </c>
    </row>
    <row r="42685">
      <c r="B42685" s="31"/>
      <c r="G42685" s="272" t="s">
        <v>1099</v>
      </c>
    </row>
    <row r="42686">
      <c r="B42686" s="31"/>
      <c r="G42686" s="272" t="s">
        <v>1099</v>
      </c>
    </row>
    <row r="42687">
      <c r="B42687" s="31"/>
      <c r="G42687" s="272" t="s">
        <v>1099</v>
      </c>
    </row>
    <row r="42688">
      <c r="B42688" s="31"/>
      <c r="G42688" s="272" t="s">
        <v>1099</v>
      </c>
    </row>
    <row r="42689">
      <c r="B42689" s="31"/>
      <c r="G42689" s="272" t="s">
        <v>1099</v>
      </c>
    </row>
    <row r="42690">
      <c r="B42690" s="31"/>
      <c r="G42690" s="272" t="s">
        <v>1099</v>
      </c>
    </row>
    <row r="42691">
      <c r="B42691" s="31"/>
      <c r="G42691" s="272" t="s">
        <v>1099</v>
      </c>
    </row>
    <row r="42692">
      <c r="B42692" s="31"/>
      <c r="G42692" s="272" t="s">
        <v>1099</v>
      </c>
    </row>
    <row r="42693">
      <c r="B42693" s="31"/>
      <c r="G42693" s="272" t="s">
        <v>1099</v>
      </c>
    </row>
    <row r="42694">
      <c r="B42694" s="31"/>
      <c r="G42694" s="272" t="s">
        <v>1099</v>
      </c>
    </row>
    <row r="42695">
      <c r="B42695" s="31"/>
      <c r="G42695" s="272" t="s">
        <v>1099</v>
      </c>
    </row>
    <row r="42696">
      <c r="B42696" s="31"/>
      <c r="G42696" s="272" t="s">
        <v>1099</v>
      </c>
    </row>
    <row r="42697">
      <c r="B42697" s="31"/>
      <c r="G42697" s="272" t="s">
        <v>1099</v>
      </c>
    </row>
    <row r="42698">
      <c r="B42698" s="31"/>
      <c r="G42698" s="272" t="s">
        <v>1099</v>
      </c>
    </row>
    <row r="42699">
      <c r="B42699" s="31"/>
      <c r="G42699" s="272" t="s">
        <v>1099</v>
      </c>
    </row>
    <row r="42700">
      <c r="B42700" s="31"/>
      <c r="G42700" s="272" t="s">
        <v>1099</v>
      </c>
    </row>
    <row r="42701">
      <c r="B42701" s="31"/>
      <c r="G42701" s="272" t="s">
        <v>1099</v>
      </c>
    </row>
    <row r="42702">
      <c r="B42702" s="31"/>
      <c r="G42702" s="272" t="s">
        <v>1099</v>
      </c>
    </row>
    <row r="42703">
      <c r="B42703" s="31"/>
      <c r="G42703" s="272" t="s">
        <v>1099</v>
      </c>
    </row>
    <row r="42704">
      <c r="B42704" s="31"/>
      <c r="G42704" s="272" t="s">
        <v>1099</v>
      </c>
    </row>
    <row r="42705">
      <c r="B42705" s="31"/>
      <c r="G42705" s="272" t="s">
        <v>1099</v>
      </c>
    </row>
    <row r="42706">
      <c r="B42706" s="31"/>
      <c r="G42706" s="272" t="s">
        <v>1099</v>
      </c>
    </row>
    <row r="42707">
      <c r="B42707" s="31"/>
      <c r="G42707" s="272" t="s">
        <v>1099</v>
      </c>
    </row>
    <row r="42708">
      <c r="B42708" s="31"/>
      <c r="G42708" s="272" t="s">
        <v>1099</v>
      </c>
    </row>
    <row r="42709">
      <c r="B42709" s="31"/>
      <c r="G42709" s="272" t="s">
        <v>1099</v>
      </c>
    </row>
    <row r="42710">
      <c r="B42710" s="31"/>
      <c r="G42710" s="272" t="s">
        <v>1099</v>
      </c>
    </row>
    <row r="42711">
      <c r="B42711" s="31"/>
      <c r="G42711" s="272" t="s">
        <v>1099</v>
      </c>
    </row>
    <row r="42712">
      <c r="B42712" s="31"/>
      <c r="G42712" s="272" t="s">
        <v>1099</v>
      </c>
    </row>
    <row r="42713">
      <c r="B42713" s="31"/>
      <c r="G42713" s="272" t="s">
        <v>1099</v>
      </c>
    </row>
    <row r="42714">
      <c r="B42714" s="31"/>
      <c r="G42714" s="272" t="s">
        <v>1099</v>
      </c>
    </row>
    <row r="42715">
      <c r="B42715" s="31"/>
      <c r="G42715" s="272" t="s">
        <v>1099</v>
      </c>
    </row>
    <row r="42716">
      <c r="B42716" s="31"/>
      <c r="G42716" s="272" t="s">
        <v>1099</v>
      </c>
    </row>
    <row r="42717">
      <c r="B42717" s="31"/>
      <c r="G42717" s="272" t="s">
        <v>1099</v>
      </c>
    </row>
    <row r="42718">
      <c r="B42718" s="31"/>
      <c r="G42718" s="272" t="s">
        <v>1099</v>
      </c>
    </row>
    <row r="42719">
      <c r="B42719" s="31"/>
      <c r="G42719" s="272" t="s">
        <v>1099</v>
      </c>
    </row>
    <row r="42720">
      <c r="B42720" s="31"/>
      <c r="G42720" s="272" t="s">
        <v>1099</v>
      </c>
    </row>
    <row r="42721">
      <c r="B42721" s="31"/>
      <c r="G42721" s="272" t="s">
        <v>1099</v>
      </c>
    </row>
    <row r="42722">
      <c r="B42722" s="31"/>
      <c r="G42722" s="272" t="s">
        <v>1099</v>
      </c>
    </row>
    <row r="42723">
      <c r="B42723" s="31"/>
      <c r="G42723" s="272" t="s">
        <v>1099</v>
      </c>
    </row>
    <row r="42724">
      <c r="B42724" s="31"/>
      <c r="G42724" s="272" t="s">
        <v>1099</v>
      </c>
    </row>
    <row r="42725">
      <c r="B42725" s="31"/>
      <c r="G42725" s="272" t="s">
        <v>1099</v>
      </c>
    </row>
    <row r="42726">
      <c r="B42726" s="31"/>
      <c r="G42726" s="272" t="s">
        <v>1099</v>
      </c>
    </row>
    <row r="42727">
      <c r="B42727" s="31"/>
      <c r="G42727" s="272" t="s">
        <v>1099</v>
      </c>
    </row>
    <row r="42728">
      <c r="B42728" s="31"/>
      <c r="G42728" s="272" t="s">
        <v>1099</v>
      </c>
    </row>
    <row r="42729">
      <c r="B42729" s="31"/>
      <c r="G42729" s="272" t="s">
        <v>1099</v>
      </c>
    </row>
    <row r="42730">
      <c r="B42730" s="31"/>
      <c r="G42730" s="272" t="s">
        <v>1099</v>
      </c>
    </row>
    <row r="42731">
      <c r="B42731" s="31"/>
      <c r="G42731" s="272" t="s">
        <v>1099</v>
      </c>
    </row>
    <row r="42732">
      <c r="B42732" s="31"/>
      <c r="G42732" s="272" t="s">
        <v>1099</v>
      </c>
    </row>
    <row r="42733">
      <c r="B42733" s="31"/>
      <c r="G42733" s="272" t="s">
        <v>1099</v>
      </c>
    </row>
    <row r="42734">
      <c r="B42734" s="31"/>
      <c r="G42734" s="272" t="s">
        <v>1099</v>
      </c>
    </row>
    <row r="42735">
      <c r="B42735" s="31"/>
      <c r="G42735" s="272" t="s">
        <v>1099</v>
      </c>
    </row>
    <row r="42736">
      <c r="B42736" s="31"/>
      <c r="G42736" s="272" t="s">
        <v>1099</v>
      </c>
    </row>
    <row r="42737">
      <c r="B42737" s="31"/>
      <c r="G42737" s="272" t="s">
        <v>1099</v>
      </c>
    </row>
    <row r="42738">
      <c r="B42738" s="31"/>
      <c r="G42738" s="272" t="s">
        <v>1099</v>
      </c>
    </row>
    <row r="42739">
      <c r="B42739" s="31"/>
      <c r="G42739" s="272" t="s">
        <v>1099</v>
      </c>
    </row>
    <row r="42740">
      <c r="B42740" s="31"/>
      <c r="G42740" s="272" t="s">
        <v>1099</v>
      </c>
    </row>
    <row r="42741">
      <c r="B42741" s="31"/>
      <c r="G42741" s="272" t="s">
        <v>1099</v>
      </c>
    </row>
    <row r="42742">
      <c r="B42742" s="31"/>
      <c r="G42742" s="272" t="s">
        <v>1099</v>
      </c>
    </row>
    <row r="42743">
      <c r="B42743" s="31"/>
      <c r="G42743" s="272" t="s">
        <v>1099</v>
      </c>
    </row>
    <row r="42744">
      <c r="B42744" s="31"/>
      <c r="G42744" s="272" t="s">
        <v>1099</v>
      </c>
    </row>
    <row r="42745">
      <c r="B42745" s="31"/>
      <c r="G42745" s="272" t="s">
        <v>1099</v>
      </c>
    </row>
    <row r="42746">
      <c r="B42746" s="31"/>
      <c r="G42746" s="272" t="s">
        <v>1099</v>
      </c>
    </row>
    <row r="42747">
      <c r="B42747" s="31"/>
      <c r="G42747" s="272" t="s">
        <v>1099</v>
      </c>
    </row>
    <row r="42748">
      <c r="B42748" s="31"/>
      <c r="G42748" s="272" t="s">
        <v>1099</v>
      </c>
    </row>
    <row r="42749">
      <c r="B42749" s="31"/>
      <c r="G42749" s="272" t="s">
        <v>1099</v>
      </c>
    </row>
    <row r="42750">
      <c r="B42750" s="31"/>
      <c r="G42750" s="272" t="s">
        <v>1099</v>
      </c>
    </row>
    <row r="42751">
      <c r="B42751" s="31"/>
      <c r="G42751" s="272" t="s">
        <v>1099</v>
      </c>
    </row>
    <row r="42752">
      <c r="B42752" s="31"/>
      <c r="G42752" s="272" t="s">
        <v>1099</v>
      </c>
    </row>
    <row r="42753">
      <c r="B42753" s="31"/>
      <c r="G42753" s="272" t="s">
        <v>1099</v>
      </c>
    </row>
    <row r="42754">
      <c r="B42754" s="31"/>
      <c r="G42754" s="272" t="s">
        <v>1099</v>
      </c>
    </row>
    <row r="42755">
      <c r="B42755" s="31"/>
      <c r="G42755" s="272" t="s">
        <v>1099</v>
      </c>
    </row>
    <row r="42756">
      <c r="B42756" s="31"/>
      <c r="G42756" s="272" t="s">
        <v>1099</v>
      </c>
    </row>
    <row r="42757">
      <c r="B42757" s="31"/>
      <c r="G42757" s="272" t="s">
        <v>1099</v>
      </c>
    </row>
    <row r="42758">
      <c r="B42758" s="31"/>
      <c r="G42758" s="272" t="s">
        <v>1099</v>
      </c>
    </row>
    <row r="42759">
      <c r="B42759" s="31"/>
      <c r="G42759" s="272" t="s">
        <v>1099</v>
      </c>
    </row>
    <row r="42760">
      <c r="B42760" s="31"/>
      <c r="G42760" s="272" t="s">
        <v>1099</v>
      </c>
    </row>
    <row r="42761">
      <c r="B42761" s="31"/>
      <c r="G42761" s="272" t="s">
        <v>1099</v>
      </c>
    </row>
    <row r="42762">
      <c r="B42762" s="31"/>
      <c r="G42762" s="272" t="s">
        <v>1099</v>
      </c>
    </row>
    <row r="42763">
      <c r="B42763" s="31"/>
      <c r="G42763" s="272" t="s">
        <v>1099</v>
      </c>
    </row>
    <row r="42764">
      <c r="B42764" s="31"/>
      <c r="G42764" s="272" t="s">
        <v>1099</v>
      </c>
    </row>
    <row r="42765">
      <c r="B42765" s="31"/>
      <c r="G42765" s="272" t="s">
        <v>1099</v>
      </c>
    </row>
    <row r="42766">
      <c r="B42766" s="31"/>
      <c r="G42766" s="272" t="s">
        <v>1099</v>
      </c>
    </row>
    <row r="42767">
      <c r="B42767" s="31"/>
      <c r="G42767" s="272" t="s">
        <v>1099</v>
      </c>
    </row>
    <row r="42768">
      <c r="B42768" s="31"/>
      <c r="G42768" s="272" t="s">
        <v>1099</v>
      </c>
    </row>
    <row r="42769">
      <c r="B42769" s="31"/>
      <c r="G42769" s="272" t="s">
        <v>1099</v>
      </c>
    </row>
    <row r="42770">
      <c r="B42770" s="31"/>
      <c r="G42770" s="272" t="s">
        <v>1099</v>
      </c>
    </row>
    <row r="42771">
      <c r="B42771" s="31"/>
      <c r="G42771" s="272" t="s">
        <v>1099</v>
      </c>
    </row>
    <row r="42772">
      <c r="B42772" s="31"/>
      <c r="G42772" s="272" t="s">
        <v>1099</v>
      </c>
    </row>
    <row r="42773">
      <c r="B42773" s="31"/>
      <c r="G42773" s="272" t="s">
        <v>1099</v>
      </c>
    </row>
    <row r="42774">
      <c r="B42774" s="31"/>
      <c r="G42774" s="272" t="s">
        <v>1099</v>
      </c>
    </row>
    <row r="42775">
      <c r="B42775" s="31"/>
      <c r="G42775" s="272" t="s">
        <v>1099</v>
      </c>
    </row>
    <row r="42776">
      <c r="B42776" s="31"/>
      <c r="G42776" s="272" t="s">
        <v>1099</v>
      </c>
    </row>
    <row r="42777">
      <c r="B42777" s="31"/>
      <c r="G42777" s="272" t="s">
        <v>1099</v>
      </c>
    </row>
    <row r="42778">
      <c r="B42778" s="31"/>
      <c r="G42778" s="272" t="s">
        <v>1099</v>
      </c>
    </row>
    <row r="42779">
      <c r="B42779" s="31"/>
      <c r="G42779" s="272" t="s">
        <v>1099</v>
      </c>
    </row>
    <row r="42780">
      <c r="B42780" s="31"/>
      <c r="G42780" s="272" t="s">
        <v>1099</v>
      </c>
    </row>
    <row r="42781">
      <c r="B42781" s="31"/>
      <c r="G42781" s="272" t="s">
        <v>1099</v>
      </c>
    </row>
    <row r="42782">
      <c r="B42782" s="31"/>
      <c r="G42782" s="272" t="s">
        <v>1099</v>
      </c>
    </row>
    <row r="42783">
      <c r="B42783" s="31"/>
      <c r="G42783" s="272" t="s">
        <v>1099</v>
      </c>
    </row>
    <row r="42784">
      <c r="B42784" s="31"/>
      <c r="G42784" s="272" t="s">
        <v>1099</v>
      </c>
    </row>
    <row r="42785">
      <c r="B42785" s="31"/>
      <c r="G42785" s="272" t="s">
        <v>1099</v>
      </c>
    </row>
    <row r="42786">
      <c r="B42786" s="31"/>
      <c r="G42786" s="272" t="s">
        <v>1099</v>
      </c>
    </row>
    <row r="42787">
      <c r="B42787" s="31"/>
      <c r="G42787" s="272" t="s">
        <v>1099</v>
      </c>
    </row>
    <row r="42788">
      <c r="B42788" s="31"/>
      <c r="G42788" s="272" t="s">
        <v>1099</v>
      </c>
    </row>
    <row r="42789">
      <c r="B42789" s="31"/>
      <c r="G42789" s="272" t="s">
        <v>1099</v>
      </c>
    </row>
    <row r="42790">
      <c r="B42790" s="31"/>
      <c r="G42790" s="272" t="s">
        <v>1099</v>
      </c>
    </row>
    <row r="42791">
      <c r="B42791" s="31"/>
      <c r="G42791" s="272" t="s">
        <v>1099</v>
      </c>
    </row>
    <row r="42792">
      <c r="B42792" s="31"/>
      <c r="G42792" s="272" t="s">
        <v>1099</v>
      </c>
    </row>
    <row r="42793">
      <c r="B42793" s="31"/>
      <c r="G42793" s="272" t="s">
        <v>1099</v>
      </c>
    </row>
    <row r="42794">
      <c r="B42794" s="31"/>
      <c r="G42794" s="272" t="s">
        <v>1099</v>
      </c>
    </row>
    <row r="42795">
      <c r="B42795" s="31"/>
      <c r="G42795" s="272" t="s">
        <v>1099</v>
      </c>
    </row>
    <row r="42796">
      <c r="B42796" s="31"/>
      <c r="G42796" s="272" t="s">
        <v>1099</v>
      </c>
    </row>
    <row r="42797">
      <c r="B42797" s="31"/>
      <c r="G42797" s="272" t="s">
        <v>1099</v>
      </c>
    </row>
    <row r="42798">
      <c r="B42798" s="31"/>
      <c r="G42798" s="272" t="s">
        <v>1099</v>
      </c>
    </row>
    <row r="42799">
      <c r="B42799" s="31"/>
      <c r="G42799" s="272" t="s">
        <v>1099</v>
      </c>
    </row>
    <row r="42800">
      <c r="B42800" s="31"/>
      <c r="G42800" s="272" t="s">
        <v>1099</v>
      </c>
    </row>
    <row r="42801">
      <c r="B42801" s="31"/>
      <c r="G42801" s="272" t="s">
        <v>1099</v>
      </c>
    </row>
    <row r="42802">
      <c r="B42802" s="31"/>
      <c r="G42802" s="272" t="s">
        <v>1099</v>
      </c>
    </row>
    <row r="42803">
      <c r="B42803" s="31"/>
      <c r="G42803" s="272" t="s">
        <v>1099</v>
      </c>
    </row>
    <row r="42804">
      <c r="B42804" s="31"/>
      <c r="G42804" s="272" t="s">
        <v>1099</v>
      </c>
    </row>
    <row r="42805">
      <c r="B42805" s="31"/>
      <c r="G42805" s="272" t="s">
        <v>1099</v>
      </c>
    </row>
    <row r="42806">
      <c r="B42806" s="31"/>
      <c r="G42806" s="272" t="s">
        <v>1099</v>
      </c>
    </row>
    <row r="42807">
      <c r="B42807" s="31"/>
      <c r="G42807" s="272" t="s">
        <v>1099</v>
      </c>
    </row>
    <row r="42808">
      <c r="B42808" s="31"/>
      <c r="G42808" s="272" t="s">
        <v>1099</v>
      </c>
    </row>
    <row r="42809">
      <c r="B42809" s="31"/>
      <c r="G42809" s="272" t="s">
        <v>1099</v>
      </c>
    </row>
    <row r="42810">
      <c r="B42810" s="31"/>
      <c r="G42810" s="272" t="s">
        <v>1099</v>
      </c>
    </row>
    <row r="42811">
      <c r="B42811" s="31"/>
      <c r="G42811" s="272" t="s">
        <v>1099</v>
      </c>
    </row>
    <row r="42812">
      <c r="B42812" s="31"/>
      <c r="G42812" s="272" t="s">
        <v>1099</v>
      </c>
    </row>
    <row r="42813">
      <c r="B42813" s="31"/>
      <c r="G42813" s="272" t="s">
        <v>1099</v>
      </c>
    </row>
    <row r="42814">
      <c r="B42814" s="31"/>
      <c r="G42814" s="272" t="s">
        <v>1099</v>
      </c>
    </row>
    <row r="42815">
      <c r="B42815" s="31"/>
      <c r="G42815" s="272" t="s">
        <v>1099</v>
      </c>
    </row>
    <row r="42816">
      <c r="B42816" s="31"/>
      <c r="G42816" s="272" t="s">
        <v>1099</v>
      </c>
    </row>
    <row r="42817">
      <c r="B42817" s="31"/>
      <c r="G42817" s="272" t="s">
        <v>1099</v>
      </c>
    </row>
    <row r="42818">
      <c r="B42818" s="31"/>
      <c r="G42818" s="272" t="s">
        <v>1099</v>
      </c>
    </row>
    <row r="42819">
      <c r="B42819" s="31"/>
      <c r="G42819" s="272" t="s">
        <v>1099</v>
      </c>
    </row>
    <row r="42820">
      <c r="B42820" s="31"/>
      <c r="G42820" s="272" t="s">
        <v>1099</v>
      </c>
    </row>
    <row r="42821">
      <c r="B42821" s="31"/>
      <c r="G42821" s="272" t="s">
        <v>1099</v>
      </c>
    </row>
    <row r="42822">
      <c r="B42822" s="31"/>
      <c r="G42822" s="272" t="s">
        <v>1099</v>
      </c>
    </row>
    <row r="42823">
      <c r="B42823" s="31"/>
      <c r="G42823" s="272" t="s">
        <v>1099</v>
      </c>
    </row>
    <row r="42824">
      <c r="B42824" s="31"/>
      <c r="G42824" s="272" t="s">
        <v>1099</v>
      </c>
    </row>
    <row r="42825">
      <c r="B42825" s="31"/>
      <c r="G42825" s="272" t="s">
        <v>1099</v>
      </c>
    </row>
    <row r="42826">
      <c r="B42826" s="31"/>
      <c r="G42826" s="272" t="s">
        <v>1099</v>
      </c>
    </row>
    <row r="42827">
      <c r="B42827" s="31"/>
      <c r="G42827" s="272" t="s">
        <v>1099</v>
      </c>
    </row>
    <row r="42828">
      <c r="B42828" s="31"/>
      <c r="G42828" s="272" t="s">
        <v>1099</v>
      </c>
    </row>
    <row r="42829">
      <c r="B42829" s="31"/>
      <c r="G42829" s="272" t="s">
        <v>1099</v>
      </c>
    </row>
    <row r="42830">
      <c r="B42830" s="31"/>
      <c r="G42830" s="272" t="s">
        <v>1099</v>
      </c>
    </row>
    <row r="42831">
      <c r="B42831" s="31"/>
      <c r="G42831" s="272" t="s">
        <v>1099</v>
      </c>
    </row>
    <row r="42832">
      <c r="B42832" s="31"/>
      <c r="G42832" s="272" t="s">
        <v>1099</v>
      </c>
    </row>
    <row r="42833">
      <c r="B42833" s="31"/>
      <c r="G42833" s="272" t="s">
        <v>1099</v>
      </c>
    </row>
    <row r="42834">
      <c r="B42834" s="31"/>
      <c r="G42834" s="272" t="s">
        <v>1099</v>
      </c>
    </row>
    <row r="42835">
      <c r="B42835" s="31"/>
      <c r="G42835" s="272" t="s">
        <v>1099</v>
      </c>
    </row>
    <row r="42836">
      <c r="B42836" s="31"/>
      <c r="G42836" s="272" t="s">
        <v>1099</v>
      </c>
    </row>
    <row r="42837">
      <c r="B42837" s="31"/>
      <c r="G42837" s="272" t="s">
        <v>1099</v>
      </c>
    </row>
    <row r="42838">
      <c r="B42838" s="31"/>
      <c r="G42838" s="272" t="s">
        <v>1099</v>
      </c>
    </row>
    <row r="42839">
      <c r="B42839" s="31"/>
      <c r="G42839" s="272" t="s">
        <v>1099</v>
      </c>
    </row>
    <row r="42840">
      <c r="B42840" s="31"/>
      <c r="G42840" s="272" t="s">
        <v>1099</v>
      </c>
    </row>
    <row r="42841">
      <c r="B42841" s="31"/>
      <c r="G42841" s="272" t="s">
        <v>1099</v>
      </c>
    </row>
    <row r="42842">
      <c r="B42842" s="31"/>
      <c r="G42842" s="272" t="s">
        <v>1099</v>
      </c>
    </row>
    <row r="42843">
      <c r="B42843" s="31"/>
      <c r="G42843" s="272" t="s">
        <v>1099</v>
      </c>
    </row>
    <row r="42844">
      <c r="B42844" s="31"/>
      <c r="G42844" s="272" t="s">
        <v>1099</v>
      </c>
    </row>
    <row r="42845">
      <c r="B42845" s="31"/>
      <c r="G42845" s="272" t="s">
        <v>1099</v>
      </c>
    </row>
    <row r="42846">
      <c r="B42846" s="31"/>
      <c r="G42846" s="272" t="s">
        <v>1099</v>
      </c>
    </row>
    <row r="42847">
      <c r="B42847" s="31"/>
      <c r="G42847" s="272" t="s">
        <v>1099</v>
      </c>
    </row>
    <row r="42848">
      <c r="B42848" s="31"/>
      <c r="G42848" s="272" t="s">
        <v>1099</v>
      </c>
    </row>
    <row r="42849">
      <c r="B42849" s="31"/>
      <c r="G42849" s="272" t="s">
        <v>1099</v>
      </c>
    </row>
    <row r="42850">
      <c r="B42850" s="31"/>
      <c r="G42850" s="272" t="s">
        <v>1099</v>
      </c>
    </row>
    <row r="42851">
      <c r="B42851" s="31"/>
      <c r="G42851" s="272" t="s">
        <v>1099</v>
      </c>
    </row>
    <row r="42852">
      <c r="B42852" s="31"/>
      <c r="G42852" s="272" t="s">
        <v>1099</v>
      </c>
    </row>
    <row r="42853">
      <c r="B42853" s="31"/>
      <c r="G42853" s="272" t="s">
        <v>1099</v>
      </c>
    </row>
    <row r="42854">
      <c r="B42854" s="31"/>
      <c r="G42854" s="272" t="s">
        <v>1099</v>
      </c>
    </row>
    <row r="42855">
      <c r="B42855" s="31"/>
      <c r="G42855" s="272" t="s">
        <v>1099</v>
      </c>
    </row>
    <row r="42856">
      <c r="B42856" s="31"/>
      <c r="G42856" s="272" t="s">
        <v>1099</v>
      </c>
    </row>
    <row r="42857">
      <c r="B42857" s="31"/>
      <c r="G42857" s="272" t="s">
        <v>1099</v>
      </c>
    </row>
    <row r="42858">
      <c r="B42858" s="31"/>
      <c r="G42858" s="272" t="s">
        <v>1099</v>
      </c>
    </row>
    <row r="42859">
      <c r="B42859" s="31"/>
      <c r="G42859" s="272" t="s">
        <v>1099</v>
      </c>
    </row>
    <row r="42860">
      <c r="B42860" s="31"/>
      <c r="G42860" s="272" t="s">
        <v>1099</v>
      </c>
    </row>
    <row r="42861">
      <c r="B42861" s="31"/>
      <c r="G42861" s="272" t="s">
        <v>1099</v>
      </c>
    </row>
    <row r="42862">
      <c r="B42862" s="31"/>
      <c r="G42862" s="272" t="s">
        <v>1099</v>
      </c>
    </row>
    <row r="42863">
      <c r="B42863" s="31"/>
      <c r="G42863" s="272" t="s">
        <v>1099</v>
      </c>
    </row>
    <row r="42864">
      <c r="B42864" s="31"/>
      <c r="G42864" s="272" t="s">
        <v>1099</v>
      </c>
    </row>
    <row r="42865">
      <c r="B42865" s="31"/>
      <c r="G42865" s="272" t="s">
        <v>1099</v>
      </c>
    </row>
    <row r="42866">
      <c r="B42866" s="31"/>
      <c r="G42866" s="272" t="s">
        <v>1099</v>
      </c>
    </row>
    <row r="42867">
      <c r="B42867" s="31"/>
      <c r="G42867" s="272" t="s">
        <v>1099</v>
      </c>
    </row>
    <row r="42868">
      <c r="B42868" s="31"/>
      <c r="G42868" s="272" t="s">
        <v>1099</v>
      </c>
    </row>
    <row r="42869">
      <c r="B42869" s="31"/>
      <c r="G42869" s="272" t="s">
        <v>1099</v>
      </c>
    </row>
    <row r="42870">
      <c r="B42870" s="31"/>
      <c r="G42870" s="272" t="s">
        <v>1099</v>
      </c>
    </row>
    <row r="42871">
      <c r="B42871" s="31"/>
      <c r="G42871" s="272" t="s">
        <v>1099</v>
      </c>
    </row>
    <row r="42872">
      <c r="B42872" s="31"/>
      <c r="G42872" s="272" t="s">
        <v>1099</v>
      </c>
    </row>
    <row r="42873">
      <c r="B42873" s="31"/>
      <c r="G42873" s="272" t="s">
        <v>1099</v>
      </c>
    </row>
    <row r="42874">
      <c r="B42874" s="31"/>
      <c r="G42874" s="272" t="s">
        <v>1099</v>
      </c>
    </row>
    <row r="42875">
      <c r="B42875" s="31"/>
      <c r="G42875" s="272" t="s">
        <v>1099</v>
      </c>
    </row>
    <row r="42876">
      <c r="B42876" s="31"/>
      <c r="G42876" s="272" t="s">
        <v>1099</v>
      </c>
    </row>
    <row r="42877">
      <c r="B42877" s="31"/>
      <c r="G42877" s="272" t="s">
        <v>1099</v>
      </c>
    </row>
    <row r="42878">
      <c r="B42878" s="31"/>
      <c r="G42878" s="272" t="s">
        <v>1099</v>
      </c>
    </row>
    <row r="42879">
      <c r="B42879" s="31"/>
      <c r="G42879" s="272" t="s">
        <v>1099</v>
      </c>
    </row>
    <row r="42880">
      <c r="B42880" s="31"/>
      <c r="G42880" s="272" t="s">
        <v>1099</v>
      </c>
    </row>
    <row r="42881">
      <c r="B42881" s="31"/>
      <c r="G42881" s="272" t="s">
        <v>1099</v>
      </c>
    </row>
    <row r="42882">
      <c r="B42882" s="31"/>
      <c r="G42882" s="272" t="s">
        <v>1099</v>
      </c>
    </row>
    <row r="42883">
      <c r="B42883" s="31"/>
      <c r="G42883" s="272" t="s">
        <v>1099</v>
      </c>
    </row>
    <row r="42884">
      <c r="B42884" s="31"/>
      <c r="G42884" s="272" t="s">
        <v>1099</v>
      </c>
    </row>
    <row r="42885">
      <c r="B42885" s="31"/>
      <c r="G42885" s="272" t="s">
        <v>1099</v>
      </c>
    </row>
    <row r="42886">
      <c r="B42886" s="31"/>
      <c r="G42886" s="272" t="s">
        <v>1099</v>
      </c>
    </row>
    <row r="42887">
      <c r="B42887" s="31"/>
      <c r="G42887" s="272" t="s">
        <v>1099</v>
      </c>
    </row>
    <row r="42888">
      <c r="B42888" s="31"/>
      <c r="G42888" s="272" t="s">
        <v>1099</v>
      </c>
    </row>
    <row r="42889">
      <c r="B42889" s="31"/>
      <c r="G42889" s="272" t="s">
        <v>1099</v>
      </c>
    </row>
    <row r="42890">
      <c r="B42890" s="31"/>
      <c r="G42890" s="272" t="s">
        <v>1099</v>
      </c>
    </row>
    <row r="42891">
      <c r="B42891" s="31"/>
      <c r="G42891" s="272" t="s">
        <v>1099</v>
      </c>
    </row>
    <row r="42892">
      <c r="B42892" s="31"/>
      <c r="G42892" s="272" t="s">
        <v>1099</v>
      </c>
    </row>
    <row r="42893">
      <c r="B42893" s="31"/>
      <c r="G42893" s="272" t="s">
        <v>1099</v>
      </c>
    </row>
    <row r="42894">
      <c r="B42894" s="31"/>
      <c r="G42894" s="272" t="s">
        <v>1099</v>
      </c>
    </row>
    <row r="42895">
      <c r="B42895" s="31"/>
      <c r="G42895" s="272" t="s">
        <v>1099</v>
      </c>
    </row>
    <row r="42896">
      <c r="B42896" s="31"/>
      <c r="G42896" s="272" t="s">
        <v>1099</v>
      </c>
    </row>
    <row r="42897">
      <c r="B42897" s="31"/>
      <c r="G42897" s="272" t="s">
        <v>1099</v>
      </c>
    </row>
    <row r="42898">
      <c r="B42898" s="31"/>
      <c r="G42898" s="272" t="s">
        <v>1099</v>
      </c>
    </row>
    <row r="42899">
      <c r="B42899" s="31"/>
      <c r="G42899" s="272" t="s">
        <v>1099</v>
      </c>
    </row>
    <row r="42900">
      <c r="B42900" s="31"/>
      <c r="G42900" s="272" t="s">
        <v>1099</v>
      </c>
    </row>
    <row r="42901">
      <c r="B42901" s="31"/>
      <c r="G42901" s="272" t="s">
        <v>1099</v>
      </c>
    </row>
    <row r="42902">
      <c r="B42902" s="31"/>
      <c r="G42902" s="272" t="s">
        <v>1099</v>
      </c>
    </row>
    <row r="42903">
      <c r="B42903" s="31"/>
      <c r="G42903" s="272" t="s">
        <v>1099</v>
      </c>
    </row>
    <row r="42904">
      <c r="B42904" s="31"/>
      <c r="G42904" s="272" t="s">
        <v>1099</v>
      </c>
    </row>
    <row r="42905">
      <c r="B42905" s="31"/>
      <c r="G42905" s="272" t="s">
        <v>1099</v>
      </c>
    </row>
    <row r="42906">
      <c r="B42906" s="31"/>
      <c r="G42906" s="272" t="s">
        <v>1099</v>
      </c>
    </row>
    <row r="42907">
      <c r="B42907" s="31"/>
      <c r="G42907" s="272" t="s">
        <v>1099</v>
      </c>
    </row>
    <row r="42908">
      <c r="B42908" s="31"/>
      <c r="G42908" s="272" t="s">
        <v>1099</v>
      </c>
    </row>
    <row r="42909">
      <c r="B42909" s="31"/>
      <c r="G42909" s="272" t="s">
        <v>1099</v>
      </c>
    </row>
    <row r="42910">
      <c r="B42910" s="31"/>
      <c r="G42910" s="272" t="s">
        <v>1099</v>
      </c>
    </row>
    <row r="42911">
      <c r="B42911" s="31"/>
      <c r="G42911" s="272" t="s">
        <v>1099</v>
      </c>
    </row>
    <row r="42912">
      <c r="B42912" s="31"/>
      <c r="G42912" s="272" t="s">
        <v>1099</v>
      </c>
    </row>
    <row r="42913">
      <c r="B42913" s="31"/>
      <c r="G42913" s="272" t="s">
        <v>1099</v>
      </c>
    </row>
    <row r="42914">
      <c r="B42914" s="31"/>
      <c r="G42914" s="272" t="s">
        <v>1099</v>
      </c>
    </row>
    <row r="42915">
      <c r="B42915" s="31"/>
      <c r="G42915" s="272" t="s">
        <v>1099</v>
      </c>
    </row>
    <row r="42916">
      <c r="B42916" s="31"/>
      <c r="G42916" s="272" t="s">
        <v>1099</v>
      </c>
    </row>
    <row r="42917">
      <c r="B42917" s="31"/>
      <c r="G42917" s="272" t="s">
        <v>1099</v>
      </c>
    </row>
    <row r="42918">
      <c r="B42918" s="31"/>
      <c r="G42918" s="272" t="s">
        <v>1099</v>
      </c>
    </row>
    <row r="42919">
      <c r="B42919" s="31"/>
      <c r="G42919" s="272" t="s">
        <v>1099</v>
      </c>
    </row>
    <row r="42920">
      <c r="B42920" s="31"/>
      <c r="G42920" s="272" t="s">
        <v>1099</v>
      </c>
    </row>
    <row r="42921">
      <c r="B42921" s="31"/>
      <c r="G42921" s="272" t="s">
        <v>1099</v>
      </c>
    </row>
    <row r="42922">
      <c r="B42922" s="31"/>
      <c r="G42922" s="272" t="s">
        <v>1099</v>
      </c>
    </row>
    <row r="42923">
      <c r="B42923" s="31"/>
      <c r="G42923" s="272" t="s">
        <v>1099</v>
      </c>
    </row>
    <row r="42924">
      <c r="B42924" s="31"/>
      <c r="G42924" s="272" t="s">
        <v>1099</v>
      </c>
    </row>
    <row r="42925">
      <c r="B42925" s="31"/>
      <c r="G42925" s="272" t="s">
        <v>1099</v>
      </c>
    </row>
    <row r="42926">
      <c r="B42926" s="31"/>
      <c r="G42926" s="272" t="s">
        <v>1099</v>
      </c>
    </row>
    <row r="42927">
      <c r="B42927" s="31"/>
      <c r="G42927" s="272" t="s">
        <v>1099</v>
      </c>
    </row>
    <row r="42928">
      <c r="B42928" s="31"/>
      <c r="G42928" s="272" t="s">
        <v>1099</v>
      </c>
    </row>
    <row r="42929">
      <c r="B42929" s="31"/>
      <c r="G42929" s="272" t="s">
        <v>1099</v>
      </c>
    </row>
    <row r="42930">
      <c r="B42930" s="31"/>
      <c r="G42930" s="272" t="s">
        <v>1099</v>
      </c>
    </row>
    <row r="42931">
      <c r="B42931" s="31"/>
      <c r="G42931" s="272" t="s">
        <v>1099</v>
      </c>
    </row>
    <row r="42932">
      <c r="B42932" s="31"/>
      <c r="G42932" s="272" t="s">
        <v>1099</v>
      </c>
    </row>
    <row r="42933">
      <c r="B42933" s="31"/>
      <c r="G42933" s="272" t="s">
        <v>1099</v>
      </c>
    </row>
    <row r="42934">
      <c r="B42934" s="31"/>
      <c r="G42934" s="272" t="s">
        <v>1099</v>
      </c>
    </row>
    <row r="42935">
      <c r="B42935" s="31"/>
      <c r="G42935" s="272" t="s">
        <v>1099</v>
      </c>
    </row>
    <row r="42936">
      <c r="B42936" s="31"/>
      <c r="G42936" s="272" t="s">
        <v>1099</v>
      </c>
    </row>
    <row r="42937">
      <c r="B42937" s="31"/>
      <c r="G42937" s="272" t="s">
        <v>1099</v>
      </c>
    </row>
    <row r="42938">
      <c r="B42938" s="31"/>
      <c r="G42938" s="272" t="s">
        <v>1099</v>
      </c>
    </row>
    <row r="42939">
      <c r="B42939" s="31"/>
      <c r="G42939" s="272" t="s">
        <v>1099</v>
      </c>
    </row>
    <row r="42940">
      <c r="B42940" s="31"/>
      <c r="G42940" s="272" t="s">
        <v>1099</v>
      </c>
    </row>
    <row r="42941">
      <c r="B42941" s="31"/>
      <c r="G42941" s="272" t="s">
        <v>1099</v>
      </c>
    </row>
    <row r="42942">
      <c r="B42942" s="31"/>
      <c r="G42942" s="272" t="s">
        <v>1099</v>
      </c>
    </row>
    <row r="42943">
      <c r="B42943" s="31"/>
      <c r="G42943" s="272" t="s">
        <v>1099</v>
      </c>
    </row>
    <row r="42944">
      <c r="B42944" s="31"/>
      <c r="G42944" s="272" t="s">
        <v>1099</v>
      </c>
    </row>
    <row r="42945">
      <c r="B42945" s="31"/>
      <c r="G42945" s="272" t="s">
        <v>1099</v>
      </c>
    </row>
    <row r="42946">
      <c r="B42946" s="31"/>
      <c r="G42946" s="272" t="s">
        <v>1099</v>
      </c>
    </row>
    <row r="42947">
      <c r="B42947" s="31"/>
      <c r="G42947" s="272" t="s">
        <v>1099</v>
      </c>
    </row>
    <row r="42948">
      <c r="B42948" s="31"/>
      <c r="G42948" s="272" t="s">
        <v>1099</v>
      </c>
    </row>
    <row r="42949">
      <c r="B42949" s="31"/>
      <c r="G42949" s="272" t="s">
        <v>1099</v>
      </c>
    </row>
    <row r="42950">
      <c r="B42950" s="31"/>
      <c r="G42950" s="272" t="s">
        <v>1099</v>
      </c>
    </row>
    <row r="42951">
      <c r="B42951" s="31"/>
      <c r="G42951" s="272" t="s">
        <v>1099</v>
      </c>
    </row>
    <row r="42952">
      <c r="B42952" s="31"/>
      <c r="G42952" s="272" t="s">
        <v>1099</v>
      </c>
    </row>
    <row r="42953">
      <c r="B42953" s="31"/>
      <c r="G42953" s="272" t="s">
        <v>1099</v>
      </c>
    </row>
    <row r="42954">
      <c r="B42954" s="31"/>
      <c r="G42954" s="272" t="s">
        <v>1099</v>
      </c>
    </row>
    <row r="42955">
      <c r="B42955" s="31"/>
      <c r="G42955" s="272" t="s">
        <v>1099</v>
      </c>
    </row>
    <row r="42956">
      <c r="B42956" s="31"/>
      <c r="G42956" s="272" t="s">
        <v>1099</v>
      </c>
    </row>
    <row r="42957">
      <c r="B42957" s="31"/>
      <c r="G42957" s="272" t="s">
        <v>1099</v>
      </c>
    </row>
    <row r="42958">
      <c r="B42958" s="31"/>
      <c r="G42958" s="272" t="s">
        <v>1099</v>
      </c>
    </row>
    <row r="42959">
      <c r="B42959" s="31"/>
      <c r="G42959" s="272" t="s">
        <v>1099</v>
      </c>
    </row>
    <row r="42960">
      <c r="B42960" s="31"/>
      <c r="G42960" s="272" t="s">
        <v>1099</v>
      </c>
    </row>
    <row r="42961">
      <c r="B42961" s="31"/>
      <c r="G42961" s="272" t="s">
        <v>1099</v>
      </c>
    </row>
    <row r="42962">
      <c r="B42962" s="31"/>
      <c r="G42962" s="272" t="s">
        <v>1099</v>
      </c>
    </row>
    <row r="42963">
      <c r="B42963" s="31"/>
      <c r="G42963" s="272" t="s">
        <v>1099</v>
      </c>
    </row>
    <row r="42964">
      <c r="B42964" s="31"/>
      <c r="G42964" s="272" t="s">
        <v>1099</v>
      </c>
    </row>
    <row r="42965">
      <c r="B42965" s="31"/>
      <c r="G42965" s="272" t="s">
        <v>1099</v>
      </c>
    </row>
    <row r="42966">
      <c r="B42966" s="31"/>
      <c r="G42966" s="272" t="s">
        <v>1099</v>
      </c>
    </row>
    <row r="42967">
      <c r="B42967" s="31"/>
      <c r="G42967" s="272" t="s">
        <v>1099</v>
      </c>
    </row>
    <row r="42968">
      <c r="B42968" s="31"/>
      <c r="G42968" s="272" t="s">
        <v>1099</v>
      </c>
    </row>
    <row r="42969">
      <c r="B42969" s="31"/>
      <c r="G42969" s="272" t="s">
        <v>1099</v>
      </c>
    </row>
    <row r="42970">
      <c r="B42970" s="31"/>
      <c r="G42970" s="272" t="s">
        <v>1099</v>
      </c>
    </row>
    <row r="42971">
      <c r="B42971" s="31"/>
      <c r="G42971" s="272" t="s">
        <v>1099</v>
      </c>
    </row>
    <row r="42972">
      <c r="B42972" s="31"/>
      <c r="G42972" s="272" t="s">
        <v>1099</v>
      </c>
    </row>
    <row r="42973">
      <c r="B42973" s="31"/>
      <c r="G42973" s="272" t="s">
        <v>1099</v>
      </c>
    </row>
    <row r="42974">
      <c r="B42974" s="31"/>
      <c r="G42974" s="272" t="s">
        <v>1099</v>
      </c>
    </row>
    <row r="42975">
      <c r="B42975" s="31"/>
      <c r="G42975" s="272" t="s">
        <v>1099</v>
      </c>
    </row>
    <row r="42976">
      <c r="B42976" s="31"/>
      <c r="G42976" s="272" t="s">
        <v>1099</v>
      </c>
    </row>
    <row r="42977">
      <c r="B42977" s="31"/>
      <c r="G42977" s="272" t="s">
        <v>1099</v>
      </c>
    </row>
    <row r="42978">
      <c r="B42978" s="31"/>
      <c r="G42978" s="272" t="s">
        <v>1099</v>
      </c>
    </row>
    <row r="42979">
      <c r="B42979" s="31"/>
      <c r="G42979" s="272" t="s">
        <v>1099</v>
      </c>
    </row>
    <row r="42980">
      <c r="B42980" s="31"/>
      <c r="G42980" s="272" t="s">
        <v>1099</v>
      </c>
    </row>
    <row r="42981">
      <c r="B42981" s="31"/>
      <c r="G42981" s="272" t="s">
        <v>1099</v>
      </c>
    </row>
    <row r="42982">
      <c r="B42982" s="31"/>
      <c r="G42982" s="272" t="s">
        <v>1099</v>
      </c>
    </row>
    <row r="42983">
      <c r="B42983" s="31"/>
      <c r="G42983" s="272" t="s">
        <v>1099</v>
      </c>
    </row>
    <row r="42984">
      <c r="B42984" s="31"/>
      <c r="G42984" s="272" t="s">
        <v>1099</v>
      </c>
    </row>
    <row r="42985">
      <c r="B42985" s="31"/>
      <c r="G42985" s="272" t="s">
        <v>1099</v>
      </c>
    </row>
    <row r="42986">
      <c r="B42986" s="31"/>
      <c r="G42986" s="272" t="s">
        <v>1099</v>
      </c>
    </row>
    <row r="42987">
      <c r="B42987" s="31"/>
      <c r="G42987" s="272" t="s">
        <v>1099</v>
      </c>
    </row>
    <row r="42988">
      <c r="B42988" s="31"/>
      <c r="G42988" s="272" t="s">
        <v>1099</v>
      </c>
    </row>
    <row r="42989">
      <c r="B42989" s="31"/>
      <c r="G42989" s="272" t="s">
        <v>1099</v>
      </c>
    </row>
    <row r="42990">
      <c r="B42990" s="31"/>
      <c r="G42990" s="272" t="s">
        <v>1099</v>
      </c>
    </row>
    <row r="42991">
      <c r="B42991" s="31"/>
      <c r="G42991" s="272" t="s">
        <v>1099</v>
      </c>
    </row>
    <row r="42992">
      <c r="B42992" s="31"/>
      <c r="G42992" s="272" t="s">
        <v>1099</v>
      </c>
    </row>
    <row r="42993">
      <c r="B42993" s="31"/>
      <c r="G42993" s="272" t="s">
        <v>1099</v>
      </c>
    </row>
    <row r="42994">
      <c r="B42994" s="31"/>
      <c r="G42994" s="272" t="s">
        <v>1099</v>
      </c>
    </row>
    <row r="42995">
      <c r="B42995" s="31"/>
      <c r="G42995" s="272" t="s">
        <v>1099</v>
      </c>
    </row>
    <row r="42996">
      <c r="B42996" s="31"/>
      <c r="G42996" s="272" t="s">
        <v>1099</v>
      </c>
    </row>
    <row r="42997">
      <c r="B42997" s="31"/>
      <c r="G42997" s="272" t="s">
        <v>1099</v>
      </c>
    </row>
    <row r="42998">
      <c r="B42998" s="31"/>
      <c r="G42998" s="272" t="s">
        <v>1099</v>
      </c>
    </row>
    <row r="42999">
      <c r="B42999" s="31"/>
      <c r="G42999" s="272" t="s">
        <v>1099</v>
      </c>
    </row>
    <row r="43000">
      <c r="B43000" s="31"/>
      <c r="G43000" s="272" t="s">
        <v>1099</v>
      </c>
    </row>
    <row r="43001">
      <c r="B43001" s="31"/>
      <c r="G43001" s="272" t="s">
        <v>1099</v>
      </c>
    </row>
    <row r="43002">
      <c r="B43002" s="31"/>
      <c r="G43002" s="272" t="s">
        <v>1099</v>
      </c>
    </row>
    <row r="43003">
      <c r="B43003" s="31"/>
      <c r="G43003" s="272" t="s">
        <v>1099</v>
      </c>
    </row>
    <row r="43004">
      <c r="B43004" s="31"/>
      <c r="G43004" s="272" t="s">
        <v>1099</v>
      </c>
    </row>
    <row r="43005">
      <c r="B43005" s="31"/>
      <c r="G43005" s="272" t="s">
        <v>1099</v>
      </c>
    </row>
    <row r="43006">
      <c r="B43006" s="31"/>
      <c r="G43006" s="272" t="s">
        <v>1099</v>
      </c>
    </row>
    <row r="43007">
      <c r="B43007" s="31"/>
      <c r="G43007" s="272" t="s">
        <v>1099</v>
      </c>
    </row>
    <row r="43008">
      <c r="B43008" s="31"/>
      <c r="G43008" s="272" t="s">
        <v>1099</v>
      </c>
    </row>
    <row r="43009">
      <c r="B43009" s="31"/>
      <c r="G43009" s="272" t="s">
        <v>1099</v>
      </c>
    </row>
    <row r="43010">
      <c r="B43010" s="31"/>
      <c r="G43010" s="272" t="s">
        <v>1099</v>
      </c>
    </row>
    <row r="43011">
      <c r="B43011" s="31"/>
      <c r="G43011" s="272" t="s">
        <v>1099</v>
      </c>
    </row>
    <row r="43012">
      <c r="B43012" s="31"/>
      <c r="G43012" s="272" t="s">
        <v>1099</v>
      </c>
    </row>
    <row r="43013">
      <c r="B43013" s="31"/>
      <c r="G43013" s="272" t="s">
        <v>1099</v>
      </c>
    </row>
    <row r="43014">
      <c r="B43014" s="31"/>
      <c r="G43014" s="272" t="s">
        <v>1099</v>
      </c>
    </row>
    <row r="43015">
      <c r="B43015" s="31"/>
      <c r="G43015" s="272" t="s">
        <v>1099</v>
      </c>
    </row>
    <row r="43016">
      <c r="B43016" s="31"/>
      <c r="G43016" s="272" t="s">
        <v>1099</v>
      </c>
    </row>
    <row r="43017">
      <c r="B43017" s="31"/>
      <c r="G43017" s="272" t="s">
        <v>1099</v>
      </c>
    </row>
    <row r="43018">
      <c r="B43018" s="31"/>
      <c r="G43018" s="272" t="s">
        <v>1099</v>
      </c>
    </row>
    <row r="43019">
      <c r="B43019" s="31"/>
      <c r="G43019" s="272" t="s">
        <v>1099</v>
      </c>
    </row>
    <row r="43020">
      <c r="B43020" s="31"/>
      <c r="G43020" s="272" t="s">
        <v>1099</v>
      </c>
    </row>
    <row r="43021">
      <c r="B43021" s="31"/>
      <c r="G43021" s="272" t="s">
        <v>1099</v>
      </c>
    </row>
    <row r="43022">
      <c r="B43022" s="31"/>
      <c r="G43022" s="272" t="s">
        <v>1099</v>
      </c>
    </row>
    <row r="43023">
      <c r="B43023" s="31"/>
      <c r="G43023" s="272" t="s">
        <v>1099</v>
      </c>
    </row>
    <row r="43024">
      <c r="B43024" s="31"/>
      <c r="G43024" s="272" t="s">
        <v>1099</v>
      </c>
    </row>
    <row r="43025">
      <c r="B43025" s="31"/>
      <c r="G43025" s="272" t="s">
        <v>1099</v>
      </c>
    </row>
    <row r="43026">
      <c r="B43026" s="31"/>
      <c r="G43026" s="272" t="s">
        <v>1099</v>
      </c>
    </row>
    <row r="43027">
      <c r="B43027" s="31"/>
      <c r="G43027" s="272" t="s">
        <v>1099</v>
      </c>
    </row>
    <row r="43028">
      <c r="B43028" s="31"/>
      <c r="G43028" s="272" t="s">
        <v>1099</v>
      </c>
    </row>
    <row r="43029">
      <c r="B43029" s="31"/>
      <c r="G43029" s="272" t="s">
        <v>1099</v>
      </c>
    </row>
    <row r="43030">
      <c r="B43030" s="31"/>
      <c r="G43030" s="272" t="s">
        <v>1099</v>
      </c>
    </row>
    <row r="43031">
      <c r="B43031" s="31"/>
      <c r="G43031" s="272" t="s">
        <v>1099</v>
      </c>
    </row>
    <row r="43032">
      <c r="B43032" s="31"/>
      <c r="G43032" s="272" t="s">
        <v>1099</v>
      </c>
    </row>
    <row r="43033">
      <c r="B43033" s="31"/>
      <c r="G43033" s="272" t="s">
        <v>1099</v>
      </c>
    </row>
    <row r="43034">
      <c r="B43034" s="31"/>
      <c r="G43034" s="272" t="s">
        <v>1099</v>
      </c>
    </row>
    <row r="43035">
      <c r="B43035" s="31"/>
      <c r="G43035" s="272" t="s">
        <v>1099</v>
      </c>
    </row>
    <row r="43036">
      <c r="B43036" s="31"/>
      <c r="G43036" s="272" t="s">
        <v>1099</v>
      </c>
    </row>
    <row r="43037">
      <c r="B43037" s="31"/>
      <c r="G43037" s="272" t="s">
        <v>1099</v>
      </c>
    </row>
    <row r="43038">
      <c r="B43038" s="31"/>
      <c r="G43038" s="272" t="s">
        <v>1099</v>
      </c>
    </row>
    <row r="43039">
      <c r="B43039" s="31"/>
      <c r="G43039" s="272" t="s">
        <v>1099</v>
      </c>
    </row>
    <row r="43040">
      <c r="B43040" s="31"/>
      <c r="G43040" s="272" t="s">
        <v>1099</v>
      </c>
    </row>
    <row r="43041">
      <c r="B43041" s="31"/>
      <c r="G43041" s="272" t="s">
        <v>1099</v>
      </c>
    </row>
    <row r="43042">
      <c r="B43042" s="31"/>
      <c r="G43042" s="272" t="s">
        <v>1099</v>
      </c>
    </row>
    <row r="43043">
      <c r="B43043" s="31"/>
      <c r="G43043" s="272" t="s">
        <v>1099</v>
      </c>
    </row>
    <row r="43044">
      <c r="B43044" s="31"/>
      <c r="G43044" s="272" t="s">
        <v>1099</v>
      </c>
    </row>
    <row r="43045">
      <c r="B43045" s="31"/>
      <c r="G43045" s="272" t="s">
        <v>1099</v>
      </c>
    </row>
    <row r="43046">
      <c r="B43046" s="31"/>
      <c r="G43046" s="272" t="s">
        <v>1099</v>
      </c>
    </row>
    <row r="43047">
      <c r="B43047" s="31"/>
      <c r="G43047" s="272" t="s">
        <v>1099</v>
      </c>
    </row>
    <row r="43048">
      <c r="B43048" s="31"/>
      <c r="G43048" s="272" t="s">
        <v>1099</v>
      </c>
    </row>
    <row r="43049">
      <c r="B43049" s="31"/>
      <c r="G43049" s="272" t="s">
        <v>1099</v>
      </c>
    </row>
    <row r="43050">
      <c r="B43050" s="31"/>
      <c r="G43050" s="272" t="s">
        <v>1099</v>
      </c>
    </row>
    <row r="43051">
      <c r="B43051" s="31"/>
      <c r="G43051" s="272" t="s">
        <v>1099</v>
      </c>
    </row>
    <row r="43052">
      <c r="B43052" s="31"/>
      <c r="G43052" s="272" t="s">
        <v>1099</v>
      </c>
    </row>
    <row r="43053">
      <c r="B43053" s="31"/>
      <c r="G43053" s="272" t="s">
        <v>1099</v>
      </c>
    </row>
    <row r="43054">
      <c r="B43054" s="31"/>
      <c r="G43054" s="272" t="s">
        <v>1099</v>
      </c>
    </row>
    <row r="43055">
      <c r="B43055" s="31"/>
      <c r="G43055" s="272" t="s">
        <v>1099</v>
      </c>
    </row>
    <row r="43056">
      <c r="B43056" s="31"/>
      <c r="G43056" s="272" t="s">
        <v>1099</v>
      </c>
    </row>
    <row r="43057">
      <c r="B43057" s="31"/>
      <c r="G43057" s="272" t="s">
        <v>1099</v>
      </c>
    </row>
    <row r="43058">
      <c r="B43058" s="31"/>
      <c r="G43058" s="272" t="s">
        <v>1099</v>
      </c>
    </row>
    <row r="43059">
      <c r="B43059" s="31"/>
      <c r="G43059" s="272" t="s">
        <v>1099</v>
      </c>
    </row>
    <row r="43060">
      <c r="B43060" s="31"/>
      <c r="G43060" s="272" t="s">
        <v>1099</v>
      </c>
    </row>
    <row r="43061">
      <c r="B43061" s="31"/>
      <c r="G43061" s="272" t="s">
        <v>1099</v>
      </c>
    </row>
    <row r="43062">
      <c r="B43062" s="31"/>
      <c r="G43062" s="272" t="s">
        <v>1099</v>
      </c>
    </row>
    <row r="43063">
      <c r="B43063" s="31"/>
      <c r="G43063" s="272" t="s">
        <v>1099</v>
      </c>
    </row>
    <row r="43064">
      <c r="B43064" s="31"/>
      <c r="G43064" s="272" t="s">
        <v>1099</v>
      </c>
    </row>
    <row r="43065">
      <c r="B43065" s="31"/>
      <c r="G43065" s="272" t="s">
        <v>1099</v>
      </c>
    </row>
    <row r="43066">
      <c r="B43066" s="31"/>
      <c r="G43066" s="272" t="s">
        <v>1099</v>
      </c>
    </row>
    <row r="43067">
      <c r="B43067" s="31"/>
      <c r="G43067" s="272" t="s">
        <v>1099</v>
      </c>
    </row>
    <row r="43068">
      <c r="B43068" s="31"/>
      <c r="G43068" s="272" t="s">
        <v>1099</v>
      </c>
    </row>
    <row r="43069">
      <c r="B43069" s="31"/>
      <c r="G43069" s="272" t="s">
        <v>1099</v>
      </c>
    </row>
    <row r="43070">
      <c r="B43070" s="31"/>
      <c r="G43070" s="272" t="s">
        <v>1099</v>
      </c>
    </row>
    <row r="43071">
      <c r="B43071" s="31"/>
      <c r="G43071" s="272" t="s">
        <v>1099</v>
      </c>
    </row>
    <row r="43072">
      <c r="B43072" s="31"/>
      <c r="G43072" s="272" t="s">
        <v>1099</v>
      </c>
    </row>
    <row r="43073">
      <c r="B43073" s="31"/>
      <c r="G43073" s="272" t="s">
        <v>1099</v>
      </c>
    </row>
    <row r="43074">
      <c r="B43074" s="31"/>
      <c r="G43074" s="272" t="s">
        <v>1099</v>
      </c>
    </row>
    <row r="43075">
      <c r="B43075" s="31"/>
      <c r="G43075" s="272" t="s">
        <v>1099</v>
      </c>
    </row>
    <row r="43076">
      <c r="B43076" s="31"/>
      <c r="G43076" s="272" t="s">
        <v>1099</v>
      </c>
    </row>
    <row r="43077">
      <c r="B43077" s="31"/>
      <c r="G43077" s="272" t="s">
        <v>1099</v>
      </c>
    </row>
    <row r="43078">
      <c r="B43078" s="31"/>
      <c r="G43078" s="272" t="s">
        <v>1099</v>
      </c>
    </row>
    <row r="43079">
      <c r="B43079" s="31"/>
      <c r="G43079" s="272" t="s">
        <v>1099</v>
      </c>
    </row>
    <row r="43080">
      <c r="B43080" s="31"/>
      <c r="G43080" s="272" t="s">
        <v>1099</v>
      </c>
    </row>
    <row r="43081">
      <c r="B43081" s="31"/>
      <c r="G43081" s="272" t="s">
        <v>1099</v>
      </c>
    </row>
    <row r="43082">
      <c r="B43082" s="31"/>
      <c r="G43082" s="272" t="s">
        <v>1099</v>
      </c>
    </row>
    <row r="43083">
      <c r="B43083" s="31"/>
      <c r="G43083" s="272" t="s">
        <v>1099</v>
      </c>
    </row>
    <row r="43084">
      <c r="B43084" s="31"/>
      <c r="G43084" s="272" t="s">
        <v>1099</v>
      </c>
    </row>
    <row r="43085">
      <c r="B43085" s="31"/>
      <c r="G43085" s="272" t="s">
        <v>1099</v>
      </c>
    </row>
    <row r="43086">
      <c r="B43086" s="31"/>
      <c r="G43086" s="272" t="s">
        <v>1099</v>
      </c>
    </row>
    <row r="43087">
      <c r="B43087" s="31"/>
      <c r="G43087" s="272" t="s">
        <v>1099</v>
      </c>
    </row>
    <row r="43088">
      <c r="B43088" s="31"/>
      <c r="G43088" s="272" t="s">
        <v>1099</v>
      </c>
    </row>
    <row r="43089">
      <c r="B43089" s="31"/>
      <c r="G43089" s="272" t="s">
        <v>1099</v>
      </c>
    </row>
    <row r="43090">
      <c r="B43090" s="31"/>
      <c r="G43090" s="272" t="s">
        <v>1099</v>
      </c>
    </row>
    <row r="43091">
      <c r="B43091" s="31"/>
      <c r="G43091" s="272" t="s">
        <v>1099</v>
      </c>
    </row>
    <row r="43092">
      <c r="B43092" s="31"/>
      <c r="G43092" s="272" t="s">
        <v>1099</v>
      </c>
    </row>
    <row r="43093">
      <c r="B43093" s="31"/>
      <c r="G43093" s="272" t="s">
        <v>1099</v>
      </c>
    </row>
    <row r="43094">
      <c r="B43094" s="31"/>
      <c r="G43094" s="272" t="s">
        <v>1099</v>
      </c>
    </row>
    <row r="43095">
      <c r="B43095" s="31"/>
      <c r="G43095" s="272" t="s">
        <v>1099</v>
      </c>
    </row>
    <row r="43096">
      <c r="B43096" s="31"/>
      <c r="G43096" s="272" t="s">
        <v>1099</v>
      </c>
    </row>
    <row r="43097">
      <c r="B43097" s="31"/>
      <c r="G43097" s="272" t="s">
        <v>1099</v>
      </c>
    </row>
    <row r="43098">
      <c r="B43098" s="31"/>
      <c r="G43098" s="272" t="s">
        <v>1099</v>
      </c>
    </row>
    <row r="43099">
      <c r="B43099" s="31"/>
      <c r="G43099" s="272" t="s">
        <v>1099</v>
      </c>
    </row>
    <row r="43100">
      <c r="B43100" s="31"/>
      <c r="G43100" s="272" t="s">
        <v>1099</v>
      </c>
    </row>
    <row r="43101">
      <c r="B43101" s="31"/>
      <c r="G43101" s="272" t="s">
        <v>1099</v>
      </c>
    </row>
    <row r="43102">
      <c r="B43102" s="31"/>
      <c r="G43102" s="272" t="s">
        <v>1099</v>
      </c>
    </row>
    <row r="43103">
      <c r="B43103" s="31"/>
      <c r="G43103" s="272" t="s">
        <v>1099</v>
      </c>
    </row>
    <row r="43104">
      <c r="B43104" s="31"/>
      <c r="G43104" s="272" t="s">
        <v>1099</v>
      </c>
    </row>
    <row r="43105">
      <c r="B43105" s="31"/>
      <c r="G43105" s="272" t="s">
        <v>1099</v>
      </c>
    </row>
    <row r="43106">
      <c r="B43106" s="31"/>
      <c r="G43106" s="272" t="s">
        <v>1099</v>
      </c>
    </row>
    <row r="43107">
      <c r="B43107" s="31"/>
      <c r="G43107" s="272" t="s">
        <v>1099</v>
      </c>
    </row>
    <row r="43108">
      <c r="B43108" s="31"/>
      <c r="G43108" s="272" t="s">
        <v>1099</v>
      </c>
    </row>
    <row r="43109">
      <c r="B43109" s="31"/>
      <c r="G43109" s="272" t="s">
        <v>1099</v>
      </c>
    </row>
    <row r="43110">
      <c r="B43110" s="31"/>
      <c r="G43110" s="272" t="s">
        <v>1099</v>
      </c>
    </row>
    <row r="43111">
      <c r="B43111" s="31"/>
      <c r="G43111" s="272" t="s">
        <v>1099</v>
      </c>
    </row>
    <row r="43112">
      <c r="B43112" s="31"/>
      <c r="G43112" s="272" t="s">
        <v>1099</v>
      </c>
    </row>
    <row r="43113">
      <c r="B43113" s="31"/>
      <c r="G43113" s="272" t="s">
        <v>1099</v>
      </c>
    </row>
    <row r="43114">
      <c r="B43114" s="31"/>
      <c r="G43114" s="272" t="s">
        <v>1099</v>
      </c>
    </row>
    <row r="43115">
      <c r="B43115" s="31"/>
      <c r="G43115" s="272" t="s">
        <v>1099</v>
      </c>
    </row>
    <row r="43116">
      <c r="B43116" s="31"/>
      <c r="G43116" s="272" t="s">
        <v>1099</v>
      </c>
    </row>
    <row r="43117">
      <c r="B43117" s="31"/>
      <c r="G43117" s="272" t="s">
        <v>1099</v>
      </c>
    </row>
    <row r="43118">
      <c r="B43118" s="31"/>
      <c r="G43118" s="272" t="s">
        <v>1099</v>
      </c>
    </row>
    <row r="43119">
      <c r="B43119" s="31"/>
      <c r="G43119" s="272" t="s">
        <v>1099</v>
      </c>
    </row>
    <row r="43120">
      <c r="B43120" s="31"/>
      <c r="G43120" s="272" t="s">
        <v>1099</v>
      </c>
    </row>
    <row r="43121">
      <c r="B43121" s="31"/>
      <c r="G43121" s="272" t="s">
        <v>1099</v>
      </c>
    </row>
    <row r="43122">
      <c r="B43122" s="31"/>
      <c r="G43122" s="272" t="s">
        <v>1099</v>
      </c>
    </row>
    <row r="43123">
      <c r="B43123" s="31"/>
      <c r="G43123" s="272" t="s">
        <v>1099</v>
      </c>
    </row>
    <row r="43124">
      <c r="B43124" s="31"/>
      <c r="G43124" s="272" t="s">
        <v>1099</v>
      </c>
    </row>
    <row r="43125">
      <c r="B43125" s="31"/>
      <c r="G43125" s="272" t="s">
        <v>1099</v>
      </c>
    </row>
    <row r="43126">
      <c r="B43126" s="31"/>
      <c r="G43126" s="272" t="s">
        <v>1099</v>
      </c>
    </row>
    <row r="43127">
      <c r="B43127" s="31"/>
      <c r="G43127" s="272" t="s">
        <v>1099</v>
      </c>
    </row>
    <row r="43128">
      <c r="B43128" s="31"/>
      <c r="G43128" s="272" t="s">
        <v>1099</v>
      </c>
    </row>
    <row r="43129">
      <c r="B43129" s="31"/>
      <c r="G43129" s="272" t="s">
        <v>1099</v>
      </c>
    </row>
    <row r="43130">
      <c r="B43130" s="31"/>
      <c r="G43130" s="272" t="s">
        <v>1099</v>
      </c>
    </row>
    <row r="43131">
      <c r="B43131" s="31"/>
      <c r="G43131" s="272" t="s">
        <v>1099</v>
      </c>
    </row>
    <row r="43132">
      <c r="B43132" s="31"/>
      <c r="G43132" s="272" t="s">
        <v>1099</v>
      </c>
    </row>
    <row r="43133">
      <c r="B43133" s="31"/>
      <c r="G43133" s="272" t="s">
        <v>1099</v>
      </c>
    </row>
    <row r="43134">
      <c r="B43134" s="31"/>
      <c r="G43134" s="272" t="s">
        <v>1099</v>
      </c>
    </row>
    <row r="43135">
      <c r="B43135" s="31"/>
      <c r="G43135" s="272" t="s">
        <v>1099</v>
      </c>
    </row>
    <row r="43136">
      <c r="B43136" s="31"/>
      <c r="G43136" s="272" t="s">
        <v>1099</v>
      </c>
    </row>
    <row r="43137">
      <c r="B43137" s="31"/>
      <c r="G43137" s="272" t="s">
        <v>1099</v>
      </c>
    </row>
    <row r="43138">
      <c r="B43138" s="31"/>
      <c r="G43138" s="272" t="s">
        <v>1099</v>
      </c>
    </row>
    <row r="43139">
      <c r="B43139" s="31"/>
      <c r="G43139" s="272" t="s">
        <v>1099</v>
      </c>
    </row>
    <row r="43140">
      <c r="B43140" s="31"/>
      <c r="G43140" s="272" t="s">
        <v>1099</v>
      </c>
    </row>
    <row r="43141">
      <c r="B43141" s="31"/>
      <c r="G43141" s="272" t="s">
        <v>1099</v>
      </c>
    </row>
    <row r="43142">
      <c r="B43142" s="31"/>
      <c r="G43142" s="272" t="s">
        <v>1099</v>
      </c>
    </row>
    <row r="43143">
      <c r="B43143" s="31"/>
      <c r="G43143" s="272" t="s">
        <v>1099</v>
      </c>
    </row>
    <row r="43144">
      <c r="B43144" s="31"/>
      <c r="G43144" s="272" t="s">
        <v>1099</v>
      </c>
    </row>
    <row r="43145">
      <c r="B43145" s="31"/>
      <c r="G43145" s="272" t="s">
        <v>1099</v>
      </c>
    </row>
    <row r="43146">
      <c r="B43146" s="31"/>
      <c r="G43146" s="272" t="s">
        <v>1099</v>
      </c>
    </row>
    <row r="43147">
      <c r="B43147" s="31"/>
      <c r="G43147" s="272" t="s">
        <v>1099</v>
      </c>
    </row>
    <row r="43148">
      <c r="B43148" s="31"/>
      <c r="G43148" s="272" t="s">
        <v>1099</v>
      </c>
    </row>
    <row r="43149">
      <c r="B43149" s="31"/>
      <c r="G43149" s="272" t="s">
        <v>1099</v>
      </c>
    </row>
    <row r="43150">
      <c r="B43150" s="31"/>
      <c r="G43150" s="272" t="s">
        <v>1099</v>
      </c>
    </row>
    <row r="43151">
      <c r="B43151" s="31"/>
      <c r="G43151" s="272" t="s">
        <v>1099</v>
      </c>
    </row>
    <row r="43152">
      <c r="B43152" s="31"/>
      <c r="G43152" s="272" t="s">
        <v>1099</v>
      </c>
    </row>
    <row r="43153">
      <c r="B43153" s="31"/>
      <c r="G43153" s="272" t="s">
        <v>1099</v>
      </c>
    </row>
    <row r="43154">
      <c r="B43154" s="31"/>
      <c r="G43154" s="272" t="s">
        <v>1099</v>
      </c>
    </row>
    <row r="43155">
      <c r="B43155" s="31"/>
      <c r="G43155" s="272" t="s">
        <v>1099</v>
      </c>
    </row>
    <row r="43156">
      <c r="B43156" s="31"/>
      <c r="G43156" s="272" t="s">
        <v>1099</v>
      </c>
    </row>
    <row r="43157">
      <c r="B43157" s="31"/>
      <c r="G43157" s="272" t="s">
        <v>1099</v>
      </c>
    </row>
    <row r="43158">
      <c r="B43158" s="31"/>
      <c r="G43158" s="272" t="s">
        <v>1099</v>
      </c>
    </row>
    <row r="43159">
      <c r="B43159" s="31"/>
      <c r="G43159" s="272" t="s">
        <v>1099</v>
      </c>
    </row>
    <row r="43160">
      <c r="B43160" s="31"/>
      <c r="G43160" s="272" t="s">
        <v>1099</v>
      </c>
    </row>
    <row r="43161">
      <c r="B43161" s="31"/>
      <c r="G43161" s="272" t="s">
        <v>1099</v>
      </c>
    </row>
    <row r="43162">
      <c r="B43162" s="31"/>
      <c r="G43162" s="272" t="s">
        <v>1099</v>
      </c>
    </row>
    <row r="43163">
      <c r="B43163" s="31"/>
      <c r="G43163" s="272" t="s">
        <v>1099</v>
      </c>
    </row>
    <row r="43164">
      <c r="B43164" s="31"/>
      <c r="G43164" s="272" t="s">
        <v>1099</v>
      </c>
    </row>
    <row r="43165">
      <c r="B43165" s="31"/>
      <c r="G43165" s="272" t="s">
        <v>1099</v>
      </c>
    </row>
    <row r="43166">
      <c r="B43166" s="31"/>
      <c r="G43166" s="272" t="s">
        <v>1099</v>
      </c>
    </row>
    <row r="43167">
      <c r="B43167" s="31"/>
      <c r="G43167" s="272" t="s">
        <v>1099</v>
      </c>
    </row>
    <row r="43168">
      <c r="B43168" s="31"/>
      <c r="G43168" s="272" t="s">
        <v>1099</v>
      </c>
    </row>
    <row r="43169">
      <c r="B43169" s="31"/>
      <c r="G43169" s="272" t="s">
        <v>1099</v>
      </c>
    </row>
    <row r="43170">
      <c r="B43170" s="31"/>
      <c r="G43170" s="272" t="s">
        <v>1099</v>
      </c>
    </row>
    <row r="43171">
      <c r="B43171" s="31"/>
      <c r="G43171" s="272" t="s">
        <v>1099</v>
      </c>
    </row>
    <row r="43172">
      <c r="B43172" s="31"/>
      <c r="G43172" s="272" t="s">
        <v>1099</v>
      </c>
    </row>
    <row r="43173">
      <c r="B43173" s="31"/>
      <c r="G43173" s="272" t="s">
        <v>1099</v>
      </c>
    </row>
    <row r="43174">
      <c r="B43174" s="31"/>
      <c r="G43174" s="272" t="s">
        <v>1099</v>
      </c>
    </row>
    <row r="43175">
      <c r="B43175" s="31"/>
      <c r="G43175" s="272" t="s">
        <v>1099</v>
      </c>
    </row>
    <row r="43176">
      <c r="B43176" s="31"/>
      <c r="G43176" s="272" t="s">
        <v>1099</v>
      </c>
    </row>
    <row r="43177">
      <c r="B43177" s="31"/>
      <c r="G43177" s="272" t="s">
        <v>1099</v>
      </c>
    </row>
    <row r="43178">
      <c r="B43178" s="31"/>
      <c r="G43178" s="272" t="s">
        <v>1099</v>
      </c>
    </row>
    <row r="43179">
      <c r="B43179" s="31"/>
      <c r="G43179" s="272" t="s">
        <v>1099</v>
      </c>
    </row>
    <row r="43180">
      <c r="B43180" s="31"/>
      <c r="G43180" s="272" t="s">
        <v>1099</v>
      </c>
    </row>
    <row r="43181">
      <c r="B43181" s="31"/>
      <c r="G43181" s="272" t="s">
        <v>1099</v>
      </c>
    </row>
    <row r="43182">
      <c r="B43182" s="31"/>
      <c r="G43182" s="272" t="s">
        <v>1099</v>
      </c>
    </row>
    <row r="43183">
      <c r="B43183" s="31"/>
      <c r="G43183" s="272" t="s">
        <v>1099</v>
      </c>
    </row>
    <row r="43184">
      <c r="B43184" s="31"/>
      <c r="G43184" s="272" t="s">
        <v>1099</v>
      </c>
    </row>
    <row r="43185">
      <c r="B43185" s="31"/>
      <c r="G43185" s="272" t="s">
        <v>1099</v>
      </c>
    </row>
    <row r="43186">
      <c r="B43186" s="31"/>
      <c r="G43186" s="272" t="s">
        <v>1099</v>
      </c>
    </row>
    <row r="43187">
      <c r="B43187" s="31"/>
      <c r="G43187" s="272" t="s">
        <v>1099</v>
      </c>
    </row>
    <row r="43188">
      <c r="B43188" s="31"/>
      <c r="G43188" s="272" t="s">
        <v>1099</v>
      </c>
    </row>
    <row r="43189">
      <c r="B43189" s="31"/>
      <c r="G43189" s="272" t="s">
        <v>1099</v>
      </c>
    </row>
    <row r="43190">
      <c r="B43190" s="31"/>
      <c r="G43190" s="272" t="s">
        <v>1099</v>
      </c>
    </row>
    <row r="43191">
      <c r="B43191" s="31"/>
      <c r="G43191" s="272" t="s">
        <v>1099</v>
      </c>
    </row>
    <row r="43192">
      <c r="B43192" s="31"/>
      <c r="G43192" s="272" t="s">
        <v>1099</v>
      </c>
    </row>
    <row r="43193">
      <c r="B43193" s="31"/>
      <c r="G43193" s="272" t="s">
        <v>1099</v>
      </c>
    </row>
    <row r="43194">
      <c r="B43194" s="31"/>
      <c r="G43194" s="272" t="s">
        <v>1099</v>
      </c>
    </row>
    <row r="43195">
      <c r="B43195" s="31"/>
      <c r="G43195" s="272" t="s">
        <v>1099</v>
      </c>
    </row>
    <row r="43196">
      <c r="B43196" s="31"/>
      <c r="G43196" s="272" t="s">
        <v>1099</v>
      </c>
    </row>
    <row r="43197">
      <c r="B43197" s="31"/>
      <c r="G43197" s="272" t="s">
        <v>1099</v>
      </c>
    </row>
    <row r="43198">
      <c r="B43198" s="31"/>
      <c r="G43198" s="272" t="s">
        <v>1099</v>
      </c>
    </row>
    <row r="43199">
      <c r="B43199" s="31"/>
      <c r="G43199" s="272" t="s">
        <v>1099</v>
      </c>
    </row>
    <row r="43200">
      <c r="B43200" s="31"/>
      <c r="G43200" s="272" t="s">
        <v>1099</v>
      </c>
    </row>
    <row r="43201">
      <c r="B43201" s="31"/>
      <c r="G43201" s="272" t="s">
        <v>1099</v>
      </c>
    </row>
    <row r="43202">
      <c r="B43202" s="31"/>
      <c r="G43202" s="272" t="s">
        <v>1099</v>
      </c>
    </row>
    <row r="43203">
      <c r="B43203" s="31"/>
      <c r="G43203" s="272" t="s">
        <v>1099</v>
      </c>
    </row>
    <row r="43204">
      <c r="B43204" s="31"/>
      <c r="G43204" s="272" t="s">
        <v>1099</v>
      </c>
    </row>
    <row r="43205">
      <c r="B43205" s="31"/>
      <c r="G43205" s="272" t="s">
        <v>1099</v>
      </c>
    </row>
    <row r="43206">
      <c r="B43206" s="31"/>
      <c r="G43206" s="272" t="s">
        <v>1099</v>
      </c>
    </row>
    <row r="43207">
      <c r="B43207" s="31"/>
      <c r="G43207" s="272" t="s">
        <v>1099</v>
      </c>
    </row>
    <row r="43208">
      <c r="B43208" s="31"/>
      <c r="G43208" s="272" t="s">
        <v>1099</v>
      </c>
    </row>
    <row r="43209">
      <c r="B43209" s="31"/>
      <c r="G43209" s="272" t="s">
        <v>1099</v>
      </c>
    </row>
    <row r="43210">
      <c r="B43210" s="31"/>
      <c r="G43210" s="272" t="s">
        <v>1099</v>
      </c>
    </row>
    <row r="43211">
      <c r="B43211" s="31"/>
      <c r="G43211" s="272" t="s">
        <v>1099</v>
      </c>
    </row>
    <row r="43212">
      <c r="B43212" s="31"/>
      <c r="G43212" s="272" t="s">
        <v>1099</v>
      </c>
    </row>
    <row r="43213">
      <c r="B43213" s="31"/>
      <c r="G43213" s="272" t="s">
        <v>1099</v>
      </c>
    </row>
    <row r="43214">
      <c r="B43214" s="31"/>
      <c r="G43214" s="272" t="s">
        <v>1099</v>
      </c>
    </row>
    <row r="43215">
      <c r="B43215" s="31"/>
      <c r="G43215" s="272" t="s">
        <v>1099</v>
      </c>
    </row>
    <row r="43216">
      <c r="B43216" s="31"/>
      <c r="G43216" s="272" t="s">
        <v>1099</v>
      </c>
    </row>
    <row r="43217">
      <c r="B43217" s="31"/>
      <c r="G43217" s="272" t="s">
        <v>1099</v>
      </c>
    </row>
    <row r="43218">
      <c r="B43218" s="31"/>
      <c r="G43218" s="272" t="s">
        <v>1099</v>
      </c>
    </row>
    <row r="43219">
      <c r="B43219" s="31"/>
      <c r="G43219" s="272" t="s">
        <v>1099</v>
      </c>
    </row>
    <row r="43220">
      <c r="B43220" s="31"/>
      <c r="G43220" s="272" t="s">
        <v>1099</v>
      </c>
    </row>
    <row r="43221">
      <c r="B43221" s="31"/>
      <c r="G43221" s="272" t="s">
        <v>1099</v>
      </c>
    </row>
    <row r="43222">
      <c r="B43222" s="31"/>
      <c r="G43222" s="272" t="s">
        <v>1099</v>
      </c>
    </row>
    <row r="43223">
      <c r="B43223" s="31"/>
      <c r="G43223" s="272" t="s">
        <v>1099</v>
      </c>
    </row>
    <row r="43224">
      <c r="B43224" s="31"/>
      <c r="G43224" s="272" t="s">
        <v>1099</v>
      </c>
    </row>
    <row r="43225">
      <c r="B43225" s="31"/>
      <c r="G43225" s="272" t="s">
        <v>1099</v>
      </c>
    </row>
    <row r="43226">
      <c r="B43226" s="31"/>
      <c r="G43226" s="272" t="s">
        <v>1099</v>
      </c>
    </row>
    <row r="43227">
      <c r="B43227" s="31"/>
      <c r="G43227" s="272" t="s">
        <v>1099</v>
      </c>
    </row>
    <row r="43228">
      <c r="B43228" s="31"/>
      <c r="G43228" s="272" t="s">
        <v>1099</v>
      </c>
    </row>
    <row r="43229">
      <c r="B43229" s="31"/>
      <c r="G43229" s="272" t="s">
        <v>1099</v>
      </c>
    </row>
    <row r="43230">
      <c r="B43230" s="31"/>
      <c r="G43230" s="272" t="s">
        <v>1099</v>
      </c>
    </row>
    <row r="43231">
      <c r="B43231" s="31"/>
      <c r="G43231" s="272" t="s">
        <v>1099</v>
      </c>
    </row>
    <row r="43232">
      <c r="B43232" s="31"/>
      <c r="G43232" s="272" t="s">
        <v>1099</v>
      </c>
    </row>
    <row r="43233">
      <c r="B43233" s="31"/>
      <c r="G43233" s="272" t="s">
        <v>1099</v>
      </c>
    </row>
    <row r="43234">
      <c r="B43234" s="31"/>
      <c r="G43234" s="272" t="s">
        <v>1099</v>
      </c>
    </row>
    <row r="43235">
      <c r="B43235" s="31"/>
      <c r="G43235" s="272" t="s">
        <v>1099</v>
      </c>
    </row>
    <row r="43236">
      <c r="B43236" s="31"/>
      <c r="G43236" s="272" t="s">
        <v>1099</v>
      </c>
    </row>
    <row r="43237">
      <c r="B43237" s="31"/>
      <c r="G43237" s="272" t="s">
        <v>1099</v>
      </c>
    </row>
    <row r="43238">
      <c r="B43238" s="31"/>
      <c r="G43238" s="272" t="s">
        <v>1099</v>
      </c>
    </row>
    <row r="43239">
      <c r="B43239" s="31"/>
      <c r="G43239" s="272" t="s">
        <v>1099</v>
      </c>
    </row>
    <row r="43240">
      <c r="B43240" s="31"/>
      <c r="G43240" s="272" t="s">
        <v>1099</v>
      </c>
    </row>
    <row r="43241">
      <c r="B43241" s="31"/>
      <c r="G43241" s="272" t="s">
        <v>1099</v>
      </c>
    </row>
    <row r="43242">
      <c r="B43242" s="31"/>
      <c r="G43242" s="272" t="s">
        <v>1099</v>
      </c>
    </row>
    <row r="43243">
      <c r="B43243" s="31"/>
      <c r="G43243" s="272" t="s">
        <v>1099</v>
      </c>
    </row>
    <row r="43244">
      <c r="B43244" s="31"/>
      <c r="G43244" s="272" t="s">
        <v>1099</v>
      </c>
    </row>
    <row r="43245">
      <c r="B43245" s="31"/>
      <c r="G43245" s="272" t="s">
        <v>1099</v>
      </c>
    </row>
    <row r="43246">
      <c r="B43246" s="31"/>
      <c r="G43246" s="272" t="s">
        <v>1099</v>
      </c>
    </row>
    <row r="43247">
      <c r="B43247" s="31"/>
      <c r="G43247" s="272" t="s">
        <v>1099</v>
      </c>
    </row>
    <row r="43248">
      <c r="B43248" s="31"/>
      <c r="G43248" s="272" t="s">
        <v>1099</v>
      </c>
    </row>
    <row r="43249">
      <c r="B43249" s="31"/>
      <c r="G43249" s="272" t="s">
        <v>1099</v>
      </c>
    </row>
    <row r="43250">
      <c r="B43250" s="31"/>
      <c r="G43250" s="272" t="s">
        <v>1099</v>
      </c>
    </row>
    <row r="43251">
      <c r="B43251" s="31"/>
      <c r="G43251" s="272" t="s">
        <v>1099</v>
      </c>
    </row>
    <row r="43252">
      <c r="B43252" s="31"/>
      <c r="G43252" s="272" t="s">
        <v>1099</v>
      </c>
    </row>
    <row r="43253">
      <c r="B43253" s="31"/>
      <c r="G43253" s="272" t="s">
        <v>1099</v>
      </c>
    </row>
    <row r="43254">
      <c r="B43254" s="31"/>
      <c r="G43254" s="272" t="s">
        <v>1099</v>
      </c>
    </row>
    <row r="43255">
      <c r="B43255" s="31"/>
      <c r="G43255" s="272" t="s">
        <v>1099</v>
      </c>
    </row>
    <row r="43256">
      <c r="B43256" s="31"/>
      <c r="G43256" s="272" t="s">
        <v>1099</v>
      </c>
    </row>
    <row r="43257">
      <c r="B43257" s="31"/>
      <c r="G43257" s="272" t="s">
        <v>1099</v>
      </c>
    </row>
    <row r="43258">
      <c r="B43258" s="31"/>
      <c r="G43258" s="272" t="s">
        <v>1099</v>
      </c>
    </row>
    <row r="43259">
      <c r="B43259" s="31"/>
      <c r="G43259" s="272" t="s">
        <v>1099</v>
      </c>
    </row>
    <row r="43260">
      <c r="B43260" s="31"/>
      <c r="G43260" s="272" t="s">
        <v>1099</v>
      </c>
    </row>
    <row r="43261">
      <c r="B43261" s="31"/>
      <c r="G43261" s="272" t="s">
        <v>1099</v>
      </c>
    </row>
    <row r="43262">
      <c r="B43262" s="31"/>
      <c r="G43262" s="272" t="s">
        <v>1099</v>
      </c>
    </row>
    <row r="43263">
      <c r="B43263" s="31"/>
      <c r="G43263" s="272" t="s">
        <v>1099</v>
      </c>
    </row>
    <row r="43264">
      <c r="B43264" s="31"/>
      <c r="G43264" s="272" t="s">
        <v>1099</v>
      </c>
    </row>
    <row r="43265">
      <c r="B43265" s="31"/>
      <c r="G43265" s="272" t="s">
        <v>1099</v>
      </c>
    </row>
    <row r="43266">
      <c r="B43266" s="31"/>
      <c r="G43266" s="272" t="s">
        <v>1099</v>
      </c>
    </row>
    <row r="43267">
      <c r="B43267" s="31"/>
      <c r="G43267" s="272" t="s">
        <v>1099</v>
      </c>
    </row>
    <row r="43268">
      <c r="B43268" s="31"/>
      <c r="G43268" s="272" t="s">
        <v>1099</v>
      </c>
    </row>
    <row r="43269">
      <c r="B43269" s="31"/>
      <c r="G43269" s="272" t="s">
        <v>1099</v>
      </c>
    </row>
    <row r="43270">
      <c r="B43270" s="31"/>
      <c r="G43270" s="272" t="s">
        <v>1099</v>
      </c>
    </row>
    <row r="43271">
      <c r="B43271" s="31"/>
      <c r="G43271" s="272" t="s">
        <v>1099</v>
      </c>
    </row>
    <row r="43272">
      <c r="B43272" s="31"/>
      <c r="G43272" s="272" t="s">
        <v>1099</v>
      </c>
    </row>
    <row r="43273">
      <c r="B43273" s="31"/>
      <c r="G43273" s="272" t="s">
        <v>1099</v>
      </c>
    </row>
    <row r="43274">
      <c r="B43274" s="31"/>
      <c r="G43274" s="272" t="s">
        <v>1099</v>
      </c>
    </row>
    <row r="43275">
      <c r="B43275" s="31"/>
      <c r="G43275" s="272" t="s">
        <v>1099</v>
      </c>
    </row>
    <row r="43276">
      <c r="B43276" s="31"/>
      <c r="G43276" s="272" t="s">
        <v>1099</v>
      </c>
    </row>
    <row r="43277">
      <c r="B43277" s="31"/>
      <c r="G43277" s="272" t="s">
        <v>1099</v>
      </c>
    </row>
    <row r="43278">
      <c r="B43278" s="31"/>
      <c r="G43278" s="272" t="s">
        <v>1099</v>
      </c>
    </row>
    <row r="43279">
      <c r="B43279" s="31"/>
      <c r="G43279" s="272" t="s">
        <v>1099</v>
      </c>
    </row>
    <row r="43280">
      <c r="B43280" s="31"/>
      <c r="G43280" s="272" t="s">
        <v>1099</v>
      </c>
    </row>
    <row r="43281">
      <c r="B43281" s="31"/>
      <c r="G43281" s="272" t="s">
        <v>1099</v>
      </c>
    </row>
    <row r="43282">
      <c r="B43282" s="31"/>
      <c r="G43282" s="272" t="s">
        <v>1099</v>
      </c>
    </row>
    <row r="43283">
      <c r="B43283" s="31"/>
      <c r="G43283" s="272" t="s">
        <v>1099</v>
      </c>
    </row>
    <row r="43284">
      <c r="B43284" s="31"/>
      <c r="G43284" s="272" t="s">
        <v>1099</v>
      </c>
    </row>
    <row r="43285">
      <c r="B43285" s="31"/>
      <c r="G43285" s="272" t="s">
        <v>1099</v>
      </c>
    </row>
    <row r="43286">
      <c r="B43286" s="31"/>
      <c r="G43286" s="272" t="s">
        <v>1099</v>
      </c>
    </row>
    <row r="43287">
      <c r="B43287" s="31"/>
      <c r="G43287" s="272" t="s">
        <v>1099</v>
      </c>
    </row>
    <row r="43288">
      <c r="B43288" s="31"/>
      <c r="G43288" s="272" t="s">
        <v>1099</v>
      </c>
    </row>
    <row r="43289">
      <c r="B43289" s="31"/>
      <c r="G43289" s="272" t="s">
        <v>1099</v>
      </c>
    </row>
    <row r="43290">
      <c r="B43290" s="31"/>
      <c r="G43290" s="272" t="s">
        <v>1099</v>
      </c>
    </row>
    <row r="43291">
      <c r="B43291" s="31"/>
      <c r="G43291" s="272" t="s">
        <v>1099</v>
      </c>
    </row>
    <row r="43292">
      <c r="B43292" s="31"/>
      <c r="G43292" s="272" t="s">
        <v>1099</v>
      </c>
    </row>
    <row r="43293">
      <c r="B43293" s="31"/>
      <c r="G43293" s="272" t="s">
        <v>1099</v>
      </c>
    </row>
    <row r="43294">
      <c r="B43294" s="31"/>
      <c r="G43294" s="272" t="s">
        <v>1099</v>
      </c>
    </row>
    <row r="43295">
      <c r="B43295" s="31"/>
      <c r="G43295" s="272" t="s">
        <v>1099</v>
      </c>
    </row>
    <row r="43296">
      <c r="B43296" s="31"/>
      <c r="G43296" s="272" t="s">
        <v>1099</v>
      </c>
    </row>
    <row r="43297">
      <c r="B43297" s="31"/>
      <c r="G43297" s="272" t="s">
        <v>1099</v>
      </c>
    </row>
    <row r="43298">
      <c r="B43298" s="31"/>
      <c r="G43298" s="272" t="s">
        <v>1099</v>
      </c>
    </row>
    <row r="43299">
      <c r="B43299" s="31"/>
      <c r="G43299" s="272" t="s">
        <v>1099</v>
      </c>
    </row>
    <row r="43300">
      <c r="B43300" s="31"/>
      <c r="G43300" s="272" t="s">
        <v>1099</v>
      </c>
    </row>
    <row r="43301">
      <c r="B43301" s="31"/>
      <c r="G43301" s="272" t="s">
        <v>1099</v>
      </c>
    </row>
    <row r="43302">
      <c r="B43302" s="31"/>
      <c r="G43302" s="272" t="s">
        <v>1099</v>
      </c>
    </row>
    <row r="43303">
      <c r="B43303" s="31"/>
      <c r="G43303" s="272" t="s">
        <v>1099</v>
      </c>
    </row>
    <row r="43304">
      <c r="B43304" s="31"/>
      <c r="G43304" s="272" t="s">
        <v>1099</v>
      </c>
    </row>
    <row r="43305">
      <c r="B43305" s="31"/>
      <c r="G43305" s="272" t="s">
        <v>1099</v>
      </c>
    </row>
    <row r="43306">
      <c r="B43306" s="31"/>
      <c r="G43306" s="272" t="s">
        <v>1099</v>
      </c>
    </row>
    <row r="43307">
      <c r="B43307" s="31"/>
      <c r="G43307" s="272" t="s">
        <v>1099</v>
      </c>
    </row>
    <row r="43308">
      <c r="B43308" s="31"/>
      <c r="G43308" s="272" t="s">
        <v>1099</v>
      </c>
    </row>
    <row r="43309">
      <c r="B43309" s="31"/>
      <c r="G43309" s="272" t="s">
        <v>1099</v>
      </c>
    </row>
    <row r="43310">
      <c r="B43310" s="31"/>
      <c r="G43310" s="272" t="s">
        <v>1099</v>
      </c>
    </row>
    <row r="43311">
      <c r="B43311" s="31"/>
      <c r="G43311" s="272" t="s">
        <v>1099</v>
      </c>
    </row>
    <row r="43312">
      <c r="B43312" s="31"/>
      <c r="G43312" s="272" t="s">
        <v>1099</v>
      </c>
    </row>
    <row r="43313">
      <c r="B43313" s="31"/>
      <c r="G43313" s="272" t="s">
        <v>1099</v>
      </c>
    </row>
    <row r="43314">
      <c r="B43314" s="31"/>
      <c r="G43314" s="272" t="s">
        <v>1099</v>
      </c>
    </row>
    <row r="43315">
      <c r="B43315" s="31"/>
      <c r="G43315" s="272" t="s">
        <v>1099</v>
      </c>
    </row>
    <row r="43316">
      <c r="B43316" s="31"/>
      <c r="G43316" s="272" t="s">
        <v>1099</v>
      </c>
    </row>
    <row r="43317">
      <c r="B43317" s="31"/>
      <c r="G43317" s="272" t="s">
        <v>1099</v>
      </c>
    </row>
    <row r="43318">
      <c r="B43318" s="31"/>
      <c r="G43318" s="272" t="s">
        <v>1099</v>
      </c>
    </row>
    <row r="43319">
      <c r="B43319" s="31"/>
      <c r="G43319" s="272" t="s">
        <v>1099</v>
      </c>
    </row>
    <row r="43320">
      <c r="B43320" s="31"/>
      <c r="G43320" s="272" t="s">
        <v>1099</v>
      </c>
    </row>
    <row r="43321">
      <c r="B43321" s="31"/>
      <c r="G43321" s="272" t="s">
        <v>1099</v>
      </c>
    </row>
    <row r="43322">
      <c r="B43322" s="31"/>
      <c r="G43322" s="272" t="s">
        <v>1099</v>
      </c>
    </row>
    <row r="43323">
      <c r="B43323" s="31"/>
      <c r="G43323" s="272" t="s">
        <v>1099</v>
      </c>
    </row>
    <row r="43324">
      <c r="B43324" s="31"/>
      <c r="G43324" s="272" t="s">
        <v>1099</v>
      </c>
    </row>
    <row r="43325">
      <c r="B43325" s="31"/>
      <c r="G43325" s="272" t="s">
        <v>1099</v>
      </c>
    </row>
    <row r="43326">
      <c r="B43326" s="31"/>
      <c r="G43326" s="272" t="s">
        <v>1099</v>
      </c>
    </row>
    <row r="43327">
      <c r="B43327" s="31"/>
      <c r="G43327" s="272" t="s">
        <v>1099</v>
      </c>
    </row>
    <row r="43328">
      <c r="B43328" s="31"/>
      <c r="G43328" s="272" t="s">
        <v>1099</v>
      </c>
    </row>
    <row r="43329">
      <c r="B43329" s="31"/>
      <c r="G43329" s="272" t="s">
        <v>1099</v>
      </c>
    </row>
    <row r="43330">
      <c r="B43330" s="31"/>
      <c r="G43330" s="272" t="s">
        <v>1099</v>
      </c>
    </row>
    <row r="43331">
      <c r="B43331" s="31"/>
      <c r="G43331" s="272" t="s">
        <v>1099</v>
      </c>
    </row>
    <row r="43332">
      <c r="B43332" s="31"/>
      <c r="G43332" s="272" t="s">
        <v>1099</v>
      </c>
    </row>
    <row r="43333">
      <c r="B43333" s="31"/>
      <c r="G43333" s="272" t="s">
        <v>1099</v>
      </c>
    </row>
    <row r="43334">
      <c r="B43334" s="31"/>
      <c r="G43334" s="272" t="s">
        <v>1099</v>
      </c>
    </row>
    <row r="43335">
      <c r="B43335" s="31"/>
      <c r="G43335" s="272" t="s">
        <v>1099</v>
      </c>
    </row>
    <row r="43336">
      <c r="B43336" s="31"/>
      <c r="G43336" s="272" t="s">
        <v>1099</v>
      </c>
    </row>
    <row r="43337">
      <c r="B43337" s="31"/>
      <c r="G43337" s="272" t="s">
        <v>1099</v>
      </c>
    </row>
    <row r="43338">
      <c r="B43338" s="31"/>
      <c r="G43338" s="272" t="s">
        <v>1099</v>
      </c>
    </row>
    <row r="43339">
      <c r="B43339" s="31"/>
      <c r="G43339" s="272" t="s">
        <v>1099</v>
      </c>
    </row>
    <row r="43340">
      <c r="B43340" s="31"/>
      <c r="G43340" s="272" t="s">
        <v>1099</v>
      </c>
    </row>
    <row r="43341">
      <c r="B43341" s="31"/>
      <c r="G43341" s="272" t="s">
        <v>1099</v>
      </c>
    </row>
    <row r="43342">
      <c r="B43342" s="31"/>
      <c r="G43342" s="272" t="s">
        <v>1099</v>
      </c>
    </row>
    <row r="43343">
      <c r="B43343" s="31"/>
      <c r="G43343" s="272" t="s">
        <v>1099</v>
      </c>
    </row>
    <row r="43344">
      <c r="B43344" s="31"/>
      <c r="G43344" s="272" t="s">
        <v>1099</v>
      </c>
    </row>
    <row r="43345">
      <c r="B43345" s="31"/>
      <c r="G43345" s="272" t="s">
        <v>1099</v>
      </c>
    </row>
    <row r="43346">
      <c r="B43346" s="31"/>
      <c r="G43346" s="272" t="s">
        <v>1099</v>
      </c>
    </row>
    <row r="43347">
      <c r="B43347" s="31"/>
      <c r="G43347" s="272" t="s">
        <v>1099</v>
      </c>
    </row>
    <row r="43348">
      <c r="B43348" s="31"/>
      <c r="G43348" s="272" t="s">
        <v>1099</v>
      </c>
    </row>
    <row r="43349">
      <c r="B43349" s="31"/>
      <c r="G43349" s="272" t="s">
        <v>1099</v>
      </c>
    </row>
    <row r="43350">
      <c r="B43350" s="31"/>
      <c r="G43350" s="272" t="s">
        <v>1099</v>
      </c>
    </row>
    <row r="43351">
      <c r="B43351" s="31"/>
      <c r="G43351" s="272" t="s">
        <v>1099</v>
      </c>
    </row>
    <row r="43352">
      <c r="B43352" s="31"/>
      <c r="G43352" s="272" t="s">
        <v>1099</v>
      </c>
    </row>
    <row r="43353">
      <c r="B43353" s="31"/>
      <c r="G43353" s="272" t="s">
        <v>1099</v>
      </c>
    </row>
    <row r="43354">
      <c r="B43354" s="31"/>
      <c r="G43354" s="272" t="s">
        <v>1099</v>
      </c>
    </row>
    <row r="43355">
      <c r="B43355" s="31"/>
      <c r="G43355" s="272" t="s">
        <v>1099</v>
      </c>
    </row>
    <row r="43356">
      <c r="B43356" s="31"/>
      <c r="G43356" s="272" t="s">
        <v>1099</v>
      </c>
    </row>
    <row r="43357">
      <c r="B43357" s="31"/>
      <c r="G43357" s="272" t="s">
        <v>1099</v>
      </c>
    </row>
    <row r="43358">
      <c r="B43358" s="31"/>
      <c r="G43358" s="272" t="s">
        <v>1099</v>
      </c>
    </row>
    <row r="43359">
      <c r="B43359" s="31"/>
      <c r="G43359" s="272" t="s">
        <v>1099</v>
      </c>
    </row>
    <row r="43360">
      <c r="B43360" s="31"/>
      <c r="G43360" s="272" t="s">
        <v>1099</v>
      </c>
    </row>
    <row r="43361">
      <c r="B43361" s="31"/>
      <c r="G43361" s="272" t="s">
        <v>1099</v>
      </c>
    </row>
    <row r="43362">
      <c r="B43362" s="31"/>
      <c r="G43362" s="272" t="s">
        <v>1099</v>
      </c>
    </row>
    <row r="43363">
      <c r="B43363" s="31"/>
      <c r="G43363" s="272" t="s">
        <v>1099</v>
      </c>
    </row>
    <row r="43364">
      <c r="B43364" s="31"/>
      <c r="G43364" s="272" t="s">
        <v>1099</v>
      </c>
    </row>
    <row r="43365">
      <c r="B43365" s="31"/>
      <c r="G43365" s="272" t="s">
        <v>1099</v>
      </c>
    </row>
    <row r="43366">
      <c r="B43366" s="31"/>
      <c r="G43366" s="272" t="s">
        <v>1099</v>
      </c>
    </row>
    <row r="43367">
      <c r="B43367" s="31"/>
      <c r="G43367" s="272" t="s">
        <v>1099</v>
      </c>
    </row>
    <row r="43368">
      <c r="B43368" s="31"/>
      <c r="G43368" s="272" t="s">
        <v>1099</v>
      </c>
    </row>
    <row r="43369">
      <c r="B43369" s="31"/>
      <c r="G43369" s="272" t="s">
        <v>1099</v>
      </c>
    </row>
    <row r="43370">
      <c r="B43370" s="31"/>
      <c r="G43370" s="272" t="s">
        <v>1099</v>
      </c>
    </row>
    <row r="43371">
      <c r="B43371" s="31"/>
      <c r="G43371" s="272" t="s">
        <v>1099</v>
      </c>
    </row>
    <row r="43372">
      <c r="B43372" s="31"/>
      <c r="G43372" s="272" t="s">
        <v>1099</v>
      </c>
    </row>
    <row r="43373">
      <c r="B43373" s="31"/>
      <c r="G43373" s="272" t="s">
        <v>1099</v>
      </c>
    </row>
    <row r="43374">
      <c r="B43374" s="31"/>
      <c r="G43374" s="272" t="s">
        <v>1099</v>
      </c>
    </row>
    <row r="43375">
      <c r="B43375" s="31"/>
      <c r="G43375" s="272" t="s">
        <v>1099</v>
      </c>
    </row>
    <row r="43376">
      <c r="B43376" s="31"/>
      <c r="G43376" s="272" t="s">
        <v>1099</v>
      </c>
    </row>
    <row r="43377">
      <c r="B43377" s="31"/>
      <c r="G43377" s="272" t="s">
        <v>1099</v>
      </c>
    </row>
    <row r="43378">
      <c r="B43378" s="31"/>
      <c r="G43378" s="272" t="s">
        <v>1099</v>
      </c>
    </row>
    <row r="43379">
      <c r="B43379" s="31"/>
      <c r="G43379" s="272" t="s">
        <v>1099</v>
      </c>
    </row>
    <row r="43380">
      <c r="B43380" s="31"/>
      <c r="G43380" s="272" t="s">
        <v>1099</v>
      </c>
    </row>
    <row r="43381">
      <c r="B43381" s="31"/>
      <c r="G43381" s="272" t="s">
        <v>1099</v>
      </c>
    </row>
    <row r="43382">
      <c r="B43382" s="31"/>
      <c r="G43382" s="272" t="s">
        <v>1099</v>
      </c>
    </row>
    <row r="43383">
      <c r="B43383" s="31"/>
      <c r="G43383" s="272" t="s">
        <v>1099</v>
      </c>
    </row>
    <row r="43384">
      <c r="B43384" s="31"/>
      <c r="G43384" s="272" t="s">
        <v>1099</v>
      </c>
    </row>
    <row r="43385">
      <c r="B43385" s="31"/>
      <c r="G43385" s="272" t="s">
        <v>1099</v>
      </c>
    </row>
    <row r="43386">
      <c r="B43386" s="31"/>
      <c r="G43386" s="272" t="s">
        <v>1099</v>
      </c>
    </row>
    <row r="43387">
      <c r="B43387" s="31"/>
      <c r="G43387" s="272" t="s">
        <v>1099</v>
      </c>
    </row>
    <row r="43388">
      <c r="B43388" s="31"/>
      <c r="G43388" s="272" t="s">
        <v>1099</v>
      </c>
    </row>
    <row r="43389">
      <c r="B43389" s="31"/>
      <c r="G43389" s="272" t="s">
        <v>1099</v>
      </c>
    </row>
    <row r="43390">
      <c r="B43390" s="31"/>
      <c r="G43390" s="272" t="s">
        <v>1099</v>
      </c>
    </row>
    <row r="43391">
      <c r="B43391" s="31"/>
      <c r="G43391" s="272" t="s">
        <v>1099</v>
      </c>
    </row>
    <row r="43392">
      <c r="B43392" s="31"/>
      <c r="G43392" s="272" t="s">
        <v>1099</v>
      </c>
    </row>
    <row r="43393">
      <c r="B43393" s="31"/>
      <c r="G43393" s="272" t="s">
        <v>1099</v>
      </c>
    </row>
    <row r="43394">
      <c r="B43394" s="31"/>
      <c r="G43394" s="272" t="s">
        <v>1099</v>
      </c>
    </row>
    <row r="43395">
      <c r="B43395" s="31"/>
      <c r="G43395" s="272" t="s">
        <v>1099</v>
      </c>
    </row>
    <row r="43396">
      <c r="B43396" s="31"/>
      <c r="G43396" s="272" t="s">
        <v>1099</v>
      </c>
    </row>
    <row r="43397">
      <c r="B43397" s="31"/>
      <c r="G43397" s="272" t="s">
        <v>1099</v>
      </c>
    </row>
    <row r="43398">
      <c r="B43398" s="31"/>
      <c r="G43398" s="272" t="s">
        <v>1099</v>
      </c>
    </row>
    <row r="43399">
      <c r="B43399" s="31"/>
      <c r="G43399" s="272" t="s">
        <v>1099</v>
      </c>
    </row>
    <row r="43400">
      <c r="B43400" s="31"/>
      <c r="G43400" s="272" t="s">
        <v>1099</v>
      </c>
    </row>
    <row r="43401">
      <c r="B43401" s="31"/>
      <c r="G43401" s="272" t="s">
        <v>1099</v>
      </c>
    </row>
    <row r="43402">
      <c r="B43402" s="31"/>
      <c r="G43402" s="272" t="s">
        <v>1099</v>
      </c>
    </row>
    <row r="43403">
      <c r="B43403" s="31"/>
      <c r="G43403" s="272" t="s">
        <v>1099</v>
      </c>
    </row>
    <row r="43404">
      <c r="B43404" s="31"/>
      <c r="G43404" s="272" t="s">
        <v>1099</v>
      </c>
    </row>
    <row r="43405">
      <c r="B43405" s="31"/>
      <c r="G43405" s="272" t="s">
        <v>1099</v>
      </c>
    </row>
    <row r="43406">
      <c r="B43406" s="31"/>
      <c r="G43406" s="272" t="s">
        <v>1099</v>
      </c>
    </row>
    <row r="43407">
      <c r="B43407" s="31"/>
      <c r="G43407" s="272" t="s">
        <v>1099</v>
      </c>
    </row>
    <row r="43408">
      <c r="B43408" s="31"/>
      <c r="G43408" s="272" t="s">
        <v>1099</v>
      </c>
    </row>
    <row r="43409">
      <c r="B43409" s="31"/>
      <c r="G43409" s="272" t="s">
        <v>1099</v>
      </c>
    </row>
    <row r="43410">
      <c r="B43410" s="31"/>
      <c r="G43410" s="272" t="s">
        <v>1099</v>
      </c>
    </row>
    <row r="43411">
      <c r="B43411" s="31"/>
      <c r="G43411" s="272" t="s">
        <v>1099</v>
      </c>
    </row>
    <row r="43412">
      <c r="B43412" s="31"/>
      <c r="G43412" s="272" t="s">
        <v>1099</v>
      </c>
    </row>
    <row r="43413">
      <c r="B43413" s="31"/>
      <c r="G43413" s="272" t="s">
        <v>1099</v>
      </c>
    </row>
    <row r="43414">
      <c r="B43414" s="31"/>
      <c r="G43414" s="272" t="s">
        <v>1099</v>
      </c>
    </row>
    <row r="43415">
      <c r="B43415" s="31"/>
      <c r="G43415" s="272" t="s">
        <v>1099</v>
      </c>
    </row>
    <row r="43416">
      <c r="B43416" s="31"/>
      <c r="G43416" s="272" t="s">
        <v>1099</v>
      </c>
    </row>
    <row r="43417">
      <c r="B43417" s="31"/>
      <c r="G43417" s="272" t="s">
        <v>1099</v>
      </c>
    </row>
    <row r="43418">
      <c r="B43418" s="31"/>
      <c r="G43418" s="272" t="s">
        <v>1099</v>
      </c>
    </row>
    <row r="43419">
      <c r="B43419" s="31"/>
      <c r="G43419" s="272" t="s">
        <v>1099</v>
      </c>
    </row>
    <row r="43420">
      <c r="B43420" s="31"/>
      <c r="G43420" s="272" t="s">
        <v>1099</v>
      </c>
    </row>
    <row r="43421">
      <c r="B43421" s="31"/>
      <c r="G43421" s="272" t="s">
        <v>1099</v>
      </c>
    </row>
    <row r="43422">
      <c r="B43422" s="31"/>
      <c r="G43422" s="272" t="s">
        <v>1099</v>
      </c>
    </row>
    <row r="43423">
      <c r="B43423" s="31"/>
      <c r="G43423" s="272" t="s">
        <v>1099</v>
      </c>
    </row>
    <row r="43424">
      <c r="B43424" s="31"/>
      <c r="G43424" s="272" t="s">
        <v>1099</v>
      </c>
    </row>
    <row r="43425">
      <c r="B43425" s="31"/>
      <c r="G43425" s="272" t="s">
        <v>1099</v>
      </c>
    </row>
    <row r="43426">
      <c r="B43426" s="31"/>
      <c r="G43426" s="272" t="s">
        <v>1099</v>
      </c>
    </row>
    <row r="43427">
      <c r="B43427" s="31"/>
      <c r="G43427" s="272" t="s">
        <v>1099</v>
      </c>
    </row>
    <row r="43428">
      <c r="B43428" s="31"/>
      <c r="G43428" s="272" t="s">
        <v>1099</v>
      </c>
    </row>
    <row r="43429">
      <c r="B43429" s="31"/>
      <c r="G43429" s="272" t="s">
        <v>1099</v>
      </c>
    </row>
    <row r="43430">
      <c r="B43430" s="31"/>
      <c r="G43430" s="272" t="s">
        <v>1099</v>
      </c>
    </row>
    <row r="43431">
      <c r="B43431" s="31"/>
      <c r="G43431" s="272" t="s">
        <v>1099</v>
      </c>
    </row>
    <row r="43432">
      <c r="B43432" s="31"/>
      <c r="G43432" s="272" t="s">
        <v>1099</v>
      </c>
    </row>
    <row r="43433">
      <c r="B43433" s="31"/>
      <c r="G43433" s="272" t="s">
        <v>1099</v>
      </c>
    </row>
    <row r="43434">
      <c r="B43434" s="31"/>
      <c r="G43434" s="272" t="s">
        <v>1099</v>
      </c>
    </row>
    <row r="43435">
      <c r="B43435" s="31"/>
      <c r="G43435" s="272" t="s">
        <v>1099</v>
      </c>
    </row>
    <row r="43436">
      <c r="B43436" s="31"/>
      <c r="G43436" s="272" t="s">
        <v>1099</v>
      </c>
    </row>
    <row r="43437">
      <c r="B43437" s="31"/>
      <c r="G43437" s="272" t="s">
        <v>1099</v>
      </c>
    </row>
    <row r="43438">
      <c r="B43438" s="31"/>
      <c r="G43438" s="272" t="s">
        <v>1099</v>
      </c>
    </row>
    <row r="43439">
      <c r="B43439" s="31"/>
      <c r="G43439" s="272" t="s">
        <v>1099</v>
      </c>
    </row>
    <row r="43440">
      <c r="B43440" s="31"/>
      <c r="G43440" s="272" t="s">
        <v>1099</v>
      </c>
    </row>
    <row r="43441">
      <c r="B43441" s="31"/>
      <c r="G43441" s="272" t="s">
        <v>1099</v>
      </c>
    </row>
    <row r="43442">
      <c r="B43442" s="31"/>
      <c r="G43442" s="272" t="s">
        <v>1099</v>
      </c>
    </row>
    <row r="43443">
      <c r="B43443" s="31"/>
      <c r="G43443" s="272" t="s">
        <v>1099</v>
      </c>
    </row>
    <row r="43444">
      <c r="B43444" s="31"/>
      <c r="G43444" s="272" t="s">
        <v>1099</v>
      </c>
    </row>
    <row r="43445">
      <c r="B43445" s="31"/>
      <c r="G43445" s="272" t="s">
        <v>1099</v>
      </c>
    </row>
    <row r="43446">
      <c r="B43446" s="31"/>
      <c r="G43446" s="272" t="s">
        <v>1099</v>
      </c>
    </row>
    <row r="43447">
      <c r="B43447" s="31"/>
      <c r="G43447" s="272" t="s">
        <v>1099</v>
      </c>
    </row>
    <row r="43448">
      <c r="B43448" s="31"/>
      <c r="G43448" s="272" t="s">
        <v>1099</v>
      </c>
    </row>
    <row r="43449">
      <c r="B43449" s="31"/>
      <c r="G43449" s="272" t="s">
        <v>1099</v>
      </c>
    </row>
    <row r="43450">
      <c r="B43450" s="31"/>
      <c r="G43450" s="272" t="s">
        <v>1099</v>
      </c>
    </row>
    <row r="43451">
      <c r="B43451" s="31"/>
      <c r="G43451" s="272" t="s">
        <v>1099</v>
      </c>
    </row>
    <row r="43452">
      <c r="B43452" s="31"/>
      <c r="G43452" s="272" t="s">
        <v>1099</v>
      </c>
    </row>
    <row r="43453">
      <c r="B43453" s="31"/>
      <c r="G43453" s="272" t="s">
        <v>1099</v>
      </c>
    </row>
    <row r="43454">
      <c r="B43454" s="31"/>
      <c r="G43454" s="272" t="s">
        <v>1099</v>
      </c>
    </row>
    <row r="43455">
      <c r="B43455" s="31"/>
      <c r="G43455" s="272" t="s">
        <v>1099</v>
      </c>
    </row>
    <row r="43456">
      <c r="B43456" s="31"/>
      <c r="G43456" s="272" t="s">
        <v>1099</v>
      </c>
    </row>
    <row r="43457">
      <c r="B43457" s="31"/>
      <c r="G43457" s="272" t="s">
        <v>1099</v>
      </c>
    </row>
    <row r="43458">
      <c r="B43458" s="31"/>
      <c r="G43458" s="272" t="s">
        <v>1099</v>
      </c>
    </row>
    <row r="43459">
      <c r="B43459" s="31"/>
      <c r="G43459" s="272" t="s">
        <v>1099</v>
      </c>
    </row>
    <row r="43460">
      <c r="B43460" s="31"/>
      <c r="G43460" s="272" t="s">
        <v>1099</v>
      </c>
    </row>
    <row r="43461">
      <c r="B43461" s="31"/>
      <c r="G43461" s="272" t="s">
        <v>1099</v>
      </c>
    </row>
    <row r="43462">
      <c r="B43462" s="31"/>
      <c r="G43462" s="272" t="s">
        <v>1099</v>
      </c>
    </row>
    <row r="43463">
      <c r="B43463" s="31"/>
      <c r="G43463" s="272" t="s">
        <v>1099</v>
      </c>
    </row>
    <row r="43464">
      <c r="B43464" s="31"/>
      <c r="G43464" s="272" t="s">
        <v>1099</v>
      </c>
    </row>
    <row r="43465">
      <c r="B43465" s="31"/>
      <c r="G43465" s="272" t="s">
        <v>1099</v>
      </c>
    </row>
    <row r="43466">
      <c r="B43466" s="31"/>
      <c r="G43466" s="272" t="s">
        <v>1099</v>
      </c>
    </row>
    <row r="43467">
      <c r="B43467" s="31"/>
      <c r="G43467" s="272" t="s">
        <v>1099</v>
      </c>
    </row>
    <row r="43468">
      <c r="B43468" s="31"/>
      <c r="G43468" s="272" t="s">
        <v>1099</v>
      </c>
    </row>
    <row r="43469">
      <c r="B43469" s="31"/>
      <c r="G43469" s="272" t="s">
        <v>1099</v>
      </c>
    </row>
    <row r="43470">
      <c r="B43470" s="31"/>
      <c r="G43470" s="272" t="s">
        <v>1099</v>
      </c>
    </row>
    <row r="43471">
      <c r="B43471" s="31"/>
      <c r="G43471" s="272" t="s">
        <v>1099</v>
      </c>
    </row>
    <row r="43472">
      <c r="B43472" s="31"/>
      <c r="G43472" s="272" t="s">
        <v>1099</v>
      </c>
    </row>
    <row r="43473">
      <c r="B43473" s="31"/>
      <c r="G43473" s="272" t="s">
        <v>1099</v>
      </c>
    </row>
    <row r="43474">
      <c r="B43474" s="31"/>
      <c r="G43474" s="272" t="s">
        <v>1099</v>
      </c>
    </row>
    <row r="43475">
      <c r="B43475" s="31"/>
      <c r="G43475" s="272" t="s">
        <v>1099</v>
      </c>
    </row>
    <row r="43476">
      <c r="B43476" s="31"/>
      <c r="G43476" s="272" t="s">
        <v>1099</v>
      </c>
    </row>
    <row r="43477">
      <c r="B43477" s="31"/>
      <c r="G43477" s="272" t="s">
        <v>1099</v>
      </c>
    </row>
    <row r="43478">
      <c r="B43478" s="31"/>
      <c r="G43478" s="272" t="s">
        <v>1099</v>
      </c>
    </row>
    <row r="43479">
      <c r="B43479" s="31"/>
      <c r="G43479" s="272" t="s">
        <v>1099</v>
      </c>
    </row>
    <row r="43480">
      <c r="B43480" s="31"/>
      <c r="G43480" s="272" t="s">
        <v>1099</v>
      </c>
    </row>
    <row r="43481">
      <c r="B43481" s="31"/>
      <c r="G43481" s="272" t="s">
        <v>1099</v>
      </c>
    </row>
    <row r="43482">
      <c r="B43482" s="31"/>
      <c r="G43482" s="272" t="s">
        <v>1099</v>
      </c>
    </row>
    <row r="43483">
      <c r="B43483" s="31"/>
      <c r="G43483" s="272" t="s">
        <v>1099</v>
      </c>
    </row>
    <row r="43484">
      <c r="B43484" s="31"/>
      <c r="G43484" s="272" t="s">
        <v>1099</v>
      </c>
    </row>
    <row r="43485">
      <c r="B43485" s="31"/>
      <c r="G43485" s="272" t="s">
        <v>1099</v>
      </c>
    </row>
    <row r="43486">
      <c r="B43486" s="31"/>
      <c r="G43486" s="272" t="s">
        <v>1099</v>
      </c>
    </row>
    <row r="43487">
      <c r="B43487" s="31"/>
      <c r="G43487" s="272" t="s">
        <v>1099</v>
      </c>
    </row>
    <row r="43488">
      <c r="B43488" s="31"/>
      <c r="G43488" s="272" t="s">
        <v>1099</v>
      </c>
    </row>
    <row r="43489">
      <c r="B43489" s="31"/>
      <c r="G43489" s="272" t="s">
        <v>1099</v>
      </c>
    </row>
    <row r="43490">
      <c r="B43490" s="31"/>
      <c r="G43490" s="272" t="s">
        <v>1099</v>
      </c>
    </row>
    <row r="43491">
      <c r="B43491" s="31"/>
      <c r="G43491" s="272" t="s">
        <v>1099</v>
      </c>
    </row>
    <row r="43492">
      <c r="B43492" s="31"/>
      <c r="G43492" s="272" t="s">
        <v>1099</v>
      </c>
    </row>
    <row r="43493">
      <c r="B43493" s="31"/>
      <c r="G43493" s="272" t="s">
        <v>1099</v>
      </c>
    </row>
    <row r="43494">
      <c r="B43494" s="31"/>
      <c r="G43494" s="272" t="s">
        <v>1099</v>
      </c>
    </row>
    <row r="43495">
      <c r="B43495" s="31"/>
      <c r="G43495" s="272" t="s">
        <v>1099</v>
      </c>
    </row>
    <row r="43496">
      <c r="B43496" s="31"/>
      <c r="G43496" s="272" t="s">
        <v>1099</v>
      </c>
    </row>
    <row r="43497">
      <c r="B43497" s="31"/>
      <c r="G43497" s="272" t="s">
        <v>1099</v>
      </c>
    </row>
    <row r="43498">
      <c r="B43498" s="31"/>
      <c r="G43498" s="272" t="s">
        <v>1099</v>
      </c>
    </row>
    <row r="43499">
      <c r="B43499" s="31"/>
      <c r="G43499" s="272" t="s">
        <v>1099</v>
      </c>
    </row>
    <row r="43500">
      <c r="B43500" s="31"/>
      <c r="G43500" s="272" t="s">
        <v>1099</v>
      </c>
    </row>
    <row r="43501">
      <c r="B43501" s="31"/>
      <c r="G43501" s="272" t="s">
        <v>1099</v>
      </c>
    </row>
    <row r="43502">
      <c r="B43502" s="31"/>
      <c r="G43502" s="272" t="s">
        <v>1099</v>
      </c>
    </row>
    <row r="43503">
      <c r="B43503" s="31"/>
      <c r="G43503" s="272" t="s">
        <v>1099</v>
      </c>
    </row>
    <row r="43504">
      <c r="B43504" s="31"/>
      <c r="G43504" s="272" t="s">
        <v>1099</v>
      </c>
    </row>
    <row r="43505">
      <c r="B43505" s="31"/>
      <c r="G43505" s="272" t="s">
        <v>1099</v>
      </c>
    </row>
    <row r="43506">
      <c r="B43506" s="31"/>
      <c r="G43506" s="272" t="s">
        <v>1099</v>
      </c>
    </row>
    <row r="43507">
      <c r="B43507" s="31"/>
      <c r="G43507" s="272" t="s">
        <v>1099</v>
      </c>
    </row>
    <row r="43508">
      <c r="B43508" s="31"/>
      <c r="G43508" s="272" t="s">
        <v>1099</v>
      </c>
    </row>
    <row r="43509">
      <c r="B43509" s="31"/>
      <c r="G43509" s="272" t="s">
        <v>1099</v>
      </c>
    </row>
    <row r="43510">
      <c r="B43510" s="31"/>
      <c r="G43510" s="272" t="s">
        <v>1099</v>
      </c>
    </row>
    <row r="43511">
      <c r="B43511" s="31"/>
      <c r="G43511" s="272" t="s">
        <v>1099</v>
      </c>
    </row>
    <row r="43512">
      <c r="B43512" s="31"/>
      <c r="G43512" s="272" t="s">
        <v>1099</v>
      </c>
    </row>
    <row r="43513">
      <c r="B43513" s="31"/>
      <c r="G43513" s="272" t="s">
        <v>1099</v>
      </c>
    </row>
    <row r="43514">
      <c r="B43514" s="31"/>
      <c r="G43514" s="272" t="s">
        <v>1099</v>
      </c>
    </row>
    <row r="43515">
      <c r="B43515" s="31"/>
      <c r="G43515" s="272" t="s">
        <v>1099</v>
      </c>
    </row>
    <row r="43516">
      <c r="B43516" s="31"/>
      <c r="G43516" s="272" t="s">
        <v>1099</v>
      </c>
    </row>
    <row r="43517">
      <c r="B43517" s="31"/>
      <c r="G43517" s="272" t="s">
        <v>1099</v>
      </c>
    </row>
    <row r="43518">
      <c r="B43518" s="31"/>
      <c r="G43518" s="272" t="s">
        <v>1099</v>
      </c>
    </row>
    <row r="43519">
      <c r="B43519" s="31"/>
      <c r="G43519" s="272" t="s">
        <v>1099</v>
      </c>
    </row>
    <row r="43520">
      <c r="B43520" s="31"/>
      <c r="G43520" s="272" t="s">
        <v>1099</v>
      </c>
    </row>
    <row r="43521">
      <c r="B43521" s="31"/>
      <c r="G43521" s="272" t="s">
        <v>1099</v>
      </c>
    </row>
    <row r="43522">
      <c r="B43522" s="31"/>
      <c r="G43522" s="272" t="s">
        <v>1099</v>
      </c>
    </row>
    <row r="43523">
      <c r="B43523" s="31"/>
      <c r="G43523" s="272" t="s">
        <v>1099</v>
      </c>
    </row>
    <row r="43524">
      <c r="B43524" s="31"/>
      <c r="G43524" s="272" t="s">
        <v>1099</v>
      </c>
    </row>
    <row r="43525">
      <c r="B43525" s="31"/>
      <c r="G43525" s="272" t="s">
        <v>1099</v>
      </c>
    </row>
    <row r="43526">
      <c r="B43526" s="31"/>
      <c r="G43526" s="272" t="s">
        <v>1099</v>
      </c>
    </row>
    <row r="43527">
      <c r="B43527" s="31"/>
      <c r="G43527" s="272" t="s">
        <v>1099</v>
      </c>
    </row>
    <row r="43528">
      <c r="B43528" s="31"/>
      <c r="G43528" s="272" t="s">
        <v>1099</v>
      </c>
    </row>
    <row r="43529">
      <c r="B43529" s="31"/>
      <c r="G43529" s="272" t="s">
        <v>1099</v>
      </c>
    </row>
    <row r="43530">
      <c r="B43530" s="31"/>
      <c r="G43530" s="272" t="s">
        <v>1099</v>
      </c>
    </row>
    <row r="43531">
      <c r="B43531" s="31"/>
      <c r="G43531" s="272" t="s">
        <v>1099</v>
      </c>
    </row>
    <row r="43532">
      <c r="B43532" s="31"/>
      <c r="G43532" s="272" t="s">
        <v>1099</v>
      </c>
    </row>
    <row r="43533">
      <c r="B43533" s="31"/>
      <c r="G43533" s="272" t="s">
        <v>1099</v>
      </c>
    </row>
    <row r="43534">
      <c r="B43534" s="31"/>
      <c r="G43534" s="272" t="s">
        <v>1099</v>
      </c>
    </row>
    <row r="43535">
      <c r="B43535" s="31"/>
      <c r="G43535" s="272" t="s">
        <v>1099</v>
      </c>
    </row>
    <row r="43536">
      <c r="B43536" s="31"/>
      <c r="G43536" s="272" t="s">
        <v>1099</v>
      </c>
    </row>
    <row r="43537">
      <c r="B43537" s="31"/>
      <c r="G43537" s="272" t="s">
        <v>1099</v>
      </c>
    </row>
    <row r="43538">
      <c r="B43538" s="31"/>
      <c r="G43538" s="272" t="s">
        <v>1099</v>
      </c>
    </row>
    <row r="43539">
      <c r="B43539" s="31"/>
      <c r="G43539" s="272" t="s">
        <v>1099</v>
      </c>
    </row>
    <row r="43540">
      <c r="B43540" s="31"/>
      <c r="G43540" s="272" t="s">
        <v>1099</v>
      </c>
    </row>
    <row r="43541">
      <c r="B43541" s="31"/>
      <c r="G43541" s="272" t="s">
        <v>1099</v>
      </c>
    </row>
    <row r="43542">
      <c r="B43542" s="31"/>
      <c r="G43542" s="272" t="s">
        <v>1099</v>
      </c>
    </row>
    <row r="43543">
      <c r="B43543" s="31"/>
      <c r="G43543" s="272" t="s">
        <v>1099</v>
      </c>
    </row>
    <row r="43544">
      <c r="B43544" s="31"/>
      <c r="G43544" s="272" t="s">
        <v>1099</v>
      </c>
    </row>
    <row r="43545">
      <c r="B43545" s="31"/>
      <c r="G43545" s="272" t="s">
        <v>1099</v>
      </c>
    </row>
    <row r="43546">
      <c r="B43546" s="31"/>
      <c r="G43546" s="272" t="s">
        <v>1099</v>
      </c>
    </row>
    <row r="43547">
      <c r="B43547" s="31"/>
      <c r="G43547" s="272" t="s">
        <v>1099</v>
      </c>
    </row>
    <row r="43548">
      <c r="B43548" s="31"/>
      <c r="G43548" s="272" t="s">
        <v>1099</v>
      </c>
    </row>
    <row r="43549">
      <c r="B43549" s="31"/>
      <c r="G43549" s="272" t="s">
        <v>1099</v>
      </c>
    </row>
    <row r="43550">
      <c r="B43550" s="31"/>
      <c r="G43550" s="272" t="s">
        <v>1099</v>
      </c>
    </row>
    <row r="43551">
      <c r="B43551" s="31"/>
      <c r="G43551" s="272" t="s">
        <v>1099</v>
      </c>
    </row>
    <row r="43552">
      <c r="B43552" s="31"/>
      <c r="G43552" s="272" t="s">
        <v>1099</v>
      </c>
    </row>
    <row r="43553">
      <c r="B43553" s="31"/>
      <c r="G43553" s="272" t="s">
        <v>1099</v>
      </c>
    </row>
    <row r="43554">
      <c r="B43554" s="31"/>
      <c r="G43554" s="272" t="s">
        <v>1099</v>
      </c>
    </row>
    <row r="43555">
      <c r="B43555" s="31"/>
      <c r="G43555" s="272" t="s">
        <v>1099</v>
      </c>
    </row>
    <row r="43556">
      <c r="B43556" s="31"/>
      <c r="G43556" s="272" t="s">
        <v>1099</v>
      </c>
    </row>
    <row r="43557">
      <c r="B43557" s="31"/>
      <c r="G43557" s="272" t="s">
        <v>1099</v>
      </c>
    </row>
    <row r="43558">
      <c r="B43558" s="31"/>
      <c r="G43558" s="272" t="s">
        <v>1099</v>
      </c>
    </row>
    <row r="43559">
      <c r="B43559" s="31"/>
      <c r="G43559" s="272" t="s">
        <v>1099</v>
      </c>
    </row>
    <row r="43560">
      <c r="B43560" s="31"/>
      <c r="G43560" s="272" t="s">
        <v>1099</v>
      </c>
    </row>
    <row r="43561">
      <c r="B43561" s="31"/>
      <c r="G43561" s="272" t="s">
        <v>1099</v>
      </c>
    </row>
    <row r="43562">
      <c r="B43562" s="31"/>
      <c r="G43562" s="272" t="s">
        <v>1099</v>
      </c>
    </row>
    <row r="43563">
      <c r="B43563" s="31"/>
      <c r="G43563" s="272" t="s">
        <v>1099</v>
      </c>
    </row>
    <row r="43564">
      <c r="B43564" s="31"/>
      <c r="G43564" s="272" t="s">
        <v>1099</v>
      </c>
    </row>
    <row r="43565">
      <c r="B43565" s="31"/>
      <c r="G43565" s="272" t="s">
        <v>1099</v>
      </c>
    </row>
    <row r="43566">
      <c r="B43566" s="31"/>
      <c r="G43566" s="272" t="s">
        <v>1099</v>
      </c>
    </row>
    <row r="43567">
      <c r="B43567" s="31"/>
      <c r="G43567" s="272" t="s">
        <v>1099</v>
      </c>
    </row>
    <row r="43568">
      <c r="B43568" s="31"/>
      <c r="G43568" s="272" t="s">
        <v>1099</v>
      </c>
    </row>
    <row r="43569">
      <c r="B43569" s="31"/>
      <c r="G43569" s="272" t="s">
        <v>1099</v>
      </c>
    </row>
    <row r="43570">
      <c r="B43570" s="31"/>
      <c r="G43570" s="272" t="s">
        <v>1099</v>
      </c>
    </row>
    <row r="43571">
      <c r="B43571" s="31"/>
      <c r="G43571" s="272" t="s">
        <v>1099</v>
      </c>
    </row>
    <row r="43572">
      <c r="B43572" s="31"/>
      <c r="G43572" s="272" t="s">
        <v>1099</v>
      </c>
    </row>
    <row r="43573">
      <c r="B43573" s="31"/>
      <c r="G43573" s="272" t="s">
        <v>1099</v>
      </c>
    </row>
    <row r="43574">
      <c r="B43574" s="31"/>
      <c r="G43574" s="272" t="s">
        <v>1099</v>
      </c>
    </row>
    <row r="43575">
      <c r="B43575" s="31"/>
      <c r="G43575" s="272" t="s">
        <v>1099</v>
      </c>
    </row>
    <row r="43576">
      <c r="B43576" s="31"/>
      <c r="G43576" s="272" t="s">
        <v>1099</v>
      </c>
    </row>
    <row r="43577">
      <c r="B43577" s="31"/>
      <c r="G43577" s="272" t="s">
        <v>1099</v>
      </c>
    </row>
    <row r="43578">
      <c r="B43578" s="31"/>
      <c r="G43578" s="272" t="s">
        <v>1099</v>
      </c>
    </row>
    <row r="43579">
      <c r="B43579" s="31"/>
      <c r="G43579" s="272" t="s">
        <v>1099</v>
      </c>
    </row>
    <row r="43580">
      <c r="B43580" s="31"/>
      <c r="G43580" s="272" t="s">
        <v>1099</v>
      </c>
    </row>
    <row r="43581">
      <c r="B43581" s="31"/>
      <c r="G43581" s="272" t="s">
        <v>1099</v>
      </c>
    </row>
    <row r="43582">
      <c r="B43582" s="31"/>
      <c r="G43582" s="272" t="s">
        <v>1099</v>
      </c>
    </row>
    <row r="43583">
      <c r="B43583" s="31"/>
      <c r="G43583" s="272" t="s">
        <v>1099</v>
      </c>
    </row>
    <row r="43584">
      <c r="B43584" s="31"/>
      <c r="G43584" s="272" t="s">
        <v>1099</v>
      </c>
    </row>
    <row r="43585">
      <c r="B43585" s="31"/>
      <c r="G43585" s="272" t="s">
        <v>1099</v>
      </c>
    </row>
    <row r="43586">
      <c r="B43586" s="31"/>
      <c r="G43586" s="272" t="s">
        <v>1099</v>
      </c>
    </row>
    <row r="43587">
      <c r="B43587" s="31"/>
      <c r="G43587" s="272" t="s">
        <v>1099</v>
      </c>
    </row>
    <row r="43588">
      <c r="B43588" s="31"/>
      <c r="G43588" s="272" t="s">
        <v>1099</v>
      </c>
    </row>
    <row r="43589">
      <c r="B43589" s="31"/>
      <c r="G43589" s="272" t="s">
        <v>1099</v>
      </c>
    </row>
    <row r="43590">
      <c r="B43590" s="31"/>
      <c r="G43590" s="272" t="s">
        <v>1099</v>
      </c>
    </row>
    <row r="43591">
      <c r="B43591" s="31"/>
      <c r="G43591" s="272" t="s">
        <v>1099</v>
      </c>
    </row>
    <row r="43592">
      <c r="B43592" s="31"/>
      <c r="G43592" s="272" t="s">
        <v>1099</v>
      </c>
    </row>
    <row r="43593">
      <c r="B43593" s="31"/>
      <c r="G43593" s="272" t="s">
        <v>1099</v>
      </c>
    </row>
    <row r="43594">
      <c r="B43594" s="31"/>
      <c r="G43594" s="272" t="s">
        <v>1099</v>
      </c>
    </row>
    <row r="43595">
      <c r="B43595" s="31"/>
      <c r="G43595" s="272" t="s">
        <v>1099</v>
      </c>
    </row>
    <row r="43596">
      <c r="B43596" s="31"/>
      <c r="G43596" s="272" t="s">
        <v>1099</v>
      </c>
    </row>
    <row r="43597">
      <c r="B43597" s="31"/>
      <c r="G43597" s="272" t="s">
        <v>1099</v>
      </c>
    </row>
    <row r="43598">
      <c r="B43598" s="31"/>
      <c r="G43598" s="272" t="s">
        <v>1099</v>
      </c>
    </row>
    <row r="43599">
      <c r="B43599" s="31"/>
      <c r="G43599" s="272" t="s">
        <v>1099</v>
      </c>
    </row>
    <row r="43600">
      <c r="B43600" s="31"/>
      <c r="G43600" s="272" t="s">
        <v>1099</v>
      </c>
    </row>
    <row r="43601">
      <c r="B43601" s="31"/>
      <c r="G43601" s="272" t="s">
        <v>1099</v>
      </c>
    </row>
    <row r="43602">
      <c r="B43602" s="31"/>
      <c r="G43602" s="272" t="s">
        <v>1099</v>
      </c>
    </row>
    <row r="43603">
      <c r="B43603" s="31"/>
      <c r="G43603" s="272" t="s">
        <v>1099</v>
      </c>
    </row>
    <row r="43604">
      <c r="B43604" s="31"/>
      <c r="G43604" s="272" t="s">
        <v>1099</v>
      </c>
    </row>
    <row r="43605">
      <c r="B43605" s="31"/>
      <c r="G43605" s="272" t="s">
        <v>1099</v>
      </c>
    </row>
    <row r="43606">
      <c r="B43606" s="31"/>
      <c r="G43606" s="272" t="s">
        <v>1099</v>
      </c>
    </row>
    <row r="43607">
      <c r="B43607" s="31"/>
      <c r="G43607" s="272" t="s">
        <v>1099</v>
      </c>
    </row>
    <row r="43608">
      <c r="B43608" s="31"/>
      <c r="G43608" s="272" t="s">
        <v>1099</v>
      </c>
    </row>
    <row r="43609">
      <c r="B43609" s="31"/>
      <c r="G43609" s="272" t="s">
        <v>1099</v>
      </c>
    </row>
    <row r="43610">
      <c r="B43610" s="31"/>
      <c r="G43610" s="272" t="s">
        <v>1099</v>
      </c>
    </row>
    <row r="43611">
      <c r="B43611" s="31"/>
      <c r="G43611" s="272" t="s">
        <v>1099</v>
      </c>
    </row>
    <row r="43612">
      <c r="B43612" s="31"/>
      <c r="G43612" s="272" t="s">
        <v>1099</v>
      </c>
    </row>
    <row r="43613">
      <c r="B43613" s="31"/>
      <c r="G43613" s="272" t="s">
        <v>1099</v>
      </c>
    </row>
    <row r="43614">
      <c r="B43614" s="31"/>
      <c r="G43614" s="272" t="s">
        <v>1099</v>
      </c>
    </row>
    <row r="43615">
      <c r="B43615" s="31"/>
      <c r="G43615" s="272" t="s">
        <v>1099</v>
      </c>
    </row>
    <row r="43616">
      <c r="B43616" s="31"/>
      <c r="G43616" s="272" t="s">
        <v>1099</v>
      </c>
    </row>
    <row r="43617">
      <c r="B43617" s="31"/>
      <c r="G43617" s="272" t="s">
        <v>1099</v>
      </c>
    </row>
    <row r="43618">
      <c r="B43618" s="31"/>
      <c r="G43618" s="272" t="s">
        <v>1099</v>
      </c>
    </row>
    <row r="43619">
      <c r="B43619" s="31"/>
      <c r="G43619" s="272" t="s">
        <v>1099</v>
      </c>
    </row>
    <row r="43620">
      <c r="B43620" s="31"/>
      <c r="G43620" s="272" t="s">
        <v>1099</v>
      </c>
    </row>
    <row r="43621">
      <c r="B43621" s="31"/>
      <c r="G43621" s="272" t="s">
        <v>1099</v>
      </c>
    </row>
    <row r="43622">
      <c r="B43622" s="31"/>
      <c r="G43622" s="272" t="s">
        <v>1099</v>
      </c>
    </row>
    <row r="43623">
      <c r="B43623" s="31"/>
      <c r="G43623" s="272" t="s">
        <v>1099</v>
      </c>
    </row>
    <row r="43624">
      <c r="B43624" s="31"/>
      <c r="G43624" s="272" t="s">
        <v>1099</v>
      </c>
    </row>
    <row r="43625">
      <c r="B43625" s="31"/>
      <c r="G43625" s="272" t="s">
        <v>1099</v>
      </c>
    </row>
    <row r="43626">
      <c r="B43626" s="31"/>
      <c r="G43626" s="272" t="s">
        <v>1099</v>
      </c>
    </row>
    <row r="43627">
      <c r="B43627" s="31"/>
      <c r="G43627" s="272" t="s">
        <v>1099</v>
      </c>
    </row>
    <row r="43628">
      <c r="B43628" s="31"/>
      <c r="G43628" s="272" t="s">
        <v>1099</v>
      </c>
    </row>
    <row r="43629">
      <c r="B43629" s="31"/>
      <c r="G43629" s="272" t="s">
        <v>1099</v>
      </c>
    </row>
    <row r="43630">
      <c r="B43630" s="31"/>
      <c r="G43630" s="272" t="s">
        <v>1099</v>
      </c>
    </row>
    <row r="43631">
      <c r="B43631" s="31"/>
      <c r="G43631" s="272" t="s">
        <v>1099</v>
      </c>
    </row>
    <row r="43632">
      <c r="B43632" s="31"/>
      <c r="G43632" s="272" t="s">
        <v>1099</v>
      </c>
    </row>
    <row r="43633">
      <c r="B43633" s="31"/>
      <c r="G43633" s="272" t="s">
        <v>1099</v>
      </c>
    </row>
    <row r="43634">
      <c r="B43634" s="31"/>
      <c r="G43634" s="272" t="s">
        <v>1099</v>
      </c>
    </row>
    <row r="43635">
      <c r="B43635" s="31"/>
      <c r="G43635" s="272" t="s">
        <v>1099</v>
      </c>
    </row>
    <row r="43636">
      <c r="B43636" s="31"/>
      <c r="G43636" s="272" t="s">
        <v>1099</v>
      </c>
    </row>
    <row r="43637">
      <c r="B43637" s="31"/>
      <c r="G43637" s="272" t="s">
        <v>1099</v>
      </c>
    </row>
    <row r="43638">
      <c r="B43638" s="31"/>
      <c r="G43638" s="272" t="s">
        <v>1099</v>
      </c>
    </row>
    <row r="43639">
      <c r="B43639" s="31"/>
      <c r="G43639" s="272" t="s">
        <v>1099</v>
      </c>
    </row>
    <row r="43640">
      <c r="B43640" s="31"/>
      <c r="G43640" s="272" t="s">
        <v>1099</v>
      </c>
    </row>
    <row r="43641">
      <c r="B43641" s="31"/>
      <c r="G43641" s="272" t="s">
        <v>1099</v>
      </c>
    </row>
    <row r="43642">
      <c r="B43642" s="31"/>
      <c r="G43642" s="272" t="s">
        <v>1099</v>
      </c>
    </row>
    <row r="43643">
      <c r="B43643" s="31"/>
      <c r="G43643" s="272" t="s">
        <v>1099</v>
      </c>
    </row>
    <row r="43644">
      <c r="B43644" s="31"/>
      <c r="G43644" s="272" t="s">
        <v>1099</v>
      </c>
    </row>
    <row r="43645">
      <c r="B43645" s="31"/>
      <c r="G43645" s="272" t="s">
        <v>1099</v>
      </c>
    </row>
    <row r="43646">
      <c r="B43646" s="31"/>
      <c r="G43646" s="272" t="s">
        <v>1099</v>
      </c>
    </row>
    <row r="43647">
      <c r="B43647" s="31"/>
      <c r="G43647" s="272" t="s">
        <v>1099</v>
      </c>
    </row>
    <row r="43648">
      <c r="B43648" s="31"/>
      <c r="G43648" s="272" t="s">
        <v>1099</v>
      </c>
    </row>
    <row r="43649">
      <c r="B43649" s="31"/>
      <c r="G43649" s="272" t="s">
        <v>1099</v>
      </c>
    </row>
    <row r="43650">
      <c r="B43650" s="31"/>
      <c r="G43650" s="272" t="s">
        <v>1099</v>
      </c>
    </row>
    <row r="43651">
      <c r="B43651" s="31"/>
      <c r="G43651" s="272" t="s">
        <v>1099</v>
      </c>
    </row>
    <row r="43652">
      <c r="B43652" s="31"/>
      <c r="G43652" s="272" t="s">
        <v>1099</v>
      </c>
    </row>
    <row r="43653">
      <c r="B43653" s="31"/>
      <c r="G43653" s="272" t="s">
        <v>1099</v>
      </c>
    </row>
    <row r="43654">
      <c r="B43654" s="31"/>
      <c r="G43654" s="272" t="s">
        <v>1099</v>
      </c>
    </row>
    <row r="43655">
      <c r="B43655" s="31"/>
      <c r="G43655" s="272" t="s">
        <v>1099</v>
      </c>
    </row>
    <row r="43656">
      <c r="B43656" s="31"/>
      <c r="G43656" s="272" t="s">
        <v>1099</v>
      </c>
    </row>
    <row r="43657">
      <c r="B43657" s="31"/>
      <c r="G43657" s="272" t="s">
        <v>1099</v>
      </c>
    </row>
    <row r="43658">
      <c r="B43658" s="31"/>
      <c r="G43658" s="272" t="s">
        <v>1099</v>
      </c>
    </row>
    <row r="43659">
      <c r="B43659" s="31"/>
      <c r="G43659" s="272" t="s">
        <v>1099</v>
      </c>
    </row>
    <row r="43660">
      <c r="B43660" s="31"/>
      <c r="G43660" s="272" t="s">
        <v>1099</v>
      </c>
    </row>
    <row r="43661">
      <c r="B43661" s="31"/>
      <c r="G43661" s="272" t="s">
        <v>1099</v>
      </c>
    </row>
    <row r="43662">
      <c r="B43662" s="31"/>
      <c r="G43662" s="272" t="s">
        <v>1099</v>
      </c>
    </row>
    <row r="43663">
      <c r="B43663" s="31"/>
      <c r="G43663" s="272" t="s">
        <v>1099</v>
      </c>
    </row>
    <row r="43664">
      <c r="B43664" s="31"/>
      <c r="G43664" s="272" t="s">
        <v>1099</v>
      </c>
    </row>
    <row r="43665">
      <c r="B43665" s="31"/>
      <c r="G43665" s="272" t="s">
        <v>1099</v>
      </c>
    </row>
    <row r="43666">
      <c r="B43666" s="31"/>
      <c r="G43666" s="272" t="s">
        <v>1099</v>
      </c>
    </row>
    <row r="43667">
      <c r="B43667" s="31"/>
      <c r="G43667" s="272" t="s">
        <v>1099</v>
      </c>
    </row>
    <row r="43668">
      <c r="B43668" s="31"/>
      <c r="G43668" s="272" t="s">
        <v>1099</v>
      </c>
    </row>
    <row r="43669">
      <c r="B43669" s="31"/>
      <c r="G43669" s="272" t="s">
        <v>1099</v>
      </c>
    </row>
    <row r="43670">
      <c r="B43670" s="31"/>
      <c r="G43670" s="272" t="s">
        <v>1099</v>
      </c>
    </row>
    <row r="43671">
      <c r="B43671" s="31"/>
      <c r="G43671" s="272" t="s">
        <v>1099</v>
      </c>
    </row>
    <row r="43672">
      <c r="B43672" s="31"/>
      <c r="G43672" s="272" t="s">
        <v>1099</v>
      </c>
    </row>
    <row r="43673">
      <c r="B43673" s="31"/>
      <c r="G43673" s="272" t="s">
        <v>1099</v>
      </c>
    </row>
    <row r="43674">
      <c r="B43674" s="31"/>
      <c r="G43674" s="272" t="s">
        <v>1099</v>
      </c>
    </row>
    <row r="43675">
      <c r="B43675" s="31"/>
      <c r="G43675" s="272" t="s">
        <v>1099</v>
      </c>
    </row>
    <row r="43676">
      <c r="B43676" s="31"/>
      <c r="G43676" s="272" t="s">
        <v>1099</v>
      </c>
    </row>
    <row r="43677">
      <c r="B43677" s="31"/>
      <c r="G43677" s="272" t="s">
        <v>1099</v>
      </c>
    </row>
    <row r="43678">
      <c r="B43678" s="31"/>
      <c r="G43678" s="272" t="s">
        <v>1099</v>
      </c>
    </row>
    <row r="43679">
      <c r="B43679" s="31"/>
      <c r="G43679" s="272" t="s">
        <v>1099</v>
      </c>
    </row>
    <row r="43680">
      <c r="B43680" s="31"/>
      <c r="G43680" s="272" t="s">
        <v>1099</v>
      </c>
    </row>
    <row r="43681">
      <c r="B43681" s="31"/>
      <c r="G43681" s="272" t="s">
        <v>1099</v>
      </c>
    </row>
    <row r="43682">
      <c r="B43682" s="31"/>
      <c r="G43682" s="272" t="s">
        <v>1099</v>
      </c>
    </row>
    <row r="43683">
      <c r="B43683" s="31"/>
      <c r="G43683" s="272" t="s">
        <v>1099</v>
      </c>
    </row>
    <row r="43684">
      <c r="B43684" s="31"/>
      <c r="G43684" s="272" t="s">
        <v>1099</v>
      </c>
    </row>
    <row r="43685">
      <c r="B43685" s="31"/>
      <c r="G43685" s="272" t="s">
        <v>1099</v>
      </c>
    </row>
    <row r="43686">
      <c r="B43686" s="31"/>
      <c r="G43686" s="272" t="s">
        <v>1099</v>
      </c>
    </row>
    <row r="43687">
      <c r="B43687" s="31"/>
      <c r="G43687" s="272" t="s">
        <v>1099</v>
      </c>
    </row>
    <row r="43688">
      <c r="B43688" s="31"/>
      <c r="G43688" s="272" t="s">
        <v>1099</v>
      </c>
    </row>
    <row r="43689">
      <c r="B43689" s="31"/>
      <c r="G43689" s="272" t="s">
        <v>1099</v>
      </c>
    </row>
    <row r="43690">
      <c r="B43690" s="31"/>
      <c r="G43690" s="272" t="s">
        <v>1099</v>
      </c>
    </row>
    <row r="43691">
      <c r="B43691" s="31"/>
      <c r="G43691" s="272" t="s">
        <v>1099</v>
      </c>
    </row>
    <row r="43692">
      <c r="B43692" s="31"/>
      <c r="G43692" s="272" t="s">
        <v>1099</v>
      </c>
    </row>
    <row r="43693">
      <c r="B43693" s="31"/>
      <c r="G43693" s="272" t="s">
        <v>1099</v>
      </c>
    </row>
    <row r="43694">
      <c r="B43694" s="31"/>
      <c r="G43694" s="272" t="s">
        <v>1099</v>
      </c>
    </row>
    <row r="43695">
      <c r="B43695" s="31"/>
      <c r="G43695" s="272" t="s">
        <v>1099</v>
      </c>
    </row>
    <row r="43696">
      <c r="B43696" s="31"/>
      <c r="G43696" s="272" t="s">
        <v>1099</v>
      </c>
    </row>
    <row r="43697">
      <c r="B43697" s="31"/>
      <c r="G43697" s="272" t="s">
        <v>1099</v>
      </c>
    </row>
    <row r="43698">
      <c r="B43698" s="31"/>
      <c r="G43698" s="272" t="s">
        <v>1099</v>
      </c>
    </row>
    <row r="43699">
      <c r="B43699" s="31"/>
      <c r="G43699" s="272" t="s">
        <v>1099</v>
      </c>
    </row>
    <row r="43700">
      <c r="B43700" s="31"/>
      <c r="G43700" s="272" t="s">
        <v>1099</v>
      </c>
    </row>
    <row r="43701">
      <c r="B43701" s="31"/>
      <c r="G43701" s="272" t="s">
        <v>1099</v>
      </c>
    </row>
    <row r="43702">
      <c r="B43702" s="31"/>
      <c r="G43702" s="272" t="s">
        <v>1099</v>
      </c>
    </row>
    <row r="43703">
      <c r="B43703" s="31"/>
      <c r="G43703" s="272" t="s">
        <v>1099</v>
      </c>
    </row>
    <row r="43704">
      <c r="B43704" s="31"/>
      <c r="G43704" s="272" t="s">
        <v>1099</v>
      </c>
    </row>
    <row r="43705">
      <c r="B43705" s="31"/>
      <c r="G43705" s="272" t="s">
        <v>1099</v>
      </c>
    </row>
    <row r="43706">
      <c r="B43706" s="31"/>
      <c r="G43706" s="272" t="s">
        <v>1099</v>
      </c>
    </row>
    <row r="43707">
      <c r="B43707" s="31"/>
      <c r="G43707" s="272" t="s">
        <v>1099</v>
      </c>
    </row>
    <row r="43708">
      <c r="B43708" s="31"/>
      <c r="G43708" s="272" t="s">
        <v>1099</v>
      </c>
    </row>
    <row r="43709">
      <c r="B43709" s="31"/>
      <c r="G43709" s="272" t="s">
        <v>1099</v>
      </c>
    </row>
    <row r="43710">
      <c r="B43710" s="31"/>
      <c r="G43710" s="272" t="s">
        <v>1099</v>
      </c>
    </row>
    <row r="43711">
      <c r="B43711" s="31"/>
      <c r="G43711" s="272" t="s">
        <v>1099</v>
      </c>
    </row>
    <row r="43712">
      <c r="B43712" s="31"/>
      <c r="G43712" s="272" t="s">
        <v>1099</v>
      </c>
    </row>
    <row r="43713">
      <c r="B43713" s="31"/>
      <c r="G43713" s="272" t="s">
        <v>1099</v>
      </c>
    </row>
    <row r="43714">
      <c r="B43714" s="31"/>
      <c r="G43714" s="272" t="s">
        <v>1099</v>
      </c>
    </row>
    <row r="43715">
      <c r="B43715" s="31"/>
      <c r="G43715" s="272" t="s">
        <v>1099</v>
      </c>
    </row>
    <row r="43716">
      <c r="B43716" s="31"/>
      <c r="G43716" s="272" t="s">
        <v>1099</v>
      </c>
    </row>
    <row r="43717">
      <c r="B43717" s="31"/>
      <c r="G43717" s="272" t="s">
        <v>1099</v>
      </c>
    </row>
    <row r="43718">
      <c r="B43718" s="31"/>
      <c r="G43718" s="272" t="s">
        <v>1099</v>
      </c>
    </row>
    <row r="43719">
      <c r="B43719" s="31"/>
      <c r="G43719" s="272" t="s">
        <v>1099</v>
      </c>
    </row>
    <row r="43720">
      <c r="B43720" s="31"/>
      <c r="G43720" s="272" t="s">
        <v>1099</v>
      </c>
    </row>
    <row r="43721">
      <c r="B43721" s="31"/>
      <c r="G43721" s="272" t="s">
        <v>1099</v>
      </c>
    </row>
    <row r="43722">
      <c r="B43722" s="31"/>
      <c r="G43722" s="272" t="s">
        <v>1099</v>
      </c>
    </row>
    <row r="43723">
      <c r="B43723" s="31"/>
      <c r="G43723" s="272" t="s">
        <v>1099</v>
      </c>
    </row>
    <row r="43724">
      <c r="B43724" s="31"/>
      <c r="G43724" s="272" t="s">
        <v>1099</v>
      </c>
    </row>
    <row r="43725">
      <c r="B43725" s="31"/>
      <c r="G43725" s="272" t="s">
        <v>1099</v>
      </c>
    </row>
    <row r="43726">
      <c r="B43726" s="31"/>
      <c r="G43726" s="272" t="s">
        <v>1099</v>
      </c>
    </row>
    <row r="43727">
      <c r="B43727" s="31"/>
      <c r="G43727" s="272" t="s">
        <v>1099</v>
      </c>
    </row>
    <row r="43728">
      <c r="B43728" s="31"/>
      <c r="G43728" s="272" t="s">
        <v>1099</v>
      </c>
    </row>
    <row r="43729">
      <c r="B43729" s="31"/>
      <c r="G43729" s="272" t="s">
        <v>1099</v>
      </c>
    </row>
    <row r="43730">
      <c r="B43730" s="31"/>
      <c r="G43730" s="272" t="s">
        <v>1099</v>
      </c>
    </row>
    <row r="43731">
      <c r="B43731" s="31"/>
      <c r="G43731" s="272" t="s">
        <v>1099</v>
      </c>
    </row>
    <row r="43732">
      <c r="B43732" s="31"/>
      <c r="G43732" s="272" t="s">
        <v>1099</v>
      </c>
    </row>
    <row r="43733">
      <c r="B43733" s="31"/>
      <c r="G43733" s="272" t="s">
        <v>1099</v>
      </c>
    </row>
    <row r="43734">
      <c r="B43734" s="31"/>
      <c r="G43734" s="272" t="s">
        <v>1099</v>
      </c>
    </row>
    <row r="43735">
      <c r="B43735" s="31"/>
      <c r="G43735" s="272" t="s">
        <v>1099</v>
      </c>
    </row>
    <row r="43736">
      <c r="B43736" s="31"/>
      <c r="G43736" s="272" t="s">
        <v>1099</v>
      </c>
    </row>
    <row r="43737">
      <c r="B43737" s="31"/>
      <c r="G43737" s="272" t="s">
        <v>1099</v>
      </c>
    </row>
    <row r="43738">
      <c r="B43738" s="31"/>
      <c r="G43738" s="272" t="s">
        <v>1099</v>
      </c>
    </row>
    <row r="43739">
      <c r="B43739" s="31"/>
      <c r="G43739" s="272" t="s">
        <v>1099</v>
      </c>
    </row>
    <row r="43740">
      <c r="B43740" s="31"/>
      <c r="G43740" s="272" t="s">
        <v>1099</v>
      </c>
    </row>
    <row r="43741">
      <c r="B43741" s="31"/>
      <c r="G43741" s="272" t="s">
        <v>1099</v>
      </c>
    </row>
    <row r="43742">
      <c r="B43742" s="31"/>
      <c r="G43742" s="272" t="s">
        <v>1099</v>
      </c>
    </row>
    <row r="43743">
      <c r="B43743" s="31"/>
      <c r="G43743" s="272" t="s">
        <v>1099</v>
      </c>
    </row>
    <row r="43744">
      <c r="B43744" s="31"/>
      <c r="G43744" s="272" t="s">
        <v>1099</v>
      </c>
    </row>
    <row r="43745">
      <c r="B43745" s="31"/>
      <c r="G43745" s="272" t="s">
        <v>1099</v>
      </c>
    </row>
    <row r="43746">
      <c r="B43746" s="31"/>
      <c r="G43746" s="272" t="s">
        <v>1099</v>
      </c>
    </row>
    <row r="43747">
      <c r="B43747" s="31"/>
      <c r="G43747" s="272" t="s">
        <v>1099</v>
      </c>
    </row>
    <row r="43748">
      <c r="B43748" s="31"/>
      <c r="G43748" s="272" t="s">
        <v>1099</v>
      </c>
    </row>
    <row r="43749">
      <c r="B43749" s="31"/>
      <c r="G43749" s="272" t="s">
        <v>1099</v>
      </c>
    </row>
    <row r="43750">
      <c r="B43750" s="31"/>
      <c r="G43750" s="272" t="s">
        <v>1099</v>
      </c>
    </row>
    <row r="43751">
      <c r="B43751" s="31"/>
      <c r="G43751" s="272" t="s">
        <v>1099</v>
      </c>
    </row>
    <row r="43752">
      <c r="B43752" s="31"/>
      <c r="G43752" s="272" t="s">
        <v>1099</v>
      </c>
    </row>
    <row r="43753">
      <c r="B43753" s="31"/>
      <c r="G43753" s="272" t="s">
        <v>1099</v>
      </c>
    </row>
    <row r="43754">
      <c r="B43754" s="31"/>
      <c r="G43754" s="272" t="s">
        <v>1099</v>
      </c>
    </row>
    <row r="43755">
      <c r="B43755" s="31"/>
      <c r="G43755" s="272" t="s">
        <v>1099</v>
      </c>
    </row>
    <row r="43756">
      <c r="B43756" s="31"/>
      <c r="G43756" s="272" t="s">
        <v>1099</v>
      </c>
    </row>
    <row r="43757">
      <c r="B43757" s="31"/>
      <c r="G43757" s="272" t="s">
        <v>1099</v>
      </c>
    </row>
    <row r="43758">
      <c r="B43758" s="31"/>
      <c r="G43758" s="272" t="s">
        <v>1099</v>
      </c>
    </row>
    <row r="43759">
      <c r="B43759" s="31"/>
      <c r="G43759" s="272" t="s">
        <v>1099</v>
      </c>
    </row>
    <row r="43760">
      <c r="B43760" s="31"/>
      <c r="G43760" s="272" t="s">
        <v>1099</v>
      </c>
    </row>
    <row r="43761">
      <c r="B43761" s="31"/>
      <c r="G43761" s="272" t="s">
        <v>1099</v>
      </c>
    </row>
    <row r="43762">
      <c r="B43762" s="31"/>
      <c r="G43762" s="272" t="s">
        <v>1099</v>
      </c>
    </row>
    <row r="43763">
      <c r="B43763" s="31"/>
      <c r="G43763" s="272" t="s">
        <v>1099</v>
      </c>
    </row>
    <row r="43764">
      <c r="B43764" s="31"/>
      <c r="G43764" s="272" t="s">
        <v>1099</v>
      </c>
    </row>
    <row r="43765">
      <c r="B43765" s="31"/>
      <c r="G43765" s="272" t="s">
        <v>1099</v>
      </c>
    </row>
    <row r="43766">
      <c r="B43766" s="31"/>
      <c r="G43766" s="272" t="s">
        <v>1099</v>
      </c>
    </row>
    <row r="43767">
      <c r="B43767" s="31"/>
      <c r="G43767" s="272" t="s">
        <v>1099</v>
      </c>
    </row>
    <row r="43768">
      <c r="B43768" s="31"/>
      <c r="G43768" s="272" t="s">
        <v>1099</v>
      </c>
    </row>
    <row r="43769">
      <c r="B43769" s="31"/>
      <c r="G43769" s="272" t="s">
        <v>1099</v>
      </c>
    </row>
    <row r="43770">
      <c r="B43770" s="31"/>
      <c r="G43770" s="272" t="s">
        <v>1099</v>
      </c>
    </row>
    <row r="43771">
      <c r="B43771" s="31"/>
      <c r="G43771" s="272" t="s">
        <v>1099</v>
      </c>
    </row>
    <row r="43772">
      <c r="B43772" s="31"/>
      <c r="G43772" s="272" t="s">
        <v>1099</v>
      </c>
    </row>
    <row r="43773">
      <c r="B43773" s="31"/>
      <c r="G43773" s="272" t="s">
        <v>1099</v>
      </c>
    </row>
    <row r="43774">
      <c r="B43774" s="31"/>
      <c r="G43774" s="272" t="s">
        <v>1099</v>
      </c>
    </row>
    <row r="43775">
      <c r="B43775" s="31"/>
      <c r="G43775" s="272" t="s">
        <v>1099</v>
      </c>
    </row>
    <row r="43776">
      <c r="B43776" s="31"/>
      <c r="G43776" s="272" t="s">
        <v>1099</v>
      </c>
    </row>
    <row r="43777">
      <c r="B43777" s="31"/>
      <c r="G43777" s="272" t="s">
        <v>1099</v>
      </c>
    </row>
    <row r="43778">
      <c r="B43778" s="31"/>
      <c r="G43778" s="272" t="s">
        <v>1099</v>
      </c>
    </row>
    <row r="43779">
      <c r="B43779" s="31"/>
      <c r="G43779" s="272" t="s">
        <v>1099</v>
      </c>
    </row>
    <row r="43780">
      <c r="B43780" s="31"/>
      <c r="G43780" s="272" t="s">
        <v>1099</v>
      </c>
    </row>
    <row r="43781">
      <c r="B43781" s="31"/>
      <c r="G43781" s="272" t="s">
        <v>1099</v>
      </c>
    </row>
    <row r="43782">
      <c r="B43782" s="31"/>
      <c r="G43782" s="272" t="s">
        <v>1099</v>
      </c>
    </row>
    <row r="43783">
      <c r="B43783" s="31"/>
      <c r="G43783" s="272" t="s">
        <v>1099</v>
      </c>
    </row>
    <row r="43784">
      <c r="B43784" s="31"/>
      <c r="G43784" s="272" t="s">
        <v>1099</v>
      </c>
    </row>
    <row r="43785">
      <c r="B43785" s="31"/>
      <c r="G43785" s="272" t="s">
        <v>1099</v>
      </c>
    </row>
    <row r="43786">
      <c r="B43786" s="31"/>
      <c r="G43786" s="272" t="s">
        <v>1099</v>
      </c>
    </row>
    <row r="43787">
      <c r="B43787" s="31"/>
      <c r="G43787" s="272" t="s">
        <v>1099</v>
      </c>
    </row>
    <row r="43788">
      <c r="B43788" s="31"/>
      <c r="G43788" s="272" t="s">
        <v>1099</v>
      </c>
    </row>
    <row r="43789">
      <c r="B43789" s="31"/>
      <c r="G43789" s="272" t="s">
        <v>1099</v>
      </c>
    </row>
    <row r="43790">
      <c r="B43790" s="31"/>
      <c r="G43790" s="272" t="s">
        <v>1099</v>
      </c>
    </row>
    <row r="43791">
      <c r="B43791" s="31"/>
      <c r="G43791" s="272" t="s">
        <v>1099</v>
      </c>
    </row>
    <row r="43792">
      <c r="B43792" s="31"/>
      <c r="G43792" s="272" t="s">
        <v>1099</v>
      </c>
    </row>
    <row r="43793">
      <c r="B43793" s="31"/>
      <c r="G43793" s="272" t="s">
        <v>1099</v>
      </c>
    </row>
    <row r="43794">
      <c r="B43794" s="31"/>
      <c r="G43794" s="272" t="s">
        <v>1099</v>
      </c>
    </row>
    <row r="43795">
      <c r="B43795" s="31"/>
      <c r="G43795" s="272" t="s">
        <v>1099</v>
      </c>
    </row>
    <row r="43796">
      <c r="B43796" s="31"/>
      <c r="G43796" s="272" t="s">
        <v>1099</v>
      </c>
    </row>
    <row r="43797">
      <c r="B43797" s="31"/>
      <c r="G43797" s="272" t="s">
        <v>1099</v>
      </c>
    </row>
    <row r="43798">
      <c r="B43798" s="31"/>
      <c r="G43798" s="272" t="s">
        <v>1099</v>
      </c>
    </row>
    <row r="43799">
      <c r="B43799" s="31"/>
      <c r="G43799" s="272" t="s">
        <v>1099</v>
      </c>
    </row>
    <row r="43800">
      <c r="B43800" s="31"/>
      <c r="G43800" s="272" t="s">
        <v>1099</v>
      </c>
    </row>
    <row r="43801">
      <c r="B43801" s="31"/>
      <c r="G43801" s="272" t="s">
        <v>1099</v>
      </c>
    </row>
    <row r="43802">
      <c r="B43802" s="31"/>
      <c r="G43802" s="272" t="s">
        <v>1099</v>
      </c>
    </row>
    <row r="43803">
      <c r="B43803" s="31"/>
      <c r="G43803" s="272" t="s">
        <v>1099</v>
      </c>
    </row>
    <row r="43804">
      <c r="B43804" s="31"/>
      <c r="G43804" s="272" t="s">
        <v>1099</v>
      </c>
    </row>
    <row r="43805">
      <c r="B43805" s="31"/>
      <c r="G43805" s="272" t="s">
        <v>1099</v>
      </c>
    </row>
    <row r="43806">
      <c r="B43806" s="31"/>
      <c r="G43806" s="272" t="s">
        <v>1099</v>
      </c>
    </row>
    <row r="43807">
      <c r="B43807" s="31"/>
      <c r="G43807" s="272" t="s">
        <v>1099</v>
      </c>
    </row>
    <row r="43808">
      <c r="B43808" s="31"/>
      <c r="G43808" s="272" t="s">
        <v>1099</v>
      </c>
    </row>
    <row r="43809">
      <c r="B43809" s="31"/>
      <c r="G43809" s="272" t="s">
        <v>1099</v>
      </c>
    </row>
    <row r="43810">
      <c r="B43810" s="31"/>
      <c r="G43810" s="272" t="s">
        <v>1099</v>
      </c>
    </row>
    <row r="43811">
      <c r="B43811" s="31"/>
      <c r="G43811" s="272" t="s">
        <v>1099</v>
      </c>
    </row>
    <row r="43812">
      <c r="B43812" s="31"/>
      <c r="G43812" s="272" t="s">
        <v>1099</v>
      </c>
    </row>
    <row r="43813">
      <c r="B43813" s="31"/>
      <c r="G43813" s="272" t="s">
        <v>1099</v>
      </c>
    </row>
    <row r="43814">
      <c r="B43814" s="31"/>
      <c r="G43814" s="272" t="s">
        <v>1099</v>
      </c>
    </row>
    <row r="43815">
      <c r="B43815" s="31"/>
      <c r="G43815" s="272" t="s">
        <v>1099</v>
      </c>
    </row>
    <row r="43816">
      <c r="B43816" s="31"/>
      <c r="G43816" s="272" t="s">
        <v>1099</v>
      </c>
    </row>
    <row r="43817">
      <c r="B43817" s="31"/>
      <c r="G43817" s="272" t="s">
        <v>1099</v>
      </c>
    </row>
    <row r="43818">
      <c r="B43818" s="31"/>
      <c r="G43818" s="272" t="s">
        <v>1099</v>
      </c>
    </row>
    <row r="43819">
      <c r="B43819" s="31"/>
      <c r="G43819" s="272" t="s">
        <v>1099</v>
      </c>
    </row>
    <row r="43820">
      <c r="B43820" s="31"/>
      <c r="G43820" s="272" t="s">
        <v>1099</v>
      </c>
    </row>
    <row r="43821">
      <c r="B43821" s="31"/>
      <c r="G43821" s="272" t="s">
        <v>1099</v>
      </c>
    </row>
    <row r="43822">
      <c r="B43822" s="31"/>
      <c r="G43822" s="272" t="s">
        <v>1099</v>
      </c>
    </row>
    <row r="43823">
      <c r="B43823" s="31"/>
      <c r="G43823" s="272" t="s">
        <v>1099</v>
      </c>
    </row>
    <row r="43824">
      <c r="B43824" s="31"/>
      <c r="G43824" s="272" t="s">
        <v>1099</v>
      </c>
    </row>
    <row r="43825">
      <c r="B43825" s="31"/>
      <c r="G43825" s="272" t="s">
        <v>1099</v>
      </c>
    </row>
    <row r="43826">
      <c r="B43826" s="31"/>
      <c r="G43826" s="272" t="s">
        <v>1099</v>
      </c>
    </row>
    <row r="43827">
      <c r="B43827" s="31"/>
      <c r="G43827" s="272" t="s">
        <v>1099</v>
      </c>
    </row>
    <row r="43828">
      <c r="B43828" s="31"/>
      <c r="G43828" s="272" t="s">
        <v>1099</v>
      </c>
    </row>
    <row r="43829">
      <c r="B43829" s="31"/>
      <c r="G43829" s="272" t="s">
        <v>1099</v>
      </c>
    </row>
    <row r="43830">
      <c r="B43830" s="31"/>
      <c r="G43830" s="272" t="s">
        <v>1099</v>
      </c>
    </row>
    <row r="43831">
      <c r="B43831" s="31"/>
      <c r="G43831" s="272" t="s">
        <v>1099</v>
      </c>
    </row>
    <row r="43832">
      <c r="B43832" s="31"/>
      <c r="G43832" s="272" t="s">
        <v>1099</v>
      </c>
    </row>
    <row r="43833">
      <c r="B43833" s="31"/>
      <c r="G43833" s="272" t="s">
        <v>1099</v>
      </c>
    </row>
    <row r="43834">
      <c r="B43834" s="31"/>
      <c r="G43834" s="272" t="s">
        <v>1099</v>
      </c>
    </row>
    <row r="43835">
      <c r="B43835" s="31"/>
      <c r="G43835" s="272" t="s">
        <v>1099</v>
      </c>
    </row>
    <row r="43836">
      <c r="B43836" s="31"/>
      <c r="G43836" s="272" t="s">
        <v>1099</v>
      </c>
    </row>
    <row r="43837">
      <c r="B43837" s="31"/>
      <c r="G43837" s="272" t="s">
        <v>1099</v>
      </c>
    </row>
    <row r="43838">
      <c r="B43838" s="31"/>
      <c r="G43838" s="272" t="s">
        <v>1099</v>
      </c>
    </row>
    <row r="43839">
      <c r="B43839" s="31"/>
      <c r="G43839" s="272" t="s">
        <v>1099</v>
      </c>
    </row>
    <row r="43840">
      <c r="B43840" s="31"/>
      <c r="G43840" s="272" t="s">
        <v>1099</v>
      </c>
    </row>
    <row r="43841">
      <c r="B43841" s="31"/>
      <c r="G43841" s="272" t="s">
        <v>1099</v>
      </c>
    </row>
    <row r="43842">
      <c r="B43842" s="31"/>
      <c r="G43842" s="272" t="s">
        <v>1099</v>
      </c>
    </row>
    <row r="43843">
      <c r="B43843" s="31"/>
      <c r="G43843" s="272" t="s">
        <v>1099</v>
      </c>
    </row>
    <row r="43844">
      <c r="B43844" s="31"/>
      <c r="G43844" s="272" t="s">
        <v>1099</v>
      </c>
    </row>
    <row r="43845">
      <c r="B43845" s="31"/>
      <c r="G43845" s="272" t="s">
        <v>1099</v>
      </c>
    </row>
    <row r="43846">
      <c r="B43846" s="31"/>
      <c r="G43846" s="272" t="s">
        <v>1099</v>
      </c>
    </row>
    <row r="43847">
      <c r="B43847" s="31"/>
      <c r="G43847" s="272" t="s">
        <v>1099</v>
      </c>
    </row>
    <row r="43848">
      <c r="B43848" s="31"/>
      <c r="G43848" s="272" t="s">
        <v>1099</v>
      </c>
    </row>
    <row r="43849">
      <c r="B43849" s="31"/>
      <c r="G43849" s="272" t="s">
        <v>1099</v>
      </c>
    </row>
    <row r="43850">
      <c r="B43850" s="31"/>
      <c r="G43850" s="272" t="s">
        <v>1099</v>
      </c>
    </row>
    <row r="43851">
      <c r="B43851" s="31"/>
      <c r="G43851" s="272" t="s">
        <v>1099</v>
      </c>
    </row>
    <row r="43852">
      <c r="B43852" s="31"/>
      <c r="G43852" s="272" t="s">
        <v>1099</v>
      </c>
    </row>
    <row r="43853">
      <c r="B43853" s="31"/>
      <c r="G43853" s="272" t="s">
        <v>1099</v>
      </c>
    </row>
    <row r="43854">
      <c r="B43854" s="31"/>
      <c r="G43854" s="272" t="s">
        <v>1099</v>
      </c>
    </row>
    <row r="43855">
      <c r="B43855" s="31"/>
      <c r="G43855" s="272" t="s">
        <v>1099</v>
      </c>
    </row>
    <row r="43856">
      <c r="B43856" s="31"/>
      <c r="G43856" s="272" t="s">
        <v>1099</v>
      </c>
    </row>
    <row r="43857">
      <c r="B43857" s="31"/>
      <c r="G43857" s="272" t="s">
        <v>1099</v>
      </c>
    </row>
    <row r="43858">
      <c r="B43858" s="31"/>
      <c r="G43858" s="272" t="s">
        <v>1099</v>
      </c>
    </row>
    <row r="43859">
      <c r="B43859" s="31"/>
      <c r="G43859" s="272" t="s">
        <v>1099</v>
      </c>
    </row>
    <row r="43860">
      <c r="B43860" s="31"/>
      <c r="G43860" s="272" t="s">
        <v>1099</v>
      </c>
    </row>
    <row r="43861">
      <c r="B43861" s="31"/>
      <c r="G43861" s="272" t="s">
        <v>1099</v>
      </c>
    </row>
    <row r="43862">
      <c r="B43862" s="31"/>
      <c r="G43862" s="272" t="s">
        <v>1099</v>
      </c>
    </row>
    <row r="43863">
      <c r="B43863" s="31"/>
      <c r="G43863" s="272" t="s">
        <v>1099</v>
      </c>
    </row>
    <row r="43864">
      <c r="B43864" s="31"/>
      <c r="G43864" s="272" t="s">
        <v>1099</v>
      </c>
    </row>
    <row r="43865">
      <c r="B43865" s="31"/>
      <c r="G43865" s="272" t="s">
        <v>1099</v>
      </c>
    </row>
    <row r="43866">
      <c r="B43866" s="31"/>
      <c r="G43866" s="272" t="s">
        <v>1099</v>
      </c>
    </row>
    <row r="43867">
      <c r="B43867" s="31"/>
      <c r="G43867" s="272" t="s">
        <v>1099</v>
      </c>
    </row>
    <row r="43868">
      <c r="B43868" s="31"/>
      <c r="G43868" s="272" t="s">
        <v>1099</v>
      </c>
    </row>
    <row r="43869">
      <c r="B43869" s="31"/>
      <c r="G43869" s="272" t="s">
        <v>1099</v>
      </c>
    </row>
    <row r="43870">
      <c r="B43870" s="31"/>
      <c r="G43870" s="272" t="s">
        <v>1099</v>
      </c>
    </row>
    <row r="43871">
      <c r="B43871" s="31"/>
      <c r="G43871" s="272" t="s">
        <v>1099</v>
      </c>
    </row>
    <row r="43872">
      <c r="B43872" s="31"/>
      <c r="G43872" s="272" t="s">
        <v>1099</v>
      </c>
    </row>
    <row r="43873">
      <c r="B43873" s="31"/>
      <c r="G43873" s="272" t="s">
        <v>1099</v>
      </c>
    </row>
    <row r="43874">
      <c r="B43874" s="31"/>
      <c r="G43874" s="272" t="s">
        <v>1099</v>
      </c>
    </row>
    <row r="43875">
      <c r="B43875" s="31"/>
      <c r="G43875" s="272" t="s">
        <v>1099</v>
      </c>
    </row>
    <row r="43876">
      <c r="B43876" s="31"/>
      <c r="G43876" s="272" t="s">
        <v>1099</v>
      </c>
    </row>
    <row r="43877">
      <c r="B43877" s="31"/>
      <c r="G43877" s="272" t="s">
        <v>1099</v>
      </c>
    </row>
    <row r="43878">
      <c r="B43878" s="31"/>
      <c r="G43878" s="272" t="s">
        <v>1099</v>
      </c>
    </row>
    <row r="43879">
      <c r="B43879" s="31"/>
      <c r="G43879" s="272" t="s">
        <v>1099</v>
      </c>
    </row>
    <row r="43880">
      <c r="B43880" s="31"/>
      <c r="G43880" s="272" t="s">
        <v>1099</v>
      </c>
    </row>
    <row r="43881">
      <c r="B43881" s="31"/>
      <c r="G43881" s="272" t="s">
        <v>1099</v>
      </c>
    </row>
    <row r="43882">
      <c r="B43882" s="31"/>
      <c r="G43882" s="272" t="s">
        <v>1099</v>
      </c>
    </row>
    <row r="43883">
      <c r="B43883" s="31"/>
      <c r="G43883" s="272" t="s">
        <v>1099</v>
      </c>
    </row>
    <row r="43884">
      <c r="B43884" s="31"/>
      <c r="G43884" s="272" t="s">
        <v>1099</v>
      </c>
    </row>
    <row r="43885">
      <c r="B43885" s="31"/>
      <c r="G43885" s="272" t="s">
        <v>1099</v>
      </c>
    </row>
    <row r="43886">
      <c r="B43886" s="31"/>
      <c r="G43886" s="272" t="s">
        <v>1099</v>
      </c>
    </row>
    <row r="43887">
      <c r="B43887" s="31"/>
      <c r="G43887" s="272" t="s">
        <v>1099</v>
      </c>
    </row>
    <row r="43888">
      <c r="B43888" s="31"/>
      <c r="G43888" s="272" t="s">
        <v>1099</v>
      </c>
    </row>
    <row r="43889">
      <c r="B43889" s="31"/>
      <c r="G43889" s="272" t="s">
        <v>1099</v>
      </c>
    </row>
    <row r="43890">
      <c r="B43890" s="31"/>
      <c r="G43890" s="272" t="s">
        <v>1099</v>
      </c>
    </row>
    <row r="43891">
      <c r="B43891" s="31"/>
      <c r="G43891" s="272" t="s">
        <v>1099</v>
      </c>
    </row>
    <row r="43892">
      <c r="B43892" s="31"/>
      <c r="G43892" s="272" t="s">
        <v>1099</v>
      </c>
    </row>
    <row r="43893">
      <c r="B43893" s="31"/>
      <c r="G43893" s="272" t="s">
        <v>1099</v>
      </c>
    </row>
    <row r="43894">
      <c r="B43894" s="31"/>
      <c r="G43894" s="272" t="s">
        <v>1099</v>
      </c>
    </row>
    <row r="43895">
      <c r="B43895" s="31"/>
      <c r="G43895" s="272" t="s">
        <v>1099</v>
      </c>
    </row>
    <row r="43896">
      <c r="B43896" s="31"/>
      <c r="G43896" s="272" t="s">
        <v>1099</v>
      </c>
    </row>
    <row r="43897">
      <c r="B43897" s="31"/>
      <c r="G43897" s="272" t="s">
        <v>1099</v>
      </c>
    </row>
    <row r="43898">
      <c r="B43898" s="31"/>
      <c r="G43898" s="272" t="s">
        <v>1099</v>
      </c>
    </row>
    <row r="43899">
      <c r="B43899" s="31"/>
      <c r="G43899" s="272" t="s">
        <v>1099</v>
      </c>
    </row>
    <row r="43900">
      <c r="B43900" s="31"/>
      <c r="G43900" s="272" t="s">
        <v>1099</v>
      </c>
    </row>
    <row r="43901">
      <c r="B43901" s="31"/>
      <c r="G43901" s="272" t="s">
        <v>1099</v>
      </c>
    </row>
    <row r="43902">
      <c r="B43902" s="31"/>
      <c r="G43902" s="272" t="s">
        <v>1099</v>
      </c>
    </row>
    <row r="43903">
      <c r="B43903" s="31"/>
      <c r="G43903" s="272" t="s">
        <v>1099</v>
      </c>
    </row>
    <row r="43904">
      <c r="B43904" s="31"/>
      <c r="G43904" s="272" t="s">
        <v>1099</v>
      </c>
    </row>
    <row r="43905">
      <c r="B43905" s="31"/>
      <c r="G43905" s="272" t="s">
        <v>1099</v>
      </c>
    </row>
    <row r="43906">
      <c r="B43906" s="31"/>
      <c r="G43906" s="272" t="s">
        <v>1099</v>
      </c>
    </row>
    <row r="43907">
      <c r="B43907" s="31"/>
      <c r="G43907" s="272" t="s">
        <v>1099</v>
      </c>
    </row>
    <row r="43908">
      <c r="B43908" s="31"/>
      <c r="G43908" s="272" t="s">
        <v>1099</v>
      </c>
    </row>
    <row r="43909">
      <c r="B43909" s="31"/>
      <c r="G43909" s="272" t="s">
        <v>1099</v>
      </c>
    </row>
    <row r="43910">
      <c r="B43910" s="31"/>
      <c r="G43910" s="272" t="s">
        <v>1099</v>
      </c>
    </row>
    <row r="43911">
      <c r="B43911" s="31"/>
      <c r="G43911" s="272" t="s">
        <v>1099</v>
      </c>
    </row>
    <row r="43912">
      <c r="B43912" s="31"/>
      <c r="G43912" s="272" t="s">
        <v>1099</v>
      </c>
    </row>
    <row r="43913">
      <c r="B43913" s="31"/>
      <c r="G43913" s="272" t="s">
        <v>1099</v>
      </c>
    </row>
    <row r="43914">
      <c r="B43914" s="31"/>
      <c r="G43914" s="272" t="s">
        <v>1099</v>
      </c>
    </row>
    <row r="43915">
      <c r="B43915" s="31"/>
      <c r="G43915" s="272" t="s">
        <v>1099</v>
      </c>
    </row>
    <row r="43916">
      <c r="B43916" s="31"/>
      <c r="G43916" s="272" t="s">
        <v>1099</v>
      </c>
    </row>
    <row r="43917">
      <c r="B43917" s="31"/>
      <c r="G43917" s="272" t="s">
        <v>1099</v>
      </c>
    </row>
    <row r="43918">
      <c r="B43918" s="31"/>
      <c r="G43918" s="272" t="s">
        <v>1099</v>
      </c>
    </row>
    <row r="43919">
      <c r="B43919" s="31"/>
      <c r="G43919" s="272" t="s">
        <v>1099</v>
      </c>
    </row>
    <row r="43920">
      <c r="B43920" s="31"/>
      <c r="G43920" s="272" t="s">
        <v>1099</v>
      </c>
    </row>
    <row r="43921">
      <c r="B43921" s="31"/>
      <c r="G43921" s="272" t="s">
        <v>1099</v>
      </c>
    </row>
    <row r="43922">
      <c r="B43922" s="31"/>
      <c r="G43922" s="272" t="s">
        <v>1099</v>
      </c>
    </row>
    <row r="43923">
      <c r="B43923" s="31"/>
      <c r="G43923" s="272" t="s">
        <v>1099</v>
      </c>
    </row>
    <row r="43924">
      <c r="B43924" s="31"/>
      <c r="G43924" s="272" t="s">
        <v>1099</v>
      </c>
    </row>
    <row r="43925">
      <c r="B43925" s="31"/>
      <c r="G43925" s="272" t="s">
        <v>1099</v>
      </c>
    </row>
    <row r="43926">
      <c r="B43926" s="31"/>
      <c r="G43926" s="272" t="s">
        <v>1099</v>
      </c>
    </row>
    <row r="43927">
      <c r="B43927" s="31"/>
      <c r="G43927" s="272" t="s">
        <v>1099</v>
      </c>
    </row>
    <row r="43928">
      <c r="B43928" s="31"/>
      <c r="G43928" s="272" t="s">
        <v>1099</v>
      </c>
    </row>
    <row r="43929">
      <c r="B43929" s="31"/>
      <c r="G43929" s="272" t="s">
        <v>1099</v>
      </c>
    </row>
    <row r="43930">
      <c r="B43930" s="31"/>
      <c r="G43930" s="272" t="s">
        <v>1099</v>
      </c>
    </row>
    <row r="43931">
      <c r="B43931" s="31"/>
      <c r="G43931" s="272" t="s">
        <v>1099</v>
      </c>
    </row>
    <row r="43932">
      <c r="B43932" s="31"/>
      <c r="G43932" s="272" t="s">
        <v>1099</v>
      </c>
    </row>
    <row r="43933">
      <c r="B43933" s="31"/>
      <c r="G43933" s="272" t="s">
        <v>1099</v>
      </c>
    </row>
    <row r="43934">
      <c r="B43934" s="31"/>
      <c r="G43934" s="272" t="s">
        <v>1099</v>
      </c>
    </row>
    <row r="43935">
      <c r="B43935" s="31"/>
      <c r="G43935" s="272" t="s">
        <v>1099</v>
      </c>
    </row>
    <row r="43936">
      <c r="B43936" s="31"/>
      <c r="G43936" s="272" t="s">
        <v>1099</v>
      </c>
    </row>
    <row r="43937">
      <c r="B43937" s="31"/>
      <c r="G43937" s="272" t="s">
        <v>1099</v>
      </c>
    </row>
    <row r="43938">
      <c r="B43938" s="31"/>
      <c r="G43938" s="272" t="s">
        <v>1099</v>
      </c>
    </row>
    <row r="43939">
      <c r="B43939" s="31"/>
      <c r="G43939" s="272" t="s">
        <v>1099</v>
      </c>
    </row>
    <row r="43940">
      <c r="B43940" s="31"/>
      <c r="G43940" s="272" t="s">
        <v>1099</v>
      </c>
    </row>
    <row r="43941">
      <c r="B43941" s="31"/>
      <c r="G43941" s="272" t="s">
        <v>1099</v>
      </c>
    </row>
    <row r="43942">
      <c r="B43942" s="31"/>
      <c r="G43942" s="272" t="s">
        <v>1099</v>
      </c>
    </row>
    <row r="43943">
      <c r="B43943" s="31"/>
      <c r="G43943" s="272" t="s">
        <v>1099</v>
      </c>
    </row>
    <row r="43944">
      <c r="B43944" s="31"/>
      <c r="G43944" s="272" t="s">
        <v>1099</v>
      </c>
    </row>
    <row r="43945">
      <c r="B43945" s="31"/>
      <c r="G43945" s="272" t="s">
        <v>1099</v>
      </c>
    </row>
    <row r="43946">
      <c r="B43946" s="31"/>
      <c r="G43946" s="272" t="s">
        <v>1099</v>
      </c>
    </row>
    <row r="43947">
      <c r="B43947" s="31"/>
      <c r="G43947" s="272" t="s">
        <v>1099</v>
      </c>
    </row>
    <row r="43948">
      <c r="B43948" s="31"/>
      <c r="G43948" s="272" t="s">
        <v>1099</v>
      </c>
    </row>
    <row r="43949">
      <c r="B43949" s="31"/>
      <c r="G43949" s="272" t="s">
        <v>1099</v>
      </c>
    </row>
    <row r="43950">
      <c r="B43950" s="31"/>
      <c r="G43950" s="272" t="s">
        <v>1099</v>
      </c>
    </row>
    <row r="43951">
      <c r="B43951" s="31"/>
      <c r="G43951" s="272" t="s">
        <v>1099</v>
      </c>
    </row>
    <row r="43952">
      <c r="B43952" s="31"/>
      <c r="G43952" s="272" t="s">
        <v>1099</v>
      </c>
    </row>
    <row r="43953">
      <c r="B43953" s="31"/>
      <c r="G43953" s="272" t="s">
        <v>1099</v>
      </c>
    </row>
    <row r="43954">
      <c r="B43954" s="31"/>
      <c r="G43954" s="272" t="s">
        <v>1099</v>
      </c>
    </row>
    <row r="43955">
      <c r="B43955" s="31"/>
      <c r="G43955" s="272" t="s">
        <v>1099</v>
      </c>
    </row>
    <row r="43956">
      <c r="B43956" s="31"/>
      <c r="G43956" s="272" t="s">
        <v>1099</v>
      </c>
    </row>
    <row r="43957">
      <c r="B43957" s="31"/>
      <c r="G43957" s="272" t="s">
        <v>1099</v>
      </c>
    </row>
    <row r="43958">
      <c r="B43958" s="31"/>
      <c r="G43958" s="272" t="s">
        <v>1099</v>
      </c>
    </row>
    <row r="43959">
      <c r="B43959" s="31"/>
      <c r="G43959" s="272" t="s">
        <v>1099</v>
      </c>
    </row>
    <row r="43960">
      <c r="B43960" s="31"/>
      <c r="G43960" s="272" t="s">
        <v>1099</v>
      </c>
    </row>
    <row r="43961">
      <c r="B43961" s="31"/>
      <c r="G43961" s="272" t="s">
        <v>1099</v>
      </c>
    </row>
    <row r="43962">
      <c r="B43962" s="31"/>
      <c r="G43962" s="272" t="s">
        <v>1099</v>
      </c>
    </row>
    <row r="43963">
      <c r="B43963" s="31"/>
      <c r="G43963" s="272" t="s">
        <v>1099</v>
      </c>
    </row>
    <row r="43964">
      <c r="B43964" s="31"/>
      <c r="G43964" s="272" t="s">
        <v>1099</v>
      </c>
    </row>
    <row r="43965">
      <c r="B43965" s="31"/>
      <c r="G43965" s="272" t="s">
        <v>1099</v>
      </c>
    </row>
    <row r="43966">
      <c r="B43966" s="31"/>
      <c r="G43966" s="272" t="s">
        <v>1099</v>
      </c>
    </row>
    <row r="43967">
      <c r="B43967" s="31"/>
      <c r="G43967" s="272" t="s">
        <v>1099</v>
      </c>
    </row>
    <row r="43968">
      <c r="B43968" s="31"/>
      <c r="G43968" s="272" t="s">
        <v>1099</v>
      </c>
    </row>
    <row r="43969">
      <c r="B43969" s="31"/>
      <c r="G43969" s="272" t="s">
        <v>1099</v>
      </c>
    </row>
    <row r="43970">
      <c r="B43970" s="31"/>
      <c r="G43970" s="272" t="s">
        <v>1099</v>
      </c>
    </row>
    <row r="43971">
      <c r="B43971" s="31"/>
      <c r="G43971" s="272" t="s">
        <v>1099</v>
      </c>
    </row>
    <row r="43972">
      <c r="B43972" s="31"/>
      <c r="G43972" s="272" t="s">
        <v>1099</v>
      </c>
    </row>
    <row r="43973">
      <c r="B43973" s="31"/>
      <c r="G43973" s="272" t="s">
        <v>1099</v>
      </c>
    </row>
    <row r="43974">
      <c r="B43974" s="31"/>
      <c r="G43974" s="272" t="s">
        <v>1099</v>
      </c>
    </row>
    <row r="43975">
      <c r="B43975" s="31"/>
      <c r="G43975" s="272" t="s">
        <v>1099</v>
      </c>
    </row>
    <row r="43976">
      <c r="B43976" s="31"/>
      <c r="G43976" s="272" t="s">
        <v>1099</v>
      </c>
    </row>
    <row r="43977">
      <c r="B43977" s="31"/>
      <c r="G43977" s="272" t="s">
        <v>1099</v>
      </c>
    </row>
    <row r="43978">
      <c r="B43978" s="31"/>
      <c r="G43978" s="272" t="s">
        <v>1099</v>
      </c>
    </row>
    <row r="43979">
      <c r="B43979" s="31"/>
      <c r="G43979" s="272" t="s">
        <v>1099</v>
      </c>
    </row>
    <row r="43980">
      <c r="B43980" s="31"/>
      <c r="G43980" s="272" t="s">
        <v>1099</v>
      </c>
    </row>
    <row r="43981">
      <c r="B43981" s="31"/>
      <c r="G43981" s="272" t="s">
        <v>1099</v>
      </c>
    </row>
    <row r="43982">
      <c r="B43982" s="31"/>
      <c r="G43982" s="272" t="s">
        <v>1099</v>
      </c>
    </row>
    <row r="43983">
      <c r="B43983" s="31"/>
      <c r="G43983" s="272" t="s">
        <v>1099</v>
      </c>
    </row>
    <row r="43984">
      <c r="B43984" s="31"/>
      <c r="G43984" s="272" t="s">
        <v>1099</v>
      </c>
    </row>
    <row r="43985">
      <c r="B43985" s="31"/>
      <c r="G43985" s="272" t="s">
        <v>1099</v>
      </c>
    </row>
    <row r="43986">
      <c r="B43986" s="31"/>
      <c r="G43986" s="272" t="s">
        <v>1099</v>
      </c>
    </row>
    <row r="43987">
      <c r="B43987" s="31"/>
      <c r="G43987" s="272" t="s">
        <v>1099</v>
      </c>
    </row>
    <row r="43988">
      <c r="B43988" s="31"/>
      <c r="G43988" s="272" t="s">
        <v>1099</v>
      </c>
    </row>
    <row r="43989">
      <c r="B43989" s="31"/>
      <c r="G43989" s="272" t="s">
        <v>1099</v>
      </c>
    </row>
    <row r="43990">
      <c r="B43990" s="31"/>
      <c r="G43990" s="272" t="s">
        <v>1099</v>
      </c>
    </row>
    <row r="43991">
      <c r="B43991" s="31"/>
      <c r="G43991" s="272" t="s">
        <v>1099</v>
      </c>
    </row>
    <row r="43992">
      <c r="B43992" s="31"/>
      <c r="G43992" s="272" t="s">
        <v>1099</v>
      </c>
    </row>
    <row r="43993">
      <c r="B43993" s="31"/>
      <c r="G43993" s="272" t="s">
        <v>1099</v>
      </c>
    </row>
    <row r="43994">
      <c r="B43994" s="31"/>
      <c r="G43994" s="272" t="s">
        <v>1099</v>
      </c>
    </row>
    <row r="43995">
      <c r="B43995" s="31"/>
      <c r="G43995" s="272" t="s">
        <v>1099</v>
      </c>
    </row>
    <row r="43996">
      <c r="B43996" s="31"/>
      <c r="G43996" s="272" t="s">
        <v>1099</v>
      </c>
    </row>
    <row r="43997">
      <c r="B43997" s="31"/>
      <c r="G43997" s="272" t="s">
        <v>1099</v>
      </c>
    </row>
    <row r="43998">
      <c r="B43998" s="31"/>
      <c r="G43998" s="272" t="s">
        <v>1099</v>
      </c>
    </row>
    <row r="43999">
      <c r="B43999" s="31"/>
      <c r="G43999" s="272" t="s">
        <v>1099</v>
      </c>
    </row>
    <row r="44000">
      <c r="B44000" s="31"/>
      <c r="G44000" s="272" t="s">
        <v>1099</v>
      </c>
    </row>
    <row r="44001">
      <c r="B44001" s="31"/>
      <c r="G44001" s="272" t="s">
        <v>1099</v>
      </c>
    </row>
    <row r="44002">
      <c r="B44002" s="31"/>
      <c r="G44002" s="272" t="s">
        <v>1099</v>
      </c>
    </row>
    <row r="44003">
      <c r="B44003" s="31"/>
      <c r="G44003" s="272" t="s">
        <v>1099</v>
      </c>
    </row>
    <row r="44004">
      <c r="B44004" s="31"/>
      <c r="G44004" s="272" t="s">
        <v>1099</v>
      </c>
    </row>
    <row r="44005">
      <c r="B44005" s="31"/>
      <c r="G44005" s="272" t="s">
        <v>1099</v>
      </c>
    </row>
    <row r="44006">
      <c r="B44006" s="31"/>
      <c r="G44006" s="272" t="s">
        <v>1099</v>
      </c>
    </row>
    <row r="44007">
      <c r="B44007" s="31"/>
      <c r="G44007" s="272" t="s">
        <v>1099</v>
      </c>
    </row>
    <row r="44008">
      <c r="B44008" s="31"/>
      <c r="G44008" s="272" t="s">
        <v>1099</v>
      </c>
    </row>
    <row r="44009">
      <c r="B44009" s="31"/>
      <c r="G44009" s="272" t="s">
        <v>1099</v>
      </c>
    </row>
    <row r="44010">
      <c r="B44010" s="31"/>
      <c r="G44010" s="272" t="s">
        <v>1099</v>
      </c>
    </row>
    <row r="44011">
      <c r="B44011" s="31"/>
      <c r="G44011" s="272" t="s">
        <v>1099</v>
      </c>
    </row>
    <row r="44012">
      <c r="B44012" s="31"/>
      <c r="G44012" s="272" t="s">
        <v>1099</v>
      </c>
    </row>
    <row r="44013">
      <c r="B44013" s="31"/>
      <c r="G44013" s="272" t="s">
        <v>1099</v>
      </c>
    </row>
    <row r="44014">
      <c r="B44014" s="31"/>
      <c r="G44014" s="272" t="s">
        <v>1099</v>
      </c>
    </row>
    <row r="44015">
      <c r="B44015" s="31"/>
      <c r="G44015" s="272" t="s">
        <v>1099</v>
      </c>
    </row>
    <row r="44016">
      <c r="B44016" s="31"/>
      <c r="G44016" s="272" t="s">
        <v>1099</v>
      </c>
    </row>
    <row r="44017">
      <c r="B44017" s="31"/>
      <c r="G44017" s="272" t="s">
        <v>1099</v>
      </c>
    </row>
    <row r="44018">
      <c r="B44018" s="31"/>
      <c r="G44018" s="272" t="s">
        <v>1099</v>
      </c>
    </row>
    <row r="44019">
      <c r="B44019" s="31"/>
      <c r="G44019" s="272" t="s">
        <v>1099</v>
      </c>
    </row>
    <row r="44020">
      <c r="B44020" s="31"/>
      <c r="G44020" s="272" t="s">
        <v>1099</v>
      </c>
    </row>
    <row r="44021">
      <c r="B44021" s="31"/>
      <c r="G44021" s="272" t="s">
        <v>1099</v>
      </c>
    </row>
    <row r="44022">
      <c r="B44022" s="31"/>
      <c r="G44022" s="272" t="s">
        <v>1099</v>
      </c>
    </row>
    <row r="44023">
      <c r="B44023" s="31"/>
      <c r="G44023" s="272" t="s">
        <v>1099</v>
      </c>
    </row>
    <row r="44024">
      <c r="B44024" s="31"/>
      <c r="G44024" s="272" t="s">
        <v>1099</v>
      </c>
    </row>
    <row r="44025">
      <c r="B44025" s="31"/>
      <c r="G44025" s="272" t="s">
        <v>1099</v>
      </c>
    </row>
    <row r="44026">
      <c r="B44026" s="31"/>
      <c r="G44026" s="272" t="s">
        <v>1099</v>
      </c>
    </row>
    <row r="44027">
      <c r="B44027" s="31"/>
      <c r="G44027" s="272" t="s">
        <v>1099</v>
      </c>
    </row>
    <row r="44028">
      <c r="B44028" s="31"/>
      <c r="G44028" s="272" t="s">
        <v>1099</v>
      </c>
    </row>
    <row r="44029">
      <c r="B44029" s="31"/>
      <c r="G44029" s="272" t="s">
        <v>1099</v>
      </c>
    </row>
    <row r="44030">
      <c r="B44030" s="31"/>
      <c r="G44030" s="272" t="s">
        <v>1099</v>
      </c>
    </row>
    <row r="44031">
      <c r="B44031" s="31"/>
      <c r="G44031" s="272" t="s">
        <v>1099</v>
      </c>
    </row>
    <row r="44032">
      <c r="B44032" s="31"/>
      <c r="G44032" s="272" t="s">
        <v>1099</v>
      </c>
    </row>
    <row r="44033">
      <c r="B44033" s="31"/>
      <c r="G44033" s="272" t="s">
        <v>1099</v>
      </c>
    </row>
    <row r="44034">
      <c r="B44034" s="31"/>
      <c r="G44034" s="272" t="s">
        <v>1099</v>
      </c>
    </row>
    <row r="44035">
      <c r="B44035" s="31"/>
      <c r="G44035" s="272" t="s">
        <v>1099</v>
      </c>
    </row>
    <row r="44036">
      <c r="B44036" s="31"/>
      <c r="G44036" s="272" t="s">
        <v>1099</v>
      </c>
    </row>
    <row r="44037">
      <c r="B44037" s="31"/>
      <c r="G44037" s="272" t="s">
        <v>1099</v>
      </c>
    </row>
    <row r="44038">
      <c r="B44038" s="31"/>
      <c r="G44038" s="272" t="s">
        <v>1099</v>
      </c>
    </row>
    <row r="44039">
      <c r="B44039" s="31"/>
      <c r="G44039" s="272" t="s">
        <v>1099</v>
      </c>
    </row>
    <row r="44040">
      <c r="B44040" s="31"/>
      <c r="G44040" s="272" t="s">
        <v>1099</v>
      </c>
    </row>
    <row r="44041">
      <c r="B44041" s="31"/>
      <c r="G44041" s="272" t="s">
        <v>1099</v>
      </c>
    </row>
    <row r="44042">
      <c r="B44042" s="31"/>
      <c r="G44042" s="272" t="s">
        <v>1099</v>
      </c>
    </row>
    <row r="44043">
      <c r="B44043" s="31"/>
      <c r="G44043" s="272" t="s">
        <v>1099</v>
      </c>
    </row>
    <row r="44044">
      <c r="B44044" s="31"/>
      <c r="G44044" s="272" t="s">
        <v>1099</v>
      </c>
    </row>
    <row r="44045">
      <c r="B44045" s="31"/>
      <c r="G44045" s="272" t="s">
        <v>1099</v>
      </c>
    </row>
    <row r="44046">
      <c r="B44046" s="31"/>
      <c r="G44046" s="272" t="s">
        <v>1099</v>
      </c>
    </row>
    <row r="44047">
      <c r="B44047" s="31"/>
      <c r="G44047" s="272" t="s">
        <v>1099</v>
      </c>
    </row>
    <row r="44048">
      <c r="B44048" s="31"/>
      <c r="G44048" s="272" t="s">
        <v>1099</v>
      </c>
    </row>
    <row r="44049">
      <c r="B44049" s="31"/>
      <c r="G44049" s="272" t="s">
        <v>1099</v>
      </c>
    </row>
    <row r="44050">
      <c r="B44050" s="31"/>
      <c r="G44050" s="272" t="s">
        <v>1099</v>
      </c>
    </row>
    <row r="44051">
      <c r="B44051" s="31"/>
      <c r="G44051" s="272" t="s">
        <v>1099</v>
      </c>
    </row>
    <row r="44052">
      <c r="B44052" s="31"/>
      <c r="G44052" s="272" t="s">
        <v>1099</v>
      </c>
    </row>
    <row r="44053">
      <c r="B44053" s="31"/>
      <c r="G44053" s="272" t="s">
        <v>1099</v>
      </c>
    </row>
    <row r="44054">
      <c r="B44054" s="31"/>
      <c r="G44054" s="272" t="s">
        <v>1099</v>
      </c>
    </row>
    <row r="44055">
      <c r="B44055" s="31"/>
      <c r="G44055" s="272" t="s">
        <v>1099</v>
      </c>
    </row>
    <row r="44056">
      <c r="B44056" s="31"/>
      <c r="G44056" s="272" t="s">
        <v>1099</v>
      </c>
    </row>
    <row r="44057">
      <c r="B44057" s="31"/>
      <c r="G44057" s="272" t="s">
        <v>1099</v>
      </c>
    </row>
    <row r="44058">
      <c r="B44058" s="31"/>
      <c r="G44058" s="272" t="s">
        <v>1099</v>
      </c>
    </row>
    <row r="44059">
      <c r="B44059" s="31"/>
      <c r="G44059" s="272" t="s">
        <v>1099</v>
      </c>
    </row>
    <row r="44060">
      <c r="B44060" s="31"/>
      <c r="G44060" s="272" t="s">
        <v>1099</v>
      </c>
    </row>
    <row r="44061">
      <c r="B44061" s="31"/>
      <c r="G44061" s="272" t="s">
        <v>1099</v>
      </c>
    </row>
    <row r="44062">
      <c r="B44062" s="31"/>
      <c r="G44062" s="272" t="s">
        <v>1099</v>
      </c>
    </row>
    <row r="44063">
      <c r="B44063" s="31"/>
      <c r="G44063" s="272" t="s">
        <v>1099</v>
      </c>
    </row>
    <row r="44064">
      <c r="B44064" s="31"/>
      <c r="G44064" s="272" t="s">
        <v>1099</v>
      </c>
    </row>
    <row r="44065">
      <c r="B44065" s="31"/>
      <c r="G44065" s="272" t="s">
        <v>1099</v>
      </c>
    </row>
    <row r="44066">
      <c r="B44066" s="31"/>
      <c r="G44066" s="272" t="s">
        <v>1099</v>
      </c>
    </row>
    <row r="44067">
      <c r="B44067" s="31"/>
      <c r="G44067" s="272" t="s">
        <v>1099</v>
      </c>
    </row>
    <row r="44068">
      <c r="B44068" s="31"/>
      <c r="G44068" s="272" t="s">
        <v>1099</v>
      </c>
    </row>
    <row r="44069">
      <c r="B44069" s="31"/>
      <c r="G44069" s="272" t="s">
        <v>1099</v>
      </c>
    </row>
    <row r="44070">
      <c r="B44070" s="31"/>
      <c r="G44070" s="272" t="s">
        <v>1099</v>
      </c>
    </row>
    <row r="44071">
      <c r="B44071" s="31"/>
      <c r="G44071" s="272" t="s">
        <v>1099</v>
      </c>
    </row>
    <row r="44072">
      <c r="B44072" s="31"/>
      <c r="G44072" s="272" t="s">
        <v>1099</v>
      </c>
    </row>
    <row r="44073">
      <c r="B44073" s="31"/>
      <c r="G44073" s="272" t="s">
        <v>1099</v>
      </c>
    </row>
    <row r="44074">
      <c r="B44074" s="31"/>
      <c r="G44074" s="272" t="s">
        <v>1099</v>
      </c>
    </row>
    <row r="44075">
      <c r="B44075" s="31"/>
      <c r="G44075" s="272" t="s">
        <v>1099</v>
      </c>
    </row>
    <row r="44076">
      <c r="B44076" s="31"/>
      <c r="G44076" s="272" t="s">
        <v>1099</v>
      </c>
    </row>
    <row r="44077">
      <c r="B44077" s="31"/>
      <c r="G44077" s="272" t="s">
        <v>1099</v>
      </c>
    </row>
    <row r="44078">
      <c r="B44078" s="31"/>
      <c r="G44078" s="272" t="s">
        <v>1099</v>
      </c>
    </row>
    <row r="44079">
      <c r="B44079" s="31"/>
      <c r="G44079" s="272" t="s">
        <v>1099</v>
      </c>
    </row>
    <row r="44080">
      <c r="B44080" s="31"/>
      <c r="G44080" s="272" t="s">
        <v>1099</v>
      </c>
    </row>
    <row r="44081">
      <c r="B44081" s="31"/>
      <c r="G44081" s="272" t="s">
        <v>1099</v>
      </c>
    </row>
    <row r="44082">
      <c r="B44082" s="31"/>
      <c r="G44082" s="272" t="s">
        <v>1099</v>
      </c>
    </row>
    <row r="44083">
      <c r="B44083" s="31"/>
      <c r="G44083" s="272" t="s">
        <v>1099</v>
      </c>
    </row>
    <row r="44084">
      <c r="B44084" s="31"/>
      <c r="G44084" s="272" t="s">
        <v>1099</v>
      </c>
    </row>
    <row r="44085">
      <c r="B44085" s="31"/>
      <c r="G44085" s="272" t="s">
        <v>1099</v>
      </c>
    </row>
    <row r="44086">
      <c r="B44086" s="31"/>
      <c r="G44086" s="272" t="s">
        <v>1099</v>
      </c>
    </row>
    <row r="44087">
      <c r="B44087" s="31"/>
      <c r="G44087" s="272" t="s">
        <v>1099</v>
      </c>
    </row>
    <row r="44088">
      <c r="B44088" s="31"/>
      <c r="G44088" s="272" t="s">
        <v>1099</v>
      </c>
    </row>
    <row r="44089">
      <c r="B44089" s="31"/>
      <c r="G44089" s="272" t="s">
        <v>1099</v>
      </c>
    </row>
    <row r="44090">
      <c r="B44090" s="31"/>
      <c r="G44090" s="272" t="s">
        <v>1099</v>
      </c>
    </row>
    <row r="44091">
      <c r="B44091" s="31"/>
      <c r="G44091" s="272" t="s">
        <v>1099</v>
      </c>
    </row>
    <row r="44092">
      <c r="B44092" s="31"/>
      <c r="G44092" s="272" t="s">
        <v>1099</v>
      </c>
    </row>
    <row r="44093">
      <c r="B44093" s="31"/>
      <c r="G44093" s="272" t="s">
        <v>1099</v>
      </c>
    </row>
    <row r="44094">
      <c r="B44094" s="31"/>
      <c r="G44094" s="272" t="s">
        <v>1099</v>
      </c>
    </row>
    <row r="44095">
      <c r="B44095" s="31"/>
      <c r="G44095" s="272" t="s">
        <v>1099</v>
      </c>
    </row>
    <row r="44096">
      <c r="B44096" s="31"/>
      <c r="G44096" s="272" t="s">
        <v>1099</v>
      </c>
    </row>
    <row r="44097">
      <c r="B44097" s="31"/>
      <c r="G44097" s="272" t="s">
        <v>1099</v>
      </c>
    </row>
    <row r="44098">
      <c r="B44098" s="31"/>
      <c r="G44098" s="272" t="s">
        <v>1099</v>
      </c>
    </row>
    <row r="44099">
      <c r="B44099" s="31"/>
      <c r="G44099" s="272" t="s">
        <v>1099</v>
      </c>
    </row>
    <row r="44100">
      <c r="B44100" s="31"/>
      <c r="G44100" s="272" t="s">
        <v>1099</v>
      </c>
    </row>
    <row r="44101">
      <c r="B44101" s="31"/>
      <c r="G44101" s="272" t="s">
        <v>1099</v>
      </c>
    </row>
    <row r="44102">
      <c r="B44102" s="31"/>
      <c r="G44102" s="272" t="s">
        <v>1099</v>
      </c>
    </row>
    <row r="44103">
      <c r="B44103" s="31"/>
      <c r="G44103" s="272" t="s">
        <v>1099</v>
      </c>
    </row>
    <row r="44104">
      <c r="B44104" s="31"/>
      <c r="G44104" s="272" t="s">
        <v>1099</v>
      </c>
    </row>
    <row r="44105">
      <c r="B44105" s="31"/>
      <c r="G44105" s="272" t="s">
        <v>1099</v>
      </c>
    </row>
    <row r="44106">
      <c r="B44106" s="31"/>
      <c r="G44106" s="272" t="s">
        <v>1099</v>
      </c>
    </row>
    <row r="44107">
      <c r="B44107" s="31"/>
      <c r="G44107" s="272" t="s">
        <v>1099</v>
      </c>
    </row>
    <row r="44108">
      <c r="B44108" s="31"/>
      <c r="G44108" s="272" t="s">
        <v>1099</v>
      </c>
    </row>
    <row r="44109">
      <c r="B44109" s="31"/>
      <c r="G44109" s="272" t="s">
        <v>1099</v>
      </c>
    </row>
    <row r="44110">
      <c r="B44110" s="31"/>
      <c r="G44110" s="272" t="s">
        <v>1099</v>
      </c>
    </row>
    <row r="44111">
      <c r="B44111" s="31"/>
      <c r="G44111" s="272" t="s">
        <v>1099</v>
      </c>
    </row>
    <row r="44112">
      <c r="B44112" s="31"/>
      <c r="G44112" s="272" t="s">
        <v>1099</v>
      </c>
    </row>
    <row r="44113">
      <c r="B44113" s="31"/>
      <c r="G44113" s="272" t="s">
        <v>1099</v>
      </c>
    </row>
    <row r="44114">
      <c r="B44114" s="31"/>
      <c r="G44114" s="272" t="s">
        <v>1099</v>
      </c>
    </row>
    <row r="44115">
      <c r="B44115" s="31"/>
      <c r="G44115" s="272" t="s">
        <v>1099</v>
      </c>
    </row>
    <row r="44116">
      <c r="B44116" s="31"/>
      <c r="G44116" s="272" t="s">
        <v>1099</v>
      </c>
    </row>
    <row r="44117">
      <c r="B44117" s="31"/>
      <c r="G44117" s="272" t="s">
        <v>1099</v>
      </c>
    </row>
    <row r="44118">
      <c r="B44118" s="31"/>
      <c r="G44118" s="272" t="s">
        <v>1099</v>
      </c>
    </row>
    <row r="44119">
      <c r="B44119" s="31"/>
      <c r="G44119" s="272" t="s">
        <v>1099</v>
      </c>
    </row>
    <row r="44120">
      <c r="B44120" s="31"/>
      <c r="G44120" s="272" t="s">
        <v>1099</v>
      </c>
    </row>
    <row r="44121">
      <c r="B44121" s="31"/>
      <c r="G44121" s="272" t="s">
        <v>1099</v>
      </c>
    </row>
    <row r="44122">
      <c r="B44122" s="31"/>
      <c r="G44122" s="272" t="s">
        <v>1099</v>
      </c>
    </row>
    <row r="44123">
      <c r="B44123" s="31"/>
      <c r="G44123" s="272" t="s">
        <v>1099</v>
      </c>
    </row>
    <row r="44124">
      <c r="B44124" s="31"/>
      <c r="G44124" s="272" t="s">
        <v>1099</v>
      </c>
    </row>
    <row r="44125">
      <c r="B44125" s="31"/>
      <c r="G44125" s="272" t="s">
        <v>1099</v>
      </c>
    </row>
    <row r="44126">
      <c r="B44126" s="31"/>
      <c r="G44126" s="272" t="s">
        <v>1099</v>
      </c>
    </row>
    <row r="44127">
      <c r="B44127" s="31"/>
      <c r="G44127" s="272" t="s">
        <v>1099</v>
      </c>
    </row>
    <row r="44128">
      <c r="B44128" s="31"/>
      <c r="G44128" s="272" t="s">
        <v>1099</v>
      </c>
    </row>
    <row r="44129">
      <c r="B44129" s="31"/>
      <c r="G44129" s="272" t="s">
        <v>1099</v>
      </c>
    </row>
    <row r="44130">
      <c r="B44130" s="31"/>
      <c r="G44130" s="272" t="s">
        <v>1099</v>
      </c>
    </row>
    <row r="44131">
      <c r="B44131" s="31"/>
      <c r="G44131" s="272" t="s">
        <v>1099</v>
      </c>
    </row>
    <row r="44132">
      <c r="B44132" s="31"/>
      <c r="G44132" s="272" t="s">
        <v>1099</v>
      </c>
    </row>
    <row r="44133">
      <c r="B44133" s="31"/>
      <c r="G44133" s="272" t="s">
        <v>1099</v>
      </c>
    </row>
    <row r="44134">
      <c r="B44134" s="31"/>
      <c r="G44134" s="272" t="s">
        <v>1099</v>
      </c>
    </row>
    <row r="44135">
      <c r="B44135" s="31"/>
      <c r="G44135" s="272" t="s">
        <v>1099</v>
      </c>
    </row>
    <row r="44136">
      <c r="B44136" s="31"/>
      <c r="G44136" s="272" t="s">
        <v>1099</v>
      </c>
    </row>
    <row r="44137">
      <c r="B44137" s="31"/>
      <c r="G44137" s="272" t="s">
        <v>1099</v>
      </c>
    </row>
    <row r="44138">
      <c r="B44138" s="31"/>
      <c r="G44138" s="272" t="s">
        <v>1099</v>
      </c>
    </row>
    <row r="44139">
      <c r="B44139" s="31"/>
      <c r="G44139" s="272" t="s">
        <v>1099</v>
      </c>
    </row>
    <row r="44140">
      <c r="B44140" s="31"/>
      <c r="G44140" s="272" t="s">
        <v>1099</v>
      </c>
    </row>
    <row r="44141">
      <c r="B44141" s="31"/>
      <c r="G44141" s="272" t="s">
        <v>1099</v>
      </c>
    </row>
    <row r="44142">
      <c r="B44142" s="31"/>
      <c r="G44142" s="272" t="s">
        <v>1099</v>
      </c>
    </row>
    <row r="44143">
      <c r="B44143" s="31"/>
      <c r="G44143" s="272" t="s">
        <v>1099</v>
      </c>
    </row>
    <row r="44144">
      <c r="B44144" s="31"/>
      <c r="G44144" s="272" t="s">
        <v>1099</v>
      </c>
    </row>
    <row r="44145">
      <c r="B44145" s="31"/>
      <c r="G44145" s="272" t="s">
        <v>1099</v>
      </c>
    </row>
    <row r="44146">
      <c r="B44146" s="31"/>
      <c r="G44146" s="272" t="s">
        <v>1099</v>
      </c>
    </row>
    <row r="44147">
      <c r="B44147" s="31"/>
      <c r="G44147" s="272" t="s">
        <v>1099</v>
      </c>
    </row>
    <row r="44148">
      <c r="B44148" s="31"/>
      <c r="G44148" s="272" t="s">
        <v>1099</v>
      </c>
    </row>
    <row r="44149">
      <c r="B44149" s="31"/>
      <c r="G44149" s="272" t="s">
        <v>1099</v>
      </c>
    </row>
    <row r="44150">
      <c r="B44150" s="31"/>
      <c r="G44150" s="272" t="s">
        <v>1099</v>
      </c>
    </row>
    <row r="44151">
      <c r="B44151" s="31"/>
      <c r="G44151" s="272" t="s">
        <v>1099</v>
      </c>
    </row>
    <row r="44152">
      <c r="B44152" s="31"/>
      <c r="G44152" s="272" t="s">
        <v>1099</v>
      </c>
    </row>
    <row r="44153">
      <c r="B44153" s="31"/>
      <c r="G44153" s="272" t="s">
        <v>1099</v>
      </c>
    </row>
    <row r="44154">
      <c r="B44154" s="31"/>
      <c r="G44154" s="272" t="s">
        <v>1099</v>
      </c>
    </row>
    <row r="44155">
      <c r="B44155" s="31"/>
      <c r="G44155" s="272" t="s">
        <v>1099</v>
      </c>
    </row>
    <row r="44156">
      <c r="B44156" s="31"/>
      <c r="G44156" s="272" t="s">
        <v>1099</v>
      </c>
    </row>
    <row r="44157">
      <c r="B44157" s="31"/>
      <c r="G44157" s="272" t="s">
        <v>1099</v>
      </c>
    </row>
    <row r="44158">
      <c r="B44158" s="31"/>
      <c r="G44158" s="272" t="s">
        <v>1099</v>
      </c>
    </row>
    <row r="44159">
      <c r="B44159" s="31"/>
      <c r="G44159" s="272" t="s">
        <v>1099</v>
      </c>
    </row>
    <row r="44160">
      <c r="B44160" s="31"/>
      <c r="G44160" s="272" t="s">
        <v>1099</v>
      </c>
    </row>
    <row r="44161">
      <c r="B44161" s="31"/>
      <c r="G44161" s="272" t="s">
        <v>1099</v>
      </c>
    </row>
    <row r="44162">
      <c r="B44162" s="31"/>
      <c r="G44162" s="272" t="s">
        <v>1099</v>
      </c>
    </row>
    <row r="44163">
      <c r="B44163" s="31"/>
      <c r="G44163" s="272" t="s">
        <v>1099</v>
      </c>
    </row>
    <row r="44164">
      <c r="B44164" s="31"/>
      <c r="G44164" s="272" t="s">
        <v>1099</v>
      </c>
    </row>
    <row r="44165">
      <c r="B44165" s="31"/>
      <c r="G44165" s="272" t="s">
        <v>1099</v>
      </c>
    </row>
    <row r="44166">
      <c r="B44166" s="31"/>
      <c r="G44166" s="272" t="s">
        <v>1099</v>
      </c>
    </row>
    <row r="44167">
      <c r="B44167" s="31"/>
      <c r="G44167" s="272" t="s">
        <v>1099</v>
      </c>
    </row>
    <row r="44168">
      <c r="B44168" s="31"/>
      <c r="G44168" s="272" t="s">
        <v>1099</v>
      </c>
    </row>
    <row r="44169">
      <c r="B44169" s="31"/>
      <c r="G44169" s="272" t="s">
        <v>1099</v>
      </c>
    </row>
    <row r="44170">
      <c r="B44170" s="31"/>
      <c r="G44170" s="272" t="s">
        <v>1099</v>
      </c>
    </row>
    <row r="44171">
      <c r="B44171" s="31"/>
      <c r="G44171" s="272" t="s">
        <v>1099</v>
      </c>
    </row>
    <row r="44172">
      <c r="B44172" s="31"/>
      <c r="G44172" s="272" t="s">
        <v>1099</v>
      </c>
    </row>
    <row r="44173">
      <c r="B44173" s="31"/>
      <c r="G44173" s="272" t="s">
        <v>1099</v>
      </c>
    </row>
    <row r="44174">
      <c r="B44174" s="31"/>
      <c r="G44174" s="272" t="s">
        <v>1099</v>
      </c>
    </row>
    <row r="44175">
      <c r="B44175" s="31"/>
      <c r="G44175" s="272" t="s">
        <v>1099</v>
      </c>
    </row>
    <row r="44176">
      <c r="B44176" s="31"/>
      <c r="G44176" s="272" t="s">
        <v>1099</v>
      </c>
    </row>
    <row r="44177">
      <c r="B44177" s="31"/>
      <c r="G44177" s="272" t="s">
        <v>1099</v>
      </c>
    </row>
    <row r="44178">
      <c r="B44178" s="31"/>
      <c r="G44178" s="272" t="s">
        <v>1099</v>
      </c>
    </row>
    <row r="44179">
      <c r="B44179" s="31"/>
      <c r="G44179" s="272" t="s">
        <v>1099</v>
      </c>
    </row>
    <row r="44180">
      <c r="B44180" s="31"/>
      <c r="G44180" s="272" t="s">
        <v>1099</v>
      </c>
    </row>
    <row r="44181">
      <c r="B44181" s="31"/>
      <c r="G44181" s="272" t="s">
        <v>1099</v>
      </c>
    </row>
    <row r="44182">
      <c r="B44182" s="31"/>
      <c r="G44182" s="272" t="s">
        <v>1099</v>
      </c>
    </row>
    <row r="44183">
      <c r="B44183" s="31"/>
      <c r="G44183" s="272" t="s">
        <v>1099</v>
      </c>
    </row>
    <row r="44184">
      <c r="B44184" s="31"/>
      <c r="G44184" s="272" t="s">
        <v>1099</v>
      </c>
    </row>
    <row r="44185">
      <c r="B44185" s="31"/>
      <c r="G44185" s="272" t="s">
        <v>1099</v>
      </c>
    </row>
    <row r="44186">
      <c r="B44186" s="31"/>
      <c r="G44186" s="272" t="s">
        <v>1099</v>
      </c>
    </row>
    <row r="44187">
      <c r="B44187" s="31"/>
      <c r="G44187" s="272" t="s">
        <v>1099</v>
      </c>
    </row>
    <row r="44188">
      <c r="B44188" s="31"/>
      <c r="G44188" s="272" t="s">
        <v>1099</v>
      </c>
    </row>
    <row r="44189">
      <c r="B44189" s="31"/>
      <c r="G44189" s="272" t="s">
        <v>1099</v>
      </c>
    </row>
    <row r="44190">
      <c r="B44190" s="31"/>
      <c r="G44190" s="272" t="s">
        <v>1099</v>
      </c>
    </row>
    <row r="44191">
      <c r="B44191" s="31"/>
      <c r="G44191" s="272" t="s">
        <v>1099</v>
      </c>
    </row>
    <row r="44192">
      <c r="B44192" s="31"/>
      <c r="G44192" s="272" t="s">
        <v>1099</v>
      </c>
    </row>
    <row r="44193">
      <c r="B44193" s="31"/>
      <c r="G44193" s="272" t="s">
        <v>1099</v>
      </c>
    </row>
    <row r="44194">
      <c r="B44194" s="31"/>
      <c r="G44194" s="272" t="s">
        <v>1099</v>
      </c>
    </row>
    <row r="44195">
      <c r="B44195" s="31"/>
      <c r="G44195" s="272" t="s">
        <v>1099</v>
      </c>
    </row>
    <row r="44196">
      <c r="B44196" s="31"/>
      <c r="G44196" s="272" t="s">
        <v>1099</v>
      </c>
    </row>
    <row r="44197">
      <c r="B44197" s="31"/>
      <c r="G44197" s="272" t="s">
        <v>1099</v>
      </c>
    </row>
    <row r="44198">
      <c r="B44198" s="31"/>
      <c r="G44198" s="272" t="s">
        <v>1099</v>
      </c>
    </row>
    <row r="44199">
      <c r="B44199" s="31"/>
      <c r="G44199" s="272" t="s">
        <v>1099</v>
      </c>
    </row>
    <row r="44200">
      <c r="B44200" s="31"/>
      <c r="G44200" s="272" t="s">
        <v>1099</v>
      </c>
    </row>
    <row r="44201">
      <c r="B44201" s="31"/>
      <c r="G44201" s="272" t="s">
        <v>1099</v>
      </c>
    </row>
    <row r="44202">
      <c r="B44202" s="31"/>
      <c r="G44202" s="272" t="s">
        <v>1099</v>
      </c>
    </row>
    <row r="44203">
      <c r="B44203" s="31"/>
      <c r="G44203" s="272" t="s">
        <v>1099</v>
      </c>
    </row>
    <row r="44204">
      <c r="B44204" s="31"/>
      <c r="G44204" s="272" t="s">
        <v>1099</v>
      </c>
    </row>
    <row r="44205">
      <c r="B44205" s="31"/>
      <c r="G44205" s="272" t="s">
        <v>1099</v>
      </c>
    </row>
    <row r="44206">
      <c r="B44206" s="31"/>
      <c r="G44206" s="272" t="s">
        <v>1099</v>
      </c>
    </row>
    <row r="44207">
      <c r="B44207" s="31"/>
      <c r="G44207" s="272" t="s">
        <v>1099</v>
      </c>
    </row>
    <row r="44208">
      <c r="B44208" s="31"/>
      <c r="G44208" s="272" t="s">
        <v>1099</v>
      </c>
    </row>
    <row r="44209">
      <c r="B44209" s="31"/>
      <c r="G44209" s="272" t="s">
        <v>1099</v>
      </c>
    </row>
    <row r="44210">
      <c r="B44210" s="31"/>
      <c r="G44210" s="272" t="s">
        <v>1099</v>
      </c>
    </row>
    <row r="44211">
      <c r="B44211" s="31"/>
      <c r="G44211" s="272" t="s">
        <v>1099</v>
      </c>
    </row>
    <row r="44212">
      <c r="B44212" s="31"/>
      <c r="G44212" s="272" t="s">
        <v>1099</v>
      </c>
    </row>
    <row r="44213">
      <c r="B44213" s="31"/>
      <c r="G44213" s="272" t="s">
        <v>1099</v>
      </c>
    </row>
    <row r="44214">
      <c r="B44214" s="31"/>
      <c r="G44214" s="272" t="s">
        <v>1099</v>
      </c>
    </row>
    <row r="44215">
      <c r="B44215" s="31"/>
      <c r="G44215" s="272" t="s">
        <v>1099</v>
      </c>
    </row>
    <row r="44216">
      <c r="B44216" s="31"/>
      <c r="G44216" s="272" t="s">
        <v>1099</v>
      </c>
    </row>
    <row r="44217">
      <c r="B44217" s="31"/>
      <c r="G44217" s="272" t="s">
        <v>1099</v>
      </c>
    </row>
    <row r="44218">
      <c r="B44218" s="31"/>
      <c r="G44218" s="272" t="s">
        <v>1099</v>
      </c>
    </row>
    <row r="44219">
      <c r="B44219" s="31"/>
      <c r="G44219" s="272" t="s">
        <v>1099</v>
      </c>
    </row>
    <row r="44220">
      <c r="B44220" s="31"/>
      <c r="G44220" s="272" t="s">
        <v>1099</v>
      </c>
    </row>
    <row r="44221">
      <c r="B44221" s="31"/>
      <c r="G44221" s="272" t="s">
        <v>1099</v>
      </c>
    </row>
    <row r="44222">
      <c r="B44222" s="31"/>
      <c r="G44222" s="272" t="s">
        <v>1099</v>
      </c>
    </row>
    <row r="44223">
      <c r="B44223" s="31"/>
      <c r="G44223" s="272" t="s">
        <v>1099</v>
      </c>
    </row>
    <row r="44224">
      <c r="B44224" s="31"/>
      <c r="G44224" s="272" t="s">
        <v>1099</v>
      </c>
    </row>
    <row r="44225">
      <c r="B44225" s="31"/>
      <c r="G44225" s="272" t="s">
        <v>1099</v>
      </c>
    </row>
    <row r="44226">
      <c r="B44226" s="31"/>
      <c r="G44226" s="272" t="s">
        <v>1099</v>
      </c>
    </row>
    <row r="44227">
      <c r="B44227" s="31"/>
      <c r="G44227" s="272" t="s">
        <v>1099</v>
      </c>
    </row>
    <row r="44228">
      <c r="B44228" s="31"/>
      <c r="G44228" s="272" t="s">
        <v>1099</v>
      </c>
    </row>
    <row r="44229">
      <c r="B44229" s="31"/>
      <c r="G44229" s="272" t="s">
        <v>1099</v>
      </c>
    </row>
    <row r="44230">
      <c r="B44230" s="31"/>
      <c r="G44230" s="272" t="s">
        <v>1099</v>
      </c>
    </row>
    <row r="44231">
      <c r="B44231" s="31"/>
      <c r="G44231" s="272" t="s">
        <v>1099</v>
      </c>
    </row>
    <row r="44232">
      <c r="B44232" s="31"/>
      <c r="G44232" s="272" t="s">
        <v>1099</v>
      </c>
    </row>
    <row r="44233">
      <c r="B44233" s="31"/>
      <c r="G44233" s="272" t="s">
        <v>1099</v>
      </c>
    </row>
    <row r="44234">
      <c r="B44234" s="31"/>
      <c r="G44234" s="272" t="s">
        <v>1099</v>
      </c>
    </row>
    <row r="44235">
      <c r="B44235" s="31"/>
      <c r="G44235" s="272" t="s">
        <v>1099</v>
      </c>
    </row>
    <row r="44236">
      <c r="B44236" s="31"/>
      <c r="G44236" s="272" t="s">
        <v>1099</v>
      </c>
    </row>
    <row r="44237">
      <c r="B44237" s="31"/>
      <c r="G44237" s="272" t="s">
        <v>1099</v>
      </c>
    </row>
    <row r="44238">
      <c r="B44238" s="31"/>
      <c r="G44238" s="272" t="s">
        <v>1099</v>
      </c>
    </row>
    <row r="44239">
      <c r="B44239" s="31"/>
      <c r="G44239" s="272" t="s">
        <v>1099</v>
      </c>
    </row>
    <row r="44240">
      <c r="B44240" s="31"/>
      <c r="G44240" s="272" t="s">
        <v>1099</v>
      </c>
    </row>
    <row r="44241">
      <c r="B44241" s="31"/>
      <c r="G44241" s="272" t="s">
        <v>1099</v>
      </c>
    </row>
    <row r="44242">
      <c r="B44242" s="31"/>
      <c r="G44242" s="272" t="s">
        <v>1099</v>
      </c>
    </row>
    <row r="44243">
      <c r="B44243" s="31"/>
      <c r="G44243" s="272" t="s">
        <v>1099</v>
      </c>
    </row>
    <row r="44244">
      <c r="B44244" s="31"/>
      <c r="G44244" s="272" t="s">
        <v>1099</v>
      </c>
    </row>
    <row r="44245">
      <c r="B44245" s="31"/>
      <c r="G44245" s="272" t="s">
        <v>1099</v>
      </c>
    </row>
    <row r="44246">
      <c r="B44246" s="31"/>
      <c r="G44246" s="272" t="s">
        <v>1099</v>
      </c>
    </row>
    <row r="44247">
      <c r="B44247" s="31"/>
      <c r="G44247" s="272" t="s">
        <v>1099</v>
      </c>
    </row>
    <row r="44248">
      <c r="B44248" s="31"/>
      <c r="G44248" s="272" t="s">
        <v>1099</v>
      </c>
    </row>
    <row r="44249">
      <c r="B44249" s="31"/>
      <c r="G44249" s="272" t="s">
        <v>1099</v>
      </c>
    </row>
    <row r="44250">
      <c r="B44250" s="31"/>
      <c r="G44250" s="272" t="s">
        <v>1099</v>
      </c>
    </row>
    <row r="44251">
      <c r="B44251" s="31"/>
      <c r="G44251" s="272" t="s">
        <v>1099</v>
      </c>
    </row>
    <row r="44252">
      <c r="B44252" s="31"/>
      <c r="G44252" s="272" t="s">
        <v>1099</v>
      </c>
    </row>
    <row r="44253">
      <c r="B44253" s="31"/>
      <c r="G44253" s="272" t="s">
        <v>1099</v>
      </c>
    </row>
    <row r="44254">
      <c r="B44254" s="31"/>
      <c r="G44254" s="272" t="s">
        <v>1099</v>
      </c>
    </row>
    <row r="44255">
      <c r="B44255" s="31"/>
      <c r="G44255" s="272" t="s">
        <v>1099</v>
      </c>
    </row>
    <row r="44256">
      <c r="B44256" s="31"/>
      <c r="G44256" s="272" t="s">
        <v>1099</v>
      </c>
    </row>
    <row r="44257">
      <c r="B44257" s="31"/>
      <c r="G44257" s="272" t="s">
        <v>1099</v>
      </c>
    </row>
    <row r="44258">
      <c r="B44258" s="31"/>
      <c r="G44258" s="272" t="s">
        <v>1099</v>
      </c>
    </row>
    <row r="44259">
      <c r="B44259" s="31"/>
      <c r="G44259" s="272" t="s">
        <v>1099</v>
      </c>
    </row>
    <row r="44260">
      <c r="B44260" s="31"/>
      <c r="G44260" s="272" t="s">
        <v>1099</v>
      </c>
    </row>
    <row r="44261">
      <c r="B44261" s="31"/>
      <c r="G44261" s="272" t="s">
        <v>1099</v>
      </c>
    </row>
    <row r="44262">
      <c r="B44262" s="31"/>
      <c r="G44262" s="272" t="s">
        <v>1099</v>
      </c>
    </row>
    <row r="44263">
      <c r="B44263" s="31"/>
      <c r="G44263" s="272" t="s">
        <v>1099</v>
      </c>
    </row>
    <row r="44264">
      <c r="B44264" s="31"/>
      <c r="G44264" s="272" t="s">
        <v>1099</v>
      </c>
    </row>
    <row r="44265">
      <c r="B44265" s="31"/>
      <c r="G44265" s="272" t="s">
        <v>1099</v>
      </c>
    </row>
    <row r="44266">
      <c r="B44266" s="31"/>
      <c r="G44266" s="272" t="s">
        <v>1099</v>
      </c>
    </row>
    <row r="44267">
      <c r="B44267" s="31"/>
      <c r="G44267" s="272" t="s">
        <v>1099</v>
      </c>
    </row>
    <row r="44268">
      <c r="B44268" s="31"/>
      <c r="G44268" s="272" t="s">
        <v>1099</v>
      </c>
    </row>
    <row r="44269">
      <c r="B44269" s="31"/>
      <c r="G44269" s="272" t="s">
        <v>1099</v>
      </c>
    </row>
    <row r="44270">
      <c r="B44270" s="31"/>
      <c r="G44270" s="272" t="s">
        <v>1099</v>
      </c>
    </row>
    <row r="44271">
      <c r="B44271" s="31"/>
      <c r="G44271" s="272" t="s">
        <v>1099</v>
      </c>
    </row>
    <row r="44272">
      <c r="B44272" s="31"/>
      <c r="G44272" s="272" t="s">
        <v>1099</v>
      </c>
    </row>
    <row r="44273">
      <c r="B44273" s="31"/>
      <c r="G44273" s="272" t="s">
        <v>1099</v>
      </c>
    </row>
    <row r="44274">
      <c r="B44274" s="31"/>
      <c r="G44274" s="272" t="s">
        <v>1099</v>
      </c>
    </row>
    <row r="44275">
      <c r="B44275" s="31"/>
      <c r="G44275" s="272" t="s">
        <v>1099</v>
      </c>
    </row>
    <row r="44276">
      <c r="B44276" s="31"/>
      <c r="G44276" s="272" t="s">
        <v>1099</v>
      </c>
    </row>
    <row r="44277">
      <c r="B44277" s="31"/>
      <c r="G44277" s="272" t="s">
        <v>1099</v>
      </c>
    </row>
    <row r="44278">
      <c r="B44278" s="31"/>
      <c r="G44278" s="272" t="s">
        <v>1099</v>
      </c>
    </row>
    <row r="44279">
      <c r="B44279" s="31"/>
      <c r="G44279" s="272" t="s">
        <v>1099</v>
      </c>
    </row>
    <row r="44280">
      <c r="B44280" s="31"/>
      <c r="G44280" s="272" t="s">
        <v>1099</v>
      </c>
    </row>
    <row r="44281">
      <c r="B44281" s="31"/>
      <c r="G44281" s="272" t="s">
        <v>1099</v>
      </c>
    </row>
    <row r="44282">
      <c r="B44282" s="31"/>
      <c r="G44282" s="272" t="s">
        <v>1099</v>
      </c>
    </row>
    <row r="44283">
      <c r="B44283" s="31"/>
      <c r="G44283" s="272" t="s">
        <v>1099</v>
      </c>
    </row>
    <row r="44284">
      <c r="B44284" s="31"/>
      <c r="G44284" s="272" t="s">
        <v>1099</v>
      </c>
    </row>
    <row r="44285">
      <c r="B44285" s="31"/>
      <c r="G44285" s="272" t="s">
        <v>1099</v>
      </c>
    </row>
    <row r="44286">
      <c r="B44286" s="31"/>
      <c r="G44286" s="272" t="s">
        <v>1099</v>
      </c>
    </row>
    <row r="44287">
      <c r="B44287" s="31"/>
      <c r="G44287" s="272" t="s">
        <v>1099</v>
      </c>
    </row>
    <row r="44288">
      <c r="B44288" s="31"/>
      <c r="G44288" s="272" t="s">
        <v>1099</v>
      </c>
    </row>
    <row r="44289">
      <c r="B44289" s="31"/>
      <c r="G44289" s="272" t="s">
        <v>1099</v>
      </c>
    </row>
    <row r="44290">
      <c r="B44290" s="31"/>
      <c r="G44290" s="272" t="s">
        <v>1099</v>
      </c>
    </row>
    <row r="44291">
      <c r="B44291" s="31"/>
      <c r="G44291" s="272" t="s">
        <v>1099</v>
      </c>
    </row>
    <row r="44292">
      <c r="B44292" s="31"/>
      <c r="G44292" s="272" t="s">
        <v>1099</v>
      </c>
    </row>
    <row r="44293">
      <c r="B44293" s="31"/>
      <c r="G44293" s="272" t="s">
        <v>1099</v>
      </c>
    </row>
    <row r="44294">
      <c r="B44294" s="31"/>
      <c r="G44294" s="272" t="s">
        <v>1099</v>
      </c>
    </row>
    <row r="44295">
      <c r="B44295" s="31"/>
      <c r="G44295" s="272" t="s">
        <v>1099</v>
      </c>
    </row>
    <row r="44296">
      <c r="B44296" s="31"/>
      <c r="G44296" s="272" t="s">
        <v>1099</v>
      </c>
    </row>
    <row r="44297">
      <c r="B44297" s="31"/>
      <c r="G44297" s="272" t="s">
        <v>1099</v>
      </c>
    </row>
    <row r="44298">
      <c r="B44298" s="31"/>
      <c r="G44298" s="272" t="s">
        <v>1099</v>
      </c>
    </row>
    <row r="44299">
      <c r="B44299" s="31"/>
      <c r="G44299" s="272" t="s">
        <v>1099</v>
      </c>
    </row>
    <row r="44300">
      <c r="B44300" s="31"/>
      <c r="G44300" s="272" t="s">
        <v>1099</v>
      </c>
    </row>
    <row r="44301">
      <c r="B44301" s="31"/>
      <c r="G44301" s="272" t="s">
        <v>1099</v>
      </c>
    </row>
    <row r="44302">
      <c r="B44302" s="31"/>
      <c r="G44302" s="272" t="s">
        <v>1099</v>
      </c>
    </row>
    <row r="44303">
      <c r="B44303" s="31"/>
      <c r="G44303" s="272" t="s">
        <v>1099</v>
      </c>
    </row>
    <row r="44304">
      <c r="B44304" s="31"/>
      <c r="G44304" s="272" t="s">
        <v>1099</v>
      </c>
    </row>
    <row r="44305">
      <c r="B44305" s="31"/>
      <c r="G44305" s="272" t="s">
        <v>1099</v>
      </c>
    </row>
    <row r="44306">
      <c r="B44306" s="31"/>
      <c r="G44306" s="272" t="s">
        <v>1099</v>
      </c>
    </row>
    <row r="44307">
      <c r="B44307" s="31"/>
      <c r="G44307" s="272" t="s">
        <v>1099</v>
      </c>
    </row>
    <row r="44308">
      <c r="B44308" s="31"/>
      <c r="G44308" s="272" t="s">
        <v>1099</v>
      </c>
    </row>
    <row r="44309">
      <c r="B44309" s="31"/>
      <c r="G44309" s="272" t="s">
        <v>1099</v>
      </c>
    </row>
    <row r="44310">
      <c r="B44310" s="31"/>
      <c r="G44310" s="272" t="s">
        <v>1099</v>
      </c>
    </row>
    <row r="44311">
      <c r="B44311" s="31"/>
      <c r="G44311" s="272" t="s">
        <v>1099</v>
      </c>
    </row>
    <row r="44312">
      <c r="B44312" s="31"/>
      <c r="G44312" s="272" t="s">
        <v>1099</v>
      </c>
    </row>
    <row r="44313">
      <c r="B44313" s="31"/>
      <c r="G44313" s="272" t="s">
        <v>1099</v>
      </c>
    </row>
    <row r="44314">
      <c r="B44314" s="31"/>
      <c r="G44314" s="272" t="s">
        <v>1099</v>
      </c>
    </row>
    <row r="44315">
      <c r="B44315" s="31"/>
      <c r="G44315" s="272" t="s">
        <v>1099</v>
      </c>
    </row>
    <row r="44316">
      <c r="B44316" s="31"/>
      <c r="G44316" s="272" t="s">
        <v>1099</v>
      </c>
    </row>
    <row r="44317">
      <c r="B44317" s="31"/>
      <c r="G44317" s="272" t="s">
        <v>1099</v>
      </c>
    </row>
    <row r="44318">
      <c r="B44318" s="31"/>
      <c r="G44318" s="272" t="s">
        <v>1099</v>
      </c>
    </row>
    <row r="44319">
      <c r="B44319" s="31"/>
      <c r="G44319" s="272" t="s">
        <v>1099</v>
      </c>
    </row>
    <row r="44320">
      <c r="B44320" s="31"/>
      <c r="G44320" s="272" t="s">
        <v>1099</v>
      </c>
    </row>
    <row r="44321">
      <c r="B44321" s="31"/>
      <c r="G44321" s="272" t="s">
        <v>1099</v>
      </c>
    </row>
    <row r="44322">
      <c r="B44322" s="31"/>
      <c r="G44322" s="272" t="s">
        <v>1099</v>
      </c>
    </row>
    <row r="44323">
      <c r="B44323" s="31"/>
      <c r="G44323" s="272" t="s">
        <v>1099</v>
      </c>
    </row>
    <row r="44324">
      <c r="B44324" s="31"/>
      <c r="G44324" s="272" t="s">
        <v>1099</v>
      </c>
    </row>
    <row r="44325">
      <c r="B44325" s="31"/>
      <c r="G44325" s="272" t="s">
        <v>1099</v>
      </c>
    </row>
    <row r="44326">
      <c r="B44326" s="31"/>
      <c r="G44326" s="272" t="s">
        <v>1099</v>
      </c>
    </row>
    <row r="44327">
      <c r="B44327" s="31"/>
      <c r="G44327" s="272" t="s">
        <v>1099</v>
      </c>
    </row>
    <row r="44328">
      <c r="B44328" s="31"/>
      <c r="G44328" s="272" t="s">
        <v>1099</v>
      </c>
    </row>
    <row r="44329">
      <c r="B44329" s="31"/>
      <c r="G44329" s="272" t="s">
        <v>1099</v>
      </c>
    </row>
    <row r="44330">
      <c r="B44330" s="31"/>
      <c r="G44330" s="272" t="s">
        <v>1099</v>
      </c>
    </row>
    <row r="44331">
      <c r="B44331" s="31"/>
      <c r="G44331" s="272" t="s">
        <v>1099</v>
      </c>
    </row>
    <row r="44332">
      <c r="B44332" s="31"/>
      <c r="G44332" s="272" t="s">
        <v>1099</v>
      </c>
    </row>
    <row r="44333">
      <c r="B44333" s="31"/>
      <c r="G44333" s="272" t="s">
        <v>1099</v>
      </c>
    </row>
    <row r="44334">
      <c r="B44334" s="31"/>
      <c r="G44334" s="272" t="s">
        <v>1099</v>
      </c>
    </row>
    <row r="44335">
      <c r="B44335" s="31"/>
      <c r="G44335" s="272" t="s">
        <v>1099</v>
      </c>
    </row>
    <row r="44336">
      <c r="B44336" s="31"/>
      <c r="G44336" s="272" t="s">
        <v>1099</v>
      </c>
    </row>
    <row r="44337">
      <c r="B44337" s="31"/>
      <c r="G44337" s="272" t="s">
        <v>1099</v>
      </c>
    </row>
    <row r="44338">
      <c r="B44338" s="31"/>
      <c r="G44338" s="272" t="s">
        <v>1099</v>
      </c>
    </row>
    <row r="44339">
      <c r="B44339" s="31"/>
      <c r="G44339" s="272" t="s">
        <v>1099</v>
      </c>
    </row>
    <row r="44340">
      <c r="B44340" s="31"/>
      <c r="G44340" s="272" t="s">
        <v>1099</v>
      </c>
    </row>
    <row r="44341">
      <c r="B44341" s="31"/>
      <c r="G44341" s="272" t="s">
        <v>1099</v>
      </c>
    </row>
    <row r="44342">
      <c r="B44342" s="31"/>
      <c r="G44342" s="272" t="s">
        <v>1099</v>
      </c>
    </row>
    <row r="44343">
      <c r="B44343" s="31"/>
      <c r="G44343" s="272" t="s">
        <v>1099</v>
      </c>
    </row>
    <row r="44344">
      <c r="B44344" s="31"/>
      <c r="G44344" s="272" t="s">
        <v>1099</v>
      </c>
    </row>
    <row r="44345">
      <c r="B44345" s="31"/>
      <c r="G44345" s="272" t="s">
        <v>1099</v>
      </c>
    </row>
    <row r="44346">
      <c r="B44346" s="31"/>
      <c r="G44346" s="272" t="s">
        <v>1099</v>
      </c>
    </row>
    <row r="44347">
      <c r="B44347" s="31"/>
      <c r="G44347" s="272" t="s">
        <v>1099</v>
      </c>
    </row>
    <row r="44348">
      <c r="B44348" s="31"/>
      <c r="G44348" s="272" t="s">
        <v>1099</v>
      </c>
    </row>
    <row r="44349">
      <c r="B44349" s="31"/>
      <c r="G44349" s="272" t="s">
        <v>1099</v>
      </c>
    </row>
    <row r="44350">
      <c r="B44350" s="31"/>
      <c r="G44350" s="272" t="s">
        <v>1099</v>
      </c>
    </row>
    <row r="44351">
      <c r="B44351" s="31"/>
      <c r="G44351" s="272" t="s">
        <v>1099</v>
      </c>
    </row>
    <row r="44352">
      <c r="B44352" s="31"/>
      <c r="G44352" s="272" t="s">
        <v>1099</v>
      </c>
    </row>
    <row r="44353">
      <c r="B44353" s="31"/>
      <c r="G44353" s="272" t="s">
        <v>1099</v>
      </c>
    </row>
    <row r="44354">
      <c r="B44354" s="31"/>
      <c r="G44354" s="272" t="s">
        <v>1099</v>
      </c>
    </row>
    <row r="44355">
      <c r="B44355" s="31"/>
      <c r="G44355" s="272" t="s">
        <v>1099</v>
      </c>
    </row>
    <row r="44356">
      <c r="B44356" s="31"/>
      <c r="G44356" s="272" t="s">
        <v>1099</v>
      </c>
    </row>
    <row r="44357">
      <c r="B44357" s="31"/>
      <c r="G44357" s="272" t="s">
        <v>1099</v>
      </c>
    </row>
    <row r="44358">
      <c r="B44358" s="31"/>
      <c r="G44358" s="272" t="s">
        <v>1099</v>
      </c>
    </row>
    <row r="44359">
      <c r="B44359" s="31"/>
      <c r="G44359" s="272" t="s">
        <v>1099</v>
      </c>
    </row>
    <row r="44360">
      <c r="B44360" s="31"/>
      <c r="G44360" s="272" t="s">
        <v>1099</v>
      </c>
    </row>
    <row r="44361">
      <c r="B44361" s="31"/>
      <c r="G44361" s="272" t="s">
        <v>1099</v>
      </c>
    </row>
    <row r="44362">
      <c r="B44362" s="31"/>
      <c r="G44362" s="272" t="s">
        <v>1099</v>
      </c>
    </row>
    <row r="44363">
      <c r="B44363" s="31"/>
      <c r="G44363" s="272" t="s">
        <v>1099</v>
      </c>
    </row>
    <row r="44364">
      <c r="B44364" s="31"/>
      <c r="G44364" s="272" t="s">
        <v>1099</v>
      </c>
    </row>
    <row r="44365">
      <c r="B44365" s="31"/>
      <c r="G44365" s="272" t="s">
        <v>1099</v>
      </c>
    </row>
    <row r="44366">
      <c r="B44366" s="31"/>
      <c r="G44366" s="272" t="s">
        <v>1099</v>
      </c>
    </row>
    <row r="44367">
      <c r="B44367" s="31"/>
      <c r="G44367" s="272" t="s">
        <v>1099</v>
      </c>
    </row>
    <row r="44368">
      <c r="B44368" s="31"/>
      <c r="G44368" s="272" t="s">
        <v>1099</v>
      </c>
    </row>
    <row r="44369">
      <c r="B44369" s="31"/>
      <c r="G44369" s="272" t="s">
        <v>1099</v>
      </c>
    </row>
    <row r="44370">
      <c r="B44370" s="31"/>
      <c r="G44370" s="272" t="s">
        <v>1099</v>
      </c>
    </row>
    <row r="44371">
      <c r="B44371" s="31"/>
      <c r="G44371" s="272" t="s">
        <v>1099</v>
      </c>
    </row>
    <row r="44372">
      <c r="B44372" s="31"/>
      <c r="G44372" s="272" t="s">
        <v>1099</v>
      </c>
    </row>
    <row r="44373">
      <c r="B44373" s="31"/>
      <c r="G44373" s="272" t="s">
        <v>1099</v>
      </c>
    </row>
    <row r="44374">
      <c r="B44374" s="31"/>
      <c r="G44374" s="272" t="s">
        <v>1099</v>
      </c>
    </row>
    <row r="44375">
      <c r="B44375" s="31"/>
      <c r="G44375" s="272" t="s">
        <v>1099</v>
      </c>
    </row>
    <row r="44376">
      <c r="B44376" s="31"/>
      <c r="G44376" s="272" t="s">
        <v>1099</v>
      </c>
    </row>
    <row r="44377">
      <c r="B44377" s="31"/>
      <c r="G44377" s="272" t="s">
        <v>1099</v>
      </c>
    </row>
    <row r="44378">
      <c r="B44378" s="31"/>
      <c r="G44378" s="272" t="s">
        <v>1099</v>
      </c>
    </row>
    <row r="44379">
      <c r="B44379" s="31"/>
      <c r="G44379" s="272" t="s">
        <v>1099</v>
      </c>
    </row>
    <row r="44380">
      <c r="B44380" s="31"/>
      <c r="G44380" s="272" t="s">
        <v>1099</v>
      </c>
    </row>
    <row r="44381">
      <c r="B44381" s="31"/>
      <c r="G44381" s="272" t="s">
        <v>1099</v>
      </c>
    </row>
    <row r="44382">
      <c r="B44382" s="31"/>
      <c r="G44382" s="272" t="s">
        <v>1099</v>
      </c>
    </row>
    <row r="44383">
      <c r="B44383" s="31"/>
      <c r="G44383" s="272" t="s">
        <v>1099</v>
      </c>
    </row>
    <row r="44384">
      <c r="B44384" s="31"/>
      <c r="G44384" s="272" t="s">
        <v>1099</v>
      </c>
    </row>
    <row r="44385">
      <c r="B44385" s="31"/>
      <c r="G44385" s="272" t="s">
        <v>1099</v>
      </c>
    </row>
    <row r="44386">
      <c r="B44386" s="31"/>
      <c r="G44386" s="272" t="s">
        <v>1099</v>
      </c>
    </row>
    <row r="44387">
      <c r="B44387" s="31"/>
      <c r="G44387" s="272" t="s">
        <v>1099</v>
      </c>
    </row>
    <row r="44388">
      <c r="B44388" s="31"/>
      <c r="G44388" s="272" t="s">
        <v>1099</v>
      </c>
    </row>
    <row r="44389">
      <c r="B44389" s="31"/>
      <c r="G44389" s="272" t="s">
        <v>1099</v>
      </c>
    </row>
    <row r="44390">
      <c r="B44390" s="31"/>
      <c r="G44390" s="272" t="s">
        <v>1099</v>
      </c>
    </row>
    <row r="44391">
      <c r="B44391" s="31"/>
      <c r="G44391" s="272" t="s">
        <v>1099</v>
      </c>
    </row>
    <row r="44392">
      <c r="B44392" s="31"/>
      <c r="G44392" s="272" t="s">
        <v>1099</v>
      </c>
    </row>
    <row r="44393">
      <c r="B44393" s="31"/>
      <c r="G44393" s="272" t="s">
        <v>1099</v>
      </c>
    </row>
    <row r="44394">
      <c r="B44394" s="31"/>
      <c r="G44394" s="272" t="s">
        <v>1099</v>
      </c>
    </row>
    <row r="44395">
      <c r="B44395" s="31"/>
      <c r="G44395" s="272" t="s">
        <v>1099</v>
      </c>
    </row>
    <row r="44396">
      <c r="B44396" s="31"/>
      <c r="G44396" s="272" t="s">
        <v>1099</v>
      </c>
    </row>
    <row r="44397">
      <c r="B44397" s="31"/>
      <c r="G44397" s="272" t="s">
        <v>1099</v>
      </c>
    </row>
    <row r="44398">
      <c r="B44398" s="31"/>
      <c r="G44398" s="272" t="s">
        <v>1099</v>
      </c>
    </row>
    <row r="44399">
      <c r="B44399" s="31"/>
      <c r="G44399" s="272" t="s">
        <v>1099</v>
      </c>
    </row>
    <row r="44400">
      <c r="B44400" s="31"/>
      <c r="G44400" s="272" t="s">
        <v>1099</v>
      </c>
    </row>
    <row r="44401">
      <c r="B44401" s="31"/>
      <c r="G44401" s="272" t="s">
        <v>1099</v>
      </c>
    </row>
    <row r="44402">
      <c r="B44402" s="31"/>
      <c r="G44402" s="272" t="s">
        <v>1099</v>
      </c>
    </row>
    <row r="44403">
      <c r="B44403" s="31"/>
      <c r="G44403" s="272" t="s">
        <v>1099</v>
      </c>
    </row>
    <row r="44404">
      <c r="B44404" s="31"/>
      <c r="G44404" s="272" t="s">
        <v>1099</v>
      </c>
    </row>
    <row r="44405">
      <c r="B44405" s="31"/>
      <c r="G44405" s="272" t="s">
        <v>1099</v>
      </c>
    </row>
    <row r="44406">
      <c r="B44406" s="31"/>
      <c r="G44406" s="272" t="s">
        <v>1099</v>
      </c>
    </row>
    <row r="44407">
      <c r="B44407" s="31"/>
      <c r="G44407" s="272" t="s">
        <v>1099</v>
      </c>
    </row>
    <row r="44408">
      <c r="B44408" s="31"/>
      <c r="G44408" s="272" t="s">
        <v>1099</v>
      </c>
    </row>
    <row r="44409">
      <c r="B44409" s="31"/>
      <c r="G44409" s="272" t="s">
        <v>1099</v>
      </c>
    </row>
    <row r="44410">
      <c r="B44410" s="31"/>
      <c r="G44410" s="272" t="s">
        <v>1099</v>
      </c>
    </row>
    <row r="44411">
      <c r="B44411" s="31"/>
      <c r="G44411" s="272" t="s">
        <v>1099</v>
      </c>
    </row>
    <row r="44412">
      <c r="B44412" s="31"/>
      <c r="G44412" s="272" t="s">
        <v>1099</v>
      </c>
    </row>
    <row r="44413">
      <c r="B44413" s="31"/>
      <c r="G44413" s="272" t="s">
        <v>1099</v>
      </c>
    </row>
    <row r="44414">
      <c r="B44414" s="31"/>
      <c r="G44414" s="272" t="s">
        <v>1099</v>
      </c>
    </row>
    <row r="44415">
      <c r="B44415" s="31"/>
      <c r="G44415" s="272" t="s">
        <v>1099</v>
      </c>
    </row>
    <row r="44416">
      <c r="B44416" s="31"/>
      <c r="G44416" s="272" t="s">
        <v>1099</v>
      </c>
    </row>
    <row r="44417">
      <c r="B44417" s="31"/>
      <c r="G44417" s="272" t="s">
        <v>1099</v>
      </c>
    </row>
    <row r="44418">
      <c r="B44418" s="31"/>
      <c r="G44418" s="272" t="s">
        <v>1099</v>
      </c>
    </row>
    <row r="44419">
      <c r="B44419" s="31"/>
      <c r="G44419" s="272" t="s">
        <v>1099</v>
      </c>
    </row>
    <row r="44420">
      <c r="B44420" s="31"/>
      <c r="G44420" s="272" t="s">
        <v>1099</v>
      </c>
    </row>
    <row r="44421">
      <c r="B44421" s="31"/>
      <c r="G44421" s="272" t="s">
        <v>1099</v>
      </c>
    </row>
    <row r="44422">
      <c r="B44422" s="31"/>
      <c r="G44422" s="272" t="s">
        <v>1099</v>
      </c>
    </row>
    <row r="44423">
      <c r="B44423" s="31"/>
      <c r="G44423" s="272" t="s">
        <v>1099</v>
      </c>
    </row>
    <row r="44424">
      <c r="B44424" s="31"/>
      <c r="G44424" s="272" t="s">
        <v>1099</v>
      </c>
    </row>
    <row r="44425">
      <c r="B44425" s="31"/>
      <c r="G44425" s="272" t="s">
        <v>1099</v>
      </c>
    </row>
    <row r="44426">
      <c r="B44426" s="31"/>
      <c r="G44426" s="272" t="s">
        <v>1099</v>
      </c>
    </row>
    <row r="44427">
      <c r="B44427" s="31"/>
      <c r="G44427" s="272" t="s">
        <v>1099</v>
      </c>
    </row>
    <row r="44428">
      <c r="B44428" s="31"/>
      <c r="G44428" s="272" t="s">
        <v>1099</v>
      </c>
    </row>
    <row r="44429">
      <c r="B44429" s="31"/>
      <c r="G44429" s="272" t="s">
        <v>1099</v>
      </c>
    </row>
    <row r="44430">
      <c r="B44430" s="31"/>
      <c r="G44430" s="272" t="s">
        <v>1099</v>
      </c>
    </row>
    <row r="44431">
      <c r="B44431" s="31"/>
      <c r="G44431" s="272" t="s">
        <v>1099</v>
      </c>
    </row>
    <row r="44432">
      <c r="B44432" s="31"/>
      <c r="G44432" s="272" t="s">
        <v>1099</v>
      </c>
    </row>
    <row r="44433">
      <c r="B44433" s="31"/>
      <c r="G44433" s="272" t="s">
        <v>1099</v>
      </c>
    </row>
    <row r="44434">
      <c r="B44434" s="31"/>
      <c r="G44434" s="272" t="s">
        <v>1099</v>
      </c>
    </row>
    <row r="44435">
      <c r="B44435" s="31"/>
      <c r="G44435" s="272" t="s">
        <v>1099</v>
      </c>
    </row>
    <row r="44436">
      <c r="B44436" s="31"/>
      <c r="G44436" s="272" t="s">
        <v>1099</v>
      </c>
    </row>
    <row r="44437">
      <c r="B44437" s="31"/>
      <c r="G44437" s="272" t="s">
        <v>1099</v>
      </c>
    </row>
    <row r="44438">
      <c r="B44438" s="31"/>
      <c r="G44438" s="272" t="s">
        <v>1099</v>
      </c>
    </row>
    <row r="44439">
      <c r="B44439" s="31"/>
      <c r="G44439" s="272" t="s">
        <v>1099</v>
      </c>
    </row>
    <row r="44440">
      <c r="B44440" s="31"/>
      <c r="G44440" s="272" t="s">
        <v>1099</v>
      </c>
    </row>
    <row r="44441">
      <c r="B44441" s="31"/>
      <c r="G44441" s="272" t="s">
        <v>1099</v>
      </c>
    </row>
    <row r="44442">
      <c r="B44442" s="31"/>
      <c r="G44442" s="272" t="s">
        <v>1099</v>
      </c>
    </row>
    <row r="44443">
      <c r="B44443" s="31"/>
      <c r="G44443" s="272" t="s">
        <v>1099</v>
      </c>
    </row>
    <row r="44444">
      <c r="B44444" s="31"/>
      <c r="G44444" s="272" t="s">
        <v>1099</v>
      </c>
    </row>
    <row r="44445">
      <c r="B44445" s="31"/>
      <c r="G44445" s="272" t="s">
        <v>1099</v>
      </c>
    </row>
    <row r="44446">
      <c r="B44446" s="31"/>
      <c r="G44446" s="272" t="s">
        <v>1099</v>
      </c>
    </row>
    <row r="44447">
      <c r="B44447" s="31"/>
      <c r="G44447" s="272" t="s">
        <v>1099</v>
      </c>
    </row>
    <row r="44448">
      <c r="B44448" s="31"/>
      <c r="G44448" s="272" t="s">
        <v>1099</v>
      </c>
    </row>
    <row r="44449">
      <c r="B44449" s="31"/>
      <c r="G44449" s="272" t="s">
        <v>1099</v>
      </c>
    </row>
    <row r="44450">
      <c r="B44450" s="31"/>
      <c r="G44450" s="272" t="s">
        <v>1099</v>
      </c>
    </row>
    <row r="44451">
      <c r="B44451" s="31"/>
      <c r="G44451" s="272" t="s">
        <v>1099</v>
      </c>
    </row>
    <row r="44452">
      <c r="B44452" s="31"/>
      <c r="G44452" s="272" t="s">
        <v>1099</v>
      </c>
    </row>
    <row r="44453">
      <c r="B44453" s="31"/>
      <c r="G44453" s="272" t="s">
        <v>1099</v>
      </c>
    </row>
    <row r="44454">
      <c r="B44454" s="31"/>
      <c r="G44454" s="272" t="s">
        <v>1099</v>
      </c>
    </row>
    <row r="44455">
      <c r="B44455" s="31"/>
      <c r="G44455" s="272" t="s">
        <v>1099</v>
      </c>
    </row>
    <row r="44456">
      <c r="B44456" s="31"/>
      <c r="G44456" s="272" t="s">
        <v>1099</v>
      </c>
    </row>
    <row r="44457">
      <c r="B44457" s="31"/>
      <c r="G44457" s="272" t="s">
        <v>1099</v>
      </c>
    </row>
    <row r="44458">
      <c r="B44458" s="31"/>
      <c r="G44458" s="272" t="s">
        <v>1099</v>
      </c>
    </row>
    <row r="44459">
      <c r="B44459" s="31"/>
      <c r="G44459" s="272" t="s">
        <v>1099</v>
      </c>
    </row>
    <row r="44460">
      <c r="B44460" s="31"/>
      <c r="G44460" s="272" t="s">
        <v>1099</v>
      </c>
    </row>
    <row r="44461">
      <c r="B44461" s="31"/>
      <c r="G44461" s="272" t="s">
        <v>1099</v>
      </c>
    </row>
    <row r="44462">
      <c r="B44462" s="31"/>
      <c r="G44462" s="272" t="s">
        <v>1099</v>
      </c>
    </row>
    <row r="44463">
      <c r="B44463" s="31"/>
      <c r="G44463" s="272" t="s">
        <v>1099</v>
      </c>
    </row>
    <row r="44464">
      <c r="B44464" s="31"/>
      <c r="G44464" s="272" t="s">
        <v>1099</v>
      </c>
    </row>
    <row r="44465">
      <c r="B44465" s="31"/>
      <c r="G44465" s="272" t="s">
        <v>1099</v>
      </c>
    </row>
    <row r="44466">
      <c r="B44466" s="31"/>
      <c r="G44466" s="272" t="s">
        <v>1099</v>
      </c>
    </row>
    <row r="44467">
      <c r="B44467" s="31"/>
      <c r="G44467" s="272" t="s">
        <v>1099</v>
      </c>
    </row>
    <row r="44468">
      <c r="B44468" s="31"/>
      <c r="G44468" s="272" t="s">
        <v>1099</v>
      </c>
    </row>
    <row r="44469">
      <c r="B44469" s="31"/>
      <c r="G44469" s="272" t="s">
        <v>1099</v>
      </c>
    </row>
    <row r="44470">
      <c r="B44470" s="31"/>
      <c r="G44470" s="272" t="s">
        <v>1099</v>
      </c>
    </row>
    <row r="44471">
      <c r="B44471" s="31"/>
      <c r="G44471" s="272" t="s">
        <v>1099</v>
      </c>
    </row>
    <row r="44472">
      <c r="B44472" s="31"/>
      <c r="G44472" s="272" t="s">
        <v>1099</v>
      </c>
    </row>
    <row r="44473">
      <c r="B44473" s="31"/>
      <c r="G44473" s="272" t="s">
        <v>1099</v>
      </c>
    </row>
    <row r="44474">
      <c r="B44474" s="31"/>
      <c r="G44474" s="272" t="s">
        <v>1099</v>
      </c>
    </row>
    <row r="44475">
      <c r="B44475" s="31"/>
      <c r="G44475" s="272" t="s">
        <v>1099</v>
      </c>
    </row>
    <row r="44476">
      <c r="B44476" s="31"/>
      <c r="G44476" s="272" t="s">
        <v>1099</v>
      </c>
    </row>
    <row r="44477">
      <c r="B44477" s="31"/>
      <c r="G44477" s="272" t="s">
        <v>1099</v>
      </c>
    </row>
    <row r="44478">
      <c r="B44478" s="31"/>
      <c r="G44478" s="272" t="s">
        <v>1099</v>
      </c>
    </row>
    <row r="44479">
      <c r="B44479" s="31"/>
      <c r="G44479" s="272" t="s">
        <v>1099</v>
      </c>
    </row>
    <row r="44480">
      <c r="B44480" s="31"/>
      <c r="G44480" s="272" t="s">
        <v>1099</v>
      </c>
    </row>
    <row r="44481">
      <c r="B44481" s="31"/>
      <c r="G44481" s="272" t="s">
        <v>1099</v>
      </c>
    </row>
    <row r="44482">
      <c r="B44482" s="31"/>
      <c r="G44482" s="272" t="s">
        <v>1099</v>
      </c>
    </row>
    <row r="44483">
      <c r="B44483" s="31"/>
      <c r="G44483" s="272" t="s">
        <v>1099</v>
      </c>
    </row>
    <row r="44484">
      <c r="B44484" s="31"/>
      <c r="G44484" s="272" t="s">
        <v>1099</v>
      </c>
    </row>
    <row r="44485">
      <c r="B44485" s="31"/>
      <c r="G44485" s="272" t="s">
        <v>1099</v>
      </c>
    </row>
    <row r="44486">
      <c r="B44486" s="31"/>
      <c r="G44486" s="272" t="s">
        <v>1099</v>
      </c>
    </row>
    <row r="44487">
      <c r="B44487" s="31"/>
      <c r="G44487" s="272" t="s">
        <v>1099</v>
      </c>
    </row>
    <row r="44488">
      <c r="B44488" s="31"/>
      <c r="G44488" s="272" t="s">
        <v>1099</v>
      </c>
    </row>
    <row r="44489">
      <c r="B44489" s="31"/>
      <c r="G44489" s="272" t="s">
        <v>1099</v>
      </c>
    </row>
    <row r="44490">
      <c r="B44490" s="31"/>
      <c r="G44490" s="272" t="s">
        <v>1099</v>
      </c>
    </row>
    <row r="44491">
      <c r="B44491" s="31"/>
      <c r="G44491" s="272" t="s">
        <v>1099</v>
      </c>
    </row>
    <row r="44492">
      <c r="B44492" s="31"/>
      <c r="G44492" s="272" t="s">
        <v>1099</v>
      </c>
    </row>
    <row r="44493">
      <c r="B44493" s="31"/>
      <c r="G44493" s="272" t="s">
        <v>1099</v>
      </c>
    </row>
    <row r="44494">
      <c r="B44494" s="31"/>
      <c r="G44494" s="272" t="s">
        <v>1099</v>
      </c>
    </row>
    <row r="44495">
      <c r="B44495" s="31"/>
      <c r="G44495" s="272" t="s">
        <v>1099</v>
      </c>
    </row>
    <row r="44496">
      <c r="B44496" s="31"/>
      <c r="G44496" s="272" t="s">
        <v>1099</v>
      </c>
    </row>
    <row r="44497">
      <c r="B44497" s="31"/>
      <c r="G44497" s="272" t="s">
        <v>1099</v>
      </c>
    </row>
    <row r="44498">
      <c r="B44498" s="31"/>
      <c r="G44498" s="272" t="s">
        <v>1099</v>
      </c>
    </row>
    <row r="44499">
      <c r="B44499" s="31"/>
      <c r="G44499" s="272" t="s">
        <v>1099</v>
      </c>
    </row>
    <row r="44500">
      <c r="B44500" s="31"/>
      <c r="G44500" s="272" t="s">
        <v>1099</v>
      </c>
    </row>
    <row r="44501">
      <c r="B44501" s="31"/>
      <c r="G44501" s="272" t="s">
        <v>1099</v>
      </c>
    </row>
    <row r="44502">
      <c r="B44502" s="31"/>
      <c r="G44502" s="272" t="s">
        <v>1099</v>
      </c>
    </row>
    <row r="44503">
      <c r="B44503" s="31"/>
      <c r="G44503" s="272" t="s">
        <v>1099</v>
      </c>
    </row>
    <row r="44504">
      <c r="B44504" s="31"/>
      <c r="G44504" s="272" t="s">
        <v>1099</v>
      </c>
    </row>
    <row r="44505">
      <c r="B44505" s="31"/>
      <c r="G44505" s="272" t="s">
        <v>1099</v>
      </c>
    </row>
    <row r="44506">
      <c r="B44506" s="31"/>
      <c r="G44506" s="272" t="s">
        <v>1099</v>
      </c>
    </row>
    <row r="44507">
      <c r="B44507" s="31"/>
      <c r="G44507" s="272" t="s">
        <v>1099</v>
      </c>
    </row>
    <row r="44508">
      <c r="B44508" s="31"/>
      <c r="G44508" s="272" t="s">
        <v>1099</v>
      </c>
    </row>
    <row r="44509">
      <c r="B44509" s="31"/>
      <c r="G44509" s="272" t="s">
        <v>1099</v>
      </c>
    </row>
    <row r="44510">
      <c r="B44510" s="31"/>
      <c r="G44510" s="272" t="s">
        <v>1099</v>
      </c>
    </row>
    <row r="44511">
      <c r="B44511" s="31"/>
      <c r="G44511" s="272" t="s">
        <v>1099</v>
      </c>
    </row>
    <row r="44512">
      <c r="B44512" s="31"/>
      <c r="G44512" s="272" t="s">
        <v>1099</v>
      </c>
    </row>
    <row r="44513">
      <c r="B44513" s="31"/>
      <c r="G44513" s="272" t="s">
        <v>1099</v>
      </c>
    </row>
    <row r="44514">
      <c r="B44514" s="31"/>
      <c r="G44514" s="272" t="s">
        <v>1099</v>
      </c>
    </row>
    <row r="44515">
      <c r="B44515" s="31"/>
      <c r="G44515" s="272" t="s">
        <v>1099</v>
      </c>
    </row>
    <row r="44516">
      <c r="B44516" s="31"/>
      <c r="G44516" s="272" t="s">
        <v>1099</v>
      </c>
    </row>
    <row r="44517">
      <c r="B44517" s="31"/>
      <c r="G44517" s="272" t="s">
        <v>1099</v>
      </c>
    </row>
    <row r="44518">
      <c r="B44518" s="31"/>
      <c r="G44518" s="272" t="s">
        <v>1099</v>
      </c>
    </row>
    <row r="44519">
      <c r="B44519" s="31"/>
      <c r="G44519" s="272" t="s">
        <v>1099</v>
      </c>
    </row>
    <row r="44520">
      <c r="B44520" s="31"/>
      <c r="G44520" s="272" t="s">
        <v>1099</v>
      </c>
    </row>
    <row r="44521">
      <c r="B44521" s="31"/>
      <c r="G44521" s="272" t="s">
        <v>1099</v>
      </c>
    </row>
    <row r="44522">
      <c r="B44522" s="31"/>
      <c r="G44522" s="272" t="s">
        <v>1099</v>
      </c>
    </row>
    <row r="44523">
      <c r="B44523" s="31"/>
      <c r="G44523" s="272" t="s">
        <v>1099</v>
      </c>
    </row>
    <row r="44524">
      <c r="B44524" s="31"/>
      <c r="G44524" s="272" t="s">
        <v>1099</v>
      </c>
    </row>
    <row r="44525">
      <c r="B44525" s="31"/>
      <c r="G44525" s="272" t="s">
        <v>1099</v>
      </c>
    </row>
    <row r="44526">
      <c r="B44526" s="31"/>
      <c r="G44526" s="272" t="s">
        <v>1099</v>
      </c>
    </row>
    <row r="44527">
      <c r="B44527" s="31"/>
      <c r="G44527" s="272" t="s">
        <v>1099</v>
      </c>
    </row>
    <row r="44528">
      <c r="B44528" s="31"/>
      <c r="G44528" s="272" t="s">
        <v>1099</v>
      </c>
    </row>
    <row r="44529">
      <c r="B44529" s="31"/>
      <c r="G44529" s="272" t="s">
        <v>1099</v>
      </c>
    </row>
    <row r="44530">
      <c r="B44530" s="31"/>
      <c r="G44530" s="272" t="s">
        <v>1099</v>
      </c>
    </row>
    <row r="44531">
      <c r="B44531" s="31"/>
      <c r="G44531" s="272" t="s">
        <v>1099</v>
      </c>
    </row>
    <row r="44532">
      <c r="B44532" s="31"/>
      <c r="G44532" s="272" t="s">
        <v>1099</v>
      </c>
    </row>
    <row r="44533">
      <c r="B44533" s="31"/>
      <c r="G44533" s="272" t="s">
        <v>1099</v>
      </c>
    </row>
    <row r="44534">
      <c r="B44534" s="31"/>
      <c r="G44534" s="272" t="s">
        <v>1099</v>
      </c>
    </row>
    <row r="44535">
      <c r="B44535" s="31"/>
      <c r="G44535" s="272" t="s">
        <v>1099</v>
      </c>
    </row>
    <row r="44536">
      <c r="B44536" s="31"/>
      <c r="G44536" s="272" t="s">
        <v>1099</v>
      </c>
    </row>
    <row r="44537">
      <c r="B44537" s="31"/>
      <c r="G44537" s="272" t="s">
        <v>1099</v>
      </c>
    </row>
    <row r="44538">
      <c r="B44538" s="31"/>
      <c r="G44538" s="272" t="s">
        <v>1099</v>
      </c>
    </row>
    <row r="44539">
      <c r="B44539" s="31"/>
      <c r="G44539" s="272" t="s">
        <v>1099</v>
      </c>
    </row>
    <row r="44540">
      <c r="B44540" s="31"/>
      <c r="G44540" s="272" t="s">
        <v>1099</v>
      </c>
    </row>
    <row r="44541">
      <c r="B44541" s="31"/>
      <c r="G44541" s="272" t="s">
        <v>1099</v>
      </c>
    </row>
    <row r="44542">
      <c r="B44542" s="31"/>
      <c r="G44542" s="272" t="s">
        <v>1099</v>
      </c>
    </row>
    <row r="44543">
      <c r="B44543" s="31"/>
      <c r="G44543" s="272" t="s">
        <v>1099</v>
      </c>
    </row>
    <row r="44544">
      <c r="B44544" s="31"/>
      <c r="G44544" s="272" t="s">
        <v>1099</v>
      </c>
    </row>
    <row r="44545">
      <c r="B44545" s="31"/>
      <c r="G44545" s="272" t="s">
        <v>1099</v>
      </c>
    </row>
    <row r="44546">
      <c r="B44546" s="31"/>
      <c r="G44546" s="272" t="s">
        <v>1099</v>
      </c>
    </row>
    <row r="44547">
      <c r="B44547" s="31"/>
      <c r="G44547" s="272" t="s">
        <v>1099</v>
      </c>
    </row>
    <row r="44548">
      <c r="B44548" s="31"/>
      <c r="G44548" s="272" t="s">
        <v>1099</v>
      </c>
    </row>
    <row r="44549">
      <c r="B44549" s="31"/>
      <c r="G44549" s="272" t="s">
        <v>1099</v>
      </c>
    </row>
    <row r="44550">
      <c r="B44550" s="31"/>
      <c r="G44550" s="272" t="s">
        <v>1099</v>
      </c>
    </row>
    <row r="44551">
      <c r="B44551" s="31"/>
      <c r="G44551" s="272" t="s">
        <v>1099</v>
      </c>
    </row>
    <row r="44552">
      <c r="B44552" s="31"/>
      <c r="G44552" s="272" t="s">
        <v>1099</v>
      </c>
    </row>
    <row r="44553">
      <c r="B44553" s="31"/>
      <c r="G44553" s="272" t="s">
        <v>1099</v>
      </c>
    </row>
    <row r="44554">
      <c r="B44554" s="31"/>
      <c r="G44554" s="272" t="s">
        <v>1099</v>
      </c>
    </row>
    <row r="44555">
      <c r="B44555" s="31"/>
      <c r="G44555" s="272" t="s">
        <v>1099</v>
      </c>
    </row>
    <row r="44556">
      <c r="B44556" s="31"/>
      <c r="G44556" s="272" t="s">
        <v>1099</v>
      </c>
    </row>
    <row r="44557">
      <c r="B44557" s="31"/>
      <c r="G44557" s="272" t="s">
        <v>1099</v>
      </c>
    </row>
    <row r="44558">
      <c r="B44558" s="31"/>
      <c r="G44558" s="272" t="s">
        <v>1099</v>
      </c>
    </row>
    <row r="44559">
      <c r="B44559" s="31"/>
      <c r="G44559" s="272" t="s">
        <v>1099</v>
      </c>
    </row>
    <row r="44560">
      <c r="B44560" s="31"/>
      <c r="G44560" s="272" t="s">
        <v>1099</v>
      </c>
    </row>
    <row r="44561">
      <c r="B44561" s="31"/>
      <c r="G44561" s="272" t="s">
        <v>1099</v>
      </c>
    </row>
    <row r="44562">
      <c r="B44562" s="31"/>
      <c r="G44562" s="272" t="s">
        <v>1099</v>
      </c>
    </row>
    <row r="44563">
      <c r="B44563" s="31"/>
      <c r="G44563" s="272" t="s">
        <v>1099</v>
      </c>
    </row>
    <row r="44564">
      <c r="B44564" s="31"/>
      <c r="G44564" s="272" t="s">
        <v>1099</v>
      </c>
    </row>
    <row r="44565">
      <c r="B44565" s="31"/>
      <c r="G44565" s="272" t="s">
        <v>1099</v>
      </c>
    </row>
    <row r="44566">
      <c r="B44566" s="31"/>
      <c r="G44566" s="272" t="s">
        <v>1099</v>
      </c>
    </row>
    <row r="44567">
      <c r="B44567" s="31"/>
      <c r="G44567" s="272" t="s">
        <v>1099</v>
      </c>
    </row>
    <row r="44568">
      <c r="B44568" s="31"/>
      <c r="G44568" s="272" t="s">
        <v>1099</v>
      </c>
    </row>
    <row r="44569">
      <c r="B44569" s="31"/>
      <c r="G44569" s="272" t="s">
        <v>1099</v>
      </c>
    </row>
    <row r="44570">
      <c r="B44570" s="31"/>
      <c r="G44570" s="272" t="s">
        <v>1099</v>
      </c>
    </row>
    <row r="44571">
      <c r="B44571" s="31"/>
      <c r="G44571" s="272" t="s">
        <v>1099</v>
      </c>
    </row>
    <row r="44572">
      <c r="B44572" s="31"/>
      <c r="G44572" s="272" t="s">
        <v>1099</v>
      </c>
    </row>
    <row r="44573">
      <c r="B44573" s="31"/>
      <c r="G44573" s="272" t="s">
        <v>1099</v>
      </c>
    </row>
    <row r="44574">
      <c r="B44574" s="31"/>
      <c r="G44574" s="272" t="s">
        <v>1099</v>
      </c>
    </row>
    <row r="44575">
      <c r="B44575" s="31"/>
      <c r="G44575" s="272" t="s">
        <v>1099</v>
      </c>
    </row>
    <row r="44576">
      <c r="B44576" s="31"/>
      <c r="G44576" s="272" t="s">
        <v>1099</v>
      </c>
    </row>
    <row r="44577">
      <c r="B44577" s="31"/>
      <c r="G44577" s="272" t="s">
        <v>1099</v>
      </c>
    </row>
    <row r="44578">
      <c r="B44578" s="31"/>
      <c r="G44578" s="272" t="s">
        <v>1099</v>
      </c>
    </row>
    <row r="44579">
      <c r="B44579" s="31"/>
      <c r="G44579" s="272" t="s">
        <v>1099</v>
      </c>
    </row>
    <row r="44580">
      <c r="B44580" s="31"/>
      <c r="G44580" s="272" t="s">
        <v>1099</v>
      </c>
    </row>
    <row r="44581">
      <c r="B44581" s="31"/>
      <c r="G44581" s="272" t="s">
        <v>1099</v>
      </c>
    </row>
    <row r="44582">
      <c r="B44582" s="31"/>
      <c r="G44582" s="272" t="s">
        <v>1099</v>
      </c>
    </row>
    <row r="44583">
      <c r="B44583" s="31"/>
      <c r="G44583" s="272" t="s">
        <v>1099</v>
      </c>
    </row>
    <row r="44584">
      <c r="B44584" s="31"/>
      <c r="G44584" s="272" t="s">
        <v>1099</v>
      </c>
    </row>
    <row r="44585">
      <c r="B44585" s="31"/>
      <c r="G44585" s="272" t="s">
        <v>1099</v>
      </c>
    </row>
    <row r="44586">
      <c r="B44586" s="31"/>
      <c r="G44586" s="272" t="s">
        <v>1099</v>
      </c>
    </row>
    <row r="44587">
      <c r="B44587" s="31"/>
      <c r="G44587" s="272" t="s">
        <v>1099</v>
      </c>
    </row>
    <row r="44588">
      <c r="B44588" s="31"/>
      <c r="G44588" s="272" t="s">
        <v>1099</v>
      </c>
    </row>
    <row r="44589">
      <c r="B44589" s="31"/>
      <c r="G44589" s="272" t="s">
        <v>1099</v>
      </c>
    </row>
    <row r="44590">
      <c r="B44590" s="31"/>
      <c r="G44590" s="272" t="s">
        <v>1099</v>
      </c>
    </row>
    <row r="44591">
      <c r="B44591" s="31"/>
      <c r="G44591" s="272" t="s">
        <v>1099</v>
      </c>
    </row>
    <row r="44592">
      <c r="B44592" s="31"/>
      <c r="G44592" s="272" t="s">
        <v>1099</v>
      </c>
    </row>
    <row r="44593">
      <c r="B44593" s="31"/>
      <c r="G44593" s="272" t="s">
        <v>1099</v>
      </c>
    </row>
    <row r="44594">
      <c r="B44594" s="31"/>
      <c r="G44594" s="272" t="s">
        <v>1099</v>
      </c>
    </row>
    <row r="44595">
      <c r="B44595" s="31"/>
      <c r="G44595" s="272" t="s">
        <v>1099</v>
      </c>
    </row>
    <row r="44596">
      <c r="B44596" s="31"/>
      <c r="G44596" s="272" t="s">
        <v>1099</v>
      </c>
    </row>
    <row r="44597">
      <c r="B44597" s="31"/>
      <c r="G44597" s="272" t="s">
        <v>1099</v>
      </c>
    </row>
    <row r="44598">
      <c r="B44598" s="31"/>
      <c r="G44598" s="272" t="s">
        <v>1099</v>
      </c>
    </row>
    <row r="44599">
      <c r="B44599" s="31"/>
      <c r="G44599" s="272" t="s">
        <v>1099</v>
      </c>
    </row>
    <row r="44600">
      <c r="B44600" s="31"/>
      <c r="G44600" s="272" t="s">
        <v>1099</v>
      </c>
    </row>
    <row r="44601">
      <c r="B44601" s="31"/>
      <c r="G44601" s="272" t="s">
        <v>1099</v>
      </c>
    </row>
    <row r="44602">
      <c r="B44602" s="31"/>
      <c r="G44602" s="272" t="s">
        <v>1099</v>
      </c>
    </row>
    <row r="44603">
      <c r="B44603" s="31"/>
      <c r="G44603" s="272" t="s">
        <v>1099</v>
      </c>
    </row>
    <row r="44604">
      <c r="B44604" s="31"/>
      <c r="G44604" s="272" t="s">
        <v>1099</v>
      </c>
    </row>
    <row r="44605">
      <c r="B44605" s="31"/>
      <c r="G44605" s="272" t="s">
        <v>1099</v>
      </c>
    </row>
    <row r="44606">
      <c r="B44606" s="31"/>
      <c r="G44606" s="272" t="s">
        <v>1099</v>
      </c>
    </row>
    <row r="44607">
      <c r="B44607" s="31"/>
      <c r="G44607" s="272" t="s">
        <v>1099</v>
      </c>
    </row>
    <row r="44608">
      <c r="B44608" s="31"/>
      <c r="G44608" s="272" t="s">
        <v>1099</v>
      </c>
    </row>
    <row r="44609">
      <c r="B44609" s="31"/>
      <c r="G44609" s="272" t="s">
        <v>1099</v>
      </c>
    </row>
    <row r="44610">
      <c r="B44610" s="31"/>
      <c r="G44610" s="272" t="s">
        <v>1099</v>
      </c>
    </row>
    <row r="44611">
      <c r="B44611" s="31"/>
      <c r="G44611" s="272" t="s">
        <v>1099</v>
      </c>
    </row>
    <row r="44612">
      <c r="B44612" s="31"/>
      <c r="G44612" s="272" t="s">
        <v>1099</v>
      </c>
    </row>
    <row r="44613">
      <c r="B44613" s="31"/>
      <c r="G44613" s="272" t="s">
        <v>1099</v>
      </c>
    </row>
    <row r="44614">
      <c r="B44614" s="31"/>
      <c r="G44614" s="272" t="s">
        <v>1099</v>
      </c>
    </row>
    <row r="44615">
      <c r="B44615" s="31"/>
      <c r="G44615" s="272" t="s">
        <v>1099</v>
      </c>
    </row>
    <row r="44616">
      <c r="B44616" s="31"/>
      <c r="G44616" s="272" t="s">
        <v>1099</v>
      </c>
    </row>
    <row r="44617">
      <c r="B44617" s="31"/>
      <c r="G44617" s="272" t="s">
        <v>1099</v>
      </c>
    </row>
    <row r="44618">
      <c r="B44618" s="31"/>
      <c r="G44618" s="272" t="s">
        <v>1099</v>
      </c>
    </row>
    <row r="44619">
      <c r="B44619" s="31"/>
      <c r="G44619" s="272" t="s">
        <v>1099</v>
      </c>
    </row>
    <row r="44620">
      <c r="B44620" s="31"/>
      <c r="G44620" s="272" t="s">
        <v>1099</v>
      </c>
    </row>
    <row r="44621">
      <c r="B44621" s="31"/>
      <c r="G44621" s="272" t="s">
        <v>1099</v>
      </c>
    </row>
    <row r="44622">
      <c r="B44622" s="31"/>
      <c r="G44622" s="272" t="s">
        <v>1099</v>
      </c>
    </row>
    <row r="44623">
      <c r="B44623" s="31"/>
      <c r="G44623" s="272" t="s">
        <v>1099</v>
      </c>
    </row>
    <row r="44624">
      <c r="B44624" s="31"/>
      <c r="G44624" s="272" t="s">
        <v>1099</v>
      </c>
    </row>
    <row r="44625">
      <c r="B44625" s="31"/>
      <c r="G44625" s="272" t="s">
        <v>1099</v>
      </c>
    </row>
    <row r="44626">
      <c r="B44626" s="31"/>
      <c r="G44626" s="272" t="s">
        <v>1099</v>
      </c>
    </row>
    <row r="44627">
      <c r="B44627" s="31"/>
      <c r="G44627" s="272" t="s">
        <v>1099</v>
      </c>
    </row>
    <row r="44628">
      <c r="B44628" s="31"/>
      <c r="G44628" s="272" t="s">
        <v>1099</v>
      </c>
    </row>
    <row r="44629">
      <c r="B44629" s="31"/>
      <c r="G44629" s="272" t="s">
        <v>1099</v>
      </c>
    </row>
    <row r="44630">
      <c r="B44630" s="31"/>
      <c r="G44630" s="272" t="s">
        <v>1099</v>
      </c>
    </row>
    <row r="44631">
      <c r="B44631" s="31"/>
      <c r="G44631" s="272" t="s">
        <v>1099</v>
      </c>
    </row>
    <row r="44632">
      <c r="B44632" s="31"/>
      <c r="G44632" s="272" t="s">
        <v>1099</v>
      </c>
    </row>
    <row r="44633">
      <c r="B44633" s="31"/>
      <c r="G44633" s="272" t="s">
        <v>1099</v>
      </c>
    </row>
    <row r="44634">
      <c r="B44634" s="31"/>
      <c r="G44634" s="272" t="s">
        <v>1099</v>
      </c>
    </row>
    <row r="44635">
      <c r="B44635" s="31"/>
      <c r="G44635" s="272" t="s">
        <v>1099</v>
      </c>
    </row>
    <row r="44636">
      <c r="B44636" s="31"/>
      <c r="G44636" s="272" t="s">
        <v>1099</v>
      </c>
    </row>
    <row r="44637">
      <c r="B44637" s="31"/>
      <c r="G44637" s="272" t="s">
        <v>1099</v>
      </c>
    </row>
    <row r="44638">
      <c r="B44638" s="31"/>
      <c r="G44638" s="272" t="s">
        <v>1099</v>
      </c>
    </row>
    <row r="44639">
      <c r="B44639" s="31"/>
      <c r="G44639" s="272" t="s">
        <v>1099</v>
      </c>
    </row>
    <row r="44640">
      <c r="B44640" s="31"/>
      <c r="G44640" s="272" t="s">
        <v>1099</v>
      </c>
    </row>
    <row r="44641">
      <c r="B44641" s="31"/>
      <c r="G44641" s="272" t="s">
        <v>1099</v>
      </c>
    </row>
    <row r="44642">
      <c r="B44642" s="31"/>
      <c r="G44642" s="272" t="s">
        <v>1099</v>
      </c>
    </row>
    <row r="44643">
      <c r="B44643" s="31"/>
      <c r="G44643" s="272" t="s">
        <v>1099</v>
      </c>
    </row>
    <row r="44644">
      <c r="B44644" s="31"/>
      <c r="G44644" s="272" t="s">
        <v>1099</v>
      </c>
    </row>
    <row r="44645">
      <c r="B44645" s="31"/>
      <c r="G44645" s="272" t="s">
        <v>1099</v>
      </c>
    </row>
    <row r="44646">
      <c r="B44646" s="31"/>
      <c r="G44646" s="272" t="s">
        <v>1099</v>
      </c>
    </row>
    <row r="44647">
      <c r="B44647" s="31"/>
      <c r="G44647" s="272" t="s">
        <v>1099</v>
      </c>
    </row>
    <row r="44648">
      <c r="B44648" s="31"/>
      <c r="G44648" s="272" t="s">
        <v>1099</v>
      </c>
    </row>
    <row r="44649">
      <c r="B44649" s="31"/>
      <c r="G44649" s="272" t="s">
        <v>1099</v>
      </c>
    </row>
    <row r="44650">
      <c r="B44650" s="31"/>
      <c r="G44650" s="272" t="s">
        <v>1099</v>
      </c>
    </row>
    <row r="44651">
      <c r="B44651" s="31"/>
      <c r="G44651" s="272" t="s">
        <v>1099</v>
      </c>
    </row>
    <row r="44652">
      <c r="B44652" s="31"/>
      <c r="G44652" s="272" t="s">
        <v>1099</v>
      </c>
    </row>
    <row r="44653">
      <c r="B44653" s="31"/>
      <c r="G44653" s="272" t="s">
        <v>1099</v>
      </c>
    </row>
    <row r="44654">
      <c r="B44654" s="31"/>
      <c r="G44654" s="272" t="s">
        <v>1099</v>
      </c>
    </row>
    <row r="44655">
      <c r="B44655" s="31"/>
      <c r="G44655" s="272" t="s">
        <v>1099</v>
      </c>
    </row>
    <row r="44656">
      <c r="B44656" s="31"/>
      <c r="G44656" s="272" t="s">
        <v>1099</v>
      </c>
    </row>
    <row r="44657">
      <c r="B44657" s="31"/>
      <c r="G44657" s="272" t="s">
        <v>1099</v>
      </c>
    </row>
    <row r="44658">
      <c r="B44658" s="31"/>
      <c r="G44658" s="272" t="s">
        <v>1099</v>
      </c>
    </row>
    <row r="44659">
      <c r="B44659" s="31"/>
      <c r="G44659" s="272" t="s">
        <v>1099</v>
      </c>
    </row>
    <row r="44660">
      <c r="B44660" s="31"/>
      <c r="G44660" s="272" t="s">
        <v>1099</v>
      </c>
    </row>
    <row r="44661">
      <c r="B44661" s="31"/>
      <c r="G44661" s="272" t="s">
        <v>1099</v>
      </c>
    </row>
    <row r="44662">
      <c r="B44662" s="31"/>
      <c r="G44662" s="272" t="s">
        <v>1099</v>
      </c>
    </row>
    <row r="44663">
      <c r="B44663" s="31"/>
      <c r="G44663" s="272" t="s">
        <v>1099</v>
      </c>
    </row>
    <row r="44664">
      <c r="B44664" s="31"/>
      <c r="G44664" s="272" t="s">
        <v>1099</v>
      </c>
    </row>
    <row r="44665">
      <c r="B44665" s="31"/>
      <c r="G44665" s="272" t="s">
        <v>1099</v>
      </c>
    </row>
    <row r="44666">
      <c r="B44666" s="31"/>
      <c r="G44666" s="272" t="s">
        <v>1099</v>
      </c>
    </row>
    <row r="44667">
      <c r="B44667" s="31"/>
      <c r="G44667" s="272" t="s">
        <v>1099</v>
      </c>
    </row>
    <row r="44668">
      <c r="B44668" s="31"/>
      <c r="G44668" s="272" t="s">
        <v>1099</v>
      </c>
    </row>
    <row r="44669">
      <c r="B44669" s="31"/>
      <c r="G44669" s="272" t="s">
        <v>1099</v>
      </c>
    </row>
    <row r="44670">
      <c r="B44670" s="31"/>
      <c r="G44670" s="272" t="s">
        <v>1099</v>
      </c>
    </row>
    <row r="44671">
      <c r="B44671" s="31"/>
      <c r="G44671" s="272" t="s">
        <v>1099</v>
      </c>
    </row>
    <row r="44672">
      <c r="B44672" s="31"/>
      <c r="G44672" s="272" t="s">
        <v>1099</v>
      </c>
    </row>
    <row r="44673">
      <c r="B44673" s="31"/>
      <c r="G44673" s="272" t="s">
        <v>1099</v>
      </c>
    </row>
    <row r="44674">
      <c r="B44674" s="31"/>
      <c r="G44674" s="272" t="s">
        <v>1099</v>
      </c>
    </row>
    <row r="44675">
      <c r="B44675" s="31"/>
      <c r="G44675" s="272" t="s">
        <v>1099</v>
      </c>
    </row>
    <row r="44676">
      <c r="B44676" s="31"/>
      <c r="G44676" s="272" t="s">
        <v>1099</v>
      </c>
    </row>
    <row r="44677">
      <c r="B44677" s="31"/>
      <c r="G44677" s="272" t="s">
        <v>1099</v>
      </c>
    </row>
    <row r="44678">
      <c r="B44678" s="31"/>
      <c r="G44678" s="272" t="s">
        <v>1099</v>
      </c>
    </row>
    <row r="44679">
      <c r="B44679" s="31"/>
      <c r="G44679" s="272" t="s">
        <v>1099</v>
      </c>
    </row>
    <row r="44680">
      <c r="B44680" s="31"/>
      <c r="G44680" s="272" t="s">
        <v>1099</v>
      </c>
    </row>
    <row r="44681">
      <c r="B44681" s="31"/>
      <c r="G44681" s="272" t="s">
        <v>1099</v>
      </c>
    </row>
    <row r="44682">
      <c r="B44682" s="31"/>
      <c r="G44682" s="272" t="s">
        <v>1099</v>
      </c>
    </row>
    <row r="44683">
      <c r="B44683" s="31"/>
      <c r="G44683" s="272" t="s">
        <v>1099</v>
      </c>
    </row>
    <row r="44684">
      <c r="B44684" s="31"/>
      <c r="G44684" s="272" t="s">
        <v>1099</v>
      </c>
    </row>
    <row r="44685">
      <c r="B44685" s="31"/>
      <c r="G44685" s="272" t="s">
        <v>1099</v>
      </c>
    </row>
    <row r="44686">
      <c r="B44686" s="31"/>
      <c r="G44686" s="272" t="s">
        <v>1099</v>
      </c>
    </row>
    <row r="44687">
      <c r="B44687" s="31"/>
      <c r="G44687" s="272" t="s">
        <v>1099</v>
      </c>
    </row>
    <row r="44688">
      <c r="B44688" s="31"/>
      <c r="G44688" s="272" t="s">
        <v>1099</v>
      </c>
    </row>
    <row r="44689">
      <c r="B44689" s="31"/>
      <c r="G44689" s="272" t="s">
        <v>1099</v>
      </c>
    </row>
    <row r="44690">
      <c r="B44690" s="31"/>
      <c r="G44690" s="272" t="s">
        <v>1099</v>
      </c>
    </row>
    <row r="44691">
      <c r="B44691" s="31"/>
      <c r="G44691" s="272" t="s">
        <v>1099</v>
      </c>
    </row>
    <row r="44692">
      <c r="B44692" s="31"/>
      <c r="G44692" s="272" t="s">
        <v>1099</v>
      </c>
    </row>
    <row r="44693">
      <c r="B44693" s="31"/>
      <c r="G44693" s="272" t="s">
        <v>1099</v>
      </c>
    </row>
    <row r="44694">
      <c r="B44694" s="31"/>
      <c r="G44694" s="272" t="s">
        <v>1099</v>
      </c>
    </row>
    <row r="44695">
      <c r="B44695" s="31"/>
      <c r="G44695" s="272" t="s">
        <v>1099</v>
      </c>
    </row>
    <row r="44696">
      <c r="B44696" s="31"/>
      <c r="G44696" s="272" t="s">
        <v>1099</v>
      </c>
    </row>
    <row r="44697">
      <c r="B44697" s="31"/>
      <c r="G44697" s="272" t="s">
        <v>1099</v>
      </c>
    </row>
    <row r="44698">
      <c r="B44698" s="31"/>
      <c r="G44698" s="272" t="s">
        <v>1099</v>
      </c>
    </row>
    <row r="44699">
      <c r="B44699" s="31"/>
      <c r="G44699" s="272" t="s">
        <v>1099</v>
      </c>
    </row>
    <row r="44700">
      <c r="B44700" s="31"/>
      <c r="G44700" s="272" t="s">
        <v>1099</v>
      </c>
    </row>
    <row r="44701">
      <c r="B44701" s="31"/>
      <c r="G44701" s="272" t="s">
        <v>1099</v>
      </c>
    </row>
    <row r="44702">
      <c r="B44702" s="31"/>
      <c r="G44702" s="272" t="s">
        <v>1099</v>
      </c>
    </row>
    <row r="44703">
      <c r="B44703" s="31"/>
      <c r="G44703" s="272" t="s">
        <v>1099</v>
      </c>
    </row>
    <row r="44704">
      <c r="B44704" s="31"/>
      <c r="G44704" s="272" t="s">
        <v>1099</v>
      </c>
    </row>
    <row r="44705">
      <c r="B44705" s="31"/>
      <c r="G44705" s="272" t="s">
        <v>1099</v>
      </c>
    </row>
    <row r="44706">
      <c r="B44706" s="31"/>
      <c r="G44706" s="272" t="s">
        <v>1099</v>
      </c>
    </row>
    <row r="44707">
      <c r="B44707" s="31"/>
      <c r="G44707" s="272" t="s">
        <v>1099</v>
      </c>
    </row>
    <row r="44708">
      <c r="B44708" s="31"/>
      <c r="G44708" s="272" t="s">
        <v>1099</v>
      </c>
    </row>
    <row r="44709">
      <c r="B44709" s="31"/>
      <c r="G44709" s="272" t="s">
        <v>1099</v>
      </c>
    </row>
    <row r="44710">
      <c r="B44710" s="31"/>
      <c r="G44710" s="272" t="s">
        <v>1099</v>
      </c>
    </row>
    <row r="44711">
      <c r="B44711" s="31"/>
      <c r="G44711" s="272" t="s">
        <v>1099</v>
      </c>
    </row>
    <row r="44712">
      <c r="B44712" s="31"/>
      <c r="G44712" s="272" t="s">
        <v>1099</v>
      </c>
    </row>
    <row r="44713">
      <c r="B44713" s="31"/>
      <c r="G44713" s="272" t="s">
        <v>1099</v>
      </c>
    </row>
    <row r="44714">
      <c r="B44714" s="31"/>
      <c r="G44714" s="272" t="s">
        <v>1099</v>
      </c>
    </row>
    <row r="44715">
      <c r="B44715" s="31"/>
      <c r="G44715" s="272" t="s">
        <v>1099</v>
      </c>
    </row>
    <row r="44716">
      <c r="B44716" s="31"/>
      <c r="G44716" s="272" t="s">
        <v>1099</v>
      </c>
    </row>
    <row r="44717">
      <c r="B44717" s="31"/>
      <c r="G44717" s="272" t="s">
        <v>1099</v>
      </c>
    </row>
    <row r="44718">
      <c r="B44718" s="31"/>
      <c r="G44718" s="272" t="s">
        <v>1099</v>
      </c>
    </row>
    <row r="44719">
      <c r="B44719" s="31"/>
      <c r="G44719" s="272" t="s">
        <v>1099</v>
      </c>
    </row>
    <row r="44720">
      <c r="B44720" s="31"/>
      <c r="G44720" s="272" t="s">
        <v>1099</v>
      </c>
    </row>
    <row r="44721">
      <c r="B44721" s="31"/>
      <c r="G44721" s="272" t="s">
        <v>1099</v>
      </c>
    </row>
    <row r="44722">
      <c r="B44722" s="31"/>
      <c r="G44722" s="272" t="s">
        <v>1099</v>
      </c>
    </row>
    <row r="44723">
      <c r="B44723" s="31"/>
      <c r="G44723" s="272" t="s">
        <v>1099</v>
      </c>
    </row>
    <row r="44724">
      <c r="B44724" s="31"/>
      <c r="G44724" s="272" t="s">
        <v>1099</v>
      </c>
    </row>
    <row r="44725">
      <c r="B44725" s="31"/>
      <c r="G44725" s="272" t="s">
        <v>1099</v>
      </c>
    </row>
    <row r="44726">
      <c r="B44726" s="31"/>
      <c r="G44726" s="272" t="s">
        <v>1099</v>
      </c>
    </row>
    <row r="44727">
      <c r="B44727" s="31"/>
      <c r="G44727" s="272" t="s">
        <v>1099</v>
      </c>
    </row>
    <row r="44728">
      <c r="B44728" s="31"/>
      <c r="G44728" s="272" t="s">
        <v>1099</v>
      </c>
    </row>
    <row r="44729">
      <c r="B44729" s="31"/>
      <c r="G44729" s="272" t="s">
        <v>1099</v>
      </c>
    </row>
    <row r="44730">
      <c r="B44730" s="31"/>
      <c r="G44730" s="272" t="s">
        <v>1099</v>
      </c>
    </row>
    <row r="44731">
      <c r="B44731" s="31"/>
      <c r="G44731" s="272" t="s">
        <v>1099</v>
      </c>
    </row>
    <row r="44732">
      <c r="B44732" s="31"/>
      <c r="G44732" s="272" t="s">
        <v>1099</v>
      </c>
    </row>
    <row r="44733">
      <c r="B44733" s="31"/>
      <c r="G44733" s="272" t="s">
        <v>1099</v>
      </c>
    </row>
    <row r="44734">
      <c r="B44734" s="31"/>
      <c r="G44734" s="272" t="s">
        <v>1099</v>
      </c>
    </row>
    <row r="44735">
      <c r="B44735" s="31"/>
      <c r="G44735" s="272" t="s">
        <v>1099</v>
      </c>
    </row>
    <row r="44736">
      <c r="B44736" s="31"/>
      <c r="G44736" s="272" t="s">
        <v>1099</v>
      </c>
    </row>
    <row r="44737">
      <c r="B44737" s="31"/>
      <c r="G44737" s="272" t="s">
        <v>1099</v>
      </c>
    </row>
    <row r="44738">
      <c r="B44738" s="31"/>
      <c r="G44738" s="272" t="s">
        <v>1099</v>
      </c>
    </row>
    <row r="44739">
      <c r="B44739" s="31"/>
      <c r="G44739" s="272" t="s">
        <v>1099</v>
      </c>
    </row>
    <row r="44740">
      <c r="B44740" s="31"/>
      <c r="G44740" s="272" t="s">
        <v>1099</v>
      </c>
    </row>
    <row r="44741">
      <c r="B44741" s="31"/>
      <c r="G44741" s="272" t="s">
        <v>1099</v>
      </c>
    </row>
    <row r="44742">
      <c r="B44742" s="31"/>
      <c r="G44742" s="272" t="s">
        <v>1099</v>
      </c>
    </row>
    <row r="44743">
      <c r="B44743" s="31"/>
      <c r="G44743" s="272" t="s">
        <v>1099</v>
      </c>
    </row>
    <row r="44744">
      <c r="B44744" s="31"/>
      <c r="G44744" s="272" t="s">
        <v>1099</v>
      </c>
    </row>
    <row r="44745">
      <c r="B44745" s="31"/>
      <c r="G44745" s="272" t="s">
        <v>1099</v>
      </c>
    </row>
    <row r="44746">
      <c r="B44746" s="31"/>
      <c r="G44746" s="272" t="s">
        <v>1099</v>
      </c>
    </row>
    <row r="44747">
      <c r="B44747" s="31"/>
      <c r="G44747" s="272" t="s">
        <v>1099</v>
      </c>
    </row>
    <row r="44748">
      <c r="B44748" s="31"/>
      <c r="G44748" s="272" t="s">
        <v>1099</v>
      </c>
    </row>
    <row r="44749">
      <c r="B44749" s="31"/>
      <c r="G44749" s="272" t="s">
        <v>1099</v>
      </c>
    </row>
    <row r="44750">
      <c r="B44750" s="31"/>
      <c r="G44750" s="272" t="s">
        <v>1099</v>
      </c>
    </row>
    <row r="44751">
      <c r="B44751" s="31"/>
      <c r="G44751" s="272" t="s">
        <v>1099</v>
      </c>
    </row>
    <row r="44752">
      <c r="B44752" s="31"/>
      <c r="G44752" s="272" t="s">
        <v>1099</v>
      </c>
    </row>
    <row r="44753">
      <c r="B44753" s="31"/>
      <c r="G44753" s="272" t="s">
        <v>1099</v>
      </c>
    </row>
    <row r="44754">
      <c r="B44754" s="31"/>
      <c r="G44754" s="272" t="s">
        <v>1099</v>
      </c>
    </row>
    <row r="44755">
      <c r="B44755" s="31"/>
      <c r="G44755" s="272" t="s">
        <v>1099</v>
      </c>
    </row>
    <row r="44756">
      <c r="B44756" s="31"/>
      <c r="G44756" s="272" t="s">
        <v>1099</v>
      </c>
    </row>
    <row r="44757">
      <c r="B44757" s="31"/>
      <c r="G44757" s="272" t="s">
        <v>1099</v>
      </c>
    </row>
    <row r="44758">
      <c r="B44758" s="31"/>
      <c r="G44758" s="272" t="s">
        <v>1099</v>
      </c>
    </row>
    <row r="44759">
      <c r="B44759" s="31"/>
      <c r="G44759" s="272" t="s">
        <v>1099</v>
      </c>
    </row>
    <row r="44760">
      <c r="B44760" s="31"/>
      <c r="G44760" s="272" t="s">
        <v>1099</v>
      </c>
    </row>
    <row r="44761">
      <c r="B44761" s="31"/>
      <c r="G44761" s="272" t="s">
        <v>1099</v>
      </c>
    </row>
    <row r="44762">
      <c r="B44762" s="31"/>
      <c r="G44762" s="272" t="s">
        <v>1099</v>
      </c>
    </row>
    <row r="44763">
      <c r="B44763" s="31"/>
      <c r="G44763" s="272" t="s">
        <v>1099</v>
      </c>
    </row>
    <row r="44764">
      <c r="B44764" s="31"/>
      <c r="G44764" s="272" t="s">
        <v>1099</v>
      </c>
    </row>
    <row r="44765">
      <c r="B44765" s="31"/>
      <c r="G44765" s="272" t="s">
        <v>1099</v>
      </c>
    </row>
    <row r="44766">
      <c r="B44766" s="31"/>
      <c r="G44766" s="272" t="s">
        <v>1099</v>
      </c>
    </row>
    <row r="44767">
      <c r="B44767" s="31"/>
      <c r="G44767" s="272" t="s">
        <v>1099</v>
      </c>
    </row>
    <row r="44768">
      <c r="B44768" s="31"/>
      <c r="G44768" s="272" t="s">
        <v>1099</v>
      </c>
    </row>
    <row r="44769">
      <c r="B44769" s="31"/>
      <c r="G44769" s="272" t="s">
        <v>1099</v>
      </c>
    </row>
    <row r="44770">
      <c r="B44770" s="31"/>
      <c r="G44770" s="272" t="s">
        <v>1099</v>
      </c>
    </row>
    <row r="44771">
      <c r="B44771" s="31"/>
      <c r="G44771" s="272" t="s">
        <v>1099</v>
      </c>
    </row>
    <row r="44772">
      <c r="B44772" s="31"/>
      <c r="G44772" s="272" t="s">
        <v>1099</v>
      </c>
    </row>
    <row r="44773">
      <c r="B44773" s="31"/>
      <c r="G44773" s="272" t="s">
        <v>1099</v>
      </c>
    </row>
    <row r="44774">
      <c r="B44774" s="31"/>
      <c r="G44774" s="272" t="s">
        <v>1099</v>
      </c>
    </row>
    <row r="44775">
      <c r="B44775" s="31"/>
      <c r="G44775" s="272" t="s">
        <v>1099</v>
      </c>
    </row>
    <row r="44776">
      <c r="B44776" s="31"/>
      <c r="G44776" s="272" t="s">
        <v>1099</v>
      </c>
    </row>
    <row r="44777">
      <c r="B44777" s="31"/>
      <c r="G44777" s="272" t="s">
        <v>1099</v>
      </c>
    </row>
    <row r="44778">
      <c r="B44778" s="31"/>
      <c r="G44778" s="272" t="s">
        <v>1099</v>
      </c>
    </row>
    <row r="44779">
      <c r="B44779" s="31"/>
      <c r="G44779" s="272" t="s">
        <v>1099</v>
      </c>
    </row>
    <row r="44780">
      <c r="B44780" s="31"/>
      <c r="G44780" s="272" t="s">
        <v>1099</v>
      </c>
    </row>
    <row r="44781">
      <c r="B44781" s="31"/>
      <c r="G44781" s="272" t="s">
        <v>1099</v>
      </c>
    </row>
    <row r="44782">
      <c r="B44782" s="31"/>
      <c r="G44782" s="272" t="s">
        <v>1099</v>
      </c>
    </row>
    <row r="44783">
      <c r="B44783" s="31"/>
      <c r="G44783" s="272" t="s">
        <v>1099</v>
      </c>
    </row>
    <row r="44784">
      <c r="B44784" s="31"/>
      <c r="G44784" s="272" t="s">
        <v>1099</v>
      </c>
    </row>
    <row r="44785">
      <c r="B44785" s="31"/>
      <c r="G44785" s="272" t="s">
        <v>1099</v>
      </c>
    </row>
    <row r="44786">
      <c r="B44786" s="31"/>
      <c r="G44786" s="272" t="s">
        <v>1099</v>
      </c>
    </row>
    <row r="44787">
      <c r="B44787" s="31"/>
      <c r="G44787" s="272" t="s">
        <v>1099</v>
      </c>
    </row>
    <row r="44788">
      <c r="B44788" s="31"/>
      <c r="G44788" s="272" t="s">
        <v>1099</v>
      </c>
    </row>
    <row r="44789">
      <c r="B44789" s="31"/>
      <c r="G44789" s="272" t="s">
        <v>1099</v>
      </c>
    </row>
    <row r="44790">
      <c r="B44790" s="31"/>
      <c r="G44790" s="272" t="s">
        <v>1099</v>
      </c>
    </row>
    <row r="44791">
      <c r="B44791" s="31"/>
      <c r="G44791" s="272" t="s">
        <v>1099</v>
      </c>
    </row>
    <row r="44792">
      <c r="B44792" s="31"/>
      <c r="G44792" s="272" t="s">
        <v>1099</v>
      </c>
    </row>
    <row r="44793">
      <c r="B44793" s="31"/>
      <c r="G44793" s="272" t="s">
        <v>1099</v>
      </c>
    </row>
    <row r="44794">
      <c r="B44794" s="31"/>
      <c r="G44794" s="272" t="s">
        <v>1099</v>
      </c>
    </row>
    <row r="44795">
      <c r="B44795" s="31"/>
      <c r="G44795" s="272" t="s">
        <v>1099</v>
      </c>
    </row>
    <row r="44796">
      <c r="B44796" s="31"/>
      <c r="G44796" s="272" t="s">
        <v>1099</v>
      </c>
    </row>
    <row r="44797">
      <c r="B44797" s="31"/>
      <c r="G44797" s="272" t="s">
        <v>1099</v>
      </c>
    </row>
    <row r="44798">
      <c r="B44798" s="31"/>
      <c r="G44798" s="272" t="s">
        <v>1099</v>
      </c>
    </row>
    <row r="44799">
      <c r="B44799" s="31"/>
      <c r="G44799" s="272" t="s">
        <v>1099</v>
      </c>
    </row>
    <row r="44800">
      <c r="B44800" s="31"/>
      <c r="G44800" s="272" t="s">
        <v>1099</v>
      </c>
    </row>
    <row r="44801">
      <c r="B44801" s="31"/>
      <c r="G44801" s="272" t="s">
        <v>1099</v>
      </c>
    </row>
    <row r="44802">
      <c r="B44802" s="31"/>
      <c r="G44802" s="272" t="s">
        <v>1099</v>
      </c>
    </row>
    <row r="44803">
      <c r="B44803" s="31"/>
      <c r="G44803" s="272" t="s">
        <v>1099</v>
      </c>
    </row>
    <row r="44804">
      <c r="B44804" s="31"/>
      <c r="G44804" s="272" t="s">
        <v>1099</v>
      </c>
    </row>
    <row r="44805">
      <c r="B44805" s="31"/>
      <c r="G44805" s="272" t="s">
        <v>1099</v>
      </c>
    </row>
    <row r="44806">
      <c r="B44806" s="31"/>
      <c r="G44806" s="272" t="s">
        <v>1099</v>
      </c>
    </row>
    <row r="44807">
      <c r="B44807" s="31"/>
      <c r="G44807" s="272" t="s">
        <v>1099</v>
      </c>
    </row>
    <row r="44808">
      <c r="B44808" s="31"/>
      <c r="G44808" s="272" t="s">
        <v>1099</v>
      </c>
    </row>
    <row r="44809">
      <c r="B44809" s="31"/>
      <c r="G44809" s="272" t="s">
        <v>1099</v>
      </c>
    </row>
    <row r="44810">
      <c r="B44810" s="31"/>
      <c r="G44810" s="272" t="s">
        <v>1099</v>
      </c>
    </row>
    <row r="44811">
      <c r="B44811" s="31"/>
      <c r="G44811" s="272" t="s">
        <v>1099</v>
      </c>
    </row>
    <row r="44812">
      <c r="B44812" s="31"/>
      <c r="G44812" s="272" t="s">
        <v>1099</v>
      </c>
    </row>
    <row r="44813">
      <c r="B44813" s="31"/>
      <c r="G44813" s="272" t="s">
        <v>1099</v>
      </c>
    </row>
    <row r="44814">
      <c r="B44814" s="31"/>
      <c r="G44814" s="272" t="s">
        <v>1099</v>
      </c>
    </row>
    <row r="44815">
      <c r="B44815" s="31"/>
      <c r="G44815" s="272" t="s">
        <v>1099</v>
      </c>
    </row>
    <row r="44816">
      <c r="B44816" s="31"/>
      <c r="G44816" s="272" t="s">
        <v>1099</v>
      </c>
    </row>
    <row r="44817">
      <c r="B44817" s="31"/>
      <c r="G44817" s="272" t="s">
        <v>1099</v>
      </c>
    </row>
    <row r="44818">
      <c r="B44818" s="31"/>
      <c r="G44818" s="272" t="s">
        <v>1099</v>
      </c>
    </row>
    <row r="44819">
      <c r="B44819" s="31"/>
      <c r="G44819" s="272" t="s">
        <v>1099</v>
      </c>
    </row>
    <row r="44820">
      <c r="B44820" s="31"/>
      <c r="G44820" s="272" t="s">
        <v>1099</v>
      </c>
    </row>
    <row r="44821">
      <c r="B44821" s="31"/>
      <c r="G44821" s="272" t="s">
        <v>1099</v>
      </c>
    </row>
    <row r="44822">
      <c r="B44822" s="31"/>
      <c r="G44822" s="272" t="s">
        <v>1099</v>
      </c>
    </row>
    <row r="44823">
      <c r="B44823" s="31"/>
      <c r="G44823" s="272" t="s">
        <v>1099</v>
      </c>
    </row>
    <row r="44824">
      <c r="B44824" s="31"/>
      <c r="G44824" s="272" t="s">
        <v>1099</v>
      </c>
    </row>
    <row r="44825">
      <c r="B44825" s="31"/>
      <c r="G44825" s="272" t="s">
        <v>1099</v>
      </c>
    </row>
    <row r="44826">
      <c r="B44826" s="31"/>
      <c r="G44826" s="272" t="s">
        <v>1099</v>
      </c>
    </row>
    <row r="44827">
      <c r="B44827" s="31"/>
      <c r="G44827" s="272" t="s">
        <v>1099</v>
      </c>
    </row>
    <row r="44828">
      <c r="B44828" s="31"/>
      <c r="G44828" s="272" t="s">
        <v>1099</v>
      </c>
    </row>
    <row r="44829">
      <c r="B44829" s="31"/>
      <c r="G44829" s="272" t="s">
        <v>1099</v>
      </c>
    </row>
    <row r="44830">
      <c r="B44830" s="31"/>
      <c r="G44830" s="272" t="s">
        <v>1099</v>
      </c>
    </row>
    <row r="44831">
      <c r="B44831" s="31"/>
      <c r="G44831" s="272" t="s">
        <v>1099</v>
      </c>
    </row>
    <row r="44832">
      <c r="B44832" s="31"/>
      <c r="G44832" s="272" t="s">
        <v>1099</v>
      </c>
    </row>
    <row r="44833">
      <c r="B44833" s="31"/>
      <c r="G44833" s="272" t="s">
        <v>1099</v>
      </c>
    </row>
    <row r="44834">
      <c r="B44834" s="31"/>
      <c r="G44834" s="272" t="s">
        <v>1099</v>
      </c>
    </row>
    <row r="44835">
      <c r="B44835" s="31"/>
      <c r="G44835" s="272" t="s">
        <v>1099</v>
      </c>
    </row>
    <row r="44836">
      <c r="B44836" s="31"/>
      <c r="G44836" s="272" t="s">
        <v>1099</v>
      </c>
    </row>
    <row r="44837">
      <c r="B44837" s="31"/>
      <c r="G44837" s="272" t="s">
        <v>1099</v>
      </c>
    </row>
    <row r="44838">
      <c r="B44838" s="31"/>
      <c r="G44838" s="272" t="s">
        <v>1099</v>
      </c>
    </row>
    <row r="44839">
      <c r="B44839" s="31"/>
      <c r="G44839" s="272" t="s">
        <v>1099</v>
      </c>
    </row>
    <row r="44840">
      <c r="B44840" s="31"/>
      <c r="G44840" s="272" t="s">
        <v>1099</v>
      </c>
    </row>
    <row r="44841">
      <c r="B44841" s="31"/>
      <c r="G44841" s="272" t="s">
        <v>1099</v>
      </c>
    </row>
    <row r="44842">
      <c r="B44842" s="31"/>
      <c r="G44842" s="272" t="s">
        <v>1099</v>
      </c>
    </row>
    <row r="44843">
      <c r="B44843" s="31"/>
      <c r="G44843" s="272" t="s">
        <v>1099</v>
      </c>
    </row>
    <row r="44844">
      <c r="B44844" s="31"/>
      <c r="G44844" s="272" t="s">
        <v>1099</v>
      </c>
    </row>
    <row r="44845">
      <c r="B44845" s="31"/>
      <c r="G44845" s="272" t="s">
        <v>1099</v>
      </c>
    </row>
    <row r="44846">
      <c r="B44846" s="31"/>
      <c r="G44846" s="272" t="s">
        <v>1099</v>
      </c>
    </row>
    <row r="44847">
      <c r="B44847" s="31"/>
      <c r="G44847" s="272" t="s">
        <v>1099</v>
      </c>
    </row>
    <row r="44848">
      <c r="B44848" s="31"/>
      <c r="G44848" s="272" t="s">
        <v>1099</v>
      </c>
    </row>
    <row r="44849">
      <c r="B44849" s="31"/>
      <c r="G44849" s="272" t="s">
        <v>1099</v>
      </c>
    </row>
    <row r="44850">
      <c r="B44850" s="31"/>
      <c r="G44850" s="272" t="s">
        <v>1099</v>
      </c>
    </row>
    <row r="44851">
      <c r="B44851" s="31"/>
      <c r="G44851" s="272" t="s">
        <v>1099</v>
      </c>
    </row>
    <row r="44852">
      <c r="B44852" s="31"/>
      <c r="G44852" s="272" t="s">
        <v>1099</v>
      </c>
    </row>
    <row r="44853">
      <c r="B44853" s="31"/>
      <c r="G44853" s="272" t="s">
        <v>1099</v>
      </c>
    </row>
    <row r="44854">
      <c r="B44854" s="31"/>
      <c r="G44854" s="272" t="s">
        <v>1099</v>
      </c>
    </row>
    <row r="44855">
      <c r="B44855" s="31"/>
      <c r="G44855" s="272" t="s">
        <v>1099</v>
      </c>
    </row>
    <row r="44856">
      <c r="B44856" s="31"/>
      <c r="G44856" s="272" t="s">
        <v>1099</v>
      </c>
    </row>
    <row r="44857">
      <c r="B44857" s="31"/>
      <c r="G44857" s="272" t="s">
        <v>1099</v>
      </c>
    </row>
    <row r="44858">
      <c r="B44858" s="31"/>
      <c r="G44858" s="272" t="s">
        <v>1099</v>
      </c>
    </row>
    <row r="44859">
      <c r="B44859" s="31"/>
      <c r="G44859" s="272" t="s">
        <v>1099</v>
      </c>
    </row>
    <row r="44860">
      <c r="B44860" s="31"/>
      <c r="G44860" s="272" t="s">
        <v>1099</v>
      </c>
    </row>
    <row r="44861">
      <c r="B44861" s="31"/>
      <c r="G44861" s="272" t="s">
        <v>1099</v>
      </c>
    </row>
    <row r="44862">
      <c r="B44862" s="31"/>
      <c r="G44862" s="272" t="s">
        <v>1099</v>
      </c>
    </row>
    <row r="44863">
      <c r="B44863" s="31"/>
      <c r="G44863" s="272" t="s">
        <v>1099</v>
      </c>
    </row>
    <row r="44864">
      <c r="B44864" s="31"/>
      <c r="G44864" s="272" t="s">
        <v>1099</v>
      </c>
    </row>
    <row r="44865">
      <c r="B44865" s="31"/>
      <c r="G44865" s="272" t="s">
        <v>1099</v>
      </c>
    </row>
    <row r="44866">
      <c r="B44866" s="31"/>
      <c r="G44866" s="272" t="s">
        <v>1099</v>
      </c>
    </row>
    <row r="44867">
      <c r="B44867" s="31"/>
      <c r="G44867" s="272" t="s">
        <v>1099</v>
      </c>
    </row>
    <row r="44868">
      <c r="B44868" s="31"/>
      <c r="G44868" s="272" t="s">
        <v>1099</v>
      </c>
    </row>
    <row r="44869">
      <c r="B44869" s="31"/>
      <c r="G44869" s="272" t="s">
        <v>1099</v>
      </c>
    </row>
    <row r="44870">
      <c r="B44870" s="31"/>
      <c r="G44870" s="272" t="s">
        <v>1099</v>
      </c>
    </row>
    <row r="44871">
      <c r="B44871" s="31"/>
      <c r="G44871" s="272" t="s">
        <v>1099</v>
      </c>
    </row>
    <row r="44872">
      <c r="B44872" s="31"/>
      <c r="G44872" s="272" t="s">
        <v>1099</v>
      </c>
    </row>
    <row r="44873">
      <c r="B44873" s="31"/>
      <c r="G44873" s="272" t="s">
        <v>1099</v>
      </c>
    </row>
    <row r="44874">
      <c r="B44874" s="31"/>
      <c r="G44874" s="272" t="s">
        <v>1099</v>
      </c>
    </row>
    <row r="44875">
      <c r="B44875" s="31"/>
      <c r="G44875" s="272" t="s">
        <v>1099</v>
      </c>
    </row>
    <row r="44876">
      <c r="B44876" s="31"/>
      <c r="G44876" s="272" t="s">
        <v>1099</v>
      </c>
    </row>
    <row r="44877">
      <c r="B44877" s="31"/>
      <c r="G44877" s="272" t="s">
        <v>1099</v>
      </c>
    </row>
    <row r="44878">
      <c r="B44878" s="31"/>
      <c r="G44878" s="272" t="s">
        <v>1099</v>
      </c>
    </row>
    <row r="44879">
      <c r="B44879" s="31"/>
      <c r="G44879" s="272" t="s">
        <v>1099</v>
      </c>
    </row>
    <row r="44880">
      <c r="B44880" s="31"/>
      <c r="G44880" s="272" t="s">
        <v>1099</v>
      </c>
    </row>
    <row r="44881">
      <c r="B44881" s="31"/>
      <c r="G44881" s="272" t="s">
        <v>1099</v>
      </c>
    </row>
    <row r="44882">
      <c r="B44882" s="31"/>
      <c r="G44882" s="272" t="s">
        <v>1099</v>
      </c>
    </row>
    <row r="44883">
      <c r="B44883" s="31"/>
      <c r="G44883" s="272" t="s">
        <v>1099</v>
      </c>
    </row>
    <row r="44884">
      <c r="B44884" s="31"/>
      <c r="G44884" s="272" t="s">
        <v>1099</v>
      </c>
    </row>
    <row r="44885">
      <c r="B44885" s="31"/>
      <c r="G44885" s="272" t="s">
        <v>1099</v>
      </c>
    </row>
    <row r="44886">
      <c r="B44886" s="31"/>
      <c r="G44886" s="272" t="s">
        <v>1099</v>
      </c>
    </row>
    <row r="44887">
      <c r="B44887" s="31"/>
      <c r="G44887" s="272" t="s">
        <v>1099</v>
      </c>
    </row>
    <row r="44888">
      <c r="B44888" s="31"/>
      <c r="G44888" s="272" t="s">
        <v>1099</v>
      </c>
    </row>
    <row r="44889">
      <c r="B44889" s="31"/>
      <c r="G44889" s="272" t="s">
        <v>1099</v>
      </c>
    </row>
    <row r="44890">
      <c r="B44890" s="31"/>
      <c r="G44890" s="272" t="s">
        <v>1099</v>
      </c>
    </row>
    <row r="44891">
      <c r="B44891" s="31"/>
      <c r="G44891" s="272" t="s">
        <v>1099</v>
      </c>
    </row>
    <row r="44892">
      <c r="B44892" s="31"/>
      <c r="G44892" s="272" t="s">
        <v>1099</v>
      </c>
    </row>
    <row r="44893">
      <c r="B44893" s="31"/>
      <c r="G44893" s="272" t="s">
        <v>1099</v>
      </c>
    </row>
    <row r="44894">
      <c r="B44894" s="31"/>
      <c r="G44894" s="272" t="s">
        <v>1099</v>
      </c>
    </row>
    <row r="44895">
      <c r="B44895" s="31"/>
      <c r="G44895" s="272" t="s">
        <v>1099</v>
      </c>
    </row>
    <row r="44896">
      <c r="B44896" s="31"/>
      <c r="G44896" s="272" t="s">
        <v>1099</v>
      </c>
    </row>
    <row r="44897">
      <c r="B44897" s="31"/>
      <c r="G44897" s="272" t="s">
        <v>1099</v>
      </c>
    </row>
    <row r="44898">
      <c r="B44898" s="31"/>
      <c r="G44898" s="272" t="s">
        <v>1099</v>
      </c>
    </row>
    <row r="44899">
      <c r="B44899" s="31"/>
      <c r="G44899" s="272" t="s">
        <v>1099</v>
      </c>
    </row>
    <row r="44900">
      <c r="B44900" s="31"/>
      <c r="G44900" s="272" t="s">
        <v>1099</v>
      </c>
    </row>
    <row r="44901">
      <c r="B44901" s="31"/>
      <c r="G44901" s="272" t="s">
        <v>1099</v>
      </c>
    </row>
    <row r="44902">
      <c r="B44902" s="31"/>
      <c r="G44902" s="272" t="s">
        <v>1099</v>
      </c>
    </row>
    <row r="44903">
      <c r="B44903" s="31"/>
      <c r="G44903" s="272" t="s">
        <v>1099</v>
      </c>
    </row>
    <row r="44904">
      <c r="B44904" s="31"/>
      <c r="G44904" s="272" t="s">
        <v>1099</v>
      </c>
    </row>
    <row r="44905">
      <c r="B44905" s="31"/>
      <c r="G44905" s="272" t="s">
        <v>1099</v>
      </c>
    </row>
    <row r="44906">
      <c r="B44906" s="31"/>
      <c r="G44906" s="272" t="s">
        <v>1099</v>
      </c>
    </row>
    <row r="44907">
      <c r="B44907" s="31"/>
      <c r="G44907" s="272" t="s">
        <v>1099</v>
      </c>
    </row>
    <row r="44908">
      <c r="B44908" s="31"/>
      <c r="G44908" s="272" t="s">
        <v>1099</v>
      </c>
    </row>
    <row r="44909">
      <c r="B44909" s="31"/>
      <c r="G44909" s="272" t="s">
        <v>1099</v>
      </c>
    </row>
    <row r="44910">
      <c r="B44910" s="31"/>
      <c r="G44910" s="272" t="s">
        <v>1099</v>
      </c>
    </row>
    <row r="44911">
      <c r="B44911" s="31"/>
      <c r="G44911" s="272" t="s">
        <v>1099</v>
      </c>
    </row>
    <row r="44912">
      <c r="B44912" s="31"/>
      <c r="G44912" s="272" t="s">
        <v>1099</v>
      </c>
    </row>
    <row r="44913">
      <c r="B44913" s="31"/>
      <c r="G44913" s="272" t="s">
        <v>1099</v>
      </c>
    </row>
    <row r="44914">
      <c r="B44914" s="31"/>
      <c r="G44914" s="272" t="s">
        <v>1099</v>
      </c>
    </row>
    <row r="44915">
      <c r="B44915" s="31"/>
      <c r="G44915" s="272" t="s">
        <v>1099</v>
      </c>
    </row>
    <row r="44916">
      <c r="B44916" s="31"/>
      <c r="G44916" s="272" t="s">
        <v>1099</v>
      </c>
    </row>
    <row r="44917">
      <c r="B44917" s="31"/>
      <c r="G44917" s="272" t="s">
        <v>1099</v>
      </c>
    </row>
    <row r="44918">
      <c r="B44918" s="31"/>
      <c r="G44918" s="272" t="s">
        <v>1099</v>
      </c>
    </row>
    <row r="44919">
      <c r="B44919" s="31"/>
      <c r="G44919" s="272" t="s">
        <v>1099</v>
      </c>
    </row>
    <row r="44920">
      <c r="B44920" s="31"/>
      <c r="G44920" s="272" t="s">
        <v>1099</v>
      </c>
    </row>
    <row r="44921">
      <c r="B44921" s="31"/>
      <c r="G44921" s="272" t="s">
        <v>1099</v>
      </c>
    </row>
    <row r="44922">
      <c r="B44922" s="31"/>
      <c r="G44922" s="272" t="s">
        <v>1099</v>
      </c>
    </row>
    <row r="44923">
      <c r="B44923" s="31"/>
      <c r="G44923" s="272" t="s">
        <v>1099</v>
      </c>
    </row>
    <row r="44924">
      <c r="B44924" s="31"/>
      <c r="G44924" s="272" t="s">
        <v>1099</v>
      </c>
    </row>
    <row r="44925">
      <c r="B44925" s="31"/>
      <c r="G44925" s="272" t="s">
        <v>1099</v>
      </c>
    </row>
    <row r="44926">
      <c r="B44926" s="31"/>
      <c r="G44926" s="272" t="s">
        <v>1099</v>
      </c>
    </row>
    <row r="44927">
      <c r="B44927" s="31"/>
      <c r="G44927" s="272" t="s">
        <v>1099</v>
      </c>
    </row>
    <row r="44928">
      <c r="B44928" s="31"/>
      <c r="G44928" s="272" t="s">
        <v>1099</v>
      </c>
    </row>
    <row r="44929">
      <c r="B44929" s="31"/>
      <c r="G44929" s="272" t="s">
        <v>1099</v>
      </c>
    </row>
    <row r="44930">
      <c r="B44930" s="31"/>
      <c r="G44930" s="272" t="s">
        <v>1099</v>
      </c>
    </row>
    <row r="44931">
      <c r="B44931" s="31"/>
      <c r="G44931" s="272" t="s">
        <v>1099</v>
      </c>
    </row>
    <row r="44932">
      <c r="B44932" s="31"/>
      <c r="G44932" s="272" t="s">
        <v>1099</v>
      </c>
    </row>
    <row r="44933">
      <c r="B44933" s="31"/>
      <c r="G44933" s="272" t="s">
        <v>1099</v>
      </c>
    </row>
    <row r="44934">
      <c r="B44934" s="31"/>
      <c r="G44934" s="272" t="s">
        <v>1099</v>
      </c>
    </row>
    <row r="44935">
      <c r="B44935" s="31"/>
      <c r="G44935" s="272" t="s">
        <v>1099</v>
      </c>
    </row>
    <row r="44936">
      <c r="B44936" s="31"/>
      <c r="G44936" s="272" t="s">
        <v>1099</v>
      </c>
    </row>
    <row r="44937">
      <c r="B44937" s="31"/>
      <c r="G44937" s="272" t="s">
        <v>1099</v>
      </c>
    </row>
    <row r="44938">
      <c r="B44938" s="31"/>
      <c r="G44938" s="272" t="s">
        <v>1099</v>
      </c>
    </row>
    <row r="44939">
      <c r="B44939" s="31"/>
      <c r="G44939" s="272" t="s">
        <v>1099</v>
      </c>
    </row>
    <row r="44940">
      <c r="B44940" s="31"/>
      <c r="G44940" s="272" t="s">
        <v>1099</v>
      </c>
    </row>
    <row r="44941">
      <c r="B44941" s="31"/>
      <c r="G44941" s="272" t="s">
        <v>1099</v>
      </c>
    </row>
    <row r="44942">
      <c r="B44942" s="31"/>
      <c r="G44942" s="272" t="s">
        <v>1099</v>
      </c>
    </row>
    <row r="44943">
      <c r="B44943" s="31"/>
      <c r="G44943" s="272" t="s">
        <v>1099</v>
      </c>
    </row>
    <row r="44944">
      <c r="B44944" s="31"/>
      <c r="G44944" s="272" t="s">
        <v>1099</v>
      </c>
    </row>
    <row r="44945">
      <c r="B44945" s="31"/>
      <c r="G44945" s="272" t="s">
        <v>1099</v>
      </c>
    </row>
    <row r="44946">
      <c r="B44946" s="31"/>
      <c r="G44946" s="272" t="s">
        <v>1099</v>
      </c>
    </row>
    <row r="44947">
      <c r="B44947" s="31"/>
      <c r="G44947" s="272" t="s">
        <v>1099</v>
      </c>
    </row>
    <row r="44948">
      <c r="B44948" s="31"/>
      <c r="G44948" s="272" t="s">
        <v>1099</v>
      </c>
    </row>
    <row r="44949">
      <c r="B44949" s="31"/>
      <c r="G44949" s="272" t="s">
        <v>1099</v>
      </c>
    </row>
    <row r="44950">
      <c r="B44950" s="31"/>
      <c r="G44950" s="272" t="s">
        <v>1099</v>
      </c>
    </row>
    <row r="44951">
      <c r="B44951" s="31"/>
      <c r="G44951" s="272" t="s">
        <v>1099</v>
      </c>
    </row>
    <row r="44952">
      <c r="B44952" s="31"/>
      <c r="G44952" s="272" t="s">
        <v>1099</v>
      </c>
    </row>
    <row r="44953">
      <c r="B44953" s="31"/>
      <c r="G44953" s="272" t="s">
        <v>1099</v>
      </c>
    </row>
    <row r="44954">
      <c r="B44954" s="31"/>
      <c r="G44954" s="272" t="s">
        <v>1099</v>
      </c>
    </row>
    <row r="44955">
      <c r="B44955" s="31"/>
      <c r="G44955" s="272" t="s">
        <v>1099</v>
      </c>
    </row>
    <row r="44956">
      <c r="B44956" s="31"/>
      <c r="G44956" s="272" t="s">
        <v>1099</v>
      </c>
    </row>
    <row r="44957">
      <c r="B44957" s="31"/>
      <c r="G44957" s="272" t="s">
        <v>1099</v>
      </c>
    </row>
    <row r="44958">
      <c r="B44958" s="31"/>
      <c r="G44958" s="272" t="s">
        <v>1099</v>
      </c>
    </row>
    <row r="44959">
      <c r="B44959" s="31"/>
      <c r="G44959" s="272" t="s">
        <v>1099</v>
      </c>
    </row>
    <row r="44960">
      <c r="B44960" s="31"/>
      <c r="G44960" s="272" t="s">
        <v>1099</v>
      </c>
    </row>
    <row r="44961">
      <c r="B44961" s="31"/>
      <c r="G44961" s="272" t="s">
        <v>1099</v>
      </c>
    </row>
    <row r="44962">
      <c r="B44962" s="31"/>
      <c r="G44962" s="272" t="s">
        <v>1099</v>
      </c>
    </row>
    <row r="44963">
      <c r="B44963" s="31"/>
      <c r="G44963" s="272" t="s">
        <v>1099</v>
      </c>
    </row>
    <row r="44964">
      <c r="B44964" s="31"/>
      <c r="G44964" s="272" t="s">
        <v>1099</v>
      </c>
    </row>
    <row r="44965">
      <c r="B44965" s="31"/>
      <c r="G44965" s="272" t="s">
        <v>1099</v>
      </c>
    </row>
    <row r="44966">
      <c r="B44966" s="31"/>
      <c r="G44966" s="272" t="s">
        <v>1099</v>
      </c>
    </row>
    <row r="44967">
      <c r="B44967" s="31"/>
      <c r="G44967" s="272" t="s">
        <v>1099</v>
      </c>
    </row>
    <row r="44968">
      <c r="B44968" s="31"/>
      <c r="G44968" s="272" t="s">
        <v>1099</v>
      </c>
    </row>
    <row r="44969">
      <c r="B44969" s="31"/>
      <c r="G44969" s="272" t="s">
        <v>1099</v>
      </c>
    </row>
    <row r="44970">
      <c r="B44970" s="31"/>
      <c r="G44970" s="272" t="s">
        <v>1099</v>
      </c>
    </row>
    <row r="44971">
      <c r="B44971" s="31"/>
      <c r="G44971" s="272" t="s">
        <v>1099</v>
      </c>
    </row>
    <row r="44972">
      <c r="B44972" s="31"/>
      <c r="G44972" s="272" t="s">
        <v>1099</v>
      </c>
    </row>
    <row r="44973">
      <c r="B44973" s="31"/>
      <c r="G44973" s="272" t="s">
        <v>1099</v>
      </c>
    </row>
    <row r="44974">
      <c r="B44974" s="31"/>
      <c r="G44974" s="272" t="s">
        <v>1099</v>
      </c>
    </row>
    <row r="44975">
      <c r="B44975" s="31"/>
      <c r="G44975" s="272" t="s">
        <v>1099</v>
      </c>
    </row>
    <row r="44976">
      <c r="B44976" s="31"/>
      <c r="G44976" s="272" t="s">
        <v>1099</v>
      </c>
    </row>
    <row r="44977">
      <c r="B44977" s="31"/>
      <c r="G44977" s="272" t="s">
        <v>1099</v>
      </c>
    </row>
    <row r="44978">
      <c r="B44978" s="31"/>
      <c r="G44978" s="272" t="s">
        <v>1099</v>
      </c>
    </row>
    <row r="44979">
      <c r="B44979" s="31"/>
      <c r="G44979" s="272" t="s">
        <v>1099</v>
      </c>
    </row>
    <row r="44980">
      <c r="B44980" s="31"/>
      <c r="G44980" s="272" t="s">
        <v>1099</v>
      </c>
    </row>
    <row r="44981">
      <c r="B44981" s="31"/>
      <c r="G44981" s="272" t="s">
        <v>1099</v>
      </c>
    </row>
    <row r="44982">
      <c r="B44982" s="31"/>
      <c r="G44982" s="272" t="s">
        <v>1099</v>
      </c>
    </row>
    <row r="44983">
      <c r="B44983" s="31"/>
      <c r="G44983" s="272" t="s">
        <v>1099</v>
      </c>
    </row>
    <row r="44984">
      <c r="B44984" s="31"/>
      <c r="G44984" s="272" t="s">
        <v>1099</v>
      </c>
    </row>
    <row r="44985">
      <c r="B44985" s="31"/>
      <c r="G44985" s="272" t="s">
        <v>1099</v>
      </c>
    </row>
    <row r="44986">
      <c r="B44986" s="31"/>
      <c r="G44986" s="272" t="s">
        <v>1099</v>
      </c>
    </row>
    <row r="44987">
      <c r="B44987" s="31"/>
      <c r="G44987" s="272" t="s">
        <v>1099</v>
      </c>
    </row>
    <row r="44988">
      <c r="B44988" s="31"/>
      <c r="G44988" s="272" t="s">
        <v>1099</v>
      </c>
    </row>
    <row r="44989">
      <c r="B44989" s="31"/>
      <c r="G44989" s="272" t="s">
        <v>1099</v>
      </c>
    </row>
    <row r="44990">
      <c r="B44990" s="31"/>
      <c r="G44990" s="272" t="s">
        <v>1099</v>
      </c>
    </row>
    <row r="44991">
      <c r="B44991" s="31"/>
      <c r="G44991" s="272" t="s">
        <v>1099</v>
      </c>
    </row>
    <row r="44992">
      <c r="B44992" s="31"/>
      <c r="G44992" s="272" t="s">
        <v>1099</v>
      </c>
    </row>
    <row r="44993">
      <c r="B44993" s="31"/>
      <c r="G44993" s="272" t="s">
        <v>1099</v>
      </c>
    </row>
    <row r="44994">
      <c r="B44994" s="31"/>
      <c r="G44994" s="272" t="s">
        <v>1099</v>
      </c>
    </row>
    <row r="44995">
      <c r="B44995" s="31"/>
      <c r="G44995" s="272" t="s">
        <v>1099</v>
      </c>
    </row>
    <row r="44996">
      <c r="B44996" s="31"/>
      <c r="G44996" s="272" t="s">
        <v>1099</v>
      </c>
    </row>
    <row r="44997">
      <c r="B44997" s="31"/>
      <c r="G44997" s="272" t="s">
        <v>1099</v>
      </c>
    </row>
    <row r="44998">
      <c r="B44998" s="31"/>
      <c r="G44998" s="272" t="s">
        <v>1099</v>
      </c>
    </row>
    <row r="44999">
      <c r="B44999" s="31"/>
      <c r="G44999" s="272" t="s">
        <v>1099</v>
      </c>
    </row>
    <row r="45000">
      <c r="B45000" s="31"/>
      <c r="G45000" s="272" t="s">
        <v>1099</v>
      </c>
    </row>
    <row r="45001">
      <c r="B45001" s="31"/>
      <c r="G45001" s="272" t="s">
        <v>1099</v>
      </c>
    </row>
    <row r="45002">
      <c r="B45002" s="31"/>
      <c r="G45002" s="272" t="s">
        <v>1099</v>
      </c>
    </row>
    <row r="45003">
      <c r="B45003" s="31"/>
      <c r="G45003" s="272" t="s">
        <v>1099</v>
      </c>
    </row>
    <row r="45004">
      <c r="B45004" s="31"/>
      <c r="G45004" s="272" t="s">
        <v>1099</v>
      </c>
    </row>
    <row r="45005">
      <c r="B45005" s="31"/>
      <c r="G45005" s="272" t="s">
        <v>1099</v>
      </c>
    </row>
    <row r="45006">
      <c r="B45006" s="31"/>
      <c r="G45006" s="272" t="s">
        <v>1099</v>
      </c>
    </row>
    <row r="45007">
      <c r="B45007" s="31"/>
      <c r="G45007" s="272" t="s">
        <v>1099</v>
      </c>
    </row>
    <row r="45008">
      <c r="B45008" s="31"/>
      <c r="G45008" s="272" t="s">
        <v>1099</v>
      </c>
    </row>
    <row r="45009">
      <c r="B45009" s="31"/>
      <c r="G45009" s="272" t="s">
        <v>1099</v>
      </c>
    </row>
    <row r="45010">
      <c r="B45010" s="31"/>
      <c r="G45010" s="272" t="s">
        <v>1099</v>
      </c>
    </row>
    <row r="45011">
      <c r="B45011" s="31"/>
      <c r="G45011" s="272" t="s">
        <v>1099</v>
      </c>
    </row>
    <row r="45012">
      <c r="B45012" s="31"/>
      <c r="G45012" s="272" t="s">
        <v>1099</v>
      </c>
    </row>
    <row r="45013">
      <c r="B45013" s="31"/>
      <c r="G45013" s="272" t="s">
        <v>1099</v>
      </c>
    </row>
    <row r="45014">
      <c r="B45014" s="31"/>
      <c r="G45014" s="272" t="s">
        <v>1099</v>
      </c>
    </row>
    <row r="45015">
      <c r="B45015" s="31"/>
      <c r="G45015" s="272" t="s">
        <v>1099</v>
      </c>
    </row>
    <row r="45016">
      <c r="B45016" s="31"/>
      <c r="G45016" s="272" t="s">
        <v>1099</v>
      </c>
    </row>
    <row r="45017">
      <c r="B45017" s="31"/>
      <c r="G45017" s="272" t="s">
        <v>1099</v>
      </c>
    </row>
    <row r="45018">
      <c r="B45018" s="31"/>
      <c r="G45018" s="272" t="s">
        <v>1099</v>
      </c>
    </row>
    <row r="45019">
      <c r="B45019" s="31"/>
      <c r="G45019" s="272" t="s">
        <v>1099</v>
      </c>
    </row>
    <row r="45020">
      <c r="B45020" s="31"/>
      <c r="G45020" s="272" t="s">
        <v>1099</v>
      </c>
    </row>
    <row r="45021">
      <c r="B45021" s="31"/>
      <c r="G45021" s="272" t="s">
        <v>1099</v>
      </c>
    </row>
    <row r="45022">
      <c r="B45022" s="31"/>
      <c r="G45022" s="272" t="s">
        <v>1099</v>
      </c>
    </row>
    <row r="45023">
      <c r="B45023" s="31"/>
      <c r="G45023" s="272" t="s">
        <v>1099</v>
      </c>
    </row>
    <row r="45024">
      <c r="B45024" s="31"/>
      <c r="G45024" s="272" t="s">
        <v>1099</v>
      </c>
    </row>
    <row r="45025">
      <c r="B45025" s="31"/>
      <c r="G45025" s="272" t="s">
        <v>1099</v>
      </c>
    </row>
    <row r="45026">
      <c r="B45026" s="31"/>
      <c r="G45026" s="272" t="s">
        <v>1099</v>
      </c>
    </row>
    <row r="45027">
      <c r="B45027" s="31"/>
      <c r="G45027" s="272" t="s">
        <v>1099</v>
      </c>
    </row>
    <row r="45028">
      <c r="B45028" s="31"/>
      <c r="G45028" s="272" t="s">
        <v>1099</v>
      </c>
    </row>
    <row r="45029">
      <c r="B45029" s="31"/>
      <c r="G45029" s="272" t="s">
        <v>1099</v>
      </c>
    </row>
    <row r="45030">
      <c r="B45030" s="31"/>
      <c r="G45030" s="272" t="s">
        <v>1099</v>
      </c>
    </row>
    <row r="45031">
      <c r="B45031" s="31"/>
      <c r="G45031" s="272" t="s">
        <v>1099</v>
      </c>
    </row>
    <row r="45032">
      <c r="B45032" s="31"/>
      <c r="G45032" s="272" t="s">
        <v>1099</v>
      </c>
    </row>
    <row r="45033">
      <c r="B45033" s="31"/>
      <c r="G45033" s="272" t="s">
        <v>1099</v>
      </c>
    </row>
    <row r="45034">
      <c r="B45034" s="31"/>
      <c r="G45034" s="272" t="s">
        <v>1099</v>
      </c>
    </row>
    <row r="45035">
      <c r="B45035" s="31"/>
      <c r="G45035" s="272" t="s">
        <v>1099</v>
      </c>
    </row>
    <row r="45036">
      <c r="B45036" s="31"/>
      <c r="G45036" s="272" t="s">
        <v>1099</v>
      </c>
    </row>
    <row r="45037">
      <c r="B45037" s="31"/>
      <c r="G45037" s="272" t="s">
        <v>1099</v>
      </c>
    </row>
    <row r="45038">
      <c r="B45038" s="31"/>
      <c r="G45038" s="272" t="s">
        <v>1099</v>
      </c>
    </row>
    <row r="45039">
      <c r="B45039" s="31"/>
      <c r="G45039" s="272" t="s">
        <v>1099</v>
      </c>
    </row>
    <row r="45040">
      <c r="B45040" s="31"/>
      <c r="G45040" s="272" t="s">
        <v>1099</v>
      </c>
    </row>
    <row r="45041">
      <c r="B45041" s="31"/>
      <c r="G45041" s="272" t="s">
        <v>1099</v>
      </c>
    </row>
    <row r="45042">
      <c r="B45042" s="31"/>
      <c r="G45042" s="272" t="s">
        <v>1099</v>
      </c>
    </row>
    <row r="45043">
      <c r="B45043" s="31"/>
      <c r="G45043" s="272" t="s">
        <v>1099</v>
      </c>
    </row>
    <row r="45044">
      <c r="B45044" s="31"/>
      <c r="G45044" s="272" t="s">
        <v>1099</v>
      </c>
    </row>
    <row r="45045">
      <c r="B45045" s="31"/>
      <c r="G45045" s="272" t="s">
        <v>1099</v>
      </c>
    </row>
    <row r="45046">
      <c r="B45046" s="31"/>
      <c r="G45046" s="272" t="s">
        <v>1099</v>
      </c>
    </row>
    <row r="45047">
      <c r="B45047" s="31"/>
      <c r="G45047" s="272" t="s">
        <v>1099</v>
      </c>
    </row>
    <row r="45048">
      <c r="B45048" s="31"/>
      <c r="G45048" s="272" t="s">
        <v>1099</v>
      </c>
    </row>
    <row r="45049">
      <c r="B45049" s="31"/>
      <c r="G45049" s="272" t="s">
        <v>1099</v>
      </c>
    </row>
    <row r="45050">
      <c r="B45050" s="31"/>
      <c r="G45050" s="272" t="s">
        <v>1099</v>
      </c>
    </row>
    <row r="45051">
      <c r="B45051" s="31"/>
      <c r="G45051" s="272" t="s">
        <v>1099</v>
      </c>
    </row>
    <row r="45052">
      <c r="B45052" s="31"/>
      <c r="G45052" s="272" t="s">
        <v>1099</v>
      </c>
    </row>
    <row r="45053">
      <c r="B45053" s="31"/>
      <c r="G45053" s="272" t="s">
        <v>1099</v>
      </c>
    </row>
    <row r="45054">
      <c r="B45054" s="31"/>
      <c r="G45054" s="272" t="s">
        <v>1099</v>
      </c>
    </row>
    <row r="45055">
      <c r="B45055" s="31"/>
      <c r="G45055" s="272" t="s">
        <v>1099</v>
      </c>
    </row>
    <row r="45056">
      <c r="B45056" s="31"/>
      <c r="G45056" s="272" t="s">
        <v>1099</v>
      </c>
    </row>
    <row r="45057">
      <c r="B45057" s="31"/>
      <c r="G45057" s="272" t="s">
        <v>1099</v>
      </c>
    </row>
    <row r="45058">
      <c r="B45058" s="31"/>
      <c r="G45058" s="272" t="s">
        <v>1099</v>
      </c>
    </row>
    <row r="45059">
      <c r="B45059" s="31"/>
      <c r="G45059" s="272" t="s">
        <v>1099</v>
      </c>
    </row>
    <row r="45060">
      <c r="B45060" s="31"/>
      <c r="G45060" s="272" t="s">
        <v>1099</v>
      </c>
    </row>
    <row r="45061">
      <c r="B45061" s="31"/>
      <c r="G45061" s="272" t="s">
        <v>1099</v>
      </c>
    </row>
    <row r="45062">
      <c r="B45062" s="31"/>
      <c r="G45062" s="272" t="s">
        <v>1099</v>
      </c>
    </row>
    <row r="45063">
      <c r="B45063" s="31"/>
      <c r="G45063" s="272" t="s">
        <v>1099</v>
      </c>
    </row>
    <row r="45064">
      <c r="B45064" s="31"/>
      <c r="G45064" s="272" t="s">
        <v>1099</v>
      </c>
    </row>
    <row r="45065">
      <c r="B45065" s="31"/>
      <c r="G45065" s="272" t="s">
        <v>1099</v>
      </c>
    </row>
    <row r="45066">
      <c r="B45066" s="31"/>
      <c r="G45066" s="272" t="s">
        <v>1099</v>
      </c>
    </row>
    <row r="45067">
      <c r="B45067" s="31"/>
      <c r="G45067" s="272" t="s">
        <v>1099</v>
      </c>
    </row>
    <row r="45068">
      <c r="B45068" s="31"/>
      <c r="G45068" s="272" t="s">
        <v>1099</v>
      </c>
    </row>
    <row r="45069">
      <c r="B45069" s="31"/>
      <c r="G45069" s="272" t="s">
        <v>1099</v>
      </c>
    </row>
    <row r="45070">
      <c r="B45070" s="31"/>
      <c r="G45070" s="272" t="s">
        <v>1099</v>
      </c>
    </row>
    <row r="45071">
      <c r="B45071" s="31"/>
      <c r="G45071" s="272" t="s">
        <v>1099</v>
      </c>
    </row>
    <row r="45072">
      <c r="B45072" s="31"/>
      <c r="G45072" s="272" t="s">
        <v>1099</v>
      </c>
    </row>
    <row r="45073">
      <c r="B45073" s="31"/>
      <c r="G45073" s="272" t="s">
        <v>1099</v>
      </c>
    </row>
    <row r="45074">
      <c r="B45074" s="31"/>
      <c r="G45074" s="272" t="s">
        <v>1099</v>
      </c>
    </row>
    <row r="45075">
      <c r="B45075" s="31"/>
      <c r="G45075" s="272" t="s">
        <v>1099</v>
      </c>
    </row>
    <row r="45076">
      <c r="B45076" s="31"/>
      <c r="G45076" s="272" t="s">
        <v>1099</v>
      </c>
    </row>
    <row r="45077">
      <c r="B45077" s="31"/>
      <c r="G45077" s="272" t="s">
        <v>1099</v>
      </c>
    </row>
    <row r="45078">
      <c r="B45078" s="31"/>
      <c r="G45078" s="272" t="s">
        <v>1099</v>
      </c>
    </row>
    <row r="45079">
      <c r="B45079" s="31"/>
      <c r="G45079" s="272" t="s">
        <v>1099</v>
      </c>
    </row>
    <row r="45080">
      <c r="B45080" s="31"/>
      <c r="G45080" s="272" t="s">
        <v>1099</v>
      </c>
    </row>
    <row r="45081">
      <c r="B45081" s="31"/>
      <c r="G45081" s="272" t="s">
        <v>1099</v>
      </c>
    </row>
    <row r="45082">
      <c r="B45082" s="31"/>
      <c r="G45082" s="272" t="s">
        <v>1099</v>
      </c>
    </row>
    <row r="45083">
      <c r="B45083" s="31"/>
      <c r="G45083" s="272" t="s">
        <v>1099</v>
      </c>
    </row>
    <row r="45084">
      <c r="B45084" s="31"/>
      <c r="G45084" s="272" t="s">
        <v>1099</v>
      </c>
    </row>
    <row r="45085">
      <c r="B45085" s="31"/>
      <c r="G45085" s="272" t="s">
        <v>1099</v>
      </c>
    </row>
    <row r="45086">
      <c r="B45086" s="31"/>
      <c r="G45086" s="272" t="s">
        <v>1099</v>
      </c>
    </row>
    <row r="45087">
      <c r="B45087" s="31"/>
      <c r="G45087" s="272" t="s">
        <v>1099</v>
      </c>
    </row>
    <row r="45088">
      <c r="B45088" s="31"/>
      <c r="G45088" s="272" t="s">
        <v>1099</v>
      </c>
    </row>
    <row r="45089">
      <c r="B45089" s="31"/>
      <c r="G45089" s="272" t="s">
        <v>1099</v>
      </c>
    </row>
    <row r="45090">
      <c r="B45090" s="31"/>
      <c r="G45090" s="272" t="s">
        <v>1099</v>
      </c>
    </row>
    <row r="45091">
      <c r="B45091" s="31"/>
      <c r="G45091" s="272" t="s">
        <v>1099</v>
      </c>
    </row>
    <row r="45092">
      <c r="B45092" s="31"/>
      <c r="G45092" s="272" t="s">
        <v>1099</v>
      </c>
    </row>
    <row r="45093">
      <c r="B45093" s="31"/>
      <c r="G45093" s="272" t="s">
        <v>1099</v>
      </c>
    </row>
    <row r="45094">
      <c r="B45094" s="31"/>
      <c r="G45094" s="272" t="s">
        <v>1099</v>
      </c>
    </row>
    <row r="45095">
      <c r="B45095" s="31"/>
      <c r="G45095" s="272" t="s">
        <v>1099</v>
      </c>
    </row>
    <row r="45096">
      <c r="B45096" s="31"/>
      <c r="G45096" s="272" t="s">
        <v>1099</v>
      </c>
    </row>
    <row r="45097">
      <c r="B45097" s="31"/>
      <c r="G45097" s="272" t="s">
        <v>1099</v>
      </c>
    </row>
    <row r="45098">
      <c r="B45098" s="31"/>
      <c r="G45098" s="272" t="s">
        <v>1099</v>
      </c>
    </row>
    <row r="45099">
      <c r="B45099" s="31"/>
      <c r="G45099" s="272" t="s">
        <v>1099</v>
      </c>
    </row>
    <row r="45100">
      <c r="B45100" s="31"/>
      <c r="G45100" s="272" t="s">
        <v>1099</v>
      </c>
    </row>
    <row r="45101">
      <c r="B45101" s="31"/>
      <c r="G45101" s="272" t="s">
        <v>1099</v>
      </c>
    </row>
    <row r="45102">
      <c r="B45102" s="31"/>
      <c r="G45102" s="272" t="s">
        <v>1099</v>
      </c>
    </row>
    <row r="45103">
      <c r="B45103" s="31"/>
      <c r="G45103" s="272" t="s">
        <v>1099</v>
      </c>
    </row>
    <row r="45104">
      <c r="B45104" s="31"/>
      <c r="G45104" s="272" t="s">
        <v>1099</v>
      </c>
    </row>
    <row r="45105">
      <c r="B45105" s="31"/>
      <c r="G45105" s="272" t="s">
        <v>1099</v>
      </c>
    </row>
    <row r="45106">
      <c r="B45106" s="31"/>
      <c r="G45106" s="272" t="s">
        <v>1099</v>
      </c>
    </row>
    <row r="45107">
      <c r="B45107" s="31"/>
      <c r="G45107" s="272" t="s">
        <v>1099</v>
      </c>
    </row>
    <row r="45108">
      <c r="B45108" s="31"/>
      <c r="G45108" s="272" t="s">
        <v>1099</v>
      </c>
    </row>
    <row r="45109">
      <c r="B45109" s="31"/>
      <c r="G45109" s="272" t="s">
        <v>1099</v>
      </c>
    </row>
    <row r="45110">
      <c r="B45110" s="31"/>
      <c r="G45110" s="272" t="s">
        <v>1099</v>
      </c>
    </row>
    <row r="45111">
      <c r="B45111" s="31"/>
      <c r="G45111" s="272" t="s">
        <v>1099</v>
      </c>
    </row>
    <row r="45112">
      <c r="B45112" s="31"/>
      <c r="G45112" s="272" t="s">
        <v>1099</v>
      </c>
    </row>
    <row r="45113">
      <c r="B45113" s="31"/>
      <c r="G45113" s="272" t="s">
        <v>1099</v>
      </c>
    </row>
    <row r="45114">
      <c r="B45114" s="31"/>
      <c r="G45114" s="272" t="s">
        <v>1099</v>
      </c>
    </row>
    <row r="45115">
      <c r="B45115" s="31"/>
      <c r="G45115" s="272" t="s">
        <v>1099</v>
      </c>
    </row>
    <row r="45116">
      <c r="B45116" s="31"/>
      <c r="G45116" s="272" t="s">
        <v>1099</v>
      </c>
    </row>
    <row r="45117">
      <c r="B45117" s="31"/>
      <c r="G45117" s="272" t="s">
        <v>1099</v>
      </c>
    </row>
    <row r="45118">
      <c r="B45118" s="31"/>
      <c r="G45118" s="272" t="s">
        <v>1099</v>
      </c>
    </row>
    <row r="45119">
      <c r="B45119" s="31"/>
      <c r="G45119" s="272" t="s">
        <v>1099</v>
      </c>
    </row>
    <row r="45120">
      <c r="B45120" s="31"/>
      <c r="G45120" s="272" t="s">
        <v>1099</v>
      </c>
    </row>
    <row r="45121">
      <c r="B45121" s="31"/>
      <c r="G45121" s="272" t="s">
        <v>1099</v>
      </c>
    </row>
    <row r="45122">
      <c r="B45122" s="31"/>
      <c r="G45122" s="272" t="s">
        <v>1099</v>
      </c>
    </row>
    <row r="45123">
      <c r="B45123" s="31"/>
      <c r="G45123" s="272" t="s">
        <v>1099</v>
      </c>
    </row>
    <row r="45124">
      <c r="B45124" s="31"/>
      <c r="G45124" s="272" t="s">
        <v>1099</v>
      </c>
    </row>
    <row r="45125">
      <c r="B45125" s="31"/>
      <c r="G45125" s="272" t="s">
        <v>1099</v>
      </c>
    </row>
    <row r="45126">
      <c r="B45126" s="31"/>
      <c r="G45126" s="272" t="s">
        <v>1099</v>
      </c>
    </row>
    <row r="45127">
      <c r="B45127" s="31"/>
      <c r="G45127" s="272" t="s">
        <v>1099</v>
      </c>
    </row>
    <row r="45128">
      <c r="B45128" s="31"/>
      <c r="G45128" s="272" t="s">
        <v>1099</v>
      </c>
    </row>
    <row r="45129">
      <c r="B45129" s="31"/>
      <c r="G45129" s="272" t="s">
        <v>1099</v>
      </c>
    </row>
    <row r="45130">
      <c r="B45130" s="31"/>
      <c r="G45130" s="272" t="s">
        <v>1099</v>
      </c>
    </row>
    <row r="45131">
      <c r="B45131" s="31"/>
      <c r="G45131" s="272" t="s">
        <v>1099</v>
      </c>
    </row>
    <row r="45132">
      <c r="B45132" s="31"/>
      <c r="G45132" s="272" t="s">
        <v>1099</v>
      </c>
    </row>
    <row r="45133">
      <c r="B45133" s="31"/>
      <c r="G45133" s="272" t="s">
        <v>1099</v>
      </c>
    </row>
    <row r="45134">
      <c r="B45134" s="31"/>
      <c r="G45134" s="272" t="s">
        <v>1099</v>
      </c>
    </row>
    <row r="45135">
      <c r="B45135" s="31"/>
      <c r="G45135" s="272" t="s">
        <v>1099</v>
      </c>
    </row>
    <row r="45136">
      <c r="B45136" s="31"/>
      <c r="G45136" s="272" t="s">
        <v>1099</v>
      </c>
    </row>
    <row r="45137">
      <c r="B45137" s="31"/>
      <c r="G45137" s="272" t="s">
        <v>1099</v>
      </c>
    </row>
    <row r="45138">
      <c r="B45138" s="31"/>
      <c r="G45138" s="272" t="s">
        <v>1099</v>
      </c>
    </row>
    <row r="45139">
      <c r="B45139" s="31"/>
      <c r="G45139" s="272" t="s">
        <v>1099</v>
      </c>
    </row>
    <row r="45140">
      <c r="B45140" s="31"/>
      <c r="G45140" s="272" t="s">
        <v>1099</v>
      </c>
    </row>
    <row r="45141">
      <c r="B45141" s="31"/>
      <c r="G45141" s="272" t="s">
        <v>1099</v>
      </c>
    </row>
    <row r="45142">
      <c r="B45142" s="31"/>
      <c r="G45142" s="272" t="s">
        <v>1099</v>
      </c>
    </row>
    <row r="45143">
      <c r="B45143" s="31"/>
      <c r="G45143" s="272" t="s">
        <v>1099</v>
      </c>
    </row>
    <row r="45144">
      <c r="B45144" s="31"/>
      <c r="G45144" s="272" t="s">
        <v>1099</v>
      </c>
    </row>
    <row r="45145">
      <c r="B45145" s="31"/>
      <c r="G45145" s="272" t="s">
        <v>1099</v>
      </c>
    </row>
    <row r="45146">
      <c r="B45146" s="31"/>
      <c r="G45146" s="272" t="s">
        <v>1099</v>
      </c>
    </row>
    <row r="45147">
      <c r="B45147" s="31"/>
      <c r="G45147" s="272" t="s">
        <v>1099</v>
      </c>
    </row>
    <row r="45148">
      <c r="B45148" s="31"/>
      <c r="G45148" s="272" t="s">
        <v>1099</v>
      </c>
    </row>
    <row r="45149">
      <c r="B45149" s="31"/>
      <c r="G45149" s="272" t="s">
        <v>1099</v>
      </c>
    </row>
    <row r="45150">
      <c r="B45150" s="31"/>
      <c r="G45150" s="272" t="s">
        <v>1099</v>
      </c>
    </row>
    <row r="45151">
      <c r="B45151" s="31"/>
      <c r="G45151" s="272" t="s">
        <v>1099</v>
      </c>
    </row>
    <row r="45152">
      <c r="B45152" s="31"/>
      <c r="G45152" s="272" t="s">
        <v>1099</v>
      </c>
    </row>
    <row r="45153">
      <c r="B45153" s="31"/>
      <c r="G45153" s="272" t="s">
        <v>1099</v>
      </c>
    </row>
    <row r="45154">
      <c r="B45154" s="31"/>
      <c r="G45154" s="272" t="s">
        <v>1099</v>
      </c>
    </row>
    <row r="45155">
      <c r="B45155" s="31"/>
      <c r="G45155" s="272" t="s">
        <v>1099</v>
      </c>
    </row>
    <row r="45156">
      <c r="B45156" s="31"/>
      <c r="G45156" s="272" t="s">
        <v>1099</v>
      </c>
    </row>
    <row r="45157">
      <c r="B45157" s="31"/>
      <c r="G45157" s="272" t="s">
        <v>1099</v>
      </c>
    </row>
    <row r="45158">
      <c r="B45158" s="31"/>
      <c r="G45158" s="272" t="s">
        <v>1099</v>
      </c>
    </row>
    <row r="45159">
      <c r="B45159" s="31"/>
      <c r="G45159" s="272" t="s">
        <v>1099</v>
      </c>
    </row>
    <row r="45160">
      <c r="B45160" s="31"/>
      <c r="G45160" s="272" t="s">
        <v>1099</v>
      </c>
    </row>
    <row r="45161">
      <c r="B45161" s="31"/>
      <c r="G45161" s="272" t="s">
        <v>1099</v>
      </c>
    </row>
    <row r="45162">
      <c r="B45162" s="31"/>
      <c r="G45162" s="272" t="s">
        <v>1099</v>
      </c>
    </row>
    <row r="45163">
      <c r="B45163" s="31"/>
      <c r="G45163" s="272" t="s">
        <v>1099</v>
      </c>
    </row>
    <row r="45164">
      <c r="B45164" s="31"/>
      <c r="G45164" s="272" t="s">
        <v>1099</v>
      </c>
    </row>
    <row r="45165">
      <c r="B45165" s="31"/>
      <c r="G45165" s="272" t="s">
        <v>1099</v>
      </c>
    </row>
    <row r="45166">
      <c r="B45166" s="31"/>
      <c r="G45166" s="272" t="s">
        <v>1099</v>
      </c>
    </row>
    <row r="45167">
      <c r="B45167" s="31"/>
      <c r="G45167" s="272" t="s">
        <v>1099</v>
      </c>
    </row>
    <row r="45168">
      <c r="B45168" s="31"/>
      <c r="G45168" s="272" t="s">
        <v>1099</v>
      </c>
    </row>
    <row r="45169">
      <c r="B45169" s="31"/>
      <c r="G45169" s="272" t="s">
        <v>1099</v>
      </c>
    </row>
    <row r="45170">
      <c r="B45170" s="31"/>
      <c r="G45170" s="272" t="s">
        <v>1099</v>
      </c>
    </row>
    <row r="45171">
      <c r="B45171" s="31"/>
      <c r="G45171" s="272" t="s">
        <v>1099</v>
      </c>
    </row>
    <row r="45172">
      <c r="B45172" s="31"/>
      <c r="G45172" s="272" t="s">
        <v>1099</v>
      </c>
    </row>
    <row r="45173">
      <c r="B45173" s="31"/>
      <c r="G45173" s="272" t="s">
        <v>1099</v>
      </c>
    </row>
    <row r="45174">
      <c r="B45174" s="31"/>
      <c r="G45174" s="272" t="s">
        <v>1099</v>
      </c>
    </row>
    <row r="45175">
      <c r="B45175" s="31"/>
      <c r="G45175" s="272" t="s">
        <v>1099</v>
      </c>
    </row>
    <row r="45176">
      <c r="B45176" s="31"/>
      <c r="G45176" s="272" t="s">
        <v>1099</v>
      </c>
    </row>
    <row r="45177">
      <c r="B45177" s="31"/>
      <c r="G45177" s="272" t="s">
        <v>1099</v>
      </c>
    </row>
    <row r="45178">
      <c r="B45178" s="31"/>
      <c r="G45178" s="272" t="s">
        <v>1099</v>
      </c>
    </row>
    <row r="45179">
      <c r="B45179" s="31"/>
      <c r="G45179" s="272" t="s">
        <v>1099</v>
      </c>
    </row>
    <row r="45180">
      <c r="B45180" s="31"/>
      <c r="G45180" s="272" t="s">
        <v>1099</v>
      </c>
    </row>
    <row r="45181">
      <c r="B45181" s="31"/>
      <c r="G45181" s="272" t="s">
        <v>1099</v>
      </c>
    </row>
    <row r="45182">
      <c r="B45182" s="31"/>
      <c r="G45182" s="272" t="s">
        <v>1099</v>
      </c>
    </row>
    <row r="45183">
      <c r="B45183" s="31"/>
      <c r="G45183" s="272" t="s">
        <v>1099</v>
      </c>
    </row>
    <row r="45184">
      <c r="B45184" s="31"/>
      <c r="G45184" s="272" t="s">
        <v>1099</v>
      </c>
    </row>
    <row r="45185">
      <c r="B45185" s="31"/>
      <c r="G45185" s="272" t="s">
        <v>1099</v>
      </c>
    </row>
    <row r="45186">
      <c r="B45186" s="31"/>
      <c r="G45186" s="272" t="s">
        <v>1099</v>
      </c>
    </row>
    <row r="45187">
      <c r="B45187" s="31"/>
      <c r="G45187" s="272" t="s">
        <v>1099</v>
      </c>
    </row>
    <row r="45188">
      <c r="B45188" s="31"/>
      <c r="G45188" s="272" t="s">
        <v>1099</v>
      </c>
    </row>
    <row r="45189">
      <c r="B45189" s="31"/>
      <c r="G45189" s="272" t="s">
        <v>1099</v>
      </c>
    </row>
    <row r="45190">
      <c r="B45190" s="31"/>
      <c r="G45190" s="272" t="s">
        <v>1099</v>
      </c>
    </row>
    <row r="45191">
      <c r="B45191" s="31"/>
      <c r="G45191" s="272" t="s">
        <v>1099</v>
      </c>
    </row>
    <row r="45192">
      <c r="B45192" s="31"/>
      <c r="G45192" s="272" t="s">
        <v>1099</v>
      </c>
    </row>
    <row r="45193">
      <c r="B45193" s="31"/>
      <c r="G45193" s="272" t="s">
        <v>1099</v>
      </c>
    </row>
    <row r="45194">
      <c r="B45194" s="31"/>
      <c r="G45194" s="272" t="s">
        <v>1099</v>
      </c>
    </row>
    <row r="45195">
      <c r="B45195" s="31"/>
      <c r="G45195" s="272" t="s">
        <v>1099</v>
      </c>
    </row>
    <row r="45196">
      <c r="B45196" s="31"/>
      <c r="G45196" s="272" t="s">
        <v>1099</v>
      </c>
    </row>
    <row r="45197">
      <c r="B45197" s="31"/>
      <c r="G45197" s="272" t="s">
        <v>1099</v>
      </c>
    </row>
    <row r="45198">
      <c r="B45198" s="31"/>
      <c r="G45198" s="272" t="s">
        <v>1099</v>
      </c>
    </row>
    <row r="45199">
      <c r="B45199" s="31"/>
      <c r="G45199" s="272" t="s">
        <v>1099</v>
      </c>
    </row>
    <row r="45200">
      <c r="B45200" s="31"/>
      <c r="G45200" s="272" t="s">
        <v>1099</v>
      </c>
    </row>
    <row r="45201">
      <c r="B45201" s="31"/>
      <c r="G45201" s="272" t="s">
        <v>1099</v>
      </c>
    </row>
    <row r="45202">
      <c r="B45202" s="31"/>
      <c r="G45202" s="272" t="s">
        <v>1099</v>
      </c>
    </row>
    <row r="45203">
      <c r="B45203" s="31"/>
      <c r="G45203" s="272" t="s">
        <v>1099</v>
      </c>
    </row>
    <row r="45204">
      <c r="B45204" s="31"/>
      <c r="G45204" s="272" t="s">
        <v>1099</v>
      </c>
    </row>
    <row r="45205">
      <c r="B45205" s="31"/>
      <c r="G45205" s="272" t="s">
        <v>1099</v>
      </c>
    </row>
    <row r="45206">
      <c r="B45206" s="31"/>
      <c r="G45206" s="272" t="s">
        <v>1099</v>
      </c>
    </row>
    <row r="45207">
      <c r="B45207" s="31"/>
      <c r="G45207" s="272" t="s">
        <v>1099</v>
      </c>
    </row>
    <row r="45208">
      <c r="B45208" s="31"/>
      <c r="G45208" s="272" t="s">
        <v>1099</v>
      </c>
    </row>
    <row r="45209">
      <c r="B45209" s="31"/>
      <c r="G45209" s="272" t="s">
        <v>1099</v>
      </c>
    </row>
    <row r="45210">
      <c r="B45210" s="31"/>
      <c r="G45210" s="272" t="s">
        <v>1099</v>
      </c>
    </row>
    <row r="45211">
      <c r="B45211" s="31"/>
      <c r="G45211" s="272" t="s">
        <v>1099</v>
      </c>
    </row>
    <row r="45212">
      <c r="B45212" s="31"/>
      <c r="G45212" s="272" t="s">
        <v>1099</v>
      </c>
    </row>
    <row r="45213">
      <c r="B45213" s="31"/>
      <c r="G45213" s="272" t="s">
        <v>1099</v>
      </c>
    </row>
    <row r="45214">
      <c r="B45214" s="31"/>
      <c r="G45214" s="272" t="s">
        <v>1099</v>
      </c>
    </row>
    <row r="45215">
      <c r="B45215" s="31"/>
      <c r="G45215" s="272" t="s">
        <v>1099</v>
      </c>
    </row>
    <row r="45216">
      <c r="B45216" s="31"/>
      <c r="G45216" s="272" t="s">
        <v>1099</v>
      </c>
    </row>
    <row r="45217">
      <c r="B45217" s="31"/>
      <c r="G45217" s="272" t="s">
        <v>1099</v>
      </c>
    </row>
    <row r="45218">
      <c r="B45218" s="31"/>
      <c r="G45218" s="272" t="s">
        <v>1099</v>
      </c>
    </row>
    <row r="45219">
      <c r="B45219" s="31"/>
      <c r="G45219" s="272" t="s">
        <v>1099</v>
      </c>
    </row>
    <row r="45220">
      <c r="B45220" s="31"/>
      <c r="G45220" s="272" t="s">
        <v>1099</v>
      </c>
    </row>
    <row r="45221">
      <c r="B45221" s="31"/>
      <c r="G45221" s="272" t="s">
        <v>1099</v>
      </c>
    </row>
    <row r="45222">
      <c r="B45222" s="31"/>
      <c r="G45222" s="272" t="s">
        <v>1099</v>
      </c>
    </row>
    <row r="45223">
      <c r="B45223" s="31"/>
      <c r="G45223" s="272" t="s">
        <v>1099</v>
      </c>
    </row>
    <row r="45224">
      <c r="B45224" s="31"/>
      <c r="G45224" s="272" t="s">
        <v>1099</v>
      </c>
    </row>
    <row r="45225">
      <c r="B45225" s="31"/>
      <c r="G45225" s="272" t="s">
        <v>1099</v>
      </c>
    </row>
    <row r="45226">
      <c r="B45226" s="31"/>
      <c r="G45226" s="272" t="s">
        <v>1099</v>
      </c>
    </row>
    <row r="45227">
      <c r="B45227" s="31"/>
      <c r="G45227" s="272" t="s">
        <v>1099</v>
      </c>
    </row>
    <row r="45228">
      <c r="B45228" s="31"/>
      <c r="G45228" s="272" t="s">
        <v>1099</v>
      </c>
    </row>
    <row r="45229">
      <c r="B45229" s="31"/>
      <c r="G45229" s="272" t="s">
        <v>1099</v>
      </c>
    </row>
    <row r="45230">
      <c r="B45230" s="31"/>
      <c r="G45230" s="272" t="s">
        <v>1099</v>
      </c>
    </row>
    <row r="45231">
      <c r="B45231" s="31"/>
      <c r="G45231" s="272" t="s">
        <v>1099</v>
      </c>
    </row>
    <row r="45232">
      <c r="B45232" s="31"/>
      <c r="G45232" s="272" t="s">
        <v>1099</v>
      </c>
    </row>
    <row r="45233">
      <c r="B45233" s="31"/>
      <c r="G45233" s="272" t="s">
        <v>1099</v>
      </c>
    </row>
    <row r="45234">
      <c r="B45234" s="31"/>
      <c r="G45234" s="272" t="s">
        <v>1099</v>
      </c>
    </row>
    <row r="45235">
      <c r="B45235" s="31"/>
      <c r="G45235" s="272" t="s">
        <v>1099</v>
      </c>
    </row>
    <row r="45236">
      <c r="B45236" s="31"/>
      <c r="G45236" s="272" t="s">
        <v>1099</v>
      </c>
    </row>
    <row r="45237">
      <c r="B45237" s="31"/>
      <c r="G45237" s="272" t="s">
        <v>1099</v>
      </c>
    </row>
    <row r="45238">
      <c r="B45238" s="31"/>
      <c r="G45238" s="272" t="s">
        <v>1099</v>
      </c>
    </row>
    <row r="45239">
      <c r="B45239" s="31"/>
      <c r="G45239" s="272" t="s">
        <v>1099</v>
      </c>
    </row>
    <row r="45240">
      <c r="B45240" s="31"/>
      <c r="G45240" s="272" t="s">
        <v>1099</v>
      </c>
    </row>
    <row r="45241">
      <c r="B45241" s="31"/>
      <c r="G45241" s="272" t="s">
        <v>1099</v>
      </c>
    </row>
    <row r="45242">
      <c r="B45242" s="31"/>
      <c r="G45242" s="272" t="s">
        <v>1099</v>
      </c>
    </row>
    <row r="45243">
      <c r="B45243" s="31"/>
      <c r="G45243" s="272" t="s">
        <v>1099</v>
      </c>
    </row>
    <row r="45244">
      <c r="B45244" s="31"/>
      <c r="G45244" s="272" t="s">
        <v>1099</v>
      </c>
    </row>
    <row r="45245">
      <c r="B45245" s="31"/>
      <c r="G45245" s="272" t="s">
        <v>1099</v>
      </c>
    </row>
    <row r="45246">
      <c r="B45246" s="31"/>
      <c r="G45246" s="272" t="s">
        <v>1099</v>
      </c>
    </row>
    <row r="45247">
      <c r="B45247" s="31"/>
      <c r="G45247" s="272" t="s">
        <v>1099</v>
      </c>
    </row>
    <row r="45248">
      <c r="B45248" s="31"/>
      <c r="G45248" s="272" t="s">
        <v>1099</v>
      </c>
    </row>
    <row r="45249">
      <c r="B45249" s="31"/>
      <c r="G45249" s="272" t="s">
        <v>1099</v>
      </c>
    </row>
    <row r="45250">
      <c r="B45250" s="31"/>
      <c r="G45250" s="272" t="s">
        <v>1099</v>
      </c>
    </row>
    <row r="45251">
      <c r="B45251" s="31"/>
      <c r="G45251" s="272" t="s">
        <v>1099</v>
      </c>
    </row>
    <row r="45252">
      <c r="B45252" s="31"/>
      <c r="G45252" s="272" t="s">
        <v>1099</v>
      </c>
    </row>
    <row r="45253">
      <c r="B45253" s="31"/>
      <c r="G45253" s="272" t="s">
        <v>1099</v>
      </c>
    </row>
    <row r="45254">
      <c r="B45254" s="31"/>
      <c r="G45254" s="272" t="s">
        <v>1099</v>
      </c>
    </row>
    <row r="45255">
      <c r="B45255" s="31"/>
      <c r="G45255" s="272" t="s">
        <v>1099</v>
      </c>
    </row>
    <row r="45256">
      <c r="B45256" s="31"/>
      <c r="G45256" s="272" t="s">
        <v>1099</v>
      </c>
    </row>
    <row r="45257">
      <c r="B45257" s="31"/>
      <c r="G45257" s="272" t="s">
        <v>1099</v>
      </c>
    </row>
    <row r="45258">
      <c r="B45258" s="31"/>
      <c r="G45258" s="272" t="s">
        <v>1099</v>
      </c>
    </row>
    <row r="45259">
      <c r="B45259" s="31"/>
      <c r="G45259" s="272" t="s">
        <v>1099</v>
      </c>
    </row>
    <row r="45260">
      <c r="B45260" s="31"/>
      <c r="G45260" s="272" t="s">
        <v>1099</v>
      </c>
    </row>
    <row r="45261">
      <c r="B45261" s="31"/>
      <c r="G45261" s="272" t="s">
        <v>1099</v>
      </c>
    </row>
    <row r="45262">
      <c r="B45262" s="31"/>
      <c r="G45262" s="272" t="s">
        <v>1099</v>
      </c>
    </row>
    <row r="45263">
      <c r="B45263" s="31"/>
      <c r="G45263" s="272" t="s">
        <v>1099</v>
      </c>
    </row>
    <row r="45264">
      <c r="B45264" s="31"/>
      <c r="G45264" s="272" t="s">
        <v>1099</v>
      </c>
    </row>
    <row r="45265">
      <c r="B45265" s="31"/>
      <c r="G45265" s="272" t="s">
        <v>1099</v>
      </c>
    </row>
    <row r="45266">
      <c r="B45266" s="31"/>
      <c r="G45266" s="272" t="s">
        <v>1099</v>
      </c>
    </row>
    <row r="45267">
      <c r="B45267" s="31"/>
      <c r="G45267" s="272" t="s">
        <v>1099</v>
      </c>
    </row>
    <row r="45268">
      <c r="B45268" s="31"/>
      <c r="G45268" s="272" t="s">
        <v>1099</v>
      </c>
    </row>
    <row r="45269">
      <c r="B45269" s="31"/>
      <c r="G45269" s="272" t="s">
        <v>1099</v>
      </c>
    </row>
    <row r="45270">
      <c r="B45270" s="31"/>
      <c r="G45270" s="272" t="s">
        <v>1099</v>
      </c>
    </row>
    <row r="45271">
      <c r="B45271" s="31"/>
      <c r="G45271" s="272" t="s">
        <v>1099</v>
      </c>
    </row>
    <row r="45272">
      <c r="B45272" s="31"/>
      <c r="G45272" s="272" t="s">
        <v>1099</v>
      </c>
    </row>
    <row r="45273">
      <c r="B45273" s="31"/>
      <c r="G45273" s="272" t="s">
        <v>1099</v>
      </c>
    </row>
    <row r="45274">
      <c r="B45274" s="31"/>
      <c r="G45274" s="272" t="s">
        <v>1099</v>
      </c>
    </row>
    <row r="45275">
      <c r="B45275" s="31"/>
      <c r="G45275" s="272" t="s">
        <v>1099</v>
      </c>
    </row>
    <row r="45276">
      <c r="B45276" s="31"/>
      <c r="G45276" s="272" t="s">
        <v>1099</v>
      </c>
    </row>
    <row r="45277">
      <c r="B45277" s="31"/>
      <c r="G45277" s="272" t="s">
        <v>1099</v>
      </c>
    </row>
    <row r="45278">
      <c r="B45278" s="31"/>
      <c r="G45278" s="272" t="s">
        <v>1099</v>
      </c>
    </row>
    <row r="45279">
      <c r="B45279" s="31"/>
      <c r="G45279" s="272" t="s">
        <v>1099</v>
      </c>
    </row>
    <row r="45280">
      <c r="B45280" s="31"/>
      <c r="G45280" s="272" t="s">
        <v>1099</v>
      </c>
    </row>
    <row r="45281">
      <c r="B45281" s="31"/>
      <c r="G45281" s="272" t="s">
        <v>1099</v>
      </c>
    </row>
    <row r="45282">
      <c r="B45282" s="31"/>
      <c r="G45282" s="272" t="s">
        <v>1099</v>
      </c>
    </row>
    <row r="45283">
      <c r="B45283" s="31"/>
      <c r="G45283" s="272" t="s">
        <v>1099</v>
      </c>
    </row>
    <row r="45284">
      <c r="B45284" s="31"/>
      <c r="G45284" s="272" t="s">
        <v>1099</v>
      </c>
    </row>
    <row r="45285">
      <c r="B45285" s="31"/>
      <c r="G45285" s="272" t="s">
        <v>1099</v>
      </c>
    </row>
    <row r="45286">
      <c r="B45286" s="31"/>
      <c r="G45286" s="272" t="s">
        <v>1099</v>
      </c>
    </row>
    <row r="45287">
      <c r="B45287" s="31"/>
      <c r="G45287" s="272" t="s">
        <v>1099</v>
      </c>
    </row>
    <row r="45288">
      <c r="B45288" s="31"/>
      <c r="G45288" s="272" t="s">
        <v>1099</v>
      </c>
    </row>
    <row r="45289">
      <c r="B45289" s="31"/>
      <c r="G45289" s="272" t="s">
        <v>1099</v>
      </c>
    </row>
    <row r="45290">
      <c r="B45290" s="31"/>
      <c r="G45290" s="272" t="s">
        <v>1099</v>
      </c>
    </row>
    <row r="45291">
      <c r="B45291" s="31"/>
      <c r="G45291" s="272" t="s">
        <v>1099</v>
      </c>
    </row>
    <row r="45292">
      <c r="B45292" s="31"/>
      <c r="G45292" s="272" t="s">
        <v>1099</v>
      </c>
    </row>
    <row r="45293">
      <c r="B45293" s="31"/>
      <c r="G45293" s="272" t="s">
        <v>1099</v>
      </c>
    </row>
    <row r="45294">
      <c r="B45294" s="31"/>
      <c r="G45294" s="272" t="s">
        <v>1099</v>
      </c>
    </row>
    <row r="45295">
      <c r="B45295" s="31"/>
      <c r="G45295" s="272" t="s">
        <v>1099</v>
      </c>
    </row>
    <row r="45296">
      <c r="B45296" s="31"/>
      <c r="G45296" s="272" t="s">
        <v>1099</v>
      </c>
    </row>
    <row r="45297">
      <c r="B45297" s="31"/>
      <c r="G45297" s="272" t="s">
        <v>1099</v>
      </c>
    </row>
    <row r="45298">
      <c r="B45298" s="31"/>
      <c r="G45298" s="272" t="s">
        <v>1099</v>
      </c>
    </row>
    <row r="45299">
      <c r="B45299" s="31"/>
      <c r="G45299" s="272" t="s">
        <v>1099</v>
      </c>
    </row>
    <row r="45300">
      <c r="B45300" s="31"/>
      <c r="G45300" s="272" t="s">
        <v>1099</v>
      </c>
    </row>
    <row r="45301">
      <c r="B45301" s="31"/>
      <c r="G45301" s="272" t="s">
        <v>1099</v>
      </c>
    </row>
    <row r="45302">
      <c r="B45302" s="31"/>
      <c r="G45302" s="272" t="s">
        <v>1099</v>
      </c>
    </row>
    <row r="45303">
      <c r="B45303" s="31"/>
      <c r="G45303" s="272" t="s">
        <v>1099</v>
      </c>
    </row>
    <row r="45304">
      <c r="B45304" s="31"/>
      <c r="G45304" s="272" t="s">
        <v>1099</v>
      </c>
    </row>
    <row r="45305">
      <c r="B45305" s="31"/>
      <c r="G45305" s="272" t="s">
        <v>1099</v>
      </c>
    </row>
    <row r="45306">
      <c r="B45306" s="31"/>
      <c r="G45306" s="272" t="s">
        <v>1099</v>
      </c>
    </row>
    <row r="45307">
      <c r="B45307" s="31"/>
      <c r="G45307" s="272" t="s">
        <v>1099</v>
      </c>
    </row>
    <row r="45308">
      <c r="B45308" s="31"/>
      <c r="G45308" s="272" t="s">
        <v>1099</v>
      </c>
    </row>
    <row r="45309">
      <c r="B45309" s="31"/>
      <c r="G45309" s="272" t="s">
        <v>1099</v>
      </c>
    </row>
    <row r="45310">
      <c r="B45310" s="31"/>
      <c r="G45310" s="272" t="s">
        <v>1099</v>
      </c>
    </row>
    <row r="45311">
      <c r="B45311" s="31"/>
      <c r="G45311" s="272" t="s">
        <v>1099</v>
      </c>
    </row>
    <row r="45312">
      <c r="B45312" s="31"/>
      <c r="G45312" s="272" t="s">
        <v>1099</v>
      </c>
    </row>
    <row r="45313">
      <c r="B45313" s="31"/>
      <c r="G45313" s="272" t="s">
        <v>1099</v>
      </c>
    </row>
    <row r="45314">
      <c r="B45314" s="31"/>
      <c r="G45314" s="272" t="s">
        <v>1099</v>
      </c>
    </row>
    <row r="45315">
      <c r="B45315" s="31"/>
      <c r="G45315" s="272" t="s">
        <v>1099</v>
      </c>
    </row>
    <row r="45316">
      <c r="B45316" s="31"/>
      <c r="G45316" s="272" t="s">
        <v>1099</v>
      </c>
    </row>
    <row r="45317">
      <c r="B45317" s="31"/>
      <c r="G45317" s="272" t="s">
        <v>1099</v>
      </c>
    </row>
    <row r="45318">
      <c r="B45318" s="31"/>
      <c r="G45318" s="272" t="s">
        <v>1099</v>
      </c>
    </row>
    <row r="45319">
      <c r="B45319" s="31"/>
      <c r="G45319" s="272" t="s">
        <v>1099</v>
      </c>
    </row>
    <row r="45320">
      <c r="B45320" s="31"/>
      <c r="G45320" s="272" t="s">
        <v>1099</v>
      </c>
    </row>
    <row r="45321">
      <c r="B45321" s="31"/>
      <c r="G45321" s="272" t="s">
        <v>1099</v>
      </c>
    </row>
    <row r="45322">
      <c r="B45322" s="31"/>
      <c r="G45322" s="272" t="s">
        <v>1099</v>
      </c>
    </row>
    <row r="45323">
      <c r="B45323" s="31"/>
      <c r="G45323" s="272" t="s">
        <v>1099</v>
      </c>
    </row>
    <row r="45324">
      <c r="B45324" s="31"/>
      <c r="G45324" s="272" t="s">
        <v>1099</v>
      </c>
    </row>
    <row r="45325">
      <c r="B45325" s="31"/>
      <c r="G45325" s="272" t="s">
        <v>1099</v>
      </c>
    </row>
    <row r="45326">
      <c r="B45326" s="31"/>
      <c r="G45326" s="272" t="s">
        <v>1099</v>
      </c>
    </row>
    <row r="45327">
      <c r="B45327" s="31"/>
      <c r="G45327" s="272" t="s">
        <v>1099</v>
      </c>
    </row>
    <row r="45328">
      <c r="B45328" s="31"/>
      <c r="G45328" s="272" t="s">
        <v>1099</v>
      </c>
    </row>
    <row r="45329">
      <c r="B45329" s="31"/>
      <c r="G45329" s="272" t="s">
        <v>1099</v>
      </c>
    </row>
    <row r="45330">
      <c r="B45330" s="31"/>
      <c r="G45330" s="272" t="s">
        <v>1099</v>
      </c>
    </row>
    <row r="45331">
      <c r="B45331" s="31"/>
      <c r="G45331" s="272" t="s">
        <v>1099</v>
      </c>
    </row>
    <row r="45332">
      <c r="B45332" s="31"/>
      <c r="G45332" s="272" t="s">
        <v>1099</v>
      </c>
    </row>
    <row r="45333">
      <c r="B45333" s="31"/>
      <c r="G45333" s="272" t="s">
        <v>1099</v>
      </c>
    </row>
    <row r="45334">
      <c r="B45334" s="31"/>
      <c r="G45334" s="272" t="s">
        <v>1099</v>
      </c>
    </row>
    <row r="45335">
      <c r="B45335" s="31"/>
      <c r="G45335" s="272" t="s">
        <v>1099</v>
      </c>
    </row>
    <row r="45336">
      <c r="B45336" s="31"/>
      <c r="G45336" s="272" t="s">
        <v>1099</v>
      </c>
    </row>
    <row r="45337">
      <c r="B45337" s="31"/>
      <c r="G45337" s="272" t="s">
        <v>1099</v>
      </c>
    </row>
    <row r="45338">
      <c r="B45338" s="31"/>
      <c r="G45338" s="272" t="s">
        <v>1099</v>
      </c>
    </row>
    <row r="45339">
      <c r="B45339" s="31"/>
      <c r="G45339" s="272" t="s">
        <v>1099</v>
      </c>
    </row>
    <row r="45340">
      <c r="B45340" s="31"/>
      <c r="G45340" s="272" t="s">
        <v>1099</v>
      </c>
    </row>
    <row r="45341">
      <c r="B45341" s="31"/>
      <c r="G45341" s="272" t="s">
        <v>1099</v>
      </c>
    </row>
    <row r="45342">
      <c r="B45342" s="31"/>
      <c r="G45342" s="272" t="s">
        <v>1099</v>
      </c>
    </row>
    <row r="45343">
      <c r="B45343" s="31"/>
      <c r="G45343" s="272" t="s">
        <v>1099</v>
      </c>
    </row>
    <row r="45344">
      <c r="B45344" s="31"/>
      <c r="G45344" s="272" t="s">
        <v>1099</v>
      </c>
    </row>
    <row r="45345">
      <c r="B45345" s="31"/>
      <c r="G45345" s="272" t="s">
        <v>1099</v>
      </c>
    </row>
    <row r="45346">
      <c r="B45346" s="31"/>
      <c r="G45346" s="272" t="s">
        <v>1099</v>
      </c>
    </row>
    <row r="45347">
      <c r="B45347" s="31"/>
      <c r="G45347" s="272" t="s">
        <v>1099</v>
      </c>
    </row>
    <row r="45348">
      <c r="B45348" s="31"/>
      <c r="G45348" s="272" t="s">
        <v>1099</v>
      </c>
    </row>
    <row r="45349">
      <c r="B45349" s="31"/>
      <c r="G45349" s="272" t="s">
        <v>1099</v>
      </c>
    </row>
    <row r="45350">
      <c r="B45350" s="31"/>
      <c r="G45350" s="272" t="s">
        <v>1099</v>
      </c>
    </row>
    <row r="45351">
      <c r="B45351" s="31"/>
      <c r="G45351" s="272" t="s">
        <v>1099</v>
      </c>
    </row>
    <row r="45352">
      <c r="B45352" s="31"/>
      <c r="G45352" s="272" t="s">
        <v>1099</v>
      </c>
    </row>
    <row r="45353">
      <c r="B45353" s="31"/>
      <c r="G45353" s="272" t="s">
        <v>1099</v>
      </c>
    </row>
    <row r="45354">
      <c r="B45354" s="31"/>
      <c r="G45354" s="272" t="s">
        <v>1099</v>
      </c>
    </row>
    <row r="45355">
      <c r="B45355" s="31"/>
      <c r="G45355" s="272" t="s">
        <v>1099</v>
      </c>
    </row>
    <row r="45356">
      <c r="B45356" s="31"/>
      <c r="G45356" s="272" t="s">
        <v>1099</v>
      </c>
    </row>
    <row r="45357">
      <c r="B45357" s="31"/>
      <c r="G45357" s="272" t="s">
        <v>1099</v>
      </c>
    </row>
    <row r="45358">
      <c r="B45358" s="31"/>
      <c r="G45358" s="272" t="s">
        <v>1099</v>
      </c>
    </row>
    <row r="45359">
      <c r="B45359" s="31"/>
      <c r="G45359" s="272" t="s">
        <v>1099</v>
      </c>
    </row>
    <row r="45360">
      <c r="B45360" s="31"/>
      <c r="G45360" s="272" t="s">
        <v>1099</v>
      </c>
    </row>
    <row r="45361">
      <c r="B45361" s="31"/>
      <c r="G45361" s="272" t="s">
        <v>1099</v>
      </c>
    </row>
    <row r="45362">
      <c r="B45362" s="31"/>
      <c r="G45362" s="272" t="s">
        <v>1099</v>
      </c>
    </row>
    <row r="45363">
      <c r="B45363" s="31"/>
      <c r="G45363" s="272" t="s">
        <v>1099</v>
      </c>
    </row>
    <row r="45364">
      <c r="B45364" s="31"/>
      <c r="G45364" s="272" t="s">
        <v>1099</v>
      </c>
    </row>
    <row r="45365">
      <c r="B45365" s="31"/>
      <c r="G45365" s="272" t="s">
        <v>1099</v>
      </c>
    </row>
    <row r="45366">
      <c r="B45366" s="31"/>
      <c r="G45366" s="272" t="s">
        <v>1099</v>
      </c>
    </row>
    <row r="45367">
      <c r="B45367" s="31"/>
      <c r="G45367" s="272" t="s">
        <v>1099</v>
      </c>
    </row>
    <row r="45368">
      <c r="B45368" s="31"/>
      <c r="G45368" s="272" t="s">
        <v>1099</v>
      </c>
    </row>
    <row r="45369">
      <c r="B45369" s="31"/>
      <c r="G45369" s="272" t="s">
        <v>1099</v>
      </c>
    </row>
    <row r="45370">
      <c r="B45370" s="31"/>
      <c r="G45370" s="272" t="s">
        <v>1099</v>
      </c>
    </row>
    <row r="45371">
      <c r="B45371" s="31"/>
      <c r="G45371" s="272" t="s">
        <v>1099</v>
      </c>
    </row>
    <row r="45372">
      <c r="B45372" s="31"/>
      <c r="G45372" s="272" t="s">
        <v>1099</v>
      </c>
    </row>
    <row r="45373">
      <c r="B45373" s="31"/>
      <c r="G45373" s="272" t="s">
        <v>1099</v>
      </c>
    </row>
    <row r="45374">
      <c r="B45374" s="31"/>
      <c r="G45374" s="272" t="s">
        <v>1099</v>
      </c>
    </row>
    <row r="45375">
      <c r="B45375" s="31"/>
      <c r="G45375" s="272" t="s">
        <v>1099</v>
      </c>
    </row>
    <row r="45376">
      <c r="B45376" s="31"/>
      <c r="G45376" s="272" t="s">
        <v>1099</v>
      </c>
    </row>
    <row r="45377">
      <c r="B45377" s="31"/>
      <c r="G45377" s="272" t="s">
        <v>1099</v>
      </c>
    </row>
    <row r="45378">
      <c r="B45378" s="31"/>
      <c r="G45378" s="272" t="s">
        <v>1099</v>
      </c>
    </row>
    <row r="45379">
      <c r="B45379" s="31"/>
      <c r="G45379" s="272" t="s">
        <v>1099</v>
      </c>
    </row>
    <row r="45380">
      <c r="B45380" s="31"/>
      <c r="G45380" s="272" t="s">
        <v>1099</v>
      </c>
    </row>
    <row r="45381">
      <c r="B45381" s="31"/>
      <c r="G45381" s="272" t="s">
        <v>1099</v>
      </c>
    </row>
    <row r="45382">
      <c r="B45382" s="31"/>
      <c r="G45382" s="272" t="s">
        <v>1099</v>
      </c>
    </row>
    <row r="45383">
      <c r="B45383" s="31"/>
      <c r="G45383" s="272" t="s">
        <v>1099</v>
      </c>
    </row>
    <row r="45384">
      <c r="B45384" s="31"/>
      <c r="G45384" s="272" t="s">
        <v>1099</v>
      </c>
    </row>
    <row r="45385">
      <c r="B45385" s="31"/>
      <c r="G45385" s="272" t="s">
        <v>1099</v>
      </c>
    </row>
    <row r="45386">
      <c r="B45386" s="31"/>
      <c r="G45386" s="272" t="s">
        <v>1099</v>
      </c>
    </row>
    <row r="45387">
      <c r="B45387" s="31"/>
      <c r="G45387" s="272" t="s">
        <v>1099</v>
      </c>
    </row>
    <row r="45388">
      <c r="B45388" s="31"/>
      <c r="G45388" s="272" t="s">
        <v>1099</v>
      </c>
    </row>
    <row r="45389">
      <c r="B45389" s="31"/>
      <c r="G45389" s="272" t="s">
        <v>1099</v>
      </c>
    </row>
    <row r="45390">
      <c r="B45390" s="31"/>
      <c r="G45390" s="272" t="s">
        <v>1099</v>
      </c>
    </row>
    <row r="45391">
      <c r="B45391" s="31"/>
      <c r="G45391" s="272" t="s">
        <v>1099</v>
      </c>
    </row>
    <row r="45392">
      <c r="B45392" s="31"/>
      <c r="G45392" s="272" t="s">
        <v>1099</v>
      </c>
    </row>
    <row r="45393">
      <c r="B45393" s="31"/>
      <c r="G45393" s="272" t="s">
        <v>1099</v>
      </c>
    </row>
    <row r="45394">
      <c r="B45394" s="31"/>
      <c r="G45394" s="272" t="s">
        <v>1099</v>
      </c>
    </row>
    <row r="45395">
      <c r="B45395" s="31"/>
      <c r="G45395" s="272" t="s">
        <v>1099</v>
      </c>
    </row>
    <row r="45396">
      <c r="B45396" s="31"/>
      <c r="G45396" s="272" t="s">
        <v>1099</v>
      </c>
    </row>
    <row r="45397">
      <c r="B45397" s="31"/>
      <c r="G45397" s="272" t="s">
        <v>1099</v>
      </c>
    </row>
    <row r="45398">
      <c r="B45398" s="31"/>
      <c r="G45398" s="272" t="s">
        <v>1099</v>
      </c>
    </row>
    <row r="45399">
      <c r="B45399" s="31"/>
      <c r="G45399" s="272" t="s">
        <v>1099</v>
      </c>
    </row>
    <row r="45400">
      <c r="B45400" s="31"/>
      <c r="G45400" s="272" t="s">
        <v>1099</v>
      </c>
    </row>
    <row r="45401">
      <c r="B45401" s="31"/>
      <c r="G45401" s="272" t="s">
        <v>1099</v>
      </c>
    </row>
    <row r="45402">
      <c r="B45402" s="31"/>
      <c r="G45402" s="272" t="s">
        <v>1099</v>
      </c>
    </row>
    <row r="45403">
      <c r="B45403" s="31"/>
      <c r="G45403" s="272" t="s">
        <v>1099</v>
      </c>
    </row>
    <row r="45404">
      <c r="B45404" s="31"/>
      <c r="G45404" s="272" t="s">
        <v>1099</v>
      </c>
    </row>
    <row r="45405">
      <c r="B45405" s="31"/>
      <c r="G45405" s="272" t="s">
        <v>1099</v>
      </c>
    </row>
    <row r="45406">
      <c r="B45406" s="31"/>
      <c r="G45406" s="272" t="s">
        <v>1099</v>
      </c>
    </row>
    <row r="45407">
      <c r="B45407" s="31"/>
      <c r="G45407" s="272" t="s">
        <v>1099</v>
      </c>
    </row>
    <row r="45408">
      <c r="B45408" s="31"/>
      <c r="G45408" s="272" t="s">
        <v>1099</v>
      </c>
    </row>
    <row r="45409">
      <c r="B45409" s="31"/>
      <c r="G45409" s="272" t="s">
        <v>1099</v>
      </c>
    </row>
    <row r="45410">
      <c r="B45410" s="31"/>
      <c r="G45410" s="272" t="s">
        <v>1099</v>
      </c>
    </row>
    <row r="45411">
      <c r="B45411" s="31"/>
      <c r="G45411" s="272" t="s">
        <v>1099</v>
      </c>
    </row>
    <row r="45412">
      <c r="B45412" s="31"/>
      <c r="G45412" s="272" t="s">
        <v>1099</v>
      </c>
    </row>
    <row r="45413">
      <c r="B45413" s="31"/>
      <c r="G45413" s="272" t="s">
        <v>1099</v>
      </c>
    </row>
    <row r="45414">
      <c r="B45414" s="31"/>
      <c r="G45414" s="272" t="s">
        <v>1099</v>
      </c>
    </row>
    <row r="45415">
      <c r="B45415" s="31"/>
      <c r="G45415" s="272" t="s">
        <v>1099</v>
      </c>
    </row>
    <row r="45416">
      <c r="B45416" s="31"/>
      <c r="G45416" s="272" t="s">
        <v>1099</v>
      </c>
    </row>
    <row r="45417">
      <c r="B45417" s="31"/>
      <c r="G45417" s="272" t="s">
        <v>1099</v>
      </c>
    </row>
    <row r="45418">
      <c r="B45418" s="31"/>
      <c r="G45418" s="272" t="s">
        <v>1099</v>
      </c>
    </row>
    <row r="45419">
      <c r="B45419" s="31"/>
      <c r="G45419" s="272" t="s">
        <v>1099</v>
      </c>
    </row>
    <row r="45420">
      <c r="B45420" s="31"/>
      <c r="G45420" s="272" t="s">
        <v>1099</v>
      </c>
    </row>
    <row r="45421">
      <c r="B45421" s="31"/>
      <c r="G45421" s="272" t="s">
        <v>1099</v>
      </c>
    </row>
    <row r="45422">
      <c r="B45422" s="31"/>
      <c r="G45422" s="272" t="s">
        <v>1099</v>
      </c>
    </row>
    <row r="45423">
      <c r="B45423" s="31"/>
      <c r="G45423" s="272" t="s">
        <v>1099</v>
      </c>
    </row>
    <row r="45424">
      <c r="B45424" s="31"/>
      <c r="G45424" s="272" t="s">
        <v>1099</v>
      </c>
    </row>
    <row r="45425">
      <c r="B45425" s="31"/>
      <c r="G45425" s="272" t="s">
        <v>1099</v>
      </c>
    </row>
    <row r="45426">
      <c r="B45426" s="31"/>
      <c r="G45426" s="272" t="s">
        <v>1099</v>
      </c>
    </row>
    <row r="45427">
      <c r="B45427" s="31"/>
      <c r="G45427" s="272" t="s">
        <v>1099</v>
      </c>
    </row>
    <row r="45428">
      <c r="B45428" s="31"/>
      <c r="G45428" s="272" t="s">
        <v>1099</v>
      </c>
    </row>
    <row r="45429">
      <c r="B45429" s="31"/>
      <c r="G45429" s="272" t="s">
        <v>1099</v>
      </c>
    </row>
    <row r="45430">
      <c r="B45430" s="31"/>
      <c r="G45430" s="272" t="s">
        <v>1099</v>
      </c>
    </row>
    <row r="45431">
      <c r="B45431" s="31"/>
      <c r="G45431" s="272" t="s">
        <v>1099</v>
      </c>
    </row>
    <row r="45432">
      <c r="B45432" s="31"/>
      <c r="G45432" s="272" t="s">
        <v>1099</v>
      </c>
    </row>
    <row r="45433">
      <c r="B45433" s="31"/>
      <c r="G45433" s="272" t="s">
        <v>1099</v>
      </c>
    </row>
    <row r="45434">
      <c r="B45434" s="31"/>
      <c r="G45434" s="272" t="s">
        <v>1099</v>
      </c>
    </row>
    <row r="45435">
      <c r="B45435" s="31"/>
      <c r="G45435" s="272" t="s">
        <v>1099</v>
      </c>
    </row>
    <row r="45436">
      <c r="B45436" s="31"/>
      <c r="G45436" s="272" t="s">
        <v>1099</v>
      </c>
    </row>
    <row r="45437">
      <c r="B45437" s="31"/>
      <c r="G45437" s="272" t="s">
        <v>1099</v>
      </c>
    </row>
    <row r="45438">
      <c r="B45438" s="31"/>
      <c r="G45438" s="272" t="s">
        <v>1099</v>
      </c>
    </row>
    <row r="45439">
      <c r="B45439" s="31"/>
      <c r="G45439" s="272" t="s">
        <v>1099</v>
      </c>
    </row>
    <row r="45440">
      <c r="B45440" s="31"/>
      <c r="G45440" s="272" t="s">
        <v>1099</v>
      </c>
    </row>
    <row r="45441">
      <c r="B45441" s="31"/>
      <c r="G45441" s="272" t="s">
        <v>1099</v>
      </c>
    </row>
    <row r="45442">
      <c r="B45442" s="31"/>
      <c r="G45442" s="272" t="s">
        <v>1099</v>
      </c>
    </row>
    <row r="45443">
      <c r="B45443" s="31"/>
      <c r="G45443" s="272" t="s">
        <v>1099</v>
      </c>
    </row>
    <row r="45444">
      <c r="B45444" s="31"/>
      <c r="G45444" s="272" t="s">
        <v>1099</v>
      </c>
    </row>
    <row r="45445">
      <c r="B45445" s="31"/>
      <c r="G45445" s="272" t="s">
        <v>1099</v>
      </c>
    </row>
    <row r="45446">
      <c r="B45446" s="31"/>
      <c r="G45446" s="272" t="s">
        <v>1099</v>
      </c>
    </row>
    <row r="45447">
      <c r="B45447" s="31"/>
      <c r="G45447" s="272" t="s">
        <v>1099</v>
      </c>
    </row>
    <row r="45448">
      <c r="B45448" s="31"/>
      <c r="G45448" s="272" t="s">
        <v>1099</v>
      </c>
    </row>
    <row r="45449">
      <c r="B45449" s="31"/>
      <c r="G45449" s="272" t="s">
        <v>1099</v>
      </c>
    </row>
    <row r="45450">
      <c r="B45450" s="31"/>
      <c r="G45450" s="272" t="s">
        <v>1099</v>
      </c>
    </row>
    <row r="45451">
      <c r="B45451" s="31"/>
      <c r="G45451" s="272" t="s">
        <v>1099</v>
      </c>
    </row>
    <row r="45452">
      <c r="B45452" s="31"/>
      <c r="G45452" s="272" t="s">
        <v>1099</v>
      </c>
    </row>
    <row r="45453">
      <c r="B45453" s="31"/>
      <c r="G45453" s="272" t="s">
        <v>1099</v>
      </c>
    </row>
    <row r="45454">
      <c r="B45454" s="31"/>
      <c r="G45454" s="272" t="s">
        <v>1099</v>
      </c>
    </row>
    <row r="45455">
      <c r="B45455" s="31"/>
      <c r="G45455" s="272" t="s">
        <v>1099</v>
      </c>
    </row>
    <row r="45456">
      <c r="B45456" s="31"/>
      <c r="G45456" s="272" t="s">
        <v>1099</v>
      </c>
    </row>
    <row r="45457">
      <c r="B45457" s="31"/>
      <c r="G45457" s="272" t="s">
        <v>1099</v>
      </c>
    </row>
    <row r="45458">
      <c r="B45458" s="31"/>
      <c r="G45458" s="272" t="s">
        <v>1099</v>
      </c>
    </row>
    <row r="45459">
      <c r="B45459" s="31"/>
      <c r="G45459" s="272" t="s">
        <v>1099</v>
      </c>
    </row>
    <row r="45460">
      <c r="B45460" s="31"/>
      <c r="G45460" s="272" t="s">
        <v>1099</v>
      </c>
    </row>
    <row r="45461">
      <c r="B45461" s="31"/>
      <c r="G45461" s="272" t="s">
        <v>1099</v>
      </c>
    </row>
    <row r="45462">
      <c r="B45462" s="31"/>
      <c r="G45462" s="272" t="s">
        <v>1099</v>
      </c>
    </row>
    <row r="45463">
      <c r="B45463" s="31"/>
      <c r="G45463" s="272" t="s">
        <v>1099</v>
      </c>
    </row>
    <row r="45464">
      <c r="B45464" s="31"/>
      <c r="G45464" s="272" t="s">
        <v>1099</v>
      </c>
    </row>
    <row r="45465">
      <c r="B45465" s="31"/>
      <c r="G45465" s="272" t="s">
        <v>1099</v>
      </c>
    </row>
    <row r="45466">
      <c r="B45466" s="31"/>
      <c r="G45466" s="272" t="s">
        <v>1099</v>
      </c>
    </row>
    <row r="45467">
      <c r="B45467" s="31"/>
      <c r="G45467" s="272" t="s">
        <v>1099</v>
      </c>
    </row>
    <row r="45468">
      <c r="B45468" s="31"/>
      <c r="G45468" s="272" t="s">
        <v>1099</v>
      </c>
    </row>
    <row r="45469">
      <c r="B45469" s="31"/>
      <c r="G45469" s="272" t="s">
        <v>1099</v>
      </c>
    </row>
    <row r="45470">
      <c r="B45470" s="31"/>
      <c r="G45470" s="272" t="s">
        <v>1099</v>
      </c>
    </row>
    <row r="45471">
      <c r="B45471" s="31"/>
      <c r="G45471" s="272" t="s">
        <v>1099</v>
      </c>
    </row>
    <row r="45472">
      <c r="B45472" s="31"/>
      <c r="G45472" s="272" t="s">
        <v>1099</v>
      </c>
    </row>
    <row r="45473">
      <c r="B45473" s="31"/>
      <c r="G45473" s="272" t="s">
        <v>1099</v>
      </c>
    </row>
    <row r="45474">
      <c r="B45474" s="31"/>
      <c r="G45474" s="272" t="s">
        <v>1099</v>
      </c>
    </row>
    <row r="45475">
      <c r="B45475" s="31"/>
      <c r="G45475" s="272" t="s">
        <v>1099</v>
      </c>
    </row>
    <row r="45476">
      <c r="B45476" s="31"/>
      <c r="G45476" s="272" t="s">
        <v>1099</v>
      </c>
    </row>
    <row r="45477">
      <c r="B45477" s="31"/>
      <c r="G45477" s="272" t="s">
        <v>1099</v>
      </c>
    </row>
    <row r="45478">
      <c r="B45478" s="31"/>
      <c r="G45478" s="272" t="s">
        <v>1099</v>
      </c>
    </row>
    <row r="45479">
      <c r="B45479" s="31"/>
      <c r="G45479" s="272" t="s">
        <v>1099</v>
      </c>
    </row>
    <row r="45480">
      <c r="B45480" s="31"/>
      <c r="G45480" s="272" t="s">
        <v>1099</v>
      </c>
    </row>
    <row r="45481">
      <c r="B45481" s="31"/>
      <c r="G45481" s="272" t="s">
        <v>1099</v>
      </c>
    </row>
    <row r="45482">
      <c r="B45482" s="31"/>
      <c r="G45482" s="272" t="s">
        <v>1099</v>
      </c>
    </row>
    <row r="45483">
      <c r="B45483" s="31"/>
      <c r="G45483" s="272" t="s">
        <v>1099</v>
      </c>
    </row>
    <row r="45484">
      <c r="B45484" s="31"/>
      <c r="G45484" s="272" t="s">
        <v>1099</v>
      </c>
    </row>
    <row r="45485">
      <c r="B45485" s="31"/>
      <c r="G45485" s="272" t="s">
        <v>1099</v>
      </c>
    </row>
    <row r="45486">
      <c r="B45486" s="31"/>
      <c r="G45486" s="272" t="s">
        <v>1099</v>
      </c>
    </row>
    <row r="45487">
      <c r="B45487" s="31"/>
      <c r="G45487" s="272" t="s">
        <v>1099</v>
      </c>
    </row>
    <row r="45488">
      <c r="B45488" s="31"/>
      <c r="G45488" s="272" t="s">
        <v>1099</v>
      </c>
    </row>
    <row r="45489">
      <c r="B45489" s="31"/>
      <c r="G45489" s="272" t="s">
        <v>1099</v>
      </c>
    </row>
    <row r="45490">
      <c r="B45490" s="31"/>
      <c r="G45490" s="272" t="s">
        <v>1099</v>
      </c>
    </row>
    <row r="45491">
      <c r="B45491" s="31"/>
      <c r="G45491" s="272" t="s">
        <v>1099</v>
      </c>
    </row>
    <row r="45492">
      <c r="B45492" s="31"/>
      <c r="G45492" s="272" t="s">
        <v>1099</v>
      </c>
    </row>
    <row r="45493">
      <c r="B45493" s="31"/>
      <c r="G45493" s="272" t="s">
        <v>1099</v>
      </c>
    </row>
    <row r="45494">
      <c r="B45494" s="31"/>
      <c r="G45494" s="272" t="s">
        <v>1099</v>
      </c>
    </row>
    <row r="45495">
      <c r="B45495" s="31"/>
      <c r="G45495" s="272" t="s">
        <v>1099</v>
      </c>
    </row>
    <row r="45496">
      <c r="B45496" s="31"/>
      <c r="G45496" s="272" t="s">
        <v>1099</v>
      </c>
    </row>
    <row r="45497">
      <c r="B45497" s="31"/>
      <c r="G45497" s="272" t="s">
        <v>1099</v>
      </c>
    </row>
    <row r="45498">
      <c r="B45498" s="31"/>
      <c r="G45498" s="272" t="s">
        <v>1099</v>
      </c>
    </row>
    <row r="45499">
      <c r="B45499" s="31"/>
      <c r="G45499" s="272" t="s">
        <v>1099</v>
      </c>
    </row>
    <row r="45500">
      <c r="B45500" s="31"/>
      <c r="G45500" s="272" t="s">
        <v>1099</v>
      </c>
    </row>
    <row r="45501">
      <c r="B45501" s="31"/>
      <c r="G45501" s="272" t="s">
        <v>1099</v>
      </c>
    </row>
    <row r="45502">
      <c r="B45502" s="31"/>
      <c r="G45502" s="272" t="s">
        <v>1099</v>
      </c>
    </row>
    <row r="45503">
      <c r="B45503" s="31"/>
      <c r="G45503" s="272" t="s">
        <v>1099</v>
      </c>
    </row>
    <row r="45504">
      <c r="B45504" s="31"/>
      <c r="G45504" s="272" t="s">
        <v>1099</v>
      </c>
    </row>
    <row r="45505">
      <c r="B45505" s="31"/>
      <c r="G45505" s="272" t="s">
        <v>1099</v>
      </c>
    </row>
    <row r="45506">
      <c r="B45506" s="31"/>
      <c r="G45506" s="272" t="s">
        <v>1099</v>
      </c>
    </row>
    <row r="45507">
      <c r="B45507" s="31"/>
      <c r="G45507" s="272" t="s">
        <v>1099</v>
      </c>
    </row>
    <row r="45508">
      <c r="B45508" s="31"/>
      <c r="G45508" s="272" t="s">
        <v>1099</v>
      </c>
    </row>
    <row r="45509">
      <c r="B45509" s="31"/>
      <c r="G45509" s="272" t="s">
        <v>1099</v>
      </c>
    </row>
    <row r="45510">
      <c r="B45510" s="31"/>
      <c r="G45510" s="272" t="s">
        <v>1099</v>
      </c>
    </row>
    <row r="45511">
      <c r="B45511" s="31"/>
      <c r="G45511" s="272" t="s">
        <v>1099</v>
      </c>
    </row>
    <row r="45512">
      <c r="B45512" s="31"/>
      <c r="G45512" s="272" t="s">
        <v>1099</v>
      </c>
    </row>
    <row r="45513">
      <c r="B45513" s="31"/>
      <c r="G45513" s="272" t="s">
        <v>1099</v>
      </c>
    </row>
    <row r="45514">
      <c r="B45514" s="31"/>
      <c r="G45514" s="272" t="s">
        <v>1099</v>
      </c>
    </row>
    <row r="45515">
      <c r="B45515" s="31"/>
      <c r="G45515" s="272" t="s">
        <v>1099</v>
      </c>
    </row>
    <row r="45516">
      <c r="B45516" s="31"/>
      <c r="G45516" s="272" t="s">
        <v>1099</v>
      </c>
    </row>
    <row r="45517">
      <c r="B45517" s="31"/>
      <c r="G45517" s="272" t="s">
        <v>1099</v>
      </c>
    </row>
    <row r="45518">
      <c r="B45518" s="31"/>
      <c r="G45518" s="272" t="s">
        <v>1099</v>
      </c>
    </row>
    <row r="45519">
      <c r="B45519" s="31"/>
      <c r="G45519" s="272" t="s">
        <v>1099</v>
      </c>
    </row>
    <row r="45520">
      <c r="B45520" s="31"/>
      <c r="G45520" s="272" t="s">
        <v>1099</v>
      </c>
    </row>
    <row r="45521">
      <c r="B45521" s="31"/>
      <c r="G45521" s="272" t="s">
        <v>1099</v>
      </c>
    </row>
    <row r="45522">
      <c r="B45522" s="31"/>
      <c r="G45522" s="272" t="s">
        <v>1099</v>
      </c>
    </row>
    <row r="45523">
      <c r="B45523" s="31"/>
      <c r="G45523" s="272" t="s">
        <v>1099</v>
      </c>
    </row>
    <row r="45524">
      <c r="B45524" s="31"/>
      <c r="G45524" s="272" t="s">
        <v>1099</v>
      </c>
    </row>
    <row r="45525">
      <c r="B45525" s="31"/>
      <c r="G45525" s="272" t="s">
        <v>1099</v>
      </c>
    </row>
    <row r="45526">
      <c r="B45526" s="31"/>
      <c r="G45526" s="272" t="s">
        <v>1099</v>
      </c>
    </row>
    <row r="45527">
      <c r="B45527" s="31"/>
      <c r="G45527" s="272" t="s">
        <v>1099</v>
      </c>
    </row>
    <row r="45528">
      <c r="B45528" s="31"/>
      <c r="G45528" s="272" t="s">
        <v>1099</v>
      </c>
    </row>
    <row r="45529">
      <c r="B45529" s="31"/>
      <c r="G45529" s="272" t="s">
        <v>1099</v>
      </c>
    </row>
    <row r="45530">
      <c r="B45530" s="31"/>
      <c r="G45530" s="272" t="s">
        <v>1099</v>
      </c>
    </row>
    <row r="45531">
      <c r="B45531" s="31"/>
      <c r="G45531" s="272" t="s">
        <v>1099</v>
      </c>
    </row>
    <row r="45532">
      <c r="B45532" s="31"/>
      <c r="G45532" s="272" t="s">
        <v>1099</v>
      </c>
    </row>
    <row r="45533">
      <c r="B45533" s="31"/>
      <c r="G45533" s="272" t="s">
        <v>1099</v>
      </c>
    </row>
    <row r="45534">
      <c r="B45534" s="31"/>
      <c r="G45534" s="272" t="s">
        <v>1099</v>
      </c>
    </row>
    <row r="45535">
      <c r="B45535" s="31"/>
      <c r="G45535" s="272" t="s">
        <v>1099</v>
      </c>
    </row>
    <row r="45536">
      <c r="B45536" s="31"/>
      <c r="G45536" s="272" t="s">
        <v>1099</v>
      </c>
    </row>
    <row r="45537">
      <c r="B45537" s="31"/>
      <c r="G45537" s="272" t="s">
        <v>1099</v>
      </c>
    </row>
    <row r="45538">
      <c r="B45538" s="31"/>
      <c r="G45538" s="272" t="s">
        <v>1099</v>
      </c>
    </row>
    <row r="45539">
      <c r="B45539" s="31"/>
      <c r="G45539" s="272" t="s">
        <v>1099</v>
      </c>
    </row>
    <row r="45540">
      <c r="B45540" s="31"/>
      <c r="G45540" s="272" t="s">
        <v>1099</v>
      </c>
    </row>
    <row r="45541">
      <c r="B45541" s="31"/>
      <c r="G45541" s="272" t="s">
        <v>1099</v>
      </c>
    </row>
    <row r="45542">
      <c r="B45542" s="31"/>
      <c r="G45542" s="272" t="s">
        <v>1099</v>
      </c>
    </row>
    <row r="45543">
      <c r="B45543" s="31"/>
      <c r="G45543" s="272" t="s">
        <v>1099</v>
      </c>
    </row>
    <row r="45544">
      <c r="B45544" s="31"/>
      <c r="G45544" s="272" t="s">
        <v>1099</v>
      </c>
    </row>
    <row r="45545">
      <c r="B45545" s="31"/>
      <c r="G45545" s="272" t="s">
        <v>1099</v>
      </c>
    </row>
    <row r="45546">
      <c r="B45546" s="31"/>
      <c r="G45546" s="272" t="s">
        <v>1099</v>
      </c>
    </row>
    <row r="45547">
      <c r="B45547" s="31"/>
      <c r="G45547" s="272" t="s">
        <v>1099</v>
      </c>
    </row>
    <row r="45548">
      <c r="B45548" s="31"/>
      <c r="G45548" s="272" t="s">
        <v>1099</v>
      </c>
    </row>
    <row r="45549">
      <c r="B45549" s="31"/>
      <c r="G45549" s="272" t="s">
        <v>1099</v>
      </c>
    </row>
    <row r="45550">
      <c r="B45550" s="31"/>
      <c r="G45550" s="272" t="s">
        <v>1099</v>
      </c>
    </row>
    <row r="45551">
      <c r="B45551" s="31"/>
      <c r="G45551" s="272" t="s">
        <v>1099</v>
      </c>
    </row>
    <row r="45552">
      <c r="B45552" s="31"/>
      <c r="G45552" s="272" t="s">
        <v>1099</v>
      </c>
    </row>
    <row r="45553">
      <c r="B45553" s="31"/>
      <c r="G45553" s="272" t="s">
        <v>1099</v>
      </c>
    </row>
    <row r="45554">
      <c r="B45554" s="31"/>
      <c r="G45554" s="272" t="s">
        <v>1099</v>
      </c>
    </row>
    <row r="45555">
      <c r="B45555" s="31"/>
      <c r="G45555" s="272" t="s">
        <v>1099</v>
      </c>
    </row>
    <row r="45556">
      <c r="B45556" s="31"/>
      <c r="G45556" s="272" t="s">
        <v>1099</v>
      </c>
    </row>
    <row r="45557">
      <c r="B45557" s="31"/>
      <c r="G45557" s="272" t="s">
        <v>1099</v>
      </c>
    </row>
    <row r="45558">
      <c r="B45558" s="31"/>
      <c r="G45558" s="272" t="s">
        <v>1099</v>
      </c>
    </row>
    <row r="45559">
      <c r="B45559" s="31"/>
      <c r="G45559" s="272" t="s">
        <v>1099</v>
      </c>
    </row>
    <row r="45560">
      <c r="B45560" s="31"/>
      <c r="G45560" s="272" t="s">
        <v>1099</v>
      </c>
    </row>
    <row r="45561">
      <c r="B45561" s="31"/>
      <c r="G45561" s="272" t="s">
        <v>1099</v>
      </c>
    </row>
    <row r="45562">
      <c r="B45562" s="31"/>
      <c r="G45562" s="272" t="s">
        <v>1099</v>
      </c>
    </row>
    <row r="45563">
      <c r="B45563" s="31"/>
      <c r="G45563" s="272" t="s">
        <v>1099</v>
      </c>
    </row>
    <row r="45564">
      <c r="B45564" s="31"/>
      <c r="G45564" s="272" t="s">
        <v>1099</v>
      </c>
    </row>
    <row r="45565">
      <c r="B45565" s="31"/>
      <c r="G45565" s="272" t="s">
        <v>1099</v>
      </c>
    </row>
    <row r="45566">
      <c r="B45566" s="31"/>
      <c r="G45566" s="272" t="s">
        <v>1099</v>
      </c>
    </row>
    <row r="45567">
      <c r="B45567" s="31"/>
      <c r="G45567" s="272" t="s">
        <v>1099</v>
      </c>
    </row>
    <row r="45568">
      <c r="B45568" s="31"/>
      <c r="G45568" s="272" t="s">
        <v>1099</v>
      </c>
    </row>
    <row r="45569">
      <c r="B45569" s="31"/>
      <c r="G45569" s="272" t="s">
        <v>1099</v>
      </c>
    </row>
    <row r="45570">
      <c r="B45570" s="31"/>
      <c r="G45570" s="272" t="s">
        <v>1099</v>
      </c>
    </row>
    <row r="45571">
      <c r="B45571" s="31"/>
      <c r="G45571" s="272" t="s">
        <v>1099</v>
      </c>
    </row>
    <row r="45572">
      <c r="B45572" s="31"/>
      <c r="G45572" s="272" t="s">
        <v>1099</v>
      </c>
    </row>
    <row r="45573">
      <c r="B45573" s="31"/>
      <c r="G45573" s="272" t="s">
        <v>1099</v>
      </c>
    </row>
    <row r="45574">
      <c r="B45574" s="31"/>
      <c r="G45574" s="272" t="s">
        <v>1099</v>
      </c>
    </row>
    <row r="45575">
      <c r="B45575" s="31"/>
      <c r="G45575" s="272" t="s">
        <v>1099</v>
      </c>
    </row>
    <row r="45576">
      <c r="B45576" s="31"/>
      <c r="G45576" s="272" t="s">
        <v>1099</v>
      </c>
    </row>
    <row r="45577">
      <c r="B45577" s="31"/>
      <c r="G45577" s="272" t="s">
        <v>1099</v>
      </c>
    </row>
    <row r="45578">
      <c r="B45578" s="31"/>
      <c r="G45578" s="272" t="s">
        <v>1099</v>
      </c>
    </row>
    <row r="45579">
      <c r="B45579" s="31"/>
      <c r="G45579" s="272" t="s">
        <v>1099</v>
      </c>
    </row>
    <row r="45580">
      <c r="B45580" s="31"/>
      <c r="G45580" s="272" t="s">
        <v>1099</v>
      </c>
    </row>
    <row r="45581">
      <c r="B45581" s="31"/>
      <c r="G45581" s="272" t="s">
        <v>1099</v>
      </c>
    </row>
    <row r="45582">
      <c r="B45582" s="31"/>
      <c r="G45582" s="272" t="s">
        <v>1099</v>
      </c>
    </row>
    <row r="45583">
      <c r="B45583" s="31"/>
      <c r="G45583" s="272" t="s">
        <v>1099</v>
      </c>
    </row>
    <row r="45584">
      <c r="B45584" s="31"/>
      <c r="G45584" s="272" t="s">
        <v>1099</v>
      </c>
    </row>
    <row r="45585">
      <c r="B45585" s="31"/>
      <c r="G45585" s="272" t="s">
        <v>1099</v>
      </c>
    </row>
    <row r="45586">
      <c r="B45586" s="31"/>
      <c r="G45586" s="272" t="s">
        <v>1099</v>
      </c>
    </row>
    <row r="45587">
      <c r="B45587" s="31"/>
      <c r="G45587" s="272" t="s">
        <v>1099</v>
      </c>
    </row>
    <row r="45588">
      <c r="B45588" s="31"/>
      <c r="G45588" s="272" t="s">
        <v>1099</v>
      </c>
    </row>
    <row r="45589">
      <c r="B45589" s="31"/>
      <c r="G45589" s="272" t="s">
        <v>1099</v>
      </c>
    </row>
    <row r="45590">
      <c r="B45590" s="31"/>
      <c r="G45590" s="272" t="s">
        <v>1099</v>
      </c>
    </row>
    <row r="45591">
      <c r="B45591" s="31"/>
      <c r="G45591" s="272" t="s">
        <v>1099</v>
      </c>
    </row>
    <row r="45592">
      <c r="B45592" s="31"/>
      <c r="G45592" s="272" t="s">
        <v>1099</v>
      </c>
    </row>
    <row r="45593">
      <c r="B45593" s="31"/>
      <c r="G45593" s="272" t="s">
        <v>1099</v>
      </c>
    </row>
    <row r="45594">
      <c r="B45594" s="31"/>
      <c r="G45594" s="272" t="s">
        <v>1099</v>
      </c>
    </row>
    <row r="45595">
      <c r="B45595" s="31"/>
      <c r="G45595" s="272" t="s">
        <v>1099</v>
      </c>
    </row>
    <row r="45596">
      <c r="B45596" s="31"/>
      <c r="G45596" s="272" t="s">
        <v>1099</v>
      </c>
    </row>
    <row r="45597">
      <c r="B45597" s="31"/>
      <c r="G45597" s="272" t="s">
        <v>1099</v>
      </c>
    </row>
    <row r="45598">
      <c r="B45598" s="31"/>
      <c r="G45598" s="272" t="s">
        <v>1099</v>
      </c>
    </row>
    <row r="45599">
      <c r="B45599" s="31"/>
      <c r="G45599" s="272" t="s">
        <v>1099</v>
      </c>
    </row>
    <row r="45600">
      <c r="B45600" s="31"/>
      <c r="G45600" s="272" t="s">
        <v>1099</v>
      </c>
    </row>
    <row r="45601">
      <c r="B45601" s="31"/>
      <c r="G45601" s="272" t="s">
        <v>1099</v>
      </c>
    </row>
    <row r="45602">
      <c r="B45602" s="31"/>
      <c r="G45602" s="272" t="s">
        <v>1099</v>
      </c>
    </row>
    <row r="45603">
      <c r="B45603" s="31"/>
      <c r="G45603" s="272" t="s">
        <v>1099</v>
      </c>
    </row>
    <row r="45604">
      <c r="B45604" s="31"/>
      <c r="G45604" s="272" t="s">
        <v>1099</v>
      </c>
    </row>
    <row r="45605">
      <c r="B45605" s="31"/>
      <c r="G45605" s="272" t="s">
        <v>1099</v>
      </c>
    </row>
    <row r="45606">
      <c r="B45606" s="31"/>
      <c r="G45606" s="272" t="s">
        <v>1099</v>
      </c>
    </row>
    <row r="45607">
      <c r="B45607" s="31"/>
      <c r="G45607" s="272" t="s">
        <v>1099</v>
      </c>
    </row>
    <row r="45608">
      <c r="B45608" s="31"/>
      <c r="G45608" s="272" t="s">
        <v>1099</v>
      </c>
    </row>
    <row r="45609">
      <c r="B45609" s="31"/>
      <c r="G45609" s="272" t="s">
        <v>1099</v>
      </c>
    </row>
    <row r="45610">
      <c r="B45610" s="31"/>
      <c r="G45610" s="272" t="s">
        <v>1099</v>
      </c>
    </row>
    <row r="45611">
      <c r="B45611" s="31"/>
      <c r="G45611" s="272" t="s">
        <v>1099</v>
      </c>
    </row>
    <row r="45612">
      <c r="B45612" s="31"/>
      <c r="G45612" s="272" t="s">
        <v>1099</v>
      </c>
    </row>
    <row r="45613">
      <c r="B45613" s="31"/>
      <c r="G45613" s="272" t="s">
        <v>1099</v>
      </c>
    </row>
    <row r="45614">
      <c r="B45614" s="31"/>
      <c r="G45614" s="272" t="s">
        <v>1099</v>
      </c>
    </row>
    <row r="45615">
      <c r="B45615" s="31"/>
      <c r="G45615" s="272" t="s">
        <v>1099</v>
      </c>
    </row>
    <row r="45616">
      <c r="B45616" s="31"/>
      <c r="G45616" s="272" t="s">
        <v>1099</v>
      </c>
    </row>
    <row r="45617">
      <c r="B45617" s="31"/>
      <c r="G45617" s="272" t="s">
        <v>1099</v>
      </c>
    </row>
    <row r="45618">
      <c r="B45618" s="31"/>
      <c r="G45618" s="272" t="s">
        <v>1099</v>
      </c>
    </row>
    <row r="45619">
      <c r="B45619" s="31"/>
      <c r="G45619" s="272" t="s">
        <v>1099</v>
      </c>
    </row>
    <row r="45620">
      <c r="B45620" s="31"/>
      <c r="G45620" s="272" t="s">
        <v>1099</v>
      </c>
    </row>
    <row r="45621">
      <c r="B45621" s="31"/>
      <c r="G45621" s="272" t="s">
        <v>1099</v>
      </c>
    </row>
    <row r="45622">
      <c r="B45622" s="31"/>
      <c r="G45622" s="272" t="s">
        <v>1099</v>
      </c>
    </row>
    <row r="45623">
      <c r="B45623" s="31"/>
      <c r="G45623" s="272" t="s">
        <v>1099</v>
      </c>
    </row>
    <row r="45624">
      <c r="B45624" s="31"/>
      <c r="G45624" s="272" t="s">
        <v>1099</v>
      </c>
    </row>
    <row r="45625">
      <c r="B45625" s="31"/>
      <c r="G45625" s="272" t="s">
        <v>1099</v>
      </c>
    </row>
    <row r="45626">
      <c r="B45626" s="31"/>
      <c r="G45626" s="272" t="s">
        <v>1099</v>
      </c>
    </row>
    <row r="45627">
      <c r="B45627" s="31"/>
      <c r="G45627" s="272" t="s">
        <v>1099</v>
      </c>
    </row>
    <row r="45628">
      <c r="B45628" s="31"/>
      <c r="G45628" s="272" t="s">
        <v>1099</v>
      </c>
    </row>
    <row r="45629">
      <c r="B45629" s="31"/>
      <c r="G45629" s="272" t="s">
        <v>1099</v>
      </c>
    </row>
    <row r="45630">
      <c r="B45630" s="31"/>
      <c r="G45630" s="272" t="s">
        <v>1099</v>
      </c>
    </row>
    <row r="45631">
      <c r="B45631" s="31"/>
      <c r="G45631" s="272" t="s">
        <v>1099</v>
      </c>
    </row>
    <row r="45632">
      <c r="B45632" s="31"/>
      <c r="G45632" s="272" t="s">
        <v>1099</v>
      </c>
    </row>
    <row r="45633">
      <c r="B45633" s="31"/>
      <c r="G45633" s="272" t="s">
        <v>1099</v>
      </c>
    </row>
    <row r="45634">
      <c r="B45634" s="31"/>
      <c r="G45634" s="272" t="s">
        <v>1099</v>
      </c>
    </row>
    <row r="45635">
      <c r="B45635" s="31"/>
      <c r="G45635" s="272" t="s">
        <v>1099</v>
      </c>
    </row>
    <row r="45636">
      <c r="B45636" s="31"/>
      <c r="G45636" s="272" t="s">
        <v>1099</v>
      </c>
    </row>
    <row r="45637">
      <c r="B45637" s="31"/>
      <c r="G45637" s="272" t="s">
        <v>1099</v>
      </c>
    </row>
    <row r="45638">
      <c r="B45638" s="31"/>
      <c r="G45638" s="272" t="s">
        <v>1099</v>
      </c>
    </row>
    <row r="45639">
      <c r="B45639" s="31"/>
      <c r="G45639" s="272" t="s">
        <v>1099</v>
      </c>
    </row>
    <row r="45640">
      <c r="B45640" s="31"/>
      <c r="G45640" s="272" t="s">
        <v>1099</v>
      </c>
    </row>
    <row r="45641">
      <c r="B45641" s="31"/>
      <c r="G45641" s="272" t="s">
        <v>1099</v>
      </c>
    </row>
    <row r="45642">
      <c r="B45642" s="31"/>
      <c r="G45642" s="272" t="s">
        <v>1099</v>
      </c>
    </row>
    <row r="45643">
      <c r="B45643" s="31"/>
      <c r="G45643" s="272" t="s">
        <v>1099</v>
      </c>
    </row>
    <row r="45644">
      <c r="B45644" s="31"/>
      <c r="G45644" s="272" t="s">
        <v>1099</v>
      </c>
    </row>
    <row r="45645">
      <c r="B45645" s="31"/>
      <c r="G45645" s="272" t="s">
        <v>1099</v>
      </c>
    </row>
    <row r="45646">
      <c r="B45646" s="31"/>
      <c r="G45646" s="272" t="s">
        <v>1099</v>
      </c>
    </row>
    <row r="45647">
      <c r="B45647" s="31"/>
      <c r="G45647" s="272" t="s">
        <v>1099</v>
      </c>
    </row>
    <row r="45648">
      <c r="B45648" s="31"/>
      <c r="G45648" s="272" t="s">
        <v>1099</v>
      </c>
    </row>
    <row r="45649">
      <c r="B45649" s="31"/>
      <c r="G45649" s="272" t="s">
        <v>1099</v>
      </c>
    </row>
    <row r="45650">
      <c r="B45650" s="31"/>
      <c r="G45650" s="272" t="s">
        <v>1099</v>
      </c>
    </row>
    <row r="45651">
      <c r="B45651" s="31"/>
      <c r="G45651" s="272" t="s">
        <v>1099</v>
      </c>
    </row>
    <row r="45652">
      <c r="B45652" s="31"/>
      <c r="G45652" s="272" t="s">
        <v>1099</v>
      </c>
    </row>
    <row r="45653">
      <c r="B45653" s="31"/>
      <c r="G45653" s="272" t="s">
        <v>1099</v>
      </c>
    </row>
    <row r="45654">
      <c r="B45654" s="31"/>
      <c r="G45654" s="272" t="s">
        <v>1099</v>
      </c>
    </row>
    <row r="45655">
      <c r="B45655" s="31"/>
      <c r="G45655" s="272" t="s">
        <v>1099</v>
      </c>
    </row>
    <row r="45656">
      <c r="B45656" s="31"/>
      <c r="G45656" s="272" t="s">
        <v>1099</v>
      </c>
    </row>
    <row r="45657">
      <c r="B45657" s="31"/>
      <c r="G45657" s="272" t="s">
        <v>1099</v>
      </c>
    </row>
    <row r="45658">
      <c r="B45658" s="31"/>
      <c r="G45658" s="272" t="s">
        <v>1099</v>
      </c>
    </row>
    <row r="45659">
      <c r="B45659" s="31"/>
      <c r="G45659" s="272" t="s">
        <v>1099</v>
      </c>
    </row>
    <row r="45660">
      <c r="B45660" s="31"/>
      <c r="G45660" s="272" t="s">
        <v>1099</v>
      </c>
    </row>
    <row r="45661">
      <c r="B45661" s="31"/>
      <c r="G45661" s="272" t="s">
        <v>1099</v>
      </c>
    </row>
    <row r="45662">
      <c r="B45662" s="31"/>
      <c r="G45662" s="272" t="s">
        <v>1099</v>
      </c>
    </row>
    <row r="45663">
      <c r="B45663" s="31"/>
      <c r="G45663" s="272" t="s">
        <v>1099</v>
      </c>
    </row>
    <row r="45664">
      <c r="B45664" s="31"/>
      <c r="G45664" s="272" t="s">
        <v>1099</v>
      </c>
    </row>
    <row r="45665">
      <c r="B45665" s="31"/>
      <c r="G45665" s="272" t="s">
        <v>1099</v>
      </c>
    </row>
    <row r="45666">
      <c r="B45666" s="31"/>
      <c r="G45666" s="272" t="s">
        <v>1099</v>
      </c>
    </row>
    <row r="45667">
      <c r="B45667" s="31"/>
      <c r="G45667" s="272" t="s">
        <v>1099</v>
      </c>
    </row>
    <row r="45668">
      <c r="B45668" s="31"/>
      <c r="G45668" s="272" t="s">
        <v>1099</v>
      </c>
    </row>
    <row r="45669">
      <c r="B45669" s="31"/>
      <c r="G45669" s="272" t="s">
        <v>1099</v>
      </c>
    </row>
    <row r="45670">
      <c r="B45670" s="31"/>
      <c r="G45670" s="272" t="s">
        <v>1099</v>
      </c>
    </row>
    <row r="45671">
      <c r="B45671" s="31"/>
      <c r="G45671" s="272" t="s">
        <v>1099</v>
      </c>
    </row>
    <row r="45672">
      <c r="B45672" s="31"/>
      <c r="G45672" s="272" t="s">
        <v>1099</v>
      </c>
    </row>
    <row r="45673">
      <c r="B45673" s="31"/>
      <c r="G45673" s="272" t="s">
        <v>1099</v>
      </c>
    </row>
    <row r="45674">
      <c r="B45674" s="31"/>
      <c r="G45674" s="272" t="s">
        <v>1099</v>
      </c>
    </row>
    <row r="45675">
      <c r="B45675" s="31"/>
      <c r="G45675" s="272" t="s">
        <v>1099</v>
      </c>
    </row>
    <row r="45676">
      <c r="B45676" s="31"/>
      <c r="G45676" s="272" t="s">
        <v>1099</v>
      </c>
    </row>
    <row r="45677">
      <c r="B45677" s="31"/>
      <c r="G45677" s="272" t="s">
        <v>1099</v>
      </c>
    </row>
    <row r="45678">
      <c r="B45678" s="31"/>
      <c r="G45678" s="272" t="s">
        <v>1099</v>
      </c>
    </row>
    <row r="45679">
      <c r="B45679" s="31"/>
      <c r="G45679" s="272" t="s">
        <v>1099</v>
      </c>
    </row>
    <row r="45680">
      <c r="B45680" s="31"/>
      <c r="G45680" s="272" t="s">
        <v>1099</v>
      </c>
    </row>
    <row r="45681">
      <c r="B45681" s="31"/>
      <c r="G45681" s="272" t="s">
        <v>1099</v>
      </c>
    </row>
    <row r="45682">
      <c r="B45682" s="31"/>
      <c r="G45682" s="272" t="s">
        <v>1099</v>
      </c>
    </row>
    <row r="45683">
      <c r="B45683" s="31"/>
      <c r="G45683" s="272" t="s">
        <v>1099</v>
      </c>
    </row>
    <row r="45684">
      <c r="B45684" s="31"/>
      <c r="G45684" s="272" t="s">
        <v>1099</v>
      </c>
    </row>
    <row r="45685">
      <c r="B45685" s="31"/>
      <c r="G45685" s="272" t="s">
        <v>1099</v>
      </c>
    </row>
    <row r="45686">
      <c r="B45686" s="31"/>
      <c r="G45686" s="272" t="s">
        <v>1099</v>
      </c>
    </row>
    <row r="45687">
      <c r="B45687" s="31"/>
      <c r="G45687" s="272" t="s">
        <v>1099</v>
      </c>
    </row>
    <row r="45688">
      <c r="B45688" s="31"/>
      <c r="G45688" s="272" t="s">
        <v>1099</v>
      </c>
    </row>
    <row r="45689">
      <c r="B45689" s="31"/>
      <c r="G45689" s="272" t="s">
        <v>1099</v>
      </c>
    </row>
    <row r="45690">
      <c r="B45690" s="31"/>
      <c r="G45690" s="272" t="s">
        <v>1099</v>
      </c>
    </row>
    <row r="45691">
      <c r="B45691" s="31"/>
      <c r="G45691" s="272" t="s">
        <v>1099</v>
      </c>
    </row>
    <row r="45692">
      <c r="B45692" s="31"/>
      <c r="G45692" s="272" t="s">
        <v>1099</v>
      </c>
    </row>
    <row r="45693">
      <c r="B45693" s="31"/>
      <c r="G45693" s="272" t="s">
        <v>1099</v>
      </c>
    </row>
    <row r="45694">
      <c r="B45694" s="31"/>
      <c r="G45694" s="272" t="s">
        <v>1099</v>
      </c>
    </row>
    <row r="45695">
      <c r="B45695" s="31"/>
      <c r="G45695" s="272" t="s">
        <v>1099</v>
      </c>
    </row>
    <row r="45696">
      <c r="B45696" s="31"/>
      <c r="G45696" s="272" t="s">
        <v>1099</v>
      </c>
    </row>
    <row r="45697">
      <c r="B45697" s="31"/>
      <c r="G45697" s="272" t="s">
        <v>1099</v>
      </c>
    </row>
    <row r="45698">
      <c r="B45698" s="31"/>
      <c r="G45698" s="272" t="s">
        <v>1099</v>
      </c>
    </row>
    <row r="45699">
      <c r="B45699" s="31"/>
      <c r="G45699" s="272" t="s">
        <v>1099</v>
      </c>
    </row>
    <row r="45700">
      <c r="B45700" s="31"/>
      <c r="G45700" s="272" t="s">
        <v>1099</v>
      </c>
    </row>
    <row r="45701">
      <c r="B45701" s="31"/>
      <c r="G45701" s="272" t="s">
        <v>1099</v>
      </c>
    </row>
    <row r="45702">
      <c r="B45702" s="31"/>
      <c r="G45702" s="272" t="s">
        <v>1099</v>
      </c>
    </row>
    <row r="45703">
      <c r="B45703" s="31"/>
      <c r="G45703" s="272" t="s">
        <v>1099</v>
      </c>
    </row>
    <row r="45704">
      <c r="B45704" s="31"/>
      <c r="G45704" s="272" t="s">
        <v>1099</v>
      </c>
    </row>
    <row r="45705">
      <c r="B45705" s="31"/>
      <c r="G45705" s="272" t="s">
        <v>1099</v>
      </c>
    </row>
    <row r="45706">
      <c r="B45706" s="31"/>
      <c r="G45706" s="272" t="s">
        <v>1099</v>
      </c>
    </row>
    <row r="45707">
      <c r="B45707" s="31"/>
      <c r="G45707" s="272" t="s">
        <v>1099</v>
      </c>
    </row>
    <row r="45708">
      <c r="B45708" s="31"/>
      <c r="G45708" s="272" t="s">
        <v>1099</v>
      </c>
    </row>
    <row r="45709">
      <c r="B45709" s="31"/>
      <c r="G45709" s="272" t="s">
        <v>1099</v>
      </c>
    </row>
    <row r="45710">
      <c r="B45710" s="31"/>
      <c r="G45710" s="272" t="s">
        <v>1099</v>
      </c>
    </row>
    <row r="45711">
      <c r="B45711" s="31"/>
      <c r="G45711" s="272" t="s">
        <v>1099</v>
      </c>
    </row>
    <row r="45712">
      <c r="B45712" s="31"/>
      <c r="G45712" s="272" t="s">
        <v>1099</v>
      </c>
    </row>
    <row r="45713">
      <c r="B45713" s="31"/>
      <c r="G45713" s="272" t="s">
        <v>1099</v>
      </c>
    </row>
    <row r="45714">
      <c r="B45714" s="31"/>
      <c r="G45714" s="272" t="s">
        <v>1099</v>
      </c>
    </row>
    <row r="45715">
      <c r="B45715" s="31"/>
      <c r="G45715" s="272" t="s">
        <v>1099</v>
      </c>
    </row>
    <row r="45716">
      <c r="B45716" s="31"/>
      <c r="G45716" s="272" t="s">
        <v>1099</v>
      </c>
    </row>
    <row r="45717">
      <c r="B45717" s="31"/>
      <c r="G45717" s="272" t="s">
        <v>1099</v>
      </c>
    </row>
    <row r="45718">
      <c r="B45718" s="31"/>
      <c r="G45718" s="272" t="s">
        <v>1099</v>
      </c>
    </row>
    <row r="45719">
      <c r="B45719" s="31"/>
      <c r="G45719" s="272" t="s">
        <v>1099</v>
      </c>
    </row>
    <row r="45720">
      <c r="B45720" s="31"/>
      <c r="G45720" s="272" t="s">
        <v>1099</v>
      </c>
    </row>
    <row r="45721">
      <c r="B45721" s="31"/>
      <c r="G45721" s="272" t="s">
        <v>1099</v>
      </c>
    </row>
    <row r="45722">
      <c r="B45722" s="31"/>
      <c r="G45722" s="272" t="s">
        <v>1099</v>
      </c>
    </row>
    <row r="45723">
      <c r="B45723" s="31"/>
      <c r="G45723" s="272" t="s">
        <v>1099</v>
      </c>
    </row>
    <row r="45724">
      <c r="B45724" s="31"/>
      <c r="G45724" s="272" t="s">
        <v>1099</v>
      </c>
    </row>
    <row r="45725">
      <c r="B45725" s="31"/>
      <c r="G45725" s="272" t="s">
        <v>1099</v>
      </c>
    </row>
    <row r="45726">
      <c r="B45726" s="31"/>
      <c r="G45726" s="272" t="s">
        <v>1099</v>
      </c>
    </row>
    <row r="45727">
      <c r="B45727" s="31"/>
      <c r="G45727" s="272" t="s">
        <v>1099</v>
      </c>
    </row>
    <row r="45728">
      <c r="B45728" s="31"/>
      <c r="G45728" s="272" t="s">
        <v>1099</v>
      </c>
    </row>
    <row r="45729">
      <c r="B45729" s="31"/>
      <c r="G45729" s="272" t="s">
        <v>1099</v>
      </c>
    </row>
    <row r="45730">
      <c r="B45730" s="31"/>
      <c r="G45730" s="272" t="s">
        <v>1099</v>
      </c>
    </row>
    <row r="45731">
      <c r="B45731" s="31"/>
      <c r="G45731" s="272" t="s">
        <v>1099</v>
      </c>
    </row>
    <row r="45732">
      <c r="B45732" s="31"/>
      <c r="G45732" s="272" t="s">
        <v>1099</v>
      </c>
    </row>
    <row r="45733">
      <c r="B45733" s="31"/>
      <c r="G45733" s="272" t="s">
        <v>1099</v>
      </c>
    </row>
    <row r="45734">
      <c r="B45734" s="31"/>
      <c r="G45734" s="272" t="s">
        <v>1099</v>
      </c>
    </row>
    <row r="45735">
      <c r="B45735" s="31"/>
      <c r="G45735" s="272" t="s">
        <v>1099</v>
      </c>
    </row>
    <row r="45736">
      <c r="B45736" s="31"/>
      <c r="G45736" s="272" t="s">
        <v>1099</v>
      </c>
    </row>
    <row r="45737">
      <c r="B45737" s="31"/>
      <c r="G45737" s="272" t="s">
        <v>1099</v>
      </c>
    </row>
    <row r="45738">
      <c r="B45738" s="31"/>
      <c r="G45738" s="272" t="s">
        <v>1099</v>
      </c>
    </row>
    <row r="45739">
      <c r="B45739" s="31"/>
      <c r="G45739" s="272" t="s">
        <v>1099</v>
      </c>
    </row>
    <row r="45740">
      <c r="B45740" s="31"/>
      <c r="G45740" s="272" t="s">
        <v>1099</v>
      </c>
    </row>
    <row r="45741">
      <c r="B45741" s="31"/>
      <c r="G45741" s="272" t="s">
        <v>1099</v>
      </c>
    </row>
    <row r="45742">
      <c r="B45742" s="31"/>
      <c r="G45742" s="272" t="s">
        <v>1099</v>
      </c>
    </row>
    <row r="45743">
      <c r="B45743" s="31"/>
      <c r="G45743" s="272" t="s">
        <v>1099</v>
      </c>
    </row>
    <row r="45744">
      <c r="B45744" s="31"/>
      <c r="G45744" s="272" t="s">
        <v>1099</v>
      </c>
    </row>
    <row r="45745">
      <c r="B45745" s="31"/>
      <c r="G45745" s="272" t="s">
        <v>1099</v>
      </c>
    </row>
    <row r="45746">
      <c r="B45746" s="31"/>
      <c r="G45746" s="272" t="s">
        <v>1099</v>
      </c>
    </row>
    <row r="45747">
      <c r="B45747" s="31"/>
      <c r="G45747" s="272" t="s">
        <v>1099</v>
      </c>
    </row>
    <row r="45748">
      <c r="B45748" s="31"/>
      <c r="G45748" s="272" t="s">
        <v>1099</v>
      </c>
    </row>
    <row r="45749">
      <c r="B45749" s="31"/>
      <c r="G45749" s="272" t="s">
        <v>1099</v>
      </c>
    </row>
    <row r="45750">
      <c r="B45750" s="31"/>
      <c r="G45750" s="272" t="s">
        <v>1099</v>
      </c>
    </row>
    <row r="45751">
      <c r="B45751" s="31"/>
      <c r="G45751" s="272" t="s">
        <v>1099</v>
      </c>
    </row>
    <row r="45752">
      <c r="B45752" s="31"/>
      <c r="G45752" s="272" t="s">
        <v>1099</v>
      </c>
    </row>
    <row r="45753">
      <c r="B45753" s="31"/>
      <c r="G45753" s="272" t="s">
        <v>1099</v>
      </c>
    </row>
    <row r="45754">
      <c r="B45754" s="31"/>
      <c r="G45754" s="272" t="s">
        <v>1099</v>
      </c>
    </row>
    <row r="45755">
      <c r="B45755" s="31"/>
      <c r="G45755" s="272" t="s">
        <v>1099</v>
      </c>
    </row>
    <row r="45756">
      <c r="B45756" s="31"/>
      <c r="G45756" s="272" t="s">
        <v>1099</v>
      </c>
    </row>
    <row r="45757">
      <c r="B45757" s="31"/>
      <c r="G45757" s="272" t="s">
        <v>1099</v>
      </c>
    </row>
    <row r="45758">
      <c r="B45758" s="31"/>
      <c r="G45758" s="272" t="s">
        <v>1099</v>
      </c>
    </row>
    <row r="45759">
      <c r="B45759" s="31"/>
      <c r="G45759" s="272" t="s">
        <v>1099</v>
      </c>
    </row>
    <row r="45760">
      <c r="B45760" s="31"/>
      <c r="G45760" s="272" t="s">
        <v>1099</v>
      </c>
    </row>
    <row r="45761">
      <c r="B45761" s="31"/>
      <c r="G45761" s="272" t="s">
        <v>1099</v>
      </c>
    </row>
    <row r="45762">
      <c r="B45762" s="31"/>
      <c r="G45762" s="272" t="s">
        <v>1099</v>
      </c>
    </row>
    <row r="45763">
      <c r="B45763" s="31"/>
      <c r="G45763" s="272" t="s">
        <v>1099</v>
      </c>
    </row>
    <row r="45764">
      <c r="B45764" s="31"/>
      <c r="G45764" s="272" t="s">
        <v>1099</v>
      </c>
    </row>
    <row r="45765">
      <c r="B45765" s="31"/>
      <c r="G45765" s="272" t="s">
        <v>1099</v>
      </c>
    </row>
    <row r="45766">
      <c r="B45766" s="31"/>
      <c r="G45766" s="272" t="s">
        <v>1099</v>
      </c>
    </row>
    <row r="45767">
      <c r="B45767" s="31"/>
      <c r="G45767" s="272" t="s">
        <v>1099</v>
      </c>
    </row>
    <row r="45768">
      <c r="B45768" s="31"/>
      <c r="G45768" s="272" t="s">
        <v>1099</v>
      </c>
    </row>
    <row r="45769">
      <c r="B45769" s="31"/>
      <c r="G45769" s="272" t="s">
        <v>1099</v>
      </c>
    </row>
    <row r="45770">
      <c r="B45770" s="31"/>
      <c r="G45770" s="272" t="s">
        <v>1099</v>
      </c>
    </row>
    <row r="45771">
      <c r="B45771" s="31"/>
      <c r="G45771" s="272" t="s">
        <v>1099</v>
      </c>
    </row>
    <row r="45772">
      <c r="B45772" s="31"/>
      <c r="G45772" s="272" t="s">
        <v>1099</v>
      </c>
    </row>
    <row r="45773">
      <c r="B45773" s="31"/>
      <c r="G45773" s="272" t="s">
        <v>1099</v>
      </c>
    </row>
    <row r="45774">
      <c r="B45774" s="31"/>
      <c r="G45774" s="272" t="s">
        <v>1099</v>
      </c>
    </row>
    <row r="45775">
      <c r="B45775" s="31"/>
      <c r="G45775" s="272" t="s">
        <v>1099</v>
      </c>
    </row>
    <row r="45776">
      <c r="B45776" s="31"/>
      <c r="G45776" s="272" t="s">
        <v>1099</v>
      </c>
    </row>
    <row r="45777">
      <c r="B45777" s="31"/>
      <c r="G45777" s="272" t="s">
        <v>1099</v>
      </c>
    </row>
    <row r="45778">
      <c r="B45778" s="31"/>
      <c r="G45778" s="272" t="s">
        <v>1099</v>
      </c>
    </row>
    <row r="45779">
      <c r="B45779" s="31"/>
      <c r="G45779" s="272" t="s">
        <v>1099</v>
      </c>
    </row>
    <row r="45780">
      <c r="B45780" s="31"/>
      <c r="G45780" s="272" t="s">
        <v>1099</v>
      </c>
    </row>
    <row r="45781">
      <c r="B45781" s="31"/>
      <c r="G45781" s="272" t="s">
        <v>1099</v>
      </c>
    </row>
    <row r="45782">
      <c r="B45782" s="31"/>
      <c r="G45782" s="272" t="s">
        <v>1099</v>
      </c>
    </row>
    <row r="45783">
      <c r="B45783" s="31"/>
      <c r="G45783" s="272" t="s">
        <v>1099</v>
      </c>
    </row>
    <row r="45784">
      <c r="B45784" s="31"/>
      <c r="G45784" s="272" t="s">
        <v>1099</v>
      </c>
    </row>
    <row r="45785">
      <c r="B45785" s="31"/>
      <c r="G45785" s="272" t="s">
        <v>1099</v>
      </c>
    </row>
    <row r="45786">
      <c r="B45786" s="31"/>
      <c r="G45786" s="272" t="s">
        <v>1099</v>
      </c>
    </row>
    <row r="45787">
      <c r="B45787" s="31"/>
      <c r="G45787" s="272" t="s">
        <v>1099</v>
      </c>
    </row>
    <row r="45788">
      <c r="B45788" s="31"/>
      <c r="G45788" s="272" t="s">
        <v>1099</v>
      </c>
    </row>
    <row r="45789">
      <c r="B45789" s="31"/>
      <c r="G45789" s="272" t="s">
        <v>1099</v>
      </c>
    </row>
    <row r="45790">
      <c r="B45790" s="31"/>
      <c r="G45790" s="272" t="s">
        <v>1099</v>
      </c>
    </row>
    <row r="45791">
      <c r="B45791" s="31"/>
      <c r="G45791" s="272" t="s">
        <v>1099</v>
      </c>
    </row>
    <row r="45792">
      <c r="B45792" s="31"/>
      <c r="G45792" s="272" t="s">
        <v>1099</v>
      </c>
    </row>
    <row r="45793">
      <c r="B45793" s="31"/>
      <c r="G45793" s="272" t="s">
        <v>1099</v>
      </c>
    </row>
    <row r="45794">
      <c r="B45794" s="31"/>
      <c r="G45794" s="272" t="s">
        <v>1099</v>
      </c>
    </row>
    <row r="45795">
      <c r="B45795" s="31"/>
      <c r="G45795" s="272" t="s">
        <v>1099</v>
      </c>
    </row>
    <row r="45796">
      <c r="B45796" s="31"/>
      <c r="G45796" s="272" t="s">
        <v>1099</v>
      </c>
    </row>
    <row r="45797">
      <c r="B45797" s="31"/>
      <c r="G45797" s="272" t="s">
        <v>1099</v>
      </c>
    </row>
    <row r="45798">
      <c r="B45798" s="31"/>
      <c r="G45798" s="272" t="s">
        <v>1099</v>
      </c>
    </row>
    <row r="45799">
      <c r="B45799" s="31"/>
      <c r="G45799" s="272" t="s">
        <v>1099</v>
      </c>
    </row>
    <row r="45800">
      <c r="B45800" s="31"/>
      <c r="G45800" s="272" t="s">
        <v>1099</v>
      </c>
    </row>
    <row r="45801">
      <c r="B45801" s="31"/>
      <c r="G45801" s="272" t="s">
        <v>1099</v>
      </c>
    </row>
    <row r="45802">
      <c r="B45802" s="31"/>
      <c r="G45802" s="272" t="s">
        <v>1099</v>
      </c>
    </row>
    <row r="45803">
      <c r="B45803" s="31"/>
      <c r="G45803" s="272" t="s">
        <v>1099</v>
      </c>
    </row>
    <row r="45804">
      <c r="B45804" s="31"/>
      <c r="G45804" s="272" t="s">
        <v>1099</v>
      </c>
    </row>
    <row r="45805">
      <c r="B45805" s="31"/>
      <c r="G45805" s="272" t="s">
        <v>1099</v>
      </c>
    </row>
    <row r="45806">
      <c r="B45806" s="31"/>
      <c r="G45806" s="272" t="s">
        <v>1099</v>
      </c>
    </row>
    <row r="45807">
      <c r="B45807" s="31"/>
      <c r="G45807" s="272" t="s">
        <v>1099</v>
      </c>
    </row>
    <row r="45808">
      <c r="B45808" s="31"/>
      <c r="G45808" s="272" t="s">
        <v>1099</v>
      </c>
    </row>
    <row r="45809">
      <c r="B45809" s="31"/>
      <c r="G45809" s="272" t="s">
        <v>1099</v>
      </c>
    </row>
    <row r="45810">
      <c r="B45810" s="31"/>
      <c r="G45810" s="272" t="s">
        <v>1099</v>
      </c>
    </row>
    <row r="45811">
      <c r="B45811" s="31"/>
      <c r="G45811" s="272" t="s">
        <v>1099</v>
      </c>
    </row>
    <row r="45812">
      <c r="B45812" s="31"/>
      <c r="G45812" s="272" t="s">
        <v>1099</v>
      </c>
    </row>
    <row r="45813">
      <c r="B45813" s="31"/>
      <c r="G45813" s="272" t="s">
        <v>1099</v>
      </c>
    </row>
    <row r="45814">
      <c r="B45814" s="31"/>
      <c r="G45814" s="272" t="s">
        <v>1099</v>
      </c>
    </row>
    <row r="45815">
      <c r="B45815" s="31"/>
      <c r="G45815" s="272" t="s">
        <v>1099</v>
      </c>
    </row>
    <row r="45816">
      <c r="B45816" s="31"/>
      <c r="G45816" s="272" t="s">
        <v>1099</v>
      </c>
    </row>
    <row r="45817">
      <c r="B45817" s="31"/>
      <c r="G45817" s="272" t="s">
        <v>1099</v>
      </c>
    </row>
    <row r="45818">
      <c r="B45818" s="31"/>
      <c r="G45818" s="272" t="s">
        <v>1099</v>
      </c>
    </row>
    <row r="45819">
      <c r="B45819" s="31"/>
      <c r="G45819" s="272" t="s">
        <v>1099</v>
      </c>
    </row>
    <row r="45820">
      <c r="B45820" s="31"/>
      <c r="G45820" s="272" t="s">
        <v>1099</v>
      </c>
    </row>
    <row r="45821">
      <c r="B45821" s="31"/>
      <c r="G45821" s="272" t="s">
        <v>1099</v>
      </c>
    </row>
    <row r="45822">
      <c r="B45822" s="31"/>
      <c r="G45822" s="272" t="s">
        <v>1099</v>
      </c>
    </row>
    <row r="45823">
      <c r="B45823" s="31"/>
      <c r="G45823" s="272" t="s">
        <v>1099</v>
      </c>
    </row>
    <row r="45824">
      <c r="B45824" s="31"/>
      <c r="G45824" s="272" t="s">
        <v>1099</v>
      </c>
    </row>
    <row r="45825">
      <c r="B45825" s="31"/>
      <c r="G45825" s="272" t="s">
        <v>1099</v>
      </c>
    </row>
    <row r="45826">
      <c r="B45826" s="31"/>
      <c r="G45826" s="272" t="s">
        <v>1099</v>
      </c>
    </row>
    <row r="45827">
      <c r="B45827" s="31"/>
      <c r="G45827" s="272" t="s">
        <v>1099</v>
      </c>
    </row>
    <row r="45828">
      <c r="B45828" s="31"/>
      <c r="G45828" s="272" t="s">
        <v>1099</v>
      </c>
    </row>
    <row r="45829">
      <c r="B45829" s="31"/>
      <c r="G45829" s="272" t="s">
        <v>1099</v>
      </c>
    </row>
    <row r="45830">
      <c r="B45830" s="31"/>
      <c r="G45830" s="272" t="s">
        <v>1099</v>
      </c>
    </row>
    <row r="45831">
      <c r="B45831" s="31"/>
      <c r="G45831" s="272" t="s">
        <v>1099</v>
      </c>
    </row>
    <row r="45832">
      <c r="B45832" s="31"/>
      <c r="G45832" s="272" t="s">
        <v>1099</v>
      </c>
    </row>
    <row r="45833">
      <c r="B45833" s="31"/>
      <c r="G45833" s="272" t="s">
        <v>1099</v>
      </c>
    </row>
    <row r="45834">
      <c r="B45834" s="31"/>
      <c r="G45834" s="272" t="s">
        <v>1099</v>
      </c>
    </row>
    <row r="45835">
      <c r="B45835" s="31"/>
      <c r="G45835" s="272" t="s">
        <v>1099</v>
      </c>
    </row>
    <row r="45836">
      <c r="B45836" s="31"/>
      <c r="G45836" s="272" t="s">
        <v>1099</v>
      </c>
    </row>
    <row r="45837">
      <c r="B45837" s="31"/>
      <c r="G45837" s="272" t="s">
        <v>1099</v>
      </c>
    </row>
    <row r="45838">
      <c r="B45838" s="31"/>
      <c r="G45838" s="272" t="s">
        <v>1099</v>
      </c>
    </row>
    <row r="45839">
      <c r="B45839" s="31"/>
      <c r="G45839" s="272" t="s">
        <v>1099</v>
      </c>
    </row>
    <row r="45840">
      <c r="B45840" s="31"/>
      <c r="G45840" s="272" t="s">
        <v>1099</v>
      </c>
    </row>
    <row r="45841">
      <c r="B45841" s="31"/>
      <c r="G45841" s="272" t="s">
        <v>1099</v>
      </c>
    </row>
    <row r="45842">
      <c r="B45842" s="31"/>
      <c r="G45842" s="272" t="s">
        <v>1099</v>
      </c>
    </row>
    <row r="45843">
      <c r="B45843" s="31"/>
      <c r="G45843" s="272" t="s">
        <v>1099</v>
      </c>
    </row>
    <row r="45844">
      <c r="B45844" s="31"/>
      <c r="G45844" s="272" t="s">
        <v>1099</v>
      </c>
    </row>
    <row r="45845">
      <c r="B45845" s="31"/>
      <c r="G45845" s="272" t="s">
        <v>1099</v>
      </c>
    </row>
    <row r="45846">
      <c r="B45846" s="31"/>
      <c r="G45846" s="272" t="s">
        <v>1099</v>
      </c>
    </row>
    <row r="45847">
      <c r="B45847" s="31"/>
      <c r="G45847" s="272" t="s">
        <v>1099</v>
      </c>
    </row>
    <row r="45848">
      <c r="B45848" s="31"/>
      <c r="G45848" s="272" t="s">
        <v>1099</v>
      </c>
    </row>
    <row r="45849">
      <c r="B45849" s="31"/>
      <c r="G45849" s="272" t="s">
        <v>1099</v>
      </c>
    </row>
    <row r="45850">
      <c r="B45850" s="31"/>
      <c r="G45850" s="272" t="s">
        <v>1099</v>
      </c>
    </row>
    <row r="45851">
      <c r="B45851" s="31"/>
      <c r="G45851" s="272" t="s">
        <v>1099</v>
      </c>
    </row>
    <row r="45852">
      <c r="B45852" s="31"/>
      <c r="G45852" s="272" t="s">
        <v>1099</v>
      </c>
    </row>
    <row r="45853">
      <c r="B45853" s="31"/>
      <c r="G45853" s="272" t="s">
        <v>1099</v>
      </c>
    </row>
    <row r="45854">
      <c r="B45854" s="31"/>
      <c r="G45854" s="272" t="s">
        <v>1099</v>
      </c>
    </row>
    <row r="45855">
      <c r="B45855" s="31"/>
      <c r="G45855" s="272" t="s">
        <v>1099</v>
      </c>
    </row>
    <row r="45856">
      <c r="B45856" s="31"/>
      <c r="G45856" s="272" t="s">
        <v>1099</v>
      </c>
    </row>
    <row r="45857">
      <c r="B45857" s="31"/>
      <c r="G45857" s="272" t="s">
        <v>1099</v>
      </c>
    </row>
    <row r="45858">
      <c r="B45858" s="31"/>
      <c r="G45858" s="272" t="s">
        <v>1099</v>
      </c>
    </row>
    <row r="45859">
      <c r="B45859" s="31"/>
      <c r="G45859" s="272" t="s">
        <v>1099</v>
      </c>
    </row>
    <row r="45860">
      <c r="B45860" s="31"/>
      <c r="G45860" s="272" t="s">
        <v>1099</v>
      </c>
    </row>
    <row r="45861">
      <c r="B45861" s="31"/>
      <c r="G45861" s="272" t="s">
        <v>1099</v>
      </c>
    </row>
    <row r="45862">
      <c r="B45862" s="31"/>
      <c r="G45862" s="272" t="s">
        <v>1099</v>
      </c>
    </row>
    <row r="45863">
      <c r="B45863" s="31"/>
      <c r="G45863" s="272" t="s">
        <v>1099</v>
      </c>
    </row>
    <row r="45864">
      <c r="B45864" s="31"/>
      <c r="G45864" s="272" t="s">
        <v>1099</v>
      </c>
    </row>
    <row r="45865">
      <c r="B45865" s="31"/>
      <c r="G45865" s="272" t="s">
        <v>1099</v>
      </c>
    </row>
    <row r="45866">
      <c r="B45866" s="31"/>
      <c r="G45866" s="272" t="s">
        <v>1099</v>
      </c>
    </row>
    <row r="45867">
      <c r="B45867" s="31"/>
      <c r="G45867" s="272" t="s">
        <v>1099</v>
      </c>
    </row>
    <row r="45868">
      <c r="B45868" s="31"/>
      <c r="G45868" s="272" t="s">
        <v>1099</v>
      </c>
    </row>
    <row r="45869">
      <c r="B45869" s="31"/>
      <c r="G45869" s="272" t="s">
        <v>1099</v>
      </c>
    </row>
    <row r="45870">
      <c r="B45870" s="31"/>
      <c r="G45870" s="272" t="s">
        <v>1099</v>
      </c>
    </row>
    <row r="45871">
      <c r="B45871" s="31"/>
      <c r="G45871" s="272" t="s">
        <v>1099</v>
      </c>
    </row>
    <row r="45872">
      <c r="B45872" s="31"/>
      <c r="G45872" s="272" t="s">
        <v>1099</v>
      </c>
    </row>
    <row r="45873">
      <c r="B45873" s="31"/>
      <c r="G45873" s="272" t="s">
        <v>1099</v>
      </c>
    </row>
    <row r="45874">
      <c r="B45874" s="31"/>
      <c r="G45874" s="272" t="s">
        <v>1099</v>
      </c>
    </row>
    <row r="45875">
      <c r="B45875" s="31"/>
      <c r="G45875" s="272" t="s">
        <v>1099</v>
      </c>
    </row>
    <row r="45876">
      <c r="B45876" s="31"/>
      <c r="G45876" s="272" t="s">
        <v>1099</v>
      </c>
    </row>
    <row r="45877">
      <c r="B45877" s="31"/>
      <c r="G45877" s="272" t="s">
        <v>1099</v>
      </c>
    </row>
    <row r="45878">
      <c r="B45878" s="31"/>
      <c r="G45878" s="272" t="s">
        <v>1099</v>
      </c>
    </row>
    <row r="45879">
      <c r="B45879" s="31"/>
      <c r="G45879" s="272" t="s">
        <v>1099</v>
      </c>
    </row>
    <row r="45880">
      <c r="B45880" s="31"/>
      <c r="G45880" s="272" t="s">
        <v>1099</v>
      </c>
    </row>
    <row r="45881">
      <c r="B45881" s="31"/>
      <c r="G45881" s="272" t="s">
        <v>1099</v>
      </c>
    </row>
    <row r="45882">
      <c r="B45882" s="31"/>
      <c r="G45882" s="272" t="s">
        <v>1099</v>
      </c>
    </row>
    <row r="45883">
      <c r="B45883" s="31"/>
      <c r="G45883" s="272" t="s">
        <v>1099</v>
      </c>
    </row>
    <row r="45884">
      <c r="B45884" s="31"/>
      <c r="G45884" s="272" t="s">
        <v>1099</v>
      </c>
    </row>
    <row r="45885">
      <c r="B45885" s="31"/>
      <c r="G45885" s="272" t="s">
        <v>1099</v>
      </c>
    </row>
    <row r="45886">
      <c r="B45886" s="31"/>
      <c r="G45886" s="272" t="s">
        <v>1099</v>
      </c>
    </row>
    <row r="45887">
      <c r="B45887" s="31"/>
      <c r="G45887" s="272" t="s">
        <v>1099</v>
      </c>
    </row>
    <row r="45888">
      <c r="B45888" s="31"/>
      <c r="G45888" s="272" t="s">
        <v>1099</v>
      </c>
    </row>
    <row r="45889">
      <c r="B45889" s="31"/>
      <c r="G45889" s="272" t="s">
        <v>1099</v>
      </c>
    </row>
    <row r="45890">
      <c r="B45890" s="31"/>
      <c r="G45890" s="272" t="s">
        <v>1099</v>
      </c>
    </row>
    <row r="45891">
      <c r="B45891" s="31"/>
      <c r="G45891" s="272" t="s">
        <v>1099</v>
      </c>
    </row>
    <row r="45892">
      <c r="B45892" s="31"/>
      <c r="G45892" s="272" t="s">
        <v>1099</v>
      </c>
    </row>
    <row r="45893">
      <c r="B45893" s="31"/>
      <c r="G45893" s="272" t="s">
        <v>1099</v>
      </c>
    </row>
    <row r="45894">
      <c r="B45894" s="31"/>
      <c r="G45894" s="272" t="s">
        <v>1099</v>
      </c>
    </row>
    <row r="45895">
      <c r="B45895" s="31"/>
      <c r="G45895" s="272" t="s">
        <v>1099</v>
      </c>
    </row>
    <row r="45896">
      <c r="B45896" s="31"/>
      <c r="G45896" s="272" t="s">
        <v>1099</v>
      </c>
    </row>
    <row r="45897">
      <c r="B45897" s="31"/>
      <c r="G45897" s="272" t="s">
        <v>1099</v>
      </c>
    </row>
    <row r="45898">
      <c r="B45898" s="31"/>
      <c r="G45898" s="272" t="s">
        <v>1099</v>
      </c>
    </row>
    <row r="45899">
      <c r="B45899" s="31"/>
      <c r="G45899" s="272" t="s">
        <v>1099</v>
      </c>
    </row>
    <row r="45900">
      <c r="B45900" s="31"/>
      <c r="G45900" s="272" t="s">
        <v>1099</v>
      </c>
    </row>
    <row r="45901">
      <c r="B45901" s="31"/>
      <c r="G45901" s="272" t="s">
        <v>1099</v>
      </c>
    </row>
    <row r="45902">
      <c r="B45902" s="31"/>
      <c r="G45902" s="272" t="s">
        <v>1099</v>
      </c>
    </row>
    <row r="45903">
      <c r="B45903" s="31"/>
      <c r="G45903" s="272" t="s">
        <v>1099</v>
      </c>
    </row>
    <row r="45904">
      <c r="B45904" s="31"/>
      <c r="G45904" s="272" t="s">
        <v>1099</v>
      </c>
    </row>
    <row r="45905">
      <c r="B45905" s="31"/>
      <c r="G45905" s="272" t="s">
        <v>1099</v>
      </c>
    </row>
    <row r="45906">
      <c r="B45906" s="31"/>
      <c r="G45906" s="272" t="s">
        <v>1099</v>
      </c>
    </row>
    <row r="45907">
      <c r="B45907" s="31"/>
      <c r="G45907" s="272" t="s">
        <v>1099</v>
      </c>
    </row>
    <row r="45908">
      <c r="B45908" s="31"/>
      <c r="G45908" s="272" t="s">
        <v>1099</v>
      </c>
    </row>
    <row r="45909">
      <c r="B45909" s="31"/>
      <c r="G45909" s="272" t="s">
        <v>1099</v>
      </c>
    </row>
    <row r="45910">
      <c r="B45910" s="31"/>
      <c r="G45910" s="272" t="s">
        <v>1099</v>
      </c>
    </row>
    <row r="45911">
      <c r="B45911" s="31"/>
      <c r="G45911" s="272" t="s">
        <v>1099</v>
      </c>
    </row>
    <row r="45912">
      <c r="B45912" s="31"/>
      <c r="G45912" s="272" t="s">
        <v>1099</v>
      </c>
    </row>
    <row r="45913">
      <c r="B45913" s="31"/>
      <c r="G45913" s="272" t="s">
        <v>1099</v>
      </c>
    </row>
    <row r="45914">
      <c r="B45914" s="31"/>
      <c r="G45914" s="272" t="s">
        <v>1099</v>
      </c>
    </row>
    <row r="45915">
      <c r="B45915" s="31"/>
      <c r="G45915" s="272" t="s">
        <v>1099</v>
      </c>
    </row>
    <row r="45916">
      <c r="B45916" s="31"/>
      <c r="G45916" s="272" t="s">
        <v>1099</v>
      </c>
    </row>
    <row r="45917">
      <c r="B45917" s="31"/>
      <c r="G45917" s="272" t="s">
        <v>1099</v>
      </c>
    </row>
    <row r="45918">
      <c r="B45918" s="31"/>
      <c r="G45918" s="272" t="s">
        <v>1099</v>
      </c>
    </row>
    <row r="45919">
      <c r="B45919" s="31"/>
      <c r="G45919" s="272" t="s">
        <v>1099</v>
      </c>
    </row>
    <row r="45920">
      <c r="B45920" s="31"/>
      <c r="G45920" s="272" t="s">
        <v>1099</v>
      </c>
    </row>
    <row r="45921">
      <c r="B45921" s="31"/>
      <c r="G45921" s="272" t="s">
        <v>1099</v>
      </c>
    </row>
    <row r="45922">
      <c r="B45922" s="31"/>
      <c r="G45922" s="272" t="s">
        <v>1099</v>
      </c>
    </row>
    <row r="45923">
      <c r="B45923" s="31"/>
      <c r="G45923" s="272" t="s">
        <v>1099</v>
      </c>
    </row>
    <row r="45924">
      <c r="B45924" s="31"/>
      <c r="G45924" s="272" t="s">
        <v>1099</v>
      </c>
    </row>
    <row r="45925">
      <c r="B45925" s="31"/>
      <c r="G45925" s="272" t="s">
        <v>1099</v>
      </c>
    </row>
    <row r="45926">
      <c r="B45926" s="31"/>
      <c r="G45926" s="272" t="s">
        <v>1099</v>
      </c>
    </row>
    <row r="45927">
      <c r="B45927" s="31"/>
      <c r="G45927" s="272" t="s">
        <v>1099</v>
      </c>
    </row>
    <row r="45928">
      <c r="B45928" s="31"/>
      <c r="G45928" s="272" t="s">
        <v>1099</v>
      </c>
    </row>
    <row r="45929">
      <c r="B45929" s="31"/>
      <c r="G45929" s="272" t="s">
        <v>1099</v>
      </c>
    </row>
    <row r="45930">
      <c r="B45930" s="31"/>
      <c r="G45930" s="272" t="s">
        <v>1099</v>
      </c>
    </row>
    <row r="45931">
      <c r="B45931" s="31"/>
      <c r="G45931" s="272" t="s">
        <v>1099</v>
      </c>
    </row>
    <row r="45932">
      <c r="B45932" s="31"/>
      <c r="G45932" s="272" t="s">
        <v>1099</v>
      </c>
    </row>
    <row r="45933">
      <c r="B45933" s="31"/>
      <c r="G45933" s="272" t="s">
        <v>1099</v>
      </c>
    </row>
    <row r="45934">
      <c r="B45934" s="31"/>
      <c r="G45934" s="272" t="s">
        <v>1099</v>
      </c>
    </row>
    <row r="45935">
      <c r="B45935" s="31"/>
      <c r="G45935" s="272" t="s">
        <v>1099</v>
      </c>
    </row>
    <row r="45936">
      <c r="B45936" s="31"/>
      <c r="G45936" s="272" t="s">
        <v>1099</v>
      </c>
    </row>
    <row r="45937">
      <c r="B45937" s="31"/>
      <c r="G45937" s="272" t="s">
        <v>1099</v>
      </c>
    </row>
    <row r="45938">
      <c r="B45938" s="31"/>
      <c r="G45938" s="272" t="s">
        <v>1099</v>
      </c>
    </row>
    <row r="45939">
      <c r="B45939" s="31"/>
      <c r="G45939" s="272" t="s">
        <v>1099</v>
      </c>
    </row>
    <row r="45940">
      <c r="B45940" s="31"/>
      <c r="G45940" s="272" t="s">
        <v>1099</v>
      </c>
    </row>
    <row r="45941">
      <c r="B45941" s="31"/>
      <c r="G45941" s="272" t="s">
        <v>1099</v>
      </c>
    </row>
    <row r="45942">
      <c r="B45942" s="31"/>
      <c r="G45942" s="272" t="s">
        <v>1099</v>
      </c>
    </row>
    <row r="45943">
      <c r="B45943" s="31"/>
      <c r="G45943" s="272" t="s">
        <v>1099</v>
      </c>
    </row>
    <row r="45944">
      <c r="B45944" s="31"/>
      <c r="G45944" s="272" t="s">
        <v>1099</v>
      </c>
    </row>
    <row r="45945">
      <c r="B45945" s="31"/>
      <c r="G45945" s="272" t="s">
        <v>1099</v>
      </c>
    </row>
    <row r="45946">
      <c r="B45946" s="31"/>
      <c r="G45946" s="272" t="s">
        <v>1099</v>
      </c>
    </row>
    <row r="45947">
      <c r="B45947" s="31"/>
      <c r="G45947" s="272" t="s">
        <v>1099</v>
      </c>
    </row>
    <row r="45948">
      <c r="B45948" s="31"/>
      <c r="G45948" s="272" t="s">
        <v>1099</v>
      </c>
    </row>
    <row r="45949">
      <c r="B45949" s="31"/>
      <c r="G45949" s="272" t="s">
        <v>1099</v>
      </c>
    </row>
    <row r="45950">
      <c r="B45950" s="31"/>
      <c r="G45950" s="272" t="s">
        <v>1099</v>
      </c>
    </row>
    <row r="45951">
      <c r="B45951" s="31"/>
      <c r="G45951" s="272" t="s">
        <v>1099</v>
      </c>
    </row>
    <row r="45952">
      <c r="B45952" s="31"/>
      <c r="G45952" s="272" t="s">
        <v>1099</v>
      </c>
    </row>
    <row r="45953">
      <c r="B45953" s="31"/>
      <c r="G45953" s="272" t="s">
        <v>1099</v>
      </c>
    </row>
    <row r="45954">
      <c r="B45954" s="31"/>
      <c r="G45954" s="272" t="s">
        <v>1099</v>
      </c>
    </row>
    <row r="45955">
      <c r="B45955" s="31"/>
      <c r="G45955" s="272" t="s">
        <v>1099</v>
      </c>
    </row>
    <row r="45956">
      <c r="B45956" s="31"/>
      <c r="G45956" s="272" t="s">
        <v>1099</v>
      </c>
    </row>
    <row r="45957">
      <c r="B45957" s="31"/>
      <c r="G45957" s="272" t="s">
        <v>1099</v>
      </c>
    </row>
    <row r="45958">
      <c r="B45958" s="31"/>
      <c r="G45958" s="272" t="s">
        <v>1099</v>
      </c>
    </row>
    <row r="45959">
      <c r="B45959" s="31"/>
      <c r="G45959" s="272" t="s">
        <v>1099</v>
      </c>
    </row>
    <row r="45960">
      <c r="B45960" s="31"/>
      <c r="G45960" s="272" t="s">
        <v>1099</v>
      </c>
    </row>
    <row r="45961">
      <c r="B45961" s="31"/>
      <c r="G45961" s="272" t="s">
        <v>1099</v>
      </c>
    </row>
    <row r="45962">
      <c r="B45962" s="31"/>
      <c r="G45962" s="272" t="s">
        <v>1099</v>
      </c>
    </row>
    <row r="45963">
      <c r="B45963" s="31"/>
      <c r="G45963" s="272" t="s">
        <v>1099</v>
      </c>
    </row>
    <row r="45964">
      <c r="B45964" s="31"/>
      <c r="G45964" s="272" t="s">
        <v>1099</v>
      </c>
    </row>
    <row r="45965">
      <c r="B45965" s="31"/>
      <c r="G45965" s="272" t="s">
        <v>1099</v>
      </c>
    </row>
    <row r="45966">
      <c r="B45966" s="31"/>
      <c r="G45966" s="272" t="s">
        <v>1099</v>
      </c>
    </row>
    <row r="45967">
      <c r="B45967" s="31"/>
      <c r="G45967" s="272" t="s">
        <v>1099</v>
      </c>
    </row>
    <row r="45968">
      <c r="B45968" s="31"/>
      <c r="G45968" s="272" t="s">
        <v>1099</v>
      </c>
    </row>
    <row r="45969">
      <c r="B45969" s="31"/>
      <c r="G45969" s="272" t="s">
        <v>1099</v>
      </c>
    </row>
    <row r="45970">
      <c r="B45970" s="31"/>
      <c r="G45970" s="272" t="s">
        <v>1099</v>
      </c>
    </row>
    <row r="45971">
      <c r="B45971" s="31"/>
      <c r="G45971" s="272" t="s">
        <v>1099</v>
      </c>
    </row>
    <row r="45972">
      <c r="B45972" s="31"/>
      <c r="G45972" s="272" t="s">
        <v>1099</v>
      </c>
    </row>
    <row r="45973">
      <c r="B45973" s="31"/>
      <c r="G45973" s="272" t="s">
        <v>1099</v>
      </c>
    </row>
    <row r="45974">
      <c r="B45974" s="31"/>
      <c r="G45974" s="272" t="s">
        <v>1099</v>
      </c>
    </row>
    <row r="45975">
      <c r="B45975" s="31"/>
      <c r="G45975" s="272" t="s">
        <v>1099</v>
      </c>
    </row>
    <row r="45976">
      <c r="B45976" s="31"/>
      <c r="G45976" s="272" t="s">
        <v>1099</v>
      </c>
    </row>
    <row r="45977">
      <c r="B45977" s="31"/>
      <c r="G45977" s="272" t="s">
        <v>1099</v>
      </c>
    </row>
    <row r="45978">
      <c r="B45978" s="31"/>
      <c r="G45978" s="272" t="s">
        <v>1099</v>
      </c>
    </row>
    <row r="45979">
      <c r="B45979" s="31"/>
      <c r="G45979" s="272" t="s">
        <v>1099</v>
      </c>
    </row>
    <row r="45980">
      <c r="B45980" s="31"/>
      <c r="G45980" s="272" t="s">
        <v>1099</v>
      </c>
    </row>
    <row r="45981">
      <c r="B45981" s="31"/>
      <c r="G45981" s="272" t="s">
        <v>1099</v>
      </c>
    </row>
    <row r="45982">
      <c r="B45982" s="31"/>
      <c r="G45982" s="272" t="s">
        <v>1099</v>
      </c>
    </row>
    <row r="45983">
      <c r="B45983" s="31"/>
      <c r="G45983" s="272" t="s">
        <v>1099</v>
      </c>
    </row>
    <row r="45984">
      <c r="B45984" s="31"/>
      <c r="G45984" s="272" t="s">
        <v>1099</v>
      </c>
    </row>
    <row r="45985">
      <c r="B45985" s="31"/>
      <c r="G45985" s="272" t="s">
        <v>1099</v>
      </c>
    </row>
    <row r="45986">
      <c r="B45986" s="31"/>
      <c r="G45986" s="272" t="s">
        <v>1099</v>
      </c>
    </row>
    <row r="45987">
      <c r="B45987" s="31"/>
      <c r="G45987" s="272" t="s">
        <v>1099</v>
      </c>
    </row>
    <row r="45988">
      <c r="B45988" s="31"/>
      <c r="G45988" s="272" t="s">
        <v>1099</v>
      </c>
    </row>
    <row r="45989">
      <c r="B45989" s="31"/>
      <c r="G45989" s="272" t="s">
        <v>1099</v>
      </c>
    </row>
    <row r="45990">
      <c r="B45990" s="31"/>
      <c r="G45990" s="272" t="s">
        <v>1099</v>
      </c>
    </row>
    <row r="45991">
      <c r="B45991" s="31"/>
      <c r="G45991" s="272" t="s">
        <v>1099</v>
      </c>
    </row>
    <row r="45992">
      <c r="B45992" s="31"/>
      <c r="G45992" s="272" t="s">
        <v>1099</v>
      </c>
    </row>
    <row r="45993">
      <c r="B45993" s="31"/>
      <c r="G45993" s="272" t="s">
        <v>1099</v>
      </c>
    </row>
    <row r="45994">
      <c r="B45994" s="31"/>
      <c r="G45994" s="272" t="s">
        <v>1099</v>
      </c>
    </row>
    <row r="45995">
      <c r="B45995" s="31"/>
      <c r="G45995" s="272" t="s">
        <v>1099</v>
      </c>
    </row>
    <row r="45996">
      <c r="B45996" s="31"/>
      <c r="G45996" s="272" t="s">
        <v>1099</v>
      </c>
    </row>
    <row r="45997">
      <c r="B45997" s="31"/>
      <c r="G45997" s="272" t="s">
        <v>1099</v>
      </c>
    </row>
    <row r="45998">
      <c r="B45998" s="31"/>
      <c r="G45998" s="272" t="s">
        <v>1099</v>
      </c>
    </row>
    <row r="45999">
      <c r="B45999" s="31"/>
      <c r="G45999" s="272" t="s">
        <v>1099</v>
      </c>
    </row>
    <row r="46000">
      <c r="B46000" s="31"/>
      <c r="G46000" s="272" t="s">
        <v>1099</v>
      </c>
    </row>
    <row r="46001">
      <c r="B46001" s="31"/>
      <c r="G46001" s="272" t="s">
        <v>1099</v>
      </c>
    </row>
    <row r="46002">
      <c r="B46002" s="31"/>
      <c r="G46002" s="272" t="s">
        <v>1099</v>
      </c>
    </row>
    <row r="46003">
      <c r="B46003" s="31"/>
      <c r="G46003" s="272" t="s">
        <v>1099</v>
      </c>
    </row>
    <row r="46004">
      <c r="B46004" s="31"/>
      <c r="G46004" s="272" t="s">
        <v>1099</v>
      </c>
    </row>
    <row r="46005">
      <c r="B46005" s="31"/>
      <c r="G46005" s="272" t="s">
        <v>1099</v>
      </c>
    </row>
    <row r="46006">
      <c r="B46006" s="31"/>
      <c r="G46006" s="272" t="s">
        <v>1099</v>
      </c>
    </row>
    <row r="46007">
      <c r="B46007" s="31"/>
      <c r="G46007" s="272" t="s">
        <v>1099</v>
      </c>
    </row>
    <row r="46008">
      <c r="B46008" s="31"/>
      <c r="G46008" s="272" t="s">
        <v>1099</v>
      </c>
    </row>
    <row r="46009">
      <c r="B46009" s="31"/>
      <c r="G46009" s="272" t="s">
        <v>1099</v>
      </c>
    </row>
    <row r="46010">
      <c r="B46010" s="31"/>
      <c r="G46010" s="272" t="s">
        <v>1099</v>
      </c>
    </row>
    <row r="46011">
      <c r="B46011" s="31"/>
      <c r="G46011" s="272" t="s">
        <v>1099</v>
      </c>
    </row>
    <row r="46012">
      <c r="B46012" s="31"/>
      <c r="G46012" s="272" t="s">
        <v>1099</v>
      </c>
    </row>
    <row r="46013">
      <c r="B46013" s="31"/>
      <c r="G46013" s="272" t="s">
        <v>1099</v>
      </c>
    </row>
    <row r="46014">
      <c r="B46014" s="31"/>
      <c r="G46014" s="272" t="s">
        <v>1099</v>
      </c>
    </row>
    <row r="46015">
      <c r="B46015" s="31"/>
      <c r="G46015" s="272" t="s">
        <v>1099</v>
      </c>
    </row>
    <row r="46016">
      <c r="B46016" s="31"/>
      <c r="G46016" s="272" t="s">
        <v>1099</v>
      </c>
    </row>
    <row r="46017">
      <c r="B46017" s="31"/>
      <c r="G46017" s="272" t="s">
        <v>1099</v>
      </c>
    </row>
    <row r="46018">
      <c r="B46018" s="31"/>
      <c r="G46018" s="272" t="s">
        <v>1099</v>
      </c>
    </row>
    <row r="46019">
      <c r="B46019" s="31"/>
      <c r="G46019" s="272" t="s">
        <v>1099</v>
      </c>
    </row>
    <row r="46020">
      <c r="B46020" s="31"/>
      <c r="G46020" s="272" t="s">
        <v>1099</v>
      </c>
    </row>
    <row r="46021">
      <c r="B46021" s="31"/>
      <c r="G46021" s="272" t="s">
        <v>1099</v>
      </c>
    </row>
    <row r="46022">
      <c r="B46022" s="31"/>
      <c r="G46022" s="272" t="s">
        <v>1099</v>
      </c>
    </row>
    <row r="46023">
      <c r="B46023" s="31"/>
      <c r="G46023" s="272" t="s">
        <v>1099</v>
      </c>
    </row>
    <row r="46024">
      <c r="B46024" s="31"/>
      <c r="G46024" s="272" t="s">
        <v>1099</v>
      </c>
    </row>
    <row r="46025">
      <c r="B46025" s="31"/>
      <c r="G46025" s="272" t="s">
        <v>1099</v>
      </c>
    </row>
    <row r="46026">
      <c r="B46026" s="31"/>
      <c r="G46026" s="272" t="s">
        <v>1099</v>
      </c>
    </row>
    <row r="46027">
      <c r="B46027" s="31"/>
      <c r="G46027" s="272" t="s">
        <v>1099</v>
      </c>
    </row>
    <row r="46028">
      <c r="B46028" s="31"/>
      <c r="G46028" s="272" t="s">
        <v>1099</v>
      </c>
    </row>
    <row r="46029">
      <c r="B46029" s="31"/>
      <c r="G46029" s="272" t="s">
        <v>1099</v>
      </c>
    </row>
    <row r="46030">
      <c r="B46030" s="31"/>
      <c r="G46030" s="272" t="s">
        <v>1099</v>
      </c>
    </row>
    <row r="46031">
      <c r="B46031" s="31"/>
      <c r="G46031" s="272" t="s">
        <v>1099</v>
      </c>
    </row>
    <row r="46032">
      <c r="B46032" s="31"/>
      <c r="G46032" s="272" t="s">
        <v>1099</v>
      </c>
    </row>
    <row r="46033">
      <c r="B46033" s="31"/>
      <c r="G46033" s="272" t="s">
        <v>1099</v>
      </c>
    </row>
    <row r="46034">
      <c r="B46034" s="31"/>
      <c r="G46034" s="272" t="s">
        <v>1099</v>
      </c>
    </row>
    <row r="46035">
      <c r="B46035" s="31"/>
      <c r="G46035" s="272" t="s">
        <v>1099</v>
      </c>
    </row>
    <row r="46036">
      <c r="B46036" s="31"/>
      <c r="G46036" s="272" t="s">
        <v>1099</v>
      </c>
    </row>
    <row r="46037">
      <c r="B46037" s="31"/>
      <c r="G46037" s="272" t="s">
        <v>1099</v>
      </c>
    </row>
    <row r="46038">
      <c r="B46038" s="31"/>
      <c r="G46038" s="272" t="s">
        <v>1099</v>
      </c>
    </row>
    <row r="46039">
      <c r="B46039" s="31"/>
      <c r="G46039" s="272" t="s">
        <v>1099</v>
      </c>
    </row>
    <row r="46040">
      <c r="B46040" s="31"/>
      <c r="G46040" s="272" t="s">
        <v>1099</v>
      </c>
    </row>
    <row r="46041">
      <c r="B46041" s="31"/>
      <c r="G46041" s="272" t="s">
        <v>1099</v>
      </c>
    </row>
    <row r="46042">
      <c r="B46042" s="31"/>
      <c r="G46042" s="272" t="s">
        <v>1099</v>
      </c>
    </row>
    <row r="46043">
      <c r="B46043" s="31"/>
      <c r="G46043" s="272" t="s">
        <v>1099</v>
      </c>
    </row>
    <row r="46044">
      <c r="B46044" s="31"/>
      <c r="G46044" s="272" t="s">
        <v>1099</v>
      </c>
    </row>
    <row r="46045">
      <c r="B46045" s="31"/>
      <c r="G46045" s="272" t="s">
        <v>1099</v>
      </c>
    </row>
    <row r="46046">
      <c r="B46046" s="31"/>
      <c r="G46046" s="272" t="s">
        <v>1099</v>
      </c>
    </row>
    <row r="46047">
      <c r="B46047" s="31"/>
      <c r="G46047" s="272" t="s">
        <v>1099</v>
      </c>
    </row>
    <row r="46048">
      <c r="B46048" s="31"/>
      <c r="G46048" s="272" t="s">
        <v>1099</v>
      </c>
    </row>
    <row r="46049">
      <c r="B46049" s="31"/>
      <c r="G46049" s="272" t="s">
        <v>1099</v>
      </c>
    </row>
    <row r="46050">
      <c r="B46050" s="31"/>
      <c r="G46050" s="272" t="s">
        <v>1099</v>
      </c>
    </row>
    <row r="46051">
      <c r="B46051" s="31"/>
      <c r="G46051" s="272" t="s">
        <v>1099</v>
      </c>
    </row>
    <row r="46052">
      <c r="B46052" s="31"/>
      <c r="G46052" s="272" t="s">
        <v>1099</v>
      </c>
    </row>
    <row r="46053">
      <c r="B46053" s="31"/>
      <c r="G46053" s="272" t="s">
        <v>1099</v>
      </c>
    </row>
    <row r="46054">
      <c r="B46054" s="31"/>
      <c r="G46054" s="272" t="s">
        <v>1099</v>
      </c>
    </row>
    <row r="46055">
      <c r="B46055" s="31"/>
      <c r="G46055" s="272" t="s">
        <v>1099</v>
      </c>
    </row>
    <row r="46056">
      <c r="B46056" s="31"/>
      <c r="G46056" s="272" t="s">
        <v>1099</v>
      </c>
    </row>
    <row r="46057">
      <c r="B46057" s="31"/>
      <c r="G46057" s="272" t="s">
        <v>1099</v>
      </c>
    </row>
    <row r="46058">
      <c r="B46058" s="31"/>
      <c r="G46058" s="272" t="s">
        <v>1099</v>
      </c>
    </row>
    <row r="46059">
      <c r="B46059" s="31"/>
      <c r="G46059" s="272" t="s">
        <v>1099</v>
      </c>
    </row>
    <row r="46060">
      <c r="B46060" s="31"/>
      <c r="G46060" s="272" t="s">
        <v>1099</v>
      </c>
    </row>
    <row r="46061">
      <c r="B46061" s="31"/>
      <c r="G46061" s="272" t="s">
        <v>1099</v>
      </c>
    </row>
    <row r="46062">
      <c r="B46062" s="31"/>
      <c r="G46062" s="272" t="s">
        <v>1099</v>
      </c>
    </row>
    <row r="46063">
      <c r="B46063" s="31"/>
      <c r="G46063" s="272" t="s">
        <v>1099</v>
      </c>
    </row>
    <row r="46064">
      <c r="B46064" s="31"/>
      <c r="G46064" s="272" t="s">
        <v>1099</v>
      </c>
    </row>
    <row r="46065">
      <c r="B46065" s="31"/>
      <c r="G46065" s="272" t="s">
        <v>1099</v>
      </c>
    </row>
    <row r="46066">
      <c r="B46066" s="31"/>
      <c r="G46066" s="272" t="s">
        <v>1099</v>
      </c>
    </row>
    <row r="46067">
      <c r="B46067" s="31"/>
      <c r="G46067" s="272" t="s">
        <v>1099</v>
      </c>
    </row>
    <row r="46068">
      <c r="B46068" s="31"/>
      <c r="G46068" s="272" t="s">
        <v>1099</v>
      </c>
    </row>
    <row r="46069">
      <c r="B46069" s="31"/>
      <c r="G46069" s="272" t="s">
        <v>1099</v>
      </c>
    </row>
    <row r="46070">
      <c r="B46070" s="31"/>
      <c r="G46070" s="272" t="s">
        <v>1099</v>
      </c>
    </row>
    <row r="46071">
      <c r="B46071" s="31"/>
      <c r="G46071" s="272" t="s">
        <v>1099</v>
      </c>
    </row>
    <row r="46072">
      <c r="B46072" s="31"/>
      <c r="G46072" s="272" t="s">
        <v>1099</v>
      </c>
    </row>
    <row r="46073">
      <c r="B46073" s="31"/>
      <c r="G46073" s="272" t="s">
        <v>1099</v>
      </c>
    </row>
    <row r="46074">
      <c r="B46074" s="31"/>
      <c r="G46074" s="272" t="s">
        <v>1099</v>
      </c>
    </row>
    <row r="46075">
      <c r="B46075" s="31"/>
      <c r="G46075" s="272" t="s">
        <v>1099</v>
      </c>
    </row>
    <row r="46076">
      <c r="B46076" s="31"/>
      <c r="G46076" s="272" t="s">
        <v>1099</v>
      </c>
    </row>
    <row r="46077">
      <c r="B46077" s="31"/>
      <c r="G46077" s="272" t="s">
        <v>1099</v>
      </c>
    </row>
    <row r="46078">
      <c r="B46078" s="31"/>
      <c r="G46078" s="272" t="s">
        <v>1099</v>
      </c>
    </row>
    <row r="46079">
      <c r="B46079" s="31"/>
      <c r="G46079" s="272" t="s">
        <v>1099</v>
      </c>
    </row>
    <row r="46080">
      <c r="B46080" s="31"/>
      <c r="G46080" s="272" t="s">
        <v>1099</v>
      </c>
    </row>
    <row r="46081">
      <c r="B46081" s="31"/>
      <c r="G46081" s="272" t="s">
        <v>1099</v>
      </c>
    </row>
    <row r="46082">
      <c r="B46082" s="31"/>
      <c r="G46082" s="272" t="s">
        <v>1099</v>
      </c>
    </row>
    <row r="46083">
      <c r="B46083" s="31"/>
      <c r="G46083" s="272" t="s">
        <v>1099</v>
      </c>
    </row>
    <row r="46084">
      <c r="B46084" s="31"/>
      <c r="G46084" s="272" t="s">
        <v>1099</v>
      </c>
    </row>
    <row r="46085">
      <c r="B46085" s="31"/>
      <c r="G46085" s="272" t="s">
        <v>1099</v>
      </c>
    </row>
    <row r="46086">
      <c r="B46086" s="31"/>
      <c r="G46086" s="272" t="s">
        <v>1099</v>
      </c>
    </row>
    <row r="46087">
      <c r="B46087" s="31"/>
      <c r="G46087" s="272" t="s">
        <v>1099</v>
      </c>
    </row>
    <row r="46088">
      <c r="B46088" s="31"/>
      <c r="G46088" s="272" t="s">
        <v>1099</v>
      </c>
    </row>
    <row r="46089">
      <c r="B46089" s="31"/>
      <c r="G46089" s="272" t="s">
        <v>1099</v>
      </c>
    </row>
    <row r="46090">
      <c r="B46090" s="31"/>
      <c r="G46090" s="272" t="s">
        <v>1099</v>
      </c>
    </row>
    <row r="46091">
      <c r="B46091" s="31"/>
      <c r="G46091" s="272" t="s">
        <v>1099</v>
      </c>
    </row>
    <row r="46092">
      <c r="B46092" s="31"/>
      <c r="G46092" s="272" t="s">
        <v>1099</v>
      </c>
    </row>
    <row r="46093">
      <c r="B46093" s="31"/>
      <c r="G46093" s="272" t="s">
        <v>1099</v>
      </c>
    </row>
    <row r="46094">
      <c r="B46094" s="31"/>
      <c r="G46094" s="272" t="s">
        <v>1099</v>
      </c>
    </row>
    <row r="46095">
      <c r="B46095" s="31"/>
      <c r="G46095" s="272" t="s">
        <v>1099</v>
      </c>
    </row>
    <row r="46096">
      <c r="B46096" s="31"/>
      <c r="G46096" s="272" t="s">
        <v>1099</v>
      </c>
    </row>
    <row r="46097">
      <c r="B46097" s="31"/>
      <c r="G46097" s="272" t="s">
        <v>1099</v>
      </c>
    </row>
    <row r="46098">
      <c r="B46098" s="31"/>
      <c r="G46098" s="272" t="s">
        <v>1099</v>
      </c>
    </row>
    <row r="46099">
      <c r="B46099" s="31"/>
      <c r="G46099" s="272" t="s">
        <v>1099</v>
      </c>
    </row>
    <row r="46100">
      <c r="B46100" s="31"/>
      <c r="G46100" s="272" t="s">
        <v>1099</v>
      </c>
    </row>
    <row r="46101">
      <c r="B46101" s="31"/>
      <c r="G46101" s="272" t="s">
        <v>1099</v>
      </c>
    </row>
    <row r="46102">
      <c r="B46102" s="31"/>
      <c r="G46102" s="272" t="s">
        <v>1099</v>
      </c>
    </row>
    <row r="46103">
      <c r="B46103" s="31"/>
      <c r="G46103" s="272" t="s">
        <v>1099</v>
      </c>
    </row>
    <row r="46104">
      <c r="B46104" s="31"/>
      <c r="G46104" s="272" t="s">
        <v>1099</v>
      </c>
    </row>
    <row r="46105">
      <c r="B46105" s="31"/>
      <c r="G46105" s="272" t="s">
        <v>1099</v>
      </c>
    </row>
    <row r="46106">
      <c r="B46106" s="31"/>
      <c r="G46106" s="272" t="s">
        <v>1099</v>
      </c>
    </row>
    <row r="46107">
      <c r="B46107" s="31"/>
      <c r="G46107" s="272" t="s">
        <v>1099</v>
      </c>
    </row>
    <row r="46108">
      <c r="B46108" s="31"/>
      <c r="G46108" s="272" t="s">
        <v>1099</v>
      </c>
    </row>
    <row r="46109">
      <c r="B46109" s="31"/>
      <c r="G46109" s="272" t="s">
        <v>1099</v>
      </c>
    </row>
    <row r="46110">
      <c r="B46110" s="31"/>
      <c r="G46110" s="272" t="s">
        <v>1099</v>
      </c>
    </row>
    <row r="46111">
      <c r="B46111" s="31"/>
      <c r="G46111" s="272" t="s">
        <v>1099</v>
      </c>
    </row>
    <row r="46112">
      <c r="B46112" s="31"/>
      <c r="G46112" s="272" t="s">
        <v>1099</v>
      </c>
    </row>
    <row r="46113">
      <c r="B46113" s="31"/>
      <c r="G46113" s="272" t="s">
        <v>1099</v>
      </c>
    </row>
    <row r="46114">
      <c r="B46114" s="31"/>
      <c r="G46114" s="272" t="s">
        <v>1099</v>
      </c>
    </row>
    <row r="46115">
      <c r="B46115" s="31"/>
      <c r="G46115" s="272" t="s">
        <v>1099</v>
      </c>
    </row>
    <row r="46116">
      <c r="B46116" s="31"/>
      <c r="G46116" s="272" t="s">
        <v>1099</v>
      </c>
    </row>
    <row r="46117">
      <c r="B46117" s="31"/>
      <c r="G46117" s="272" t="s">
        <v>1099</v>
      </c>
    </row>
    <row r="46118">
      <c r="B46118" s="31"/>
      <c r="G46118" s="272" t="s">
        <v>1099</v>
      </c>
    </row>
    <row r="46119">
      <c r="B46119" s="31"/>
      <c r="G46119" s="272" t="s">
        <v>1099</v>
      </c>
    </row>
    <row r="46120">
      <c r="B46120" s="31"/>
      <c r="G46120" s="272" t="s">
        <v>1099</v>
      </c>
    </row>
    <row r="46121">
      <c r="B46121" s="31"/>
      <c r="G46121" s="272" t="s">
        <v>1099</v>
      </c>
    </row>
    <row r="46122">
      <c r="B46122" s="31"/>
      <c r="G46122" s="272" t="s">
        <v>1099</v>
      </c>
    </row>
    <row r="46123">
      <c r="B46123" s="31"/>
      <c r="G46123" s="272" t="s">
        <v>1099</v>
      </c>
    </row>
    <row r="46124">
      <c r="B46124" s="31"/>
      <c r="G46124" s="272" t="s">
        <v>1099</v>
      </c>
    </row>
    <row r="46125">
      <c r="B46125" s="31"/>
      <c r="G46125" s="272" t="s">
        <v>1099</v>
      </c>
    </row>
    <row r="46126">
      <c r="B46126" s="31"/>
      <c r="G46126" s="272" t="s">
        <v>1099</v>
      </c>
    </row>
    <row r="46127">
      <c r="B46127" s="31"/>
      <c r="G46127" s="272" t="s">
        <v>1099</v>
      </c>
    </row>
    <row r="46128">
      <c r="B46128" s="31"/>
      <c r="G46128" s="272" t="s">
        <v>1099</v>
      </c>
    </row>
    <row r="46129">
      <c r="B46129" s="31"/>
      <c r="G46129" s="272" t="s">
        <v>1099</v>
      </c>
    </row>
    <row r="46130">
      <c r="B46130" s="31"/>
      <c r="G46130" s="272" t="s">
        <v>1099</v>
      </c>
    </row>
    <row r="46131">
      <c r="B46131" s="31"/>
      <c r="G46131" s="272" t="s">
        <v>1099</v>
      </c>
    </row>
    <row r="46132">
      <c r="B46132" s="31"/>
      <c r="G46132" s="272" t="s">
        <v>1099</v>
      </c>
    </row>
    <row r="46133">
      <c r="B46133" s="31"/>
      <c r="G46133" s="272" t="s">
        <v>1099</v>
      </c>
    </row>
    <row r="46134">
      <c r="B46134" s="31"/>
      <c r="G46134" s="272" t="s">
        <v>1099</v>
      </c>
    </row>
    <row r="46135">
      <c r="B46135" s="31"/>
      <c r="G46135" s="272" t="s">
        <v>1099</v>
      </c>
    </row>
    <row r="46136">
      <c r="B46136" s="31"/>
      <c r="G46136" s="272" t="s">
        <v>1099</v>
      </c>
    </row>
    <row r="46137">
      <c r="B46137" s="31"/>
      <c r="G46137" s="272" t="s">
        <v>1099</v>
      </c>
    </row>
    <row r="46138">
      <c r="B46138" s="31"/>
      <c r="G46138" s="272" t="s">
        <v>1099</v>
      </c>
    </row>
    <row r="46139">
      <c r="B46139" s="31"/>
      <c r="G46139" s="272" t="s">
        <v>1099</v>
      </c>
    </row>
    <row r="46140">
      <c r="B46140" s="31"/>
      <c r="G46140" s="272" t="s">
        <v>1099</v>
      </c>
    </row>
    <row r="46141">
      <c r="B46141" s="31"/>
      <c r="G46141" s="272" t="s">
        <v>1099</v>
      </c>
    </row>
    <row r="46142">
      <c r="B46142" s="31"/>
      <c r="G46142" s="272" t="s">
        <v>1099</v>
      </c>
    </row>
    <row r="46143">
      <c r="B46143" s="31"/>
      <c r="G46143" s="272" t="s">
        <v>1099</v>
      </c>
    </row>
    <row r="46144">
      <c r="B46144" s="31"/>
      <c r="G46144" s="272" t="s">
        <v>1099</v>
      </c>
    </row>
    <row r="46145">
      <c r="B46145" s="31"/>
      <c r="G46145" s="272" t="s">
        <v>1099</v>
      </c>
    </row>
    <row r="46146">
      <c r="B46146" s="31"/>
      <c r="G46146" s="272" t="s">
        <v>1099</v>
      </c>
    </row>
    <row r="46147">
      <c r="B46147" s="31"/>
      <c r="G46147" s="272" t="s">
        <v>1099</v>
      </c>
    </row>
    <row r="46148">
      <c r="B46148" s="31"/>
      <c r="G46148" s="272" t="s">
        <v>1099</v>
      </c>
    </row>
    <row r="46149">
      <c r="B46149" s="31"/>
      <c r="G46149" s="272" t="s">
        <v>1099</v>
      </c>
    </row>
    <row r="46150">
      <c r="B46150" s="31"/>
      <c r="G46150" s="272" t="s">
        <v>1099</v>
      </c>
    </row>
    <row r="46151">
      <c r="B46151" s="31"/>
      <c r="G46151" s="272" t="s">
        <v>1099</v>
      </c>
    </row>
    <row r="46152">
      <c r="B46152" s="31"/>
      <c r="G46152" s="272" t="s">
        <v>1099</v>
      </c>
    </row>
    <row r="46153">
      <c r="B46153" s="31"/>
      <c r="G46153" s="272" t="s">
        <v>1099</v>
      </c>
    </row>
    <row r="46154">
      <c r="B46154" s="31"/>
      <c r="G46154" s="272" t="s">
        <v>1099</v>
      </c>
    </row>
    <row r="46155">
      <c r="B46155" s="31"/>
      <c r="G46155" s="272" t="s">
        <v>1099</v>
      </c>
    </row>
    <row r="46156">
      <c r="B46156" s="31"/>
      <c r="G46156" s="272" t="s">
        <v>1099</v>
      </c>
    </row>
    <row r="46157">
      <c r="B46157" s="31"/>
      <c r="G46157" s="272" t="s">
        <v>1099</v>
      </c>
    </row>
    <row r="46158">
      <c r="B46158" s="31"/>
      <c r="G46158" s="272" t="s">
        <v>1099</v>
      </c>
    </row>
    <row r="46159">
      <c r="B46159" s="31"/>
      <c r="G46159" s="272" t="s">
        <v>1099</v>
      </c>
    </row>
    <row r="46160">
      <c r="B46160" s="31"/>
      <c r="G46160" s="272" t="s">
        <v>1099</v>
      </c>
    </row>
    <row r="46161">
      <c r="B46161" s="31"/>
      <c r="G46161" s="272" t="s">
        <v>1099</v>
      </c>
    </row>
    <row r="46162">
      <c r="B46162" s="31"/>
      <c r="G46162" s="272" t="s">
        <v>1099</v>
      </c>
    </row>
    <row r="46163">
      <c r="B46163" s="31"/>
      <c r="G46163" s="272" t="s">
        <v>1099</v>
      </c>
    </row>
    <row r="46164">
      <c r="B46164" s="31"/>
      <c r="G46164" s="272" t="s">
        <v>1099</v>
      </c>
    </row>
    <row r="46165">
      <c r="B46165" s="31"/>
      <c r="G46165" s="272" t="s">
        <v>1099</v>
      </c>
    </row>
    <row r="46166">
      <c r="B46166" s="31"/>
      <c r="G46166" s="272" t="s">
        <v>1099</v>
      </c>
    </row>
    <row r="46167">
      <c r="B46167" s="31"/>
      <c r="G46167" s="272" t="s">
        <v>1099</v>
      </c>
    </row>
    <row r="46168">
      <c r="B46168" s="31"/>
      <c r="G46168" s="272" t="s">
        <v>1099</v>
      </c>
    </row>
    <row r="46169">
      <c r="B46169" s="31"/>
      <c r="G46169" s="272" t="s">
        <v>1099</v>
      </c>
    </row>
    <row r="46170">
      <c r="B46170" s="31"/>
      <c r="G46170" s="272" t="s">
        <v>1099</v>
      </c>
    </row>
    <row r="46171">
      <c r="B46171" s="31"/>
      <c r="G46171" s="272" t="s">
        <v>1099</v>
      </c>
    </row>
    <row r="46172">
      <c r="B46172" s="31"/>
      <c r="G46172" s="272" t="s">
        <v>1099</v>
      </c>
    </row>
    <row r="46173">
      <c r="B46173" s="31"/>
      <c r="G46173" s="272" t="s">
        <v>1099</v>
      </c>
    </row>
    <row r="46174">
      <c r="B46174" s="31"/>
      <c r="G46174" s="272" t="s">
        <v>1099</v>
      </c>
    </row>
    <row r="46175">
      <c r="B46175" s="31"/>
      <c r="G46175" s="272" t="s">
        <v>1099</v>
      </c>
    </row>
    <row r="46176">
      <c r="B46176" s="31"/>
      <c r="G46176" s="272" t="s">
        <v>1099</v>
      </c>
    </row>
    <row r="46177">
      <c r="B46177" s="31"/>
      <c r="G46177" s="272" t="s">
        <v>1099</v>
      </c>
    </row>
    <row r="46178">
      <c r="B46178" s="31"/>
      <c r="G46178" s="272" t="s">
        <v>1099</v>
      </c>
    </row>
    <row r="46179">
      <c r="B46179" s="31"/>
      <c r="G46179" s="272" t="s">
        <v>1099</v>
      </c>
    </row>
    <row r="46180">
      <c r="B46180" s="31"/>
      <c r="G46180" s="272" t="s">
        <v>1099</v>
      </c>
    </row>
    <row r="46181">
      <c r="B46181" s="31"/>
      <c r="G46181" s="272" t="s">
        <v>1099</v>
      </c>
    </row>
    <row r="46182">
      <c r="B46182" s="31"/>
      <c r="G46182" s="272" t="s">
        <v>1099</v>
      </c>
    </row>
    <row r="46183">
      <c r="B46183" s="31"/>
      <c r="G46183" s="272" t="s">
        <v>1099</v>
      </c>
    </row>
    <row r="46184">
      <c r="B46184" s="31"/>
      <c r="G46184" s="272" t="s">
        <v>1099</v>
      </c>
    </row>
    <row r="46185">
      <c r="B46185" s="31"/>
      <c r="G46185" s="272" t="s">
        <v>1099</v>
      </c>
    </row>
    <row r="46186">
      <c r="B46186" s="31"/>
      <c r="G46186" s="272" t="s">
        <v>1099</v>
      </c>
    </row>
    <row r="46187">
      <c r="B46187" s="31"/>
      <c r="G46187" s="272" t="s">
        <v>1099</v>
      </c>
    </row>
    <row r="46188">
      <c r="B46188" s="31"/>
      <c r="G46188" s="272" t="s">
        <v>1099</v>
      </c>
    </row>
    <row r="46189">
      <c r="B46189" s="31"/>
      <c r="G46189" s="272" t="s">
        <v>1099</v>
      </c>
    </row>
    <row r="46190">
      <c r="B46190" s="31"/>
      <c r="G46190" s="272" t="s">
        <v>1099</v>
      </c>
    </row>
    <row r="46191">
      <c r="B46191" s="31"/>
      <c r="G46191" s="272" t="s">
        <v>1099</v>
      </c>
    </row>
    <row r="46192">
      <c r="B46192" s="31"/>
      <c r="G46192" s="272" t="s">
        <v>1099</v>
      </c>
    </row>
    <row r="46193">
      <c r="B46193" s="31"/>
      <c r="G46193" s="272" t="s">
        <v>1099</v>
      </c>
    </row>
    <row r="46194">
      <c r="B46194" s="31"/>
      <c r="G46194" s="272" t="s">
        <v>1099</v>
      </c>
    </row>
    <row r="46195">
      <c r="B46195" s="31"/>
      <c r="G46195" s="272" t="s">
        <v>1099</v>
      </c>
    </row>
    <row r="46196">
      <c r="B46196" s="31"/>
      <c r="G46196" s="272" t="s">
        <v>1099</v>
      </c>
    </row>
    <row r="46197">
      <c r="B46197" s="31"/>
      <c r="G46197" s="272" t="s">
        <v>1099</v>
      </c>
    </row>
    <row r="46198">
      <c r="B46198" s="31"/>
      <c r="G46198" s="272" t="s">
        <v>1099</v>
      </c>
    </row>
    <row r="46199">
      <c r="B46199" s="31"/>
      <c r="G46199" s="272" t="s">
        <v>1099</v>
      </c>
    </row>
    <row r="46200">
      <c r="B46200" s="31"/>
      <c r="G46200" s="272" t="s">
        <v>1099</v>
      </c>
    </row>
    <row r="46201">
      <c r="B46201" s="31"/>
      <c r="G46201" s="272" t="s">
        <v>1099</v>
      </c>
    </row>
    <row r="46202">
      <c r="B46202" s="31"/>
      <c r="G46202" s="272" t="s">
        <v>1099</v>
      </c>
    </row>
    <row r="46203">
      <c r="B46203" s="31"/>
      <c r="G46203" s="272" t="s">
        <v>1099</v>
      </c>
    </row>
    <row r="46204">
      <c r="B46204" s="31"/>
      <c r="G46204" s="272" t="s">
        <v>1099</v>
      </c>
    </row>
    <row r="46205">
      <c r="B46205" s="31"/>
      <c r="G46205" s="272" t="s">
        <v>1099</v>
      </c>
    </row>
    <row r="46206">
      <c r="B46206" s="31"/>
      <c r="G46206" s="272" t="s">
        <v>1099</v>
      </c>
    </row>
    <row r="46207">
      <c r="B46207" s="31"/>
      <c r="G46207" s="272" t="s">
        <v>1099</v>
      </c>
    </row>
    <row r="46208">
      <c r="B46208" s="31"/>
      <c r="G46208" s="272" t="s">
        <v>1099</v>
      </c>
    </row>
    <row r="46209">
      <c r="B46209" s="31"/>
      <c r="G46209" s="272" t="s">
        <v>1099</v>
      </c>
    </row>
    <row r="46210">
      <c r="B46210" s="31"/>
      <c r="G46210" s="272" t="s">
        <v>1099</v>
      </c>
    </row>
    <row r="46211">
      <c r="B46211" s="31"/>
      <c r="G46211" s="272" t="s">
        <v>1099</v>
      </c>
    </row>
    <row r="46212">
      <c r="B46212" s="31"/>
      <c r="G46212" s="272" t="s">
        <v>1099</v>
      </c>
    </row>
    <row r="46213">
      <c r="B46213" s="31"/>
      <c r="G46213" s="272" t="s">
        <v>1099</v>
      </c>
    </row>
    <row r="46214">
      <c r="B46214" s="31"/>
      <c r="G46214" s="272" t="s">
        <v>1099</v>
      </c>
    </row>
    <row r="46215">
      <c r="B46215" s="31"/>
      <c r="G46215" s="272" t="s">
        <v>1099</v>
      </c>
    </row>
    <row r="46216">
      <c r="B46216" s="31"/>
      <c r="G46216" s="272" t="s">
        <v>1099</v>
      </c>
    </row>
    <row r="46217">
      <c r="B46217" s="31"/>
      <c r="G46217" s="272" t="s">
        <v>1099</v>
      </c>
    </row>
    <row r="46218">
      <c r="B46218" s="31"/>
      <c r="G46218" s="272" t="s">
        <v>1099</v>
      </c>
    </row>
    <row r="46219">
      <c r="B46219" s="31"/>
      <c r="G46219" s="272" t="s">
        <v>1099</v>
      </c>
    </row>
    <row r="46220">
      <c r="B46220" s="31"/>
      <c r="G46220" s="272" t="s">
        <v>1099</v>
      </c>
    </row>
    <row r="46221">
      <c r="B46221" s="31"/>
      <c r="G46221" s="272" t="s">
        <v>1099</v>
      </c>
    </row>
    <row r="46222">
      <c r="B46222" s="31"/>
      <c r="G46222" s="272" t="s">
        <v>1099</v>
      </c>
    </row>
    <row r="46223">
      <c r="B46223" s="31"/>
      <c r="G46223" s="272" t="s">
        <v>1099</v>
      </c>
    </row>
    <row r="46224">
      <c r="B46224" s="31"/>
      <c r="G46224" s="272" t="s">
        <v>1099</v>
      </c>
    </row>
    <row r="46225">
      <c r="B46225" s="31"/>
      <c r="G46225" s="272" t="s">
        <v>1099</v>
      </c>
    </row>
    <row r="46226">
      <c r="B46226" s="31"/>
      <c r="G46226" s="272" t="s">
        <v>1099</v>
      </c>
    </row>
    <row r="46227">
      <c r="B46227" s="31"/>
      <c r="G46227" s="272" t="s">
        <v>1099</v>
      </c>
    </row>
    <row r="46228">
      <c r="B46228" s="31"/>
      <c r="G46228" s="272" t="s">
        <v>1099</v>
      </c>
    </row>
    <row r="46229">
      <c r="B46229" s="31"/>
      <c r="G46229" s="272" t="s">
        <v>1099</v>
      </c>
    </row>
    <row r="46230">
      <c r="B46230" s="31"/>
      <c r="G46230" s="272" t="s">
        <v>1099</v>
      </c>
    </row>
    <row r="46231">
      <c r="B46231" s="31"/>
      <c r="G46231" s="272" t="s">
        <v>1099</v>
      </c>
    </row>
    <row r="46232">
      <c r="B46232" s="31"/>
      <c r="G46232" s="272" t="s">
        <v>1099</v>
      </c>
    </row>
    <row r="46233">
      <c r="B46233" s="31"/>
      <c r="G46233" s="272" t="s">
        <v>1099</v>
      </c>
    </row>
    <row r="46234">
      <c r="B46234" s="31"/>
      <c r="G46234" s="272" t="s">
        <v>1099</v>
      </c>
    </row>
    <row r="46235">
      <c r="B46235" s="31"/>
      <c r="G46235" s="272" t="s">
        <v>1099</v>
      </c>
    </row>
    <row r="46236">
      <c r="B46236" s="31"/>
      <c r="G46236" s="272" t="s">
        <v>1099</v>
      </c>
    </row>
    <row r="46237">
      <c r="B46237" s="31"/>
      <c r="G46237" s="272" t="s">
        <v>1099</v>
      </c>
    </row>
    <row r="46238">
      <c r="B46238" s="31"/>
      <c r="G46238" s="272" t="s">
        <v>1099</v>
      </c>
    </row>
    <row r="46239">
      <c r="B46239" s="31"/>
      <c r="G46239" s="272" t="s">
        <v>1099</v>
      </c>
    </row>
    <row r="46240">
      <c r="B46240" s="31"/>
      <c r="G46240" s="272" t="s">
        <v>1099</v>
      </c>
    </row>
    <row r="46241">
      <c r="B46241" s="31"/>
      <c r="G46241" s="272" t="s">
        <v>1099</v>
      </c>
    </row>
    <row r="46242">
      <c r="B46242" s="31"/>
      <c r="G46242" s="272" t="s">
        <v>1099</v>
      </c>
    </row>
    <row r="46243">
      <c r="B46243" s="31"/>
      <c r="G46243" s="272" t="s">
        <v>1099</v>
      </c>
    </row>
    <row r="46244">
      <c r="B46244" s="31"/>
      <c r="G46244" s="272" t="s">
        <v>1099</v>
      </c>
    </row>
    <row r="46245">
      <c r="B46245" s="31"/>
      <c r="G46245" s="272" t="s">
        <v>1099</v>
      </c>
    </row>
    <row r="46246">
      <c r="B46246" s="31"/>
      <c r="G46246" s="272" t="s">
        <v>1099</v>
      </c>
    </row>
    <row r="46247">
      <c r="B46247" s="31"/>
      <c r="G46247" s="272" t="s">
        <v>1099</v>
      </c>
    </row>
    <row r="46248">
      <c r="B46248" s="31"/>
      <c r="G46248" s="272" t="s">
        <v>1099</v>
      </c>
    </row>
    <row r="46249">
      <c r="B46249" s="31"/>
      <c r="G46249" s="272" t="s">
        <v>1099</v>
      </c>
    </row>
    <row r="46250">
      <c r="B46250" s="31"/>
      <c r="G46250" s="272" t="s">
        <v>1099</v>
      </c>
    </row>
    <row r="46251">
      <c r="B46251" s="31"/>
      <c r="G46251" s="272" t="s">
        <v>1099</v>
      </c>
    </row>
    <row r="46252">
      <c r="B46252" s="31"/>
      <c r="G46252" s="272" t="s">
        <v>1099</v>
      </c>
    </row>
    <row r="46253">
      <c r="B46253" s="31"/>
      <c r="G46253" s="272" t="s">
        <v>1099</v>
      </c>
    </row>
    <row r="46254">
      <c r="B46254" s="31"/>
      <c r="G46254" s="272" t="s">
        <v>1099</v>
      </c>
    </row>
    <row r="46255">
      <c r="B46255" s="31"/>
      <c r="G46255" s="272" t="s">
        <v>1099</v>
      </c>
    </row>
    <row r="46256">
      <c r="B46256" s="31"/>
      <c r="G46256" s="272" t="s">
        <v>1099</v>
      </c>
    </row>
    <row r="46257">
      <c r="B46257" s="31"/>
      <c r="G46257" s="272" t="s">
        <v>1099</v>
      </c>
    </row>
    <row r="46258">
      <c r="B46258" s="31"/>
      <c r="G46258" s="272" t="s">
        <v>1099</v>
      </c>
    </row>
    <row r="46259">
      <c r="B46259" s="31"/>
      <c r="G46259" s="272" t="s">
        <v>1099</v>
      </c>
    </row>
    <row r="46260">
      <c r="B46260" s="31"/>
      <c r="G46260" s="272" t="s">
        <v>1099</v>
      </c>
    </row>
    <row r="46261">
      <c r="B46261" s="31"/>
      <c r="G46261" s="272" t="s">
        <v>1099</v>
      </c>
    </row>
    <row r="46262">
      <c r="B46262" s="31"/>
      <c r="G46262" s="272" t="s">
        <v>1099</v>
      </c>
    </row>
    <row r="46263">
      <c r="B46263" s="31"/>
      <c r="G46263" s="272" t="s">
        <v>1099</v>
      </c>
    </row>
    <row r="46264">
      <c r="B46264" s="31"/>
      <c r="G46264" s="272" t="s">
        <v>1099</v>
      </c>
    </row>
    <row r="46265">
      <c r="B46265" s="31"/>
      <c r="G46265" s="272" t="s">
        <v>1099</v>
      </c>
    </row>
    <row r="46266">
      <c r="B46266" s="31"/>
      <c r="G46266" s="272" t="s">
        <v>1099</v>
      </c>
    </row>
    <row r="46267">
      <c r="B46267" s="31"/>
      <c r="G46267" s="272" t="s">
        <v>1099</v>
      </c>
    </row>
    <row r="46268">
      <c r="B46268" s="31"/>
      <c r="G46268" s="272" t="s">
        <v>1099</v>
      </c>
    </row>
    <row r="46269">
      <c r="B46269" s="31"/>
      <c r="G46269" s="272" t="s">
        <v>1099</v>
      </c>
    </row>
    <row r="46270">
      <c r="B46270" s="31"/>
      <c r="G46270" s="272" t="s">
        <v>1099</v>
      </c>
    </row>
    <row r="46271">
      <c r="B46271" s="31"/>
      <c r="G46271" s="272" t="s">
        <v>1099</v>
      </c>
    </row>
    <row r="46272">
      <c r="B46272" s="31"/>
      <c r="G46272" s="272" t="s">
        <v>1099</v>
      </c>
    </row>
    <row r="46273">
      <c r="B46273" s="31"/>
      <c r="G46273" s="272" t="s">
        <v>1099</v>
      </c>
    </row>
    <row r="46274">
      <c r="B46274" s="31"/>
      <c r="G46274" s="272" t="s">
        <v>1099</v>
      </c>
    </row>
    <row r="46275">
      <c r="B46275" s="31"/>
      <c r="G46275" s="272" t="s">
        <v>1099</v>
      </c>
    </row>
    <row r="46276">
      <c r="B46276" s="31"/>
      <c r="G46276" s="272" t="s">
        <v>1099</v>
      </c>
    </row>
    <row r="46277">
      <c r="B46277" s="31"/>
      <c r="G46277" s="272" t="s">
        <v>1099</v>
      </c>
    </row>
    <row r="46278">
      <c r="B46278" s="31"/>
      <c r="G46278" s="272" t="s">
        <v>1099</v>
      </c>
    </row>
    <row r="46279">
      <c r="B46279" s="31"/>
      <c r="G46279" s="272" t="s">
        <v>1099</v>
      </c>
    </row>
    <row r="46280">
      <c r="B46280" s="31"/>
      <c r="G46280" s="272" t="s">
        <v>1099</v>
      </c>
    </row>
    <row r="46281">
      <c r="B46281" s="31"/>
      <c r="G46281" s="272" t="s">
        <v>1099</v>
      </c>
    </row>
    <row r="46282">
      <c r="B46282" s="31"/>
      <c r="G46282" s="272" t="s">
        <v>1099</v>
      </c>
    </row>
    <row r="46283">
      <c r="B46283" s="31"/>
      <c r="G46283" s="272" t="s">
        <v>1099</v>
      </c>
    </row>
    <row r="46284">
      <c r="B46284" s="31"/>
      <c r="G46284" s="272" t="s">
        <v>1099</v>
      </c>
    </row>
    <row r="46285">
      <c r="B46285" s="31"/>
      <c r="G46285" s="272" t="s">
        <v>1099</v>
      </c>
    </row>
    <row r="46286">
      <c r="B46286" s="31"/>
      <c r="G46286" s="272" t="s">
        <v>1099</v>
      </c>
    </row>
    <row r="46287">
      <c r="B46287" s="31"/>
      <c r="G46287" s="272" t="s">
        <v>1099</v>
      </c>
    </row>
    <row r="46288">
      <c r="B46288" s="31"/>
      <c r="G46288" s="272" t="s">
        <v>1099</v>
      </c>
    </row>
    <row r="46289">
      <c r="B46289" s="31"/>
      <c r="G46289" s="272" t="s">
        <v>1099</v>
      </c>
    </row>
    <row r="46290">
      <c r="B46290" s="31"/>
      <c r="G46290" s="272" t="s">
        <v>1099</v>
      </c>
    </row>
    <row r="46291">
      <c r="B46291" s="31"/>
      <c r="G46291" s="272" t="s">
        <v>1099</v>
      </c>
    </row>
    <row r="46292">
      <c r="B46292" s="31"/>
      <c r="G46292" s="272" t="s">
        <v>1099</v>
      </c>
    </row>
    <row r="46293">
      <c r="B46293" s="31"/>
      <c r="G46293" s="272" t="s">
        <v>1099</v>
      </c>
    </row>
    <row r="46294">
      <c r="B46294" s="31"/>
      <c r="G46294" s="272" t="s">
        <v>1099</v>
      </c>
    </row>
    <row r="46295">
      <c r="B46295" s="31"/>
      <c r="G46295" s="272" t="s">
        <v>1099</v>
      </c>
    </row>
    <row r="46296">
      <c r="B46296" s="31"/>
      <c r="G46296" s="272" t="s">
        <v>1099</v>
      </c>
    </row>
    <row r="46297">
      <c r="B46297" s="31"/>
      <c r="G46297" s="272" t="s">
        <v>1099</v>
      </c>
    </row>
    <row r="46298">
      <c r="B46298" s="31"/>
      <c r="G46298" s="272" t="s">
        <v>1099</v>
      </c>
    </row>
    <row r="46299">
      <c r="B46299" s="31"/>
      <c r="G46299" s="272" t="s">
        <v>1099</v>
      </c>
    </row>
    <row r="46300">
      <c r="B46300" s="31"/>
      <c r="G46300" s="272" t="s">
        <v>1099</v>
      </c>
    </row>
    <row r="46301">
      <c r="B46301" s="31"/>
      <c r="G46301" s="272" t="s">
        <v>1099</v>
      </c>
    </row>
    <row r="46302">
      <c r="B46302" s="31"/>
      <c r="G46302" s="272" t="s">
        <v>1099</v>
      </c>
    </row>
    <row r="46303">
      <c r="B46303" s="31"/>
      <c r="G46303" s="272" t="s">
        <v>1099</v>
      </c>
    </row>
    <row r="46304">
      <c r="B46304" s="31"/>
      <c r="G46304" s="272" t="s">
        <v>1099</v>
      </c>
    </row>
    <row r="46305">
      <c r="B46305" s="31"/>
      <c r="G46305" s="272" t="s">
        <v>1099</v>
      </c>
    </row>
    <row r="46306">
      <c r="B46306" s="31"/>
      <c r="G46306" s="272" t="s">
        <v>1099</v>
      </c>
    </row>
    <row r="46307">
      <c r="B46307" s="31"/>
      <c r="G46307" s="272" t="s">
        <v>1099</v>
      </c>
    </row>
    <row r="46308">
      <c r="B46308" s="31"/>
      <c r="G46308" s="272" t="s">
        <v>1099</v>
      </c>
    </row>
    <row r="46309">
      <c r="B46309" s="31"/>
      <c r="G46309" s="272" t="s">
        <v>1099</v>
      </c>
    </row>
    <row r="46310">
      <c r="B46310" s="31"/>
      <c r="G46310" s="272" t="s">
        <v>1099</v>
      </c>
    </row>
    <row r="46311">
      <c r="B46311" s="31"/>
      <c r="G46311" s="272" t="s">
        <v>1099</v>
      </c>
    </row>
    <row r="46312">
      <c r="B46312" s="31"/>
      <c r="G46312" s="272" t="s">
        <v>1099</v>
      </c>
    </row>
    <row r="46313">
      <c r="B46313" s="31"/>
      <c r="G46313" s="272" t="s">
        <v>1099</v>
      </c>
    </row>
    <row r="46314">
      <c r="B46314" s="31"/>
      <c r="G46314" s="272" t="s">
        <v>1099</v>
      </c>
    </row>
    <row r="46315">
      <c r="B46315" s="31"/>
      <c r="G46315" s="272" t="s">
        <v>1099</v>
      </c>
    </row>
    <row r="46316">
      <c r="B46316" s="31"/>
      <c r="G46316" s="272" t="s">
        <v>1099</v>
      </c>
    </row>
    <row r="46317">
      <c r="B46317" s="31"/>
      <c r="G46317" s="272" t="s">
        <v>1099</v>
      </c>
    </row>
    <row r="46318">
      <c r="B46318" s="31"/>
      <c r="G46318" s="272" t="s">
        <v>1099</v>
      </c>
    </row>
    <row r="46319">
      <c r="B46319" s="31"/>
      <c r="G46319" s="272" t="s">
        <v>1099</v>
      </c>
    </row>
    <row r="46320">
      <c r="B46320" s="31"/>
      <c r="G46320" s="272" t="s">
        <v>1099</v>
      </c>
    </row>
    <row r="46321">
      <c r="B46321" s="31"/>
      <c r="G46321" s="272" t="s">
        <v>1099</v>
      </c>
    </row>
    <row r="46322">
      <c r="B46322" s="31"/>
      <c r="G46322" s="272" t="s">
        <v>1099</v>
      </c>
    </row>
    <row r="46323">
      <c r="B46323" s="31"/>
      <c r="G46323" s="272" t="s">
        <v>1099</v>
      </c>
    </row>
    <row r="46324">
      <c r="B46324" s="31"/>
      <c r="G46324" s="272" t="s">
        <v>1099</v>
      </c>
    </row>
    <row r="46325">
      <c r="B46325" s="31"/>
      <c r="G46325" s="272" t="s">
        <v>1099</v>
      </c>
    </row>
    <row r="46326">
      <c r="B46326" s="31"/>
      <c r="G46326" s="272" t="s">
        <v>1099</v>
      </c>
    </row>
    <row r="46327">
      <c r="B46327" s="31"/>
      <c r="G46327" s="272" t="s">
        <v>1099</v>
      </c>
    </row>
    <row r="46328">
      <c r="B46328" s="31"/>
      <c r="G46328" s="272" t="s">
        <v>1099</v>
      </c>
    </row>
    <row r="46329">
      <c r="B46329" s="31"/>
      <c r="G46329" s="272" t="s">
        <v>1099</v>
      </c>
    </row>
    <row r="46330">
      <c r="B46330" s="31"/>
      <c r="G46330" s="272" t="s">
        <v>1099</v>
      </c>
    </row>
    <row r="46331">
      <c r="B46331" s="31"/>
      <c r="G46331" s="272" t="s">
        <v>1099</v>
      </c>
    </row>
    <row r="46332">
      <c r="B46332" s="31"/>
      <c r="G46332" s="272" t="s">
        <v>1099</v>
      </c>
    </row>
    <row r="46333">
      <c r="B46333" s="31"/>
      <c r="G46333" s="272" t="s">
        <v>1099</v>
      </c>
    </row>
    <row r="46334">
      <c r="B46334" s="31"/>
      <c r="G46334" s="272" t="s">
        <v>1099</v>
      </c>
    </row>
    <row r="46335">
      <c r="B46335" s="31"/>
      <c r="G46335" s="272" t="s">
        <v>1099</v>
      </c>
    </row>
    <row r="46336">
      <c r="B46336" s="31"/>
      <c r="G46336" s="272" t="s">
        <v>1099</v>
      </c>
    </row>
    <row r="46337">
      <c r="B46337" s="31"/>
      <c r="G46337" s="272" t="s">
        <v>1099</v>
      </c>
    </row>
    <row r="46338">
      <c r="B46338" s="31"/>
      <c r="G46338" s="272" t="s">
        <v>1099</v>
      </c>
    </row>
    <row r="46339">
      <c r="B46339" s="31"/>
      <c r="G46339" s="272" t="s">
        <v>1099</v>
      </c>
    </row>
    <row r="46340">
      <c r="B46340" s="31"/>
      <c r="G46340" s="272" t="s">
        <v>1099</v>
      </c>
    </row>
    <row r="46341">
      <c r="B46341" s="31"/>
      <c r="G46341" s="272" t="s">
        <v>1099</v>
      </c>
    </row>
    <row r="46342">
      <c r="B46342" s="31"/>
      <c r="G46342" s="272" t="s">
        <v>1099</v>
      </c>
    </row>
    <row r="46343">
      <c r="B46343" s="31"/>
      <c r="G46343" s="272" t="s">
        <v>1099</v>
      </c>
    </row>
    <row r="46344">
      <c r="B46344" s="31"/>
      <c r="G46344" s="272" t="s">
        <v>1099</v>
      </c>
    </row>
    <row r="46345">
      <c r="B46345" s="31"/>
      <c r="G46345" s="272" t="s">
        <v>1099</v>
      </c>
    </row>
    <row r="46346">
      <c r="B46346" s="31"/>
      <c r="G46346" s="272" t="s">
        <v>1099</v>
      </c>
    </row>
    <row r="46347">
      <c r="B46347" s="31"/>
      <c r="G46347" s="272" t="s">
        <v>1099</v>
      </c>
    </row>
    <row r="46348">
      <c r="B46348" s="31"/>
      <c r="G46348" s="272" t="s">
        <v>1099</v>
      </c>
    </row>
    <row r="46349">
      <c r="B46349" s="31"/>
      <c r="G46349" s="272" t="s">
        <v>1099</v>
      </c>
    </row>
    <row r="46350">
      <c r="B46350" s="31"/>
      <c r="G46350" s="272" t="s">
        <v>1099</v>
      </c>
    </row>
    <row r="46351">
      <c r="B46351" s="31"/>
      <c r="G46351" s="272" t="s">
        <v>1099</v>
      </c>
    </row>
    <row r="46352">
      <c r="B46352" s="31"/>
      <c r="G46352" s="272" t="s">
        <v>1099</v>
      </c>
    </row>
    <row r="46353">
      <c r="B46353" s="31"/>
      <c r="G46353" s="272" t="s">
        <v>1099</v>
      </c>
    </row>
    <row r="46354">
      <c r="B46354" s="31"/>
      <c r="G46354" s="272" t="s">
        <v>1099</v>
      </c>
    </row>
    <row r="46355">
      <c r="B46355" s="31"/>
      <c r="G46355" s="272" t="s">
        <v>1099</v>
      </c>
    </row>
    <row r="46356">
      <c r="B46356" s="31"/>
      <c r="G46356" s="272" t="s">
        <v>1099</v>
      </c>
    </row>
    <row r="46357">
      <c r="B46357" s="31"/>
      <c r="G46357" s="272" t="s">
        <v>1099</v>
      </c>
    </row>
    <row r="46358">
      <c r="B46358" s="31"/>
      <c r="G46358" s="272" t="s">
        <v>1099</v>
      </c>
    </row>
    <row r="46359">
      <c r="B46359" s="31"/>
      <c r="G46359" s="272" t="s">
        <v>1099</v>
      </c>
    </row>
    <row r="46360">
      <c r="B46360" s="31"/>
      <c r="G46360" s="272" t="s">
        <v>1099</v>
      </c>
    </row>
    <row r="46361">
      <c r="B46361" s="31"/>
      <c r="G46361" s="272" t="s">
        <v>1099</v>
      </c>
    </row>
    <row r="46362">
      <c r="B46362" s="31"/>
      <c r="G46362" s="272" t="s">
        <v>1099</v>
      </c>
    </row>
    <row r="46363">
      <c r="B46363" s="31"/>
      <c r="G46363" s="272" t="s">
        <v>1099</v>
      </c>
    </row>
    <row r="46364">
      <c r="B46364" s="31"/>
      <c r="G46364" s="272" t="s">
        <v>1099</v>
      </c>
    </row>
    <row r="46365">
      <c r="B46365" s="31"/>
      <c r="G46365" s="272" t="s">
        <v>1099</v>
      </c>
    </row>
    <row r="46366">
      <c r="B46366" s="31"/>
      <c r="G46366" s="272" t="s">
        <v>1099</v>
      </c>
    </row>
    <row r="46367">
      <c r="B46367" s="31"/>
      <c r="G46367" s="272" t="s">
        <v>1099</v>
      </c>
    </row>
    <row r="46368">
      <c r="B46368" s="31"/>
      <c r="G46368" s="272" t="s">
        <v>1099</v>
      </c>
    </row>
    <row r="46369">
      <c r="B46369" s="31"/>
      <c r="G46369" s="272" t="s">
        <v>1099</v>
      </c>
    </row>
    <row r="46370">
      <c r="B46370" s="31"/>
      <c r="G46370" s="272" t="s">
        <v>1099</v>
      </c>
    </row>
    <row r="46371">
      <c r="B46371" s="31"/>
      <c r="G46371" s="272" t="s">
        <v>1099</v>
      </c>
    </row>
    <row r="46372">
      <c r="B46372" s="31"/>
      <c r="G46372" s="272" t="s">
        <v>1099</v>
      </c>
    </row>
    <row r="46373">
      <c r="B46373" s="31"/>
      <c r="G46373" s="272" t="s">
        <v>1099</v>
      </c>
    </row>
    <row r="46374">
      <c r="B46374" s="31"/>
      <c r="G46374" s="272" t="s">
        <v>1099</v>
      </c>
    </row>
    <row r="46375">
      <c r="B46375" s="31"/>
      <c r="G46375" s="272" t="s">
        <v>1099</v>
      </c>
    </row>
    <row r="46376">
      <c r="B46376" s="31"/>
      <c r="G46376" s="272" t="s">
        <v>1099</v>
      </c>
    </row>
    <row r="46377">
      <c r="B46377" s="31"/>
      <c r="G46377" s="272" t="s">
        <v>1099</v>
      </c>
    </row>
    <row r="46378">
      <c r="B46378" s="31"/>
      <c r="G46378" s="272" t="s">
        <v>1099</v>
      </c>
    </row>
    <row r="46379">
      <c r="B46379" s="31"/>
      <c r="G46379" s="272" t="s">
        <v>1099</v>
      </c>
    </row>
    <row r="46380">
      <c r="B46380" s="31"/>
      <c r="G46380" s="272" t="s">
        <v>1099</v>
      </c>
    </row>
    <row r="46381">
      <c r="B46381" s="31"/>
      <c r="G46381" s="272" t="s">
        <v>1099</v>
      </c>
    </row>
    <row r="46382">
      <c r="B46382" s="31"/>
      <c r="G46382" s="272" t="s">
        <v>1099</v>
      </c>
    </row>
    <row r="46383">
      <c r="B46383" s="31"/>
      <c r="G46383" s="272" t="s">
        <v>1099</v>
      </c>
    </row>
    <row r="46384">
      <c r="B46384" s="31"/>
      <c r="G46384" s="272" t="s">
        <v>1099</v>
      </c>
    </row>
    <row r="46385">
      <c r="B46385" s="31"/>
      <c r="G46385" s="272" t="s">
        <v>1099</v>
      </c>
    </row>
    <row r="46386">
      <c r="B46386" s="31"/>
      <c r="G46386" s="272" t="s">
        <v>1099</v>
      </c>
    </row>
    <row r="46387">
      <c r="B46387" s="31"/>
      <c r="G46387" s="272" t="s">
        <v>1099</v>
      </c>
    </row>
    <row r="46388">
      <c r="B46388" s="31"/>
      <c r="G46388" s="272" t="s">
        <v>1099</v>
      </c>
    </row>
    <row r="46389">
      <c r="B46389" s="31"/>
      <c r="G46389" s="272" t="s">
        <v>1099</v>
      </c>
    </row>
    <row r="46390">
      <c r="B46390" s="31"/>
      <c r="G46390" s="272" t="s">
        <v>1099</v>
      </c>
    </row>
    <row r="46391">
      <c r="B46391" s="31"/>
      <c r="G46391" s="272" t="s">
        <v>1099</v>
      </c>
    </row>
    <row r="46392">
      <c r="B46392" s="31"/>
      <c r="G46392" s="272" t="s">
        <v>1099</v>
      </c>
    </row>
    <row r="46393">
      <c r="B46393" s="31"/>
      <c r="G46393" s="272" t="s">
        <v>1099</v>
      </c>
    </row>
    <row r="46394">
      <c r="B46394" s="31"/>
      <c r="G46394" s="272" t="s">
        <v>1099</v>
      </c>
    </row>
    <row r="46395">
      <c r="B46395" s="31"/>
      <c r="G46395" s="272" t="s">
        <v>1099</v>
      </c>
    </row>
    <row r="46396">
      <c r="B46396" s="31"/>
      <c r="G46396" s="272" t="s">
        <v>1099</v>
      </c>
    </row>
    <row r="46397">
      <c r="B46397" s="31"/>
      <c r="G46397" s="272" t="s">
        <v>1099</v>
      </c>
    </row>
    <row r="46398">
      <c r="B46398" s="31"/>
      <c r="G46398" s="272" t="s">
        <v>1099</v>
      </c>
    </row>
    <row r="46399">
      <c r="B46399" s="31"/>
      <c r="G46399" s="272" t="s">
        <v>1099</v>
      </c>
    </row>
    <row r="46400">
      <c r="B46400" s="31"/>
      <c r="G46400" s="272" t="s">
        <v>1099</v>
      </c>
    </row>
    <row r="46401">
      <c r="B46401" s="31"/>
      <c r="G46401" s="272" t="s">
        <v>1099</v>
      </c>
    </row>
    <row r="46402">
      <c r="B46402" s="31"/>
      <c r="G46402" s="272" t="s">
        <v>1099</v>
      </c>
    </row>
    <row r="46403">
      <c r="B46403" s="31"/>
      <c r="G46403" s="272" t="s">
        <v>1099</v>
      </c>
    </row>
    <row r="46404">
      <c r="B46404" s="31"/>
      <c r="G46404" s="272" t="s">
        <v>1099</v>
      </c>
    </row>
    <row r="46405">
      <c r="B46405" s="31"/>
      <c r="G46405" s="272" t="s">
        <v>1099</v>
      </c>
    </row>
    <row r="46406">
      <c r="B46406" s="31"/>
      <c r="G46406" s="272" t="s">
        <v>1099</v>
      </c>
    </row>
    <row r="46407">
      <c r="B46407" s="31"/>
      <c r="G46407" s="272" t="s">
        <v>1099</v>
      </c>
    </row>
    <row r="46408">
      <c r="B46408" s="31"/>
      <c r="G46408" s="272" t="s">
        <v>1099</v>
      </c>
    </row>
    <row r="46409">
      <c r="B46409" s="31"/>
      <c r="G46409" s="272" t="s">
        <v>1099</v>
      </c>
    </row>
    <row r="46410">
      <c r="B46410" s="31"/>
      <c r="G46410" s="272" t="s">
        <v>1099</v>
      </c>
    </row>
    <row r="46411">
      <c r="B46411" s="31"/>
      <c r="G46411" s="272" t="s">
        <v>1099</v>
      </c>
    </row>
    <row r="46412">
      <c r="B46412" s="31"/>
      <c r="G46412" s="272" t="s">
        <v>1099</v>
      </c>
    </row>
    <row r="46413">
      <c r="B46413" s="31"/>
      <c r="G46413" s="272" t="s">
        <v>1099</v>
      </c>
    </row>
    <row r="46414">
      <c r="B46414" s="31"/>
      <c r="G46414" s="272" t="s">
        <v>1099</v>
      </c>
    </row>
    <row r="46415">
      <c r="B46415" s="31"/>
      <c r="G46415" s="272" t="s">
        <v>1099</v>
      </c>
    </row>
    <row r="46416">
      <c r="B46416" s="31"/>
      <c r="G46416" s="272" t="s">
        <v>1099</v>
      </c>
    </row>
    <row r="46417">
      <c r="B46417" s="31"/>
      <c r="G46417" s="272" t="s">
        <v>1099</v>
      </c>
    </row>
    <row r="46418">
      <c r="B46418" s="31"/>
      <c r="G46418" s="272" t="s">
        <v>1099</v>
      </c>
    </row>
    <row r="46419">
      <c r="B46419" s="31"/>
      <c r="G46419" s="272" t="s">
        <v>1099</v>
      </c>
    </row>
    <row r="46420">
      <c r="B46420" s="31"/>
      <c r="G46420" s="272" t="s">
        <v>1099</v>
      </c>
    </row>
    <row r="46421">
      <c r="B46421" s="31"/>
      <c r="G46421" s="272" t="s">
        <v>1099</v>
      </c>
    </row>
    <row r="46422">
      <c r="B46422" s="31"/>
      <c r="G46422" s="272" t="s">
        <v>1099</v>
      </c>
    </row>
    <row r="46423">
      <c r="B46423" s="31"/>
      <c r="G46423" s="272" t="s">
        <v>1099</v>
      </c>
    </row>
    <row r="46424">
      <c r="B46424" s="31"/>
      <c r="G46424" s="272" t="s">
        <v>1099</v>
      </c>
    </row>
    <row r="46425">
      <c r="B46425" s="31"/>
      <c r="G46425" s="272" t="s">
        <v>1099</v>
      </c>
    </row>
    <row r="46426">
      <c r="B46426" s="31"/>
      <c r="G46426" s="272" t="s">
        <v>1099</v>
      </c>
    </row>
    <row r="46427">
      <c r="B46427" s="31"/>
      <c r="G46427" s="272" t="s">
        <v>1099</v>
      </c>
    </row>
    <row r="46428">
      <c r="B46428" s="31"/>
      <c r="G46428" s="272" t="s">
        <v>1099</v>
      </c>
    </row>
    <row r="46429">
      <c r="B46429" s="31"/>
      <c r="G46429" s="272" t="s">
        <v>1099</v>
      </c>
    </row>
    <row r="46430">
      <c r="B46430" s="31"/>
      <c r="G46430" s="272" t="s">
        <v>1099</v>
      </c>
    </row>
    <row r="46431">
      <c r="B46431" s="31"/>
      <c r="G46431" s="272" t="s">
        <v>1099</v>
      </c>
    </row>
    <row r="46432">
      <c r="B46432" s="31"/>
      <c r="G46432" s="272" t="s">
        <v>1099</v>
      </c>
    </row>
    <row r="46433">
      <c r="B46433" s="31"/>
      <c r="G46433" s="272" t="s">
        <v>1099</v>
      </c>
    </row>
    <row r="46434">
      <c r="B46434" s="31"/>
      <c r="G46434" s="272" t="s">
        <v>1099</v>
      </c>
    </row>
    <row r="46435">
      <c r="B46435" s="31"/>
      <c r="G46435" s="272" t="s">
        <v>1099</v>
      </c>
    </row>
    <row r="46436">
      <c r="B46436" s="31"/>
      <c r="G46436" s="272" t="s">
        <v>1099</v>
      </c>
    </row>
    <row r="46437">
      <c r="B46437" s="31"/>
      <c r="G46437" s="272" t="s">
        <v>1099</v>
      </c>
    </row>
    <row r="46438">
      <c r="B46438" s="31"/>
      <c r="G46438" s="272" t="s">
        <v>1099</v>
      </c>
    </row>
    <row r="46439">
      <c r="B46439" s="31"/>
      <c r="G46439" s="272" t="s">
        <v>1099</v>
      </c>
    </row>
    <row r="46440">
      <c r="B46440" s="31"/>
      <c r="G46440" s="272" t="s">
        <v>1099</v>
      </c>
    </row>
    <row r="46441">
      <c r="B46441" s="31"/>
      <c r="G46441" s="272" t="s">
        <v>1099</v>
      </c>
    </row>
    <row r="46442">
      <c r="B46442" s="31"/>
      <c r="G46442" s="272" t="s">
        <v>1099</v>
      </c>
    </row>
    <row r="46443">
      <c r="B46443" s="31"/>
      <c r="G46443" s="272" t="s">
        <v>1099</v>
      </c>
    </row>
    <row r="46444">
      <c r="B46444" s="31"/>
      <c r="G46444" s="272" t="s">
        <v>1099</v>
      </c>
    </row>
    <row r="46445">
      <c r="B46445" s="31"/>
      <c r="G46445" s="272" t="s">
        <v>1099</v>
      </c>
    </row>
    <row r="46446">
      <c r="B46446" s="31"/>
      <c r="G46446" s="272" t="s">
        <v>1099</v>
      </c>
    </row>
    <row r="46447">
      <c r="B46447" s="31"/>
      <c r="G46447" s="272" t="s">
        <v>1099</v>
      </c>
    </row>
    <row r="46448">
      <c r="B46448" s="31"/>
      <c r="G46448" s="272" t="s">
        <v>1099</v>
      </c>
    </row>
    <row r="46449">
      <c r="B46449" s="31"/>
      <c r="G46449" s="272" t="s">
        <v>1099</v>
      </c>
    </row>
    <row r="46450">
      <c r="B46450" s="31"/>
      <c r="G46450" s="272" t="s">
        <v>1099</v>
      </c>
    </row>
    <row r="46451">
      <c r="B46451" s="31"/>
      <c r="G46451" s="272" t="s">
        <v>1099</v>
      </c>
    </row>
    <row r="46452">
      <c r="B46452" s="31"/>
      <c r="G46452" s="272" t="s">
        <v>1099</v>
      </c>
    </row>
    <row r="46453">
      <c r="B46453" s="31"/>
      <c r="G46453" s="272" t="s">
        <v>1099</v>
      </c>
    </row>
    <row r="46454">
      <c r="B46454" s="31"/>
      <c r="G46454" s="272" t="s">
        <v>1099</v>
      </c>
    </row>
    <row r="46455">
      <c r="B46455" s="31"/>
      <c r="G46455" s="272" t="s">
        <v>1099</v>
      </c>
    </row>
    <row r="46456">
      <c r="B46456" s="31"/>
      <c r="G46456" s="272" t="s">
        <v>1099</v>
      </c>
    </row>
    <row r="46457">
      <c r="B46457" s="31"/>
      <c r="G46457" s="272" t="s">
        <v>1099</v>
      </c>
    </row>
    <row r="46458">
      <c r="B46458" s="31"/>
      <c r="G46458" s="272" t="s">
        <v>1099</v>
      </c>
    </row>
    <row r="46459">
      <c r="B46459" s="31"/>
      <c r="G46459" s="272" t="s">
        <v>1099</v>
      </c>
    </row>
    <row r="46460">
      <c r="B46460" s="31"/>
      <c r="G46460" s="272" t="s">
        <v>1099</v>
      </c>
    </row>
    <row r="46461">
      <c r="B46461" s="31"/>
      <c r="G46461" s="272" t="s">
        <v>1099</v>
      </c>
    </row>
    <row r="46462">
      <c r="B46462" s="31"/>
      <c r="G46462" s="272" t="s">
        <v>1099</v>
      </c>
    </row>
    <row r="46463">
      <c r="B46463" s="31"/>
      <c r="G46463" s="272" t="s">
        <v>1099</v>
      </c>
    </row>
    <row r="46464">
      <c r="B46464" s="31"/>
      <c r="G46464" s="272" t="s">
        <v>1099</v>
      </c>
    </row>
    <row r="46465">
      <c r="B46465" s="31"/>
      <c r="G46465" s="272" t="s">
        <v>1099</v>
      </c>
    </row>
    <row r="46466">
      <c r="B46466" s="31"/>
      <c r="G46466" s="272" t="s">
        <v>1099</v>
      </c>
    </row>
    <row r="46467">
      <c r="B46467" s="31"/>
      <c r="G46467" s="272" t="s">
        <v>1099</v>
      </c>
    </row>
    <row r="46468">
      <c r="B46468" s="31"/>
      <c r="G46468" s="272" t="s">
        <v>1099</v>
      </c>
    </row>
    <row r="46469">
      <c r="B46469" s="31"/>
      <c r="G46469" s="272" t="s">
        <v>1099</v>
      </c>
    </row>
    <row r="46470">
      <c r="B46470" s="31"/>
      <c r="G46470" s="272" t="s">
        <v>1099</v>
      </c>
    </row>
    <row r="46471">
      <c r="B46471" s="31"/>
      <c r="G46471" s="272" t="s">
        <v>1099</v>
      </c>
    </row>
    <row r="46472">
      <c r="B46472" s="31"/>
      <c r="G46472" s="272" t="s">
        <v>1099</v>
      </c>
    </row>
    <row r="46473">
      <c r="B46473" s="31"/>
      <c r="G46473" s="272" t="s">
        <v>1099</v>
      </c>
    </row>
    <row r="46474">
      <c r="B46474" s="31"/>
      <c r="G46474" s="272" t="s">
        <v>1099</v>
      </c>
    </row>
    <row r="46475">
      <c r="B46475" s="31"/>
      <c r="G46475" s="272" t="s">
        <v>1099</v>
      </c>
    </row>
    <row r="46476">
      <c r="B46476" s="31"/>
      <c r="G46476" s="272" t="s">
        <v>1099</v>
      </c>
    </row>
    <row r="46477">
      <c r="B46477" s="31"/>
      <c r="G46477" s="272" t="s">
        <v>1099</v>
      </c>
    </row>
    <row r="46478">
      <c r="B46478" s="31"/>
      <c r="G46478" s="272" t="s">
        <v>1099</v>
      </c>
    </row>
    <row r="46479">
      <c r="B46479" s="31"/>
      <c r="G46479" s="272" t="s">
        <v>1099</v>
      </c>
    </row>
    <row r="46480">
      <c r="B46480" s="31"/>
      <c r="G46480" s="272" t="s">
        <v>1099</v>
      </c>
    </row>
    <row r="46481">
      <c r="B46481" s="31"/>
      <c r="G46481" s="272" t="s">
        <v>1099</v>
      </c>
    </row>
    <row r="46482">
      <c r="B46482" s="31"/>
      <c r="G46482" s="272" t="s">
        <v>1099</v>
      </c>
    </row>
    <row r="46483">
      <c r="B46483" s="31"/>
      <c r="G46483" s="272" t="s">
        <v>1099</v>
      </c>
    </row>
    <row r="46484">
      <c r="B46484" s="31"/>
      <c r="G46484" s="272" t="s">
        <v>1099</v>
      </c>
    </row>
    <row r="46485">
      <c r="B46485" s="31"/>
      <c r="G46485" s="272" t="s">
        <v>1099</v>
      </c>
    </row>
    <row r="46486">
      <c r="B46486" s="31"/>
      <c r="G46486" s="272" t="s">
        <v>1099</v>
      </c>
    </row>
    <row r="46487">
      <c r="B46487" s="31"/>
      <c r="G46487" s="272" t="s">
        <v>1099</v>
      </c>
    </row>
    <row r="46488">
      <c r="B46488" s="31"/>
      <c r="G46488" s="272" t="s">
        <v>1099</v>
      </c>
    </row>
    <row r="46489">
      <c r="B46489" s="31"/>
      <c r="G46489" s="272" t="s">
        <v>1099</v>
      </c>
    </row>
    <row r="46490">
      <c r="B46490" s="31"/>
      <c r="G46490" s="272" t="s">
        <v>1099</v>
      </c>
    </row>
    <row r="46491">
      <c r="B46491" s="31"/>
      <c r="G46491" s="272" t="s">
        <v>1099</v>
      </c>
    </row>
    <row r="46492">
      <c r="B46492" s="31"/>
      <c r="G46492" s="272" t="s">
        <v>1099</v>
      </c>
    </row>
    <row r="46493">
      <c r="B46493" s="31"/>
      <c r="G46493" s="272" t="s">
        <v>1099</v>
      </c>
    </row>
    <row r="46494">
      <c r="B46494" s="31"/>
      <c r="G46494" s="272" t="s">
        <v>1099</v>
      </c>
    </row>
    <row r="46495">
      <c r="B46495" s="31"/>
      <c r="G46495" s="272" t="s">
        <v>1099</v>
      </c>
    </row>
    <row r="46496">
      <c r="B46496" s="31"/>
      <c r="G46496" s="272" t="s">
        <v>1099</v>
      </c>
    </row>
    <row r="46497">
      <c r="B46497" s="31"/>
      <c r="G46497" s="272" t="s">
        <v>1099</v>
      </c>
    </row>
    <row r="46498">
      <c r="B46498" s="31"/>
      <c r="G46498" s="272" t="s">
        <v>1099</v>
      </c>
    </row>
    <row r="46499">
      <c r="B46499" s="31"/>
      <c r="G46499" s="272" t="s">
        <v>1099</v>
      </c>
    </row>
    <row r="46500">
      <c r="B46500" s="31"/>
      <c r="G46500" s="272" t="s">
        <v>1099</v>
      </c>
    </row>
    <row r="46501">
      <c r="B46501" s="31"/>
      <c r="G46501" s="272" t="s">
        <v>1099</v>
      </c>
    </row>
    <row r="46502">
      <c r="B46502" s="31"/>
      <c r="G46502" s="272" t="s">
        <v>1099</v>
      </c>
    </row>
    <row r="46503">
      <c r="B46503" s="31"/>
      <c r="G46503" s="272" t="s">
        <v>1099</v>
      </c>
    </row>
    <row r="46504">
      <c r="B46504" s="31"/>
      <c r="G46504" s="272" t="s">
        <v>1099</v>
      </c>
    </row>
    <row r="46505">
      <c r="B46505" s="31"/>
      <c r="G46505" s="272" t="s">
        <v>1099</v>
      </c>
    </row>
    <row r="46506">
      <c r="B46506" s="31"/>
      <c r="G46506" s="272" t="s">
        <v>1099</v>
      </c>
    </row>
    <row r="46507">
      <c r="B46507" s="31"/>
      <c r="G46507" s="272" t="s">
        <v>1099</v>
      </c>
    </row>
    <row r="46508">
      <c r="B46508" s="31"/>
      <c r="G46508" s="272" t="s">
        <v>1099</v>
      </c>
    </row>
    <row r="46509">
      <c r="B46509" s="31"/>
      <c r="G46509" s="272" t="s">
        <v>1099</v>
      </c>
    </row>
    <row r="46510">
      <c r="B46510" s="31"/>
      <c r="G46510" s="272" t="s">
        <v>1099</v>
      </c>
    </row>
    <row r="46511">
      <c r="B46511" s="31"/>
      <c r="G46511" s="272" t="s">
        <v>1099</v>
      </c>
    </row>
    <row r="46512">
      <c r="B46512" s="31"/>
      <c r="G46512" s="272" t="s">
        <v>1099</v>
      </c>
    </row>
    <row r="46513">
      <c r="B46513" s="31"/>
      <c r="G46513" s="272" t="s">
        <v>1099</v>
      </c>
    </row>
    <row r="46514">
      <c r="B46514" s="31"/>
      <c r="G46514" s="272" t="s">
        <v>1099</v>
      </c>
    </row>
    <row r="46515">
      <c r="B46515" s="31"/>
      <c r="G46515" s="272" t="s">
        <v>1099</v>
      </c>
    </row>
    <row r="46516">
      <c r="B46516" s="31"/>
      <c r="G46516" s="272" t="s">
        <v>1099</v>
      </c>
    </row>
    <row r="46517">
      <c r="B46517" s="31"/>
      <c r="G46517" s="272" t="s">
        <v>1099</v>
      </c>
    </row>
    <row r="46518">
      <c r="B46518" s="31"/>
      <c r="G46518" s="272" t="s">
        <v>1099</v>
      </c>
    </row>
    <row r="46519">
      <c r="B46519" s="31"/>
      <c r="G46519" s="272" t="s">
        <v>1099</v>
      </c>
    </row>
    <row r="46520">
      <c r="B46520" s="31"/>
      <c r="G46520" s="272" t="s">
        <v>1099</v>
      </c>
    </row>
    <row r="46521">
      <c r="B46521" s="31"/>
      <c r="G46521" s="272" t="s">
        <v>1099</v>
      </c>
    </row>
    <row r="46522">
      <c r="B46522" s="31"/>
      <c r="G46522" s="272" t="s">
        <v>1099</v>
      </c>
    </row>
    <row r="46523">
      <c r="B46523" s="31"/>
      <c r="G46523" s="272" t="s">
        <v>1099</v>
      </c>
    </row>
    <row r="46524">
      <c r="B46524" s="31"/>
      <c r="G46524" s="272" t="s">
        <v>1099</v>
      </c>
    </row>
    <row r="46525">
      <c r="B46525" s="31"/>
      <c r="G46525" s="272" t="s">
        <v>1099</v>
      </c>
    </row>
    <row r="46526">
      <c r="B46526" s="31"/>
      <c r="G46526" s="272" t="s">
        <v>1099</v>
      </c>
    </row>
    <row r="46527">
      <c r="B46527" s="31"/>
      <c r="G46527" s="272" t="s">
        <v>1099</v>
      </c>
    </row>
    <row r="46528">
      <c r="B46528" s="31"/>
      <c r="G46528" s="272" t="s">
        <v>1099</v>
      </c>
    </row>
    <row r="46529">
      <c r="B46529" s="31"/>
      <c r="G46529" s="272" t="s">
        <v>1099</v>
      </c>
    </row>
    <row r="46530">
      <c r="B46530" s="31"/>
      <c r="G46530" s="272" t="s">
        <v>1099</v>
      </c>
    </row>
    <row r="46531">
      <c r="B46531" s="31"/>
      <c r="G46531" s="272" t="s">
        <v>1099</v>
      </c>
    </row>
    <row r="46532">
      <c r="B46532" s="31"/>
      <c r="G46532" s="272" t="s">
        <v>1099</v>
      </c>
    </row>
    <row r="46533">
      <c r="B46533" s="31"/>
      <c r="G46533" s="272" t="s">
        <v>1099</v>
      </c>
    </row>
    <row r="46534">
      <c r="B46534" s="31"/>
      <c r="G46534" s="272" t="s">
        <v>1099</v>
      </c>
    </row>
    <row r="46535">
      <c r="B46535" s="31"/>
      <c r="G46535" s="272" t="s">
        <v>1099</v>
      </c>
    </row>
    <row r="46536">
      <c r="B46536" s="31"/>
      <c r="G46536" s="272" t="s">
        <v>1099</v>
      </c>
    </row>
    <row r="46537">
      <c r="B46537" s="31"/>
      <c r="G46537" s="272" t="s">
        <v>1099</v>
      </c>
    </row>
    <row r="46538">
      <c r="B46538" s="31"/>
      <c r="G46538" s="272" t="s">
        <v>1099</v>
      </c>
    </row>
    <row r="46539">
      <c r="B46539" s="31"/>
      <c r="G46539" s="272" t="s">
        <v>1099</v>
      </c>
    </row>
    <row r="46540">
      <c r="B46540" s="31"/>
      <c r="G46540" s="272" t="s">
        <v>1099</v>
      </c>
    </row>
    <row r="46541">
      <c r="B46541" s="31"/>
      <c r="G46541" s="272" t="s">
        <v>1099</v>
      </c>
    </row>
    <row r="46542">
      <c r="B46542" s="31"/>
      <c r="G46542" s="272" t="s">
        <v>1099</v>
      </c>
    </row>
    <row r="46543">
      <c r="B46543" s="31"/>
      <c r="G46543" s="272" t="s">
        <v>1099</v>
      </c>
    </row>
    <row r="46544">
      <c r="B46544" s="31"/>
      <c r="G46544" s="272" t="s">
        <v>1099</v>
      </c>
    </row>
    <row r="46545">
      <c r="B46545" s="31"/>
      <c r="G46545" s="272" t="s">
        <v>1099</v>
      </c>
    </row>
    <row r="46546">
      <c r="B46546" s="31"/>
      <c r="G46546" s="272" t="s">
        <v>1099</v>
      </c>
    </row>
    <row r="46547">
      <c r="B46547" s="31"/>
      <c r="G46547" s="272" t="s">
        <v>1099</v>
      </c>
    </row>
    <row r="46548">
      <c r="B46548" s="31"/>
      <c r="G46548" s="272" t="s">
        <v>1099</v>
      </c>
    </row>
    <row r="46549">
      <c r="B46549" s="31"/>
      <c r="G46549" s="272" t="s">
        <v>1099</v>
      </c>
    </row>
    <row r="46550">
      <c r="B46550" s="31"/>
      <c r="G46550" s="272" t="s">
        <v>1099</v>
      </c>
    </row>
    <row r="46551">
      <c r="B46551" s="31"/>
      <c r="G46551" s="272" t="s">
        <v>1099</v>
      </c>
    </row>
    <row r="46552">
      <c r="B46552" s="31"/>
      <c r="G46552" s="272" t="s">
        <v>1099</v>
      </c>
    </row>
    <row r="46553">
      <c r="B46553" s="31"/>
      <c r="G46553" s="272" t="s">
        <v>1099</v>
      </c>
    </row>
    <row r="46554">
      <c r="B46554" s="31"/>
      <c r="G46554" s="272" t="s">
        <v>1099</v>
      </c>
    </row>
    <row r="46555">
      <c r="B46555" s="31"/>
      <c r="G46555" s="272" t="s">
        <v>1099</v>
      </c>
    </row>
    <row r="46556">
      <c r="B46556" s="31"/>
      <c r="G46556" s="272" t="s">
        <v>1099</v>
      </c>
    </row>
    <row r="46557">
      <c r="B46557" s="31"/>
      <c r="G46557" s="272" t="s">
        <v>1099</v>
      </c>
    </row>
    <row r="46558">
      <c r="B46558" s="31"/>
      <c r="G46558" s="272" t="s">
        <v>1099</v>
      </c>
    </row>
    <row r="46559">
      <c r="B46559" s="31"/>
      <c r="G46559" s="272" t="s">
        <v>1099</v>
      </c>
    </row>
    <row r="46560">
      <c r="B46560" s="31"/>
      <c r="G46560" s="272" t="s">
        <v>1099</v>
      </c>
    </row>
    <row r="46561">
      <c r="B46561" s="31"/>
      <c r="G46561" s="272" t="s">
        <v>1099</v>
      </c>
    </row>
    <row r="46562">
      <c r="B46562" s="31"/>
      <c r="G46562" s="272" t="s">
        <v>1099</v>
      </c>
    </row>
    <row r="46563">
      <c r="B46563" s="31"/>
      <c r="G46563" s="272" t="s">
        <v>1099</v>
      </c>
    </row>
    <row r="46564">
      <c r="B46564" s="31"/>
      <c r="G46564" s="272" t="s">
        <v>1099</v>
      </c>
    </row>
    <row r="46565">
      <c r="B46565" s="31"/>
      <c r="G46565" s="272" t="s">
        <v>1099</v>
      </c>
    </row>
    <row r="46566">
      <c r="B46566" s="31"/>
      <c r="G46566" s="272" t="s">
        <v>1099</v>
      </c>
    </row>
    <row r="46567">
      <c r="B46567" s="31"/>
      <c r="G46567" s="272" t="s">
        <v>1099</v>
      </c>
    </row>
    <row r="46568">
      <c r="B46568" s="31"/>
      <c r="G46568" s="272" t="s">
        <v>1099</v>
      </c>
    </row>
    <row r="46569">
      <c r="B46569" s="31"/>
      <c r="G46569" s="272" t="s">
        <v>1099</v>
      </c>
    </row>
    <row r="46570">
      <c r="B46570" s="31"/>
      <c r="G46570" s="272" t="s">
        <v>1099</v>
      </c>
    </row>
    <row r="46571">
      <c r="B46571" s="31"/>
      <c r="G46571" s="272" t="s">
        <v>1099</v>
      </c>
    </row>
    <row r="46572">
      <c r="B46572" s="31"/>
      <c r="G46572" s="272" t="s">
        <v>1099</v>
      </c>
    </row>
    <row r="46573">
      <c r="B46573" s="31"/>
      <c r="G46573" s="272" t="s">
        <v>1099</v>
      </c>
    </row>
    <row r="46574">
      <c r="B46574" s="31"/>
      <c r="G46574" s="272" t="s">
        <v>1099</v>
      </c>
    </row>
    <row r="46575">
      <c r="B46575" s="31"/>
      <c r="G46575" s="272" t="s">
        <v>1099</v>
      </c>
    </row>
    <row r="46576">
      <c r="B46576" s="31"/>
      <c r="G46576" s="272" t="s">
        <v>1099</v>
      </c>
    </row>
    <row r="46577">
      <c r="B46577" s="31"/>
      <c r="G46577" s="272" t="s">
        <v>1099</v>
      </c>
    </row>
    <row r="46578">
      <c r="B46578" s="31"/>
      <c r="G46578" s="272" t="s">
        <v>1099</v>
      </c>
    </row>
    <row r="46579">
      <c r="B46579" s="31"/>
      <c r="G46579" s="272" t="s">
        <v>1099</v>
      </c>
    </row>
    <row r="46580">
      <c r="B46580" s="31"/>
      <c r="G46580" s="272" t="s">
        <v>1099</v>
      </c>
    </row>
    <row r="46581">
      <c r="B46581" s="31"/>
      <c r="G46581" s="272" t="s">
        <v>1099</v>
      </c>
    </row>
    <row r="46582">
      <c r="B46582" s="31"/>
      <c r="G46582" s="272" t="s">
        <v>1099</v>
      </c>
    </row>
    <row r="46583">
      <c r="B46583" s="31"/>
      <c r="G46583" s="272" t="s">
        <v>1099</v>
      </c>
    </row>
    <row r="46584">
      <c r="B46584" s="31"/>
      <c r="G46584" s="272" t="s">
        <v>1099</v>
      </c>
    </row>
    <row r="46585">
      <c r="B46585" s="31"/>
      <c r="G46585" s="272" t="s">
        <v>1099</v>
      </c>
    </row>
    <row r="46586">
      <c r="B46586" s="31"/>
      <c r="G46586" s="272" t="s">
        <v>1099</v>
      </c>
    </row>
    <row r="46587">
      <c r="B46587" s="31"/>
      <c r="G46587" s="272" t="s">
        <v>1099</v>
      </c>
    </row>
    <row r="46588">
      <c r="B46588" s="31"/>
      <c r="G46588" s="272" t="s">
        <v>1099</v>
      </c>
    </row>
    <row r="46589">
      <c r="B46589" s="31"/>
      <c r="G46589" s="272" t="s">
        <v>1099</v>
      </c>
    </row>
    <row r="46590">
      <c r="B46590" s="31"/>
      <c r="G46590" s="272" t="s">
        <v>1099</v>
      </c>
    </row>
    <row r="46591">
      <c r="B46591" s="31"/>
      <c r="G46591" s="272" t="s">
        <v>1099</v>
      </c>
    </row>
    <row r="46592">
      <c r="B46592" s="31"/>
      <c r="G46592" s="272" t="s">
        <v>1099</v>
      </c>
    </row>
    <row r="46593">
      <c r="B46593" s="31"/>
      <c r="G46593" s="272" t="s">
        <v>1099</v>
      </c>
    </row>
    <row r="46594">
      <c r="B46594" s="31"/>
      <c r="G46594" s="272" t="s">
        <v>1099</v>
      </c>
    </row>
    <row r="46595">
      <c r="B46595" s="31"/>
      <c r="G46595" s="272" t="s">
        <v>1099</v>
      </c>
    </row>
    <row r="46596">
      <c r="B46596" s="31"/>
      <c r="G46596" s="272" t="s">
        <v>1099</v>
      </c>
    </row>
    <row r="46597">
      <c r="B46597" s="31"/>
      <c r="G46597" s="272" t="s">
        <v>1099</v>
      </c>
    </row>
    <row r="46598">
      <c r="B46598" s="31"/>
      <c r="G46598" s="272" t="s">
        <v>1099</v>
      </c>
    </row>
    <row r="46599">
      <c r="B46599" s="31"/>
      <c r="G46599" s="272" t="s">
        <v>1099</v>
      </c>
    </row>
    <row r="46600">
      <c r="B46600" s="31"/>
      <c r="G46600" s="272" t="s">
        <v>1099</v>
      </c>
    </row>
    <row r="46601">
      <c r="B46601" s="31"/>
      <c r="G46601" s="272" t="s">
        <v>1099</v>
      </c>
    </row>
    <row r="46602">
      <c r="B46602" s="31"/>
      <c r="G46602" s="272" t="s">
        <v>1099</v>
      </c>
    </row>
    <row r="46603">
      <c r="B46603" s="31"/>
      <c r="G46603" s="272" t="s">
        <v>1099</v>
      </c>
    </row>
    <row r="46604">
      <c r="B46604" s="31"/>
      <c r="G46604" s="272" t="s">
        <v>1099</v>
      </c>
    </row>
    <row r="46605">
      <c r="B46605" s="31"/>
      <c r="G46605" s="272" t="s">
        <v>1099</v>
      </c>
    </row>
    <row r="46606">
      <c r="B46606" s="31"/>
      <c r="G46606" s="272" t="s">
        <v>1099</v>
      </c>
    </row>
    <row r="46607">
      <c r="B46607" s="31"/>
      <c r="G46607" s="272" t="s">
        <v>1099</v>
      </c>
    </row>
    <row r="46608">
      <c r="B46608" s="31"/>
      <c r="G46608" s="272" t="s">
        <v>1099</v>
      </c>
    </row>
    <row r="46609">
      <c r="B46609" s="31"/>
      <c r="G46609" s="272" t="s">
        <v>1099</v>
      </c>
    </row>
    <row r="46610">
      <c r="B46610" s="31"/>
      <c r="G46610" s="272" t="s">
        <v>1099</v>
      </c>
    </row>
    <row r="46611">
      <c r="B46611" s="31"/>
      <c r="G46611" s="272" t="s">
        <v>1099</v>
      </c>
    </row>
    <row r="46612">
      <c r="B46612" s="31"/>
      <c r="G46612" s="272" t="s">
        <v>1099</v>
      </c>
    </row>
    <row r="46613">
      <c r="B46613" s="31"/>
      <c r="G46613" s="272" t="s">
        <v>1099</v>
      </c>
    </row>
    <row r="46614">
      <c r="B46614" s="31"/>
      <c r="G46614" s="272" t="s">
        <v>1099</v>
      </c>
    </row>
    <row r="46615">
      <c r="B46615" s="31"/>
      <c r="G46615" s="272" t="s">
        <v>1099</v>
      </c>
    </row>
    <row r="46616">
      <c r="B46616" s="31"/>
      <c r="G46616" s="272" t="s">
        <v>1099</v>
      </c>
    </row>
    <row r="46617">
      <c r="B46617" s="31"/>
      <c r="G46617" s="272" t="s">
        <v>1099</v>
      </c>
    </row>
    <row r="46618">
      <c r="B46618" s="31"/>
      <c r="G46618" s="272" t="s">
        <v>1099</v>
      </c>
    </row>
    <row r="46619">
      <c r="B46619" s="31"/>
      <c r="G46619" s="272" t="s">
        <v>1099</v>
      </c>
    </row>
    <row r="46620">
      <c r="B46620" s="31"/>
      <c r="G46620" s="272" t="s">
        <v>1099</v>
      </c>
    </row>
    <row r="46621">
      <c r="B46621" s="31"/>
      <c r="G46621" s="272" t="s">
        <v>1099</v>
      </c>
    </row>
    <row r="46622">
      <c r="B46622" s="31"/>
      <c r="G46622" s="272" t="s">
        <v>1099</v>
      </c>
    </row>
    <row r="46623">
      <c r="B46623" s="31"/>
      <c r="G46623" s="272" t="s">
        <v>1099</v>
      </c>
    </row>
    <row r="46624">
      <c r="B46624" s="31"/>
      <c r="G46624" s="272" t="s">
        <v>1099</v>
      </c>
    </row>
    <row r="46625">
      <c r="B46625" s="31"/>
      <c r="G46625" s="272" t="s">
        <v>1099</v>
      </c>
    </row>
    <row r="46626">
      <c r="B46626" s="31"/>
      <c r="G46626" s="272" t="s">
        <v>1099</v>
      </c>
    </row>
    <row r="46627">
      <c r="B46627" s="31"/>
      <c r="G46627" s="272" t="s">
        <v>1099</v>
      </c>
    </row>
    <row r="46628">
      <c r="B46628" s="31"/>
      <c r="G46628" s="272" t="s">
        <v>1099</v>
      </c>
    </row>
    <row r="46629">
      <c r="B46629" s="31"/>
      <c r="G46629" s="272" t="s">
        <v>1099</v>
      </c>
    </row>
    <row r="46630">
      <c r="B46630" s="31"/>
      <c r="G46630" s="272" t="s">
        <v>1099</v>
      </c>
    </row>
    <row r="46631">
      <c r="B46631" s="31"/>
      <c r="G46631" s="272" t="s">
        <v>1099</v>
      </c>
    </row>
    <row r="46632">
      <c r="B46632" s="31"/>
      <c r="G46632" s="272" t="s">
        <v>1099</v>
      </c>
    </row>
    <row r="46633">
      <c r="B46633" s="31"/>
      <c r="G46633" s="272" t="s">
        <v>1099</v>
      </c>
    </row>
    <row r="46634">
      <c r="B46634" s="31"/>
      <c r="G46634" s="272" t="s">
        <v>1099</v>
      </c>
    </row>
    <row r="46635">
      <c r="B46635" s="31"/>
      <c r="G46635" s="272" t="s">
        <v>1099</v>
      </c>
    </row>
    <row r="46636">
      <c r="B46636" s="31"/>
      <c r="G46636" s="272" t="s">
        <v>1099</v>
      </c>
    </row>
    <row r="46637">
      <c r="B46637" s="31"/>
      <c r="G46637" s="272" t="s">
        <v>1099</v>
      </c>
    </row>
    <row r="46638">
      <c r="B46638" s="31"/>
      <c r="G46638" s="272" t="s">
        <v>1099</v>
      </c>
    </row>
    <row r="46639">
      <c r="B46639" s="31"/>
      <c r="G46639" s="272" t="s">
        <v>1099</v>
      </c>
    </row>
    <row r="46640">
      <c r="B46640" s="31"/>
      <c r="G46640" s="272" t="s">
        <v>1099</v>
      </c>
    </row>
    <row r="46641">
      <c r="B46641" s="31"/>
      <c r="G46641" s="272" t="s">
        <v>1099</v>
      </c>
    </row>
    <row r="46642">
      <c r="B46642" s="31"/>
      <c r="G46642" s="272" t="s">
        <v>1099</v>
      </c>
    </row>
    <row r="46643">
      <c r="B46643" s="31"/>
      <c r="G46643" s="272" t="s">
        <v>1099</v>
      </c>
    </row>
    <row r="46644">
      <c r="B46644" s="31"/>
      <c r="G46644" s="272" t="s">
        <v>1099</v>
      </c>
    </row>
    <row r="46645">
      <c r="B46645" s="31"/>
      <c r="G46645" s="272" t="s">
        <v>1099</v>
      </c>
    </row>
    <row r="46646">
      <c r="B46646" s="31"/>
      <c r="G46646" s="272" t="s">
        <v>1099</v>
      </c>
    </row>
    <row r="46647">
      <c r="B46647" s="31"/>
      <c r="G46647" s="272" t="s">
        <v>1099</v>
      </c>
    </row>
    <row r="46648">
      <c r="B46648" s="31"/>
      <c r="G46648" s="272" t="s">
        <v>1099</v>
      </c>
    </row>
    <row r="46649">
      <c r="B46649" s="31"/>
      <c r="G46649" s="272" t="s">
        <v>1099</v>
      </c>
    </row>
    <row r="46650">
      <c r="B46650" s="31"/>
      <c r="G46650" s="272" t="s">
        <v>1099</v>
      </c>
    </row>
    <row r="46651">
      <c r="B46651" s="31"/>
      <c r="G46651" s="272" t="s">
        <v>1099</v>
      </c>
    </row>
    <row r="46652">
      <c r="B46652" s="31"/>
      <c r="G46652" s="272" t="s">
        <v>1099</v>
      </c>
    </row>
    <row r="46653">
      <c r="B46653" s="31"/>
      <c r="G46653" s="272" t="s">
        <v>1099</v>
      </c>
    </row>
    <row r="46654">
      <c r="B46654" s="31"/>
      <c r="G46654" s="272" t="s">
        <v>1099</v>
      </c>
    </row>
    <row r="46655">
      <c r="B46655" s="31"/>
      <c r="G46655" s="272" t="s">
        <v>1099</v>
      </c>
    </row>
    <row r="46656">
      <c r="B46656" s="31"/>
      <c r="G46656" s="272" t="s">
        <v>1099</v>
      </c>
    </row>
    <row r="46657">
      <c r="B46657" s="31"/>
      <c r="G46657" s="272" t="s">
        <v>1099</v>
      </c>
    </row>
    <row r="46658">
      <c r="B46658" s="31"/>
      <c r="G46658" s="272" t="s">
        <v>1099</v>
      </c>
    </row>
    <row r="46659">
      <c r="B46659" s="31"/>
      <c r="G46659" s="272" t="s">
        <v>1099</v>
      </c>
    </row>
    <row r="46660">
      <c r="B46660" s="31"/>
      <c r="G46660" s="272" t="s">
        <v>1099</v>
      </c>
    </row>
    <row r="46661">
      <c r="B46661" s="31"/>
      <c r="G46661" s="272" t="s">
        <v>1099</v>
      </c>
    </row>
    <row r="46662">
      <c r="B46662" s="31"/>
      <c r="G46662" s="272" t="s">
        <v>1099</v>
      </c>
    </row>
    <row r="46663">
      <c r="B46663" s="31"/>
      <c r="G46663" s="272" t="s">
        <v>1099</v>
      </c>
    </row>
    <row r="46664">
      <c r="B46664" s="31"/>
      <c r="G46664" s="272" t="s">
        <v>1099</v>
      </c>
    </row>
    <row r="46665">
      <c r="B46665" s="31"/>
      <c r="G46665" s="272" t="s">
        <v>1099</v>
      </c>
    </row>
    <row r="46666">
      <c r="B46666" s="31"/>
      <c r="G46666" s="272" t="s">
        <v>1099</v>
      </c>
    </row>
    <row r="46667">
      <c r="B46667" s="31"/>
      <c r="G46667" s="272" t="s">
        <v>1099</v>
      </c>
    </row>
    <row r="46668">
      <c r="B46668" s="31"/>
      <c r="G46668" s="272" t="s">
        <v>1099</v>
      </c>
    </row>
    <row r="46669">
      <c r="B46669" s="31"/>
      <c r="G46669" s="272" t="s">
        <v>1099</v>
      </c>
    </row>
    <row r="46670">
      <c r="B46670" s="31"/>
      <c r="G46670" s="272" t="s">
        <v>1099</v>
      </c>
    </row>
    <row r="46671">
      <c r="B46671" s="31"/>
      <c r="G46671" s="272" t="s">
        <v>1099</v>
      </c>
    </row>
    <row r="46672">
      <c r="B46672" s="31"/>
      <c r="G46672" s="272" t="s">
        <v>1099</v>
      </c>
    </row>
    <row r="46673">
      <c r="B46673" s="31"/>
      <c r="G46673" s="272" t="s">
        <v>1099</v>
      </c>
    </row>
    <row r="46674">
      <c r="B46674" s="31"/>
      <c r="G46674" s="272" t="s">
        <v>1099</v>
      </c>
    </row>
    <row r="46675">
      <c r="B46675" s="31"/>
      <c r="G46675" s="272" t="s">
        <v>1099</v>
      </c>
    </row>
    <row r="46676">
      <c r="B46676" s="31"/>
      <c r="G46676" s="272" t="s">
        <v>1099</v>
      </c>
    </row>
    <row r="46677">
      <c r="B46677" s="31"/>
      <c r="G46677" s="272" t="s">
        <v>1099</v>
      </c>
    </row>
    <row r="46678">
      <c r="B46678" s="31"/>
      <c r="G46678" s="272" t="s">
        <v>1099</v>
      </c>
    </row>
    <row r="46679">
      <c r="B46679" s="31"/>
      <c r="G46679" s="272" t="s">
        <v>1099</v>
      </c>
    </row>
    <row r="46680">
      <c r="B46680" s="31"/>
      <c r="G46680" s="272" t="s">
        <v>1099</v>
      </c>
    </row>
    <row r="46681">
      <c r="B46681" s="31"/>
      <c r="G46681" s="272" t="s">
        <v>1099</v>
      </c>
    </row>
    <row r="46682">
      <c r="B46682" s="31"/>
      <c r="G46682" s="272" t="s">
        <v>1099</v>
      </c>
    </row>
    <row r="46683">
      <c r="B46683" s="31"/>
      <c r="G46683" s="272" t="s">
        <v>1099</v>
      </c>
    </row>
    <row r="46684">
      <c r="B46684" s="31"/>
      <c r="G46684" s="272" t="s">
        <v>1099</v>
      </c>
    </row>
    <row r="46685">
      <c r="B46685" s="31"/>
      <c r="G46685" s="272" t="s">
        <v>1099</v>
      </c>
    </row>
    <row r="46686">
      <c r="B46686" s="31"/>
      <c r="G46686" s="272" t="s">
        <v>1099</v>
      </c>
    </row>
    <row r="46687">
      <c r="B46687" s="31"/>
      <c r="G46687" s="272" t="s">
        <v>1099</v>
      </c>
    </row>
    <row r="46688">
      <c r="B46688" s="31"/>
      <c r="G46688" s="272" t="s">
        <v>1099</v>
      </c>
    </row>
    <row r="46689">
      <c r="B46689" s="31"/>
      <c r="G46689" s="272" t="s">
        <v>1099</v>
      </c>
    </row>
    <row r="46690">
      <c r="B46690" s="31"/>
      <c r="G46690" s="272" t="s">
        <v>1099</v>
      </c>
    </row>
    <row r="46691">
      <c r="B46691" s="31"/>
      <c r="G46691" s="272" t="s">
        <v>1099</v>
      </c>
    </row>
    <row r="46692">
      <c r="B46692" s="31"/>
      <c r="G46692" s="272" t="s">
        <v>1099</v>
      </c>
    </row>
    <row r="46693">
      <c r="B46693" s="31"/>
      <c r="G46693" s="272" t="s">
        <v>1099</v>
      </c>
    </row>
    <row r="46694">
      <c r="B46694" s="31"/>
      <c r="G46694" s="272" t="s">
        <v>1099</v>
      </c>
    </row>
    <row r="46695">
      <c r="B46695" s="31"/>
      <c r="G46695" s="272" t="s">
        <v>1099</v>
      </c>
    </row>
    <row r="46696">
      <c r="B46696" s="31"/>
      <c r="G46696" s="272" t="s">
        <v>1099</v>
      </c>
    </row>
    <row r="46697">
      <c r="B46697" s="31"/>
      <c r="G46697" s="272" t="s">
        <v>1099</v>
      </c>
    </row>
    <row r="46698">
      <c r="B46698" s="31"/>
      <c r="G46698" s="272" t="s">
        <v>1099</v>
      </c>
    </row>
    <row r="46699">
      <c r="B46699" s="31"/>
      <c r="G46699" s="272" t="s">
        <v>1099</v>
      </c>
    </row>
    <row r="46700">
      <c r="B46700" s="31"/>
      <c r="G46700" s="272" t="s">
        <v>1099</v>
      </c>
    </row>
    <row r="46701">
      <c r="B46701" s="31"/>
      <c r="G46701" s="272" t="s">
        <v>1099</v>
      </c>
    </row>
    <row r="46702">
      <c r="B46702" s="31"/>
      <c r="G46702" s="272" t="s">
        <v>1099</v>
      </c>
    </row>
    <row r="46703">
      <c r="B46703" s="31"/>
      <c r="G46703" s="272" t="s">
        <v>1099</v>
      </c>
    </row>
    <row r="46704">
      <c r="B46704" s="31"/>
      <c r="G46704" s="272" t="s">
        <v>1099</v>
      </c>
    </row>
    <row r="46705">
      <c r="B46705" s="31"/>
      <c r="G46705" s="272" t="s">
        <v>1099</v>
      </c>
    </row>
    <row r="46706">
      <c r="B46706" s="31"/>
      <c r="G46706" s="272" t="s">
        <v>1099</v>
      </c>
    </row>
    <row r="46707">
      <c r="B46707" s="31"/>
      <c r="G46707" s="272" t="s">
        <v>1099</v>
      </c>
    </row>
    <row r="46708">
      <c r="B46708" s="31"/>
      <c r="G46708" s="272" t="s">
        <v>1099</v>
      </c>
    </row>
    <row r="46709">
      <c r="B46709" s="31"/>
      <c r="G46709" s="272" t="s">
        <v>1099</v>
      </c>
    </row>
    <row r="46710">
      <c r="B46710" s="31"/>
      <c r="G46710" s="272" t="s">
        <v>1099</v>
      </c>
    </row>
    <row r="46711">
      <c r="B46711" s="31"/>
      <c r="G46711" s="272" t="s">
        <v>1099</v>
      </c>
    </row>
    <row r="46712">
      <c r="B46712" s="31"/>
      <c r="G46712" s="272" t="s">
        <v>1099</v>
      </c>
    </row>
    <row r="46713">
      <c r="B46713" s="31"/>
      <c r="G46713" s="272" t="s">
        <v>1099</v>
      </c>
    </row>
    <row r="46714">
      <c r="B46714" s="31"/>
      <c r="G46714" s="272" t="s">
        <v>1099</v>
      </c>
    </row>
    <row r="46715">
      <c r="B46715" s="31"/>
      <c r="G46715" s="272" t="s">
        <v>1099</v>
      </c>
    </row>
    <row r="46716">
      <c r="B46716" s="31"/>
      <c r="G46716" s="272" t="s">
        <v>1099</v>
      </c>
    </row>
    <row r="46717">
      <c r="B46717" s="31"/>
      <c r="G46717" s="272" t="s">
        <v>1099</v>
      </c>
    </row>
    <row r="46718">
      <c r="B46718" s="31"/>
      <c r="G46718" s="272" t="s">
        <v>1099</v>
      </c>
    </row>
    <row r="46719">
      <c r="B46719" s="31"/>
      <c r="G46719" s="272" t="s">
        <v>1099</v>
      </c>
    </row>
    <row r="46720">
      <c r="B46720" s="31"/>
      <c r="G46720" s="272" t="s">
        <v>1099</v>
      </c>
    </row>
    <row r="46721">
      <c r="B46721" s="31"/>
      <c r="G46721" s="272" t="s">
        <v>1099</v>
      </c>
    </row>
    <row r="46722">
      <c r="B46722" s="31"/>
      <c r="G46722" s="272" t="s">
        <v>1099</v>
      </c>
    </row>
    <row r="46723">
      <c r="B46723" s="31"/>
      <c r="G46723" s="272" t="s">
        <v>1099</v>
      </c>
    </row>
    <row r="46724">
      <c r="B46724" s="31"/>
      <c r="G46724" s="272" t="s">
        <v>1099</v>
      </c>
    </row>
    <row r="46725">
      <c r="B46725" s="31"/>
      <c r="G46725" s="272" t="s">
        <v>1099</v>
      </c>
    </row>
    <row r="46726">
      <c r="B46726" s="31"/>
      <c r="G46726" s="272" t="s">
        <v>1099</v>
      </c>
    </row>
    <row r="46727">
      <c r="B46727" s="31"/>
      <c r="G46727" s="272" t="s">
        <v>1099</v>
      </c>
    </row>
    <row r="46728">
      <c r="B46728" s="31"/>
      <c r="G46728" s="272" t="s">
        <v>1099</v>
      </c>
    </row>
    <row r="46729">
      <c r="B46729" s="31"/>
      <c r="G46729" s="272" t="s">
        <v>1099</v>
      </c>
    </row>
    <row r="46730">
      <c r="B46730" s="31"/>
      <c r="G46730" s="272" t="s">
        <v>1099</v>
      </c>
    </row>
    <row r="46731">
      <c r="B46731" s="31"/>
      <c r="G46731" s="272" t="s">
        <v>1099</v>
      </c>
    </row>
    <row r="46732">
      <c r="B46732" s="31"/>
      <c r="G46732" s="272" t="s">
        <v>1099</v>
      </c>
    </row>
    <row r="46733">
      <c r="B46733" s="31"/>
      <c r="G46733" s="272" t="s">
        <v>1099</v>
      </c>
    </row>
    <row r="46734">
      <c r="B46734" s="31"/>
      <c r="G46734" s="272" t="s">
        <v>1099</v>
      </c>
    </row>
    <row r="46735">
      <c r="B46735" s="31"/>
      <c r="G46735" s="272" t="s">
        <v>1099</v>
      </c>
    </row>
    <row r="46736">
      <c r="B46736" s="31"/>
      <c r="G46736" s="272" t="s">
        <v>1099</v>
      </c>
    </row>
    <row r="46737">
      <c r="B46737" s="31"/>
      <c r="G46737" s="272" t="s">
        <v>1099</v>
      </c>
    </row>
    <row r="46738">
      <c r="B46738" s="31"/>
      <c r="G46738" s="272" t="s">
        <v>1099</v>
      </c>
    </row>
    <row r="46739">
      <c r="B46739" s="31"/>
      <c r="G46739" s="272" t="s">
        <v>1099</v>
      </c>
    </row>
    <row r="46740">
      <c r="B46740" s="31"/>
      <c r="G46740" s="272" t="s">
        <v>1099</v>
      </c>
    </row>
    <row r="46741">
      <c r="B46741" s="31"/>
      <c r="G46741" s="272" t="s">
        <v>1099</v>
      </c>
    </row>
    <row r="46742">
      <c r="B46742" s="31"/>
      <c r="G46742" s="272" t="s">
        <v>1099</v>
      </c>
    </row>
    <row r="46743">
      <c r="B46743" s="31"/>
      <c r="G46743" s="272" t="s">
        <v>1099</v>
      </c>
    </row>
    <row r="46744">
      <c r="B46744" s="31"/>
      <c r="G46744" s="272" t="s">
        <v>1099</v>
      </c>
    </row>
    <row r="46745">
      <c r="B46745" s="31"/>
      <c r="G46745" s="272" t="s">
        <v>1099</v>
      </c>
    </row>
    <row r="46746">
      <c r="B46746" s="31"/>
      <c r="G46746" s="272" t="s">
        <v>1099</v>
      </c>
    </row>
    <row r="46747">
      <c r="B46747" s="31"/>
      <c r="G46747" s="272" t="s">
        <v>1099</v>
      </c>
    </row>
    <row r="46748">
      <c r="B46748" s="31"/>
      <c r="G46748" s="272" t="s">
        <v>1099</v>
      </c>
    </row>
    <row r="46749">
      <c r="B46749" s="31"/>
      <c r="G46749" s="272" t="s">
        <v>1099</v>
      </c>
    </row>
    <row r="46750">
      <c r="B46750" s="31"/>
      <c r="G46750" s="272" t="s">
        <v>1099</v>
      </c>
    </row>
    <row r="46751">
      <c r="B46751" s="31"/>
      <c r="G46751" s="272" t="s">
        <v>1099</v>
      </c>
    </row>
    <row r="46752">
      <c r="B46752" s="31"/>
      <c r="G46752" s="272" t="s">
        <v>1099</v>
      </c>
    </row>
    <row r="46753">
      <c r="B46753" s="31"/>
      <c r="G46753" s="272" t="s">
        <v>1099</v>
      </c>
    </row>
    <row r="46754">
      <c r="B46754" s="31"/>
      <c r="G46754" s="272" t="s">
        <v>1099</v>
      </c>
    </row>
    <row r="46755">
      <c r="B46755" s="31"/>
      <c r="G46755" s="272" t="s">
        <v>1099</v>
      </c>
    </row>
    <row r="46756">
      <c r="B46756" s="31"/>
      <c r="G46756" s="272" t="s">
        <v>1099</v>
      </c>
    </row>
    <row r="46757">
      <c r="B46757" s="31"/>
      <c r="G46757" s="272" t="s">
        <v>1099</v>
      </c>
    </row>
    <row r="46758">
      <c r="B46758" s="31"/>
      <c r="G46758" s="272" t="s">
        <v>1099</v>
      </c>
    </row>
    <row r="46759">
      <c r="B46759" s="31"/>
      <c r="G46759" s="272" t="s">
        <v>1099</v>
      </c>
    </row>
    <row r="46760">
      <c r="B46760" s="31"/>
      <c r="G46760" s="272" t="s">
        <v>1099</v>
      </c>
    </row>
    <row r="46761">
      <c r="B46761" s="31"/>
      <c r="G46761" s="272" t="s">
        <v>1099</v>
      </c>
    </row>
    <row r="46762">
      <c r="B46762" s="31"/>
      <c r="G46762" s="272" t="s">
        <v>1099</v>
      </c>
    </row>
    <row r="46763">
      <c r="B46763" s="31"/>
      <c r="G46763" s="272" t="s">
        <v>1099</v>
      </c>
    </row>
    <row r="46764">
      <c r="B46764" s="31"/>
      <c r="G46764" s="272" t="s">
        <v>1099</v>
      </c>
    </row>
    <row r="46765">
      <c r="B46765" s="31"/>
      <c r="G46765" s="272" t="s">
        <v>1099</v>
      </c>
    </row>
    <row r="46766">
      <c r="B46766" s="31"/>
      <c r="G46766" s="272" t="s">
        <v>1099</v>
      </c>
    </row>
    <row r="46767">
      <c r="B46767" s="31"/>
      <c r="G46767" s="272" t="s">
        <v>1099</v>
      </c>
    </row>
    <row r="46768">
      <c r="B46768" s="31"/>
      <c r="G46768" s="272" t="s">
        <v>1099</v>
      </c>
    </row>
    <row r="46769">
      <c r="B46769" s="31"/>
      <c r="G46769" s="272" t="s">
        <v>1099</v>
      </c>
    </row>
    <row r="46770">
      <c r="B46770" s="31"/>
      <c r="G46770" s="272" t="s">
        <v>1099</v>
      </c>
    </row>
    <row r="46771">
      <c r="B46771" s="31"/>
      <c r="G46771" s="272" t="s">
        <v>1099</v>
      </c>
    </row>
    <row r="46772">
      <c r="B46772" s="31"/>
      <c r="G46772" s="272" t="s">
        <v>1099</v>
      </c>
    </row>
    <row r="46773">
      <c r="B46773" s="31"/>
      <c r="G46773" s="272" t="s">
        <v>1099</v>
      </c>
    </row>
    <row r="46774">
      <c r="B46774" s="31"/>
      <c r="G46774" s="272" t="s">
        <v>1099</v>
      </c>
    </row>
    <row r="46775">
      <c r="B46775" s="31"/>
      <c r="G46775" s="272" t="s">
        <v>1099</v>
      </c>
    </row>
    <row r="46776">
      <c r="B46776" s="31"/>
      <c r="G46776" s="272" t="s">
        <v>1099</v>
      </c>
    </row>
    <row r="46777">
      <c r="B46777" s="31"/>
      <c r="G46777" s="272" t="s">
        <v>1099</v>
      </c>
    </row>
    <row r="46778">
      <c r="B46778" s="31"/>
      <c r="G46778" s="272" t="s">
        <v>1099</v>
      </c>
    </row>
    <row r="46779">
      <c r="B46779" s="31"/>
      <c r="G46779" s="272" t="s">
        <v>1099</v>
      </c>
    </row>
    <row r="46780">
      <c r="B46780" s="31"/>
      <c r="G46780" s="272" t="s">
        <v>1099</v>
      </c>
    </row>
    <row r="46781">
      <c r="B46781" s="31"/>
      <c r="G46781" s="272" t="s">
        <v>1099</v>
      </c>
    </row>
    <row r="46782">
      <c r="B46782" s="31"/>
      <c r="G46782" s="272" t="s">
        <v>1099</v>
      </c>
    </row>
    <row r="46783">
      <c r="B46783" s="31"/>
      <c r="G46783" s="272" t="s">
        <v>1099</v>
      </c>
    </row>
    <row r="46784">
      <c r="B46784" s="31"/>
      <c r="G46784" s="272" t="s">
        <v>1099</v>
      </c>
    </row>
    <row r="46785">
      <c r="B46785" s="31"/>
      <c r="G46785" s="272" t="s">
        <v>1099</v>
      </c>
    </row>
    <row r="46786">
      <c r="B46786" s="31"/>
      <c r="G46786" s="272" t="s">
        <v>1099</v>
      </c>
    </row>
    <row r="46787">
      <c r="B46787" s="31"/>
      <c r="G46787" s="272" t="s">
        <v>1099</v>
      </c>
    </row>
    <row r="46788">
      <c r="B46788" s="31"/>
      <c r="G46788" s="272" t="s">
        <v>1099</v>
      </c>
    </row>
    <row r="46789">
      <c r="B46789" s="31"/>
      <c r="G46789" s="272" t="s">
        <v>1099</v>
      </c>
    </row>
    <row r="46790">
      <c r="B46790" s="31"/>
      <c r="G46790" s="272" t="s">
        <v>1099</v>
      </c>
    </row>
    <row r="46791">
      <c r="B46791" s="31"/>
      <c r="G46791" s="272" t="s">
        <v>1099</v>
      </c>
    </row>
    <row r="46792">
      <c r="B46792" s="31"/>
      <c r="G46792" s="272" t="s">
        <v>1099</v>
      </c>
    </row>
    <row r="46793">
      <c r="B46793" s="31"/>
      <c r="G46793" s="272" t="s">
        <v>1099</v>
      </c>
    </row>
    <row r="46794">
      <c r="B46794" s="31"/>
      <c r="G46794" s="272" t="s">
        <v>1099</v>
      </c>
    </row>
    <row r="46795">
      <c r="B46795" s="31"/>
      <c r="G46795" s="272" t="s">
        <v>1099</v>
      </c>
    </row>
    <row r="46796">
      <c r="B46796" s="31"/>
      <c r="G46796" s="272" t="s">
        <v>1099</v>
      </c>
    </row>
    <row r="46797">
      <c r="B46797" s="31"/>
      <c r="G46797" s="272" t="s">
        <v>1099</v>
      </c>
    </row>
    <row r="46798">
      <c r="B46798" s="31"/>
      <c r="G46798" s="272" t="s">
        <v>1099</v>
      </c>
    </row>
    <row r="46799">
      <c r="B46799" s="31"/>
      <c r="G46799" s="272" t="s">
        <v>1099</v>
      </c>
    </row>
    <row r="46800">
      <c r="B46800" s="31"/>
      <c r="G46800" s="272" t="s">
        <v>1099</v>
      </c>
    </row>
    <row r="46801">
      <c r="B46801" s="31"/>
      <c r="G46801" s="272" t="s">
        <v>1099</v>
      </c>
    </row>
    <row r="46802">
      <c r="B46802" s="31"/>
      <c r="G46802" s="272" t="s">
        <v>1099</v>
      </c>
    </row>
    <row r="46803">
      <c r="B46803" s="31"/>
      <c r="G46803" s="272" t="s">
        <v>1099</v>
      </c>
    </row>
    <row r="46804">
      <c r="B46804" s="31"/>
      <c r="G46804" s="272" t="s">
        <v>1099</v>
      </c>
    </row>
    <row r="46805">
      <c r="B46805" s="31"/>
      <c r="G46805" s="272" t="s">
        <v>1099</v>
      </c>
    </row>
    <row r="46806">
      <c r="B46806" s="31"/>
      <c r="G46806" s="272" t="s">
        <v>1099</v>
      </c>
    </row>
    <row r="46807">
      <c r="B46807" s="31"/>
      <c r="G46807" s="272" t="s">
        <v>1099</v>
      </c>
    </row>
    <row r="46808">
      <c r="B46808" s="31"/>
      <c r="G46808" s="272" t="s">
        <v>1099</v>
      </c>
    </row>
    <row r="46809">
      <c r="B46809" s="31"/>
      <c r="G46809" s="272" t="s">
        <v>1099</v>
      </c>
    </row>
    <row r="46810">
      <c r="B46810" s="31"/>
      <c r="G46810" s="272" t="s">
        <v>1099</v>
      </c>
    </row>
    <row r="46811">
      <c r="B46811" s="31"/>
      <c r="G46811" s="272" t="s">
        <v>1099</v>
      </c>
    </row>
    <row r="46812">
      <c r="B46812" s="31"/>
      <c r="G46812" s="272" t="s">
        <v>1099</v>
      </c>
    </row>
    <row r="46813">
      <c r="B46813" s="31"/>
      <c r="G46813" s="272" t="s">
        <v>1099</v>
      </c>
    </row>
    <row r="46814">
      <c r="B46814" s="31"/>
      <c r="G46814" s="272" t="s">
        <v>1099</v>
      </c>
    </row>
    <row r="46815">
      <c r="B46815" s="31"/>
      <c r="G46815" s="272" t="s">
        <v>1099</v>
      </c>
    </row>
    <row r="46816">
      <c r="B46816" s="31"/>
      <c r="G46816" s="272" t="s">
        <v>1099</v>
      </c>
    </row>
    <row r="46817">
      <c r="B46817" s="31"/>
      <c r="G46817" s="272" t="s">
        <v>1099</v>
      </c>
    </row>
    <row r="46818">
      <c r="B46818" s="31"/>
      <c r="G46818" s="272" t="s">
        <v>1099</v>
      </c>
    </row>
    <row r="46819">
      <c r="B46819" s="31"/>
      <c r="G46819" s="272" t="s">
        <v>1099</v>
      </c>
    </row>
    <row r="46820">
      <c r="B46820" s="31"/>
      <c r="G46820" s="272" t="s">
        <v>1099</v>
      </c>
    </row>
    <row r="46821">
      <c r="B46821" s="31"/>
      <c r="G46821" s="272" t="s">
        <v>1099</v>
      </c>
    </row>
    <row r="46822">
      <c r="B46822" s="31"/>
      <c r="G46822" s="272" t="s">
        <v>1099</v>
      </c>
    </row>
    <row r="46823">
      <c r="B46823" s="31"/>
      <c r="G46823" s="272" t="s">
        <v>1099</v>
      </c>
    </row>
    <row r="46824">
      <c r="B46824" s="31"/>
      <c r="G46824" s="272" t="s">
        <v>1099</v>
      </c>
    </row>
    <row r="46825">
      <c r="B46825" s="31"/>
      <c r="G46825" s="272" t="s">
        <v>1099</v>
      </c>
    </row>
    <row r="46826">
      <c r="B46826" s="31"/>
      <c r="G46826" s="272" t="s">
        <v>1099</v>
      </c>
    </row>
    <row r="46827">
      <c r="B46827" s="31"/>
      <c r="G46827" s="272" t="s">
        <v>1099</v>
      </c>
    </row>
    <row r="46828">
      <c r="B46828" s="31"/>
      <c r="G46828" s="272" t="s">
        <v>1099</v>
      </c>
    </row>
    <row r="46829">
      <c r="B46829" s="31"/>
      <c r="G46829" s="272" t="s">
        <v>1099</v>
      </c>
    </row>
    <row r="46830">
      <c r="B46830" s="31"/>
      <c r="G46830" s="272" t="s">
        <v>1099</v>
      </c>
    </row>
    <row r="46831">
      <c r="B46831" s="31"/>
      <c r="G46831" s="272" t="s">
        <v>1099</v>
      </c>
    </row>
    <row r="46832">
      <c r="B46832" s="31"/>
      <c r="G46832" s="272" t="s">
        <v>1099</v>
      </c>
    </row>
    <row r="46833">
      <c r="B46833" s="31"/>
      <c r="G46833" s="272" t="s">
        <v>1099</v>
      </c>
    </row>
    <row r="46834">
      <c r="B46834" s="31"/>
      <c r="G46834" s="272" t="s">
        <v>1099</v>
      </c>
    </row>
    <row r="46835">
      <c r="B46835" s="31"/>
      <c r="G46835" s="272" t="s">
        <v>1099</v>
      </c>
    </row>
    <row r="46836">
      <c r="B46836" s="31"/>
      <c r="G46836" s="272" t="s">
        <v>1099</v>
      </c>
    </row>
    <row r="46837">
      <c r="B46837" s="31"/>
      <c r="G46837" s="272" t="s">
        <v>1099</v>
      </c>
    </row>
    <row r="46838">
      <c r="B46838" s="31"/>
      <c r="G46838" s="272" t="s">
        <v>1099</v>
      </c>
    </row>
    <row r="46839">
      <c r="B46839" s="31"/>
      <c r="G46839" s="272" t="s">
        <v>1099</v>
      </c>
    </row>
    <row r="46840">
      <c r="B46840" s="31"/>
      <c r="G46840" s="272" t="s">
        <v>1099</v>
      </c>
    </row>
    <row r="46841">
      <c r="B46841" s="31"/>
      <c r="G46841" s="272" t="s">
        <v>1099</v>
      </c>
    </row>
    <row r="46842">
      <c r="B46842" s="31"/>
      <c r="G46842" s="272" t="s">
        <v>1099</v>
      </c>
    </row>
    <row r="46843">
      <c r="B46843" s="31"/>
      <c r="G46843" s="272" t="s">
        <v>1099</v>
      </c>
    </row>
    <row r="46844">
      <c r="B46844" s="31"/>
      <c r="G46844" s="272" t="s">
        <v>1099</v>
      </c>
    </row>
    <row r="46845">
      <c r="B46845" s="31"/>
      <c r="G46845" s="272" t="s">
        <v>1099</v>
      </c>
    </row>
    <row r="46846">
      <c r="B46846" s="31"/>
      <c r="G46846" s="272" t="s">
        <v>1099</v>
      </c>
    </row>
    <row r="46847">
      <c r="B46847" s="31"/>
      <c r="G46847" s="272" t="s">
        <v>1099</v>
      </c>
    </row>
    <row r="46848">
      <c r="B46848" s="31"/>
      <c r="G46848" s="272" t="s">
        <v>1099</v>
      </c>
    </row>
    <row r="46849">
      <c r="B46849" s="31"/>
      <c r="G46849" s="272" t="s">
        <v>1099</v>
      </c>
    </row>
    <row r="46850">
      <c r="B46850" s="31"/>
      <c r="G46850" s="272" t="s">
        <v>1099</v>
      </c>
    </row>
    <row r="46851">
      <c r="B46851" s="31"/>
      <c r="G46851" s="272" t="s">
        <v>1099</v>
      </c>
    </row>
    <row r="46852">
      <c r="B46852" s="31"/>
      <c r="G46852" s="272" t="s">
        <v>1099</v>
      </c>
    </row>
    <row r="46853">
      <c r="B46853" s="31"/>
      <c r="G46853" s="272" t="s">
        <v>1099</v>
      </c>
    </row>
    <row r="46854">
      <c r="B46854" s="31"/>
      <c r="G46854" s="272" t="s">
        <v>1099</v>
      </c>
    </row>
    <row r="46855">
      <c r="B46855" s="31"/>
      <c r="G46855" s="272" t="s">
        <v>1099</v>
      </c>
    </row>
    <row r="46856">
      <c r="B46856" s="31"/>
      <c r="G46856" s="272" t="s">
        <v>1099</v>
      </c>
    </row>
    <row r="46857">
      <c r="B46857" s="31"/>
      <c r="G46857" s="272" t="s">
        <v>1099</v>
      </c>
    </row>
    <row r="46858">
      <c r="B46858" s="31"/>
      <c r="G46858" s="272" t="s">
        <v>1099</v>
      </c>
    </row>
    <row r="46859">
      <c r="B46859" s="31"/>
      <c r="G46859" s="272" t="s">
        <v>1099</v>
      </c>
    </row>
    <row r="46860">
      <c r="B46860" s="31"/>
      <c r="G46860" s="272" t="s">
        <v>1099</v>
      </c>
    </row>
    <row r="46861">
      <c r="B46861" s="31"/>
      <c r="G46861" s="272" t="s">
        <v>1099</v>
      </c>
    </row>
    <row r="46862">
      <c r="B46862" s="31"/>
      <c r="G46862" s="272" t="s">
        <v>1099</v>
      </c>
    </row>
    <row r="46863">
      <c r="B46863" s="31"/>
      <c r="G46863" s="272" t="s">
        <v>1099</v>
      </c>
    </row>
    <row r="46864">
      <c r="B46864" s="31"/>
      <c r="G46864" s="272" t="s">
        <v>1099</v>
      </c>
    </row>
    <row r="46865">
      <c r="B46865" s="31"/>
      <c r="G46865" s="272" t="s">
        <v>1099</v>
      </c>
    </row>
    <row r="46866">
      <c r="B46866" s="31"/>
      <c r="G46866" s="272" t="s">
        <v>1099</v>
      </c>
    </row>
    <row r="46867">
      <c r="B46867" s="31"/>
      <c r="G46867" s="272" t="s">
        <v>1099</v>
      </c>
    </row>
    <row r="46868">
      <c r="B46868" s="31"/>
      <c r="G46868" s="272" t="s">
        <v>1099</v>
      </c>
    </row>
    <row r="46869">
      <c r="B46869" s="31"/>
      <c r="G46869" s="272" t="s">
        <v>1099</v>
      </c>
    </row>
    <row r="46870">
      <c r="B46870" s="31"/>
      <c r="G46870" s="272" t="s">
        <v>1099</v>
      </c>
    </row>
    <row r="46871">
      <c r="B46871" s="31"/>
      <c r="G46871" s="272" t="s">
        <v>1099</v>
      </c>
    </row>
    <row r="46872">
      <c r="B46872" s="31"/>
      <c r="G46872" s="272" t="s">
        <v>1099</v>
      </c>
    </row>
    <row r="46873">
      <c r="B46873" s="31"/>
      <c r="G46873" s="272" t="s">
        <v>1099</v>
      </c>
    </row>
    <row r="46874">
      <c r="B46874" s="31"/>
      <c r="G46874" s="272" t="s">
        <v>1099</v>
      </c>
    </row>
    <row r="46875">
      <c r="B46875" s="31"/>
      <c r="G46875" s="272" t="s">
        <v>1099</v>
      </c>
    </row>
    <row r="46876">
      <c r="B46876" s="31"/>
      <c r="G46876" s="272" t="s">
        <v>1099</v>
      </c>
    </row>
    <row r="46877">
      <c r="B46877" s="31"/>
      <c r="G46877" s="272" t="s">
        <v>1099</v>
      </c>
    </row>
    <row r="46878">
      <c r="B46878" s="31"/>
      <c r="G46878" s="272" t="s">
        <v>1099</v>
      </c>
    </row>
    <row r="46879">
      <c r="B46879" s="31"/>
      <c r="G46879" s="272" t="s">
        <v>1099</v>
      </c>
    </row>
    <row r="46880">
      <c r="B46880" s="31"/>
      <c r="G46880" s="272" t="s">
        <v>1099</v>
      </c>
    </row>
    <row r="46881">
      <c r="B46881" s="31"/>
      <c r="G46881" s="272" t="s">
        <v>1099</v>
      </c>
    </row>
    <row r="46882">
      <c r="B46882" s="31"/>
      <c r="G46882" s="272" t="s">
        <v>1099</v>
      </c>
    </row>
    <row r="46883">
      <c r="B46883" s="31"/>
      <c r="G46883" s="272" t="s">
        <v>1099</v>
      </c>
    </row>
    <row r="46884">
      <c r="B46884" s="31"/>
      <c r="G46884" s="272" t="s">
        <v>1099</v>
      </c>
    </row>
    <row r="46885">
      <c r="B46885" s="31"/>
      <c r="G46885" s="272" t="s">
        <v>1099</v>
      </c>
    </row>
    <row r="46886">
      <c r="B46886" s="31"/>
      <c r="G46886" s="272" t="s">
        <v>1099</v>
      </c>
    </row>
    <row r="46887">
      <c r="B46887" s="31"/>
      <c r="G46887" s="272" t="s">
        <v>1099</v>
      </c>
    </row>
    <row r="46888">
      <c r="B46888" s="31"/>
      <c r="G46888" s="272" t="s">
        <v>1099</v>
      </c>
    </row>
    <row r="46889">
      <c r="B46889" s="31"/>
      <c r="G46889" s="272" t="s">
        <v>1099</v>
      </c>
    </row>
    <row r="46890">
      <c r="B46890" s="31"/>
      <c r="G46890" s="272" t="s">
        <v>1099</v>
      </c>
    </row>
    <row r="46891">
      <c r="B46891" s="31"/>
      <c r="G46891" s="272" t="s">
        <v>1099</v>
      </c>
    </row>
    <row r="46892">
      <c r="B46892" s="31"/>
      <c r="G46892" s="272" t="s">
        <v>1099</v>
      </c>
    </row>
    <row r="46893">
      <c r="B46893" s="31"/>
      <c r="G46893" s="272" t="s">
        <v>1099</v>
      </c>
    </row>
    <row r="46894">
      <c r="B46894" s="31"/>
      <c r="G46894" s="272" t="s">
        <v>1099</v>
      </c>
    </row>
    <row r="46895">
      <c r="B46895" s="31"/>
      <c r="G46895" s="272" t="s">
        <v>1099</v>
      </c>
    </row>
    <row r="46896">
      <c r="B46896" s="31"/>
      <c r="G46896" s="272" t="s">
        <v>1099</v>
      </c>
    </row>
    <row r="46897">
      <c r="B46897" s="31"/>
      <c r="G46897" s="272" t="s">
        <v>1099</v>
      </c>
    </row>
    <row r="46898">
      <c r="B46898" s="31"/>
      <c r="G46898" s="272" t="s">
        <v>1099</v>
      </c>
    </row>
    <row r="46899">
      <c r="B46899" s="31"/>
      <c r="G46899" s="272" t="s">
        <v>1099</v>
      </c>
    </row>
    <row r="46900">
      <c r="B46900" s="31"/>
      <c r="G46900" s="272" t="s">
        <v>1099</v>
      </c>
    </row>
    <row r="46901">
      <c r="B46901" s="31"/>
      <c r="G46901" s="272" t="s">
        <v>1099</v>
      </c>
    </row>
    <row r="46902">
      <c r="B46902" s="31"/>
      <c r="G46902" s="272" t="s">
        <v>1099</v>
      </c>
    </row>
    <row r="46903">
      <c r="B46903" s="31"/>
      <c r="G46903" s="272" t="s">
        <v>1099</v>
      </c>
    </row>
    <row r="46904">
      <c r="B46904" s="31"/>
      <c r="G46904" s="272" t="s">
        <v>1099</v>
      </c>
    </row>
    <row r="46905">
      <c r="B46905" s="31"/>
      <c r="G46905" s="272" t="s">
        <v>1099</v>
      </c>
    </row>
    <row r="46906">
      <c r="B46906" s="31"/>
      <c r="G46906" s="272" t="s">
        <v>1099</v>
      </c>
    </row>
    <row r="46907">
      <c r="B46907" s="31"/>
      <c r="G46907" s="272" t="s">
        <v>1099</v>
      </c>
    </row>
    <row r="46908">
      <c r="B46908" s="31"/>
      <c r="G46908" s="272" t="s">
        <v>1099</v>
      </c>
    </row>
    <row r="46909">
      <c r="B46909" s="31"/>
      <c r="G46909" s="272" t="s">
        <v>1099</v>
      </c>
    </row>
    <row r="46910">
      <c r="B46910" s="31"/>
      <c r="G46910" s="272" t="s">
        <v>1099</v>
      </c>
    </row>
    <row r="46911">
      <c r="B46911" s="31"/>
      <c r="G46911" s="272" t="s">
        <v>1099</v>
      </c>
    </row>
    <row r="46912">
      <c r="B46912" s="31"/>
      <c r="G46912" s="272" t="s">
        <v>1099</v>
      </c>
    </row>
    <row r="46913">
      <c r="B46913" s="31"/>
      <c r="G46913" s="272" t="s">
        <v>1099</v>
      </c>
    </row>
    <row r="46914">
      <c r="B46914" s="31"/>
      <c r="G46914" s="272" t="s">
        <v>1099</v>
      </c>
    </row>
    <row r="46915">
      <c r="B46915" s="31"/>
      <c r="G46915" s="272" t="s">
        <v>1099</v>
      </c>
    </row>
    <row r="46916">
      <c r="B46916" s="31"/>
      <c r="G46916" s="272" t="s">
        <v>1099</v>
      </c>
    </row>
    <row r="46917">
      <c r="B46917" s="31"/>
      <c r="G46917" s="272" t="s">
        <v>1099</v>
      </c>
    </row>
    <row r="46918">
      <c r="B46918" s="31"/>
      <c r="G46918" s="272" t="s">
        <v>1099</v>
      </c>
    </row>
    <row r="46919">
      <c r="B46919" s="31"/>
      <c r="G46919" s="272" t="s">
        <v>1099</v>
      </c>
    </row>
    <row r="46920">
      <c r="B46920" s="31"/>
      <c r="G46920" s="272" t="s">
        <v>1099</v>
      </c>
    </row>
    <row r="46921">
      <c r="B46921" s="31"/>
      <c r="G46921" s="272" t="s">
        <v>1099</v>
      </c>
    </row>
    <row r="46922">
      <c r="B46922" s="31"/>
      <c r="G46922" s="272" t="s">
        <v>1099</v>
      </c>
    </row>
    <row r="46923">
      <c r="B46923" s="31"/>
      <c r="G46923" s="272" t="s">
        <v>1099</v>
      </c>
    </row>
    <row r="46924">
      <c r="B46924" s="31"/>
      <c r="G46924" s="272" t="s">
        <v>1099</v>
      </c>
    </row>
    <row r="46925">
      <c r="B46925" s="31"/>
      <c r="G46925" s="272" t="s">
        <v>1099</v>
      </c>
    </row>
    <row r="46926">
      <c r="B46926" s="31"/>
      <c r="G46926" s="272" t="s">
        <v>1099</v>
      </c>
    </row>
    <row r="46927">
      <c r="B46927" s="31"/>
      <c r="G46927" s="272" t="s">
        <v>1099</v>
      </c>
    </row>
    <row r="46928">
      <c r="B46928" s="31"/>
      <c r="G46928" s="272" t="s">
        <v>1099</v>
      </c>
    </row>
    <row r="46929">
      <c r="B46929" s="31"/>
      <c r="G46929" s="272" t="s">
        <v>1099</v>
      </c>
    </row>
    <row r="46930">
      <c r="B46930" s="31"/>
      <c r="G46930" s="272" t="s">
        <v>1099</v>
      </c>
    </row>
    <row r="46931">
      <c r="B46931" s="31"/>
      <c r="G46931" s="272" t="s">
        <v>1099</v>
      </c>
    </row>
    <row r="46932">
      <c r="B46932" s="31"/>
      <c r="G46932" s="272" t="s">
        <v>1099</v>
      </c>
    </row>
    <row r="46933">
      <c r="B46933" s="31"/>
      <c r="G46933" s="272" t="s">
        <v>1099</v>
      </c>
    </row>
    <row r="46934">
      <c r="B46934" s="31"/>
      <c r="G46934" s="272" t="s">
        <v>1099</v>
      </c>
    </row>
    <row r="46935">
      <c r="B46935" s="31"/>
      <c r="G46935" s="272" t="s">
        <v>1099</v>
      </c>
    </row>
    <row r="46936">
      <c r="B46936" s="31"/>
      <c r="G46936" s="272" t="s">
        <v>1099</v>
      </c>
    </row>
    <row r="46937">
      <c r="B46937" s="31"/>
      <c r="G46937" s="272" t="s">
        <v>1099</v>
      </c>
    </row>
    <row r="46938">
      <c r="B46938" s="31"/>
      <c r="G46938" s="272" t="s">
        <v>1099</v>
      </c>
    </row>
    <row r="46939">
      <c r="B46939" s="31"/>
      <c r="G46939" s="272" t="s">
        <v>1099</v>
      </c>
    </row>
    <row r="46940">
      <c r="B46940" s="31"/>
      <c r="G46940" s="272" t="s">
        <v>1099</v>
      </c>
    </row>
    <row r="46941">
      <c r="B46941" s="31"/>
      <c r="G46941" s="272" t="s">
        <v>1099</v>
      </c>
    </row>
    <row r="46942">
      <c r="B46942" s="31"/>
      <c r="G46942" s="272" t="s">
        <v>1099</v>
      </c>
    </row>
    <row r="46943">
      <c r="B46943" s="31"/>
      <c r="G46943" s="272" t="s">
        <v>1099</v>
      </c>
    </row>
    <row r="46944">
      <c r="B46944" s="31"/>
      <c r="G46944" s="272" t="s">
        <v>1099</v>
      </c>
    </row>
    <row r="46945">
      <c r="B46945" s="31"/>
      <c r="G46945" s="272" t="s">
        <v>1099</v>
      </c>
    </row>
    <row r="46946">
      <c r="B46946" s="31"/>
      <c r="G46946" s="272" t="s">
        <v>1099</v>
      </c>
    </row>
    <row r="46947">
      <c r="B46947" s="31"/>
      <c r="G46947" s="272" t="s">
        <v>1099</v>
      </c>
    </row>
    <row r="46948">
      <c r="B46948" s="31"/>
      <c r="G46948" s="272" t="s">
        <v>1099</v>
      </c>
    </row>
    <row r="46949">
      <c r="B46949" s="31"/>
      <c r="G46949" s="272" t="s">
        <v>1099</v>
      </c>
    </row>
    <row r="46950">
      <c r="B46950" s="31"/>
      <c r="G46950" s="272" t="s">
        <v>1099</v>
      </c>
    </row>
    <row r="46951">
      <c r="B46951" s="31"/>
      <c r="G46951" s="272" t="s">
        <v>1099</v>
      </c>
    </row>
    <row r="46952">
      <c r="B46952" s="31"/>
      <c r="G46952" s="272" t="s">
        <v>1099</v>
      </c>
    </row>
    <row r="46953">
      <c r="B46953" s="31"/>
      <c r="G46953" s="272" t="s">
        <v>1099</v>
      </c>
    </row>
    <row r="46954">
      <c r="B46954" s="31"/>
      <c r="G46954" s="272" t="s">
        <v>1099</v>
      </c>
    </row>
    <row r="46955">
      <c r="B46955" s="31"/>
      <c r="G46955" s="272" t="s">
        <v>1099</v>
      </c>
    </row>
    <row r="46956">
      <c r="B46956" s="31"/>
      <c r="G46956" s="272" t="s">
        <v>1099</v>
      </c>
    </row>
    <row r="46957">
      <c r="B46957" s="31"/>
      <c r="G46957" s="272" t="s">
        <v>1099</v>
      </c>
    </row>
    <row r="46958">
      <c r="B46958" s="31"/>
      <c r="G46958" s="272" t="s">
        <v>1099</v>
      </c>
    </row>
    <row r="46959">
      <c r="B46959" s="31"/>
      <c r="G46959" s="272" t="s">
        <v>1099</v>
      </c>
    </row>
    <row r="46960">
      <c r="B46960" s="31"/>
      <c r="G46960" s="272" t="s">
        <v>1099</v>
      </c>
    </row>
    <row r="46961">
      <c r="B46961" s="31"/>
      <c r="G46961" s="272" t="s">
        <v>1099</v>
      </c>
    </row>
    <row r="46962">
      <c r="B46962" s="31"/>
      <c r="G46962" s="272" t="s">
        <v>1099</v>
      </c>
    </row>
    <row r="46963">
      <c r="B46963" s="31"/>
      <c r="G46963" s="272" t="s">
        <v>1099</v>
      </c>
    </row>
    <row r="46964">
      <c r="B46964" s="31"/>
      <c r="G46964" s="272" t="s">
        <v>1099</v>
      </c>
    </row>
    <row r="46965">
      <c r="B46965" s="31"/>
      <c r="G46965" s="272" t="s">
        <v>1099</v>
      </c>
    </row>
    <row r="46966">
      <c r="B46966" s="31"/>
      <c r="G46966" s="272" t="s">
        <v>1099</v>
      </c>
    </row>
    <row r="46967">
      <c r="B46967" s="31"/>
      <c r="G46967" s="272" t="s">
        <v>1099</v>
      </c>
    </row>
    <row r="46968">
      <c r="B46968" s="31"/>
      <c r="G46968" s="272" t="s">
        <v>1099</v>
      </c>
    </row>
    <row r="46969">
      <c r="B46969" s="31"/>
      <c r="G46969" s="272" t="s">
        <v>1099</v>
      </c>
    </row>
    <row r="46970">
      <c r="B46970" s="31"/>
      <c r="G46970" s="272" t="s">
        <v>1099</v>
      </c>
    </row>
    <row r="46971">
      <c r="B46971" s="31"/>
      <c r="G46971" s="272" t="s">
        <v>1099</v>
      </c>
    </row>
    <row r="46972">
      <c r="B46972" s="31"/>
      <c r="G46972" s="272" t="s">
        <v>1099</v>
      </c>
    </row>
    <row r="46973">
      <c r="B46973" s="31"/>
      <c r="G46973" s="272" t="s">
        <v>1099</v>
      </c>
    </row>
    <row r="46974">
      <c r="B46974" s="31"/>
      <c r="G46974" s="272" t="s">
        <v>1099</v>
      </c>
    </row>
    <row r="46975">
      <c r="B46975" s="31"/>
      <c r="G46975" s="272" t="s">
        <v>1099</v>
      </c>
    </row>
    <row r="46976">
      <c r="B46976" s="31"/>
      <c r="G46976" s="272" t="s">
        <v>1099</v>
      </c>
    </row>
    <row r="46977">
      <c r="B46977" s="31"/>
      <c r="G46977" s="272" t="s">
        <v>1099</v>
      </c>
    </row>
    <row r="46978">
      <c r="B46978" s="31"/>
      <c r="G46978" s="272" t="s">
        <v>1099</v>
      </c>
    </row>
    <row r="46979">
      <c r="B46979" s="31"/>
      <c r="G46979" s="272" t="s">
        <v>1099</v>
      </c>
    </row>
    <row r="46980">
      <c r="B46980" s="31"/>
      <c r="G46980" s="272" t="s">
        <v>1099</v>
      </c>
    </row>
    <row r="46981">
      <c r="B46981" s="31"/>
      <c r="G46981" s="272" t="s">
        <v>1099</v>
      </c>
    </row>
    <row r="46982">
      <c r="B46982" s="31"/>
      <c r="G46982" s="272" t="s">
        <v>1099</v>
      </c>
    </row>
    <row r="46983">
      <c r="B46983" s="31"/>
      <c r="G46983" s="272" t="s">
        <v>1099</v>
      </c>
    </row>
    <row r="46984">
      <c r="B46984" s="31"/>
      <c r="G46984" s="272" t="s">
        <v>1099</v>
      </c>
    </row>
    <row r="46985">
      <c r="B46985" s="31"/>
      <c r="G46985" s="272" t="s">
        <v>1099</v>
      </c>
    </row>
    <row r="46986">
      <c r="B46986" s="31"/>
      <c r="G46986" s="272" t="s">
        <v>1099</v>
      </c>
    </row>
    <row r="46987">
      <c r="B46987" s="31"/>
      <c r="G46987" s="272" t="s">
        <v>1099</v>
      </c>
    </row>
    <row r="46988">
      <c r="B46988" s="31"/>
      <c r="G46988" s="272" t="s">
        <v>1099</v>
      </c>
    </row>
    <row r="46989">
      <c r="B46989" s="31"/>
      <c r="G46989" s="272" t="s">
        <v>1099</v>
      </c>
    </row>
    <row r="46990">
      <c r="B46990" s="31"/>
      <c r="G46990" s="272" t="s">
        <v>1099</v>
      </c>
    </row>
    <row r="46991">
      <c r="B46991" s="31"/>
      <c r="G46991" s="272" t="s">
        <v>1099</v>
      </c>
    </row>
    <row r="46992">
      <c r="B46992" s="31"/>
      <c r="G46992" s="272" t="s">
        <v>1099</v>
      </c>
    </row>
    <row r="46993">
      <c r="B46993" s="31"/>
      <c r="G46993" s="272" t="s">
        <v>1099</v>
      </c>
    </row>
    <row r="46994">
      <c r="B46994" s="31"/>
      <c r="G46994" s="272" t="s">
        <v>1099</v>
      </c>
    </row>
    <row r="46995">
      <c r="B46995" s="31"/>
      <c r="G46995" s="272" t="s">
        <v>1099</v>
      </c>
    </row>
    <row r="46996">
      <c r="B46996" s="31"/>
      <c r="G46996" s="272" t="s">
        <v>1099</v>
      </c>
    </row>
    <row r="46997">
      <c r="B46997" s="31"/>
      <c r="G46997" s="272" t="s">
        <v>1099</v>
      </c>
    </row>
    <row r="46998">
      <c r="B46998" s="31"/>
      <c r="G46998" s="272" t="s">
        <v>1099</v>
      </c>
    </row>
    <row r="46999">
      <c r="B46999" s="31"/>
      <c r="G46999" s="272" t="s">
        <v>1099</v>
      </c>
    </row>
    <row r="47000">
      <c r="B47000" s="31"/>
      <c r="G47000" s="272" t="s">
        <v>1099</v>
      </c>
    </row>
    <row r="47001">
      <c r="B47001" s="31"/>
      <c r="G47001" s="272" t="s">
        <v>1099</v>
      </c>
    </row>
    <row r="47002">
      <c r="B47002" s="31"/>
      <c r="G47002" s="272" t="s">
        <v>1099</v>
      </c>
    </row>
    <row r="47003">
      <c r="B47003" s="31"/>
      <c r="G47003" s="272" t="s">
        <v>1099</v>
      </c>
    </row>
    <row r="47004">
      <c r="B47004" s="31"/>
      <c r="G47004" s="272" t="s">
        <v>1099</v>
      </c>
    </row>
    <row r="47005">
      <c r="B47005" s="31"/>
      <c r="G47005" s="272" t="s">
        <v>1099</v>
      </c>
    </row>
    <row r="47006">
      <c r="B47006" s="31"/>
      <c r="G47006" s="272" t="s">
        <v>1099</v>
      </c>
    </row>
    <row r="47007">
      <c r="B47007" s="31"/>
      <c r="G47007" s="272" t="s">
        <v>1099</v>
      </c>
    </row>
    <row r="47008">
      <c r="B47008" s="31"/>
      <c r="G47008" s="272" t="s">
        <v>1099</v>
      </c>
    </row>
    <row r="47009">
      <c r="B47009" s="31"/>
      <c r="G47009" s="272" t="s">
        <v>1099</v>
      </c>
    </row>
    <row r="47010">
      <c r="B47010" s="31"/>
      <c r="G47010" s="272" t="s">
        <v>1099</v>
      </c>
    </row>
    <row r="47011">
      <c r="B47011" s="31"/>
      <c r="G47011" s="272" t="s">
        <v>1099</v>
      </c>
    </row>
    <row r="47012">
      <c r="B47012" s="31"/>
      <c r="G47012" s="272" t="s">
        <v>1099</v>
      </c>
    </row>
    <row r="47013">
      <c r="B47013" s="31"/>
      <c r="G47013" s="272" t="s">
        <v>1099</v>
      </c>
    </row>
    <row r="47014">
      <c r="B47014" s="31"/>
      <c r="G47014" s="272" t="s">
        <v>1099</v>
      </c>
    </row>
    <row r="47015">
      <c r="B47015" s="31"/>
      <c r="G47015" s="272" t="s">
        <v>1099</v>
      </c>
    </row>
    <row r="47016">
      <c r="B47016" s="31"/>
      <c r="G47016" s="272" t="s">
        <v>1099</v>
      </c>
    </row>
    <row r="47017">
      <c r="B47017" s="31"/>
      <c r="G47017" s="272" t="s">
        <v>1099</v>
      </c>
    </row>
    <row r="47018">
      <c r="B47018" s="31"/>
      <c r="G47018" s="272" t="s">
        <v>1099</v>
      </c>
    </row>
    <row r="47019">
      <c r="B47019" s="31"/>
      <c r="G47019" s="272" t="s">
        <v>1099</v>
      </c>
    </row>
    <row r="47020">
      <c r="B47020" s="31"/>
      <c r="G47020" s="272" t="s">
        <v>1099</v>
      </c>
    </row>
    <row r="47021">
      <c r="B47021" s="31"/>
      <c r="G47021" s="272" t="s">
        <v>1099</v>
      </c>
    </row>
    <row r="47022">
      <c r="B47022" s="31"/>
      <c r="G47022" s="272" t="s">
        <v>1099</v>
      </c>
    </row>
    <row r="47023">
      <c r="B47023" s="31"/>
      <c r="G47023" s="272" t="s">
        <v>1099</v>
      </c>
    </row>
    <row r="47024">
      <c r="B47024" s="31"/>
      <c r="G47024" s="272" t="s">
        <v>1099</v>
      </c>
    </row>
    <row r="47025">
      <c r="B47025" s="31"/>
      <c r="G47025" s="272" t="s">
        <v>1099</v>
      </c>
    </row>
    <row r="47026">
      <c r="B47026" s="31"/>
      <c r="G47026" s="272" t="s">
        <v>1099</v>
      </c>
    </row>
    <row r="47027">
      <c r="B47027" s="31"/>
      <c r="G47027" s="272" t="s">
        <v>1099</v>
      </c>
    </row>
    <row r="47028">
      <c r="B47028" s="31"/>
      <c r="G47028" s="272" t="s">
        <v>1099</v>
      </c>
    </row>
    <row r="47029">
      <c r="B47029" s="31"/>
      <c r="G47029" s="272" t="s">
        <v>1099</v>
      </c>
    </row>
    <row r="47030">
      <c r="B47030" s="31"/>
      <c r="G47030" s="272" t="s">
        <v>1099</v>
      </c>
    </row>
    <row r="47031">
      <c r="B47031" s="31"/>
      <c r="G47031" s="272" t="s">
        <v>1099</v>
      </c>
    </row>
    <row r="47032">
      <c r="B47032" s="31"/>
      <c r="G47032" s="272" t="s">
        <v>1099</v>
      </c>
    </row>
    <row r="47033">
      <c r="B47033" s="31"/>
      <c r="G47033" s="272" t="s">
        <v>1099</v>
      </c>
    </row>
    <row r="47034">
      <c r="B47034" s="31"/>
      <c r="G47034" s="272" t="s">
        <v>1099</v>
      </c>
    </row>
    <row r="47035">
      <c r="B47035" s="31"/>
      <c r="G47035" s="272" t="s">
        <v>1099</v>
      </c>
    </row>
    <row r="47036">
      <c r="B47036" s="31"/>
      <c r="G47036" s="272" t="s">
        <v>1099</v>
      </c>
    </row>
    <row r="47037">
      <c r="B47037" s="31"/>
      <c r="G47037" s="272" t="s">
        <v>1099</v>
      </c>
    </row>
    <row r="47038">
      <c r="B47038" s="31"/>
      <c r="G47038" s="272" t="s">
        <v>1099</v>
      </c>
    </row>
    <row r="47039">
      <c r="B47039" s="31"/>
      <c r="G47039" s="272" t="s">
        <v>1099</v>
      </c>
    </row>
    <row r="47040">
      <c r="B47040" s="31"/>
      <c r="G47040" s="272" t="s">
        <v>1099</v>
      </c>
    </row>
    <row r="47041">
      <c r="B47041" s="31"/>
      <c r="G47041" s="272" t="s">
        <v>1099</v>
      </c>
    </row>
    <row r="47042">
      <c r="B47042" s="31"/>
      <c r="G47042" s="272" t="s">
        <v>1099</v>
      </c>
    </row>
    <row r="47043">
      <c r="B47043" s="31"/>
      <c r="G47043" s="272" t="s">
        <v>1099</v>
      </c>
    </row>
    <row r="47044">
      <c r="B47044" s="31"/>
      <c r="G47044" s="272" t="s">
        <v>1099</v>
      </c>
    </row>
    <row r="47045">
      <c r="B47045" s="31"/>
      <c r="G47045" s="272" t="s">
        <v>1099</v>
      </c>
    </row>
    <row r="47046">
      <c r="B47046" s="31"/>
      <c r="G47046" s="272" t="s">
        <v>1099</v>
      </c>
    </row>
    <row r="47047">
      <c r="B47047" s="31"/>
      <c r="G47047" s="272" t="s">
        <v>1099</v>
      </c>
    </row>
    <row r="47048">
      <c r="B47048" s="31"/>
      <c r="G47048" s="272" t="s">
        <v>1099</v>
      </c>
    </row>
    <row r="47049">
      <c r="B47049" s="31"/>
      <c r="G47049" s="272" t="s">
        <v>1099</v>
      </c>
    </row>
    <row r="47050">
      <c r="B47050" s="31"/>
      <c r="G47050" s="272" t="s">
        <v>1099</v>
      </c>
    </row>
    <row r="47051">
      <c r="B47051" s="31"/>
      <c r="G47051" s="272" t="s">
        <v>1099</v>
      </c>
    </row>
    <row r="47052">
      <c r="B47052" s="31"/>
      <c r="G47052" s="272" t="s">
        <v>1099</v>
      </c>
    </row>
    <row r="47053">
      <c r="B47053" s="31"/>
      <c r="G47053" s="272" t="s">
        <v>1099</v>
      </c>
    </row>
    <row r="47054">
      <c r="B47054" s="31"/>
      <c r="G47054" s="272" t="s">
        <v>1099</v>
      </c>
    </row>
    <row r="47055">
      <c r="B47055" s="31"/>
      <c r="G47055" s="272" t="s">
        <v>1099</v>
      </c>
    </row>
    <row r="47056">
      <c r="B47056" s="31"/>
      <c r="G47056" s="272" t="s">
        <v>1099</v>
      </c>
    </row>
    <row r="47057">
      <c r="B47057" s="31"/>
      <c r="G47057" s="272" t="s">
        <v>1099</v>
      </c>
    </row>
    <row r="47058">
      <c r="B47058" s="31"/>
      <c r="G47058" s="272" t="s">
        <v>1099</v>
      </c>
    </row>
    <row r="47059">
      <c r="B47059" s="31"/>
      <c r="G47059" s="272" t="s">
        <v>1099</v>
      </c>
    </row>
    <row r="47060">
      <c r="B47060" s="31"/>
      <c r="G47060" s="272" t="s">
        <v>1099</v>
      </c>
    </row>
    <row r="47061">
      <c r="B47061" s="31"/>
      <c r="G47061" s="272" t="s">
        <v>1099</v>
      </c>
    </row>
    <row r="47062">
      <c r="B47062" s="31"/>
      <c r="G47062" s="272" t="s">
        <v>1099</v>
      </c>
    </row>
    <row r="47063">
      <c r="B47063" s="31"/>
      <c r="G47063" s="272" t="s">
        <v>1099</v>
      </c>
    </row>
    <row r="47064">
      <c r="B47064" s="31"/>
      <c r="G47064" s="272" t="s">
        <v>1099</v>
      </c>
    </row>
    <row r="47065">
      <c r="B47065" s="31"/>
      <c r="G47065" s="272" t="s">
        <v>1099</v>
      </c>
    </row>
    <row r="47066">
      <c r="B47066" s="31"/>
      <c r="G47066" s="272" t="s">
        <v>1099</v>
      </c>
    </row>
    <row r="47067">
      <c r="B47067" s="31"/>
      <c r="G47067" s="272" t="s">
        <v>1099</v>
      </c>
    </row>
    <row r="47068">
      <c r="B47068" s="31"/>
      <c r="G47068" s="272" t="s">
        <v>1099</v>
      </c>
    </row>
    <row r="47069">
      <c r="B47069" s="31"/>
      <c r="G47069" s="272" t="s">
        <v>1099</v>
      </c>
    </row>
    <row r="47070">
      <c r="B47070" s="31"/>
      <c r="G47070" s="272" t="s">
        <v>1099</v>
      </c>
    </row>
    <row r="47071">
      <c r="B47071" s="31"/>
      <c r="G47071" s="272" t="s">
        <v>1099</v>
      </c>
    </row>
    <row r="47072">
      <c r="B47072" s="31"/>
      <c r="G47072" s="272" t="s">
        <v>1099</v>
      </c>
    </row>
    <row r="47073">
      <c r="B47073" s="31"/>
      <c r="G47073" s="272" t="s">
        <v>1099</v>
      </c>
    </row>
    <row r="47074">
      <c r="B47074" s="31"/>
      <c r="G47074" s="272" t="s">
        <v>1099</v>
      </c>
    </row>
    <row r="47075">
      <c r="B47075" s="31"/>
      <c r="G47075" s="272" t="s">
        <v>1099</v>
      </c>
    </row>
    <row r="47076">
      <c r="B47076" s="31"/>
      <c r="G47076" s="272" t="s">
        <v>1099</v>
      </c>
    </row>
    <row r="47077">
      <c r="B47077" s="31"/>
      <c r="G47077" s="272" t="s">
        <v>1099</v>
      </c>
    </row>
    <row r="47078">
      <c r="B47078" s="31"/>
      <c r="G47078" s="272" t="s">
        <v>1099</v>
      </c>
    </row>
    <row r="47079">
      <c r="B47079" s="31"/>
      <c r="G47079" s="272" t="s">
        <v>1099</v>
      </c>
    </row>
    <row r="47080">
      <c r="B47080" s="31"/>
      <c r="G47080" s="272" t="s">
        <v>1099</v>
      </c>
    </row>
    <row r="47081">
      <c r="B47081" s="31"/>
      <c r="G47081" s="272" t="s">
        <v>1099</v>
      </c>
    </row>
    <row r="47082">
      <c r="B47082" s="31"/>
      <c r="G47082" s="272" t="s">
        <v>1099</v>
      </c>
    </row>
    <row r="47083">
      <c r="B47083" s="31"/>
      <c r="G47083" s="272" t="s">
        <v>1099</v>
      </c>
    </row>
    <row r="47084">
      <c r="B47084" s="31"/>
      <c r="G47084" s="272" t="s">
        <v>1099</v>
      </c>
    </row>
    <row r="47085">
      <c r="B47085" s="31"/>
      <c r="G47085" s="272" t="s">
        <v>1099</v>
      </c>
    </row>
    <row r="47086">
      <c r="B47086" s="31"/>
      <c r="G47086" s="272" t="s">
        <v>1099</v>
      </c>
    </row>
    <row r="47087">
      <c r="B47087" s="31"/>
      <c r="G47087" s="272" t="s">
        <v>1099</v>
      </c>
    </row>
    <row r="47088">
      <c r="B47088" s="31"/>
      <c r="G47088" s="272" t="s">
        <v>1099</v>
      </c>
    </row>
    <row r="47089">
      <c r="B47089" s="31"/>
      <c r="G47089" s="272" t="s">
        <v>1099</v>
      </c>
    </row>
    <row r="47090">
      <c r="B47090" s="31"/>
      <c r="G47090" s="272" t="s">
        <v>1099</v>
      </c>
    </row>
    <row r="47091">
      <c r="B47091" s="31"/>
      <c r="G47091" s="272" t="s">
        <v>1099</v>
      </c>
    </row>
    <row r="47092">
      <c r="B47092" s="31"/>
      <c r="G47092" s="272" t="s">
        <v>1099</v>
      </c>
    </row>
    <row r="47093">
      <c r="B47093" s="31"/>
      <c r="G47093" s="272" t="s">
        <v>1099</v>
      </c>
    </row>
    <row r="47094">
      <c r="B47094" s="31"/>
      <c r="G47094" s="272" t="s">
        <v>1099</v>
      </c>
    </row>
    <row r="47095">
      <c r="B47095" s="31"/>
      <c r="G47095" s="272" t="s">
        <v>1099</v>
      </c>
    </row>
    <row r="47096">
      <c r="B47096" s="31"/>
      <c r="G47096" s="272" t="s">
        <v>1099</v>
      </c>
    </row>
    <row r="47097">
      <c r="B47097" s="31"/>
      <c r="G47097" s="272" t="s">
        <v>1099</v>
      </c>
    </row>
    <row r="47098">
      <c r="B47098" s="31"/>
      <c r="G47098" s="272" t="s">
        <v>1099</v>
      </c>
    </row>
    <row r="47099">
      <c r="B47099" s="31"/>
      <c r="G47099" s="272" t="s">
        <v>1099</v>
      </c>
    </row>
    <row r="47100">
      <c r="B47100" s="31"/>
      <c r="G47100" s="272" t="s">
        <v>1099</v>
      </c>
    </row>
    <row r="47101">
      <c r="B47101" s="31"/>
      <c r="G47101" s="272" t="s">
        <v>1099</v>
      </c>
    </row>
    <row r="47102">
      <c r="B47102" s="31"/>
      <c r="G47102" s="272" t="s">
        <v>1099</v>
      </c>
    </row>
    <row r="47103">
      <c r="B47103" s="31"/>
      <c r="G47103" s="272" t="s">
        <v>1099</v>
      </c>
    </row>
    <row r="47104">
      <c r="B47104" s="31"/>
      <c r="G47104" s="272" t="s">
        <v>1099</v>
      </c>
    </row>
    <row r="47105">
      <c r="B47105" s="31"/>
      <c r="G47105" s="272" t="s">
        <v>1099</v>
      </c>
    </row>
    <row r="47106">
      <c r="B47106" s="31"/>
      <c r="G47106" s="272" t="s">
        <v>1099</v>
      </c>
    </row>
    <row r="47107">
      <c r="B47107" s="31"/>
      <c r="G47107" s="272" t="s">
        <v>1099</v>
      </c>
    </row>
    <row r="47108">
      <c r="B47108" s="31"/>
      <c r="G47108" s="272" t="s">
        <v>1099</v>
      </c>
    </row>
    <row r="47109">
      <c r="B47109" s="31"/>
      <c r="G47109" s="272" t="s">
        <v>1099</v>
      </c>
    </row>
    <row r="47110">
      <c r="B47110" s="31"/>
      <c r="G47110" s="272" t="s">
        <v>1099</v>
      </c>
    </row>
    <row r="47111">
      <c r="B47111" s="31"/>
      <c r="G47111" s="272" t="s">
        <v>1099</v>
      </c>
    </row>
    <row r="47112">
      <c r="B47112" s="31"/>
      <c r="G47112" s="272" t="s">
        <v>1099</v>
      </c>
    </row>
    <row r="47113">
      <c r="B47113" s="31"/>
      <c r="G47113" s="272" t="s">
        <v>1099</v>
      </c>
    </row>
    <row r="47114">
      <c r="B47114" s="31"/>
      <c r="G47114" s="272" t="s">
        <v>1099</v>
      </c>
    </row>
    <row r="47115">
      <c r="B47115" s="31"/>
      <c r="G47115" s="272" t="s">
        <v>1099</v>
      </c>
    </row>
    <row r="47116">
      <c r="B47116" s="31"/>
      <c r="G47116" s="272" t="s">
        <v>1099</v>
      </c>
    </row>
    <row r="47117">
      <c r="B47117" s="31"/>
      <c r="G47117" s="272" t="s">
        <v>1099</v>
      </c>
    </row>
    <row r="47118">
      <c r="B47118" s="31"/>
      <c r="G47118" s="272" t="s">
        <v>1099</v>
      </c>
    </row>
    <row r="47119">
      <c r="B47119" s="31"/>
      <c r="G47119" s="272" t="s">
        <v>1099</v>
      </c>
    </row>
    <row r="47120">
      <c r="B47120" s="31"/>
      <c r="G47120" s="272" t="s">
        <v>1099</v>
      </c>
    </row>
    <row r="47121">
      <c r="B47121" s="31"/>
      <c r="G47121" s="272" t="s">
        <v>1099</v>
      </c>
    </row>
    <row r="47122">
      <c r="B47122" s="31"/>
      <c r="G47122" s="272" t="s">
        <v>1099</v>
      </c>
    </row>
    <row r="47123">
      <c r="B47123" s="31"/>
      <c r="G47123" s="272" t="s">
        <v>1099</v>
      </c>
    </row>
    <row r="47124">
      <c r="B47124" s="31"/>
      <c r="G47124" s="272" t="s">
        <v>1099</v>
      </c>
    </row>
    <row r="47125">
      <c r="B47125" s="31"/>
      <c r="G47125" s="272" t="s">
        <v>1099</v>
      </c>
    </row>
    <row r="47126">
      <c r="B47126" s="31"/>
      <c r="G47126" s="272" t="s">
        <v>1099</v>
      </c>
    </row>
    <row r="47127">
      <c r="B47127" s="31"/>
      <c r="G47127" s="272" t="s">
        <v>1099</v>
      </c>
    </row>
    <row r="47128">
      <c r="B47128" s="31"/>
      <c r="G47128" s="272" t="s">
        <v>1099</v>
      </c>
    </row>
    <row r="47129">
      <c r="B47129" s="31"/>
      <c r="G47129" s="272" t="s">
        <v>1099</v>
      </c>
    </row>
    <row r="47130">
      <c r="B47130" s="31"/>
      <c r="G47130" s="272" t="s">
        <v>1099</v>
      </c>
    </row>
    <row r="47131">
      <c r="B47131" s="31"/>
      <c r="G47131" s="272" t="s">
        <v>1099</v>
      </c>
    </row>
    <row r="47132">
      <c r="B47132" s="31"/>
      <c r="G47132" s="272" t="s">
        <v>1099</v>
      </c>
    </row>
    <row r="47133">
      <c r="B47133" s="31"/>
      <c r="G47133" s="272" t="s">
        <v>1099</v>
      </c>
    </row>
    <row r="47134">
      <c r="B47134" s="31"/>
      <c r="G47134" s="272" t="s">
        <v>1099</v>
      </c>
    </row>
    <row r="47135">
      <c r="B47135" s="31"/>
      <c r="G47135" s="272" t="s">
        <v>1099</v>
      </c>
    </row>
    <row r="47136">
      <c r="B47136" s="31"/>
      <c r="G47136" s="272" t="s">
        <v>1099</v>
      </c>
    </row>
    <row r="47137">
      <c r="B47137" s="31"/>
      <c r="G47137" s="272" t="s">
        <v>1099</v>
      </c>
    </row>
    <row r="47138">
      <c r="B47138" s="31"/>
      <c r="G47138" s="272" t="s">
        <v>1099</v>
      </c>
    </row>
    <row r="47139">
      <c r="B47139" s="31"/>
      <c r="G47139" s="272" t="s">
        <v>1099</v>
      </c>
    </row>
    <row r="47140">
      <c r="B47140" s="31"/>
      <c r="G47140" s="272" t="s">
        <v>1099</v>
      </c>
    </row>
    <row r="47141">
      <c r="B47141" s="31"/>
      <c r="G47141" s="272" t="s">
        <v>1099</v>
      </c>
    </row>
    <row r="47142">
      <c r="B47142" s="31"/>
      <c r="G47142" s="272" t="s">
        <v>1099</v>
      </c>
    </row>
    <row r="47143">
      <c r="B47143" s="31"/>
      <c r="G47143" s="272" t="s">
        <v>1099</v>
      </c>
    </row>
    <row r="47144">
      <c r="B47144" s="31"/>
      <c r="G47144" s="272" t="s">
        <v>1099</v>
      </c>
    </row>
    <row r="47145">
      <c r="B47145" s="31"/>
      <c r="G47145" s="272" t="s">
        <v>1099</v>
      </c>
    </row>
    <row r="47146">
      <c r="B47146" s="31"/>
      <c r="G47146" s="272" t="s">
        <v>1099</v>
      </c>
    </row>
    <row r="47147">
      <c r="B47147" s="31"/>
      <c r="G47147" s="272" t="s">
        <v>1099</v>
      </c>
    </row>
    <row r="47148">
      <c r="B47148" s="31"/>
      <c r="G47148" s="272" t="s">
        <v>1099</v>
      </c>
    </row>
    <row r="47149">
      <c r="B47149" s="31"/>
      <c r="G47149" s="272" t="s">
        <v>1099</v>
      </c>
    </row>
    <row r="47150">
      <c r="B47150" s="31"/>
      <c r="G47150" s="272" t="s">
        <v>1099</v>
      </c>
    </row>
    <row r="47151">
      <c r="B47151" s="31"/>
      <c r="G47151" s="272" t="s">
        <v>1099</v>
      </c>
    </row>
    <row r="47152">
      <c r="B47152" s="31"/>
      <c r="G47152" s="272" t="s">
        <v>1099</v>
      </c>
    </row>
    <row r="47153">
      <c r="B47153" s="31"/>
      <c r="G47153" s="272" t="s">
        <v>1099</v>
      </c>
    </row>
    <row r="47154">
      <c r="B47154" s="31"/>
      <c r="G47154" s="272" t="s">
        <v>1099</v>
      </c>
    </row>
    <row r="47155">
      <c r="B47155" s="31"/>
      <c r="G47155" s="272" t="s">
        <v>1099</v>
      </c>
    </row>
    <row r="47156">
      <c r="B47156" s="31"/>
      <c r="G47156" s="272" t="s">
        <v>1099</v>
      </c>
    </row>
    <row r="47157">
      <c r="B47157" s="31"/>
      <c r="G47157" s="272" t="s">
        <v>1099</v>
      </c>
    </row>
    <row r="47158">
      <c r="B47158" s="31"/>
      <c r="G47158" s="272" t="s">
        <v>1099</v>
      </c>
    </row>
    <row r="47159">
      <c r="B47159" s="31"/>
      <c r="G47159" s="272" t="s">
        <v>1099</v>
      </c>
    </row>
    <row r="47160">
      <c r="B47160" s="31"/>
      <c r="G47160" s="272" t="s">
        <v>1099</v>
      </c>
    </row>
    <row r="47161">
      <c r="B47161" s="31"/>
      <c r="G47161" s="272" t="s">
        <v>1099</v>
      </c>
    </row>
    <row r="47162">
      <c r="B47162" s="31"/>
      <c r="G47162" s="272" t="s">
        <v>1099</v>
      </c>
    </row>
    <row r="47163">
      <c r="B47163" s="31"/>
      <c r="G47163" s="272" t="s">
        <v>1099</v>
      </c>
    </row>
    <row r="47164">
      <c r="B47164" s="31"/>
      <c r="G47164" s="272" t="s">
        <v>1099</v>
      </c>
    </row>
    <row r="47165">
      <c r="B47165" s="31"/>
      <c r="G47165" s="272" t="s">
        <v>1099</v>
      </c>
    </row>
    <row r="47166">
      <c r="B47166" s="31"/>
      <c r="G47166" s="272" t="s">
        <v>1099</v>
      </c>
    </row>
    <row r="47167">
      <c r="B47167" s="31"/>
      <c r="G47167" s="272" t="s">
        <v>1099</v>
      </c>
    </row>
    <row r="47168">
      <c r="B47168" s="31"/>
      <c r="G47168" s="272" t="s">
        <v>1099</v>
      </c>
    </row>
    <row r="47169">
      <c r="B47169" s="31"/>
      <c r="G47169" s="272" t="s">
        <v>1099</v>
      </c>
    </row>
    <row r="47170">
      <c r="B47170" s="31"/>
      <c r="G47170" s="272" t="s">
        <v>1099</v>
      </c>
    </row>
    <row r="47171">
      <c r="B47171" s="31"/>
      <c r="G47171" s="272" t="s">
        <v>1099</v>
      </c>
    </row>
    <row r="47172">
      <c r="B47172" s="31"/>
      <c r="G47172" s="272" t="s">
        <v>1099</v>
      </c>
    </row>
    <row r="47173">
      <c r="B47173" s="31"/>
      <c r="G47173" s="272" t="s">
        <v>1099</v>
      </c>
    </row>
    <row r="47174">
      <c r="B47174" s="31"/>
      <c r="G47174" s="272" t="s">
        <v>1099</v>
      </c>
    </row>
    <row r="47175">
      <c r="B47175" s="31"/>
      <c r="G47175" s="272" t="s">
        <v>1099</v>
      </c>
    </row>
    <row r="47176">
      <c r="B47176" s="31"/>
      <c r="G47176" s="272" t="s">
        <v>1099</v>
      </c>
    </row>
    <row r="47177">
      <c r="B47177" s="31"/>
      <c r="G47177" s="272" t="s">
        <v>1099</v>
      </c>
    </row>
    <row r="47178">
      <c r="B47178" s="31"/>
      <c r="G47178" s="272" t="s">
        <v>1099</v>
      </c>
    </row>
    <row r="47179">
      <c r="B47179" s="31"/>
      <c r="G47179" s="272" t="s">
        <v>1099</v>
      </c>
    </row>
    <row r="47180">
      <c r="B47180" s="31"/>
      <c r="G47180" s="272" t="s">
        <v>1099</v>
      </c>
    </row>
    <row r="47181">
      <c r="B47181" s="31"/>
      <c r="G47181" s="272" t="s">
        <v>1099</v>
      </c>
    </row>
    <row r="47182">
      <c r="B47182" s="31"/>
      <c r="G47182" s="272" t="s">
        <v>1099</v>
      </c>
    </row>
    <row r="47183">
      <c r="B47183" s="31"/>
      <c r="G47183" s="272" t="s">
        <v>1099</v>
      </c>
    </row>
    <row r="47184">
      <c r="B47184" s="31"/>
      <c r="G47184" s="272" t="s">
        <v>1099</v>
      </c>
    </row>
    <row r="47185">
      <c r="B47185" s="31"/>
      <c r="G47185" s="272" t="s">
        <v>1099</v>
      </c>
    </row>
    <row r="47186">
      <c r="B47186" s="31"/>
      <c r="G47186" s="272" t="s">
        <v>1099</v>
      </c>
    </row>
    <row r="47187">
      <c r="B47187" s="31"/>
      <c r="G47187" s="272" t="s">
        <v>1099</v>
      </c>
    </row>
    <row r="47188">
      <c r="B47188" s="31"/>
      <c r="G47188" s="272" t="s">
        <v>1099</v>
      </c>
    </row>
    <row r="47189">
      <c r="B47189" s="31"/>
      <c r="G47189" s="272" t="s">
        <v>1099</v>
      </c>
    </row>
    <row r="47190">
      <c r="B47190" s="31"/>
      <c r="G47190" s="272" t="s">
        <v>1099</v>
      </c>
    </row>
    <row r="47191">
      <c r="B47191" s="31"/>
      <c r="G47191" s="272" t="s">
        <v>1099</v>
      </c>
    </row>
    <row r="47192">
      <c r="B47192" s="31"/>
      <c r="G47192" s="272" t="s">
        <v>1099</v>
      </c>
    </row>
    <row r="47193">
      <c r="B47193" s="31"/>
      <c r="G47193" s="272" t="s">
        <v>1099</v>
      </c>
    </row>
    <row r="47194">
      <c r="B47194" s="31"/>
      <c r="G47194" s="272" t="s">
        <v>1099</v>
      </c>
    </row>
    <row r="47195">
      <c r="B47195" s="31"/>
      <c r="G47195" s="272" t="s">
        <v>1099</v>
      </c>
    </row>
    <row r="47196">
      <c r="B47196" s="31"/>
      <c r="G47196" s="272" t="s">
        <v>1099</v>
      </c>
    </row>
    <row r="47197">
      <c r="B47197" s="31"/>
      <c r="G47197" s="272" t="s">
        <v>1099</v>
      </c>
    </row>
    <row r="47198">
      <c r="B47198" s="31"/>
      <c r="G47198" s="272" t="s">
        <v>1099</v>
      </c>
    </row>
    <row r="47199">
      <c r="B47199" s="31"/>
      <c r="G47199" s="272" t="s">
        <v>1099</v>
      </c>
    </row>
    <row r="47200">
      <c r="B47200" s="31"/>
      <c r="G47200" s="272" t="s">
        <v>1099</v>
      </c>
    </row>
    <row r="47201">
      <c r="B47201" s="31"/>
      <c r="G47201" s="272" t="s">
        <v>1099</v>
      </c>
    </row>
    <row r="47202">
      <c r="B47202" s="31"/>
      <c r="G47202" s="272" t="s">
        <v>1099</v>
      </c>
    </row>
    <row r="47203">
      <c r="B47203" s="31"/>
      <c r="G47203" s="272" t="s">
        <v>1099</v>
      </c>
    </row>
    <row r="47204">
      <c r="B47204" s="31"/>
      <c r="G47204" s="272" t="s">
        <v>1099</v>
      </c>
    </row>
    <row r="47205">
      <c r="B47205" s="31"/>
      <c r="G47205" s="272" t="s">
        <v>1099</v>
      </c>
    </row>
    <row r="47206">
      <c r="B47206" s="31"/>
      <c r="G47206" s="272" t="s">
        <v>1099</v>
      </c>
    </row>
    <row r="47207">
      <c r="B47207" s="31"/>
      <c r="G47207" s="272" t="s">
        <v>1099</v>
      </c>
    </row>
    <row r="47208">
      <c r="B47208" s="31"/>
      <c r="G47208" s="272" t="s">
        <v>1099</v>
      </c>
    </row>
    <row r="47209">
      <c r="B47209" s="31"/>
      <c r="G47209" s="272" t="s">
        <v>1099</v>
      </c>
    </row>
    <row r="47210">
      <c r="B47210" s="31"/>
      <c r="G47210" s="272" t="s">
        <v>1099</v>
      </c>
    </row>
    <row r="47211">
      <c r="B47211" s="31"/>
      <c r="G47211" s="272" t="s">
        <v>1099</v>
      </c>
    </row>
    <row r="47212">
      <c r="B47212" s="31"/>
      <c r="G47212" s="272" t="s">
        <v>1099</v>
      </c>
    </row>
    <row r="47213">
      <c r="B47213" s="31"/>
      <c r="G47213" s="272" t="s">
        <v>1099</v>
      </c>
    </row>
    <row r="47214">
      <c r="B47214" s="31"/>
      <c r="G47214" s="272" t="s">
        <v>1099</v>
      </c>
    </row>
    <row r="47215">
      <c r="B47215" s="31"/>
      <c r="G47215" s="272" t="s">
        <v>1099</v>
      </c>
    </row>
    <row r="47216">
      <c r="B47216" s="31"/>
      <c r="G47216" s="272" t="s">
        <v>1099</v>
      </c>
    </row>
    <row r="47217">
      <c r="B47217" s="31"/>
      <c r="G47217" s="272" t="s">
        <v>1099</v>
      </c>
    </row>
    <row r="47218">
      <c r="B47218" s="31"/>
      <c r="G47218" s="272" t="s">
        <v>1099</v>
      </c>
    </row>
    <row r="47219">
      <c r="B47219" s="31"/>
      <c r="G47219" s="272" t="s">
        <v>1099</v>
      </c>
    </row>
    <row r="47220">
      <c r="B47220" s="31"/>
      <c r="G47220" s="272" t="s">
        <v>1099</v>
      </c>
    </row>
    <row r="47221">
      <c r="B47221" s="31"/>
      <c r="G47221" s="272" t="s">
        <v>1099</v>
      </c>
    </row>
    <row r="47222">
      <c r="B47222" s="31"/>
      <c r="G47222" s="272" t="s">
        <v>1099</v>
      </c>
    </row>
    <row r="47223">
      <c r="B47223" s="31"/>
      <c r="G47223" s="272" t="s">
        <v>1099</v>
      </c>
    </row>
    <row r="47224">
      <c r="B47224" s="31"/>
      <c r="G47224" s="272" t="s">
        <v>1099</v>
      </c>
    </row>
    <row r="47225">
      <c r="B47225" s="31"/>
      <c r="G47225" s="272" t="s">
        <v>1099</v>
      </c>
    </row>
    <row r="47226">
      <c r="B47226" s="31"/>
      <c r="G47226" s="272" t="s">
        <v>1099</v>
      </c>
    </row>
    <row r="47227">
      <c r="B47227" s="31"/>
      <c r="G47227" s="272" t="s">
        <v>1099</v>
      </c>
    </row>
    <row r="47228">
      <c r="B47228" s="31"/>
      <c r="G47228" s="272" t="s">
        <v>1099</v>
      </c>
    </row>
    <row r="47229">
      <c r="B47229" s="31"/>
      <c r="G47229" s="272" t="s">
        <v>1099</v>
      </c>
    </row>
    <row r="47230">
      <c r="B47230" s="31"/>
      <c r="G47230" s="272" t="s">
        <v>1099</v>
      </c>
    </row>
    <row r="47231">
      <c r="B47231" s="31"/>
      <c r="G47231" s="272" t="s">
        <v>1099</v>
      </c>
    </row>
    <row r="47232">
      <c r="B47232" s="31"/>
      <c r="G47232" s="272" t="s">
        <v>1099</v>
      </c>
    </row>
    <row r="47233">
      <c r="B47233" s="31"/>
      <c r="G47233" s="272" t="s">
        <v>1099</v>
      </c>
    </row>
    <row r="47234">
      <c r="B47234" s="31"/>
      <c r="G47234" s="272" t="s">
        <v>1099</v>
      </c>
    </row>
    <row r="47235">
      <c r="B47235" s="31"/>
      <c r="G47235" s="272" t="s">
        <v>1099</v>
      </c>
    </row>
    <row r="47236">
      <c r="B47236" s="31"/>
      <c r="G47236" s="272" t="s">
        <v>1099</v>
      </c>
    </row>
    <row r="47237">
      <c r="B47237" s="31"/>
      <c r="G47237" s="272" t="s">
        <v>1099</v>
      </c>
    </row>
    <row r="47238">
      <c r="B47238" s="31"/>
      <c r="G47238" s="272" t="s">
        <v>1099</v>
      </c>
    </row>
    <row r="47239">
      <c r="B47239" s="31"/>
      <c r="G47239" s="272" t="s">
        <v>1099</v>
      </c>
    </row>
    <row r="47240">
      <c r="B47240" s="31"/>
      <c r="G47240" s="272" t="s">
        <v>1099</v>
      </c>
    </row>
    <row r="47241">
      <c r="B47241" s="31"/>
      <c r="G47241" s="272" t="s">
        <v>1099</v>
      </c>
    </row>
    <row r="47242">
      <c r="B47242" s="31"/>
      <c r="G47242" s="272" t="s">
        <v>1099</v>
      </c>
    </row>
    <row r="47243">
      <c r="B47243" s="31"/>
      <c r="G47243" s="272" t="s">
        <v>1099</v>
      </c>
    </row>
    <row r="47244">
      <c r="B47244" s="31"/>
      <c r="G47244" s="272" t="s">
        <v>1099</v>
      </c>
    </row>
    <row r="47245">
      <c r="B47245" s="31"/>
      <c r="G47245" s="272" t="s">
        <v>1099</v>
      </c>
    </row>
    <row r="47246">
      <c r="B47246" s="31"/>
      <c r="G47246" s="272" t="s">
        <v>1099</v>
      </c>
    </row>
    <row r="47247">
      <c r="B47247" s="31"/>
      <c r="G47247" s="272" t="s">
        <v>1099</v>
      </c>
    </row>
    <row r="47248">
      <c r="B47248" s="31"/>
      <c r="G47248" s="272" t="s">
        <v>1099</v>
      </c>
    </row>
    <row r="47249">
      <c r="B47249" s="31"/>
      <c r="G47249" s="272" t="s">
        <v>1099</v>
      </c>
    </row>
    <row r="47250">
      <c r="B47250" s="31"/>
      <c r="G47250" s="272" t="s">
        <v>1099</v>
      </c>
    </row>
    <row r="47251">
      <c r="B47251" s="31"/>
      <c r="G47251" s="272" t="s">
        <v>1099</v>
      </c>
    </row>
    <row r="47252">
      <c r="B47252" s="31"/>
      <c r="G47252" s="272" t="s">
        <v>1099</v>
      </c>
    </row>
    <row r="47253">
      <c r="B47253" s="31"/>
      <c r="G47253" s="272" t="s">
        <v>1099</v>
      </c>
    </row>
    <row r="47254">
      <c r="B47254" s="31"/>
      <c r="G47254" s="272" t="s">
        <v>1099</v>
      </c>
    </row>
    <row r="47255">
      <c r="B47255" s="31"/>
      <c r="G47255" s="272" t="s">
        <v>1099</v>
      </c>
    </row>
    <row r="47256">
      <c r="B47256" s="31"/>
      <c r="G47256" s="272" t="s">
        <v>1099</v>
      </c>
    </row>
    <row r="47257">
      <c r="B47257" s="31"/>
      <c r="G47257" s="272" t="s">
        <v>1099</v>
      </c>
    </row>
    <row r="47258">
      <c r="B47258" s="31"/>
      <c r="G47258" s="272" t="s">
        <v>1099</v>
      </c>
    </row>
    <row r="47259">
      <c r="B47259" s="31"/>
      <c r="G47259" s="272" t="s">
        <v>1099</v>
      </c>
    </row>
    <row r="47260">
      <c r="B47260" s="31"/>
      <c r="G47260" s="272" t="s">
        <v>1099</v>
      </c>
    </row>
    <row r="47261">
      <c r="B47261" s="31"/>
      <c r="G47261" s="272" t="s">
        <v>1099</v>
      </c>
    </row>
    <row r="47262">
      <c r="B47262" s="31"/>
      <c r="G47262" s="272" t="s">
        <v>1099</v>
      </c>
    </row>
    <row r="47263">
      <c r="B47263" s="31"/>
      <c r="G47263" s="272" t="s">
        <v>1099</v>
      </c>
    </row>
    <row r="47264">
      <c r="B47264" s="31"/>
      <c r="G47264" s="272" t="s">
        <v>1099</v>
      </c>
    </row>
    <row r="47265">
      <c r="B47265" s="31"/>
      <c r="G47265" s="272" t="s">
        <v>1099</v>
      </c>
    </row>
    <row r="47266">
      <c r="B47266" s="31"/>
      <c r="G47266" s="272" t="s">
        <v>1099</v>
      </c>
    </row>
    <row r="47267">
      <c r="B47267" s="31"/>
      <c r="G47267" s="272" t="s">
        <v>1099</v>
      </c>
    </row>
    <row r="47268">
      <c r="B47268" s="31"/>
      <c r="G47268" s="272" t="s">
        <v>1099</v>
      </c>
    </row>
    <row r="47269">
      <c r="B47269" s="31"/>
      <c r="G47269" s="272" t="s">
        <v>1099</v>
      </c>
    </row>
    <row r="47270">
      <c r="B47270" s="31"/>
      <c r="G47270" s="272" t="s">
        <v>1099</v>
      </c>
    </row>
    <row r="47271">
      <c r="B47271" s="31"/>
      <c r="G47271" s="272" t="s">
        <v>1099</v>
      </c>
    </row>
    <row r="47272">
      <c r="B47272" s="31"/>
      <c r="G47272" s="272" t="s">
        <v>1099</v>
      </c>
    </row>
    <row r="47273">
      <c r="B47273" s="31"/>
      <c r="G47273" s="272" t="s">
        <v>1099</v>
      </c>
    </row>
    <row r="47274">
      <c r="B47274" s="31"/>
      <c r="G47274" s="272" t="s">
        <v>1099</v>
      </c>
    </row>
    <row r="47275">
      <c r="B47275" s="31"/>
      <c r="G47275" s="272" t="s">
        <v>1099</v>
      </c>
    </row>
    <row r="47276">
      <c r="B47276" s="31"/>
      <c r="G47276" s="272" t="s">
        <v>1099</v>
      </c>
    </row>
    <row r="47277">
      <c r="B47277" s="31"/>
      <c r="G47277" s="272" t="s">
        <v>1099</v>
      </c>
    </row>
    <row r="47278">
      <c r="B47278" s="31"/>
      <c r="G47278" s="272" t="s">
        <v>1099</v>
      </c>
    </row>
    <row r="47279">
      <c r="B47279" s="31"/>
      <c r="G47279" s="272" t="s">
        <v>1099</v>
      </c>
    </row>
    <row r="47280">
      <c r="B47280" s="31"/>
      <c r="G47280" s="272" t="s">
        <v>1099</v>
      </c>
    </row>
    <row r="47281">
      <c r="B47281" s="31"/>
      <c r="G47281" s="272" t="s">
        <v>1099</v>
      </c>
    </row>
    <row r="47282">
      <c r="B47282" s="31"/>
      <c r="G47282" s="272" t="s">
        <v>1099</v>
      </c>
    </row>
    <row r="47283">
      <c r="B47283" s="31"/>
      <c r="G47283" s="272" t="s">
        <v>1099</v>
      </c>
    </row>
    <row r="47284">
      <c r="B47284" s="31"/>
      <c r="G47284" s="272" t="s">
        <v>1099</v>
      </c>
    </row>
    <row r="47285">
      <c r="B47285" s="31"/>
      <c r="G47285" s="272" t="s">
        <v>1099</v>
      </c>
    </row>
    <row r="47286">
      <c r="B47286" s="31"/>
      <c r="G47286" s="272" t="s">
        <v>1099</v>
      </c>
    </row>
    <row r="47287">
      <c r="B47287" s="31"/>
      <c r="G47287" s="272" t="s">
        <v>1099</v>
      </c>
    </row>
    <row r="47288">
      <c r="B47288" s="31"/>
      <c r="G47288" s="272" t="s">
        <v>1099</v>
      </c>
    </row>
    <row r="47289">
      <c r="B47289" s="31"/>
      <c r="G47289" s="272" t="s">
        <v>1099</v>
      </c>
    </row>
    <row r="47290">
      <c r="B47290" s="31"/>
      <c r="G47290" s="272" t="s">
        <v>1099</v>
      </c>
    </row>
    <row r="47291">
      <c r="B47291" s="31"/>
      <c r="G47291" s="272" t="s">
        <v>1099</v>
      </c>
    </row>
    <row r="47292">
      <c r="B47292" s="31"/>
      <c r="G47292" s="272" t="s">
        <v>1099</v>
      </c>
    </row>
    <row r="47293">
      <c r="B47293" s="31"/>
      <c r="G47293" s="272" t="s">
        <v>1099</v>
      </c>
    </row>
    <row r="47294">
      <c r="B47294" s="31"/>
      <c r="G47294" s="272" t="s">
        <v>1099</v>
      </c>
    </row>
    <row r="47295">
      <c r="B47295" s="31"/>
      <c r="G47295" s="272" t="s">
        <v>1099</v>
      </c>
    </row>
    <row r="47296">
      <c r="B47296" s="31"/>
      <c r="G47296" s="272" t="s">
        <v>1099</v>
      </c>
    </row>
    <row r="47297">
      <c r="B47297" s="31"/>
      <c r="G47297" s="272" t="s">
        <v>1099</v>
      </c>
    </row>
    <row r="47298">
      <c r="B47298" s="31"/>
      <c r="G47298" s="272" t="s">
        <v>1099</v>
      </c>
    </row>
    <row r="47299">
      <c r="B47299" s="31"/>
      <c r="G47299" s="272" t="s">
        <v>1099</v>
      </c>
    </row>
    <row r="47300">
      <c r="B47300" s="31"/>
      <c r="G47300" s="272" t="s">
        <v>1099</v>
      </c>
    </row>
    <row r="47301">
      <c r="B47301" s="31"/>
      <c r="G47301" s="272" t="s">
        <v>1099</v>
      </c>
    </row>
    <row r="47302">
      <c r="B47302" s="31"/>
      <c r="G47302" s="272" t="s">
        <v>1099</v>
      </c>
    </row>
    <row r="47303">
      <c r="B47303" s="31"/>
      <c r="G47303" s="272" t="s">
        <v>1099</v>
      </c>
    </row>
    <row r="47304">
      <c r="B47304" s="31"/>
      <c r="G47304" s="272" t="s">
        <v>1099</v>
      </c>
    </row>
    <row r="47305">
      <c r="B47305" s="31"/>
      <c r="G47305" s="272" t="s">
        <v>1099</v>
      </c>
    </row>
    <row r="47306">
      <c r="B47306" s="31"/>
      <c r="G47306" s="272" t="s">
        <v>1099</v>
      </c>
    </row>
    <row r="47307">
      <c r="B47307" s="31"/>
      <c r="G47307" s="272" t="s">
        <v>1099</v>
      </c>
    </row>
    <row r="47308">
      <c r="B47308" s="31"/>
      <c r="G47308" s="272" t="s">
        <v>1099</v>
      </c>
    </row>
    <row r="47309">
      <c r="B47309" s="31"/>
      <c r="G47309" s="272" t="s">
        <v>1099</v>
      </c>
    </row>
    <row r="47310">
      <c r="B47310" s="31"/>
      <c r="G47310" s="272" t="s">
        <v>1099</v>
      </c>
    </row>
    <row r="47311">
      <c r="B47311" s="31"/>
      <c r="G47311" s="272" t="s">
        <v>1099</v>
      </c>
    </row>
    <row r="47312">
      <c r="B47312" s="31"/>
      <c r="G47312" s="272" t="s">
        <v>1099</v>
      </c>
    </row>
    <row r="47313">
      <c r="B47313" s="31"/>
      <c r="G47313" s="272" t="s">
        <v>1099</v>
      </c>
    </row>
    <row r="47314">
      <c r="B47314" s="31"/>
      <c r="G47314" s="272" t="s">
        <v>1099</v>
      </c>
    </row>
    <row r="47315">
      <c r="B47315" s="31"/>
      <c r="G47315" s="272" t="s">
        <v>1099</v>
      </c>
    </row>
    <row r="47316">
      <c r="B47316" s="31"/>
      <c r="G47316" s="272" t="s">
        <v>1099</v>
      </c>
    </row>
    <row r="47317">
      <c r="B47317" s="31"/>
      <c r="G47317" s="272" t="s">
        <v>1099</v>
      </c>
    </row>
    <row r="47318">
      <c r="B47318" s="31"/>
      <c r="G47318" s="272" t="s">
        <v>1099</v>
      </c>
    </row>
    <row r="47319">
      <c r="B47319" s="31"/>
      <c r="G47319" s="272" t="s">
        <v>1099</v>
      </c>
    </row>
    <row r="47320">
      <c r="B47320" s="31"/>
      <c r="G47320" s="272" t="s">
        <v>1099</v>
      </c>
    </row>
    <row r="47321">
      <c r="B47321" s="31"/>
      <c r="G47321" s="272" t="s">
        <v>1099</v>
      </c>
    </row>
    <row r="47322">
      <c r="B47322" s="31"/>
      <c r="G47322" s="272" t="s">
        <v>1099</v>
      </c>
    </row>
    <row r="47323">
      <c r="B47323" s="31"/>
      <c r="G47323" s="272" t="s">
        <v>1099</v>
      </c>
    </row>
    <row r="47324">
      <c r="B47324" s="31"/>
      <c r="G47324" s="272" t="s">
        <v>1099</v>
      </c>
    </row>
    <row r="47325">
      <c r="B47325" s="31"/>
      <c r="G47325" s="272" t="s">
        <v>1099</v>
      </c>
    </row>
    <row r="47326">
      <c r="B47326" s="31"/>
      <c r="G47326" s="272" t="s">
        <v>1099</v>
      </c>
    </row>
    <row r="47327">
      <c r="B47327" s="31"/>
      <c r="G47327" s="272" t="s">
        <v>1099</v>
      </c>
    </row>
    <row r="47328">
      <c r="B47328" s="31"/>
      <c r="G47328" s="272" t="s">
        <v>1099</v>
      </c>
    </row>
    <row r="47329">
      <c r="B47329" s="31"/>
      <c r="G47329" s="272" t="s">
        <v>1099</v>
      </c>
    </row>
    <row r="47330">
      <c r="B47330" s="31"/>
      <c r="G47330" s="272" t="s">
        <v>1099</v>
      </c>
    </row>
    <row r="47331">
      <c r="B47331" s="31"/>
      <c r="G47331" s="272" t="s">
        <v>1099</v>
      </c>
    </row>
    <row r="47332">
      <c r="B47332" s="31"/>
      <c r="G47332" s="272" t="s">
        <v>1099</v>
      </c>
    </row>
    <row r="47333">
      <c r="B47333" s="31"/>
      <c r="G47333" s="272" t="s">
        <v>1099</v>
      </c>
    </row>
    <row r="47334">
      <c r="B47334" s="31"/>
      <c r="G47334" s="272" t="s">
        <v>1099</v>
      </c>
    </row>
    <row r="47335">
      <c r="B47335" s="31"/>
      <c r="G47335" s="272" t="s">
        <v>1099</v>
      </c>
    </row>
    <row r="47336">
      <c r="B47336" s="31"/>
      <c r="G47336" s="272" t="s">
        <v>1099</v>
      </c>
    </row>
    <row r="47337">
      <c r="B47337" s="31"/>
      <c r="G47337" s="272" t="s">
        <v>1099</v>
      </c>
    </row>
    <row r="47338">
      <c r="B47338" s="31"/>
      <c r="G47338" s="272" t="s">
        <v>1099</v>
      </c>
    </row>
    <row r="47339">
      <c r="B47339" s="31"/>
      <c r="G47339" s="272" t="s">
        <v>1099</v>
      </c>
    </row>
    <row r="47340">
      <c r="B47340" s="31"/>
      <c r="G47340" s="272" t="s">
        <v>1099</v>
      </c>
    </row>
    <row r="47341">
      <c r="B47341" s="31"/>
      <c r="G47341" s="272" t="s">
        <v>1099</v>
      </c>
    </row>
    <row r="47342">
      <c r="B47342" s="31"/>
      <c r="G47342" s="272" t="s">
        <v>1099</v>
      </c>
    </row>
    <row r="47343">
      <c r="B47343" s="31"/>
      <c r="G47343" s="272" t="s">
        <v>1099</v>
      </c>
    </row>
    <row r="47344">
      <c r="B47344" s="31"/>
      <c r="G47344" s="272" t="s">
        <v>1099</v>
      </c>
    </row>
    <row r="47345">
      <c r="B47345" s="31"/>
      <c r="G47345" s="272" t="s">
        <v>1099</v>
      </c>
    </row>
    <row r="47346">
      <c r="B47346" s="31"/>
      <c r="G47346" s="272" t="s">
        <v>1099</v>
      </c>
    </row>
    <row r="47347">
      <c r="B47347" s="31"/>
      <c r="G47347" s="272" t="s">
        <v>1099</v>
      </c>
    </row>
    <row r="47348">
      <c r="B47348" s="31"/>
      <c r="G47348" s="272" t="s">
        <v>1099</v>
      </c>
    </row>
    <row r="47349">
      <c r="B47349" s="31"/>
      <c r="G47349" s="272" t="s">
        <v>1099</v>
      </c>
    </row>
    <row r="47350">
      <c r="B47350" s="31"/>
      <c r="G47350" s="272" t="s">
        <v>1099</v>
      </c>
    </row>
    <row r="47351">
      <c r="B47351" s="31"/>
      <c r="G47351" s="272" t="s">
        <v>1099</v>
      </c>
    </row>
    <row r="47352">
      <c r="B47352" s="31"/>
      <c r="G47352" s="272" t="s">
        <v>1099</v>
      </c>
    </row>
    <row r="47353">
      <c r="B47353" s="31"/>
      <c r="G47353" s="272" t="s">
        <v>1099</v>
      </c>
    </row>
    <row r="47354">
      <c r="B47354" s="31"/>
      <c r="G47354" s="272" t="s">
        <v>1099</v>
      </c>
    </row>
    <row r="47355">
      <c r="B47355" s="31"/>
      <c r="G47355" s="272" t="s">
        <v>1099</v>
      </c>
    </row>
    <row r="47356">
      <c r="B47356" s="31"/>
      <c r="G47356" s="272" t="s">
        <v>1099</v>
      </c>
    </row>
    <row r="47357">
      <c r="B47357" s="31"/>
      <c r="G47357" s="272" t="s">
        <v>1099</v>
      </c>
    </row>
    <row r="47358">
      <c r="B47358" s="31"/>
      <c r="G47358" s="272" t="s">
        <v>1099</v>
      </c>
    </row>
    <row r="47359">
      <c r="B47359" s="31"/>
      <c r="G47359" s="272" t="s">
        <v>1099</v>
      </c>
    </row>
    <row r="47360">
      <c r="B47360" s="31"/>
      <c r="G47360" s="272" t="s">
        <v>1099</v>
      </c>
    </row>
    <row r="47361">
      <c r="B47361" s="31"/>
      <c r="G47361" s="272" t="s">
        <v>1099</v>
      </c>
    </row>
    <row r="47362">
      <c r="B47362" s="31"/>
      <c r="G47362" s="272" t="s">
        <v>1099</v>
      </c>
    </row>
    <row r="47363">
      <c r="B47363" s="31"/>
      <c r="G47363" s="272" t="s">
        <v>1099</v>
      </c>
    </row>
    <row r="47364">
      <c r="B47364" s="31"/>
      <c r="G47364" s="272" t="s">
        <v>1099</v>
      </c>
    </row>
    <row r="47365">
      <c r="B47365" s="31"/>
      <c r="G47365" s="272" t="s">
        <v>1099</v>
      </c>
    </row>
    <row r="47366">
      <c r="B47366" s="31"/>
      <c r="G47366" s="272" t="s">
        <v>1099</v>
      </c>
    </row>
    <row r="47367">
      <c r="B47367" s="31"/>
      <c r="G47367" s="272" t="s">
        <v>1099</v>
      </c>
    </row>
    <row r="47368">
      <c r="B47368" s="31"/>
      <c r="G47368" s="272" t="s">
        <v>1099</v>
      </c>
    </row>
    <row r="47369">
      <c r="B47369" s="31"/>
      <c r="G47369" s="272" t="s">
        <v>1099</v>
      </c>
    </row>
    <row r="47370">
      <c r="B47370" s="31"/>
      <c r="G47370" s="272" t="s">
        <v>1099</v>
      </c>
    </row>
    <row r="47371">
      <c r="B47371" s="31"/>
      <c r="G47371" s="272" t="s">
        <v>1099</v>
      </c>
    </row>
    <row r="47372">
      <c r="B47372" s="31"/>
      <c r="G47372" s="272" t="s">
        <v>1099</v>
      </c>
    </row>
    <row r="47373">
      <c r="B47373" s="31"/>
      <c r="G47373" s="272" t="s">
        <v>1099</v>
      </c>
    </row>
    <row r="47374">
      <c r="B47374" s="31"/>
      <c r="G47374" s="272" t="s">
        <v>1099</v>
      </c>
    </row>
    <row r="47375">
      <c r="B47375" s="31"/>
      <c r="G47375" s="272" t="s">
        <v>1099</v>
      </c>
    </row>
    <row r="47376">
      <c r="B47376" s="31"/>
      <c r="G47376" s="272" t="s">
        <v>1099</v>
      </c>
    </row>
    <row r="47377">
      <c r="B47377" s="31"/>
      <c r="G47377" s="272" t="s">
        <v>1099</v>
      </c>
    </row>
    <row r="47378">
      <c r="B47378" s="31"/>
      <c r="G47378" s="272" t="s">
        <v>1099</v>
      </c>
    </row>
    <row r="47379">
      <c r="B47379" s="31"/>
      <c r="G47379" s="272" t="s">
        <v>1099</v>
      </c>
    </row>
    <row r="47380">
      <c r="B47380" s="31"/>
      <c r="G47380" s="272" t="s">
        <v>1099</v>
      </c>
    </row>
    <row r="47381">
      <c r="B47381" s="31"/>
      <c r="G47381" s="272" t="s">
        <v>1099</v>
      </c>
    </row>
    <row r="47382">
      <c r="B47382" s="31"/>
      <c r="G47382" s="272" t="s">
        <v>1099</v>
      </c>
    </row>
    <row r="47383">
      <c r="B47383" s="31"/>
      <c r="G47383" s="272" t="s">
        <v>1099</v>
      </c>
    </row>
    <row r="47384">
      <c r="B47384" s="31"/>
      <c r="G47384" s="272" t="s">
        <v>1099</v>
      </c>
    </row>
    <row r="47385">
      <c r="B47385" s="31"/>
      <c r="G47385" s="272" t="s">
        <v>1099</v>
      </c>
    </row>
    <row r="47386">
      <c r="B47386" s="31"/>
      <c r="G47386" s="272" t="s">
        <v>1099</v>
      </c>
    </row>
    <row r="47387">
      <c r="B47387" s="31"/>
      <c r="G47387" s="272" t="s">
        <v>1099</v>
      </c>
    </row>
    <row r="47388">
      <c r="B47388" s="31"/>
      <c r="G47388" s="272" t="s">
        <v>1099</v>
      </c>
    </row>
    <row r="47389">
      <c r="B47389" s="31"/>
      <c r="G47389" s="272" t="s">
        <v>1099</v>
      </c>
    </row>
    <row r="47390">
      <c r="B47390" s="31"/>
      <c r="G47390" s="272" t="s">
        <v>1099</v>
      </c>
    </row>
    <row r="47391">
      <c r="B47391" s="31"/>
      <c r="G47391" s="272" t="s">
        <v>1099</v>
      </c>
    </row>
    <row r="47392">
      <c r="B47392" s="31"/>
      <c r="G47392" s="272" t="s">
        <v>1099</v>
      </c>
    </row>
    <row r="47393">
      <c r="B47393" s="31"/>
      <c r="G47393" s="272" t="s">
        <v>1099</v>
      </c>
    </row>
    <row r="47394">
      <c r="B47394" s="31"/>
      <c r="G47394" s="272" t="s">
        <v>1099</v>
      </c>
    </row>
    <row r="47395">
      <c r="B47395" s="31"/>
      <c r="G47395" s="272" t="s">
        <v>1099</v>
      </c>
    </row>
    <row r="47396">
      <c r="B47396" s="31"/>
      <c r="G47396" s="272" t="s">
        <v>1099</v>
      </c>
    </row>
    <row r="47397">
      <c r="B47397" s="31"/>
      <c r="G47397" s="272" t="s">
        <v>1099</v>
      </c>
    </row>
    <row r="47398">
      <c r="B47398" s="31"/>
      <c r="G47398" s="272" t="s">
        <v>1099</v>
      </c>
    </row>
    <row r="47399">
      <c r="B47399" s="31"/>
      <c r="G47399" s="272" t="s">
        <v>1099</v>
      </c>
    </row>
    <row r="47400">
      <c r="B47400" s="31"/>
      <c r="G47400" s="272" t="s">
        <v>1099</v>
      </c>
    </row>
    <row r="47401">
      <c r="B47401" s="31"/>
      <c r="G47401" s="272" t="s">
        <v>1099</v>
      </c>
    </row>
    <row r="47402">
      <c r="B47402" s="31"/>
      <c r="G47402" s="272" t="s">
        <v>1099</v>
      </c>
    </row>
    <row r="47403">
      <c r="B47403" s="31"/>
      <c r="G47403" s="272" t="s">
        <v>1099</v>
      </c>
    </row>
    <row r="47404">
      <c r="B47404" s="31"/>
      <c r="G47404" s="272" t="s">
        <v>1099</v>
      </c>
    </row>
    <row r="47405">
      <c r="B47405" s="31"/>
      <c r="G47405" s="272" t="s">
        <v>1099</v>
      </c>
    </row>
    <row r="47406">
      <c r="B47406" s="31"/>
      <c r="G47406" s="272" t="s">
        <v>1099</v>
      </c>
    </row>
    <row r="47407">
      <c r="B47407" s="31"/>
      <c r="G47407" s="272" t="s">
        <v>1099</v>
      </c>
    </row>
    <row r="47408">
      <c r="B47408" s="31"/>
      <c r="G47408" s="272" t="s">
        <v>1099</v>
      </c>
    </row>
    <row r="47409">
      <c r="B47409" s="31"/>
      <c r="G47409" s="272" t="s">
        <v>1099</v>
      </c>
    </row>
    <row r="47410">
      <c r="B47410" s="31"/>
      <c r="G47410" s="272" t="s">
        <v>1099</v>
      </c>
    </row>
    <row r="47411">
      <c r="B47411" s="31"/>
      <c r="G47411" s="272" t="s">
        <v>1099</v>
      </c>
    </row>
    <row r="47412">
      <c r="B47412" s="31"/>
      <c r="G47412" s="272" t="s">
        <v>1099</v>
      </c>
    </row>
    <row r="47413">
      <c r="B47413" s="31"/>
      <c r="G47413" s="272" t="s">
        <v>1099</v>
      </c>
    </row>
    <row r="47414">
      <c r="B47414" s="31"/>
      <c r="G47414" s="272" t="s">
        <v>1099</v>
      </c>
    </row>
    <row r="47415">
      <c r="B47415" s="31"/>
      <c r="G47415" s="272" t="s">
        <v>1099</v>
      </c>
    </row>
    <row r="47416">
      <c r="B47416" s="31"/>
      <c r="G47416" s="272" t="s">
        <v>1099</v>
      </c>
    </row>
    <row r="47417">
      <c r="B47417" s="31"/>
      <c r="G47417" s="272" t="s">
        <v>1099</v>
      </c>
    </row>
    <row r="47418">
      <c r="B47418" s="31"/>
      <c r="G47418" s="272" t="s">
        <v>1099</v>
      </c>
    </row>
    <row r="47419">
      <c r="B47419" s="31"/>
      <c r="G47419" s="272" t="s">
        <v>1099</v>
      </c>
    </row>
    <row r="47420">
      <c r="B47420" s="31"/>
      <c r="G47420" s="272" t="s">
        <v>1099</v>
      </c>
    </row>
    <row r="47421">
      <c r="B47421" s="31"/>
      <c r="G47421" s="272" t="s">
        <v>1099</v>
      </c>
    </row>
    <row r="47422">
      <c r="B47422" s="31"/>
      <c r="G47422" s="272" t="s">
        <v>1099</v>
      </c>
    </row>
    <row r="47423">
      <c r="B47423" s="31"/>
      <c r="G47423" s="272" t="s">
        <v>1099</v>
      </c>
    </row>
    <row r="47424">
      <c r="B47424" s="31"/>
      <c r="G47424" s="272" t="s">
        <v>1099</v>
      </c>
    </row>
    <row r="47425">
      <c r="B47425" s="31"/>
      <c r="G47425" s="272" t="s">
        <v>1099</v>
      </c>
    </row>
    <row r="47426">
      <c r="B47426" s="31"/>
      <c r="G47426" s="272" t="s">
        <v>1099</v>
      </c>
    </row>
    <row r="47427">
      <c r="B47427" s="31"/>
      <c r="G47427" s="272" t="s">
        <v>1099</v>
      </c>
    </row>
    <row r="47428">
      <c r="B47428" s="31"/>
      <c r="G47428" s="272" t="s">
        <v>1099</v>
      </c>
    </row>
    <row r="47429">
      <c r="B47429" s="31"/>
      <c r="G47429" s="272" t="s">
        <v>1099</v>
      </c>
    </row>
    <row r="47430">
      <c r="B47430" s="31"/>
      <c r="G47430" s="272" t="s">
        <v>1099</v>
      </c>
    </row>
    <row r="47431">
      <c r="B47431" s="31"/>
      <c r="G47431" s="272" t="s">
        <v>1099</v>
      </c>
    </row>
    <row r="47432">
      <c r="B47432" s="31"/>
      <c r="G47432" s="272" t="s">
        <v>1099</v>
      </c>
    </row>
    <row r="47433">
      <c r="B47433" s="31"/>
      <c r="G47433" s="272" t="s">
        <v>1099</v>
      </c>
    </row>
    <row r="47434">
      <c r="B47434" s="31"/>
      <c r="G47434" s="272" t="s">
        <v>1099</v>
      </c>
    </row>
    <row r="47435">
      <c r="B47435" s="31"/>
      <c r="G47435" s="272" t="s">
        <v>1099</v>
      </c>
    </row>
    <row r="47436">
      <c r="B47436" s="31"/>
      <c r="G47436" s="272" t="s">
        <v>1099</v>
      </c>
    </row>
    <row r="47437">
      <c r="B47437" s="31"/>
      <c r="G47437" s="272" t="s">
        <v>1099</v>
      </c>
    </row>
    <row r="47438">
      <c r="B47438" s="31"/>
      <c r="G47438" s="272" t="s">
        <v>1099</v>
      </c>
    </row>
    <row r="47439">
      <c r="B47439" s="31"/>
      <c r="G47439" s="272" t="s">
        <v>1099</v>
      </c>
    </row>
    <row r="47440">
      <c r="B47440" s="31"/>
      <c r="G47440" s="272" t="s">
        <v>1099</v>
      </c>
    </row>
    <row r="47441">
      <c r="B47441" s="31"/>
      <c r="G47441" s="272" t="s">
        <v>1099</v>
      </c>
    </row>
    <row r="47442">
      <c r="B47442" s="31"/>
      <c r="G47442" s="272" t="s">
        <v>1099</v>
      </c>
    </row>
    <row r="47443">
      <c r="B47443" s="31"/>
      <c r="G47443" s="272" t="s">
        <v>1099</v>
      </c>
    </row>
    <row r="47444">
      <c r="B47444" s="31"/>
      <c r="G47444" s="272" t="s">
        <v>1099</v>
      </c>
    </row>
    <row r="47445">
      <c r="B47445" s="31"/>
      <c r="G47445" s="272" t="s">
        <v>1099</v>
      </c>
    </row>
    <row r="47446">
      <c r="B47446" s="31"/>
      <c r="G47446" s="272" t="s">
        <v>1099</v>
      </c>
    </row>
    <row r="47447">
      <c r="B47447" s="31"/>
      <c r="G47447" s="272" t="s">
        <v>1099</v>
      </c>
    </row>
    <row r="47448">
      <c r="B47448" s="31"/>
      <c r="G47448" s="272" t="s">
        <v>1099</v>
      </c>
    </row>
    <row r="47449">
      <c r="B47449" s="31"/>
      <c r="G47449" s="272" t="s">
        <v>1099</v>
      </c>
    </row>
    <row r="47450">
      <c r="B47450" s="31"/>
      <c r="G47450" s="272" t="s">
        <v>1099</v>
      </c>
    </row>
    <row r="47451">
      <c r="B47451" s="31"/>
      <c r="G47451" s="272" t="s">
        <v>1099</v>
      </c>
    </row>
    <row r="47452">
      <c r="B47452" s="31"/>
      <c r="G47452" s="272" t="s">
        <v>1099</v>
      </c>
    </row>
    <row r="47453">
      <c r="B47453" s="31"/>
      <c r="G47453" s="272" t="s">
        <v>1099</v>
      </c>
    </row>
    <row r="47454">
      <c r="B47454" s="31"/>
      <c r="G47454" s="272" t="s">
        <v>1099</v>
      </c>
    </row>
    <row r="47455">
      <c r="B47455" s="31"/>
      <c r="G47455" s="272" t="s">
        <v>1099</v>
      </c>
    </row>
    <row r="47456">
      <c r="B47456" s="31"/>
      <c r="G47456" s="272" t="s">
        <v>1099</v>
      </c>
    </row>
    <row r="47457">
      <c r="B47457" s="31"/>
      <c r="G47457" s="272" t="s">
        <v>1099</v>
      </c>
    </row>
    <row r="47458">
      <c r="B47458" s="31"/>
      <c r="G47458" s="272" t="s">
        <v>1099</v>
      </c>
    </row>
    <row r="47459">
      <c r="B47459" s="31"/>
      <c r="G47459" s="272" t="s">
        <v>1099</v>
      </c>
    </row>
    <row r="47460">
      <c r="B47460" s="31"/>
      <c r="G47460" s="272" t="s">
        <v>1099</v>
      </c>
    </row>
    <row r="47461">
      <c r="B47461" s="31"/>
      <c r="G47461" s="272" t="s">
        <v>1099</v>
      </c>
    </row>
    <row r="47462">
      <c r="B47462" s="31"/>
      <c r="G47462" s="272" t="s">
        <v>1099</v>
      </c>
    </row>
    <row r="47463">
      <c r="B47463" s="31"/>
      <c r="G47463" s="272" t="s">
        <v>1099</v>
      </c>
    </row>
    <row r="47464">
      <c r="B47464" s="31"/>
      <c r="G47464" s="272" t="s">
        <v>1099</v>
      </c>
    </row>
    <row r="47465">
      <c r="B47465" s="31"/>
      <c r="G47465" s="272" t="s">
        <v>1099</v>
      </c>
    </row>
    <row r="47466">
      <c r="B47466" s="31"/>
      <c r="G47466" s="272" t="s">
        <v>1099</v>
      </c>
    </row>
    <row r="47467">
      <c r="B47467" s="31"/>
      <c r="G47467" s="272" t="s">
        <v>1099</v>
      </c>
    </row>
    <row r="47468">
      <c r="B47468" s="31"/>
      <c r="G47468" s="272" t="s">
        <v>1099</v>
      </c>
    </row>
    <row r="47469">
      <c r="B47469" s="31"/>
      <c r="G47469" s="272" t="s">
        <v>1099</v>
      </c>
    </row>
    <row r="47470">
      <c r="B47470" s="31"/>
      <c r="G47470" s="272" t="s">
        <v>1099</v>
      </c>
    </row>
    <row r="47471">
      <c r="B47471" s="31"/>
      <c r="G47471" s="272" t="s">
        <v>1099</v>
      </c>
    </row>
    <row r="47472">
      <c r="B47472" s="31"/>
      <c r="G47472" s="272" t="s">
        <v>1099</v>
      </c>
    </row>
    <row r="47473">
      <c r="B47473" s="31"/>
      <c r="G47473" s="272" t="s">
        <v>1099</v>
      </c>
    </row>
    <row r="47474">
      <c r="B47474" s="31"/>
      <c r="G47474" s="272" t="s">
        <v>1099</v>
      </c>
    </row>
    <row r="47475">
      <c r="B47475" s="31"/>
      <c r="G47475" s="272" t="s">
        <v>1099</v>
      </c>
    </row>
    <row r="47476">
      <c r="B47476" s="31"/>
      <c r="G47476" s="272" t="s">
        <v>1099</v>
      </c>
    </row>
    <row r="47477">
      <c r="B47477" s="31"/>
      <c r="G47477" s="272" t="s">
        <v>1099</v>
      </c>
    </row>
    <row r="47478">
      <c r="B47478" s="31"/>
      <c r="G47478" s="272" t="s">
        <v>1099</v>
      </c>
    </row>
    <row r="47479">
      <c r="B47479" s="31"/>
      <c r="G47479" s="272" t="s">
        <v>1099</v>
      </c>
    </row>
    <row r="47480">
      <c r="B47480" s="31"/>
      <c r="G47480" s="272" t="s">
        <v>1099</v>
      </c>
    </row>
    <row r="47481">
      <c r="B47481" s="31"/>
      <c r="G47481" s="272" t="s">
        <v>1099</v>
      </c>
    </row>
    <row r="47482">
      <c r="B47482" s="31"/>
      <c r="G47482" s="272" t="s">
        <v>1099</v>
      </c>
    </row>
    <row r="47483">
      <c r="B47483" s="31"/>
      <c r="G47483" s="272" t="s">
        <v>1099</v>
      </c>
    </row>
    <row r="47484">
      <c r="B47484" s="31"/>
      <c r="G47484" s="272" t="s">
        <v>1099</v>
      </c>
    </row>
    <row r="47485">
      <c r="B47485" s="31"/>
      <c r="G47485" s="272" t="s">
        <v>1099</v>
      </c>
    </row>
    <row r="47486">
      <c r="B47486" s="31"/>
      <c r="G47486" s="272" t="s">
        <v>1099</v>
      </c>
    </row>
    <row r="47487">
      <c r="B47487" s="31"/>
      <c r="G47487" s="272" t="s">
        <v>1099</v>
      </c>
    </row>
    <row r="47488">
      <c r="B47488" s="31"/>
      <c r="G47488" s="272" t="s">
        <v>1099</v>
      </c>
    </row>
    <row r="47489">
      <c r="B47489" s="31"/>
      <c r="G47489" s="272" t="s">
        <v>1099</v>
      </c>
    </row>
    <row r="47490">
      <c r="B47490" s="31"/>
      <c r="G47490" s="272" t="s">
        <v>1099</v>
      </c>
    </row>
    <row r="47491">
      <c r="B47491" s="31"/>
      <c r="G47491" s="272" t="s">
        <v>1099</v>
      </c>
    </row>
    <row r="47492">
      <c r="B47492" s="31"/>
      <c r="G47492" s="272" t="s">
        <v>1099</v>
      </c>
    </row>
    <row r="47493">
      <c r="B47493" s="31"/>
      <c r="G47493" s="272" t="s">
        <v>1099</v>
      </c>
    </row>
    <row r="47494">
      <c r="B47494" s="31"/>
      <c r="G47494" s="272" t="s">
        <v>1099</v>
      </c>
    </row>
    <row r="47495">
      <c r="B47495" s="31"/>
      <c r="G47495" s="272" t="s">
        <v>1099</v>
      </c>
    </row>
    <row r="47496">
      <c r="B47496" s="31"/>
      <c r="G47496" s="272" t="s">
        <v>1099</v>
      </c>
    </row>
    <row r="47497">
      <c r="B47497" s="31"/>
      <c r="G47497" s="272" t="s">
        <v>1099</v>
      </c>
    </row>
    <row r="47498">
      <c r="B47498" s="31"/>
      <c r="G47498" s="272" t="s">
        <v>1099</v>
      </c>
    </row>
    <row r="47499">
      <c r="B47499" s="31"/>
      <c r="G47499" s="272" t="s">
        <v>1099</v>
      </c>
    </row>
    <row r="47500">
      <c r="B47500" s="31"/>
      <c r="G47500" s="272" t="s">
        <v>1099</v>
      </c>
    </row>
    <row r="47501">
      <c r="B47501" s="31"/>
      <c r="G47501" s="272" t="s">
        <v>1099</v>
      </c>
    </row>
    <row r="47502">
      <c r="B47502" s="31"/>
      <c r="G47502" s="272" t="s">
        <v>1099</v>
      </c>
    </row>
    <row r="47503">
      <c r="B47503" s="31"/>
      <c r="G47503" s="272" t="s">
        <v>1099</v>
      </c>
    </row>
    <row r="47504">
      <c r="B47504" s="31"/>
      <c r="G47504" s="272" t="s">
        <v>1099</v>
      </c>
    </row>
    <row r="47505">
      <c r="B47505" s="31"/>
      <c r="G47505" s="272" t="s">
        <v>1099</v>
      </c>
    </row>
    <row r="47506">
      <c r="B47506" s="31"/>
      <c r="G47506" s="272" t="s">
        <v>1099</v>
      </c>
    </row>
    <row r="47507">
      <c r="B47507" s="31"/>
      <c r="G47507" s="272" t="s">
        <v>1099</v>
      </c>
    </row>
    <row r="47508">
      <c r="B47508" s="31"/>
      <c r="G47508" s="272" t="s">
        <v>1099</v>
      </c>
    </row>
    <row r="47509">
      <c r="B47509" s="31"/>
      <c r="G47509" s="272" t="s">
        <v>1099</v>
      </c>
    </row>
    <row r="47510">
      <c r="B47510" s="31"/>
      <c r="G47510" s="272" t="s">
        <v>1099</v>
      </c>
    </row>
    <row r="47511">
      <c r="B47511" s="31"/>
      <c r="G47511" s="272" t="s">
        <v>1099</v>
      </c>
    </row>
    <row r="47512">
      <c r="B47512" s="31"/>
      <c r="G47512" s="272" t="s">
        <v>1099</v>
      </c>
    </row>
    <row r="47513">
      <c r="B47513" s="31"/>
      <c r="G47513" s="272" t="s">
        <v>1099</v>
      </c>
    </row>
    <row r="47514">
      <c r="B47514" s="31"/>
      <c r="G47514" s="272" t="s">
        <v>1099</v>
      </c>
    </row>
    <row r="47515">
      <c r="B47515" s="31"/>
      <c r="G47515" s="272" t="s">
        <v>1099</v>
      </c>
    </row>
    <row r="47516">
      <c r="B47516" s="31"/>
      <c r="G47516" s="272" t="s">
        <v>1099</v>
      </c>
    </row>
    <row r="47517">
      <c r="B47517" s="31"/>
      <c r="G47517" s="272" t="s">
        <v>1099</v>
      </c>
    </row>
    <row r="47518">
      <c r="B47518" s="31"/>
      <c r="G47518" s="272" t="s">
        <v>1099</v>
      </c>
    </row>
    <row r="47519">
      <c r="B47519" s="31"/>
      <c r="G47519" s="272" t="s">
        <v>1099</v>
      </c>
    </row>
    <row r="47520">
      <c r="B47520" s="31"/>
      <c r="G47520" s="272" t="s">
        <v>1099</v>
      </c>
    </row>
    <row r="47521">
      <c r="B47521" s="31"/>
      <c r="G47521" s="272" t="s">
        <v>1099</v>
      </c>
    </row>
    <row r="47522">
      <c r="B47522" s="31"/>
      <c r="G47522" s="272" t="s">
        <v>1099</v>
      </c>
    </row>
    <row r="47523">
      <c r="B47523" s="31"/>
      <c r="G47523" s="272" t="s">
        <v>1099</v>
      </c>
    </row>
    <row r="47524">
      <c r="B47524" s="31"/>
      <c r="G47524" s="272" t="s">
        <v>1099</v>
      </c>
    </row>
    <row r="47525">
      <c r="B47525" s="31"/>
      <c r="G47525" s="272" t="s">
        <v>1099</v>
      </c>
    </row>
    <row r="47526">
      <c r="B47526" s="31"/>
      <c r="G47526" s="272" t="s">
        <v>1099</v>
      </c>
    </row>
    <row r="47527">
      <c r="B47527" s="31"/>
      <c r="G47527" s="272" t="s">
        <v>1099</v>
      </c>
    </row>
    <row r="47528">
      <c r="B47528" s="31"/>
      <c r="G47528" s="272" t="s">
        <v>1099</v>
      </c>
    </row>
    <row r="47529">
      <c r="B47529" s="31"/>
      <c r="G47529" s="272" t="s">
        <v>1099</v>
      </c>
    </row>
    <row r="47530">
      <c r="B47530" s="31"/>
      <c r="G47530" s="272" t="s">
        <v>1099</v>
      </c>
    </row>
    <row r="47531">
      <c r="B47531" s="31"/>
      <c r="G47531" s="272" t="s">
        <v>1099</v>
      </c>
    </row>
    <row r="47532">
      <c r="B47532" s="31"/>
      <c r="G47532" s="272" t="s">
        <v>1099</v>
      </c>
    </row>
    <row r="47533">
      <c r="B47533" s="31"/>
      <c r="G47533" s="272" t="s">
        <v>1099</v>
      </c>
    </row>
    <row r="47534">
      <c r="B47534" s="31"/>
      <c r="G47534" s="272" t="s">
        <v>1099</v>
      </c>
    </row>
    <row r="47535">
      <c r="B47535" s="31"/>
      <c r="G47535" s="272" t="s">
        <v>1099</v>
      </c>
    </row>
    <row r="47536">
      <c r="B47536" s="31"/>
      <c r="G47536" s="272" t="s">
        <v>1099</v>
      </c>
    </row>
    <row r="47537">
      <c r="B47537" s="31"/>
      <c r="G47537" s="272" t="s">
        <v>1099</v>
      </c>
    </row>
    <row r="47538">
      <c r="B47538" s="31"/>
      <c r="G47538" s="272" t="s">
        <v>1099</v>
      </c>
    </row>
    <row r="47539">
      <c r="B47539" s="31"/>
      <c r="G47539" s="272" t="s">
        <v>1099</v>
      </c>
    </row>
    <row r="47540">
      <c r="B47540" s="31"/>
      <c r="G47540" s="272" t="s">
        <v>1099</v>
      </c>
    </row>
    <row r="47541">
      <c r="B47541" s="31"/>
      <c r="G47541" s="272" t="s">
        <v>1099</v>
      </c>
    </row>
    <row r="47542">
      <c r="B47542" s="31"/>
      <c r="G47542" s="272" t="s">
        <v>1099</v>
      </c>
    </row>
    <row r="47543">
      <c r="B47543" s="31"/>
      <c r="G47543" s="272" t="s">
        <v>1099</v>
      </c>
    </row>
    <row r="47544">
      <c r="B47544" s="31"/>
      <c r="G47544" s="272" t="s">
        <v>1099</v>
      </c>
    </row>
    <row r="47545">
      <c r="B47545" s="31"/>
      <c r="G47545" s="272" t="s">
        <v>1099</v>
      </c>
    </row>
    <row r="47546">
      <c r="B47546" s="31"/>
      <c r="G47546" s="272" t="s">
        <v>1099</v>
      </c>
    </row>
    <row r="47547">
      <c r="B47547" s="31"/>
      <c r="G47547" s="272" t="s">
        <v>1099</v>
      </c>
    </row>
    <row r="47548">
      <c r="B47548" s="31"/>
      <c r="G47548" s="272" t="s">
        <v>1099</v>
      </c>
    </row>
    <row r="47549">
      <c r="B47549" s="31"/>
      <c r="G47549" s="272" t="s">
        <v>1099</v>
      </c>
    </row>
    <row r="47550">
      <c r="B47550" s="31"/>
      <c r="G47550" s="272" t="s">
        <v>1099</v>
      </c>
    </row>
    <row r="47551">
      <c r="B47551" s="31"/>
      <c r="G47551" s="272" t="s">
        <v>1099</v>
      </c>
    </row>
    <row r="47552">
      <c r="B47552" s="31"/>
      <c r="G47552" s="272" t="s">
        <v>1099</v>
      </c>
    </row>
    <row r="47553">
      <c r="B47553" s="31"/>
      <c r="G47553" s="272" t="s">
        <v>1099</v>
      </c>
    </row>
    <row r="47554">
      <c r="B47554" s="31"/>
      <c r="G47554" s="272" t="s">
        <v>1099</v>
      </c>
    </row>
    <row r="47555">
      <c r="B47555" s="31"/>
      <c r="G47555" s="272" t="s">
        <v>1099</v>
      </c>
    </row>
    <row r="47556">
      <c r="B47556" s="31"/>
      <c r="G47556" s="272" t="s">
        <v>1099</v>
      </c>
    </row>
    <row r="47557">
      <c r="B47557" s="31"/>
      <c r="G47557" s="272" t="s">
        <v>1099</v>
      </c>
    </row>
    <row r="47558">
      <c r="B47558" s="31"/>
      <c r="G47558" s="272" t="s">
        <v>1099</v>
      </c>
    </row>
    <row r="47559">
      <c r="B47559" s="31"/>
      <c r="G47559" s="272" t="s">
        <v>1099</v>
      </c>
    </row>
    <row r="47560">
      <c r="B47560" s="31"/>
      <c r="G47560" s="272" t="s">
        <v>1099</v>
      </c>
    </row>
    <row r="47561">
      <c r="B47561" s="31"/>
      <c r="G47561" s="272" t="s">
        <v>1099</v>
      </c>
    </row>
    <row r="47562">
      <c r="B47562" s="31"/>
      <c r="G47562" s="272" t="s">
        <v>1099</v>
      </c>
    </row>
    <row r="47563">
      <c r="B47563" s="31"/>
      <c r="G47563" s="272" t="s">
        <v>1099</v>
      </c>
    </row>
    <row r="47564">
      <c r="B47564" s="31"/>
      <c r="G47564" s="272" t="s">
        <v>1099</v>
      </c>
    </row>
    <row r="47565">
      <c r="B47565" s="31"/>
      <c r="G47565" s="272" t="s">
        <v>1099</v>
      </c>
    </row>
    <row r="47566">
      <c r="B47566" s="31"/>
      <c r="G47566" s="272" t="s">
        <v>1099</v>
      </c>
    </row>
    <row r="47567">
      <c r="B47567" s="31"/>
      <c r="G47567" s="272" t="s">
        <v>1099</v>
      </c>
    </row>
    <row r="47568">
      <c r="B47568" s="31"/>
      <c r="G47568" s="272" t="s">
        <v>1099</v>
      </c>
    </row>
    <row r="47569">
      <c r="B47569" s="31"/>
      <c r="G47569" s="272" t="s">
        <v>1099</v>
      </c>
    </row>
    <row r="47570">
      <c r="B47570" s="31"/>
      <c r="G47570" s="272" t="s">
        <v>1099</v>
      </c>
    </row>
    <row r="47571">
      <c r="B47571" s="31"/>
      <c r="G47571" s="272" t="s">
        <v>1099</v>
      </c>
    </row>
    <row r="47572">
      <c r="B47572" s="31"/>
      <c r="G47572" s="272" t="s">
        <v>1099</v>
      </c>
    </row>
    <row r="47573">
      <c r="B47573" s="31"/>
      <c r="G47573" s="272" t="s">
        <v>1099</v>
      </c>
    </row>
    <row r="47574">
      <c r="B47574" s="31"/>
      <c r="G47574" s="272" t="s">
        <v>1099</v>
      </c>
    </row>
    <row r="47575">
      <c r="B47575" s="31"/>
      <c r="G47575" s="272" t="s">
        <v>1099</v>
      </c>
    </row>
    <row r="47576">
      <c r="B47576" s="31"/>
      <c r="G47576" s="272" t="s">
        <v>1099</v>
      </c>
    </row>
    <row r="47577">
      <c r="B47577" s="31"/>
      <c r="G47577" s="272" t="s">
        <v>1099</v>
      </c>
    </row>
    <row r="47578">
      <c r="B47578" s="31"/>
      <c r="G47578" s="272" t="s">
        <v>1099</v>
      </c>
    </row>
    <row r="47579">
      <c r="B47579" s="31"/>
      <c r="G47579" s="272" t="s">
        <v>1099</v>
      </c>
    </row>
    <row r="47580">
      <c r="B47580" s="31"/>
      <c r="G47580" s="272" t="s">
        <v>1099</v>
      </c>
    </row>
    <row r="47581">
      <c r="B47581" s="31"/>
      <c r="G47581" s="272" t="s">
        <v>1099</v>
      </c>
    </row>
    <row r="47582">
      <c r="B47582" s="31"/>
      <c r="G47582" s="272" t="s">
        <v>1099</v>
      </c>
    </row>
    <row r="47583">
      <c r="B47583" s="31"/>
      <c r="G47583" s="272" t="s">
        <v>1099</v>
      </c>
    </row>
    <row r="47584">
      <c r="B47584" s="31"/>
      <c r="G47584" s="272" t="s">
        <v>1099</v>
      </c>
    </row>
    <row r="47585">
      <c r="B47585" s="31"/>
      <c r="G47585" s="272" t="s">
        <v>1099</v>
      </c>
    </row>
    <row r="47586">
      <c r="B47586" s="31"/>
      <c r="G47586" s="272" t="s">
        <v>1099</v>
      </c>
    </row>
    <row r="47587">
      <c r="B47587" s="31"/>
      <c r="G47587" s="272" t="s">
        <v>1099</v>
      </c>
    </row>
    <row r="47588">
      <c r="B47588" s="31"/>
      <c r="G47588" s="272" t="s">
        <v>1099</v>
      </c>
    </row>
    <row r="47589">
      <c r="B47589" s="31"/>
      <c r="G47589" s="272" t="s">
        <v>1099</v>
      </c>
    </row>
    <row r="47590">
      <c r="B47590" s="31"/>
      <c r="G47590" s="272" t="s">
        <v>1099</v>
      </c>
    </row>
    <row r="47591">
      <c r="B47591" s="31"/>
      <c r="G47591" s="272" t="s">
        <v>1099</v>
      </c>
    </row>
    <row r="47592">
      <c r="B47592" s="31"/>
      <c r="G47592" s="272" t="s">
        <v>1099</v>
      </c>
    </row>
    <row r="47593">
      <c r="B47593" s="31"/>
      <c r="G47593" s="272" t="s">
        <v>1099</v>
      </c>
    </row>
    <row r="47594">
      <c r="B47594" s="31"/>
      <c r="G47594" s="272" t="s">
        <v>1099</v>
      </c>
    </row>
    <row r="47595">
      <c r="B47595" s="31"/>
      <c r="G47595" s="272" t="s">
        <v>1099</v>
      </c>
    </row>
    <row r="47596">
      <c r="B47596" s="31"/>
      <c r="G47596" s="272" t="s">
        <v>1099</v>
      </c>
    </row>
    <row r="47597">
      <c r="B47597" s="31"/>
      <c r="G47597" s="272" t="s">
        <v>1099</v>
      </c>
    </row>
    <row r="47598">
      <c r="B47598" s="31"/>
      <c r="G47598" s="272" t="s">
        <v>1099</v>
      </c>
    </row>
    <row r="47599">
      <c r="B47599" s="31"/>
      <c r="G47599" s="272" t="s">
        <v>1099</v>
      </c>
    </row>
    <row r="47600">
      <c r="B47600" s="31"/>
      <c r="G47600" s="272" t="s">
        <v>1099</v>
      </c>
    </row>
    <row r="47601">
      <c r="B47601" s="31"/>
      <c r="G47601" s="272" t="s">
        <v>1099</v>
      </c>
    </row>
    <row r="47602">
      <c r="B47602" s="31"/>
      <c r="G47602" s="272" t="s">
        <v>1099</v>
      </c>
    </row>
    <row r="47603">
      <c r="B47603" s="31"/>
      <c r="G47603" s="272" t="s">
        <v>1099</v>
      </c>
    </row>
    <row r="47604">
      <c r="B47604" s="31"/>
      <c r="G47604" s="272" t="s">
        <v>1099</v>
      </c>
    </row>
    <row r="47605">
      <c r="B47605" s="31"/>
      <c r="G47605" s="272" t="s">
        <v>1099</v>
      </c>
    </row>
    <row r="47606">
      <c r="B47606" s="31"/>
      <c r="G47606" s="272" t="s">
        <v>1099</v>
      </c>
    </row>
    <row r="47607">
      <c r="B47607" s="31"/>
      <c r="G47607" s="272" t="s">
        <v>1099</v>
      </c>
    </row>
    <row r="47608">
      <c r="B47608" s="31"/>
      <c r="G47608" s="272" t="s">
        <v>1099</v>
      </c>
    </row>
    <row r="47609">
      <c r="B47609" s="31"/>
      <c r="G47609" s="272" t="s">
        <v>1099</v>
      </c>
    </row>
    <row r="47610">
      <c r="B47610" s="31"/>
      <c r="G47610" s="272" t="s">
        <v>1099</v>
      </c>
    </row>
    <row r="47611">
      <c r="B47611" s="31"/>
      <c r="G47611" s="272" t="s">
        <v>1099</v>
      </c>
    </row>
    <row r="47612">
      <c r="B47612" s="31"/>
      <c r="G47612" s="272" t="s">
        <v>1099</v>
      </c>
    </row>
    <row r="47613">
      <c r="B47613" s="31"/>
      <c r="G47613" s="272" t="s">
        <v>1099</v>
      </c>
    </row>
    <row r="47614">
      <c r="B47614" s="31"/>
      <c r="G47614" s="272" t="s">
        <v>1099</v>
      </c>
    </row>
    <row r="47615">
      <c r="B47615" s="31"/>
      <c r="G47615" s="272" t="s">
        <v>1099</v>
      </c>
    </row>
    <row r="47616">
      <c r="B47616" s="31"/>
      <c r="G47616" s="272" t="s">
        <v>1099</v>
      </c>
    </row>
    <row r="47617">
      <c r="B47617" s="31"/>
      <c r="G47617" s="272" t="s">
        <v>1099</v>
      </c>
    </row>
    <row r="47618">
      <c r="B47618" s="31"/>
      <c r="G47618" s="272" t="s">
        <v>1099</v>
      </c>
    </row>
    <row r="47619">
      <c r="B47619" s="31"/>
      <c r="G47619" s="272" t="s">
        <v>1099</v>
      </c>
    </row>
    <row r="47620">
      <c r="B47620" s="31"/>
      <c r="G47620" s="272" t="s">
        <v>1099</v>
      </c>
    </row>
    <row r="47621">
      <c r="B47621" s="31"/>
      <c r="G47621" s="272" t="s">
        <v>1099</v>
      </c>
    </row>
    <row r="47622">
      <c r="B47622" s="31"/>
      <c r="G47622" s="272" t="s">
        <v>1099</v>
      </c>
    </row>
    <row r="47623">
      <c r="B47623" s="31"/>
      <c r="G47623" s="272" t="s">
        <v>1099</v>
      </c>
    </row>
    <row r="47624">
      <c r="B47624" s="31"/>
      <c r="G47624" s="272" t="s">
        <v>1099</v>
      </c>
    </row>
    <row r="47625">
      <c r="B47625" s="31"/>
      <c r="G47625" s="272" t="s">
        <v>1099</v>
      </c>
    </row>
    <row r="47626">
      <c r="B47626" s="31"/>
      <c r="G47626" s="272" t="s">
        <v>1099</v>
      </c>
    </row>
    <row r="47627">
      <c r="B47627" s="31"/>
      <c r="G47627" s="272" t="s">
        <v>1099</v>
      </c>
    </row>
    <row r="47628">
      <c r="B47628" s="31"/>
      <c r="G47628" s="272" t="s">
        <v>1099</v>
      </c>
    </row>
    <row r="47629">
      <c r="B47629" s="31"/>
      <c r="G47629" s="272" t="s">
        <v>1099</v>
      </c>
    </row>
    <row r="47630">
      <c r="B47630" s="31"/>
      <c r="G47630" s="272" t="s">
        <v>1099</v>
      </c>
    </row>
    <row r="47631">
      <c r="B47631" s="31"/>
      <c r="G47631" s="272" t="s">
        <v>1099</v>
      </c>
    </row>
    <row r="47632">
      <c r="B47632" s="31"/>
      <c r="G47632" s="272" t="s">
        <v>1099</v>
      </c>
    </row>
    <row r="47633">
      <c r="B47633" s="31"/>
      <c r="G47633" s="272" t="s">
        <v>1099</v>
      </c>
    </row>
    <row r="47634">
      <c r="B47634" s="31"/>
      <c r="G47634" s="272" t="s">
        <v>1099</v>
      </c>
    </row>
    <row r="47635">
      <c r="B47635" s="31"/>
      <c r="G47635" s="272" t="s">
        <v>1099</v>
      </c>
    </row>
    <row r="47636">
      <c r="B47636" s="31"/>
      <c r="G47636" s="272" t="s">
        <v>1099</v>
      </c>
    </row>
    <row r="47637">
      <c r="B47637" s="31"/>
      <c r="G47637" s="272" t="s">
        <v>1099</v>
      </c>
    </row>
    <row r="47638">
      <c r="B47638" s="31"/>
      <c r="G47638" s="272" t="s">
        <v>1099</v>
      </c>
    </row>
    <row r="47639">
      <c r="B47639" s="31"/>
      <c r="G47639" s="272" t="s">
        <v>1099</v>
      </c>
    </row>
    <row r="47640">
      <c r="B47640" s="31"/>
      <c r="G47640" s="272" t="s">
        <v>1099</v>
      </c>
    </row>
    <row r="47641">
      <c r="B47641" s="31"/>
      <c r="G47641" s="272" t="s">
        <v>1099</v>
      </c>
    </row>
    <row r="47642">
      <c r="B47642" s="31"/>
      <c r="G47642" s="272" t="s">
        <v>1099</v>
      </c>
    </row>
    <row r="47643">
      <c r="B47643" s="31"/>
      <c r="G47643" s="272" t="s">
        <v>1099</v>
      </c>
    </row>
    <row r="47644">
      <c r="B47644" s="31"/>
      <c r="G47644" s="272" t="s">
        <v>1099</v>
      </c>
    </row>
    <row r="47645">
      <c r="B47645" s="31"/>
      <c r="G47645" s="272" t="s">
        <v>1099</v>
      </c>
    </row>
    <row r="47646">
      <c r="B47646" s="31"/>
      <c r="G47646" s="272" t="s">
        <v>1099</v>
      </c>
    </row>
    <row r="47647">
      <c r="B47647" s="31"/>
      <c r="G47647" s="272" t="s">
        <v>1099</v>
      </c>
    </row>
    <row r="47648">
      <c r="B47648" s="31"/>
      <c r="G47648" s="272" t="s">
        <v>1099</v>
      </c>
    </row>
    <row r="47649">
      <c r="B47649" s="31"/>
      <c r="G47649" s="272" t="s">
        <v>1099</v>
      </c>
    </row>
    <row r="47650">
      <c r="B47650" s="31"/>
      <c r="G47650" s="272" t="s">
        <v>1099</v>
      </c>
    </row>
    <row r="47651">
      <c r="B47651" s="31"/>
      <c r="G47651" s="272" t="s">
        <v>1099</v>
      </c>
    </row>
    <row r="47652">
      <c r="B47652" s="31"/>
      <c r="G47652" s="272" t="s">
        <v>1099</v>
      </c>
    </row>
    <row r="47653">
      <c r="B47653" s="31"/>
      <c r="G47653" s="272" t="s">
        <v>1099</v>
      </c>
    </row>
    <row r="47654">
      <c r="B47654" s="31"/>
      <c r="G47654" s="272" t="s">
        <v>1099</v>
      </c>
    </row>
    <row r="47655">
      <c r="B47655" s="31"/>
      <c r="G47655" s="272" t="s">
        <v>1099</v>
      </c>
    </row>
    <row r="47656">
      <c r="B47656" s="31"/>
      <c r="G47656" s="272" t="s">
        <v>1099</v>
      </c>
    </row>
    <row r="47657">
      <c r="B47657" s="31"/>
      <c r="G47657" s="272" t="s">
        <v>1099</v>
      </c>
    </row>
    <row r="47658">
      <c r="B47658" s="31"/>
      <c r="G47658" s="272" t="s">
        <v>1099</v>
      </c>
    </row>
    <row r="47659">
      <c r="B47659" s="31"/>
      <c r="G47659" s="272" t="s">
        <v>1099</v>
      </c>
    </row>
    <row r="47660">
      <c r="B47660" s="31"/>
      <c r="G47660" s="272" t="s">
        <v>1099</v>
      </c>
    </row>
    <row r="47661">
      <c r="B47661" s="31"/>
      <c r="G47661" s="272" t="s">
        <v>1099</v>
      </c>
    </row>
    <row r="47662">
      <c r="B47662" s="31"/>
      <c r="G47662" s="272" t="s">
        <v>1099</v>
      </c>
    </row>
    <row r="47663">
      <c r="B47663" s="31"/>
      <c r="G47663" s="272" t="s">
        <v>1099</v>
      </c>
    </row>
    <row r="47664">
      <c r="B47664" s="31"/>
      <c r="G47664" s="272" t="s">
        <v>1099</v>
      </c>
    </row>
    <row r="47665">
      <c r="B47665" s="31"/>
      <c r="G47665" s="272" t="s">
        <v>1099</v>
      </c>
    </row>
    <row r="47666">
      <c r="B47666" s="31"/>
      <c r="G47666" s="272" t="s">
        <v>1099</v>
      </c>
    </row>
    <row r="47667">
      <c r="B47667" s="31"/>
      <c r="G47667" s="272" t="s">
        <v>1099</v>
      </c>
    </row>
    <row r="47668">
      <c r="B47668" s="31"/>
      <c r="G47668" s="272" t="s">
        <v>1099</v>
      </c>
    </row>
    <row r="47669">
      <c r="B47669" s="31"/>
      <c r="G47669" s="272" t="s">
        <v>1099</v>
      </c>
    </row>
    <row r="47670">
      <c r="B47670" s="31"/>
      <c r="G47670" s="272" t="s">
        <v>1099</v>
      </c>
    </row>
    <row r="47671">
      <c r="B47671" s="31"/>
      <c r="G47671" s="272" t="s">
        <v>1099</v>
      </c>
    </row>
    <row r="47672">
      <c r="B47672" s="31"/>
      <c r="G47672" s="272" t="s">
        <v>1099</v>
      </c>
    </row>
    <row r="47673">
      <c r="B47673" s="31"/>
      <c r="G47673" s="272" t="s">
        <v>1099</v>
      </c>
    </row>
    <row r="47674">
      <c r="B47674" s="31"/>
      <c r="G47674" s="272" t="s">
        <v>1099</v>
      </c>
    </row>
    <row r="47675">
      <c r="B47675" s="31"/>
      <c r="G47675" s="272" t="s">
        <v>1099</v>
      </c>
    </row>
    <row r="47676">
      <c r="B47676" s="31"/>
      <c r="G47676" s="272" t="s">
        <v>1099</v>
      </c>
    </row>
    <row r="47677">
      <c r="B47677" s="31"/>
      <c r="G47677" s="272" t="s">
        <v>1099</v>
      </c>
    </row>
    <row r="47678">
      <c r="B47678" s="31"/>
      <c r="G47678" s="272" t="s">
        <v>1099</v>
      </c>
    </row>
    <row r="47679">
      <c r="B47679" s="31"/>
      <c r="G47679" s="272" t="s">
        <v>1099</v>
      </c>
    </row>
    <row r="47680">
      <c r="B47680" s="31"/>
      <c r="G47680" s="272" t="s">
        <v>1099</v>
      </c>
    </row>
    <row r="47681">
      <c r="B47681" s="31"/>
      <c r="G47681" s="272" t="s">
        <v>1099</v>
      </c>
    </row>
    <row r="47682">
      <c r="B47682" s="31"/>
      <c r="G47682" s="272" t="s">
        <v>1099</v>
      </c>
    </row>
    <row r="47683">
      <c r="B47683" s="31"/>
      <c r="G47683" s="272" t="s">
        <v>1099</v>
      </c>
    </row>
    <row r="47684">
      <c r="B47684" s="31"/>
      <c r="G47684" s="272" t="s">
        <v>1099</v>
      </c>
    </row>
    <row r="47685">
      <c r="B47685" s="31"/>
      <c r="G47685" s="272" t="s">
        <v>1099</v>
      </c>
    </row>
    <row r="47686">
      <c r="B47686" s="31"/>
      <c r="G47686" s="272" t="s">
        <v>1099</v>
      </c>
    </row>
    <row r="47687">
      <c r="B47687" s="31"/>
      <c r="G47687" s="272" t="s">
        <v>1099</v>
      </c>
    </row>
    <row r="47688">
      <c r="B47688" s="31"/>
      <c r="G47688" s="272" t="s">
        <v>1099</v>
      </c>
    </row>
    <row r="47689">
      <c r="B47689" s="31"/>
      <c r="G47689" s="272" t="s">
        <v>1099</v>
      </c>
    </row>
    <row r="47690">
      <c r="B47690" s="31"/>
      <c r="G47690" s="272" t="s">
        <v>1099</v>
      </c>
    </row>
    <row r="47691">
      <c r="B47691" s="31"/>
      <c r="G47691" s="272" t="s">
        <v>1099</v>
      </c>
    </row>
    <row r="47692">
      <c r="B47692" s="31"/>
      <c r="G47692" s="272" t="s">
        <v>1099</v>
      </c>
    </row>
    <row r="47693">
      <c r="B47693" s="31"/>
      <c r="G47693" s="272" t="s">
        <v>1099</v>
      </c>
    </row>
    <row r="47694">
      <c r="B47694" s="31"/>
      <c r="G47694" s="272" t="s">
        <v>1099</v>
      </c>
    </row>
    <row r="47695">
      <c r="B47695" s="31"/>
      <c r="G47695" s="272" t="s">
        <v>1099</v>
      </c>
    </row>
    <row r="47696">
      <c r="B47696" s="31"/>
      <c r="G47696" s="272" t="s">
        <v>1099</v>
      </c>
    </row>
    <row r="47697">
      <c r="B47697" s="31"/>
      <c r="G47697" s="272" t="s">
        <v>1099</v>
      </c>
    </row>
    <row r="47698">
      <c r="B47698" s="31"/>
      <c r="G47698" s="272" t="s">
        <v>1099</v>
      </c>
    </row>
    <row r="47699">
      <c r="B47699" s="31"/>
      <c r="G47699" s="272" t="s">
        <v>1099</v>
      </c>
    </row>
    <row r="47700">
      <c r="B47700" s="31"/>
      <c r="G47700" s="272" t="s">
        <v>1099</v>
      </c>
    </row>
    <row r="47701">
      <c r="B47701" s="31"/>
      <c r="G47701" s="272" t="s">
        <v>1099</v>
      </c>
    </row>
    <row r="47702">
      <c r="B47702" s="31"/>
      <c r="G47702" s="272" t="s">
        <v>1099</v>
      </c>
    </row>
    <row r="47703">
      <c r="B47703" s="31"/>
      <c r="G47703" s="272" t="s">
        <v>1099</v>
      </c>
    </row>
    <row r="47704">
      <c r="B47704" s="31"/>
      <c r="G47704" s="272" t="s">
        <v>1099</v>
      </c>
    </row>
    <row r="47705">
      <c r="B47705" s="31"/>
      <c r="G47705" s="272" t="s">
        <v>1099</v>
      </c>
    </row>
    <row r="47706">
      <c r="B47706" s="31"/>
      <c r="G47706" s="272" t="s">
        <v>1099</v>
      </c>
    </row>
    <row r="47707">
      <c r="B47707" s="31"/>
      <c r="G47707" s="272" t="s">
        <v>1099</v>
      </c>
    </row>
    <row r="47708">
      <c r="B47708" s="31"/>
      <c r="G47708" s="272" t="s">
        <v>1099</v>
      </c>
    </row>
    <row r="47709">
      <c r="B47709" s="31"/>
      <c r="G47709" s="272" t="s">
        <v>1099</v>
      </c>
    </row>
    <row r="47710">
      <c r="B47710" s="31"/>
      <c r="G47710" s="272" t="s">
        <v>1099</v>
      </c>
    </row>
    <row r="47711">
      <c r="B47711" s="31"/>
      <c r="G47711" s="272" t="s">
        <v>1099</v>
      </c>
    </row>
    <row r="47712">
      <c r="B47712" s="31"/>
      <c r="G47712" s="272" t="s">
        <v>1099</v>
      </c>
    </row>
    <row r="47713">
      <c r="B47713" s="31"/>
      <c r="G47713" s="272" t="s">
        <v>1099</v>
      </c>
    </row>
    <row r="47714">
      <c r="B47714" s="31"/>
      <c r="G47714" s="272" t="s">
        <v>1099</v>
      </c>
    </row>
    <row r="47715">
      <c r="B47715" s="31"/>
      <c r="G47715" s="272" t="s">
        <v>1099</v>
      </c>
    </row>
    <row r="47716">
      <c r="B47716" s="31"/>
      <c r="G47716" s="272" t="s">
        <v>1099</v>
      </c>
    </row>
    <row r="47717">
      <c r="B47717" s="31"/>
      <c r="G47717" s="272" t="s">
        <v>1099</v>
      </c>
    </row>
    <row r="47718">
      <c r="B47718" s="31"/>
      <c r="G47718" s="272" t="s">
        <v>1099</v>
      </c>
    </row>
    <row r="47719">
      <c r="B47719" s="31"/>
      <c r="G47719" s="272" t="s">
        <v>1099</v>
      </c>
    </row>
    <row r="47720">
      <c r="B47720" s="31"/>
      <c r="G47720" s="272" t="s">
        <v>1099</v>
      </c>
    </row>
    <row r="47721">
      <c r="B47721" s="31"/>
      <c r="G47721" s="272" t="s">
        <v>1099</v>
      </c>
    </row>
    <row r="47722">
      <c r="B47722" s="31"/>
      <c r="G47722" s="272" t="s">
        <v>1099</v>
      </c>
    </row>
    <row r="47723">
      <c r="B47723" s="31"/>
      <c r="G47723" s="272" t="s">
        <v>1099</v>
      </c>
    </row>
    <row r="47724">
      <c r="B47724" s="31"/>
      <c r="G47724" s="272" t="s">
        <v>1099</v>
      </c>
    </row>
    <row r="47725">
      <c r="B47725" s="31"/>
      <c r="G47725" s="272" t="s">
        <v>1099</v>
      </c>
    </row>
    <row r="47726">
      <c r="B47726" s="31"/>
      <c r="G47726" s="272" t="s">
        <v>1099</v>
      </c>
    </row>
    <row r="47727">
      <c r="B47727" s="31"/>
      <c r="G47727" s="272" t="s">
        <v>1099</v>
      </c>
    </row>
    <row r="47728">
      <c r="B47728" s="31"/>
      <c r="G47728" s="272" t="s">
        <v>1099</v>
      </c>
    </row>
    <row r="47729">
      <c r="B47729" s="31"/>
      <c r="G47729" s="272" t="s">
        <v>1099</v>
      </c>
    </row>
    <row r="47730">
      <c r="B47730" s="31"/>
      <c r="G47730" s="272" t="s">
        <v>1099</v>
      </c>
    </row>
    <row r="47731">
      <c r="B47731" s="31"/>
      <c r="G47731" s="272" t="s">
        <v>1099</v>
      </c>
    </row>
    <row r="47732">
      <c r="B47732" s="31"/>
      <c r="G47732" s="272" t="s">
        <v>1099</v>
      </c>
    </row>
    <row r="47733">
      <c r="B47733" s="31"/>
      <c r="G47733" s="272" t="s">
        <v>1099</v>
      </c>
    </row>
    <row r="47734">
      <c r="B47734" s="31"/>
      <c r="G47734" s="272" t="s">
        <v>1099</v>
      </c>
    </row>
    <row r="47735">
      <c r="B47735" s="31"/>
      <c r="G47735" s="272" t="s">
        <v>1099</v>
      </c>
    </row>
    <row r="47736">
      <c r="B47736" s="31"/>
      <c r="G47736" s="272" t="s">
        <v>1099</v>
      </c>
    </row>
    <row r="47737">
      <c r="B47737" s="31"/>
      <c r="G47737" s="272" t="s">
        <v>1099</v>
      </c>
    </row>
    <row r="47738">
      <c r="B47738" s="31"/>
      <c r="G47738" s="272" t="s">
        <v>1099</v>
      </c>
    </row>
    <row r="47739">
      <c r="B47739" s="31"/>
      <c r="G47739" s="272" t="s">
        <v>1099</v>
      </c>
    </row>
    <row r="47740">
      <c r="B47740" s="31"/>
      <c r="G47740" s="272" t="s">
        <v>1099</v>
      </c>
    </row>
    <row r="47741">
      <c r="B47741" s="31"/>
      <c r="G47741" s="272" t="s">
        <v>1099</v>
      </c>
    </row>
    <row r="47742">
      <c r="B47742" s="31"/>
      <c r="G47742" s="272" t="s">
        <v>1099</v>
      </c>
    </row>
    <row r="47743">
      <c r="B47743" s="31"/>
      <c r="G47743" s="272" t="s">
        <v>1099</v>
      </c>
    </row>
    <row r="47744">
      <c r="B47744" s="31"/>
      <c r="G47744" s="272" t="s">
        <v>1099</v>
      </c>
    </row>
    <row r="47745">
      <c r="B47745" s="31"/>
      <c r="G47745" s="272" t="s">
        <v>1099</v>
      </c>
    </row>
    <row r="47746">
      <c r="B47746" s="31"/>
      <c r="G47746" s="272" t="s">
        <v>1099</v>
      </c>
    </row>
    <row r="47747">
      <c r="B47747" s="31"/>
      <c r="G47747" s="272" t="s">
        <v>1099</v>
      </c>
    </row>
    <row r="47748">
      <c r="B47748" s="31"/>
      <c r="G47748" s="272" t="s">
        <v>1099</v>
      </c>
    </row>
    <row r="47749">
      <c r="B47749" s="31"/>
      <c r="G47749" s="272" t="s">
        <v>1099</v>
      </c>
    </row>
    <row r="47750">
      <c r="B47750" s="31"/>
      <c r="G47750" s="272" t="s">
        <v>1099</v>
      </c>
    </row>
    <row r="47751">
      <c r="B47751" s="31"/>
      <c r="G47751" s="272" t="s">
        <v>1099</v>
      </c>
    </row>
    <row r="47752">
      <c r="B47752" s="31"/>
      <c r="G47752" s="272" t="s">
        <v>1099</v>
      </c>
    </row>
    <row r="47753">
      <c r="B47753" s="31"/>
      <c r="G47753" s="272" t="s">
        <v>1099</v>
      </c>
    </row>
    <row r="47754">
      <c r="B47754" s="31"/>
      <c r="G47754" s="272" t="s">
        <v>1099</v>
      </c>
    </row>
    <row r="47755">
      <c r="B47755" s="31"/>
      <c r="G47755" s="272" t="s">
        <v>1099</v>
      </c>
    </row>
    <row r="47756">
      <c r="B47756" s="31"/>
      <c r="G47756" s="272" t="s">
        <v>1099</v>
      </c>
    </row>
    <row r="47757">
      <c r="B47757" s="31"/>
      <c r="G47757" s="272" t="s">
        <v>1099</v>
      </c>
    </row>
    <row r="47758">
      <c r="B47758" s="31"/>
      <c r="G47758" s="272" t="s">
        <v>1099</v>
      </c>
    </row>
    <row r="47759">
      <c r="B47759" s="31"/>
      <c r="G47759" s="272" t="s">
        <v>1099</v>
      </c>
    </row>
    <row r="47760">
      <c r="B47760" s="31"/>
      <c r="G47760" s="272" t="s">
        <v>1099</v>
      </c>
    </row>
    <row r="47761">
      <c r="B47761" s="31"/>
      <c r="G47761" s="272" t="s">
        <v>1099</v>
      </c>
    </row>
    <row r="47762">
      <c r="B47762" s="31"/>
      <c r="G47762" s="272" t="s">
        <v>1099</v>
      </c>
    </row>
    <row r="47763">
      <c r="B47763" s="31"/>
      <c r="G47763" s="272" t="s">
        <v>1099</v>
      </c>
    </row>
    <row r="47764">
      <c r="B47764" s="31"/>
      <c r="G47764" s="272" t="s">
        <v>1099</v>
      </c>
    </row>
    <row r="47765">
      <c r="B47765" s="31"/>
      <c r="G47765" s="272" t="s">
        <v>1099</v>
      </c>
    </row>
    <row r="47766">
      <c r="B47766" s="31"/>
      <c r="G47766" s="272" t="s">
        <v>1099</v>
      </c>
    </row>
    <row r="47767">
      <c r="B47767" s="31"/>
      <c r="G47767" s="272" t="s">
        <v>1099</v>
      </c>
    </row>
    <row r="47768">
      <c r="B47768" s="31"/>
      <c r="G47768" s="272" t="s">
        <v>1099</v>
      </c>
    </row>
    <row r="47769">
      <c r="B47769" s="31"/>
      <c r="G47769" s="272" t="s">
        <v>1099</v>
      </c>
    </row>
    <row r="47770">
      <c r="B47770" s="31"/>
      <c r="G47770" s="272" t="s">
        <v>1099</v>
      </c>
    </row>
    <row r="47771">
      <c r="B47771" s="31"/>
      <c r="G47771" s="272" t="s">
        <v>1099</v>
      </c>
    </row>
    <row r="47772">
      <c r="B47772" s="31"/>
      <c r="G47772" s="272" t="s">
        <v>1099</v>
      </c>
    </row>
    <row r="47773">
      <c r="B47773" s="31"/>
      <c r="G47773" s="272" t="s">
        <v>1099</v>
      </c>
    </row>
    <row r="47774">
      <c r="B47774" s="31"/>
      <c r="G47774" s="272" t="s">
        <v>1099</v>
      </c>
    </row>
    <row r="47775">
      <c r="B47775" s="31"/>
      <c r="G47775" s="272" t="s">
        <v>1099</v>
      </c>
    </row>
    <row r="47776">
      <c r="B47776" s="31"/>
      <c r="G47776" s="272" t="s">
        <v>1099</v>
      </c>
    </row>
    <row r="47777">
      <c r="B47777" s="31"/>
      <c r="G47777" s="272" t="s">
        <v>1099</v>
      </c>
    </row>
    <row r="47778">
      <c r="B47778" s="31"/>
      <c r="G47778" s="272" t="s">
        <v>1099</v>
      </c>
    </row>
    <row r="47779">
      <c r="B47779" s="31"/>
      <c r="G47779" s="272" t="s">
        <v>1099</v>
      </c>
    </row>
    <row r="47780">
      <c r="B47780" s="31"/>
      <c r="G47780" s="272" t="s">
        <v>1099</v>
      </c>
    </row>
    <row r="47781">
      <c r="B47781" s="31"/>
      <c r="G47781" s="272" t="s">
        <v>1099</v>
      </c>
    </row>
    <row r="47782">
      <c r="B47782" s="31"/>
      <c r="G47782" s="272" t="s">
        <v>1099</v>
      </c>
    </row>
    <row r="47783">
      <c r="B47783" s="31"/>
      <c r="G47783" s="272" t="s">
        <v>1099</v>
      </c>
    </row>
    <row r="47784">
      <c r="B47784" s="31"/>
      <c r="G47784" s="272" t="s">
        <v>1099</v>
      </c>
    </row>
    <row r="47785">
      <c r="B47785" s="31"/>
      <c r="G47785" s="272" t="s">
        <v>1099</v>
      </c>
    </row>
    <row r="47786">
      <c r="B47786" s="31"/>
      <c r="G47786" s="272" t="s">
        <v>1099</v>
      </c>
    </row>
    <row r="47787">
      <c r="B47787" s="31"/>
      <c r="G47787" s="272" t="s">
        <v>1099</v>
      </c>
    </row>
    <row r="47788">
      <c r="B47788" s="31"/>
      <c r="G47788" s="272" t="s">
        <v>1099</v>
      </c>
    </row>
    <row r="47789">
      <c r="B47789" s="31"/>
      <c r="G47789" s="272" t="s">
        <v>1099</v>
      </c>
    </row>
    <row r="47790">
      <c r="B47790" s="31"/>
      <c r="G47790" s="272" t="s">
        <v>1099</v>
      </c>
    </row>
    <row r="47791">
      <c r="B47791" s="31"/>
      <c r="G47791" s="272" t="s">
        <v>1099</v>
      </c>
    </row>
    <row r="47792">
      <c r="B47792" s="31"/>
      <c r="G47792" s="272" t="s">
        <v>1099</v>
      </c>
    </row>
    <row r="47793">
      <c r="B47793" s="31"/>
      <c r="G47793" s="272" t="s">
        <v>1099</v>
      </c>
    </row>
    <row r="47794">
      <c r="B47794" s="31"/>
      <c r="G47794" s="272" t="s">
        <v>1099</v>
      </c>
    </row>
    <row r="47795">
      <c r="B47795" s="31"/>
      <c r="G47795" s="272" t="s">
        <v>1099</v>
      </c>
    </row>
    <row r="47796">
      <c r="B47796" s="31"/>
      <c r="G47796" s="272" t="s">
        <v>1099</v>
      </c>
    </row>
    <row r="47797">
      <c r="B47797" s="31"/>
      <c r="G47797" s="272" t="s">
        <v>1099</v>
      </c>
    </row>
    <row r="47798">
      <c r="B47798" s="31"/>
      <c r="G47798" s="272" t="s">
        <v>1099</v>
      </c>
    </row>
    <row r="47799">
      <c r="B47799" s="31"/>
      <c r="G47799" s="272" t="s">
        <v>1099</v>
      </c>
    </row>
    <row r="47800">
      <c r="B47800" s="31"/>
      <c r="G47800" s="272" t="s">
        <v>1099</v>
      </c>
    </row>
    <row r="47801">
      <c r="B47801" s="31"/>
      <c r="G47801" s="272" t="s">
        <v>1099</v>
      </c>
    </row>
    <row r="47802">
      <c r="B47802" s="31"/>
      <c r="G47802" s="272" t="s">
        <v>1099</v>
      </c>
    </row>
    <row r="47803">
      <c r="B47803" s="31"/>
      <c r="G47803" s="272" t="s">
        <v>1099</v>
      </c>
    </row>
    <row r="47804">
      <c r="B47804" s="31"/>
      <c r="G47804" s="272" t="s">
        <v>1099</v>
      </c>
    </row>
    <row r="47805">
      <c r="B47805" s="31"/>
      <c r="G47805" s="272" t="s">
        <v>1099</v>
      </c>
    </row>
    <row r="47806">
      <c r="B47806" s="31"/>
      <c r="G47806" s="272" t="s">
        <v>1099</v>
      </c>
    </row>
    <row r="47807">
      <c r="B47807" s="31"/>
      <c r="G47807" s="272" t="s">
        <v>1099</v>
      </c>
    </row>
    <row r="47808">
      <c r="B47808" s="31"/>
      <c r="G47808" s="272" t="s">
        <v>1099</v>
      </c>
    </row>
    <row r="47809">
      <c r="B47809" s="31"/>
      <c r="G47809" s="272" t="s">
        <v>1099</v>
      </c>
    </row>
    <row r="47810">
      <c r="B47810" s="31"/>
      <c r="G47810" s="272" t="s">
        <v>1099</v>
      </c>
    </row>
    <row r="47811">
      <c r="B47811" s="31"/>
      <c r="G47811" s="272" t="s">
        <v>1099</v>
      </c>
    </row>
    <row r="47812">
      <c r="B47812" s="31"/>
      <c r="G47812" s="272" t="s">
        <v>1099</v>
      </c>
    </row>
    <row r="47813">
      <c r="B47813" s="31"/>
      <c r="G47813" s="272" t="s">
        <v>1099</v>
      </c>
    </row>
    <row r="47814">
      <c r="B47814" s="31"/>
      <c r="G47814" s="272" t="s">
        <v>1099</v>
      </c>
    </row>
    <row r="47815">
      <c r="B47815" s="31"/>
      <c r="G47815" s="272" t="s">
        <v>1099</v>
      </c>
    </row>
    <row r="47816">
      <c r="B47816" s="31"/>
      <c r="G47816" s="272" t="s">
        <v>1099</v>
      </c>
    </row>
    <row r="47817">
      <c r="B47817" s="31"/>
      <c r="G47817" s="272" t="s">
        <v>1099</v>
      </c>
    </row>
    <row r="47818">
      <c r="B47818" s="31"/>
      <c r="G47818" s="272" t="s">
        <v>1099</v>
      </c>
    </row>
    <row r="47819">
      <c r="B47819" s="31"/>
      <c r="G47819" s="272" t="s">
        <v>1099</v>
      </c>
    </row>
    <row r="47820">
      <c r="B47820" s="31"/>
      <c r="G47820" s="272" t="s">
        <v>1099</v>
      </c>
    </row>
    <row r="47821">
      <c r="B47821" s="31"/>
      <c r="G47821" s="272" t="s">
        <v>1099</v>
      </c>
    </row>
    <row r="47822">
      <c r="B47822" s="31"/>
      <c r="G47822" s="272" t="s">
        <v>1099</v>
      </c>
    </row>
    <row r="47823">
      <c r="B47823" s="31"/>
      <c r="G47823" s="272" t="s">
        <v>1099</v>
      </c>
    </row>
    <row r="47824">
      <c r="B47824" s="31"/>
      <c r="G47824" s="272" t="s">
        <v>1099</v>
      </c>
    </row>
    <row r="47825">
      <c r="B47825" s="31"/>
      <c r="G47825" s="272" t="s">
        <v>1099</v>
      </c>
    </row>
    <row r="47826">
      <c r="B47826" s="31"/>
      <c r="G47826" s="272" t="s">
        <v>1099</v>
      </c>
    </row>
    <row r="47827">
      <c r="B47827" s="31"/>
      <c r="G47827" s="272" t="s">
        <v>1099</v>
      </c>
    </row>
    <row r="47828">
      <c r="B47828" s="31"/>
      <c r="G47828" s="272" t="s">
        <v>1099</v>
      </c>
    </row>
    <row r="47829">
      <c r="B47829" s="31"/>
      <c r="G47829" s="272" t="s">
        <v>1099</v>
      </c>
    </row>
    <row r="47830">
      <c r="B47830" s="31"/>
      <c r="G47830" s="272" t="s">
        <v>1099</v>
      </c>
    </row>
    <row r="47831">
      <c r="B47831" s="31"/>
      <c r="G47831" s="272" t="s">
        <v>1099</v>
      </c>
    </row>
    <row r="47832">
      <c r="B47832" s="31"/>
      <c r="G47832" s="272" t="s">
        <v>1099</v>
      </c>
    </row>
    <row r="47833">
      <c r="B47833" s="31"/>
      <c r="G47833" s="272" t="s">
        <v>1099</v>
      </c>
    </row>
    <row r="47834">
      <c r="B47834" s="31"/>
      <c r="G47834" s="272" t="s">
        <v>1099</v>
      </c>
    </row>
    <row r="47835">
      <c r="B47835" s="31"/>
      <c r="G47835" s="272" t="s">
        <v>1099</v>
      </c>
    </row>
    <row r="47836">
      <c r="B47836" s="31"/>
      <c r="G47836" s="272" t="s">
        <v>1099</v>
      </c>
    </row>
    <row r="47837">
      <c r="B47837" s="31"/>
      <c r="G47837" s="272" t="s">
        <v>1099</v>
      </c>
    </row>
    <row r="47838">
      <c r="B47838" s="31"/>
      <c r="G47838" s="272" t="s">
        <v>1099</v>
      </c>
    </row>
    <row r="47839">
      <c r="B47839" s="31"/>
      <c r="G47839" s="272" t="s">
        <v>1099</v>
      </c>
    </row>
    <row r="47840">
      <c r="B47840" s="31"/>
      <c r="G47840" s="272" t="s">
        <v>1099</v>
      </c>
    </row>
    <row r="47841">
      <c r="B47841" s="31"/>
      <c r="G47841" s="272" t="s">
        <v>1099</v>
      </c>
    </row>
    <row r="47842">
      <c r="B47842" s="31"/>
      <c r="G47842" s="272" t="s">
        <v>1099</v>
      </c>
    </row>
    <row r="47843">
      <c r="B47843" s="31"/>
      <c r="G47843" s="272" t="s">
        <v>1099</v>
      </c>
    </row>
    <row r="47844">
      <c r="B47844" s="31"/>
      <c r="G47844" s="272" t="s">
        <v>1099</v>
      </c>
    </row>
    <row r="47845">
      <c r="B47845" s="31"/>
      <c r="G47845" s="272" t="s">
        <v>1099</v>
      </c>
    </row>
    <row r="47846">
      <c r="B47846" s="31"/>
      <c r="G47846" s="272" t="s">
        <v>1099</v>
      </c>
    </row>
    <row r="47847">
      <c r="B47847" s="31"/>
      <c r="G47847" s="272" t="s">
        <v>1099</v>
      </c>
    </row>
    <row r="47848">
      <c r="B47848" s="31"/>
      <c r="G47848" s="272" t="s">
        <v>1099</v>
      </c>
    </row>
    <row r="47849">
      <c r="B47849" s="31"/>
      <c r="G47849" s="272" t="s">
        <v>1099</v>
      </c>
    </row>
    <row r="47850">
      <c r="B47850" s="31"/>
      <c r="G47850" s="272" t="s">
        <v>1099</v>
      </c>
    </row>
    <row r="47851">
      <c r="B47851" s="31"/>
      <c r="G47851" s="272" t="s">
        <v>1099</v>
      </c>
    </row>
    <row r="47852">
      <c r="B47852" s="31"/>
      <c r="G47852" s="272" t="s">
        <v>1099</v>
      </c>
    </row>
    <row r="47853">
      <c r="B47853" s="31"/>
      <c r="G47853" s="272" t="s">
        <v>1099</v>
      </c>
    </row>
    <row r="47854">
      <c r="B47854" s="31"/>
      <c r="G47854" s="272" t="s">
        <v>1099</v>
      </c>
    </row>
    <row r="47855">
      <c r="B47855" s="31"/>
      <c r="G47855" s="272" t="s">
        <v>1099</v>
      </c>
    </row>
    <row r="47856">
      <c r="B47856" s="31"/>
      <c r="G47856" s="272" t="s">
        <v>1099</v>
      </c>
    </row>
    <row r="47857">
      <c r="B47857" s="31"/>
      <c r="G47857" s="272" t="s">
        <v>1099</v>
      </c>
    </row>
    <row r="47858">
      <c r="B47858" s="31"/>
      <c r="G47858" s="272" t="s">
        <v>1099</v>
      </c>
    </row>
    <row r="47859">
      <c r="B47859" s="31"/>
      <c r="G47859" s="272" t="s">
        <v>1099</v>
      </c>
    </row>
    <row r="47860">
      <c r="B47860" s="31"/>
      <c r="G47860" s="272" t="s">
        <v>1099</v>
      </c>
    </row>
    <row r="47861">
      <c r="B47861" s="31"/>
      <c r="G47861" s="272" t="s">
        <v>1099</v>
      </c>
    </row>
    <row r="47862">
      <c r="B47862" s="31"/>
      <c r="G47862" s="272" t="s">
        <v>1099</v>
      </c>
    </row>
    <row r="47863">
      <c r="B47863" s="31"/>
      <c r="G47863" s="272" t="s">
        <v>1099</v>
      </c>
    </row>
    <row r="47864">
      <c r="B47864" s="31"/>
      <c r="G47864" s="272" t="s">
        <v>1099</v>
      </c>
    </row>
    <row r="47865">
      <c r="B47865" s="31"/>
      <c r="G47865" s="272" t="s">
        <v>1099</v>
      </c>
    </row>
    <row r="47866">
      <c r="B47866" s="31"/>
      <c r="G47866" s="272" t="s">
        <v>1099</v>
      </c>
    </row>
    <row r="47867">
      <c r="B47867" s="31"/>
      <c r="G47867" s="272" t="s">
        <v>1099</v>
      </c>
    </row>
    <row r="47868">
      <c r="B47868" s="31"/>
      <c r="G47868" s="272" t="s">
        <v>1099</v>
      </c>
    </row>
    <row r="47869">
      <c r="B47869" s="31"/>
      <c r="G47869" s="272" t="s">
        <v>1099</v>
      </c>
    </row>
    <row r="47870">
      <c r="B47870" s="31"/>
      <c r="G47870" s="272" t="s">
        <v>1099</v>
      </c>
    </row>
    <row r="47871">
      <c r="B47871" s="31"/>
      <c r="G47871" s="272" t="s">
        <v>1099</v>
      </c>
    </row>
    <row r="47872">
      <c r="B47872" s="31"/>
      <c r="G47872" s="272" t="s">
        <v>1099</v>
      </c>
    </row>
    <row r="47873">
      <c r="B47873" s="31"/>
      <c r="G47873" s="272" t="s">
        <v>1099</v>
      </c>
    </row>
    <row r="47874">
      <c r="B47874" s="31"/>
      <c r="G47874" s="272" t="s">
        <v>1099</v>
      </c>
    </row>
    <row r="47875">
      <c r="B47875" s="31"/>
      <c r="G47875" s="272" t="s">
        <v>1099</v>
      </c>
    </row>
    <row r="47876">
      <c r="B47876" s="31"/>
      <c r="G47876" s="272" t="s">
        <v>1099</v>
      </c>
    </row>
    <row r="47877">
      <c r="B47877" s="31"/>
      <c r="G47877" s="272" t="s">
        <v>1099</v>
      </c>
    </row>
    <row r="47878">
      <c r="B47878" s="31"/>
      <c r="G47878" s="272" t="s">
        <v>1099</v>
      </c>
    </row>
    <row r="47879">
      <c r="B47879" s="31"/>
      <c r="G47879" s="272" t="s">
        <v>1099</v>
      </c>
    </row>
    <row r="47880">
      <c r="B47880" s="31"/>
      <c r="G47880" s="272" t="s">
        <v>1099</v>
      </c>
    </row>
    <row r="47881">
      <c r="B47881" s="31"/>
      <c r="G47881" s="272" t="s">
        <v>1099</v>
      </c>
    </row>
    <row r="47882">
      <c r="B47882" s="31"/>
      <c r="G47882" s="272" t="s">
        <v>1099</v>
      </c>
    </row>
    <row r="47883">
      <c r="B47883" s="31"/>
      <c r="G47883" s="272" t="s">
        <v>1099</v>
      </c>
    </row>
    <row r="47884">
      <c r="B47884" s="31"/>
      <c r="G47884" s="272" t="s">
        <v>1099</v>
      </c>
    </row>
    <row r="47885">
      <c r="B47885" s="31"/>
      <c r="G47885" s="272" t="s">
        <v>1099</v>
      </c>
    </row>
    <row r="47886">
      <c r="B47886" s="31"/>
      <c r="G47886" s="272" t="s">
        <v>1099</v>
      </c>
    </row>
    <row r="47887">
      <c r="B47887" s="31"/>
      <c r="G47887" s="272" t="s">
        <v>1099</v>
      </c>
    </row>
    <row r="47888">
      <c r="B47888" s="31"/>
      <c r="G47888" s="272" t="s">
        <v>1099</v>
      </c>
    </row>
    <row r="47889">
      <c r="B47889" s="31"/>
      <c r="G47889" s="272" t="s">
        <v>1099</v>
      </c>
    </row>
    <row r="47890">
      <c r="B47890" s="31"/>
      <c r="G47890" s="272" t="s">
        <v>1099</v>
      </c>
    </row>
    <row r="47891">
      <c r="B47891" s="31"/>
      <c r="G47891" s="272" t="s">
        <v>1099</v>
      </c>
    </row>
    <row r="47892">
      <c r="B47892" s="31"/>
      <c r="G47892" s="272" t="s">
        <v>1099</v>
      </c>
    </row>
    <row r="47893">
      <c r="B47893" s="31"/>
      <c r="G47893" s="272" t="s">
        <v>1099</v>
      </c>
    </row>
    <row r="47894">
      <c r="B47894" s="31"/>
      <c r="G47894" s="272" t="s">
        <v>1099</v>
      </c>
    </row>
    <row r="47895">
      <c r="B47895" s="31"/>
      <c r="G47895" s="272" t="s">
        <v>1099</v>
      </c>
    </row>
    <row r="47896">
      <c r="B47896" s="31"/>
      <c r="G47896" s="272" t="s">
        <v>1099</v>
      </c>
    </row>
    <row r="47897">
      <c r="B47897" s="31"/>
      <c r="G47897" s="272" t="s">
        <v>1099</v>
      </c>
    </row>
    <row r="47898">
      <c r="B47898" s="31"/>
      <c r="G47898" s="272" t="s">
        <v>1099</v>
      </c>
    </row>
    <row r="47899">
      <c r="B47899" s="31"/>
      <c r="G47899" s="272" t="s">
        <v>1099</v>
      </c>
    </row>
    <row r="47900">
      <c r="B47900" s="31"/>
      <c r="G47900" s="272" t="s">
        <v>1099</v>
      </c>
    </row>
    <row r="47901">
      <c r="B47901" s="31"/>
      <c r="G47901" s="272" t="s">
        <v>1099</v>
      </c>
    </row>
    <row r="47902">
      <c r="B47902" s="31"/>
      <c r="G47902" s="272" t="s">
        <v>1099</v>
      </c>
    </row>
    <row r="47903">
      <c r="B47903" s="31"/>
      <c r="G47903" s="272" t="s">
        <v>1099</v>
      </c>
    </row>
    <row r="47904">
      <c r="B47904" s="31"/>
      <c r="G47904" s="272" t="s">
        <v>1099</v>
      </c>
    </row>
    <row r="47905">
      <c r="B47905" s="31"/>
      <c r="G47905" s="272" t="s">
        <v>1099</v>
      </c>
    </row>
    <row r="47906">
      <c r="B47906" s="31"/>
      <c r="G47906" s="272" t="s">
        <v>1099</v>
      </c>
    </row>
    <row r="47907">
      <c r="B47907" s="31"/>
      <c r="G47907" s="272" t="s">
        <v>1099</v>
      </c>
    </row>
    <row r="47908">
      <c r="B47908" s="31"/>
      <c r="G47908" s="272" t="s">
        <v>1099</v>
      </c>
    </row>
    <row r="47909">
      <c r="B47909" s="31"/>
      <c r="G47909" s="272" t="s">
        <v>1099</v>
      </c>
    </row>
    <row r="47910">
      <c r="B47910" s="31"/>
      <c r="G47910" s="272" t="s">
        <v>1099</v>
      </c>
    </row>
    <row r="47911">
      <c r="B47911" s="31"/>
      <c r="G47911" s="272" t="s">
        <v>1099</v>
      </c>
    </row>
    <row r="47912">
      <c r="B47912" s="31"/>
      <c r="G47912" s="272" t="s">
        <v>1099</v>
      </c>
    </row>
    <row r="47913">
      <c r="B47913" s="31"/>
      <c r="G47913" s="272" t="s">
        <v>1099</v>
      </c>
    </row>
    <row r="47914">
      <c r="B47914" s="31"/>
      <c r="G47914" s="272" t="s">
        <v>1099</v>
      </c>
    </row>
    <row r="47915">
      <c r="B47915" s="31"/>
      <c r="G47915" s="272" t="s">
        <v>1099</v>
      </c>
    </row>
    <row r="47916">
      <c r="B47916" s="31"/>
      <c r="G47916" s="272" t="s">
        <v>1099</v>
      </c>
    </row>
    <row r="47917">
      <c r="B47917" s="31"/>
      <c r="G47917" s="272" t="s">
        <v>1099</v>
      </c>
    </row>
    <row r="47918">
      <c r="B47918" s="31"/>
      <c r="G47918" s="272" t="s">
        <v>1099</v>
      </c>
    </row>
    <row r="47919">
      <c r="B47919" s="31"/>
      <c r="G47919" s="272" t="s">
        <v>1099</v>
      </c>
    </row>
    <row r="47920">
      <c r="B47920" s="31"/>
      <c r="G47920" s="272" t="s">
        <v>1099</v>
      </c>
    </row>
    <row r="47921">
      <c r="B47921" s="31"/>
      <c r="G47921" s="272" t="s">
        <v>1099</v>
      </c>
    </row>
    <row r="47922">
      <c r="B47922" s="31"/>
      <c r="G47922" s="272" t="s">
        <v>1099</v>
      </c>
    </row>
    <row r="47923">
      <c r="B47923" s="31"/>
      <c r="G47923" s="272" t="s">
        <v>1099</v>
      </c>
    </row>
    <row r="47924">
      <c r="B47924" s="31"/>
      <c r="G47924" s="272" t="s">
        <v>1099</v>
      </c>
    </row>
    <row r="47925">
      <c r="B47925" s="31"/>
      <c r="G47925" s="272" t="s">
        <v>1099</v>
      </c>
    </row>
    <row r="47926">
      <c r="B47926" s="31"/>
      <c r="G47926" s="272" t="s">
        <v>1099</v>
      </c>
    </row>
    <row r="47927">
      <c r="B47927" s="31"/>
      <c r="G47927" s="272" t="s">
        <v>1099</v>
      </c>
    </row>
    <row r="47928">
      <c r="B47928" s="31"/>
      <c r="G47928" s="272" t="s">
        <v>1099</v>
      </c>
    </row>
    <row r="47929">
      <c r="B47929" s="31"/>
      <c r="G47929" s="272" t="s">
        <v>1099</v>
      </c>
    </row>
    <row r="47930">
      <c r="B47930" s="31"/>
      <c r="G47930" s="272" t="s">
        <v>1099</v>
      </c>
    </row>
    <row r="47931">
      <c r="B47931" s="31"/>
      <c r="G47931" s="272" t="s">
        <v>1099</v>
      </c>
    </row>
    <row r="47932">
      <c r="B47932" s="31"/>
      <c r="G47932" s="272" t="s">
        <v>1099</v>
      </c>
    </row>
    <row r="47933">
      <c r="B47933" s="31"/>
      <c r="G47933" s="272" t="s">
        <v>1099</v>
      </c>
    </row>
    <row r="47934">
      <c r="B47934" s="31"/>
      <c r="G47934" s="272" t="s">
        <v>1099</v>
      </c>
    </row>
    <row r="47935">
      <c r="B47935" s="31"/>
      <c r="G47935" s="272" t="s">
        <v>1099</v>
      </c>
    </row>
    <row r="47936">
      <c r="B47936" s="31"/>
      <c r="G47936" s="272" t="s">
        <v>1099</v>
      </c>
    </row>
    <row r="47937">
      <c r="B47937" s="31"/>
      <c r="G47937" s="272" t="s">
        <v>1099</v>
      </c>
    </row>
    <row r="47938">
      <c r="B47938" s="31"/>
      <c r="G47938" s="272" t="s">
        <v>1099</v>
      </c>
    </row>
    <row r="47939">
      <c r="B47939" s="31"/>
      <c r="G47939" s="272" t="s">
        <v>1099</v>
      </c>
    </row>
    <row r="47940">
      <c r="B47940" s="31"/>
      <c r="G47940" s="272" t="s">
        <v>1099</v>
      </c>
    </row>
    <row r="47941">
      <c r="B47941" s="31"/>
      <c r="G47941" s="272" t="s">
        <v>1099</v>
      </c>
    </row>
    <row r="47942">
      <c r="B47942" s="31"/>
      <c r="G47942" s="272" t="s">
        <v>1099</v>
      </c>
    </row>
    <row r="47943">
      <c r="B47943" s="31"/>
      <c r="G47943" s="272" t="s">
        <v>1099</v>
      </c>
    </row>
    <row r="47944">
      <c r="B47944" s="31"/>
      <c r="G47944" s="272" t="s">
        <v>1099</v>
      </c>
    </row>
    <row r="47945">
      <c r="B47945" s="31"/>
      <c r="G47945" s="272" t="s">
        <v>1099</v>
      </c>
    </row>
    <row r="47946">
      <c r="B47946" s="31"/>
      <c r="G47946" s="272" t="s">
        <v>1099</v>
      </c>
    </row>
    <row r="47947">
      <c r="B47947" s="31"/>
      <c r="G47947" s="272" t="s">
        <v>1099</v>
      </c>
    </row>
    <row r="47948">
      <c r="B47948" s="31"/>
      <c r="G47948" s="272" t="s">
        <v>1099</v>
      </c>
    </row>
    <row r="47949">
      <c r="B47949" s="31"/>
      <c r="G47949" s="272" t="s">
        <v>1099</v>
      </c>
    </row>
    <row r="47950">
      <c r="B47950" s="31"/>
      <c r="G47950" s="272" t="s">
        <v>1099</v>
      </c>
    </row>
    <row r="47951">
      <c r="B47951" s="31"/>
      <c r="G47951" s="272" t="s">
        <v>1099</v>
      </c>
    </row>
    <row r="47952">
      <c r="B47952" s="31"/>
      <c r="G47952" s="272" t="s">
        <v>1099</v>
      </c>
    </row>
    <row r="47953">
      <c r="B47953" s="31"/>
      <c r="G47953" s="272" t="s">
        <v>1099</v>
      </c>
    </row>
    <row r="47954">
      <c r="B47954" s="31"/>
      <c r="G47954" s="272" t="s">
        <v>1099</v>
      </c>
    </row>
    <row r="47955">
      <c r="B47955" s="31"/>
      <c r="G47955" s="272" t="s">
        <v>1099</v>
      </c>
    </row>
    <row r="47956">
      <c r="B47956" s="31"/>
      <c r="G47956" s="272" t="s">
        <v>1099</v>
      </c>
    </row>
    <row r="47957">
      <c r="B47957" s="31"/>
      <c r="G47957" s="272" t="s">
        <v>1099</v>
      </c>
    </row>
    <row r="47958">
      <c r="B47958" s="31"/>
      <c r="G47958" s="272" t="s">
        <v>1099</v>
      </c>
    </row>
    <row r="47959">
      <c r="B47959" s="31"/>
      <c r="G47959" s="272" t="s">
        <v>1099</v>
      </c>
    </row>
    <row r="47960">
      <c r="B47960" s="31"/>
      <c r="G47960" s="272" t="s">
        <v>1099</v>
      </c>
    </row>
    <row r="47961">
      <c r="B47961" s="31"/>
      <c r="G47961" s="272" t="s">
        <v>1099</v>
      </c>
    </row>
    <row r="47962">
      <c r="B47962" s="31"/>
      <c r="G47962" s="272" t="s">
        <v>1099</v>
      </c>
    </row>
    <row r="47963">
      <c r="B47963" s="31"/>
      <c r="G47963" s="272" t="s">
        <v>1099</v>
      </c>
    </row>
    <row r="47964">
      <c r="B47964" s="31"/>
      <c r="G47964" s="272" t="s">
        <v>1099</v>
      </c>
    </row>
    <row r="47965">
      <c r="B47965" s="31"/>
      <c r="G47965" s="272" t="s">
        <v>1099</v>
      </c>
    </row>
    <row r="47966">
      <c r="B47966" s="31"/>
      <c r="G47966" s="272" t="s">
        <v>1099</v>
      </c>
    </row>
    <row r="47967">
      <c r="B47967" s="31"/>
      <c r="G47967" s="272" t="s">
        <v>1099</v>
      </c>
    </row>
    <row r="47968">
      <c r="B47968" s="31"/>
      <c r="G47968" s="272" t="s">
        <v>1099</v>
      </c>
    </row>
    <row r="47969">
      <c r="B47969" s="31"/>
      <c r="G47969" s="272" t="s">
        <v>1099</v>
      </c>
    </row>
    <row r="47970">
      <c r="B47970" s="31"/>
      <c r="G47970" s="272" t="s">
        <v>1099</v>
      </c>
    </row>
    <row r="47971">
      <c r="B47971" s="31"/>
      <c r="G47971" s="272" t="s">
        <v>1099</v>
      </c>
    </row>
    <row r="47972">
      <c r="B47972" s="31"/>
      <c r="G47972" s="272" t="s">
        <v>1099</v>
      </c>
    </row>
    <row r="47973">
      <c r="B47973" s="31"/>
      <c r="G47973" s="272" t="s">
        <v>1099</v>
      </c>
    </row>
    <row r="47974">
      <c r="B47974" s="31"/>
      <c r="G47974" s="272" t="s">
        <v>1099</v>
      </c>
    </row>
    <row r="47975">
      <c r="B47975" s="31"/>
      <c r="G47975" s="272" t="s">
        <v>1099</v>
      </c>
    </row>
    <row r="47976">
      <c r="B47976" s="31"/>
      <c r="G47976" s="272" t="s">
        <v>1099</v>
      </c>
    </row>
    <row r="47977">
      <c r="B47977" s="31"/>
      <c r="G47977" s="272" t="s">
        <v>1099</v>
      </c>
    </row>
    <row r="47978">
      <c r="B47978" s="31"/>
      <c r="G47978" s="272" t="s">
        <v>1099</v>
      </c>
    </row>
    <row r="47979">
      <c r="B47979" s="31"/>
      <c r="G47979" s="272" t="s">
        <v>1099</v>
      </c>
    </row>
    <row r="47980">
      <c r="B47980" s="31"/>
      <c r="G47980" s="272" t="s">
        <v>1099</v>
      </c>
    </row>
    <row r="47981">
      <c r="B47981" s="31"/>
      <c r="G47981" s="272" t="s">
        <v>1099</v>
      </c>
    </row>
    <row r="47982">
      <c r="B47982" s="31"/>
      <c r="G47982" s="272" t="s">
        <v>1099</v>
      </c>
    </row>
    <row r="47983">
      <c r="B47983" s="31"/>
      <c r="G47983" s="272" t="s">
        <v>1099</v>
      </c>
    </row>
    <row r="47984">
      <c r="B47984" s="31"/>
      <c r="G47984" s="272" t="s">
        <v>1099</v>
      </c>
    </row>
    <row r="47985">
      <c r="B47985" s="31"/>
      <c r="G47985" s="272" t="s">
        <v>1099</v>
      </c>
    </row>
    <row r="47986">
      <c r="B47986" s="31"/>
      <c r="G47986" s="272" t="s">
        <v>1099</v>
      </c>
    </row>
    <row r="47987">
      <c r="B47987" s="31"/>
      <c r="G47987" s="272" t="s">
        <v>1099</v>
      </c>
    </row>
    <row r="47988">
      <c r="B47988" s="31"/>
      <c r="G47988" s="272" t="s">
        <v>1099</v>
      </c>
    </row>
    <row r="47989">
      <c r="B47989" s="31"/>
      <c r="G47989" s="272" t="s">
        <v>1099</v>
      </c>
    </row>
    <row r="47990">
      <c r="B47990" s="31"/>
      <c r="G47990" s="272" t="s">
        <v>1099</v>
      </c>
    </row>
    <row r="47991">
      <c r="B47991" s="31"/>
      <c r="G47991" s="272" t="s">
        <v>1099</v>
      </c>
    </row>
    <row r="47992">
      <c r="B47992" s="31"/>
      <c r="G47992" s="272" t="s">
        <v>1099</v>
      </c>
    </row>
    <row r="47993">
      <c r="B47993" s="31"/>
      <c r="G47993" s="272" t="s">
        <v>1099</v>
      </c>
    </row>
    <row r="47994">
      <c r="B47994" s="31"/>
      <c r="G47994" s="272" t="s">
        <v>1099</v>
      </c>
    </row>
    <row r="47995">
      <c r="B47995" s="31"/>
      <c r="G47995" s="272" t="s">
        <v>1099</v>
      </c>
    </row>
    <row r="47996">
      <c r="B47996" s="31"/>
      <c r="G47996" s="272" t="s">
        <v>1099</v>
      </c>
    </row>
    <row r="47997">
      <c r="B47997" s="31"/>
      <c r="G47997" s="272" t="s">
        <v>1099</v>
      </c>
    </row>
    <row r="47998">
      <c r="B47998" s="31"/>
      <c r="G47998" s="272" t="s">
        <v>1099</v>
      </c>
    </row>
    <row r="47999">
      <c r="B47999" s="31"/>
      <c r="G47999" s="272" t="s">
        <v>1099</v>
      </c>
    </row>
    <row r="48000">
      <c r="B48000" s="31"/>
      <c r="G48000" s="272" t="s">
        <v>1099</v>
      </c>
    </row>
    <row r="48001">
      <c r="B48001" s="31"/>
      <c r="G48001" s="272" t="s">
        <v>1099</v>
      </c>
    </row>
    <row r="48002">
      <c r="B48002" s="31"/>
      <c r="G48002" s="272" t="s">
        <v>1099</v>
      </c>
    </row>
    <row r="48003">
      <c r="B48003" s="31"/>
      <c r="G48003" s="272" t="s">
        <v>1099</v>
      </c>
    </row>
    <row r="48004">
      <c r="B48004" s="31"/>
      <c r="G48004" s="272" t="s">
        <v>1099</v>
      </c>
    </row>
    <row r="48005">
      <c r="B48005" s="31"/>
      <c r="G48005" s="272" t="s">
        <v>1099</v>
      </c>
    </row>
    <row r="48006">
      <c r="B48006" s="31"/>
      <c r="G48006" s="272" t="s">
        <v>1099</v>
      </c>
    </row>
    <row r="48007">
      <c r="B48007" s="31"/>
      <c r="G48007" s="272" t="s">
        <v>1099</v>
      </c>
    </row>
    <row r="48008">
      <c r="B48008" s="31"/>
      <c r="G48008" s="272" t="s">
        <v>1099</v>
      </c>
    </row>
    <row r="48009">
      <c r="B48009" s="31"/>
      <c r="G48009" s="272" t="s">
        <v>1099</v>
      </c>
    </row>
    <row r="48010">
      <c r="B48010" s="31"/>
      <c r="G48010" s="272" t="s">
        <v>1099</v>
      </c>
    </row>
    <row r="48011">
      <c r="B48011" s="31"/>
      <c r="G48011" s="272" t="s">
        <v>1099</v>
      </c>
    </row>
    <row r="48012">
      <c r="B48012" s="31"/>
      <c r="G48012" s="272" t="s">
        <v>1099</v>
      </c>
    </row>
    <row r="48013">
      <c r="B48013" s="31"/>
      <c r="G48013" s="272" t="s">
        <v>1099</v>
      </c>
    </row>
    <row r="48014">
      <c r="B48014" s="31"/>
      <c r="G48014" s="272" t="s">
        <v>1099</v>
      </c>
    </row>
    <row r="48015">
      <c r="B48015" s="31"/>
      <c r="G48015" s="272" t="s">
        <v>1099</v>
      </c>
    </row>
    <row r="48016">
      <c r="B48016" s="31"/>
      <c r="G48016" s="272" t="s">
        <v>1099</v>
      </c>
    </row>
    <row r="48017">
      <c r="B48017" s="31"/>
      <c r="G48017" s="272" t="s">
        <v>1099</v>
      </c>
    </row>
    <row r="48018">
      <c r="B48018" s="31"/>
      <c r="G48018" s="272" t="s">
        <v>1099</v>
      </c>
    </row>
    <row r="48019">
      <c r="B48019" s="31"/>
      <c r="G48019" s="272" t="s">
        <v>1099</v>
      </c>
    </row>
    <row r="48020">
      <c r="B48020" s="31"/>
      <c r="G48020" s="272" t="s">
        <v>1099</v>
      </c>
    </row>
    <row r="48021">
      <c r="B48021" s="31"/>
      <c r="G48021" s="272" t="s">
        <v>1099</v>
      </c>
    </row>
    <row r="48022">
      <c r="B48022" s="31"/>
      <c r="G48022" s="272" t="s">
        <v>1099</v>
      </c>
    </row>
    <row r="48023">
      <c r="B48023" s="31"/>
      <c r="G48023" s="272" t="s">
        <v>1099</v>
      </c>
    </row>
    <row r="48024">
      <c r="B48024" s="31"/>
      <c r="G48024" s="272" t="s">
        <v>1099</v>
      </c>
    </row>
    <row r="48025">
      <c r="B48025" s="31"/>
      <c r="G48025" s="272" t="s">
        <v>1099</v>
      </c>
    </row>
    <row r="48026">
      <c r="B48026" s="31"/>
      <c r="G48026" s="272" t="s">
        <v>1099</v>
      </c>
    </row>
    <row r="48027">
      <c r="B48027" s="31"/>
      <c r="G48027" s="272" t="s">
        <v>1099</v>
      </c>
    </row>
    <row r="48028">
      <c r="B48028" s="31"/>
      <c r="G48028" s="272" t="s">
        <v>1099</v>
      </c>
    </row>
    <row r="48029">
      <c r="B48029" s="31"/>
      <c r="G48029" s="272" t="s">
        <v>1099</v>
      </c>
    </row>
    <row r="48030">
      <c r="B48030" s="31"/>
      <c r="G48030" s="272" t="s">
        <v>1099</v>
      </c>
    </row>
    <row r="48031">
      <c r="B48031" s="31"/>
      <c r="G48031" s="272" t="s">
        <v>1099</v>
      </c>
    </row>
    <row r="48032">
      <c r="B48032" s="31"/>
      <c r="G48032" s="272" t="s">
        <v>1099</v>
      </c>
    </row>
    <row r="48033">
      <c r="B48033" s="31"/>
      <c r="G48033" s="272" t="s">
        <v>1099</v>
      </c>
    </row>
    <row r="48034">
      <c r="B48034" s="31"/>
      <c r="G48034" s="272" t="s">
        <v>1099</v>
      </c>
    </row>
    <row r="48035">
      <c r="B48035" s="31"/>
      <c r="G48035" s="272" t="s">
        <v>1099</v>
      </c>
    </row>
    <row r="48036">
      <c r="B48036" s="31"/>
      <c r="G48036" s="272" t="s">
        <v>1099</v>
      </c>
    </row>
    <row r="48037">
      <c r="B48037" s="31"/>
      <c r="G48037" s="272" t="s">
        <v>1099</v>
      </c>
    </row>
    <row r="48038">
      <c r="B48038" s="31"/>
      <c r="G48038" s="272" t="s">
        <v>1099</v>
      </c>
    </row>
    <row r="48039">
      <c r="B48039" s="31"/>
      <c r="G48039" s="272" t="s">
        <v>1099</v>
      </c>
    </row>
    <row r="48040">
      <c r="B48040" s="31"/>
      <c r="G48040" s="272" t="s">
        <v>1099</v>
      </c>
    </row>
    <row r="48041">
      <c r="B48041" s="31"/>
      <c r="G48041" s="272" t="s">
        <v>1099</v>
      </c>
    </row>
    <row r="48042">
      <c r="B48042" s="31"/>
      <c r="G48042" s="272" t="s">
        <v>1099</v>
      </c>
    </row>
    <row r="48043">
      <c r="B48043" s="31"/>
      <c r="G48043" s="272" t="s">
        <v>1099</v>
      </c>
    </row>
    <row r="48044">
      <c r="B48044" s="31"/>
      <c r="G48044" s="272" t="s">
        <v>1099</v>
      </c>
    </row>
    <row r="48045">
      <c r="B48045" s="31"/>
      <c r="G48045" s="272" t="s">
        <v>1099</v>
      </c>
    </row>
    <row r="48046">
      <c r="B48046" s="31"/>
      <c r="G48046" s="272" t="s">
        <v>1099</v>
      </c>
    </row>
    <row r="48047">
      <c r="B48047" s="31"/>
      <c r="G48047" s="272" t="s">
        <v>1099</v>
      </c>
    </row>
    <row r="48048">
      <c r="B48048" s="31"/>
      <c r="G48048" s="272" t="s">
        <v>1099</v>
      </c>
    </row>
    <row r="48049">
      <c r="B48049" s="31"/>
      <c r="G48049" s="272" t="s">
        <v>1099</v>
      </c>
    </row>
    <row r="48050">
      <c r="B48050" s="31"/>
      <c r="G48050" s="272" t="s">
        <v>1099</v>
      </c>
    </row>
    <row r="48051">
      <c r="B48051" s="31"/>
      <c r="G48051" s="272" t="s">
        <v>1099</v>
      </c>
    </row>
    <row r="48052">
      <c r="B48052" s="31"/>
      <c r="G48052" s="272" t="s">
        <v>1099</v>
      </c>
    </row>
    <row r="48053">
      <c r="B48053" s="31"/>
      <c r="G48053" s="272" t="s">
        <v>1099</v>
      </c>
    </row>
    <row r="48054">
      <c r="B48054" s="31"/>
      <c r="G48054" s="272" t="s">
        <v>1099</v>
      </c>
    </row>
    <row r="48055">
      <c r="B48055" s="31"/>
      <c r="G48055" s="272" t="s">
        <v>1099</v>
      </c>
    </row>
    <row r="48056">
      <c r="B48056" s="31"/>
      <c r="G48056" s="272" t="s">
        <v>1099</v>
      </c>
    </row>
    <row r="48057">
      <c r="B48057" s="31"/>
      <c r="G48057" s="272" t="s">
        <v>1099</v>
      </c>
    </row>
    <row r="48058">
      <c r="B48058" s="31"/>
      <c r="G48058" s="272" t="s">
        <v>1099</v>
      </c>
    </row>
    <row r="48059">
      <c r="B48059" s="31"/>
      <c r="G48059" s="272" t="s">
        <v>1099</v>
      </c>
    </row>
    <row r="48060">
      <c r="B48060" s="31"/>
      <c r="G48060" s="272" t="s">
        <v>1099</v>
      </c>
    </row>
    <row r="48061">
      <c r="B48061" s="31"/>
      <c r="G48061" s="272" t="s">
        <v>1099</v>
      </c>
    </row>
    <row r="48062">
      <c r="B48062" s="31"/>
      <c r="G48062" s="272" t="s">
        <v>1099</v>
      </c>
    </row>
    <row r="48063">
      <c r="B48063" s="31"/>
      <c r="G48063" s="272" t="s">
        <v>1099</v>
      </c>
    </row>
    <row r="48064">
      <c r="B48064" s="31"/>
      <c r="G48064" s="272" t="s">
        <v>1099</v>
      </c>
    </row>
    <row r="48065">
      <c r="B48065" s="31"/>
      <c r="G48065" s="272" t="s">
        <v>1099</v>
      </c>
    </row>
    <row r="48066">
      <c r="B48066" s="31"/>
      <c r="G48066" s="272" t="s">
        <v>1099</v>
      </c>
    </row>
    <row r="48067">
      <c r="B48067" s="31"/>
      <c r="G48067" s="272" t="s">
        <v>1099</v>
      </c>
    </row>
    <row r="48068">
      <c r="B48068" s="31"/>
      <c r="G48068" s="272" t="s">
        <v>1099</v>
      </c>
    </row>
    <row r="48069">
      <c r="B48069" s="31"/>
      <c r="G48069" s="272" t="s">
        <v>1099</v>
      </c>
    </row>
    <row r="48070">
      <c r="B48070" s="31"/>
      <c r="G48070" s="272" t="s">
        <v>1099</v>
      </c>
    </row>
    <row r="48071">
      <c r="B48071" s="31"/>
      <c r="G48071" s="272" t="s">
        <v>1099</v>
      </c>
    </row>
    <row r="48072">
      <c r="B48072" s="31"/>
      <c r="G48072" s="272" t="s">
        <v>1099</v>
      </c>
    </row>
    <row r="48073">
      <c r="B48073" s="31"/>
      <c r="G48073" s="272" t="s">
        <v>1099</v>
      </c>
    </row>
    <row r="48074">
      <c r="B48074" s="31"/>
      <c r="G48074" s="272" t="s">
        <v>1099</v>
      </c>
    </row>
    <row r="48075">
      <c r="B48075" s="31"/>
      <c r="G48075" s="272" t="s">
        <v>1099</v>
      </c>
    </row>
    <row r="48076">
      <c r="B48076" s="31"/>
      <c r="G48076" s="272" t="s">
        <v>1099</v>
      </c>
    </row>
    <row r="48077">
      <c r="B48077" s="31"/>
      <c r="G48077" s="272" t="s">
        <v>1099</v>
      </c>
    </row>
    <row r="48078">
      <c r="B48078" s="31"/>
      <c r="G48078" s="272" t="s">
        <v>1099</v>
      </c>
    </row>
    <row r="48079">
      <c r="B48079" s="31"/>
      <c r="G48079" s="272" t="s">
        <v>1099</v>
      </c>
    </row>
    <row r="48080">
      <c r="B48080" s="31"/>
      <c r="G48080" s="272" t="s">
        <v>1099</v>
      </c>
    </row>
    <row r="48081">
      <c r="B48081" s="31"/>
      <c r="G48081" s="272" t="s">
        <v>1099</v>
      </c>
    </row>
    <row r="48082">
      <c r="B48082" s="31"/>
      <c r="G48082" s="272" t="s">
        <v>1099</v>
      </c>
    </row>
    <row r="48083">
      <c r="B48083" s="31"/>
      <c r="G48083" s="272" t="s">
        <v>1099</v>
      </c>
    </row>
    <row r="48084">
      <c r="B48084" s="31"/>
      <c r="G48084" s="272" t="s">
        <v>1099</v>
      </c>
    </row>
    <row r="48085">
      <c r="B48085" s="31"/>
      <c r="G48085" s="272" t="s">
        <v>1099</v>
      </c>
    </row>
    <row r="48086">
      <c r="B48086" s="31"/>
      <c r="G48086" s="272" t="s">
        <v>1099</v>
      </c>
    </row>
    <row r="48087">
      <c r="B48087" s="31"/>
      <c r="G48087" s="272" t="s">
        <v>1099</v>
      </c>
    </row>
    <row r="48088">
      <c r="B48088" s="31"/>
      <c r="G48088" s="272" t="s">
        <v>1099</v>
      </c>
    </row>
    <row r="48089">
      <c r="B48089" s="31"/>
      <c r="G48089" s="272" t="s">
        <v>1099</v>
      </c>
    </row>
    <row r="48090">
      <c r="B48090" s="31"/>
      <c r="G48090" s="272" t="s">
        <v>1099</v>
      </c>
    </row>
    <row r="48091">
      <c r="B48091" s="31"/>
      <c r="G48091" s="272" t="s">
        <v>1099</v>
      </c>
    </row>
    <row r="48092">
      <c r="B48092" s="31"/>
      <c r="G48092" s="272" t="s">
        <v>1099</v>
      </c>
    </row>
    <row r="48093">
      <c r="B48093" s="31"/>
      <c r="G48093" s="272" t="s">
        <v>1099</v>
      </c>
    </row>
    <row r="48094">
      <c r="B48094" s="31"/>
      <c r="G48094" s="272" t="s">
        <v>1099</v>
      </c>
    </row>
    <row r="48095">
      <c r="B48095" s="31"/>
      <c r="G48095" s="272" t="s">
        <v>1099</v>
      </c>
    </row>
    <row r="48096">
      <c r="B48096" s="31"/>
      <c r="G48096" s="272" t="s">
        <v>1099</v>
      </c>
    </row>
    <row r="48097">
      <c r="B48097" s="31"/>
      <c r="G48097" s="272" t="s">
        <v>1099</v>
      </c>
    </row>
    <row r="48098">
      <c r="B48098" s="31"/>
      <c r="G48098" s="272" t="s">
        <v>1099</v>
      </c>
    </row>
    <row r="48099">
      <c r="B48099" s="31"/>
      <c r="G48099" s="272" t="s">
        <v>1099</v>
      </c>
    </row>
    <row r="48100">
      <c r="B48100" s="31"/>
      <c r="G48100" s="272" t="s">
        <v>1099</v>
      </c>
    </row>
    <row r="48101">
      <c r="B48101" s="31"/>
      <c r="G48101" s="272" t="s">
        <v>1099</v>
      </c>
    </row>
    <row r="48102">
      <c r="B48102" s="31"/>
      <c r="G48102" s="272" t="s">
        <v>1099</v>
      </c>
    </row>
    <row r="48103">
      <c r="B48103" s="31"/>
      <c r="G48103" s="272" t="s">
        <v>1099</v>
      </c>
    </row>
    <row r="48104">
      <c r="B48104" s="31"/>
      <c r="G48104" s="272" t="s">
        <v>1099</v>
      </c>
    </row>
    <row r="48105">
      <c r="B48105" s="31"/>
      <c r="G48105" s="272" t="s">
        <v>1099</v>
      </c>
    </row>
    <row r="48106">
      <c r="B48106" s="31"/>
      <c r="G48106" s="272" t="s">
        <v>1099</v>
      </c>
    </row>
    <row r="48107">
      <c r="B48107" s="31"/>
      <c r="G48107" s="272" t="s">
        <v>1099</v>
      </c>
    </row>
    <row r="48108">
      <c r="B48108" s="31"/>
      <c r="G48108" s="272" t="s">
        <v>1099</v>
      </c>
    </row>
    <row r="48109">
      <c r="B48109" s="31"/>
      <c r="G48109" s="272" t="s">
        <v>1099</v>
      </c>
    </row>
    <row r="48110">
      <c r="B48110" s="31"/>
      <c r="G48110" s="272" t="s">
        <v>1099</v>
      </c>
    </row>
    <row r="48111">
      <c r="B48111" s="31"/>
      <c r="G48111" s="272" t="s">
        <v>1099</v>
      </c>
    </row>
    <row r="48112">
      <c r="B48112" s="31"/>
      <c r="G48112" s="272" t="s">
        <v>1099</v>
      </c>
    </row>
    <row r="48113">
      <c r="B48113" s="31"/>
      <c r="G48113" s="272" t="s">
        <v>1099</v>
      </c>
    </row>
    <row r="48114">
      <c r="B48114" s="31"/>
      <c r="G48114" s="272" t="s">
        <v>1099</v>
      </c>
    </row>
    <row r="48115">
      <c r="B48115" s="31"/>
      <c r="G48115" s="272" t="s">
        <v>1099</v>
      </c>
    </row>
    <row r="48116">
      <c r="B48116" s="31"/>
      <c r="G48116" s="272" t="s">
        <v>1099</v>
      </c>
    </row>
    <row r="48117">
      <c r="B48117" s="31"/>
      <c r="G48117" s="272" t="s">
        <v>1099</v>
      </c>
    </row>
    <row r="48118">
      <c r="B48118" s="31"/>
      <c r="G48118" s="272" t="s">
        <v>1099</v>
      </c>
    </row>
    <row r="48119">
      <c r="B48119" s="31"/>
      <c r="G48119" s="272" t="s">
        <v>1099</v>
      </c>
    </row>
    <row r="48120">
      <c r="B48120" s="31"/>
      <c r="G48120" s="272" t="s">
        <v>1099</v>
      </c>
    </row>
    <row r="48121">
      <c r="B48121" s="31"/>
      <c r="G48121" s="272" t="s">
        <v>1099</v>
      </c>
    </row>
    <row r="48122">
      <c r="B48122" s="31"/>
      <c r="G48122" s="272" t="s">
        <v>1099</v>
      </c>
    </row>
    <row r="48123">
      <c r="B48123" s="31"/>
      <c r="G48123" s="272" t="s">
        <v>1099</v>
      </c>
    </row>
    <row r="48124">
      <c r="B48124" s="31"/>
      <c r="G48124" s="272" t="s">
        <v>1099</v>
      </c>
    </row>
    <row r="48125">
      <c r="B48125" s="31"/>
      <c r="G48125" s="272" t="s">
        <v>1099</v>
      </c>
    </row>
    <row r="48126">
      <c r="B48126" s="31"/>
      <c r="G48126" s="272" t="s">
        <v>1099</v>
      </c>
    </row>
    <row r="48127">
      <c r="B48127" s="31"/>
      <c r="G48127" s="272" t="s">
        <v>1099</v>
      </c>
    </row>
    <row r="48128">
      <c r="B48128" s="31"/>
      <c r="G48128" s="272" t="s">
        <v>1099</v>
      </c>
    </row>
    <row r="48129">
      <c r="B48129" s="31"/>
      <c r="G48129" s="272" t="s">
        <v>1099</v>
      </c>
    </row>
    <row r="48130">
      <c r="B48130" s="31"/>
      <c r="G48130" s="272" t="s">
        <v>1099</v>
      </c>
    </row>
    <row r="48131">
      <c r="B48131" s="31"/>
      <c r="G48131" s="272" t="s">
        <v>1099</v>
      </c>
    </row>
    <row r="48132">
      <c r="B48132" s="31"/>
      <c r="G48132" s="272" t="s">
        <v>1099</v>
      </c>
    </row>
    <row r="48133">
      <c r="B48133" s="31"/>
      <c r="G48133" s="272" t="s">
        <v>1099</v>
      </c>
    </row>
    <row r="48134">
      <c r="B48134" s="31"/>
      <c r="G48134" s="272" t="s">
        <v>1099</v>
      </c>
    </row>
    <row r="48135">
      <c r="B48135" s="31"/>
      <c r="G48135" s="272" t="s">
        <v>1099</v>
      </c>
    </row>
    <row r="48136">
      <c r="B48136" s="31"/>
      <c r="G48136" s="272" t="s">
        <v>1099</v>
      </c>
    </row>
    <row r="48137">
      <c r="B48137" s="31"/>
      <c r="G48137" s="272" t="s">
        <v>1099</v>
      </c>
    </row>
    <row r="48138">
      <c r="B48138" s="31"/>
      <c r="G48138" s="272" t="s">
        <v>1099</v>
      </c>
    </row>
    <row r="48139">
      <c r="B48139" s="31"/>
      <c r="G48139" s="272" t="s">
        <v>1099</v>
      </c>
    </row>
    <row r="48140">
      <c r="B48140" s="31"/>
      <c r="G48140" s="272" t="s">
        <v>1099</v>
      </c>
    </row>
    <row r="48141">
      <c r="B48141" s="31"/>
      <c r="G48141" s="272" t="s">
        <v>1099</v>
      </c>
    </row>
    <row r="48142">
      <c r="B48142" s="31"/>
      <c r="G48142" s="272" t="s">
        <v>1099</v>
      </c>
    </row>
    <row r="48143">
      <c r="B48143" s="31"/>
      <c r="G48143" s="272" t="s">
        <v>1099</v>
      </c>
    </row>
    <row r="48144">
      <c r="B48144" s="31"/>
      <c r="G48144" s="272" t="s">
        <v>1099</v>
      </c>
    </row>
    <row r="48145">
      <c r="B48145" s="31"/>
      <c r="G48145" s="272" t="s">
        <v>1099</v>
      </c>
    </row>
    <row r="48146">
      <c r="B48146" s="31"/>
      <c r="G48146" s="272" t="s">
        <v>1099</v>
      </c>
    </row>
    <row r="48147">
      <c r="B48147" s="31"/>
      <c r="G48147" s="272" t="s">
        <v>1099</v>
      </c>
    </row>
    <row r="48148">
      <c r="B48148" s="31"/>
      <c r="G48148" s="272" t="s">
        <v>1099</v>
      </c>
    </row>
    <row r="48149">
      <c r="B48149" s="31"/>
      <c r="G48149" s="272" t="s">
        <v>1099</v>
      </c>
    </row>
    <row r="48150">
      <c r="B48150" s="31"/>
      <c r="G48150" s="272" t="s">
        <v>1099</v>
      </c>
    </row>
    <row r="48151">
      <c r="B48151" s="31"/>
      <c r="G48151" s="272" t="s">
        <v>1099</v>
      </c>
    </row>
    <row r="48152">
      <c r="B48152" s="31"/>
      <c r="G48152" s="272" t="s">
        <v>1099</v>
      </c>
    </row>
    <row r="48153">
      <c r="B48153" s="31"/>
      <c r="G48153" s="272" t="s">
        <v>1099</v>
      </c>
    </row>
    <row r="48154">
      <c r="B48154" s="31"/>
      <c r="G48154" s="272" t="s">
        <v>1099</v>
      </c>
    </row>
    <row r="48155">
      <c r="B48155" s="31"/>
      <c r="G48155" s="272" t="s">
        <v>1099</v>
      </c>
    </row>
    <row r="48156">
      <c r="B48156" s="31"/>
      <c r="G48156" s="272" t="s">
        <v>1099</v>
      </c>
    </row>
    <row r="48157">
      <c r="B48157" s="31"/>
      <c r="G48157" s="272" t="s">
        <v>1099</v>
      </c>
    </row>
    <row r="48158">
      <c r="B48158" s="31"/>
      <c r="G48158" s="272" t="s">
        <v>1099</v>
      </c>
    </row>
    <row r="48159">
      <c r="B48159" s="31"/>
      <c r="G48159" s="272" t="s">
        <v>1099</v>
      </c>
    </row>
    <row r="48160">
      <c r="B48160" s="31"/>
      <c r="G48160" s="272" t="s">
        <v>1099</v>
      </c>
    </row>
    <row r="48161">
      <c r="B48161" s="31"/>
      <c r="G48161" s="272" t="s">
        <v>1099</v>
      </c>
    </row>
    <row r="48162">
      <c r="B48162" s="31"/>
      <c r="G48162" s="272" t="s">
        <v>1099</v>
      </c>
    </row>
    <row r="48163">
      <c r="B48163" s="31"/>
      <c r="G48163" s="272" t="s">
        <v>1099</v>
      </c>
    </row>
    <row r="48164">
      <c r="B48164" s="31"/>
      <c r="G48164" s="272" t="s">
        <v>1099</v>
      </c>
    </row>
    <row r="48165">
      <c r="B48165" s="31"/>
      <c r="G48165" s="272" t="s">
        <v>1099</v>
      </c>
    </row>
    <row r="48166">
      <c r="B48166" s="31"/>
      <c r="G48166" s="272" t="s">
        <v>1099</v>
      </c>
    </row>
    <row r="48167">
      <c r="B48167" s="31"/>
      <c r="G48167" s="272" t="s">
        <v>1099</v>
      </c>
    </row>
    <row r="48168">
      <c r="B48168" s="31"/>
      <c r="G48168" s="272" t="s">
        <v>1099</v>
      </c>
    </row>
    <row r="48169">
      <c r="B48169" s="31"/>
      <c r="G48169" s="272" t="s">
        <v>1099</v>
      </c>
    </row>
    <row r="48170">
      <c r="B48170" s="31"/>
      <c r="G48170" s="272" t="s">
        <v>1099</v>
      </c>
    </row>
    <row r="48171">
      <c r="B48171" s="31"/>
      <c r="G48171" s="272" t="s">
        <v>1099</v>
      </c>
    </row>
    <row r="48172">
      <c r="B48172" s="31"/>
      <c r="G48172" s="272" t="s">
        <v>1099</v>
      </c>
    </row>
    <row r="48173">
      <c r="B48173" s="31"/>
      <c r="G48173" s="272" t="s">
        <v>1099</v>
      </c>
    </row>
    <row r="48174">
      <c r="B48174" s="31"/>
      <c r="G48174" s="272" t="s">
        <v>1099</v>
      </c>
    </row>
    <row r="48175">
      <c r="B48175" s="31"/>
      <c r="G48175" s="272" t="s">
        <v>1099</v>
      </c>
    </row>
    <row r="48176">
      <c r="B48176" s="31"/>
      <c r="G48176" s="272" t="s">
        <v>1099</v>
      </c>
    </row>
    <row r="48177">
      <c r="B48177" s="31"/>
      <c r="G48177" s="272" t="s">
        <v>1099</v>
      </c>
    </row>
    <row r="48178">
      <c r="B48178" s="31"/>
      <c r="G48178" s="272" t="s">
        <v>1099</v>
      </c>
    </row>
    <row r="48179">
      <c r="B48179" s="31"/>
      <c r="G48179" s="272" t="s">
        <v>1099</v>
      </c>
    </row>
    <row r="48180">
      <c r="B48180" s="31"/>
      <c r="G48180" s="272" t="s">
        <v>1099</v>
      </c>
    </row>
    <row r="48181">
      <c r="B48181" s="31"/>
      <c r="G48181" s="272" t="s">
        <v>1099</v>
      </c>
    </row>
    <row r="48182">
      <c r="B48182" s="31"/>
      <c r="G48182" s="272" t="s">
        <v>1099</v>
      </c>
    </row>
    <row r="48183">
      <c r="B48183" s="31"/>
      <c r="G48183" s="272" t="s">
        <v>1099</v>
      </c>
    </row>
    <row r="48184">
      <c r="B48184" s="31"/>
      <c r="G48184" s="272" t="s">
        <v>1099</v>
      </c>
    </row>
    <row r="48185">
      <c r="B48185" s="31"/>
      <c r="G48185" s="272" t="s">
        <v>1099</v>
      </c>
    </row>
    <row r="48186">
      <c r="B48186" s="31"/>
      <c r="G48186" s="272" t="s">
        <v>1099</v>
      </c>
    </row>
    <row r="48187">
      <c r="B48187" s="31"/>
      <c r="G48187" s="272" t="s">
        <v>1099</v>
      </c>
    </row>
    <row r="48188">
      <c r="B48188" s="31"/>
      <c r="G48188" s="272" t="s">
        <v>1099</v>
      </c>
    </row>
    <row r="48189">
      <c r="B48189" s="31"/>
      <c r="G48189" s="272" t="s">
        <v>1099</v>
      </c>
    </row>
    <row r="48190">
      <c r="B48190" s="31"/>
      <c r="G48190" s="272" t="s">
        <v>1099</v>
      </c>
    </row>
    <row r="48191">
      <c r="B48191" s="31"/>
      <c r="G48191" s="272" t="s">
        <v>1099</v>
      </c>
    </row>
    <row r="48192">
      <c r="B48192" s="31"/>
      <c r="G48192" s="272" t="s">
        <v>1099</v>
      </c>
    </row>
    <row r="48193">
      <c r="B48193" s="31"/>
      <c r="G48193" s="272" t="s">
        <v>1099</v>
      </c>
    </row>
    <row r="48194">
      <c r="B48194" s="31"/>
      <c r="G48194" s="272" t="s">
        <v>1099</v>
      </c>
    </row>
    <row r="48195">
      <c r="B48195" s="31"/>
      <c r="G48195" s="272" t="s">
        <v>1099</v>
      </c>
    </row>
    <row r="48196">
      <c r="B48196" s="31"/>
      <c r="G48196" s="272" t="s">
        <v>1099</v>
      </c>
    </row>
    <row r="48197">
      <c r="B48197" s="31"/>
      <c r="G48197" s="272" t="s">
        <v>1099</v>
      </c>
    </row>
    <row r="48198">
      <c r="B48198" s="31"/>
      <c r="G48198" s="272" t="s">
        <v>1099</v>
      </c>
    </row>
    <row r="48199">
      <c r="B48199" s="31"/>
      <c r="G48199" s="272" t="s">
        <v>1099</v>
      </c>
    </row>
    <row r="48200">
      <c r="B48200" s="31"/>
      <c r="G48200" s="272" t="s">
        <v>1099</v>
      </c>
    </row>
    <row r="48201">
      <c r="B48201" s="31"/>
      <c r="G48201" s="272" t="s">
        <v>1099</v>
      </c>
    </row>
    <row r="48202">
      <c r="B48202" s="31"/>
      <c r="G48202" s="272" t="s">
        <v>1099</v>
      </c>
    </row>
    <row r="48203">
      <c r="B48203" s="31"/>
      <c r="G48203" s="272" t="s">
        <v>1099</v>
      </c>
    </row>
    <row r="48204">
      <c r="B48204" s="31"/>
      <c r="G48204" s="272" t="s">
        <v>1099</v>
      </c>
    </row>
    <row r="48205">
      <c r="B48205" s="31"/>
      <c r="G48205" s="272" t="s">
        <v>1099</v>
      </c>
    </row>
    <row r="48206">
      <c r="B48206" s="31"/>
      <c r="G48206" s="272" t="s">
        <v>1099</v>
      </c>
    </row>
    <row r="48207">
      <c r="B48207" s="31"/>
      <c r="G48207" s="272" t="s">
        <v>1099</v>
      </c>
    </row>
    <row r="48208">
      <c r="B48208" s="31"/>
      <c r="G48208" s="272" t="s">
        <v>1099</v>
      </c>
    </row>
    <row r="48209">
      <c r="B48209" s="31"/>
      <c r="G48209" s="272" t="s">
        <v>1099</v>
      </c>
    </row>
    <row r="48210">
      <c r="B48210" s="31"/>
      <c r="G48210" s="272" t="s">
        <v>1099</v>
      </c>
    </row>
    <row r="48211">
      <c r="B48211" s="31"/>
      <c r="G48211" s="272" t="s">
        <v>1099</v>
      </c>
    </row>
    <row r="48212">
      <c r="B48212" s="31"/>
      <c r="G48212" s="272" t="s">
        <v>1099</v>
      </c>
    </row>
    <row r="48213">
      <c r="B48213" s="31"/>
      <c r="G48213" s="272" t="s">
        <v>1099</v>
      </c>
    </row>
    <row r="48214">
      <c r="B48214" s="31"/>
      <c r="G48214" s="272" t="s">
        <v>1099</v>
      </c>
    </row>
    <row r="48215">
      <c r="B48215" s="31"/>
      <c r="G48215" s="272" t="s">
        <v>1099</v>
      </c>
    </row>
    <row r="48216">
      <c r="B48216" s="31"/>
      <c r="G48216" s="272" t="s">
        <v>1099</v>
      </c>
    </row>
    <row r="48217">
      <c r="B48217" s="31"/>
      <c r="G48217" s="272" t="s">
        <v>1099</v>
      </c>
    </row>
    <row r="48218">
      <c r="B48218" s="31"/>
      <c r="G48218" s="272" t="s">
        <v>1099</v>
      </c>
    </row>
    <row r="48219">
      <c r="B48219" s="31"/>
      <c r="G48219" s="272" t="s">
        <v>1099</v>
      </c>
    </row>
    <row r="48220">
      <c r="B48220" s="31"/>
      <c r="G48220" s="272" t="s">
        <v>1099</v>
      </c>
    </row>
    <row r="48221">
      <c r="B48221" s="31"/>
      <c r="G48221" s="272" t="s">
        <v>1099</v>
      </c>
    </row>
    <row r="48222">
      <c r="B48222" s="31"/>
      <c r="G48222" s="272" t="s">
        <v>1099</v>
      </c>
    </row>
    <row r="48223">
      <c r="B48223" s="31"/>
      <c r="G48223" s="272" t="s">
        <v>1099</v>
      </c>
    </row>
    <row r="48224">
      <c r="B48224" s="31"/>
      <c r="G48224" s="272" t="s">
        <v>1099</v>
      </c>
    </row>
    <row r="48225">
      <c r="B48225" s="31"/>
      <c r="G48225" s="272" t="s">
        <v>1099</v>
      </c>
    </row>
    <row r="48226">
      <c r="B48226" s="31"/>
      <c r="G48226" s="272" t="s">
        <v>1099</v>
      </c>
    </row>
    <row r="48227">
      <c r="B48227" s="31"/>
      <c r="G48227" s="272" t="s">
        <v>1099</v>
      </c>
    </row>
    <row r="48228">
      <c r="B48228" s="31"/>
      <c r="G48228" s="272" t="s">
        <v>1099</v>
      </c>
    </row>
    <row r="48229">
      <c r="B48229" s="31"/>
      <c r="G48229" s="272" t="s">
        <v>1099</v>
      </c>
    </row>
    <row r="48230">
      <c r="B48230" s="31"/>
      <c r="G48230" s="272" t="s">
        <v>1099</v>
      </c>
    </row>
    <row r="48231">
      <c r="B48231" s="31"/>
      <c r="G48231" s="272" t="s">
        <v>1099</v>
      </c>
    </row>
    <row r="48232">
      <c r="B48232" s="31"/>
      <c r="G48232" s="272" t="s">
        <v>1099</v>
      </c>
    </row>
    <row r="48233">
      <c r="B48233" s="31"/>
      <c r="G48233" s="272" t="s">
        <v>1099</v>
      </c>
    </row>
    <row r="48234">
      <c r="B48234" s="31"/>
      <c r="G48234" s="272" t="s">
        <v>1099</v>
      </c>
    </row>
    <row r="48235">
      <c r="B48235" s="31"/>
      <c r="G48235" s="272" t="s">
        <v>1099</v>
      </c>
    </row>
    <row r="48236">
      <c r="B48236" s="31"/>
      <c r="G48236" s="272" t="s">
        <v>1099</v>
      </c>
    </row>
    <row r="48237">
      <c r="B48237" s="31"/>
      <c r="G48237" s="272" t="s">
        <v>1099</v>
      </c>
    </row>
    <row r="48238">
      <c r="B48238" s="31"/>
      <c r="G48238" s="272" t="s">
        <v>1099</v>
      </c>
    </row>
    <row r="48239">
      <c r="B48239" s="31"/>
      <c r="G48239" s="272" t="s">
        <v>1099</v>
      </c>
    </row>
    <row r="48240">
      <c r="B48240" s="31"/>
      <c r="G48240" s="272" t="s">
        <v>1099</v>
      </c>
    </row>
    <row r="48241">
      <c r="B48241" s="31"/>
      <c r="G48241" s="272" t="s">
        <v>1099</v>
      </c>
    </row>
    <row r="48242">
      <c r="B48242" s="31"/>
      <c r="G48242" s="272" t="s">
        <v>1099</v>
      </c>
    </row>
    <row r="48243">
      <c r="B48243" s="31"/>
      <c r="G48243" s="272" t="s">
        <v>1099</v>
      </c>
    </row>
    <row r="48244">
      <c r="B48244" s="31"/>
      <c r="G48244" s="272" t="s">
        <v>1099</v>
      </c>
    </row>
    <row r="48245">
      <c r="B48245" s="31"/>
      <c r="G48245" s="272" t="s">
        <v>1099</v>
      </c>
    </row>
    <row r="48246">
      <c r="B48246" s="31"/>
      <c r="G48246" s="272" t="s">
        <v>1099</v>
      </c>
    </row>
    <row r="48247">
      <c r="B48247" s="31"/>
      <c r="G48247" s="272" t="s">
        <v>1099</v>
      </c>
    </row>
    <row r="48248">
      <c r="B48248" s="31"/>
      <c r="G48248" s="272" t="s">
        <v>1099</v>
      </c>
    </row>
    <row r="48249">
      <c r="B48249" s="31"/>
      <c r="G48249" s="272" t="s">
        <v>1099</v>
      </c>
    </row>
    <row r="48250">
      <c r="B48250" s="31"/>
      <c r="G48250" s="272" t="s">
        <v>1099</v>
      </c>
    </row>
    <row r="48251">
      <c r="B48251" s="31"/>
      <c r="G48251" s="272" t="s">
        <v>1099</v>
      </c>
    </row>
    <row r="48252">
      <c r="B48252" s="31"/>
      <c r="G48252" s="272" t="s">
        <v>1099</v>
      </c>
    </row>
    <row r="48253">
      <c r="B48253" s="31"/>
      <c r="G48253" s="272" t="s">
        <v>1099</v>
      </c>
    </row>
    <row r="48254">
      <c r="B48254" s="31"/>
      <c r="G48254" s="272" t="s">
        <v>1099</v>
      </c>
    </row>
    <row r="48255">
      <c r="B48255" s="31"/>
      <c r="G48255" s="272" t="s">
        <v>1099</v>
      </c>
    </row>
    <row r="48256">
      <c r="B48256" s="31"/>
      <c r="G48256" s="272" t="s">
        <v>1099</v>
      </c>
    </row>
    <row r="48257">
      <c r="B48257" s="31"/>
      <c r="G48257" s="272" t="s">
        <v>1099</v>
      </c>
    </row>
    <row r="48258">
      <c r="B48258" s="31"/>
      <c r="G48258" s="272" t="s">
        <v>1099</v>
      </c>
    </row>
    <row r="48259">
      <c r="B48259" s="31"/>
      <c r="G48259" s="272" t="s">
        <v>1099</v>
      </c>
    </row>
    <row r="48260">
      <c r="B48260" s="31"/>
      <c r="G48260" s="272" t="s">
        <v>1099</v>
      </c>
    </row>
    <row r="48261">
      <c r="B48261" s="31"/>
      <c r="G48261" s="272" t="s">
        <v>1099</v>
      </c>
    </row>
    <row r="48262">
      <c r="B48262" s="31"/>
      <c r="G48262" s="272" t="s">
        <v>1099</v>
      </c>
    </row>
    <row r="48263">
      <c r="B48263" s="31"/>
      <c r="G48263" s="272" t="s">
        <v>1099</v>
      </c>
    </row>
    <row r="48264">
      <c r="B48264" s="31"/>
      <c r="G48264" s="272" t="s">
        <v>1099</v>
      </c>
    </row>
    <row r="48265">
      <c r="B48265" s="31"/>
      <c r="G48265" s="272" t="s">
        <v>1099</v>
      </c>
    </row>
    <row r="48266">
      <c r="B48266" s="31"/>
      <c r="G48266" s="272" t="s">
        <v>1099</v>
      </c>
    </row>
    <row r="48267">
      <c r="B48267" s="31"/>
      <c r="G48267" s="272" t="s">
        <v>1099</v>
      </c>
    </row>
    <row r="48268">
      <c r="B48268" s="31"/>
      <c r="G48268" s="272" t="s">
        <v>1099</v>
      </c>
    </row>
    <row r="48269">
      <c r="B48269" s="31"/>
      <c r="G48269" s="272" t="s">
        <v>1099</v>
      </c>
    </row>
    <row r="48270">
      <c r="B48270" s="31"/>
      <c r="G48270" s="272" t="s">
        <v>1099</v>
      </c>
    </row>
    <row r="48271">
      <c r="B48271" s="31"/>
      <c r="G48271" s="272" t="s">
        <v>1099</v>
      </c>
    </row>
    <row r="48272">
      <c r="B48272" s="31"/>
      <c r="G48272" s="272" t="s">
        <v>1099</v>
      </c>
    </row>
    <row r="48273">
      <c r="B48273" s="31"/>
      <c r="G48273" s="272" t="s">
        <v>1099</v>
      </c>
    </row>
    <row r="48274">
      <c r="B48274" s="31"/>
      <c r="G48274" s="272" t="s">
        <v>1099</v>
      </c>
    </row>
    <row r="48275">
      <c r="B48275" s="31"/>
      <c r="G48275" s="272" t="s">
        <v>1099</v>
      </c>
    </row>
    <row r="48276">
      <c r="B48276" s="31"/>
      <c r="G48276" s="272" t="s">
        <v>1099</v>
      </c>
    </row>
    <row r="48277">
      <c r="B48277" s="31"/>
      <c r="G48277" s="272" t="s">
        <v>1099</v>
      </c>
    </row>
    <row r="48278">
      <c r="B48278" s="31"/>
      <c r="G48278" s="272" t="s">
        <v>1099</v>
      </c>
    </row>
    <row r="48279">
      <c r="B48279" s="31"/>
      <c r="G48279" s="272" t="s">
        <v>1099</v>
      </c>
    </row>
    <row r="48280">
      <c r="B48280" s="31"/>
      <c r="G48280" s="272" t="s">
        <v>1099</v>
      </c>
    </row>
    <row r="48281">
      <c r="B48281" s="31"/>
      <c r="G48281" s="272" t="s">
        <v>1099</v>
      </c>
    </row>
    <row r="48282">
      <c r="B48282" s="31"/>
      <c r="G48282" s="272" t="s">
        <v>1099</v>
      </c>
    </row>
    <row r="48283">
      <c r="B48283" s="31"/>
      <c r="G48283" s="272" t="s">
        <v>1099</v>
      </c>
    </row>
    <row r="48284">
      <c r="B48284" s="31"/>
      <c r="G48284" s="272" t="s">
        <v>1099</v>
      </c>
    </row>
    <row r="48285">
      <c r="B48285" s="31"/>
      <c r="G48285" s="272" t="s">
        <v>1099</v>
      </c>
    </row>
    <row r="48286">
      <c r="B48286" s="31"/>
      <c r="G48286" s="272" t="s">
        <v>1099</v>
      </c>
    </row>
    <row r="48287">
      <c r="B48287" s="31"/>
      <c r="G48287" s="272" t="s">
        <v>1099</v>
      </c>
    </row>
    <row r="48288">
      <c r="B48288" s="31"/>
      <c r="G48288" s="272" t="s">
        <v>1099</v>
      </c>
    </row>
    <row r="48289">
      <c r="B48289" s="31"/>
      <c r="G48289" s="272" t="s">
        <v>1099</v>
      </c>
    </row>
    <row r="48290">
      <c r="B48290" s="31"/>
      <c r="G48290" s="272" t="s">
        <v>1099</v>
      </c>
    </row>
    <row r="48291">
      <c r="B48291" s="31"/>
      <c r="G48291" s="272" t="s">
        <v>1099</v>
      </c>
    </row>
    <row r="48292">
      <c r="B48292" s="31"/>
      <c r="G48292" s="272" t="s">
        <v>1099</v>
      </c>
    </row>
    <row r="48293">
      <c r="B48293" s="31"/>
      <c r="G48293" s="272" t="s">
        <v>1099</v>
      </c>
    </row>
    <row r="48294">
      <c r="B48294" s="31"/>
      <c r="G48294" s="272" t="s">
        <v>1099</v>
      </c>
    </row>
    <row r="48295">
      <c r="B48295" s="31"/>
      <c r="G48295" s="272" t="s">
        <v>1099</v>
      </c>
    </row>
    <row r="48296">
      <c r="B48296" s="31"/>
      <c r="G48296" s="272" t="s">
        <v>1099</v>
      </c>
    </row>
    <row r="48297">
      <c r="B48297" s="31"/>
      <c r="G48297" s="272" t="s">
        <v>1099</v>
      </c>
    </row>
    <row r="48298">
      <c r="B48298" s="31"/>
      <c r="G48298" s="272" t="s">
        <v>1099</v>
      </c>
    </row>
    <row r="48299">
      <c r="B48299" s="31"/>
      <c r="G48299" s="272" t="s">
        <v>1099</v>
      </c>
    </row>
    <row r="48300">
      <c r="B48300" s="31"/>
      <c r="G48300" s="272" t="s">
        <v>1099</v>
      </c>
    </row>
    <row r="48301">
      <c r="B48301" s="31"/>
      <c r="G48301" s="272" t="s">
        <v>1099</v>
      </c>
    </row>
    <row r="48302">
      <c r="B48302" s="31"/>
      <c r="G48302" s="272" t="s">
        <v>1099</v>
      </c>
    </row>
    <row r="48303">
      <c r="B48303" s="31"/>
      <c r="G48303" s="272" t="s">
        <v>1099</v>
      </c>
    </row>
    <row r="48304">
      <c r="B48304" s="31"/>
      <c r="G48304" s="272" t="s">
        <v>1099</v>
      </c>
    </row>
    <row r="48305">
      <c r="B48305" s="31"/>
      <c r="G48305" s="272" t="s">
        <v>1099</v>
      </c>
    </row>
    <row r="48306">
      <c r="B48306" s="31"/>
      <c r="G48306" s="272" t="s">
        <v>1099</v>
      </c>
    </row>
    <row r="48307">
      <c r="B48307" s="31"/>
      <c r="G48307" s="272" t="s">
        <v>1099</v>
      </c>
    </row>
    <row r="48308">
      <c r="B48308" s="31"/>
      <c r="G48308" s="272" t="s">
        <v>1099</v>
      </c>
    </row>
    <row r="48309">
      <c r="B48309" s="31"/>
      <c r="G48309" s="272" t="s">
        <v>1099</v>
      </c>
    </row>
    <row r="48310">
      <c r="B48310" s="31"/>
      <c r="G48310" s="272" t="s">
        <v>1099</v>
      </c>
    </row>
    <row r="48311">
      <c r="B48311" s="31"/>
      <c r="G48311" s="272" t="s">
        <v>1099</v>
      </c>
    </row>
    <row r="48312">
      <c r="B48312" s="31"/>
      <c r="G48312" s="272" t="s">
        <v>1099</v>
      </c>
    </row>
    <row r="48313">
      <c r="B48313" s="31"/>
      <c r="G48313" s="272" t="s">
        <v>1099</v>
      </c>
    </row>
    <row r="48314">
      <c r="B48314" s="31"/>
      <c r="G48314" s="272" t="s">
        <v>1099</v>
      </c>
    </row>
    <row r="48315">
      <c r="B48315" s="31"/>
      <c r="G48315" s="272" t="s">
        <v>1099</v>
      </c>
    </row>
    <row r="48316">
      <c r="B48316" s="31"/>
      <c r="G48316" s="272" t="s">
        <v>1099</v>
      </c>
    </row>
    <row r="48317">
      <c r="B48317" s="31"/>
      <c r="G48317" s="272" t="s">
        <v>1099</v>
      </c>
    </row>
    <row r="48318">
      <c r="B48318" s="31"/>
      <c r="G48318" s="272" t="s">
        <v>1099</v>
      </c>
    </row>
    <row r="48319">
      <c r="B48319" s="31"/>
      <c r="G48319" s="272" t="s">
        <v>1099</v>
      </c>
    </row>
    <row r="48320">
      <c r="B48320" s="31"/>
      <c r="G48320" s="272" t="s">
        <v>1099</v>
      </c>
    </row>
    <row r="48321">
      <c r="B48321" s="31"/>
      <c r="G48321" s="272" t="s">
        <v>1099</v>
      </c>
    </row>
    <row r="48322">
      <c r="B48322" s="31"/>
      <c r="G48322" s="272" t="s">
        <v>1099</v>
      </c>
    </row>
    <row r="48323">
      <c r="B48323" s="31"/>
      <c r="G48323" s="272" t="s">
        <v>1099</v>
      </c>
    </row>
    <row r="48324">
      <c r="B48324" s="31"/>
      <c r="G48324" s="272" t="s">
        <v>1099</v>
      </c>
    </row>
    <row r="48325">
      <c r="B48325" s="31"/>
      <c r="G48325" s="272" t="s">
        <v>1099</v>
      </c>
    </row>
    <row r="48326">
      <c r="B48326" s="31"/>
      <c r="G48326" s="272" t="s">
        <v>1099</v>
      </c>
    </row>
    <row r="48327">
      <c r="B48327" s="31"/>
      <c r="G48327" s="272" t="s">
        <v>1099</v>
      </c>
    </row>
    <row r="48328">
      <c r="B48328" s="31"/>
      <c r="G48328" s="272" t="s">
        <v>1099</v>
      </c>
    </row>
    <row r="48329">
      <c r="B48329" s="31"/>
      <c r="G48329" s="272" t="s">
        <v>1099</v>
      </c>
    </row>
    <row r="48330">
      <c r="B48330" s="31"/>
      <c r="G48330" s="272" t="s">
        <v>1099</v>
      </c>
    </row>
    <row r="48331">
      <c r="B48331" s="31"/>
      <c r="G48331" s="272" t="s">
        <v>1099</v>
      </c>
    </row>
    <row r="48332">
      <c r="B48332" s="31"/>
      <c r="G48332" s="272" t="s">
        <v>1099</v>
      </c>
    </row>
    <row r="48333">
      <c r="B48333" s="31"/>
      <c r="G48333" s="272" t="s">
        <v>1099</v>
      </c>
    </row>
    <row r="48334">
      <c r="B48334" s="31"/>
      <c r="G48334" s="272" t="s">
        <v>1099</v>
      </c>
    </row>
    <row r="48335">
      <c r="B48335" s="31"/>
      <c r="G48335" s="272" t="s">
        <v>1099</v>
      </c>
    </row>
    <row r="48336">
      <c r="B48336" s="31"/>
      <c r="G48336" s="272" t="s">
        <v>1099</v>
      </c>
    </row>
    <row r="48337">
      <c r="B48337" s="31"/>
      <c r="G48337" s="272" t="s">
        <v>1099</v>
      </c>
    </row>
    <row r="48338">
      <c r="B48338" s="31"/>
      <c r="G48338" s="272" t="s">
        <v>1099</v>
      </c>
    </row>
    <row r="48339">
      <c r="B48339" s="31"/>
      <c r="G48339" s="272" t="s">
        <v>1099</v>
      </c>
    </row>
    <row r="48340">
      <c r="B48340" s="31"/>
      <c r="G48340" s="272" t="s">
        <v>1099</v>
      </c>
    </row>
    <row r="48341">
      <c r="B48341" s="31"/>
      <c r="G48341" s="272" t="s">
        <v>1099</v>
      </c>
    </row>
    <row r="48342">
      <c r="B48342" s="31"/>
      <c r="G48342" s="272" t="s">
        <v>1099</v>
      </c>
    </row>
    <row r="48343">
      <c r="B48343" s="31"/>
      <c r="G48343" s="272" t="s">
        <v>1099</v>
      </c>
    </row>
    <row r="48344">
      <c r="B48344" s="31"/>
      <c r="G48344" s="272" t="s">
        <v>1099</v>
      </c>
    </row>
    <row r="48345">
      <c r="B48345" s="31"/>
      <c r="G48345" s="272" t="s">
        <v>1099</v>
      </c>
    </row>
    <row r="48346">
      <c r="B48346" s="31"/>
      <c r="G48346" s="272" t="s">
        <v>1099</v>
      </c>
    </row>
    <row r="48347">
      <c r="B48347" s="31"/>
      <c r="G48347" s="272" t="s">
        <v>1099</v>
      </c>
    </row>
    <row r="48348">
      <c r="B48348" s="31"/>
      <c r="G48348" s="272" t="s">
        <v>1099</v>
      </c>
    </row>
    <row r="48349">
      <c r="B48349" s="31"/>
      <c r="G48349" s="272" t="s">
        <v>1099</v>
      </c>
    </row>
    <row r="48350">
      <c r="B48350" s="31"/>
      <c r="G48350" s="272" t="s">
        <v>1099</v>
      </c>
    </row>
    <row r="48351">
      <c r="B48351" s="31"/>
      <c r="G48351" s="272" t="s">
        <v>1099</v>
      </c>
    </row>
    <row r="48352">
      <c r="B48352" s="31"/>
      <c r="G48352" s="272" t="s">
        <v>1099</v>
      </c>
    </row>
    <row r="48353">
      <c r="B48353" s="31"/>
      <c r="G48353" s="272" t="s">
        <v>1099</v>
      </c>
    </row>
    <row r="48354">
      <c r="B48354" s="31"/>
      <c r="G48354" s="272" t="s">
        <v>1099</v>
      </c>
    </row>
    <row r="48355">
      <c r="B48355" s="31"/>
      <c r="G48355" s="272" t="s">
        <v>1099</v>
      </c>
    </row>
    <row r="48356">
      <c r="B48356" s="31"/>
      <c r="G48356" s="272" t="s">
        <v>1099</v>
      </c>
    </row>
    <row r="48357">
      <c r="B48357" s="31"/>
      <c r="G48357" s="272" t="s">
        <v>1099</v>
      </c>
    </row>
    <row r="48358">
      <c r="B48358" s="31"/>
      <c r="G48358" s="272" t="s">
        <v>1099</v>
      </c>
    </row>
    <row r="48359">
      <c r="B48359" s="31"/>
      <c r="G48359" s="272" t="s">
        <v>1099</v>
      </c>
    </row>
    <row r="48360">
      <c r="B48360" s="31"/>
      <c r="G48360" s="272" t="s">
        <v>1099</v>
      </c>
    </row>
    <row r="48361">
      <c r="B48361" s="31"/>
      <c r="G48361" s="272" t="s">
        <v>1099</v>
      </c>
    </row>
    <row r="48362">
      <c r="B48362" s="31"/>
      <c r="G48362" s="272" t="s">
        <v>1099</v>
      </c>
    </row>
    <row r="48363">
      <c r="B48363" s="31"/>
      <c r="G48363" s="272" t="s">
        <v>1099</v>
      </c>
    </row>
    <row r="48364">
      <c r="B48364" s="31"/>
      <c r="G48364" s="272" t="s">
        <v>1099</v>
      </c>
    </row>
    <row r="48365">
      <c r="B48365" s="31"/>
      <c r="G48365" s="272" t="s">
        <v>1099</v>
      </c>
    </row>
    <row r="48366">
      <c r="B48366" s="31"/>
      <c r="G48366" s="272" t="s">
        <v>1099</v>
      </c>
    </row>
    <row r="48367">
      <c r="B48367" s="31"/>
      <c r="G48367" s="272" t="s">
        <v>1099</v>
      </c>
    </row>
    <row r="48368">
      <c r="B48368" s="31"/>
      <c r="G48368" s="272" t="s">
        <v>1099</v>
      </c>
    </row>
    <row r="48369">
      <c r="B48369" s="31"/>
      <c r="G48369" s="272" t="s">
        <v>1099</v>
      </c>
    </row>
    <row r="48370">
      <c r="B48370" s="31"/>
      <c r="G48370" s="272" t="s">
        <v>1099</v>
      </c>
    </row>
    <row r="48371">
      <c r="B48371" s="31"/>
      <c r="G48371" s="272" t="s">
        <v>1099</v>
      </c>
    </row>
    <row r="48372">
      <c r="B48372" s="31"/>
      <c r="G48372" s="272" t="s">
        <v>1099</v>
      </c>
    </row>
    <row r="48373">
      <c r="B48373" s="31"/>
      <c r="G48373" s="272" t="s">
        <v>1099</v>
      </c>
    </row>
    <row r="48374">
      <c r="B48374" s="31"/>
      <c r="G48374" s="272" t="s">
        <v>1099</v>
      </c>
    </row>
    <row r="48375">
      <c r="B48375" s="31"/>
      <c r="G48375" s="272" t="s">
        <v>1099</v>
      </c>
    </row>
    <row r="48376">
      <c r="B48376" s="31"/>
      <c r="G48376" s="272" t="s">
        <v>1099</v>
      </c>
    </row>
    <row r="48377">
      <c r="B48377" s="31"/>
      <c r="G48377" s="272" t="s">
        <v>1099</v>
      </c>
    </row>
    <row r="48378">
      <c r="B48378" s="31"/>
      <c r="G48378" s="272" t="s">
        <v>1099</v>
      </c>
    </row>
    <row r="48379">
      <c r="B48379" s="31"/>
      <c r="G48379" s="272" t="s">
        <v>1099</v>
      </c>
    </row>
    <row r="48380">
      <c r="B48380" s="31"/>
      <c r="G48380" s="272" t="s">
        <v>1099</v>
      </c>
    </row>
    <row r="48381">
      <c r="B48381" s="31"/>
      <c r="G48381" s="272" t="s">
        <v>1099</v>
      </c>
    </row>
    <row r="48382">
      <c r="B48382" s="31"/>
      <c r="G48382" s="272" t="s">
        <v>1099</v>
      </c>
    </row>
    <row r="48383">
      <c r="B48383" s="31"/>
      <c r="G48383" s="272" t="s">
        <v>1099</v>
      </c>
    </row>
    <row r="48384">
      <c r="B48384" s="31"/>
      <c r="G48384" s="272" t="s">
        <v>1099</v>
      </c>
    </row>
    <row r="48385">
      <c r="B48385" s="31"/>
      <c r="G48385" s="272" t="s">
        <v>1099</v>
      </c>
    </row>
    <row r="48386">
      <c r="B48386" s="31"/>
      <c r="G48386" s="272" t="s">
        <v>1099</v>
      </c>
    </row>
    <row r="48387">
      <c r="B48387" s="31"/>
      <c r="G48387" s="272" t="s">
        <v>1099</v>
      </c>
    </row>
    <row r="48388">
      <c r="B48388" s="31"/>
      <c r="G48388" s="272" t="s">
        <v>1099</v>
      </c>
    </row>
    <row r="48389">
      <c r="B48389" s="31"/>
      <c r="G48389" s="272" t="s">
        <v>1099</v>
      </c>
    </row>
    <row r="48390">
      <c r="B48390" s="31"/>
      <c r="G48390" s="272" t="s">
        <v>1099</v>
      </c>
    </row>
    <row r="48391">
      <c r="B48391" s="31"/>
      <c r="G48391" s="272" t="s">
        <v>1099</v>
      </c>
    </row>
    <row r="48392">
      <c r="B48392" s="31"/>
      <c r="G48392" s="272" t="s">
        <v>1099</v>
      </c>
    </row>
    <row r="48393">
      <c r="B48393" s="31"/>
      <c r="G48393" s="272" t="s">
        <v>1099</v>
      </c>
    </row>
    <row r="48394">
      <c r="B48394" s="31"/>
      <c r="G48394" s="272" t="s">
        <v>1099</v>
      </c>
    </row>
    <row r="48395">
      <c r="B48395" s="31"/>
      <c r="G48395" s="272" t="s">
        <v>1099</v>
      </c>
    </row>
    <row r="48396">
      <c r="B48396" s="31"/>
      <c r="G48396" s="272" t="s">
        <v>1099</v>
      </c>
    </row>
    <row r="48397">
      <c r="B48397" s="31"/>
      <c r="G48397" s="272" t="s">
        <v>1099</v>
      </c>
    </row>
    <row r="48398">
      <c r="B48398" s="31"/>
      <c r="G48398" s="272" t="s">
        <v>1099</v>
      </c>
    </row>
    <row r="48399">
      <c r="B48399" s="31"/>
      <c r="G48399" s="272" t="s">
        <v>1099</v>
      </c>
    </row>
    <row r="48400">
      <c r="B48400" s="31"/>
      <c r="G48400" s="272" t="s">
        <v>1099</v>
      </c>
    </row>
    <row r="48401">
      <c r="B48401" s="31"/>
      <c r="G48401" s="272" t="s">
        <v>1099</v>
      </c>
    </row>
    <row r="48402">
      <c r="B48402" s="31"/>
      <c r="G48402" s="272" t="s">
        <v>1099</v>
      </c>
    </row>
    <row r="48403">
      <c r="B48403" s="31"/>
      <c r="G48403" s="272" t="s">
        <v>1099</v>
      </c>
    </row>
    <row r="48404">
      <c r="B48404" s="31"/>
      <c r="G48404" s="272" t="s">
        <v>1099</v>
      </c>
    </row>
    <row r="48405">
      <c r="B48405" s="31"/>
      <c r="G48405" s="272" t="s">
        <v>1099</v>
      </c>
    </row>
    <row r="48406">
      <c r="B48406" s="31"/>
      <c r="G48406" s="272" t="s">
        <v>1099</v>
      </c>
    </row>
    <row r="48407">
      <c r="B48407" s="31"/>
      <c r="G48407" s="272" t="s">
        <v>1099</v>
      </c>
    </row>
    <row r="48408">
      <c r="B48408" s="31"/>
      <c r="G48408" s="272" t="s">
        <v>1099</v>
      </c>
    </row>
    <row r="48409">
      <c r="B48409" s="31"/>
      <c r="G48409" s="272" t="s">
        <v>1099</v>
      </c>
    </row>
    <row r="48410">
      <c r="B48410" s="31"/>
      <c r="G48410" s="272" t="s">
        <v>1099</v>
      </c>
    </row>
    <row r="48411">
      <c r="B48411" s="31"/>
      <c r="G48411" s="272" t="s">
        <v>1099</v>
      </c>
    </row>
    <row r="48412">
      <c r="B48412" s="31"/>
      <c r="G48412" s="272" t="s">
        <v>1099</v>
      </c>
    </row>
    <row r="48413">
      <c r="B48413" s="31"/>
      <c r="G48413" s="272" t="s">
        <v>1099</v>
      </c>
    </row>
    <row r="48414">
      <c r="B48414" s="31"/>
      <c r="G48414" s="272" t="s">
        <v>1099</v>
      </c>
    </row>
    <row r="48415">
      <c r="B48415" s="31"/>
      <c r="G48415" s="272" t="s">
        <v>1099</v>
      </c>
    </row>
    <row r="48416">
      <c r="B48416" s="31"/>
      <c r="G48416" s="272" t="s">
        <v>1099</v>
      </c>
    </row>
    <row r="48417">
      <c r="B48417" s="31"/>
      <c r="G48417" s="272" t="s">
        <v>1099</v>
      </c>
    </row>
    <row r="48418">
      <c r="B48418" s="31"/>
      <c r="G48418" s="272" t="s">
        <v>1099</v>
      </c>
    </row>
    <row r="48419">
      <c r="B48419" s="31"/>
      <c r="G48419" s="272" t="s">
        <v>1099</v>
      </c>
    </row>
    <row r="48420">
      <c r="B48420" s="31"/>
      <c r="G48420" s="272" t="s">
        <v>1099</v>
      </c>
    </row>
    <row r="48421">
      <c r="B48421" s="31"/>
      <c r="G48421" s="272" t="s">
        <v>1099</v>
      </c>
    </row>
    <row r="48422">
      <c r="B48422" s="31"/>
      <c r="G48422" s="272" t="s">
        <v>1099</v>
      </c>
    </row>
    <row r="48423">
      <c r="B48423" s="31"/>
      <c r="G48423" s="272" t="s">
        <v>1099</v>
      </c>
    </row>
    <row r="48424">
      <c r="B48424" s="31"/>
      <c r="G48424" s="272" t="s">
        <v>1099</v>
      </c>
    </row>
    <row r="48425">
      <c r="B48425" s="31"/>
      <c r="G48425" s="272" t="s">
        <v>1099</v>
      </c>
    </row>
    <row r="48426">
      <c r="B48426" s="31"/>
      <c r="G48426" s="272" t="s">
        <v>1099</v>
      </c>
    </row>
    <row r="48427">
      <c r="B48427" s="31"/>
      <c r="G48427" s="272" t="s">
        <v>1099</v>
      </c>
    </row>
    <row r="48428">
      <c r="B48428" s="31"/>
      <c r="G48428" s="272" t="s">
        <v>1099</v>
      </c>
    </row>
    <row r="48429">
      <c r="B48429" s="31"/>
      <c r="G48429" s="272" t="s">
        <v>1099</v>
      </c>
    </row>
    <row r="48430">
      <c r="B48430" s="31"/>
      <c r="G48430" s="272" t="s">
        <v>1099</v>
      </c>
    </row>
    <row r="48431">
      <c r="B48431" s="31"/>
      <c r="G48431" s="272" t="s">
        <v>1099</v>
      </c>
    </row>
    <row r="48432">
      <c r="B48432" s="31"/>
      <c r="G48432" s="272" t="s">
        <v>1099</v>
      </c>
    </row>
    <row r="48433">
      <c r="B48433" s="31"/>
      <c r="G48433" s="272" t="s">
        <v>1099</v>
      </c>
    </row>
    <row r="48434">
      <c r="B48434" s="31"/>
      <c r="G48434" s="272" t="s">
        <v>1099</v>
      </c>
    </row>
    <row r="48435">
      <c r="B48435" s="31"/>
      <c r="G48435" s="272" t="s">
        <v>1099</v>
      </c>
    </row>
    <row r="48436">
      <c r="B48436" s="31"/>
      <c r="G48436" s="272" t="s">
        <v>1099</v>
      </c>
    </row>
    <row r="48437">
      <c r="B48437" s="31"/>
      <c r="G48437" s="272" t="s">
        <v>1099</v>
      </c>
    </row>
    <row r="48438">
      <c r="B48438" s="31"/>
      <c r="G48438" s="272" t="s">
        <v>1099</v>
      </c>
    </row>
    <row r="48439">
      <c r="B48439" s="31"/>
      <c r="G48439" s="272" t="s">
        <v>1099</v>
      </c>
    </row>
    <row r="48440">
      <c r="B48440" s="31"/>
      <c r="G48440" s="272" t="s">
        <v>1099</v>
      </c>
    </row>
    <row r="48441">
      <c r="B48441" s="31"/>
      <c r="G48441" s="272" t="s">
        <v>1099</v>
      </c>
    </row>
    <row r="48442">
      <c r="B48442" s="31"/>
      <c r="G48442" s="272" t="s">
        <v>1099</v>
      </c>
    </row>
    <row r="48443">
      <c r="B48443" s="31"/>
      <c r="G48443" s="272" t="s">
        <v>1099</v>
      </c>
    </row>
    <row r="48444">
      <c r="B48444" s="31"/>
      <c r="G48444" s="272" t="s">
        <v>1099</v>
      </c>
    </row>
    <row r="48445">
      <c r="B48445" s="31"/>
      <c r="G48445" s="272" t="s">
        <v>1099</v>
      </c>
    </row>
    <row r="48446">
      <c r="B48446" s="31"/>
      <c r="G48446" s="272" t="s">
        <v>1099</v>
      </c>
    </row>
    <row r="48447">
      <c r="B48447" s="31"/>
      <c r="G48447" s="272" t="s">
        <v>1099</v>
      </c>
    </row>
    <row r="48448">
      <c r="B48448" s="31"/>
      <c r="G48448" s="272" t="s">
        <v>1099</v>
      </c>
    </row>
    <row r="48449">
      <c r="B48449" s="31"/>
      <c r="G48449" s="272" t="s">
        <v>1099</v>
      </c>
    </row>
    <row r="48450">
      <c r="B48450" s="31"/>
      <c r="G48450" s="272" t="s">
        <v>1099</v>
      </c>
    </row>
    <row r="48451">
      <c r="B48451" s="31"/>
      <c r="G48451" s="272" t="s">
        <v>1099</v>
      </c>
    </row>
    <row r="48452">
      <c r="B48452" s="31"/>
      <c r="G48452" s="272" t="s">
        <v>1099</v>
      </c>
    </row>
    <row r="48453">
      <c r="B48453" s="31"/>
      <c r="G48453" s="272" t="s">
        <v>1099</v>
      </c>
    </row>
    <row r="48454">
      <c r="B48454" s="31"/>
      <c r="G48454" s="272" t="s">
        <v>1099</v>
      </c>
    </row>
    <row r="48455">
      <c r="B48455" s="31"/>
      <c r="G48455" s="272" t="s">
        <v>1099</v>
      </c>
    </row>
    <row r="48456">
      <c r="B48456" s="31"/>
      <c r="G48456" s="272" t="s">
        <v>1099</v>
      </c>
    </row>
    <row r="48457">
      <c r="B48457" s="31"/>
      <c r="G48457" s="272" t="s">
        <v>1099</v>
      </c>
    </row>
    <row r="48458">
      <c r="B48458" s="31"/>
      <c r="G48458" s="272" t="s">
        <v>1099</v>
      </c>
    </row>
    <row r="48459">
      <c r="B48459" s="31"/>
      <c r="G48459" s="272" t="s">
        <v>1099</v>
      </c>
    </row>
    <row r="48460">
      <c r="B48460" s="31"/>
      <c r="G48460" s="272" t="s">
        <v>1099</v>
      </c>
    </row>
    <row r="48461">
      <c r="B48461" s="31"/>
      <c r="G48461" s="272" t="s">
        <v>1099</v>
      </c>
    </row>
    <row r="48462">
      <c r="B48462" s="31"/>
      <c r="G48462" s="272" t="s">
        <v>1099</v>
      </c>
    </row>
    <row r="48463">
      <c r="B48463" s="31"/>
      <c r="G48463" s="272" t="s">
        <v>1099</v>
      </c>
    </row>
    <row r="48464">
      <c r="B48464" s="31"/>
      <c r="G48464" s="272" t="s">
        <v>1099</v>
      </c>
    </row>
    <row r="48465">
      <c r="B48465" s="31"/>
      <c r="G48465" s="272" t="s">
        <v>1099</v>
      </c>
    </row>
    <row r="48466">
      <c r="B48466" s="31"/>
      <c r="G48466" s="272" t="s">
        <v>1099</v>
      </c>
    </row>
    <row r="48467">
      <c r="B48467" s="31"/>
      <c r="G48467" s="272" t="s">
        <v>1099</v>
      </c>
    </row>
    <row r="48468">
      <c r="B48468" s="31"/>
      <c r="G48468" s="272" t="s">
        <v>1099</v>
      </c>
    </row>
    <row r="48469">
      <c r="B48469" s="31"/>
      <c r="G48469" s="272" t="s">
        <v>1099</v>
      </c>
    </row>
    <row r="48470">
      <c r="B48470" s="31"/>
      <c r="G48470" s="272" t="s">
        <v>1099</v>
      </c>
    </row>
    <row r="48471">
      <c r="B48471" s="31"/>
      <c r="G48471" s="272" t="s">
        <v>1099</v>
      </c>
    </row>
    <row r="48472">
      <c r="B48472" s="31"/>
      <c r="G48472" s="272" t="s">
        <v>1099</v>
      </c>
    </row>
    <row r="48473">
      <c r="B48473" s="31"/>
      <c r="G48473" s="272" t="s">
        <v>1099</v>
      </c>
    </row>
    <row r="48474">
      <c r="B48474" s="31"/>
      <c r="G48474" s="272" t="s">
        <v>1099</v>
      </c>
    </row>
    <row r="48475">
      <c r="B48475" s="31"/>
      <c r="G48475" s="272" t="s">
        <v>1099</v>
      </c>
    </row>
    <row r="48476">
      <c r="B48476" s="31"/>
      <c r="G48476" s="272" t="s">
        <v>1099</v>
      </c>
    </row>
    <row r="48477">
      <c r="B48477" s="31"/>
      <c r="G48477" s="272" t="s">
        <v>1099</v>
      </c>
    </row>
    <row r="48478">
      <c r="B48478" s="31"/>
      <c r="G48478" s="272" t="s">
        <v>1099</v>
      </c>
    </row>
    <row r="48479">
      <c r="B48479" s="31"/>
      <c r="G48479" s="272" t="s">
        <v>1099</v>
      </c>
    </row>
    <row r="48480">
      <c r="B48480" s="31"/>
      <c r="G48480" s="272" t="s">
        <v>1099</v>
      </c>
    </row>
    <row r="48481">
      <c r="B48481" s="31"/>
      <c r="G48481" s="272" t="s">
        <v>1099</v>
      </c>
    </row>
    <row r="48482">
      <c r="B48482" s="31"/>
      <c r="G48482" s="272" t="s">
        <v>1099</v>
      </c>
    </row>
    <row r="48483">
      <c r="B48483" s="31"/>
      <c r="G48483" s="272" t="s">
        <v>1099</v>
      </c>
    </row>
    <row r="48484">
      <c r="B48484" s="31"/>
      <c r="G48484" s="272" t="s">
        <v>1099</v>
      </c>
    </row>
    <row r="48485">
      <c r="B48485" s="31"/>
      <c r="G48485" s="272" t="s">
        <v>1099</v>
      </c>
    </row>
    <row r="48486">
      <c r="B48486" s="31"/>
      <c r="G48486" s="272" t="s">
        <v>1099</v>
      </c>
    </row>
    <row r="48487">
      <c r="B48487" s="31"/>
      <c r="G48487" s="272" t="s">
        <v>1099</v>
      </c>
    </row>
    <row r="48488">
      <c r="B48488" s="31"/>
      <c r="G48488" s="272" t="s">
        <v>1099</v>
      </c>
    </row>
    <row r="48489">
      <c r="B48489" s="31"/>
      <c r="G48489" s="272" t="s">
        <v>1099</v>
      </c>
    </row>
    <row r="48490">
      <c r="B48490" s="31"/>
      <c r="G48490" s="272" t="s">
        <v>1099</v>
      </c>
    </row>
    <row r="48491">
      <c r="B48491" s="31"/>
      <c r="G48491" s="272" t="s">
        <v>1099</v>
      </c>
    </row>
    <row r="48492">
      <c r="B48492" s="31"/>
      <c r="G48492" s="272" t="s">
        <v>1099</v>
      </c>
    </row>
    <row r="48493">
      <c r="B48493" s="31"/>
      <c r="G48493" s="272" t="s">
        <v>1099</v>
      </c>
    </row>
    <row r="48494">
      <c r="B48494" s="31"/>
      <c r="G48494" s="272" t="s">
        <v>1099</v>
      </c>
    </row>
    <row r="48495">
      <c r="B48495" s="31"/>
      <c r="G48495" s="272" t="s">
        <v>1099</v>
      </c>
    </row>
    <row r="48496">
      <c r="B48496" s="31"/>
      <c r="G48496" s="272" t="s">
        <v>1099</v>
      </c>
    </row>
    <row r="48497">
      <c r="B48497" s="31"/>
      <c r="G48497" s="272" t="s">
        <v>1099</v>
      </c>
    </row>
    <row r="48498">
      <c r="B48498" s="31"/>
      <c r="G48498" s="272" t="s">
        <v>1099</v>
      </c>
    </row>
    <row r="48499">
      <c r="B48499" s="31"/>
      <c r="G48499" s="272" t="s">
        <v>1099</v>
      </c>
    </row>
    <row r="48500">
      <c r="B48500" s="31"/>
      <c r="G48500" s="272" t="s">
        <v>1099</v>
      </c>
    </row>
    <row r="48501">
      <c r="B48501" s="31"/>
      <c r="G48501" s="272" t="s">
        <v>1099</v>
      </c>
    </row>
    <row r="48502">
      <c r="B48502" s="31"/>
      <c r="G48502" s="272" t="s">
        <v>1099</v>
      </c>
    </row>
    <row r="48503">
      <c r="B48503" s="31"/>
      <c r="G48503" s="272" t="s">
        <v>1099</v>
      </c>
    </row>
    <row r="48504">
      <c r="B48504" s="31"/>
      <c r="G48504" s="272" t="s">
        <v>1099</v>
      </c>
    </row>
    <row r="48505">
      <c r="B48505" s="31"/>
      <c r="G48505" s="272" t="s">
        <v>1099</v>
      </c>
    </row>
    <row r="48506">
      <c r="B48506" s="31"/>
      <c r="G48506" s="272" t="s">
        <v>1099</v>
      </c>
    </row>
    <row r="48507">
      <c r="B48507" s="31"/>
      <c r="G48507" s="272" t="s">
        <v>1099</v>
      </c>
    </row>
    <row r="48508">
      <c r="B48508" s="31"/>
      <c r="G48508" s="272" t="s">
        <v>1099</v>
      </c>
    </row>
    <row r="48509">
      <c r="B48509" s="31"/>
      <c r="G48509" s="272" t="s">
        <v>1099</v>
      </c>
    </row>
    <row r="48510">
      <c r="B48510" s="31"/>
      <c r="G48510" s="272" t="s">
        <v>1099</v>
      </c>
    </row>
    <row r="48511">
      <c r="B48511" s="31"/>
      <c r="G48511" s="272" t="s">
        <v>1099</v>
      </c>
    </row>
    <row r="48512">
      <c r="B48512" s="31"/>
      <c r="G48512" s="272" t="s">
        <v>1099</v>
      </c>
    </row>
    <row r="48513">
      <c r="B48513" s="31"/>
      <c r="G48513" s="272" t="s">
        <v>1099</v>
      </c>
    </row>
    <row r="48514">
      <c r="B48514" s="31"/>
      <c r="G48514" s="272" t="s">
        <v>1099</v>
      </c>
    </row>
    <row r="48515">
      <c r="B48515" s="31"/>
      <c r="G48515" s="272" t="s">
        <v>1099</v>
      </c>
    </row>
    <row r="48516">
      <c r="B48516" s="31"/>
      <c r="G48516" s="272" t="s">
        <v>1099</v>
      </c>
    </row>
    <row r="48517">
      <c r="B48517" s="31"/>
      <c r="G48517" s="272" t="s">
        <v>1099</v>
      </c>
    </row>
    <row r="48518">
      <c r="B48518" s="31"/>
      <c r="G48518" s="272" t="s">
        <v>1099</v>
      </c>
    </row>
    <row r="48519">
      <c r="B48519" s="31"/>
      <c r="G48519" s="272" t="s">
        <v>1099</v>
      </c>
    </row>
    <row r="48520">
      <c r="B48520" s="31"/>
      <c r="G48520" s="272" t="s">
        <v>1099</v>
      </c>
    </row>
    <row r="48521">
      <c r="B48521" s="31"/>
      <c r="G48521" s="272" t="s">
        <v>1099</v>
      </c>
    </row>
    <row r="48522">
      <c r="B48522" s="31"/>
      <c r="G48522" s="272" t="s">
        <v>1099</v>
      </c>
    </row>
    <row r="48523">
      <c r="B48523" s="31"/>
      <c r="G48523" s="272" t="s">
        <v>1099</v>
      </c>
    </row>
    <row r="48524">
      <c r="B48524" s="31"/>
      <c r="G48524" s="272" t="s">
        <v>1099</v>
      </c>
    </row>
    <row r="48525">
      <c r="B48525" s="31"/>
      <c r="G48525" s="272" t="s">
        <v>1099</v>
      </c>
    </row>
    <row r="48526">
      <c r="B48526" s="31"/>
      <c r="G48526" s="272" t="s">
        <v>1099</v>
      </c>
    </row>
    <row r="48527">
      <c r="B48527" s="31"/>
      <c r="G48527" s="272" t="s">
        <v>1099</v>
      </c>
    </row>
    <row r="48528">
      <c r="B48528" s="31"/>
      <c r="G48528" s="272" t="s">
        <v>1099</v>
      </c>
    </row>
    <row r="48529">
      <c r="B48529" s="31"/>
      <c r="G48529" s="272" t="s">
        <v>1099</v>
      </c>
    </row>
    <row r="48530">
      <c r="B48530" s="31"/>
      <c r="G48530" s="272" t="s">
        <v>1099</v>
      </c>
    </row>
    <row r="48531">
      <c r="B48531" s="31"/>
      <c r="G48531" s="272" t="s">
        <v>1099</v>
      </c>
    </row>
    <row r="48532">
      <c r="B48532" s="31"/>
      <c r="G48532" s="272" t="s">
        <v>1099</v>
      </c>
    </row>
    <row r="48533">
      <c r="B48533" s="31"/>
      <c r="G48533" s="272" t="s">
        <v>1099</v>
      </c>
    </row>
    <row r="48534">
      <c r="B48534" s="31"/>
      <c r="G48534" s="272" t="s">
        <v>1099</v>
      </c>
    </row>
    <row r="48535">
      <c r="B48535" s="31"/>
      <c r="G48535" s="272" t="s">
        <v>1099</v>
      </c>
    </row>
    <row r="48536">
      <c r="B48536" s="31"/>
      <c r="G48536" s="272" t="s">
        <v>1099</v>
      </c>
    </row>
    <row r="48537">
      <c r="B48537" s="31"/>
      <c r="G48537" s="272" t="s">
        <v>1099</v>
      </c>
    </row>
    <row r="48538">
      <c r="B48538" s="31"/>
      <c r="G48538" s="272" t="s">
        <v>1099</v>
      </c>
    </row>
    <row r="48539">
      <c r="B48539" s="31"/>
      <c r="G48539" s="272" t="s">
        <v>1099</v>
      </c>
    </row>
    <row r="48540">
      <c r="B48540" s="31"/>
      <c r="G48540" s="272" t="s">
        <v>1099</v>
      </c>
    </row>
    <row r="48541">
      <c r="B48541" s="31"/>
      <c r="G48541" s="272" t="s">
        <v>1099</v>
      </c>
    </row>
    <row r="48542">
      <c r="B48542" s="31"/>
      <c r="G48542" s="272" t="s">
        <v>1099</v>
      </c>
    </row>
    <row r="48543">
      <c r="B48543" s="31"/>
      <c r="G48543" s="272" t="s">
        <v>1099</v>
      </c>
    </row>
    <row r="48544">
      <c r="B48544" s="31"/>
      <c r="G48544" s="272" t="s">
        <v>1099</v>
      </c>
    </row>
    <row r="48545">
      <c r="B48545" s="31"/>
      <c r="G48545" s="272" t="s">
        <v>1099</v>
      </c>
    </row>
    <row r="48546">
      <c r="B48546" s="31"/>
      <c r="G48546" s="272" t="s">
        <v>1099</v>
      </c>
    </row>
    <row r="48547">
      <c r="B48547" s="31"/>
      <c r="G48547" s="272" t="s">
        <v>1099</v>
      </c>
    </row>
    <row r="48548">
      <c r="B48548" s="31"/>
      <c r="G48548" s="272" t="s">
        <v>1099</v>
      </c>
    </row>
    <row r="48549">
      <c r="B48549" s="31"/>
      <c r="G48549" s="272" t="s">
        <v>1099</v>
      </c>
    </row>
    <row r="48550">
      <c r="B48550" s="31"/>
      <c r="G48550" s="272" t="s">
        <v>1099</v>
      </c>
    </row>
    <row r="48551">
      <c r="B48551" s="31"/>
      <c r="G48551" s="272" t="s">
        <v>1099</v>
      </c>
    </row>
    <row r="48552">
      <c r="B48552" s="31"/>
      <c r="G48552" s="272" t="s">
        <v>1099</v>
      </c>
    </row>
    <row r="48553">
      <c r="B48553" s="31"/>
      <c r="G48553" s="272" t="s">
        <v>1099</v>
      </c>
    </row>
    <row r="48554">
      <c r="B48554" s="31"/>
      <c r="G48554" s="272" t="s">
        <v>1099</v>
      </c>
    </row>
    <row r="48555">
      <c r="B48555" s="31"/>
      <c r="G48555" s="272" t="s">
        <v>1099</v>
      </c>
    </row>
    <row r="48556">
      <c r="B48556" s="31"/>
      <c r="G48556" s="272" t="s">
        <v>1099</v>
      </c>
    </row>
    <row r="48557">
      <c r="B48557" s="31"/>
      <c r="G48557" s="272" t="s">
        <v>1099</v>
      </c>
    </row>
    <row r="48558">
      <c r="B48558" s="31"/>
      <c r="G48558" s="272" t="s">
        <v>1099</v>
      </c>
    </row>
    <row r="48559">
      <c r="B48559" s="31"/>
      <c r="G48559" s="272" t="s">
        <v>1099</v>
      </c>
    </row>
    <row r="48560">
      <c r="B48560" s="31"/>
      <c r="G48560" s="272" t="s">
        <v>1099</v>
      </c>
    </row>
    <row r="48561">
      <c r="B48561" s="31"/>
      <c r="G48561" s="272" t="s">
        <v>1099</v>
      </c>
    </row>
    <row r="48562">
      <c r="B48562" s="31"/>
      <c r="G48562" s="272" t="s">
        <v>1099</v>
      </c>
    </row>
    <row r="48563">
      <c r="B48563" s="31"/>
      <c r="G48563" s="272" t="s">
        <v>1099</v>
      </c>
    </row>
    <row r="48564">
      <c r="B48564" s="31"/>
      <c r="G48564" s="272" t="s">
        <v>1099</v>
      </c>
    </row>
    <row r="48565">
      <c r="B48565" s="31"/>
      <c r="G48565" s="272" t="s">
        <v>1099</v>
      </c>
    </row>
    <row r="48566">
      <c r="B48566" s="31"/>
      <c r="G48566" s="272" t="s">
        <v>1099</v>
      </c>
    </row>
    <row r="48567">
      <c r="B48567" s="31"/>
      <c r="G48567" s="272" t="s">
        <v>1099</v>
      </c>
    </row>
    <row r="48568">
      <c r="B48568" s="31"/>
      <c r="G48568" s="272" t="s">
        <v>1099</v>
      </c>
    </row>
    <row r="48569">
      <c r="B48569" s="31"/>
      <c r="G48569" s="272" t="s">
        <v>1099</v>
      </c>
    </row>
    <row r="48570">
      <c r="B48570" s="31"/>
      <c r="G48570" s="272" t="s">
        <v>1099</v>
      </c>
    </row>
    <row r="48571">
      <c r="B48571" s="31"/>
      <c r="G48571" s="272" t="s">
        <v>1099</v>
      </c>
    </row>
    <row r="48572">
      <c r="B48572" s="31"/>
      <c r="G48572" s="272" t="s">
        <v>1099</v>
      </c>
    </row>
    <row r="48573">
      <c r="B48573" s="31"/>
      <c r="G48573" s="272" t="s">
        <v>1099</v>
      </c>
    </row>
    <row r="48574">
      <c r="B48574" s="31"/>
      <c r="G48574" s="272" t="s">
        <v>1099</v>
      </c>
    </row>
    <row r="48575">
      <c r="B48575" s="31"/>
      <c r="G48575" s="272" t="s">
        <v>1099</v>
      </c>
    </row>
    <row r="48576">
      <c r="B48576" s="31"/>
      <c r="G48576" s="272" t="s">
        <v>1099</v>
      </c>
    </row>
    <row r="48577">
      <c r="B48577" s="31"/>
      <c r="G48577" s="272" t="s">
        <v>1099</v>
      </c>
    </row>
    <row r="48578">
      <c r="B48578" s="31"/>
      <c r="G48578" s="272" t="s">
        <v>1099</v>
      </c>
    </row>
    <row r="48579">
      <c r="B48579" s="31"/>
      <c r="G48579" s="272" t="s">
        <v>1099</v>
      </c>
    </row>
    <row r="48580">
      <c r="B48580" s="31"/>
      <c r="G48580" s="272" t="s">
        <v>1099</v>
      </c>
    </row>
    <row r="48581">
      <c r="B48581" s="31"/>
      <c r="G48581" s="272" t="s">
        <v>1099</v>
      </c>
    </row>
    <row r="48582">
      <c r="B48582" s="31"/>
      <c r="G48582" s="272" t="s">
        <v>1099</v>
      </c>
    </row>
    <row r="48583">
      <c r="B48583" s="31"/>
      <c r="G48583" s="272" t="s">
        <v>1099</v>
      </c>
    </row>
    <row r="48584">
      <c r="B48584" s="31"/>
      <c r="G48584" s="272" t="s">
        <v>1099</v>
      </c>
    </row>
    <row r="48585">
      <c r="B48585" s="31"/>
      <c r="G48585" s="272" t="s">
        <v>1099</v>
      </c>
    </row>
    <row r="48586">
      <c r="B48586" s="31"/>
      <c r="G48586" s="272" t="s">
        <v>1099</v>
      </c>
    </row>
    <row r="48587">
      <c r="B48587" s="31"/>
      <c r="G48587" s="272" t="s">
        <v>1099</v>
      </c>
    </row>
    <row r="48588">
      <c r="B48588" s="31"/>
      <c r="G48588" s="272" t="s">
        <v>1099</v>
      </c>
    </row>
    <row r="48589">
      <c r="B48589" s="31"/>
      <c r="G48589" s="272" t="s">
        <v>1099</v>
      </c>
    </row>
    <row r="48590">
      <c r="B48590" s="31"/>
      <c r="G48590" s="272" t="s">
        <v>1099</v>
      </c>
    </row>
    <row r="48591">
      <c r="B48591" s="31"/>
      <c r="G48591" s="272" t="s">
        <v>1099</v>
      </c>
    </row>
    <row r="48592">
      <c r="B48592" s="31"/>
      <c r="G48592" s="272" t="s">
        <v>1099</v>
      </c>
    </row>
    <row r="48593">
      <c r="B48593" s="31"/>
      <c r="G48593" s="272" t="s">
        <v>1099</v>
      </c>
    </row>
    <row r="48594">
      <c r="B48594" s="31"/>
      <c r="G48594" s="272" t="s">
        <v>1099</v>
      </c>
    </row>
    <row r="48595">
      <c r="B48595" s="31"/>
      <c r="G48595" s="272" t="s">
        <v>1099</v>
      </c>
    </row>
    <row r="48596">
      <c r="B48596" s="31"/>
      <c r="G48596" s="272" t="s">
        <v>1099</v>
      </c>
    </row>
    <row r="48597">
      <c r="B48597" s="31"/>
      <c r="G48597" s="272" t="s">
        <v>1099</v>
      </c>
    </row>
    <row r="48598">
      <c r="B48598" s="31"/>
      <c r="G48598" s="272" t="s">
        <v>1099</v>
      </c>
    </row>
    <row r="48599">
      <c r="B48599" s="31"/>
      <c r="G48599" s="272" t="s">
        <v>1099</v>
      </c>
    </row>
    <row r="48600">
      <c r="B48600" s="31"/>
      <c r="G48600" s="272" t="s">
        <v>1099</v>
      </c>
    </row>
    <row r="48601">
      <c r="B48601" s="31"/>
      <c r="G48601" s="272" t="s">
        <v>1099</v>
      </c>
    </row>
    <row r="48602">
      <c r="B48602" s="31"/>
      <c r="G48602" s="272" t="s">
        <v>1099</v>
      </c>
    </row>
    <row r="48603">
      <c r="B48603" s="31"/>
      <c r="G48603" s="272" t="s">
        <v>1099</v>
      </c>
    </row>
    <row r="48604">
      <c r="B48604" s="31"/>
      <c r="G48604" s="272" t="s">
        <v>1099</v>
      </c>
    </row>
    <row r="48605">
      <c r="B48605" s="31"/>
      <c r="G48605" s="272" t="s">
        <v>1099</v>
      </c>
    </row>
    <row r="48606">
      <c r="B48606" s="31"/>
      <c r="G48606" s="272" t="s">
        <v>1099</v>
      </c>
    </row>
    <row r="48607">
      <c r="B48607" s="31"/>
      <c r="G48607" s="272" t="s">
        <v>1099</v>
      </c>
    </row>
    <row r="48608">
      <c r="B48608" s="31"/>
      <c r="G48608" s="272" t="s">
        <v>1099</v>
      </c>
    </row>
    <row r="48609">
      <c r="B48609" s="31"/>
      <c r="G48609" s="272" t="s">
        <v>1099</v>
      </c>
    </row>
    <row r="48610">
      <c r="B48610" s="31"/>
      <c r="G48610" s="272" t="s">
        <v>1099</v>
      </c>
    </row>
    <row r="48611">
      <c r="B48611" s="31"/>
      <c r="G48611" s="272" t="s">
        <v>1099</v>
      </c>
    </row>
    <row r="48612">
      <c r="B48612" s="31"/>
      <c r="G48612" s="272" t="s">
        <v>1099</v>
      </c>
    </row>
    <row r="48613">
      <c r="B48613" s="31"/>
      <c r="G48613" s="272" t="s">
        <v>1099</v>
      </c>
    </row>
    <row r="48614">
      <c r="B48614" s="31"/>
      <c r="G48614" s="272" t="s">
        <v>1099</v>
      </c>
    </row>
    <row r="48615">
      <c r="B48615" s="31"/>
      <c r="G48615" s="272" t="s">
        <v>1099</v>
      </c>
    </row>
    <row r="48616">
      <c r="B48616" s="31"/>
      <c r="G48616" s="272" t="s">
        <v>1099</v>
      </c>
    </row>
    <row r="48617">
      <c r="B48617" s="31"/>
      <c r="G48617" s="272" t="s">
        <v>1099</v>
      </c>
    </row>
    <row r="48618">
      <c r="B48618" s="31"/>
      <c r="G48618" s="272" t="s">
        <v>1099</v>
      </c>
    </row>
    <row r="48619">
      <c r="B48619" s="31"/>
      <c r="G48619" s="272" t="s">
        <v>1099</v>
      </c>
    </row>
    <row r="48620">
      <c r="B48620" s="31"/>
      <c r="G48620" s="272" t="s">
        <v>1099</v>
      </c>
    </row>
    <row r="48621">
      <c r="B48621" s="31"/>
      <c r="G48621" s="272" t="s">
        <v>1099</v>
      </c>
    </row>
    <row r="48622">
      <c r="B48622" s="31"/>
      <c r="G48622" s="272" t="s">
        <v>1099</v>
      </c>
    </row>
    <row r="48623">
      <c r="B48623" s="31"/>
      <c r="G48623" s="272" t="s">
        <v>1099</v>
      </c>
    </row>
    <row r="48624">
      <c r="B48624" s="31"/>
      <c r="G48624" s="272" t="s">
        <v>1099</v>
      </c>
    </row>
    <row r="48625">
      <c r="B48625" s="31"/>
      <c r="G48625" s="272" t="s">
        <v>1099</v>
      </c>
    </row>
    <row r="48626">
      <c r="B48626" s="31"/>
      <c r="G48626" s="272" t="s">
        <v>1099</v>
      </c>
    </row>
    <row r="48627">
      <c r="B48627" s="31"/>
      <c r="G48627" s="272" t="s">
        <v>1099</v>
      </c>
    </row>
    <row r="48628">
      <c r="B48628" s="31"/>
      <c r="G48628" s="272" t="s">
        <v>1099</v>
      </c>
    </row>
    <row r="48629">
      <c r="B48629" s="31"/>
      <c r="G48629" s="272" t="s">
        <v>1099</v>
      </c>
    </row>
    <row r="48630">
      <c r="B48630" s="31"/>
      <c r="G48630" s="272" t="s">
        <v>1099</v>
      </c>
    </row>
    <row r="48631">
      <c r="B48631" s="31"/>
      <c r="G48631" s="272" t="s">
        <v>1099</v>
      </c>
    </row>
    <row r="48632">
      <c r="B48632" s="31"/>
      <c r="G48632" s="272" t="s">
        <v>1099</v>
      </c>
    </row>
    <row r="48633">
      <c r="B48633" s="31"/>
      <c r="G48633" s="272" t="s">
        <v>1099</v>
      </c>
    </row>
    <row r="48634">
      <c r="B48634" s="31"/>
      <c r="G48634" s="272" t="s">
        <v>1099</v>
      </c>
    </row>
    <row r="48635">
      <c r="B48635" s="31"/>
      <c r="G48635" s="272" t="s">
        <v>1099</v>
      </c>
    </row>
    <row r="48636">
      <c r="B48636" s="31"/>
      <c r="G48636" s="272" t="s">
        <v>1099</v>
      </c>
    </row>
    <row r="48637">
      <c r="B48637" s="31"/>
      <c r="G48637" s="272" t="s">
        <v>1099</v>
      </c>
    </row>
    <row r="48638">
      <c r="B48638" s="31"/>
      <c r="G48638" s="272" t="s">
        <v>1099</v>
      </c>
    </row>
    <row r="48639">
      <c r="B48639" s="31"/>
      <c r="G48639" s="272" t="s">
        <v>1099</v>
      </c>
    </row>
    <row r="48640">
      <c r="B48640" s="31"/>
      <c r="G48640" s="272" t="s">
        <v>1099</v>
      </c>
    </row>
    <row r="48641">
      <c r="B48641" s="31"/>
      <c r="G48641" s="272" t="s">
        <v>1099</v>
      </c>
    </row>
    <row r="48642">
      <c r="B48642" s="31"/>
      <c r="G48642" s="272" t="s">
        <v>1099</v>
      </c>
    </row>
    <row r="48643">
      <c r="B48643" s="31"/>
      <c r="G48643" s="272" t="s">
        <v>1099</v>
      </c>
    </row>
    <row r="48644">
      <c r="B48644" s="31"/>
      <c r="G48644" s="272" t="s">
        <v>1099</v>
      </c>
    </row>
    <row r="48645">
      <c r="B48645" s="31"/>
      <c r="G48645" s="272" t="s">
        <v>1099</v>
      </c>
    </row>
    <row r="48646">
      <c r="B48646" s="31"/>
      <c r="G48646" s="272" t="s">
        <v>1099</v>
      </c>
    </row>
    <row r="48647">
      <c r="B48647" s="31"/>
      <c r="G48647" s="272" t="s">
        <v>1099</v>
      </c>
    </row>
    <row r="48648">
      <c r="B48648" s="31"/>
      <c r="G48648" s="272" t="s">
        <v>1099</v>
      </c>
    </row>
    <row r="48649">
      <c r="B48649" s="31"/>
      <c r="G48649" s="272" t="s">
        <v>1099</v>
      </c>
    </row>
    <row r="48650">
      <c r="B48650" s="31"/>
      <c r="G48650" s="272" t="s">
        <v>1099</v>
      </c>
    </row>
    <row r="48651">
      <c r="B48651" s="31"/>
      <c r="G48651" s="272" t="s">
        <v>1099</v>
      </c>
    </row>
    <row r="48652">
      <c r="B48652" s="31"/>
      <c r="G48652" s="272" t="s">
        <v>1099</v>
      </c>
    </row>
    <row r="48653">
      <c r="B48653" s="31"/>
      <c r="G48653" s="272" t="s">
        <v>1099</v>
      </c>
    </row>
    <row r="48654">
      <c r="B48654" s="31"/>
      <c r="G48654" s="272" t="s">
        <v>1099</v>
      </c>
    </row>
    <row r="48655">
      <c r="B48655" s="31"/>
      <c r="G48655" s="272" t="s">
        <v>1099</v>
      </c>
    </row>
    <row r="48656">
      <c r="B48656" s="31"/>
      <c r="G48656" s="272" t="s">
        <v>1099</v>
      </c>
    </row>
    <row r="48657">
      <c r="B48657" s="31"/>
      <c r="G48657" s="272" t="s">
        <v>1099</v>
      </c>
    </row>
    <row r="48658">
      <c r="B48658" s="31"/>
      <c r="G48658" s="272" t="s">
        <v>1099</v>
      </c>
    </row>
    <row r="48659">
      <c r="B48659" s="31"/>
      <c r="G48659" s="272" t="s">
        <v>1099</v>
      </c>
    </row>
    <row r="48660">
      <c r="B48660" s="31"/>
      <c r="G48660" s="272" t="s">
        <v>1099</v>
      </c>
    </row>
    <row r="48661">
      <c r="B48661" s="31"/>
      <c r="G48661" s="272" t="s">
        <v>1099</v>
      </c>
    </row>
    <row r="48662">
      <c r="B48662" s="31"/>
      <c r="G48662" s="272" t="s">
        <v>1099</v>
      </c>
    </row>
    <row r="48663">
      <c r="B48663" s="31"/>
      <c r="G48663" s="272" t="s">
        <v>1099</v>
      </c>
    </row>
    <row r="48664">
      <c r="B48664" s="31"/>
      <c r="G48664" s="272" t="s">
        <v>1099</v>
      </c>
    </row>
    <row r="48665">
      <c r="B48665" s="31"/>
      <c r="G48665" s="272" t="s">
        <v>1099</v>
      </c>
    </row>
    <row r="48666">
      <c r="B48666" s="31"/>
      <c r="G48666" s="272" t="s">
        <v>1099</v>
      </c>
    </row>
    <row r="48667">
      <c r="B48667" s="31"/>
      <c r="G48667" s="272" t="s">
        <v>1099</v>
      </c>
    </row>
    <row r="48668">
      <c r="B48668" s="31"/>
      <c r="G48668" s="272" t="s">
        <v>1099</v>
      </c>
    </row>
    <row r="48669">
      <c r="B48669" s="31"/>
      <c r="G48669" s="272" t="s">
        <v>1099</v>
      </c>
    </row>
    <row r="48670">
      <c r="B48670" s="31"/>
      <c r="G48670" s="272" t="s">
        <v>1099</v>
      </c>
    </row>
    <row r="48671">
      <c r="B48671" s="31"/>
      <c r="G48671" s="272" t="s">
        <v>1099</v>
      </c>
    </row>
    <row r="48672">
      <c r="B48672" s="31"/>
      <c r="G48672" s="272" t="s">
        <v>1099</v>
      </c>
    </row>
    <row r="48673">
      <c r="B48673" s="31"/>
      <c r="G48673" s="272" t="s">
        <v>1099</v>
      </c>
    </row>
    <row r="48674">
      <c r="B48674" s="31"/>
      <c r="G48674" s="272" t="s">
        <v>1099</v>
      </c>
    </row>
    <row r="48675">
      <c r="B48675" s="31"/>
      <c r="G48675" s="272" t="s">
        <v>1099</v>
      </c>
    </row>
    <row r="48676">
      <c r="B48676" s="31"/>
      <c r="G48676" s="272" t="s">
        <v>1099</v>
      </c>
    </row>
    <row r="48677">
      <c r="B48677" s="31"/>
      <c r="G48677" s="272" t="s">
        <v>1099</v>
      </c>
    </row>
    <row r="48678">
      <c r="B48678" s="31"/>
      <c r="G48678" s="272" t="s">
        <v>1099</v>
      </c>
    </row>
    <row r="48679">
      <c r="B48679" s="31"/>
      <c r="G48679" s="272" t="s">
        <v>1099</v>
      </c>
    </row>
    <row r="48680">
      <c r="B48680" s="31"/>
      <c r="G48680" s="272" t="s">
        <v>1099</v>
      </c>
    </row>
    <row r="48681">
      <c r="B48681" s="31"/>
      <c r="G48681" s="272" t="s">
        <v>1099</v>
      </c>
    </row>
    <row r="48682">
      <c r="B48682" s="31"/>
      <c r="G48682" s="272" t="s">
        <v>1099</v>
      </c>
    </row>
    <row r="48683">
      <c r="B48683" s="31"/>
      <c r="G48683" s="272" t="s">
        <v>1099</v>
      </c>
    </row>
    <row r="48684">
      <c r="B48684" s="31"/>
      <c r="G48684" s="272" t="s">
        <v>1099</v>
      </c>
    </row>
    <row r="48685">
      <c r="B48685" s="31"/>
      <c r="G48685" s="272" t="s">
        <v>1099</v>
      </c>
    </row>
    <row r="48686">
      <c r="B48686" s="31"/>
      <c r="G48686" s="272" t="s">
        <v>1099</v>
      </c>
    </row>
    <row r="48687">
      <c r="B48687" s="31"/>
      <c r="G48687" s="272" t="s">
        <v>1099</v>
      </c>
    </row>
    <row r="48688">
      <c r="B48688" s="31"/>
      <c r="G48688" s="272" t="s">
        <v>1099</v>
      </c>
    </row>
    <row r="48689">
      <c r="B48689" s="31"/>
      <c r="G48689" s="272" t="s">
        <v>1099</v>
      </c>
    </row>
    <row r="48690">
      <c r="B48690" s="31"/>
      <c r="G48690" s="272" t="s">
        <v>1099</v>
      </c>
    </row>
    <row r="48691">
      <c r="B48691" s="31"/>
      <c r="G48691" s="272" t="s">
        <v>1099</v>
      </c>
    </row>
    <row r="48692">
      <c r="B48692" s="31"/>
      <c r="G48692" s="272" t="s">
        <v>1099</v>
      </c>
    </row>
    <row r="48693">
      <c r="B48693" s="31"/>
      <c r="G48693" s="272" t="s">
        <v>1099</v>
      </c>
    </row>
    <row r="48694">
      <c r="B48694" s="31"/>
      <c r="G48694" s="272" t="s">
        <v>1099</v>
      </c>
    </row>
    <row r="48695">
      <c r="B48695" s="31"/>
      <c r="G48695" s="272" t="s">
        <v>1099</v>
      </c>
    </row>
    <row r="48696">
      <c r="B48696" s="31"/>
      <c r="G48696" s="272" t="s">
        <v>1099</v>
      </c>
    </row>
    <row r="48697">
      <c r="B48697" s="31"/>
      <c r="G48697" s="272" t="s">
        <v>1099</v>
      </c>
    </row>
    <row r="48698">
      <c r="B48698" s="31"/>
      <c r="G48698" s="272" t="s">
        <v>1099</v>
      </c>
    </row>
    <row r="48699">
      <c r="B48699" s="31"/>
      <c r="G48699" s="272" t="s">
        <v>1099</v>
      </c>
    </row>
    <row r="48700">
      <c r="B48700" s="31"/>
      <c r="G48700" s="272" t="s">
        <v>1099</v>
      </c>
    </row>
    <row r="48701">
      <c r="B48701" s="31"/>
      <c r="G48701" s="272" t="s">
        <v>1099</v>
      </c>
    </row>
    <row r="48702">
      <c r="B48702" s="31"/>
      <c r="G48702" s="272" t="s">
        <v>1099</v>
      </c>
    </row>
    <row r="48703">
      <c r="B48703" s="31"/>
      <c r="G48703" s="272" t="s">
        <v>1099</v>
      </c>
    </row>
    <row r="48704">
      <c r="B48704" s="31"/>
      <c r="G48704" s="272" t="s">
        <v>1099</v>
      </c>
    </row>
    <row r="48705">
      <c r="B48705" s="31"/>
      <c r="G48705" s="272" t="s">
        <v>1099</v>
      </c>
    </row>
    <row r="48706">
      <c r="B48706" s="31"/>
      <c r="G48706" s="272" t="s">
        <v>1099</v>
      </c>
    </row>
    <row r="48707">
      <c r="B48707" s="31"/>
      <c r="G48707" s="272" t="s">
        <v>1099</v>
      </c>
    </row>
    <row r="48708">
      <c r="B48708" s="31"/>
      <c r="G48708" s="272" t="s">
        <v>1099</v>
      </c>
    </row>
    <row r="48709">
      <c r="B48709" s="31"/>
      <c r="G48709" s="272" t="s">
        <v>1099</v>
      </c>
    </row>
    <row r="48710">
      <c r="B48710" s="31"/>
      <c r="G48710" s="272" t="s">
        <v>1099</v>
      </c>
    </row>
    <row r="48711">
      <c r="B48711" s="31"/>
      <c r="G48711" s="272" t="s">
        <v>1099</v>
      </c>
    </row>
    <row r="48712">
      <c r="B48712" s="31"/>
      <c r="G48712" s="272" t="s">
        <v>1099</v>
      </c>
    </row>
    <row r="48713">
      <c r="B48713" s="31"/>
      <c r="G48713" s="272" t="s">
        <v>1099</v>
      </c>
    </row>
    <row r="48714">
      <c r="B48714" s="31"/>
      <c r="G48714" s="272" t="s">
        <v>1099</v>
      </c>
    </row>
    <row r="48715">
      <c r="B48715" s="31"/>
      <c r="G48715" s="272" t="s">
        <v>1099</v>
      </c>
    </row>
    <row r="48716">
      <c r="B48716" s="31"/>
      <c r="G48716" s="272" t="s">
        <v>1099</v>
      </c>
    </row>
    <row r="48717">
      <c r="B48717" s="31"/>
      <c r="G48717" s="272" t="s">
        <v>1099</v>
      </c>
    </row>
    <row r="48718">
      <c r="B48718" s="31"/>
      <c r="G48718" s="272" t="s">
        <v>1099</v>
      </c>
    </row>
    <row r="48719">
      <c r="B48719" s="31"/>
      <c r="G48719" s="272" t="s">
        <v>1099</v>
      </c>
    </row>
    <row r="48720">
      <c r="B48720" s="31"/>
      <c r="G48720" s="272" t="s">
        <v>1099</v>
      </c>
    </row>
    <row r="48721">
      <c r="B48721" s="31"/>
      <c r="G48721" s="272" t="s">
        <v>1099</v>
      </c>
    </row>
    <row r="48722">
      <c r="B48722" s="31"/>
      <c r="G48722" s="272" t="s">
        <v>1099</v>
      </c>
    </row>
    <row r="48723">
      <c r="B48723" s="31"/>
      <c r="G48723" s="272" t="s">
        <v>1099</v>
      </c>
    </row>
    <row r="48724">
      <c r="B48724" s="31"/>
      <c r="G48724" s="272" t="s">
        <v>1099</v>
      </c>
    </row>
    <row r="48725">
      <c r="B48725" s="31"/>
      <c r="G48725" s="272" t="s">
        <v>1099</v>
      </c>
    </row>
    <row r="48726">
      <c r="B48726" s="31"/>
      <c r="G48726" s="272" t="s">
        <v>1099</v>
      </c>
    </row>
    <row r="48727">
      <c r="B48727" s="31"/>
      <c r="G48727" s="272" t="s">
        <v>1099</v>
      </c>
    </row>
    <row r="48728">
      <c r="B48728" s="31"/>
      <c r="G48728" s="272" t="s">
        <v>1099</v>
      </c>
    </row>
    <row r="48729">
      <c r="B48729" s="31"/>
      <c r="G48729" s="272" t="s">
        <v>1099</v>
      </c>
    </row>
    <row r="48730">
      <c r="B48730" s="31"/>
      <c r="G48730" s="272" t="s">
        <v>1099</v>
      </c>
    </row>
    <row r="48731">
      <c r="B48731" s="31"/>
      <c r="G48731" s="272" t="s">
        <v>1099</v>
      </c>
    </row>
    <row r="48732">
      <c r="B48732" s="31"/>
      <c r="G48732" s="272" t="s">
        <v>1099</v>
      </c>
    </row>
    <row r="48733">
      <c r="B48733" s="31"/>
      <c r="G48733" s="272" t="s">
        <v>1099</v>
      </c>
    </row>
    <row r="48734">
      <c r="B48734" s="31"/>
      <c r="G48734" s="272" t="s">
        <v>1099</v>
      </c>
    </row>
    <row r="48735">
      <c r="B48735" s="31"/>
      <c r="G48735" s="272" t="s">
        <v>1099</v>
      </c>
    </row>
    <row r="48736">
      <c r="B48736" s="31"/>
      <c r="G48736" s="272" t="s">
        <v>1099</v>
      </c>
    </row>
    <row r="48737">
      <c r="B48737" s="31"/>
      <c r="G48737" s="272" t="s">
        <v>1099</v>
      </c>
    </row>
    <row r="48738">
      <c r="B48738" s="31"/>
      <c r="G48738" s="272" t="s">
        <v>1099</v>
      </c>
    </row>
    <row r="48739">
      <c r="B48739" s="31"/>
      <c r="G48739" s="272" t="s">
        <v>1099</v>
      </c>
    </row>
    <row r="48740">
      <c r="B48740" s="31"/>
      <c r="G48740" s="272" t="s">
        <v>1099</v>
      </c>
    </row>
    <row r="48741">
      <c r="B48741" s="31"/>
      <c r="G48741" s="272" t="s">
        <v>1099</v>
      </c>
    </row>
    <row r="48742">
      <c r="B48742" s="31"/>
      <c r="G48742" s="272" t="s">
        <v>1099</v>
      </c>
    </row>
    <row r="48743">
      <c r="B48743" s="31"/>
      <c r="G48743" s="272" t="s">
        <v>1099</v>
      </c>
    </row>
    <row r="48744">
      <c r="B48744" s="31"/>
      <c r="G48744" s="272" t="s">
        <v>1099</v>
      </c>
    </row>
    <row r="48745">
      <c r="B48745" s="31"/>
      <c r="G48745" s="272" t="s">
        <v>1099</v>
      </c>
    </row>
    <row r="48746">
      <c r="B48746" s="31"/>
      <c r="G48746" s="272" t="s">
        <v>1099</v>
      </c>
    </row>
    <row r="48747">
      <c r="B48747" s="31"/>
      <c r="G48747" s="272" t="s">
        <v>1099</v>
      </c>
    </row>
    <row r="48748">
      <c r="B48748" s="31"/>
      <c r="G48748" s="272" t="s">
        <v>1099</v>
      </c>
    </row>
    <row r="48749">
      <c r="B48749" s="31"/>
      <c r="G48749" s="272" t="s">
        <v>1099</v>
      </c>
    </row>
    <row r="48750">
      <c r="B48750" s="31"/>
      <c r="G48750" s="272" t="s">
        <v>1099</v>
      </c>
    </row>
    <row r="48751">
      <c r="B48751" s="31"/>
      <c r="G48751" s="272" t="s">
        <v>1099</v>
      </c>
    </row>
    <row r="48752">
      <c r="B48752" s="31"/>
      <c r="G48752" s="272" t="s">
        <v>1099</v>
      </c>
    </row>
    <row r="48753">
      <c r="B48753" s="31"/>
      <c r="G48753" s="272" t="s">
        <v>1099</v>
      </c>
    </row>
    <row r="48754">
      <c r="B48754" s="31"/>
      <c r="G48754" s="272" t="s">
        <v>1099</v>
      </c>
    </row>
    <row r="48755">
      <c r="B48755" s="31"/>
      <c r="G48755" s="272" t="s">
        <v>1099</v>
      </c>
    </row>
    <row r="48756">
      <c r="B48756" s="31"/>
      <c r="G48756" s="272" t="s">
        <v>1099</v>
      </c>
    </row>
    <row r="48757">
      <c r="B48757" s="31"/>
      <c r="G48757" s="272" t="s">
        <v>1099</v>
      </c>
    </row>
    <row r="48758">
      <c r="B48758" s="31"/>
      <c r="G48758" s="272" t="s">
        <v>1099</v>
      </c>
    </row>
    <row r="48759">
      <c r="B48759" s="31"/>
      <c r="G48759" s="272" t="s">
        <v>1099</v>
      </c>
    </row>
    <row r="48760">
      <c r="B48760" s="31"/>
      <c r="G48760" s="272" t="s">
        <v>1099</v>
      </c>
    </row>
    <row r="48761">
      <c r="B48761" s="31"/>
      <c r="G48761" s="272" t="s">
        <v>1099</v>
      </c>
    </row>
    <row r="48762">
      <c r="B48762" s="31"/>
      <c r="G48762" s="272" t="s">
        <v>1099</v>
      </c>
    </row>
    <row r="48763">
      <c r="B48763" s="31"/>
      <c r="G48763" s="272" t="s">
        <v>1099</v>
      </c>
    </row>
    <row r="48764">
      <c r="B48764" s="31"/>
      <c r="G48764" s="272" t="s">
        <v>1099</v>
      </c>
    </row>
    <row r="48765">
      <c r="B48765" s="31"/>
      <c r="G48765" s="272" t="s">
        <v>1099</v>
      </c>
    </row>
    <row r="48766">
      <c r="B48766" s="31"/>
      <c r="G48766" s="272" t="s">
        <v>1099</v>
      </c>
    </row>
    <row r="48767">
      <c r="B48767" s="31"/>
      <c r="G48767" s="272" t="s">
        <v>1099</v>
      </c>
    </row>
    <row r="48768">
      <c r="B48768" s="31"/>
      <c r="G48768" s="272" t="s">
        <v>1099</v>
      </c>
    </row>
    <row r="48769">
      <c r="B48769" s="31"/>
      <c r="G48769" s="272" t="s">
        <v>1099</v>
      </c>
    </row>
    <row r="48770">
      <c r="B48770" s="31"/>
      <c r="G48770" s="272" t="s">
        <v>1099</v>
      </c>
    </row>
    <row r="48771">
      <c r="B48771" s="31"/>
      <c r="G48771" s="272" t="s">
        <v>1099</v>
      </c>
    </row>
    <row r="48772">
      <c r="B48772" s="31"/>
      <c r="G48772" s="272" t="s">
        <v>1099</v>
      </c>
    </row>
    <row r="48773">
      <c r="B48773" s="31"/>
      <c r="G48773" s="272" t="s">
        <v>1099</v>
      </c>
    </row>
    <row r="48774">
      <c r="B48774" s="31"/>
      <c r="G48774" s="272" t="s">
        <v>1099</v>
      </c>
    </row>
    <row r="48775">
      <c r="B48775" s="31"/>
      <c r="G48775" s="272" t="s">
        <v>1099</v>
      </c>
    </row>
    <row r="48776">
      <c r="B48776" s="31"/>
      <c r="G48776" s="272" t="s">
        <v>1099</v>
      </c>
    </row>
    <row r="48777">
      <c r="B48777" s="31"/>
      <c r="G48777" s="272" t="s">
        <v>1099</v>
      </c>
    </row>
    <row r="48778">
      <c r="B48778" s="31"/>
      <c r="G48778" s="272" t="s">
        <v>1099</v>
      </c>
    </row>
    <row r="48779">
      <c r="B48779" s="31"/>
      <c r="G48779" s="272" t="s">
        <v>1099</v>
      </c>
    </row>
    <row r="48780">
      <c r="B48780" s="31"/>
      <c r="G48780" s="272" t="s">
        <v>1099</v>
      </c>
    </row>
    <row r="48781">
      <c r="B48781" s="31"/>
      <c r="G48781" s="272" t="s">
        <v>1099</v>
      </c>
    </row>
    <row r="48782">
      <c r="B48782" s="31"/>
      <c r="G48782" s="272" t="s">
        <v>1099</v>
      </c>
    </row>
    <row r="48783">
      <c r="B48783" s="31"/>
      <c r="G48783" s="272" t="s">
        <v>1099</v>
      </c>
    </row>
    <row r="48784">
      <c r="B48784" s="31"/>
      <c r="G48784" s="272" t="s">
        <v>1099</v>
      </c>
    </row>
    <row r="48785">
      <c r="B48785" s="31"/>
      <c r="G48785" s="272" t="s">
        <v>1099</v>
      </c>
    </row>
    <row r="48786">
      <c r="B48786" s="31"/>
      <c r="G48786" s="272" t="s">
        <v>1099</v>
      </c>
    </row>
    <row r="48787">
      <c r="B48787" s="31"/>
      <c r="G48787" s="272" t="s">
        <v>1099</v>
      </c>
    </row>
    <row r="48788">
      <c r="B48788" s="31"/>
      <c r="G48788" s="272" t="s">
        <v>1099</v>
      </c>
    </row>
    <row r="48789">
      <c r="B48789" s="31"/>
      <c r="G48789" s="272" t="s">
        <v>1099</v>
      </c>
    </row>
    <row r="48790">
      <c r="B48790" s="31"/>
      <c r="G48790" s="272" t="s">
        <v>1099</v>
      </c>
    </row>
    <row r="48791">
      <c r="B48791" s="31"/>
      <c r="G48791" s="272" t="s">
        <v>1099</v>
      </c>
    </row>
    <row r="48792">
      <c r="B48792" s="31"/>
      <c r="G48792" s="272" t="s">
        <v>1099</v>
      </c>
    </row>
    <row r="48793">
      <c r="B48793" s="31"/>
      <c r="G48793" s="272" t="s">
        <v>1099</v>
      </c>
    </row>
    <row r="48794">
      <c r="B48794" s="31"/>
      <c r="G48794" s="272" t="s">
        <v>1099</v>
      </c>
    </row>
    <row r="48795">
      <c r="B48795" s="31"/>
      <c r="G48795" s="272" t="s">
        <v>1099</v>
      </c>
    </row>
    <row r="48796">
      <c r="B48796" s="31"/>
      <c r="G48796" s="272" t="s">
        <v>1099</v>
      </c>
    </row>
    <row r="48797">
      <c r="B48797" s="31"/>
      <c r="G48797" s="272" t="s">
        <v>1099</v>
      </c>
    </row>
    <row r="48798">
      <c r="B48798" s="31"/>
      <c r="G48798" s="272" t="s">
        <v>1099</v>
      </c>
    </row>
    <row r="48799">
      <c r="B48799" s="31"/>
      <c r="G48799" s="272" t="s">
        <v>1099</v>
      </c>
    </row>
    <row r="48800">
      <c r="B48800" s="31"/>
      <c r="G48800" s="272" t="s">
        <v>1099</v>
      </c>
    </row>
    <row r="48801">
      <c r="B48801" s="31"/>
      <c r="G48801" s="272" t="s">
        <v>1099</v>
      </c>
    </row>
    <row r="48802">
      <c r="B48802" s="31"/>
      <c r="G48802" s="272" t="s">
        <v>1099</v>
      </c>
    </row>
    <row r="48803">
      <c r="B48803" s="31"/>
      <c r="G48803" s="272" t="s">
        <v>1099</v>
      </c>
    </row>
    <row r="48804">
      <c r="B48804" s="31"/>
      <c r="G48804" s="272" t="s">
        <v>1099</v>
      </c>
    </row>
    <row r="48805">
      <c r="B48805" s="31"/>
      <c r="G48805" s="272" t="s">
        <v>1099</v>
      </c>
    </row>
    <row r="48806">
      <c r="B48806" s="31"/>
      <c r="G48806" s="272" t="s">
        <v>1099</v>
      </c>
    </row>
    <row r="48807">
      <c r="B48807" s="31"/>
      <c r="G48807" s="272" t="s">
        <v>1099</v>
      </c>
    </row>
    <row r="48808">
      <c r="B48808" s="31"/>
      <c r="G48808" s="272" t="s">
        <v>1099</v>
      </c>
    </row>
    <row r="48809">
      <c r="B48809" s="31"/>
      <c r="G48809" s="272" t="s">
        <v>1099</v>
      </c>
    </row>
    <row r="48810">
      <c r="B48810" s="31"/>
      <c r="G48810" s="272" t="s">
        <v>1099</v>
      </c>
    </row>
    <row r="48811">
      <c r="B48811" s="31"/>
      <c r="G48811" s="272" t="s">
        <v>1099</v>
      </c>
    </row>
    <row r="48812">
      <c r="B48812" s="31"/>
      <c r="G48812" s="272" t="s">
        <v>1099</v>
      </c>
    </row>
    <row r="48813">
      <c r="B48813" s="31"/>
      <c r="G48813" s="272" t="s">
        <v>1099</v>
      </c>
    </row>
    <row r="48814">
      <c r="B48814" s="31"/>
      <c r="G48814" s="272" t="s">
        <v>1099</v>
      </c>
    </row>
    <row r="48815">
      <c r="B48815" s="31"/>
      <c r="G48815" s="272" t="s">
        <v>1099</v>
      </c>
    </row>
    <row r="48816">
      <c r="B48816" s="31"/>
      <c r="G48816" s="272" t="s">
        <v>1099</v>
      </c>
    </row>
    <row r="48817">
      <c r="B48817" s="31"/>
      <c r="G48817" s="272" t="s">
        <v>1099</v>
      </c>
    </row>
    <row r="48818">
      <c r="B48818" s="31"/>
      <c r="G48818" s="272" t="s">
        <v>1099</v>
      </c>
    </row>
    <row r="48819">
      <c r="B48819" s="31"/>
      <c r="G48819" s="272" t="s">
        <v>1099</v>
      </c>
    </row>
    <row r="48820">
      <c r="B48820" s="31"/>
      <c r="G48820" s="272" t="s">
        <v>1099</v>
      </c>
    </row>
    <row r="48821">
      <c r="B48821" s="31"/>
      <c r="G48821" s="272" t="s">
        <v>1099</v>
      </c>
    </row>
    <row r="48822">
      <c r="B48822" s="31"/>
      <c r="G48822" s="272" t="s">
        <v>1099</v>
      </c>
    </row>
    <row r="48823">
      <c r="B48823" s="31"/>
      <c r="G48823" s="272" t="s">
        <v>1099</v>
      </c>
    </row>
    <row r="48824">
      <c r="B48824" s="31"/>
      <c r="G48824" s="272" t="s">
        <v>1099</v>
      </c>
    </row>
    <row r="48825">
      <c r="B48825" s="31"/>
      <c r="G48825" s="272" t="s">
        <v>1099</v>
      </c>
    </row>
    <row r="48826">
      <c r="B48826" s="31"/>
      <c r="G48826" s="272" t="s">
        <v>1099</v>
      </c>
    </row>
    <row r="48827">
      <c r="B48827" s="31"/>
      <c r="G48827" s="272" t="s">
        <v>1099</v>
      </c>
    </row>
    <row r="48828">
      <c r="B48828" s="31"/>
      <c r="G48828" s="272" t="s">
        <v>1099</v>
      </c>
    </row>
    <row r="48829">
      <c r="B48829" s="31"/>
      <c r="G48829" s="272" t="s">
        <v>1099</v>
      </c>
    </row>
    <row r="48830">
      <c r="B48830" s="31"/>
      <c r="G48830" s="272" t="s">
        <v>1099</v>
      </c>
    </row>
    <row r="48831">
      <c r="B48831" s="31"/>
      <c r="G48831" s="272" t="s">
        <v>1099</v>
      </c>
    </row>
    <row r="48832">
      <c r="B48832" s="31"/>
      <c r="G48832" s="272" t="s">
        <v>1099</v>
      </c>
    </row>
    <row r="48833">
      <c r="B48833" s="31"/>
      <c r="G48833" s="272" t="s">
        <v>1099</v>
      </c>
    </row>
    <row r="48834">
      <c r="B48834" s="31"/>
      <c r="G48834" s="272" t="s">
        <v>1099</v>
      </c>
    </row>
    <row r="48835">
      <c r="B48835" s="31"/>
      <c r="G48835" s="272" t="s">
        <v>1099</v>
      </c>
    </row>
    <row r="48836">
      <c r="B48836" s="31"/>
      <c r="G48836" s="272" t="s">
        <v>1099</v>
      </c>
    </row>
    <row r="48837">
      <c r="B48837" s="31"/>
      <c r="G48837" s="272" t="s">
        <v>1099</v>
      </c>
    </row>
    <row r="48838">
      <c r="B48838" s="31"/>
      <c r="G48838" s="272" t="s">
        <v>1099</v>
      </c>
    </row>
    <row r="48839">
      <c r="B48839" s="31"/>
      <c r="G48839" s="272" t="s">
        <v>1099</v>
      </c>
    </row>
    <row r="48840">
      <c r="B48840" s="31"/>
      <c r="G48840" s="272" t="s">
        <v>1099</v>
      </c>
    </row>
    <row r="48841">
      <c r="B48841" s="31"/>
      <c r="G48841" s="272" t="s">
        <v>1099</v>
      </c>
    </row>
    <row r="48842">
      <c r="B48842" s="31"/>
      <c r="G48842" s="272" t="s">
        <v>1099</v>
      </c>
    </row>
    <row r="48843">
      <c r="B48843" s="31"/>
      <c r="G48843" s="272" t="s">
        <v>1099</v>
      </c>
    </row>
    <row r="48844">
      <c r="B48844" s="31"/>
      <c r="G48844" s="272" t="s">
        <v>1099</v>
      </c>
    </row>
    <row r="48845">
      <c r="B48845" s="31"/>
      <c r="G48845" s="272" t="s">
        <v>1099</v>
      </c>
    </row>
    <row r="48846">
      <c r="B48846" s="31"/>
      <c r="G48846" s="272" t="s">
        <v>1099</v>
      </c>
    </row>
    <row r="48847">
      <c r="B48847" s="31"/>
      <c r="G48847" s="272" t="s">
        <v>1099</v>
      </c>
    </row>
    <row r="48848">
      <c r="B48848" s="31"/>
      <c r="G48848" s="272" t="s">
        <v>1099</v>
      </c>
    </row>
    <row r="48849">
      <c r="B48849" s="31"/>
      <c r="G48849" s="272" t="s">
        <v>1099</v>
      </c>
    </row>
    <row r="48850">
      <c r="B48850" s="31"/>
      <c r="G48850" s="272" t="s">
        <v>1099</v>
      </c>
    </row>
    <row r="48851">
      <c r="B48851" s="31"/>
      <c r="G48851" s="272" t="s">
        <v>1099</v>
      </c>
    </row>
    <row r="48852">
      <c r="B48852" s="31"/>
      <c r="G48852" s="272" t="s">
        <v>1099</v>
      </c>
    </row>
    <row r="48853">
      <c r="B48853" s="31"/>
      <c r="G48853" s="272" t="s">
        <v>1099</v>
      </c>
    </row>
    <row r="48854">
      <c r="B48854" s="31"/>
      <c r="G48854" s="272" t="s">
        <v>1099</v>
      </c>
    </row>
    <row r="48855">
      <c r="B48855" s="31"/>
      <c r="G48855" s="272" t="s">
        <v>1099</v>
      </c>
    </row>
    <row r="48856">
      <c r="B48856" s="31"/>
      <c r="G48856" s="272" t="s">
        <v>1099</v>
      </c>
    </row>
    <row r="48857">
      <c r="B48857" s="31"/>
      <c r="G48857" s="272" t="s">
        <v>1099</v>
      </c>
    </row>
    <row r="48858">
      <c r="B48858" s="31"/>
      <c r="G48858" s="272" t="s">
        <v>1099</v>
      </c>
    </row>
    <row r="48859">
      <c r="B48859" s="31"/>
      <c r="G48859" s="272" t="s">
        <v>1099</v>
      </c>
    </row>
    <row r="48860">
      <c r="B48860" s="31"/>
      <c r="G48860" s="272" t="s">
        <v>1099</v>
      </c>
    </row>
    <row r="48861">
      <c r="B48861" s="31"/>
      <c r="G48861" s="272" t="s">
        <v>1099</v>
      </c>
    </row>
    <row r="48862">
      <c r="B48862" s="31"/>
      <c r="G48862" s="272" t="s">
        <v>1099</v>
      </c>
    </row>
    <row r="48863">
      <c r="B48863" s="31"/>
      <c r="G48863" s="272" t="s">
        <v>1099</v>
      </c>
    </row>
    <row r="48864">
      <c r="B48864" s="31"/>
      <c r="G48864" s="272" t="s">
        <v>1099</v>
      </c>
    </row>
    <row r="48865">
      <c r="B48865" s="31"/>
      <c r="G48865" s="272" t="s">
        <v>1099</v>
      </c>
    </row>
    <row r="48866">
      <c r="B48866" s="31"/>
      <c r="G48866" s="272" t="s">
        <v>1099</v>
      </c>
    </row>
    <row r="48867">
      <c r="B48867" s="31"/>
      <c r="G48867" s="272" t="s">
        <v>1099</v>
      </c>
    </row>
    <row r="48868">
      <c r="B48868" s="31"/>
      <c r="G48868" s="272" t="s">
        <v>1099</v>
      </c>
    </row>
    <row r="48869">
      <c r="B48869" s="31"/>
      <c r="G48869" s="272" t="s">
        <v>1099</v>
      </c>
    </row>
    <row r="48870">
      <c r="B48870" s="31"/>
      <c r="G48870" s="272" t="s">
        <v>1099</v>
      </c>
    </row>
    <row r="48871">
      <c r="B48871" s="31"/>
      <c r="G48871" s="272" t="s">
        <v>1099</v>
      </c>
    </row>
    <row r="48872">
      <c r="B48872" s="31"/>
      <c r="G48872" s="272" t="s">
        <v>1099</v>
      </c>
    </row>
    <row r="48873">
      <c r="B48873" s="31"/>
      <c r="G48873" s="272" t="s">
        <v>1099</v>
      </c>
    </row>
    <row r="48874">
      <c r="B48874" s="31"/>
      <c r="G48874" s="272" t="s">
        <v>1099</v>
      </c>
    </row>
    <row r="48875">
      <c r="B48875" s="31"/>
      <c r="G48875" s="272" t="s">
        <v>1099</v>
      </c>
    </row>
    <row r="48876">
      <c r="B48876" s="31"/>
      <c r="G48876" s="272" t="s">
        <v>1099</v>
      </c>
    </row>
    <row r="48877">
      <c r="B48877" s="31"/>
      <c r="G48877" s="272" t="s">
        <v>1099</v>
      </c>
    </row>
    <row r="48878">
      <c r="B48878" s="31"/>
      <c r="G48878" s="272" t="s">
        <v>1099</v>
      </c>
    </row>
    <row r="48879">
      <c r="B48879" s="31"/>
      <c r="G48879" s="272" t="s">
        <v>1099</v>
      </c>
    </row>
    <row r="48880">
      <c r="B48880" s="31"/>
      <c r="G48880" s="272" t="s">
        <v>1099</v>
      </c>
    </row>
    <row r="48881">
      <c r="B48881" s="31"/>
      <c r="G48881" s="272" t="s">
        <v>1099</v>
      </c>
    </row>
    <row r="48882">
      <c r="B48882" s="31"/>
      <c r="G48882" s="272" t="s">
        <v>1099</v>
      </c>
    </row>
    <row r="48883">
      <c r="B48883" s="31"/>
      <c r="G48883" s="272" t="s">
        <v>1099</v>
      </c>
    </row>
    <row r="48884">
      <c r="B48884" s="31"/>
      <c r="G48884" s="272" t="s">
        <v>1099</v>
      </c>
    </row>
    <row r="48885">
      <c r="B48885" s="31"/>
      <c r="G48885" s="272" t="s">
        <v>1099</v>
      </c>
    </row>
    <row r="48886">
      <c r="B48886" s="31"/>
      <c r="G48886" s="272" t="s">
        <v>1099</v>
      </c>
    </row>
    <row r="48887">
      <c r="B48887" s="31"/>
      <c r="G48887" s="272" t="s">
        <v>1099</v>
      </c>
    </row>
    <row r="48888">
      <c r="B48888" s="31"/>
      <c r="G48888" s="272" t="s">
        <v>1099</v>
      </c>
    </row>
    <row r="48889">
      <c r="B48889" s="31"/>
      <c r="G48889" s="272" t="s">
        <v>1099</v>
      </c>
    </row>
    <row r="48890">
      <c r="B48890" s="31"/>
      <c r="G48890" s="272" t="s">
        <v>1099</v>
      </c>
    </row>
    <row r="48891">
      <c r="B48891" s="31"/>
      <c r="G48891" s="272" t="s">
        <v>1099</v>
      </c>
    </row>
    <row r="48892">
      <c r="B48892" s="31"/>
      <c r="G48892" s="272" t="s">
        <v>1099</v>
      </c>
    </row>
    <row r="48893">
      <c r="B48893" s="31"/>
      <c r="G48893" s="272" t="s">
        <v>1099</v>
      </c>
    </row>
    <row r="48894">
      <c r="B48894" s="31"/>
      <c r="G48894" s="272" t="s">
        <v>1099</v>
      </c>
    </row>
    <row r="48895">
      <c r="B48895" s="31"/>
      <c r="G48895" s="272" t="s">
        <v>1099</v>
      </c>
    </row>
    <row r="48896">
      <c r="B48896" s="31"/>
      <c r="G48896" s="272" t="s">
        <v>1099</v>
      </c>
    </row>
    <row r="48897">
      <c r="B48897" s="31"/>
      <c r="G48897" s="272" t="s">
        <v>1099</v>
      </c>
    </row>
    <row r="48898">
      <c r="B48898" s="31"/>
      <c r="G48898" s="272" t="s">
        <v>1099</v>
      </c>
    </row>
    <row r="48899">
      <c r="B48899" s="31"/>
      <c r="G48899" s="272" t="s">
        <v>1099</v>
      </c>
    </row>
    <row r="48900">
      <c r="B48900" s="31"/>
      <c r="G48900" s="272" t="s">
        <v>1099</v>
      </c>
    </row>
    <row r="48901">
      <c r="B48901" s="31"/>
      <c r="G48901" s="272" t="s">
        <v>1099</v>
      </c>
    </row>
    <row r="48902">
      <c r="B48902" s="31"/>
      <c r="G48902" s="272" t="s">
        <v>1099</v>
      </c>
    </row>
    <row r="48903">
      <c r="B48903" s="31"/>
      <c r="G48903" s="272" t="s">
        <v>1099</v>
      </c>
    </row>
    <row r="48904">
      <c r="B48904" s="31"/>
      <c r="G48904" s="272" t="s">
        <v>1099</v>
      </c>
    </row>
    <row r="48905">
      <c r="B48905" s="31"/>
      <c r="G48905" s="272" t="s">
        <v>1099</v>
      </c>
    </row>
    <row r="48906">
      <c r="B48906" s="31"/>
      <c r="G48906" s="272" t="s">
        <v>1099</v>
      </c>
    </row>
    <row r="48907">
      <c r="B48907" s="31"/>
      <c r="G48907" s="272" t="s">
        <v>1099</v>
      </c>
    </row>
    <row r="48908">
      <c r="B48908" s="31"/>
      <c r="G48908" s="272" t="s">
        <v>1099</v>
      </c>
    </row>
    <row r="48909">
      <c r="B48909" s="31"/>
      <c r="G48909" s="272" t="s">
        <v>1099</v>
      </c>
    </row>
    <row r="48910">
      <c r="B48910" s="31"/>
      <c r="G48910" s="272" t="s">
        <v>1099</v>
      </c>
    </row>
    <row r="48911">
      <c r="B48911" s="31"/>
      <c r="G48911" s="272" t="s">
        <v>1099</v>
      </c>
    </row>
    <row r="48912">
      <c r="B48912" s="31"/>
      <c r="G48912" s="272" t="s">
        <v>1099</v>
      </c>
    </row>
    <row r="48913">
      <c r="B48913" s="31"/>
      <c r="G48913" s="272" t="s">
        <v>1099</v>
      </c>
    </row>
    <row r="48914">
      <c r="B48914" s="31"/>
      <c r="G48914" s="272" t="s">
        <v>1099</v>
      </c>
    </row>
    <row r="48915">
      <c r="B48915" s="31"/>
      <c r="G48915" s="272" t="s">
        <v>1099</v>
      </c>
    </row>
    <row r="48916">
      <c r="B48916" s="31"/>
      <c r="G48916" s="272" t="s">
        <v>1099</v>
      </c>
    </row>
    <row r="48917">
      <c r="B48917" s="31"/>
      <c r="G48917" s="272" t="s">
        <v>1099</v>
      </c>
    </row>
    <row r="48918">
      <c r="B48918" s="31"/>
      <c r="G48918" s="272" t="s">
        <v>1099</v>
      </c>
    </row>
    <row r="48919">
      <c r="B48919" s="31"/>
      <c r="G48919" s="272" t="s">
        <v>1099</v>
      </c>
    </row>
    <row r="48920">
      <c r="B48920" s="31"/>
      <c r="G48920" s="272" t="s">
        <v>1099</v>
      </c>
    </row>
    <row r="48921">
      <c r="B48921" s="31"/>
      <c r="G48921" s="272" t="s">
        <v>1099</v>
      </c>
    </row>
    <row r="48922">
      <c r="B48922" s="31"/>
      <c r="G48922" s="272" t="s">
        <v>1099</v>
      </c>
    </row>
    <row r="48923">
      <c r="B48923" s="31"/>
      <c r="G48923" s="272" t="s">
        <v>1099</v>
      </c>
    </row>
    <row r="48924">
      <c r="B48924" s="31"/>
      <c r="G48924" s="272" t="s">
        <v>1099</v>
      </c>
    </row>
    <row r="48925">
      <c r="B48925" s="31"/>
      <c r="G48925" s="272" t="s">
        <v>1099</v>
      </c>
    </row>
    <row r="48926">
      <c r="B48926" s="31"/>
      <c r="G48926" s="272" t="s">
        <v>1099</v>
      </c>
    </row>
    <row r="48927">
      <c r="B48927" s="31"/>
      <c r="G48927" s="272" t="s">
        <v>1099</v>
      </c>
    </row>
    <row r="48928">
      <c r="B48928" s="31"/>
      <c r="G48928" s="272" t="s">
        <v>1099</v>
      </c>
    </row>
    <row r="48929">
      <c r="B48929" s="31"/>
      <c r="G48929" s="272" t="s">
        <v>1099</v>
      </c>
    </row>
    <row r="48930">
      <c r="B48930" s="31"/>
      <c r="G48930" s="272" t="s">
        <v>1099</v>
      </c>
    </row>
    <row r="48931">
      <c r="B48931" s="31"/>
      <c r="G48931" s="272" t="s">
        <v>1099</v>
      </c>
    </row>
    <row r="48932">
      <c r="B48932" s="31"/>
      <c r="G48932" s="272" t="s">
        <v>1099</v>
      </c>
    </row>
    <row r="48933">
      <c r="B48933" s="31"/>
      <c r="G48933" s="272" t="s">
        <v>1099</v>
      </c>
    </row>
    <row r="48934">
      <c r="B48934" s="31"/>
      <c r="G48934" s="272" t="s">
        <v>1099</v>
      </c>
    </row>
    <row r="48935">
      <c r="B48935" s="31"/>
      <c r="G48935" s="272" t="s">
        <v>1099</v>
      </c>
    </row>
    <row r="48936">
      <c r="B48936" s="31"/>
      <c r="G48936" s="272" t="s">
        <v>1099</v>
      </c>
    </row>
    <row r="48937">
      <c r="B48937" s="31"/>
      <c r="G48937" s="272" t="s">
        <v>1099</v>
      </c>
    </row>
    <row r="48938">
      <c r="B48938" s="31"/>
      <c r="G48938" s="272" t="s">
        <v>1099</v>
      </c>
    </row>
    <row r="48939">
      <c r="B48939" s="31"/>
      <c r="G48939" s="272" t="s">
        <v>1099</v>
      </c>
    </row>
    <row r="48940">
      <c r="B48940" s="31"/>
      <c r="G48940" s="272" t="s">
        <v>1099</v>
      </c>
    </row>
    <row r="48941">
      <c r="B48941" s="31"/>
      <c r="G48941" s="272" t="s">
        <v>1099</v>
      </c>
    </row>
    <row r="48942">
      <c r="B48942" s="31"/>
      <c r="G48942" s="272" t="s">
        <v>1099</v>
      </c>
    </row>
    <row r="48943">
      <c r="B48943" s="31"/>
      <c r="G48943" s="272" t="s">
        <v>1099</v>
      </c>
    </row>
    <row r="48944">
      <c r="B48944" s="31"/>
      <c r="G48944" s="272" t="s">
        <v>1099</v>
      </c>
    </row>
    <row r="48945">
      <c r="B48945" s="31"/>
      <c r="G48945" s="272" t="s">
        <v>1099</v>
      </c>
    </row>
    <row r="48946">
      <c r="B48946" s="31"/>
      <c r="G48946" s="272" t="s">
        <v>1099</v>
      </c>
    </row>
    <row r="48947">
      <c r="B48947" s="31"/>
      <c r="G48947" s="272" t="s">
        <v>1099</v>
      </c>
    </row>
    <row r="48948">
      <c r="B48948" s="31"/>
      <c r="G48948" s="272" t="s">
        <v>1099</v>
      </c>
    </row>
    <row r="48949">
      <c r="B48949" s="31"/>
      <c r="G48949" s="272" t="s">
        <v>1099</v>
      </c>
    </row>
    <row r="48950">
      <c r="B48950" s="31"/>
      <c r="G48950" s="272" t="s">
        <v>1099</v>
      </c>
    </row>
    <row r="48951">
      <c r="B48951" s="31"/>
      <c r="G48951" s="272" t="s">
        <v>1099</v>
      </c>
    </row>
    <row r="48952">
      <c r="B48952" s="31"/>
      <c r="G48952" s="272" t="s">
        <v>1099</v>
      </c>
    </row>
    <row r="48953">
      <c r="B48953" s="31"/>
      <c r="G48953" s="272" t="s">
        <v>1099</v>
      </c>
    </row>
    <row r="48954">
      <c r="B48954" s="31"/>
      <c r="G48954" s="272" t="s">
        <v>1099</v>
      </c>
    </row>
    <row r="48955">
      <c r="B48955" s="31"/>
      <c r="G48955" s="272" t="s">
        <v>1099</v>
      </c>
    </row>
    <row r="48956">
      <c r="B48956" s="31"/>
      <c r="G48956" s="272" t="s">
        <v>1099</v>
      </c>
    </row>
    <row r="48957">
      <c r="B48957" s="31"/>
      <c r="G48957" s="272" t="s">
        <v>1099</v>
      </c>
    </row>
    <row r="48958">
      <c r="B48958" s="31"/>
      <c r="G48958" s="272" t="s">
        <v>1099</v>
      </c>
    </row>
    <row r="48959">
      <c r="B48959" s="31"/>
      <c r="G48959" s="272" t="s">
        <v>1099</v>
      </c>
    </row>
    <row r="48960">
      <c r="B48960" s="31"/>
      <c r="G48960" s="272" t="s">
        <v>1099</v>
      </c>
    </row>
    <row r="48961">
      <c r="B48961" s="31"/>
      <c r="G48961" s="272" t="s">
        <v>1099</v>
      </c>
    </row>
    <row r="48962">
      <c r="B48962" s="31"/>
      <c r="G48962" s="272" t="s">
        <v>1099</v>
      </c>
    </row>
    <row r="48963">
      <c r="B48963" s="31"/>
      <c r="G48963" s="272" t="s">
        <v>1099</v>
      </c>
    </row>
    <row r="48964">
      <c r="B48964" s="31"/>
      <c r="G48964" s="272" t="s">
        <v>1099</v>
      </c>
    </row>
    <row r="48965">
      <c r="B48965" s="31"/>
      <c r="G48965" s="272" t="s">
        <v>1099</v>
      </c>
    </row>
    <row r="48966">
      <c r="B48966" s="31"/>
      <c r="G48966" s="272" t="s">
        <v>1099</v>
      </c>
    </row>
    <row r="48967">
      <c r="B48967" s="31"/>
      <c r="G48967" s="272" t="s">
        <v>1099</v>
      </c>
    </row>
    <row r="48968">
      <c r="B48968" s="31"/>
      <c r="G48968" s="272" t="s">
        <v>1099</v>
      </c>
    </row>
    <row r="48969">
      <c r="B48969" s="31"/>
      <c r="G48969" s="272" t="s">
        <v>1099</v>
      </c>
    </row>
    <row r="48970">
      <c r="B48970" s="31"/>
      <c r="G48970" s="272" t="s">
        <v>1099</v>
      </c>
    </row>
    <row r="48971">
      <c r="B48971" s="31"/>
      <c r="G48971" s="272" t="s">
        <v>1099</v>
      </c>
    </row>
    <row r="48972">
      <c r="B48972" s="31"/>
      <c r="G48972" s="272" t="s">
        <v>1099</v>
      </c>
    </row>
    <row r="48973">
      <c r="B48973" s="31"/>
      <c r="G48973" s="272" t="s">
        <v>1099</v>
      </c>
    </row>
    <row r="48974">
      <c r="B48974" s="31"/>
      <c r="G48974" s="272" t="s">
        <v>1099</v>
      </c>
    </row>
    <row r="48975">
      <c r="B48975" s="31"/>
      <c r="G48975" s="272" t="s">
        <v>1099</v>
      </c>
    </row>
    <row r="48976">
      <c r="B48976" s="31"/>
      <c r="G48976" s="272" t="s">
        <v>1099</v>
      </c>
    </row>
    <row r="48977">
      <c r="B48977" s="31"/>
      <c r="G48977" s="272" t="s">
        <v>1099</v>
      </c>
    </row>
    <row r="48978">
      <c r="B48978" s="31"/>
      <c r="G48978" s="272" t="s">
        <v>1099</v>
      </c>
    </row>
    <row r="48979">
      <c r="B48979" s="31"/>
      <c r="G48979" s="272" t="s">
        <v>1099</v>
      </c>
    </row>
    <row r="48980">
      <c r="B48980" s="31"/>
      <c r="G48980" s="272" t="s">
        <v>1099</v>
      </c>
    </row>
    <row r="48981">
      <c r="B48981" s="31"/>
      <c r="G48981" s="272" t="s">
        <v>1099</v>
      </c>
    </row>
    <row r="48982">
      <c r="B48982" s="31"/>
      <c r="G48982" s="272" t="s">
        <v>1099</v>
      </c>
    </row>
    <row r="48983">
      <c r="B48983" s="31"/>
      <c r="G48983" s="272" t="s">
        <v>1099</v>
      </c>
    </row>
    <row r="48984">
      <c r="B48984" s="31"/>
      <c r="G48984" s="272" t="s">
        <v>1099</v>
      </c>
    </row>
    <row r="48985">
      <c r="B48985" s="31"/>
      <c r="G48985" s="272" t="s">
        <v>1099</v>
      </c>
    </row>
    <row r="48986">
      <c r="B48986" s="31"/>
      <c r="G48986" s="272" t="s">
        <v>1099</v>
      </c>
    </row>
    <row r="48987">
      <c r="B48987" s="31"/>
      <c r="G48987" s="272" t="s">
        <v>1099</v>
      </c>
    </row>
    <row r="48988">
      <c r="B48988" s="31"/>
      <c r="G48988" s="272" t="s">
        <v>1099</v>
      </c>
    </row>
    <row r="48989">
      <c r="B48989" s="31"/>
      <c r="G48989" s="272" t="s">
        <v>1099</v>
      </c>
    </row>
    <row r="48990">
      <c r="B48990" s="31"/>
      <c r="G48990" s="272" t="s">
        <v>1099</v>
      </c>
    </row>
    <row r="48991">
      <c r="B48991" s="31"/>
      <c r="G48991" s="272" t="s">
        <v>1099</v>
      </c>
    </row>
    <row r="48992">
      <c r="B48992" s="31"/>
      <c r="G48992" s="272" t="s">
        <v>1099</v>
      </c>
    </row>
    <row r="48993">
      <c r="B48993" s="31"/>
      <c r="G48993" s="272" t="s">
        <v>1099</v>
      </c>
    </row>
    <row r="48994">
      <c r="B48994" s="31"/>
      <c r="G48994" s="272" t="s">
        <v>1099</v>
      </c>
    </row>
    <row r="48995">
      <c r="B48995" s="31"/>
      <c r="G48995" s="272" t="s">
        <v>1099</v>
      </c>
    </row>
    <row r="48996">
      <c r="B48996" s="31"/>
      <c r="G48996" s="272" t="s">
        <v>1099</v>
      </c>
    </row>
    <row r="48997">
      <c r="B48997" s="31"/>
      <c r="G48997" s="272" t="s">
        <v>1099</v>
      </c>
    </row>
    <row r="48998">
      <c r="B48998" s="31"/>
      <c r="G48998" s="272" t="s">
        <v>1099</v>
      </c>
    </row>
    <row r="48999">
      <c r="B48999" s="31"/>
      <c r="G48999" s="272" t="s">
        <v>1099</v>
      </c>
    </row>
    <row r="49000">
      <c r="B49000" s="31"/>
      <c r="G49000" s="272" t="s">
        <v>1099</v>
      </c>
    </row>
    <row r="49001">
      <c r="B49001" s="31"/>
      <c r="G49001" s="272" t="s">
        <v>1099</v>
      </c>
    </row>
    <row r="49002">
      <c r="B49002" s="31"/>
      <c r="G49002" s="272" t="s">
        <v>1099</v>
      </c>
    </row>
    <row r="49003">
      <c r="B49003" s="31"/>
      <c r="G49003" s="272" t="s">
        <v>1099</v>
      </c>
    </row>
    <row r="49004">
      <c r="B49004" s="31"/>
      <c r="G49004" s="272" t="s">
        <v>1099</v>
      </c>
    </row>
    <row r="49005">
      <c r="B49005" s="31"/>
      <c r="G49005" s="272" t="s">
        <v>1099</v>
      </c>
    </row>
    <row r="49006">
      <c r="B49006" s="31"/>
      <c r="G49006" s="272" t="s">
        <v>1099</v>
      </c>
    </row>
    <row r="49007">
      <c r="B49007" s="31"/>
      <c r="G49007" s="272" t="s">
        <v>1099</v>
      </c>
    </row>
    <row r="49008">
      <c r="B49008" s="31"/>
      <c r="G49008" s="272" t="s">
        <v>1099</v>
      </c>
    </row>
    <row r="49009">
      <c r="B49009" s="31"/>
      <c r="G49009" s="272" t="s">
        <v>1099</v>
      </c>
    </row>
    <row r="49010">
      <c r="B49010" s="31"/>
      <c r="G49010" s="272" t="s">
        <v>1099</v>
      </c>
    </row>
    <row r="49011">
      <c r="B49011" s="31"/>
      <c r="G49011" s="272" t="s">
        <v>1099</v>
      </c>
    </row>
    <row r="49012">
      <c r="B49012" s="31"/>
      <c r="G49012" s="272" t="s">
        <v>1099</v>
      </c>
    </row>
    <row r="49013">
      <c r="B49013" s="31"/>
      <c r="G49013" s="272" t="s">
        <v>1099</v>
      </c>
    </row>
    <row r="49014">
      <c r="B49014" s="31"/>
      <c r="G49014" s="272" t="s">
        <v>1099</v>
      </c>
    </row>
    <row r="49015">
      <c r="B49015" s="31"/>
      <c r="G49015" s="272" t="s">
        <v>1099</v>
      </c>
    </row>
    <row r="49016">
      <c r="B49016" s="31"/>
      <c r="G49016" s="272" t="s">
        <v>1099</v>
      </c>
    </row>
    <row r="49017">
      <c r="B49017" s="31"/>
      <c r="G49017" s="272" t="s">
        <v>1099</v>
      </c>
    </row>
    <row r="49018">
      <c r="B49018" s="31"/>
      <c r="G49018" s="272" t="s">
        <v>1099</v>
      </c>
    </row>
    <row r="49019">
      <c r="B49019" s="31"/>
      <c r="G49019" s="272" t="s">
        <v>1099</v>
      </c>
    </row>
    <row r="49020">
      <c r="B49020" s="31"/>
      <c r="G49020" s="272" t="s">
        <v>1099</v>
      </c>
    </row>
    <row r="49021">
      <c r="B49021" s="31"/>
      <c r="G49021" s="272" t="s">
        <v>1099</v>
      </c>
    </row>
    <row r="49022">
      <c r="B49022" s="31"/>
      <c r="G49022" s="272" t="s">
        <v>1099</v>
      </c>
    </row>
    <row r="49023">
      <c r="B49023" s="31"/>
      <c r="G49023" s="272" t="s">
        <v>1099</v>
      </c>
    </row>
    <row r="49024">
      <c r="B49024" s="31"/>
      <c r="G49024" s="272" t="s">
        <v>1099</v>
      </c>
    </row>
    <row r="49025">
      <c r="B49025" s="31"/>
      <c r="G49025" s="272" t="s">
        <v>1099</v>
      </c>
    </row>
    <row r="49026">
      <c r="B49026" s="31"/>
      <c r="G49026" s="272" t="s">
        <v>1099</v>
      </c>
    </row>
    <row r="49027">
      <c r="B49027" s="31"/>
      <c r="G49027" s="272" t="s">
        <v>1099</v>
      </c>
    </row>
    <row r="49028">
      <c r="B49028" s="31"/>
      <c r="G49028" s="272" t="s">
        <v>1099</v>
      </c>
    </row>
    <row r="49029">
      <c r="B49029" s="31"/>
      <c r="G49029" s="272" t="s">
        <v>1099</v>
      </c>
    </row>
    <row r="49030">
      <c r="B49030" s="31"/>
      <c r="G49030" s="272" t="s">
        <v>1099</v>
      </c>
    </row>
    <row r="49031">
      <c r="B49031" s="31"/>
      <c r="G49031" s="272" t="s">
        <v>1099</v>
      </c>
    </row>
    <row r="49032">
      <c r="B49032" s="31"/>
      <c r="G49032" s="272" t="s">
        <v>1099</v>
      </c>
    </row>
    <row r="49033">
      <c r="B49033" s="31"/>
      <c r="G49033" s="272" t="s">
        <v>1099</v>
      </c>
    </row>
    <row r="49034">
      <c r="B49034" s="31"/>
      <c r="G49034" s="272" t="s">
        <v>1099</v>
      </c>
    </row>
    <row r="49035">
      <c r="B49035" s="31"/>
      <c r="G49035" s="272" t="s">
        <v>1099</v>
      </c>
    </row>
    <row r="49036">
      <c r="B49036" s="31"/>
      <c r="G49036" s="272" t="s">
        <v>1099</v>
      </c>
    </row>
    <row r="49037">
      <c r="B49037" s="31"/>
      <c r="G49037" s="272" t="s">
        <v>1099</v>
      </c>
    </row>
    <row r="49038">
      <c r="B49038" s="31"/>
      <c r="G49038" s="272" t="s">
        <v>1099</v>
      </c>
    </row>
    <row r="49039">
      <c r="B49039" s="31"/>
      <c r="G49039" s="272" t="s">
        <v>1099</v>
      </c>
    </row>
    <row r="49040">
      <c r="B49040" s="31"/>
      <c r="G49040" s="272" t="s">
        <v>1099</v>
      </c>
    </row>
    <row r="49041">
      <c r="B49041" s="31"/>
      <c r="G49041" s="272" t="s">
        <v>1099</v>
      </c>
    </row>
    <row r="49042">
      <c r="B49042" s="31"/>
      <c r="G49042" s="272" t="s">
        <v>1099</v>
      </c>
    </row>
    <row r="49043">
      <c r="B49043" s="31"/>
      <c r="G49043" s="272" t="s">
        <v>1099</v>
      </c>
    </row>
    <row r="49044">
      <c r="B49044" s="31"/>
      <c r="G49044" s="272" t="s">
        <v>1099</v>
      </c>
    </row>
    <row r="49045">
      <c r="B49045" s="31"/>
      <c r="G49045" s="272" t="s">
        <v>1099</v>
      </c>
    </row>
    <row r="49046">
      <c r="B49046" s="31"/>
      <c r="G49046" s="272" t="s">
        <v>1099</v>
      </c>
    </row>
    <row r="49047">
      <c r="B49047" s="31"/>
      <c r="G49047" s="272" t="s">
        <v>1099</v>
      </c>
    </row>
    <row r="49048">
      <c r="B49048" s="31"/>
      <c r="G49048" s="272" t="s">
        <v>1099</v>
      </c>
    </row>
    <row r="49049">
      <c r="B49049" s="31"/>
      <c r="G49049" s="272" t="s">
        <v>1099</v>
      </c>
    </row>
    <row r="49050">
      <c r="B49050" s="31"/>
      <c r="G49050" s="272" t="s">
        <v>1099</v>
      </c>
    </row>
    <row r="49051">
      <c r="B49051" s="31"/>
      <c r="G49051" s="272" t="s">
        <v>1099</v>
      </c>
    </row>
    <row r="49052">
      <c r="B49052" s="31"/>
      <c r="G49052" s="272" t="s">
        <v>1099</v>
      </c>
    </row>
    <row r="49053">
      <c r="B49053" s="31"/>
      <c r="G49053" s="272" t="s">
        <v>1099</v>
      </c>
    </row>
    <row r="49054">
      <c r="B49054" s="31"/>
      <c r="G49054" s="272" t="s">
        <v>1099</v>
      </c>
    </row>
    <row r="49055">
      <c r="B49055" s="31"/>
      <c r="G49055" s="272" t="s">
        <v>1099</v>
      </c>
    </row>
    <row r="49056">
      <c r="B49056" s="31"/>
      <c r="G49056" s="272" t="s">
        <v>1099</v>
      </c>
    </row>
    <row r="49057">
      <c r="B49057" s="31"/>
      <c r="G49057" s="272" t="s">
        <v>1099</v>
      </c>
    </row>
    <row r="49058">
      <c r="B49058" s="31"/>
      <c r="G49058" s="272" t="s">
        <v>1099</v>
      </c>
    </row>
    <row r="49059">
      <c r="B49059" s="31"/>
      <c r="G49059" s="272" t="s">
        <v>1099</v>
      </c>
    </row>
    <row r="49060">
      <c r="B49060" s="31"/>
      <c r="G49060" s="272" t="s">
        <v>1099</v>
      </c>
    </row>
    <row r="49061">
      <c r="B49061" s="31"/>
      <c r="G49061" s="272" t="s">
        <v>1099</v>
      </c>
    </row>
    <row r="49062">
      <c r="B49062" s="31"/>
      <c r="G49062" s="272" t="s">
        <v>1099</v>
      </c>
    </row>
    <row r="49063">
      <c r="B49063" s="31"/>
      <c r="G49063" s="272" t="s">
        <v>1099</v>
      </c>
    </row>
    <row r="49064">
      <c r="B49064" s="31"/>
      <c r="G49064" s="272" t="s">
        <v>1099</v>
      </c>
    </row>
    <row r="49065">
      <c r="B49065" s="31"/>
      <c r="G49065" s="272" t="s">
        <v>1099</v>
      </c>
    </row>
    <row r="49066">
      <c r="B49066" s="31"/>
      <c r="G49066" s="272" t="s">
        <v>1099</v>
      </c>
    </row>
    <row r="49067">
      <c r="B49067" s="31"/>
      <c r="G49067" s="272" t="s">
        <v>1099</v>
      </c>
    </row>
    <row r="49068">
      <c r="B49068" s="31"/>
      <c r="G49068" s="272" t="s">
        <v>1099</v>
      </c>
    </row>
    <row r="49069">
      <c r="B49069" s="31"/>
      <c r="G49069" s="272" t="s">
        <v>1099</v>
      </c>
    </row>
    <row r="49070">
      <c r="B49070" s="31"/>
      <c r="G49070" s="272" t="s">
        <v>1099</v>
      </c>
    </row>
    <row r="49071">
      <c r="B49071" s="31"/>
      <c r="G49071" s="272" t="s">
        <v>1099</v>
      </c>
    </row>
    <row r="49072">
      <c r="B49072" s="31"/>
      <c r="G49072" s="272" t="s">
        <v>1099</v>
      </c>
    </row>
    <row r="49073">
      <c r="B49073" s="31"/>
      <c r="G49073" s="272" t="s">
        <v>1099</v>
      </c>
    </row>
    <row r="49074">
      <c r="B49074" s="31"/>
      <c r="G49074" s="272" t="s">
        <v>1099</v>
      </c>
    </row>
    <row r="49075">
      <c r="B49075" s="31"/>
      <c r="G49075" s="272" t="s">
        <v>1099</v>
      </c>
    </row>
    <row r="49076">
      <c r="B49076" s="31"/>
      <c r="G49076" s="272" t="s">
        <v>1099</v>
      </c>
    </row>
    <row r="49077">
      <c r="B49077" s="31"/>
      <c r="G49077" s="272" t="s">
        <v>1099</v>
      </c>
    </row>
    <row r="49078">
      <c r="B49078" s="31"/>
      <c r="G49078" s="272" t="s">
        <v>1099</v>
      </c>
    </row>
    <row r="49079">
      <c r="B49079" s="31"/>
      <c r="G49079" s="272" t="s">
        <v>1099</v>
      </c>
    </row>
    <row r="49080">
      <c r="B49080" s="31"/>
      <c r="G49080" s="272" t="s">
        <v>1099</v>
      </c>
    </row>
    <row r="49081">
      <c r="B49081" s="31"/>
      <c r="G49081" s="272" t="s">
        <v>1099</v>
      </c>
    </row>
    <row r="49082">
      <c r="B49082" s="31"/>
      <c r="G49082" s="272" t="s">
        <v>1099</v>
      </c>
    </row>
    <row r="49083">
      <c r="B49083" s="31"/>
      <c r="G49083" s="272" t="s">
        <v>1099</v>
      </c>
    </row>
    <row r="49084">
      <c r="B49084" s="31"/>
      <c r="G49084" s="272" t="s">
        <v>1099</v>
      </c>
    </row>
    <row r="49085">
      <c r="B49085" s="31"/>
      <c r="G49085" s="272" t="s">
        <v>1099</v>
      </c>
    </row>
    <row r="49086">
      <c r="B49086" s="31"/>
      <c r="G49086" s="272" t="s">
        <v>1099</v>
      </c>
    </row>
    <row r="49087">
      <c r="B49087" s="31"/>
      <c r="G49087" s="272" t="s">
        <v>1099</v>
      </c>
    </row>
    <row r="49088">
      <c r="B49088" s="31"/>
      <c r="G49088" s="272" t="s">
        <v>1099</v>
      </c>
    </row>
    <row r="49089">
      <c r="B49089" s="31"/>
      <c r="G49089" s="272" t="s">
        <v>1099</v>
      </c>
    </row>
    <row r="49090">
      <c r="B49090" s="31"/>
      <c r="G49090" s="272" t="s">
        <v>1099</v>
      </c>
    </row>
    <row r="49091">
      <c r="B49091" s="31"/>
      <c r="G49091" s="272" t="s">
        <v>1099</v>
      </c>
    </row>
    <row r="49092">
      <c r="B49092" s="31"/>
      <c r="G49092" s="272" t="s">
        <v>1099</v>
      </c>
    </row>
    <row r="49093">
      <c r="B49093" s="31"/>
      <c r="G49093" s="272" t="s">
        <v>1099</v>
      </c>
    </row>
    <row r="49094">
      <c r="B49094" s="31"/>
      <c r="G49094" s="272" t="s">
        <v>1099</v>
      </c>
    </row>
    <row r="49095">
      <c r="B49095" s="31"/>
      <c r="G49095" s="272" t="s">
        <v>1099</v>
      </c>
    </row>
    <row r="49096">
      <c r="B49096" s="31"/>
      <c r="G49096" s="272" t="s">
        <v>1099</v>
      </c>
    </row>
    <row r="49097">
      <c r="B49097" s="31"/>
      <c r="G49097" s="272" t="s">
        <v>1099</v>
      </c>
    </row>
    <row r="49098">
      <c r="B49098" s="31"/>
      <c r="G49098" s="272" t="s">
        <v>1099</v>
      </c>
    </row>
    <row r="49099">
      <c r="B49099" s="31"/>
      <c r="G49099" s="272" t="s">
        <v>1099</v>
      </c>
    </row>
    <row r="49100">
      <c r="B49100" s="31"/>
      <c r="G49100" s="272" t="s">
        <v>1099</v>
      </c>
    </row>
    <row r="49101">
      <c r="B49101" s="31"/>
      <c r="G49101" s="272" t="s">
        <v>1099</v>
      </c>
    </row>
    <row r="49102">
      <c r="B49102" s="31"/>
      <c r="G49102" s="272" t="s">
        <v>1099</v>
      </c>
    </row>
    <row r="49103">
      <c r="B49103" s="31"/>
      <c r="G49103" s="272" t="s">
        <v>1099</v>
      </c>
    </row>
    <row r="49104">
      <c r="B49104" s="31"/>
      <c r="G49104" s="272" t="s">
        <v>1099</v>
      </c>
    </row>
    <row r="49105">
      <c r="B49105" s="31"/>
      <c r="G49105" s="272" t="s">
        <v>1099</v>
      </c>
    </row>
    <row r="49106">
      <c r="B49106" s="31"/>
      <c r="G49106" s="272" t="s">
        <v>1099</v>
      </c>
    </row>
    <row r="49107">
      <c r="B49107" s="31"/>
      <c r="G49107" s="272" t="s">
        <v>1099</v>
      </c>
    </row>
    <row r="49108">
      <c r="B49108" s="31"/>
      <c r="G49108" s="272" t="s">
        <v>1099</v>
      </c>
    </row>
    <row r="49109">
      <c r="B49109" s="31"/>
      <c r="G49109" s="272" t="s">
        <v>1099</v>
      </c>
    </row>
    <row r="49110">
      <c r="B49110" s="31"/>
      <c r="G49110" s="272" t="s">
        <v>1099</v>
      </c>
    </row>
    <row r="49111">
      <c r="B49111" s="31"/>
      <c r="G49111" s="272" t="s">
        <v>1099</v>
      </c>
    </row>
    <row r="49112">
      <c r="B49112" s="31"/>
      <c r="G49112" s="272" t="s">
        <v>1099</v>
      </c>
    </row>
    <row r="49113">
      <c r="B49113" s="31"/>
      <c r="G49113" s="272" t="s">
        <v>1099</v>
      </c>
    </row>
    <row r="49114">
      <c r="B49114" s="31"/>
      <c r="G49114" s="272" t="s">
        <v>1099</v>
      </c>
    </row>
    <row r="49115">
      <c r="B49115" s="31"/>
      <c r="G49115" s="272" t="s">
        <v>1099</v>
      </c>
    </row>
    <row r="49116">
      <c r="B49116" s="31"/>
      <c r="G49116" s="272" t="s">
        <v>1099</v>
      </c>
    </row>
    <row r="49117">
      <c r="B49117" s="31"/>
      <c r="G49117" s="272" t="s">
        <v>1099</v>
      </c>
    </row>
    <row r="49118">
      <c r="B49118" s="31"/>
      <c r="G49118" s="272" t="s">
        <v>1099</v>
      </c>
    </row>
    <row r="49119">
      <c r="B49119" s="31"/>
      <c r="G49119" s="272" t="s">
        <v>1099</v>
      </c>
    </row>
    <row r="49120">
      <c r="B49120" s="31"/>
      <c r="G49120" s="272" t="s">
        <v>1099</v>
      </c>
    </row>
    <row r="49121">
      <c r="B49121" s="31"/>
      <c r="G49121" s="272" t="s">
        <v>1099</v>
      </c>
    </row>
    <row r="49122">
      <c r="B49122" s="31"/>
      <c r="G49122" s="272" t="s">
        <v>1099</v>
      </c>
    </row>
    <row r="49123">
      <c r="B49123" s="31"/>
      <c r="G49123" s="272" t="s">
        <v>1099</v>
      </c>
    </row>
    <row r="49124">
      <c r="B49124" s="31"/>
      <c r="G49124" s="272" t="s">
        <v>1099</v>
      </c>
    </row>
    <row r="49125">
      <c r="B49125" s="31"/>
      <c r="G49125" s="272" t="s">
        <v>1099</v>
      </c>
    </row>
    <row r="49126">
      <c r="B49126" s="31"/>
      <c r="G49126" s="272" t="s">
        <v>1099</v>
      </c>
    </row>
    <row r="49127">
      <c r="B49127" s="31"/>
      <c r="G49127" s="272" t="s">
        <v>1099</v>
      </c>
    </row>
    <row r="49128">
      <c r="B49128" s="31"/>
      <c r="G49128" s="272" t="s">
        <v>1099</v>
      </c>
    </row>
    <row r="49129">
      <c r="B49129" s="31"/>
      <c r="G49129" s="272" t="s">
        <v>1099</v>
      </c>
    </row>
    <row r="49130">
      <c r="B49130" s="31"/>
      <c r="G49130" s="272" t="s">
        <v>1099</v>
      </c>
    </row>
    <row r="49131">
      <c r="B49131" s="31"/>
      <c r="G49131" s="272" t="s">
        <v>1099</v>
      </c>
    </row>
    <row r="49132">
      <c r="B49132" s="31"/>
      <c r="G49132" s="272" t="s">
        <v>1099</v>
      </c>
    </row>
    <row r="49133">
      <c r="B49133" s="31"/>
      <c r="G49133" s="272" t="s">
        <v>1099</v>
      </c>
    </row>
    <row r="49134">
      <c r="B49134" s="31"/>
      <c r="G49134" s="272" t="s">
        <v>1099</v>
      </c>
    </row>
    <row r="49135">
      <c r="B49135" s="31"/>
      <c r="G49135" s="272" t="s">
        <v>1099</v>
      </c>
    </row>
    <row r="49136">
      <c r="B49136" s="31"/>
      <c r="G49136" s="272" t="s">
        <v>1099</v>
      </c>
    </row>
    <row r="49137">
      <c r="B49137" s="31"/>
      <c r="G49137" s="272" t="s">
        <v>1099</v>
      </c>
    </row>
    <row r="49138">
      <c r="B49138" s="31"/>
      <c r="G49138" s="272" t="s">
        <v>1099</v>
      </c>
    </row>
    <row r="49139">
      <c r="B49139" s="31"/>
      <c r="G49139" s="272" t="s">
        <v>1099</v>
      </c>
    </row>
    <row r="49140">
      <c r="B49140" s="31"/>
      <c r="G49140" s="272" t="s">
        <v>1099</v>
      </c>
    </row>
    <row r="49141">
      <c r="B49141" s="31"/>
      <c r="G49141" s="272" t="s">
        <v>1099</v>
      </c>
    </row>
    <row r="49142">
      <c r="B49142" s="31"/>
      <c r="G49142" s="272" t="s">
        <v>1099</v>
      </c>
    </row>
    <row r="49143">
      <c r="B49143" s="31"/>
      <c r="G49143" s="272" t="s">
        <v>1099</v>
      </c>
    </row>
    <row r="49144">
      <c r="B49144" s="31"/>
      <c r="G49144" s="272" t="s">
        <v>1099</v>
      </c>
    </row>
    <row r="49145">
      <c r="B49145" s="31"/>
      <c r="G49145" s="272" t="s">
        <v>1099</v>
      </c>
    </row>
    <row r="49146">
      <c r="B49146" s="31"/>
      <c r="G49146" s="272" t="s">
        <v>1099</v>
      </c>
    </row>
    <row r="49147">
      <c r="B49147" s="31"/>
      <c r="G49147" s="272" t="s">
        <v>1099</v>
      </c>
    </row>
    <row r="49148">
      <c r="B49148" s="31"/>
      <c r="G49148" s="272" t="s">
        <v>1099</v>
      </c>
    </row>
    <row r="49149">
      <c r="B49149" s="31"/>
      <c r="G49149" s="272" t="s">
        <v>1099</v>
      </c>
    </row>
    <row r="49150">
      <c r="B49150" s="31"/>
      <c r="G49150" s="272" t="s">
        <v>1099</v>
      </c>
    </row>
    <row r="49151">
      <c r="B49151" s="31"/>
      <c r="G49151" s="272" t="s">
        <v>1099</v>
      </c>
    </row>
    <row r="49152">
      <c r="B49152" s="31"/>
      <c r="G49152" s="272" t="s">
        <v>1099</v>
      </c>
    </row>
    <row r="49153">
      <c r="B49153" s="31"/>
      <c r="G49153" s="272" t="s">
        <v>1099</v>
      </c>
    </row>
    <row r="49154">
      <c r="B49154" s="31"/>
      <c r="G49154" s="272" t="s">
        <v>1099</v>
      </c>
    </row>
    <row r="49155">
      <c r="B49155" s="31"/>
      <c r="G49155" s="272" t="s">
        <v>1099</v>
      </c>
    </row>
    <row r="49156">
      <c r="B49156" s="31"/>
      <c r="G49156" s="272" t="s">
        <v>1099</v>
      </c>
    </row>
    <row r="49157">
      <c r="B49157" s="31"/>
      <c r="G49157" s="272" t="s">
        <v>1099</v>
      </c>
    </row>
    <row r="49158">
      <c r="B49158" s="31"/>
      <c r="G49158" s="272" t="s">
        <v>1099</v>
      </c>
    </row>
    <row r="49159">
      <c r="B49159" s="31"/>
      <c r="G49159" s="272" t="s">
        <v>1099</v>
      </c>
    </row>
    <row r="49160">
      <c r="B49160" s="31"/>
      <c r="G49160" s="272" t="s">
        <v>1099</v>
      </c>
    </row>
    <row r="49161">
      <c r="B49161" s="31"/>
      <c r="G49161" s="272" t="s">
        <v>1099</v>
      </c>
    </row>
    <row r="49162">
      <c r="B49162" s="31"/>
      <c r="G49162" s="272" t="s">
        <v>1099</v>
      </c>
    </row>
    <row r="49163">
      <c r="B49163" s="31"/>
      <c r="G49163" s="272" t="s">
        <v>1099</v>
      </c>
    </row>
    <row r="49164">
      <c r="B49164" s="31"/>
      <c r="G49164" s="272" t="s">
        <v>1099</v>
      </c>
    </row>
    <row r="49165">
      <c r="B49165" s="31"/>
      <c r="G49165" s="272" t="s">
        <v>1099</v>
      </c>
    </row>
    <row r="49166">
      <c r="B49166" s="31"/>
      <c r="G49166" s="272" t="s">
        <v>1099</v>
      </c>
    </row>
    <row r="49167">
      <c r="B49167" s="31"/>
      <c r="G49167" s="272" t="s">
        <v>1099</v>
      </c>
    </row>
    <row r="49168">
      <c r="B49168" s="31"/>
      <c r="G49168" s="272" t="s">
        <v>1099</v>
      </c>
    </row>
    <row r="49169">
      <c r="B49169" s="31"/>
      <c r="G49169" s="272" t="s">
        <v>1099</v>
      </c>
    </row>
    <row r="49170">
      <c r="B49170" s="31"/>
      <c r="G49170" s="272" t="s">
        <v>1099</v>
      </c>
    </row>
    <row r="49171">
      <c r="B49171" s="31"/>
      <c r="G49171" s="272" t="s">
        <v>1099</v>
      </c>
    </row>
    <row r="49172">
      <c r="B49172" s="31"/>
      <c r="G49172" s="272" t="s">
        <v>1099</v>
      </c>
    </row>
    <row r="49173">
      <c r="B49173" s="31"/>
      <c r="G49173" s="272" t="s">
        <v>1099</v>
      </c>
    </row>
    <row r="49174">
      <c r="B49174" s="31"/>
      <c r="G49174" s="272" t="s">
        <v>1099</v>
      </c>
    </row>
    <row r="49175">
      <c r="B49175" s="31"/>
      <c r="G49175" s="272" t="s">
        <v>1099</v>
      </c>
    </row>
    <row r="49176">
      <c r="B49176" s="31"/>
      <c r="G49176" s="272" t="s">
        <v>1099</v>
      </c>
    </row>
    <row r="49177">
      <c r="B49177" s="31"/>
      <c r="G49177" s="272" t="s">
        <v>1099</v>
      </c>
    </row>
    <row r="49178">
      <c r="B49178" s="31"/>
      <c r="G49178" s="272" t="s">
        <v>1099</v>
      </c>
    </row>
    <row r="49179">
      <c r="B49179" s="31"/>
      <c r="G49179" s="272" t="s">
        <v>1099</v>
      </c>
    </row>
    <row r="49180">
      <c r="B49180" s="31"/>
      <c r="G49180" s="272" t="s">
        <v>1099</v>
      </c>
    </row>
    <row r="49181">
      <c r="B49181" s="31"/>
      <c r="G49181" s="272" t="s">
        <v>1099</v>
      </c>
    </row>
    <row r="49182">
      <c r="B49182" s="31"/>
      <c r="G49182" s="272" t="s">
        <v>1099</v>
      </c>
    </row>
    <row r="49183">
      <c r="B49183" s="31"/>
      <c r="G49183" s="272" t="s">
        <v>1099</v>
      </c>
    </row>
    <row r="49184">
      <c r="B49184" s="31"/>
      <c r="G49184" s="272" t="s">
        <v>1099</v>
      </c>
    </row>
    <row r="49185">
      <c r="B49185" s="31"/>
      <c r="G49185" s="272" t="s">
        <v>1099</v>
      </c>
    </row>
    <row r="49186">
      <c r="B49186" s="31"/>
      <c r="G49186" s="272" t="s">
        <v>1099</v>
      </c>
    </row>
    <row r="49187">
      <c r="B49187" s="31"/>
      <c r="G49187" s="272" t="s">
        <v>1099</v>
      </c>
    </row>
    <row r="49188">
      <c r="B49188" s="31"/>
      <c r="G49188" s="272" t="s">
        <v>1099</v>
      </c>
    </row>
    <row r="49189">
      <c r="B49189" s="31"/>
      <c r="G49189" s="272" t="s">
        <v>1099</v>
      </c>
    </row>
    <row r="49190">
      <c r="B49190" s="31"/>
      <c r="G49190" s="272" t="s">
        <v>1099</v>
      </c>
    </row>
    <row r="49191">
      <c r="B49191" s="31"/>
      <c r="G49191" s="272" t="s">
        <v>1099</v>
      </c>
    </row>
    <row r="49192">
      <c r="B49192" s="31"/>
      <c r="G49192" s="272" t="s">
        <v>1099</v>
      </c>
    </row>
    <row r="49193">
      <c r="B49193" s="31"/>
      <c r="G49193" s="272" t="s">
        <v>1099</v>
      </c>
    </row>
    <row r="49194">
      <c r="B49194" s="31"/>
      <c r="G49194" s="272" t="s">
        <v>1099</v>
      </c>
    </row>
    <row r="49195">
      <c r="B49195" s="31"/>
      <c r="G49195" s="272" t="s">
        <v>1099</v>
      </c>
    </row>
    <row r="49196">
      <c r="B49196" s="31"/>
      <c r="G49196" s="272" t="s">
        <v>1099</v>
      </c>
    </row>
    <row r="49197">
      <c r="B49197" s="31"/>
      <c r="G49197" s="272" t="s">
        <v>1099</v>
      </c>
    </row>
    <row r="49198">
      <c r="B49198" s="31"/>
      <c r="G49198" s="272" t="s">
        <v>1099</v>
      </c>
    </row>
    <row r="49199">
      <c r="B49199" s="31"/>
      <c r="G49199" s="272" t="s">
        <v>1099</v>
      </c>
    </row>
    <row r="49200">
      <c r="B49200" s="31"/>
      <c r="G49200" s="272" t="s">
        <v>1099</v>
      </c>
    </row>
    <row r="49201">
      <c r="B49201" s="31"/>
      <c r="G49201" s="272" t="s">
        <v>1099</v>
      </c>
    </row>
    <row r="49202">
      <c r="B49202" s="31"/>
      <c r="G49202" s="272" t="s">
        <v>1099</v>
      </c>
    </row>
    <row r="49203">
      <c r="B49203" s="31"/>
      <c r="G49203" s="272" t="s">
        <v>1099</v>
      </c>
    </row>
    <row r="49204">
      <c r="B49204" s="31"/>
      <c r="G49204" s="272" t="s">
        <v>1099</v>
      </c>
    </row>
    <row r="49205">
      <c r="B49205" s="31"/>
      <c r="G49205" s="272" t="s">
        <v>1099</v>
      </c>
    </row>
    <row r="49206">
      <c r="B49206" s="31"/>
      <c r="G49206" s="272" t="s">
        <v>1099</v>
      </c>
    </row>
    <row r="49207">
      <c r="B49207" s="31"/>
      <c r="G49207" s="272" t="s">
        <v>1099</v>
      </c>
    </row>
    <row r="49208">
      <c r="B49208" s="31"/>
      <c r="G49208" s="272" t="s">
        <v>1099</v>
      </c>
    </row>
    <row r="49209">
      <c r="B49209" s="31"/>
      <c r="G49209" s="272" t="s">
        <v>1099</v>
      </c>
    </row>
    <row r="49210">
      <c r="B49210" s="31"/>
      <c r="G49210" s="272" t="s">
        <v>1099</v>
      </c>
    </row>
    <row r="49211">
      <c r="B49211" s="31"/>
      <c r="G49211" s="272" t="s">
        <v>1099</v>
      </c>
    </row>
    <row r="49212">
      <c r="B49212" s="31"/>
      <c r="G49212" s="272" t="s">
        <v>1099</v>
      </c>
    </row>
    <row r="49213">
      <c r="B49213" s="31"/>
      <c r="G49213" s="272" t="s">
        <v>1099</v>
      </c>
    </row>
    <row r="49214">
      <c r="B49214" s="31"/>
      <c r="G49214" s="272" t="s">
        <v>1099</v>
      </c>
    </row>
    <row r="49215">
      <c r="B49215" s="31"/>
      <c r="G49215" s="272" t="s">
        <v>1099</v>
      </c>
    </row>
    <row r="49216">
      <c r="B49216" s="31"/>
      <c r="G49216" s="272" t="s">
        <v>1099</v>
      </c>
    </row>
    <row r="49217">
      <c r="B49217" s="31"/>
      <c r="G49217" s="272" t="s">
        <v>1099</v>
      </c>
    </row>
    <row r="49218">
      <c r="B49218" s="31"/>
      <c r="G49218" s="272" t="s">
        <v>1099</v>
      </c>
    </row>
    <row r="49219">
      <c r="B49219" s="31"/>
      <c r="G49219" s="272" t="s">
        <v>1099</v>
      </c>
    </row>
    <row r="49220">
      <c r="B49220" s="31"/>
      <c r="G49220" s="272" t="s">
        <v>1099</v>
      </c>
    </row>
    <row r="49221">
      <c r="B49221" s="31"/>
      <c r="G49221" s="272" t="s">
        <v>1099</v>
      </c>
    </row>
    <row r="49222">
      <c r="B49222" s="31"/>
      <c r="G49222" s="272" t="s">
        <v>1099</v>
      </c>
    </row>
    <row r="49223">
      <c r="B49223" s="31"/>
      <c r="G49223" s="272" t="s">
        <v>1099</v>
      </c>
    </row>
    <row r="49224">
      <c r="B49224" s="31"/>
      <c r="G49224" s="272" t="s">
        <v>1099</v>
      </c>
    </row>
    <row r="49225">
      <c r="B49225" s="31"/>
      <c r="G49225" s="272" t="s">
        <v>1099</v>
      </c>
    </row>
    <row r="49226">
      <c r="B49226" s="31"/>
      <c r="G49226" s="272" t="s">
        <v>1099</v>
      </c>
    </row>
    <row r="49227">
      <c r="B49227" s="31"/>
      <c r="G49227" s="272" t="s">
        <v>1099</v>
      </c>
    </row>
    <row r="49228">
      <c r="B49228" s="31"/>
      <c r="G49228" s="272" t="s">
        <v>1099</v>
      </c>
    </row>
    <row r="49229">
      <c r="B49229" s="31"/>
      <c r="G49229" s="272" t="s">
        <v>1099</v>
      </c>
    </row>
    <row r="49230">
      <c r="B49230" s="31"/>
      <c r="G49230" s="272" t="s">
        <v>1099</v>
      </c>
    </row>
    <row r="49231">
      <c r="B49231" s="31"/>
      <c r="G49231" s="272" t="s">
        <v>1099</v>
      </c>
    </row>
    <row r="49232">
      <c r="B49232" s="31"/>
      <c r="G49232" s="272" t="s">
        <v>1099</v>
      </c>
    </row>
    <row r="49233">
      <c r="B49233" s="31"/>
      <c r="G49233" s="272" t="s">
        <v>1099</v>
      </c>
    </row>
    <row r="49234">
      <c r="B49234" s="31"/>
      <c r="G49234" s="272" t="s">
        <v>1099</v>
      </c>
    </row>
    <row r="49235">
      <c r="B49235" s="31"/>
      <c r="G49235" s="272" t="s">
        <v>1099</v>
      </c>
    </row>
    <row r="49236">
      <c r="B49236" s="31"/>
      <c r="G49236" s="272" t="s">
        <v>1099</v>
      </c>
    </row>
    <row r="49237">
      <c r="B49237" s="31"/>
      <c r="G49237" s="272" t="s">
        <v>1099</v>
      </c>
    </row>
    <row r="49238">
      <c r="B49238" s="31"/>
      <c r="G49238" s="272" t="s">
        <v>1099</v>
      </c>
    </row>
    <row r="49239">
      <c r="B49239" s="31"/>
      <c r="G49239" s="272" t="s">
        <v>1099</v>
      </c>
    </row>
    <row r="49240">
      <c r="B49240" s="31"/>
      <c r="G49240" s="272" t="s">
        <v>1099</v>
      </c>
    </row>
    <row r="49241">
      <c r="B49241" s="31"/>
      <c r="G49241" s="272" t="s">
        <v>1099</v>
      </c>
    </row>
    <row r="49242">
      <c r="B49242" s="31"/>
      <c r="G49242" s="272" t="s">
        <v>1099</v>
      </c>
    </row>
    <row r="49243">
      <c r="B49243" s="31"/>
      <c r="G49243" s="272" t="s">
        <v>1099</v>
      </c>
    </row>
    <row r="49244">
      <c r="B49244" s="31"/>
      <c r="G49244" s="272" t="s">
        <v>1099</v>
      </c>
    </row>
    <row r="49245">
      <c r="B49245" s="31"/>
      <c r="G49245" s="272" t="s">
        <v>1099</v>
      </c>
    </row>
    <row r="49246">
      <c r="B49246" s="31"/>
      <c r="G49246" s="272" t="s">
        <v>1099</v>
      </c>
    </row>
    <row r="49247">
      <c r="B49247" s="31"/>
      <c r="G49247" s="272" t="s">
        <v>1099</v>
      </c>
    </row>
    <row r="49248">
      <c r="B49248" s="31"/>
      <c r="G49248" s="272" t="s">
        <v>1099</v>
      </c>
    </row>
    <row r="49249">
      <c r="B49249" s="31"/>
      <c r="G49249" s="272" t="s">
        <v>1099</v>
      </c>
    </row>
    <row r="49250">
      <c r="B49250" s="31"/>
      <c r="G49250" s="272" t="s">
        <v>1099</v>
      </c>
    </row>
    <row r="49251">
      <c r="B49251" s="31"/>
      <c r="G49251" s="272" t="s">
        <v>1099</v>
      </c>
    </row>
    <row r="49252">
      <c r="B49252" s="31"/>
      <c r="G49252" s="272" t="s">
        <v>1099</v>
      </c>
    </row>
    <row r="49253">
      <c r="B49253" s="31"/>
      <c r="G49253" s="272" t="s">
        <v>1099</v>
      </c>
    </row>
    <row r="49254">
      <c r="B49254" s="31"/>
      <c r="G49254" s="272" t="s">
        <v>1099</v>
      </c>
    </row>
    <row r="49255">
      <c r="B49255" s="31"/>
      <c r="G49255" s="272" t="s">
        <v>1099</v>
      </c>
    </row>
    <row r="49256">
      <c r="B49256" s="31"/>
      <c r="G49256" s="272" t="s">
        <v>1099</v>
      </c>
    </row>
    <row r="49257">
      <c r="B49257" s="31"/>
      <c r="G49257" s="272" t="s">
        <v>1099</v>
      </c>
    </row>
    <row r="49258">
      <c r="B49258" s="31"/>
      <c r="G49258" s="272" t="s">
        <v>1099</v>
      </c>
    </row>
    <row r="49259">
      <c r="B49259" s="31"/>
      <c r="G49259" s="272" t="s">
        <v>1099</v>
      </c>
    </row>
    <row r="49260">
      <c r="B49260" s="31"/>
      <c r="G49260" s="272" t="s">
        <v>1099</v>
      </c>
    </row>
    <row r="49261">
      <c r="B49261" s="31"/>
      <c r="G49261" s="272" t="s">
        <v>1099</v>
      </c>
    </row>
    <row r="49262">
      <c r="B49262" s="31"/>
      <c r="G49262" s="272" t="s">
        <v>1099</v>
      </c>
    </row>
    <row r="49263">
      <c r="B49263" s="31"/>
      <c r="G49263" s="272" t="s">
        <v>1099</v>
      </c>
    </row>
    <row r="49264">
      <c r="B49264" s="31"/>
      <c r="G49264" s="272" t="s">
        <v>1099</v>
      </c>
    </row>
    <row r="49265">
      <c r="B49265" s="31"/>
      <c r="G49265" s="272" t="s">
        <v>1099</v>
      </c>
    </row>
    <row r="49266">
      <c r="B49266" s="31"/>
      <c r="G49266" s="272" t="s">
        <v>1099</v>
      </c>
    </row>
    <row r="49267">
      <c r="B49267" s="31"/>
      <c r="G49267" s="272" t="s">
        <v>1099</v>
      </c>
    </row>
    <row r="49268">
      <c r="B49268" s="31"/>
      <c r="G49268" s="272" t="s">
        <v>1099</v>
      </c>
    </row>
    <row r="49269">
      <c r="B49269" s="31"/>
      <c r="G49269" s="272" t="s">
        <v>1099</v>
      </c>
    </row>
    <row r="49270">
      <c r="B49270" s="31"/>
      <c r="G49270" s="272" t="s">
        <v>1099</v>
      </c>
    </row>
    <row r="49271">
      <c r="B49271" s="31"/>
      <c r="G49271" s="272" t="s">
        <v>1099</v>
      </c>
    </row>
    <row r="49272">
      <c r="B49272" s="31"/>
      <c r="G49272" s="272" t="s">
        <v>1099</v>
      </c>
    </row>
    <row r="49273">
      <c r="B49273" s="31"/>
      <c r="G49273" s="272" t="s">
        <v>1099</v>
      </c>
    </row>
    <row r="49274">
      <c r="B49274" s="31"/>
      <c r="G49274" s="272" t="s">
        <v>1099</v>
      </c>
    </row>
    <row r="49275">
      <c r="B49275" s="31"/>
      <c r="G49275" s="272" t="s">
        <v>1099</v>
      </c>
    </row>
    <row r="49276">
      <c r="B49276" s="31"/>
      <c r="G49276" s="272" t="s">
        <v>1099</v>
      </c>
    </row>
    <row r="49277">
      <c r="B49277" s="31"/>
      <c r="G49277" s="272" t="s">
        <v>1099</v>
      </c>
    </row>
    <row r="49278">
      <c r="B49278" s="31"/>
      <c r="G49278" s="272" t="s">
        <v>1099</v>
      </c>
    </row>
    <row r="49279">
      <c r="B49279" s="31"/>
      <c r="G49279" s="272" t="s">
        <v>1099</v>
      </c>
    </row>
    <row r="49280">
      <c r="B49280" s="31"/>
      <c r="G49280" s="272" t="s">
        <v>1099</v>
      </c>
    </row>
    <row r="49281">
      <c r="B49281" s="31"/>
      <c r="G49281" s="272" t="s">
        <v>1099</v>
      </c>
    </row>
    <row r="49282">
      <c r="B49282" s="31"/>
      <c r="G49282" s="272" t="s">
        <v>1099</v>
      </c>
    </row>
    <row r="49283">
      <c r="B49283" s="31"/>
      <c r="G49283" s="272" t="s">
        <v>1099</v>
      </c>
    </row>
    <row r="49284">
      <c r="B49284" s="31"/>
      <c r="G49284" s="272" t="s">
        <v>1099</v>
      </c>
    </row>
    <row r="49285">
      <c r="B49285" s="31"/>
      <c r="G49285" s="272" t="s">
        <v>1099</v>
      </c>
    </row>
    <row r="49286">
      <c r="B49286" s="31"/>
      <c r="G49286" s="272" t="s">
        <v>1099</v>
      </c>
    </row>
    <row r="49287">
      <c r="B49287" s="31"/>
      <c r="G49287" s="272" t="s">
        <v>1099</v>
      </c>
    </row>
    <row r="49288">
      <c r="B49288" s="31"/>
      <c r="G49288" s="272" t="s">
        <v>1099</v>
      </c>
    </row>
    <row r="49289">
      <c r="B49289" s="31"/>
      <c r="G49289" s="272" t="s">
        <v>1099</v>
      </c>
    </row>
    <row r="49290">
      <c r="B49290" s="31"/>
      <c r="G49290" s="272" t="s">
        <v>1099</v>
      </c>
    </row>
    <row r="49291">
      <c r="B49291" s="31"/>
      <c r="G49291" s="272" t="s">
        <v>1099</v>
      </c>
    </row>
    <row r="49292">
      <c r="B49292" s="31"/>
      <c r="G49292" s="272" t="s">
        <v>1099</v>
      </c>
    </row>
    <row r="49293">
      <c r="B49293" s="31"/>
      <c r="G49293" s="272" t="s">
        <v>1099</v>
      </c>
    </row>
    <row r="49294">
      <c r="B49294" s="31"/>
      <c r="G49294" s="272" t="s">
        <v>1099</v>
      </c>
    </row>
    <row r="49295">
      <c r="B49295" s="31"/>
      <c r="G49295" s="272" t="s">
        <v>1099</v>
      </c>
    </row>
    <row r="49296">
      <c r="B49296" s="31"/>
      <c r="G49296" s="272" t="s">
        <v>1099</v>
      </c>
    </row>
    <row r="49297">
      <c r="B49297" s="31"/>
      <c r="G49297" s="272" t="s">
        <v>1099</v>
      </c>
    </row>
    <row r="49298">
      <c r="B49298" s="31"/>
      <c r="G49298" s="272" t="s">
        <v>1099</v>
      </c>
    </row>
    <row r="49299">
      <c r="B49299" s="31"/>
      <c r="G49299" s="272" t="s">
        <v>1099</v>
      </c>
    </row>
    <row r="49300">
      <c r="B49300" s="31"/>
      <c r="G49300" s="272" t="s">
        <v>1099</v>
      </c>
    </row>
    <row r="49301">
      <c r="B49301" s="31"/>
      <c r="G49301" s="272" t="s">
        <v>1099</v>
      </c>
    </row>
    <row r="49302">
      <c r="B49302" s="31"/>
      <c r="G49302" s="272" t="s">
        <v>1099</v>
      </c>
    </row>
    <row r="49303">
      <c r="B49303" s="31"/>
      <c r="G49303" s="272" t="s">
        <v>1099</v>
      </c>
    </row>
    <row r="49304">
      <c r="B49304" s="31"/>
      <c r="G49304" s="272" t="s">
        <v>1099</v>
      </c>
    </row>
    <row r="49305">
      <c r="B49305" s="31"/>
      <c r="G49305" s="272" t="s">
        <v>1099</v>
      </c>
    </row>
    <row r="49306">
      <c r="B49306" s="31"/>
      <c r="G49306" s="272" t="s">
        <v>1099</v>
      </c>
    </row>
    <row r="49307">
      <c r="B49307" s="31"/>
      <c r="G49307" s="272" t="s">
        <v>1099</v>
      </c>
    </row>
    <row r="49308">
      <c r="B49308" s="31"/>
      <c r="G49308" s="272" t="s">
        <v>1099</v>
      </c>
    </row>
    <row r="49309">
      <c r="B49309" s="31"/>
      <c r="G49309" s="272" t="s">
        <v>1099</v>
      </c>
    </row>
    <row r="49310">
      <c r="B49310" s="31"/>
      <c r="G49310" s="272" t="s">
        <v>1099</v>
      </c>
    </row>
    <row r="49311">
      <c r="B49311" s="31"/>
      <c r="G49311" s="272" t="s">
        <v>1099</v>
      </c>
    </row>
    <row r="49312">
      <c r="B49312" s="31"/>
      <c r="G49312" s="272" t="s">
        <v>1099</v>
      </c>
    </row>
    <row r="49313">
      <c r="B49313" s="31"/>
      <c r="G49313" s="272" t="s">
        <v>1099</v>
      </c>
    </row>
    <row r="49314">
      <c r="B49314" s="31"/>
      <c r="G49314" s="272" t="s">
        <v>1099</v>
      </c>
    </row>
    <row r="49315">
      <c r="B49315" s="31"/>
      <c r="G49315" s="272" t="s">
        <v>1099</v>
      </c>
    </row>
    <row r="49316">
      <c r="B49316" s="31"/>
      <c r="G49316" s="272" t="s">
        <v>1099</v>
      </c>
    </row>
    <row r="49317">
      <c r="B49317" s="31"/>
      <c r="G49317" s="272" t="s">
        <v>1099</v>
      </c>
    </row>
    <row r="49318">
      <c r="B49318" s="31"/>
      <c r="G49318" s="272" t="s">
        <v>1099</v>
      </c>
    </row>
    <row r="49319">
      <c r="B49319" s="31"/>
      <c r="G49319" s="272" t="s">
        <v>1099</v>
      </c>
    </row>
    <row r="49320">
      <c r="B49320" s="31"/>
      <c r="G49320" s="272" t="s">
        <v>1099</v>
      </c>
    </row>
    <row r="49321">
      <c r="B49321" s="31"/>
      <c r="G49321" s="272" t="s">
        <v>1099</v>
      </c>
    </row>
    <row r="49322">
      <c r="B49322" s="31"/>
      <c r="G49322" s="272" t="s">
        <v>1099</v>
      </c>
    </row>
    <row r="49323">
      <c r="B49323" s="31"/>
      <c r="G49323" s="272" t="s">
        <v>1099</v>
      </c>
    </row>
    <row r="49324">
      <c r="B49324" s="31"/>
      <c r="G49324" s="272" t="s">
        <v>1099</v>
      </c>
    </row>
    <row r="49325">
      <c r="B49325" s="31"/>
      <c r="G49325" s="272" t="s">
        <v>1099</v>
      </c>
    </row>
    <row r="49326">
      <c r="B49326" s="31"/>
      <c r="G49326" s="272" t="s">
        <v>1099</v>
      </c>
    </row>
    <row r="49327">
      <c r="B49327" s="31"/>
      <c r="G49327" s="272" t="s">
        <v>1099</v>
      </c>
    </row>
    <row r="49328">
      <c r="B49328" s="31"/>
      <c r="G49328" s="272" t="s">
        <v>1099</v>
      </c>
    </row>
    <row r="49329">
      <c r="B49329" s="31"/>
      <c r="G49329" s="272" t="s">
        <v>1099</v>
      </c>
    </row>
    <row r="49330">
      <c r="B49330" s="31"/>
      <c r="G49330" s="272" t="s">
        <v>1099</v>
      </c>
    </row>
    <row r="49331">
      <c r="B49331" s="31"/>
      <c r="G49331" s="272" t="s">
        <v>1099</v>
      </c>
    </row>
    <row r="49332">
      <c r="B49332" s="31"/>
      <c r="G49332" s="272" t="s">
        <v>1099</v>
      </c>
    </row>
    <row r="49333">
      <c r="B49333" s="31"/>
      <c r="G49333" s="272" t="s">
        <v>1099</v>
      </c>
    </row>
    <row r="49334">
      <c r="B49334" s="31"/>
      <c r="G49334" s="272" t="s">
        <v>1099</v>
      </c>
    </row>
    <row r="49335">
      <c r="B49335" s="31"/>
      <c r="G49335" s="272" t="s">
        <v>1099</v>
      </c>
    </row>
    <row r="49336">
      <c r="B49336" s="31"/>
      <c r="G49336" s="272" t="s">
        <v>1099</v>
      </c>
    </row>
    <row r="49337">
      <c r="B49337" s="31"/>
      <c r="G49337" s="272" t="s">
        <v>1099</v>
      </c>
    </row>
    <row r="49338">
      <c r="B49338" s="31"/>
      <c r="G49338" s="272" t="s">
        <v>1099</v>
      </c>
    </row>
    <row r="49339">
      <c r="B49339" s="31"/>
      <c r="G49339" s="272" t="s">
        <v>1099</v>
      </c>
    </row>
    <row r="49340">
      <c r="B49340" s="31"/>
      <c r="G49340" s="272" t="s">
        <v>1099</v>
      </c>
    </row>
    <row r="49341">
      <c r="B49341" s="31"/>
      <c r="G49341" s="272" t="s">
        <v>1099</v>
      </c>
    </row>
    <row r="49342">
      <c r="B49342" s="31"/>
      <c r="G49342" s="272" t="s">
        <v>1099</v>
      </c>
    </row>
    <row r="49343">
      <c r="B49343" s="31"/>
      <c r="G49343" s="272" t="s">
        <v>1099</v>
      </c>
    </row>
    <row r="49344">
      <c r="B49344" s="31"/>
      <c r="G49344" s="272" t="s">
        <v>1099</v>
      </c>
    </row>
    <row r="49345">
      <c r="B49345" s="31"/>
      <c r="G49345" s="272" t="s">
        <v>1099</v>
      </c>
    </row>
    <row r="49346">
      <c r="B49346" s="31"/>
      <c r="G49346" s="272" t="s">
        <v>1099</v>
      </c>
    </row>
    <row r="49347">
      <c r="B49347" s="31"/>
      <c r="G49347" s="272" t="s">
        <v>1099</v>
      </c>
    </row>
    <row r="49348">
      <c r="B49348" s="31"/>
      <c r="G49348" s="272" t="s">
        <v>1099</v>
      </c>
    </row>
    <row r="49349">
      <c r="B49349" s="31"/>
      <c r="G49349" s="272" t="s">
        <v>1099</v>
      </c>
    </row>
    <row r="49350">
      <c r="B49350" s="31"/>
      <c r="G49350" s="272" t="s">
        <v>1099</v>
      </c>
    </row>
    <row r="49351">
      <c r="B49351" s="31"/>
      <c r="G49351" s="272" t="s">
        <v>1099</v>
      </c>
    </row>
    <row r="49352">
      <c r="B49352" s="31"/>
      <c r="G49352" s="272" t="s">
        <v>1099</v>
      </c>
    </row>
    <row r="49353">
      <c r="B49353" s="31"/>
      <c r="G49353" s="272" t="s">
        <v>1099</v>
      </c>
    </row>
    <row r="49354">
      <c r="B49354" s="31"/>
      <c r="G49354" s="272" t="s">
        <v>1099</v>
      </c>
    </row>
    <row r="49355">
      <c r="B49355" s="31"/>
      <c r="G49355" s="272" t="s">
        <v>1099</v>
      </c>
    </row>
    <row r="49356">
      <c r="B49356" s="31"/>
      <c r="G49356" s="272" t="s">
        <v>1099</v>
      </c>
    </row>
    <row r="49357">
      <c r="B49357" s="31"/>
      <c r="G49357" s="272" t="s">
        <v>1099</v>
      </c>
    </row>
    <row r="49358">
      <c r="B49358" s="31"/>
      <c r="G49358" s="272" t="s">
        <v>1099</v>
      </c>
    </row>
    <row r="49359">
      <c r="B49359" s="31"/>
      <c r="G49359" s="272" t="s">
        <v>1099</v>
      </c>
    </row>
    <row r="49360">
      <c r="B49360" s="31"/>
      <c r="G49360" s="272" t="s">
        <v>1099</v>
      </c>
    </row>
    <row r="49361">
      <c r="B49361" s="31"/>
      <c r="G49361" s="272" t="s">
        <v>1099</v>
      </c>
    </row>
    <row r="49362">
      <c r="B49362" s="31"/>
      <c r="G49362" s="272" t="s">
        <v>1099</v>
      </c>
    </row>
    <row r="49363">
      <c r="B49363" s="31"/>
      <c r="G49363" s="272" t="s">
        <v>1099</v>
      </c>
    </row>
    <row r="49364">
      <c r="B49364" s="31"/>
      <c r="G49364" s="272" t="s">
        <v>1099</v>
      </c>
    </row>
    <row r="49365">
      <c r="B49365" s="31"/>
      <c r="G49365" s="272" t="s">
        <v>1099</v>
      </c>
    </row>
    <row r="49366">
      <c r="B49366" s="31"/>
      <c r="G49366" s="272" t="s">
        <v>1099</v>
      </c>
    </row>
    <row r="49367">
      <c r="B49367" s="31"/>
      <c r="G49367" s="272" t="s">
        <v>1099</v>
      </c>
    </row>
    <row r="49368">
      <c r="B49368" s="31"/>
      <c r="G49368" s="272" t="s">
        <v>1099</v>
      </c>
    </row>
    <row r="49369">
      <c r="B49369" s="31"/>
      <c r="G49369" s="272" t="s">
        <v>1099</v>
      </c>
    </row>
    <row r="49370">
      <c r="B49370" s="31"/>
      <c r="G49370" s="272" t="s">
        <v>1099</v>
      </c>
    </row>
    <row r="49371">
      <c r="B49371" s="31"/>
      <c r="G49371" s="272" t="s">
        <v>1099</v>
      </c>
    </row>
    <row r="49372">
      <c r="B49372" s="31"/>
      <c r="G49372" s="272" t="s">
        <v>1099</v>
      </c>
    </row>
    <row r="49373">
      <c r="B49373" s="31"/>
      <c r="G49373" s="272" t="s">
        <v>1099</v>
      </c>
    </row>
    <row r="49374">
      <c r="B49374" s="31"/>
      <c r="G49374" s="272" t="s">
        <v>1099</v>
      </c>
    </row>
    <row r="49375">
      <c r="B49375" s="31"/>
      <c r="G49375" s="272" t="s">
        <v>1099</v>
      </c>
    </row>
    <row r="49376">
      <c r="B49376" s="31"/>
      <c r="G49376" s="272" t="s">
        <v>1099</v>
      </c>
    </row>
    <row r="49377">
      <c r="B49377" s="31"/>
      <c r="G49377" s="272" t="s">
        <v>1099</v>
      </c>
    </row>
    <row r="49378">
      <c r="B49378" s="31"/>
      <c r="G49378" s="272" t="s">
        <v>1099</v>
      </c>
    </row>
    <row r="49379">
      <c r="B49379" s="31"/>
      <c r="G49379" s="272" t="s">
        <v>1099</v>
      </c>
    </row>
    <row r="49380">
      <c r="B49380" s="31"/>
      <c r="G49380" s="272" t="s">
        <v>1099</v>
      </c>
    </row>
    <row r="49381">
      <c r="B49381" s="31"/>
      <c r="G49381" s="272" t="s">
        <v>1099</v>
      </c>
    </row>
    <row r="49382">
      <c r="B49382" s="31"/>
      <c r="G49382" s="272" t="s">
        <v>1099</v>
      </c>
    </row>
    <row r="49383">
      <c r="B49383" s="31"/>
      <c r="G49383" s="272" t="s">
        <v>1099</v>
      </c>
    </row>
    <row r="49384">
      <c r="B49384" s="31"/>
      <c r="G49384" s="272" t="s">
        <v>1099</v>
      </c>
    </row>
    <row r="49385">
      <c r="B49385" s="31"/>
      <c r="G49385" s="272" t="s">
        <v>1099</v>
      </c>
    </row>
    <row r="49386">
      <c r="B49386" s="31"/>
      <c r="G49386" s="272" t="s">
        <v>1099</v>
      </c>
    </row>
    <row r="49387">
      <c r="B49387" s="31"/>
      <c r="G49387" s="272" t="s">
        <v>1099</v>
      </c>
    </row>
    <row r="49388">
      <c r="B49388" s="31"/>
      <c r="G49388" s="272" t="s">
        <v>1099</v>
      </c>
    </row>
    <row r="49389">
      <c r="B49389" s="31"/>
      <c r="G49389" s="272" t="s">
        <v>1099</v>
      </c>
    </row>
    <row r="49390">
      <c r="B49390" s="31"/>
      <c r="G49390" s="272" t="s">
        <v>1099</v>
      </c>
    </row>
    <row r="49391">
      <c r="B49391" s="31"/>
      <c r="G49391" s="272" t="s">
        <v>1099</v>
      </c>
    </row>
    <row r="49392">
      <c r="B49392" s="31"/>
      <c r="G49392" s="272" t="s">
        <v>1099</v>
      </c>
    </row>
    <row r="49393">
      <c r="B49393" s="31"/>
      <c r="G49393" s="272" t="s">
        <v>1099</v>
      </c>
    </row>
    <row r="49394">
      <c r="B49394" s="31"/>
      <c r="G49394" s="272" t="s">
        <v>1099</v>
      </c>
    </row>
    <row r="49395">
      <c r="B49395" s="31"/>
      <c r="G49395" s="272" t="s">
        <v>1099</v>
      </c>
    </row>
    <row r="49396">
      <c r="B49396" s="31"/>
      <c r="G49396" s="272" t="s">
        <v>1099</v>
      </c>
    </row>
    <row r="49397">
      <c r="B49397" s="31"/>
      <c r="G49397" s="272" t="s">
        <v>1099</v>
      </c>
    </row>
    <row r="49398">
      <c r="B49398" s="31"/>
      <c r="G49398" s="272" t="s">
        <v>1099</v>
      </c>
    </row>
    <row r="49399">
      <c r="B49399" s="31"/>
      <c r="G49399" s="272" t="s">
        <v>1099</v>
      </c>
    </row>
    <row r="49400">
      <c r="B49400" s="31"/>
      <c r="G49400" s="272" t="s">
        <v>1099</v>
      </c>
    </row>
    <row r="49401">
      <c r="B49401" s="31"/>
      <c r="G49401" s="272" t="s">
        <v>1099</v>
      </c>
    </row>
    <row r="49402">
      <c r="B49402" s="31"/>
      <c r="G49402" s="272" t="s">
        <v>1099</v>
      </c>
    </row>
    <row r="49403">
      <c r="B49403" s="31"/>
      <c r="G49403" s="272" t="s">
        <v>1099</v>
      </c>
    </row>
    <row r="49404">
      <c r="B49404" s="31"/>
      <c r="G49404" s="272" t="s">
        <v>1099</v>
      </c>
    </row>
    <row r="49405">
      <c r="B49405" s="31"/>
      <c r="G49405" s="272" t="s">
        <v>1099</v>
      </c>
    </row>
    <row r="49406">
      <c r="B49406" s="31"/>
      <c r="G49406" s="272" t="s">
        <v>1099</v>
      </c>
    </row>
    <row r="49407">
      <c r="B49407" s="31"/>
      <c r="G49407" s="272" t="s">
        <v>1099</v>
      </c>
    </row>
    <row r="49408">
      <c r="B49408" s="31"/>
      <c r="G49408" s="272" t="s">
        <v>1099</v>
      </c>
    </row>
    <row r="49409">
      <c r="B49409" s="31"/>
      <c r="G49409" s="272" t="s">
        <v>1099</v>
      </c>
    </row>
    <row r="49410">
      <c r="B49410" s="31"/>
      <c r="G49410" s="272" t="s">
        <v>1099</v>
      </c>
    </row>
    <row r="49411">
      <c r="B49411" s="31"/>
      <c r="G49411" s="272" t="s">
        <v>1099</v>
      </c>
    </row>
    <row r="49412">
      <c r="B49412" s="31"/>
      <c r="G49412" s="272" t="s">
        <v>1099</v>
      </c>
    </row>
    <row r="49413">
      <c r="B49413" s="31"/>
      <c r="G49413" s="272" t="s">
        <v>1099</v>
      </c>
    </row>
    <row r="49414">
      <c r="B49414" s="31"/>
      <c r="G49414" s="272" t="s">
        <v>1099</v>
      </c>
    </row>
    <row r="49415">
      <c r="B49415" s="31"/>
      <c r="G49415" s="272" t="s">
        <v>1099</v>
      </c>
    </row>
    <row r="49416">
      <c r="B49416" s="31"/>
      <c r="G49416" s="272" t="s">
        <v>1099</v>
      </c>
    </row>
    <row r="49417">
      <c r="B49417" s="31"/>
      <c r="G49417" s="272" t="s">
        <v>1099</v>
      </c>
    </row>
    <row r="49418">
      <c r="B49418" s="31"/>
      <c r="G49418" s="272" t="s">
        <v>1099</v>
      </c>
    </row>
    <row r="49419">
      <c r="B49419" s="31"/>
      <c r="G49419" s="272" t="s">
        <v>1099</v>
      </c>
    </row>
    <row r="49420">
      <c r="B49420" s="31"/>
      <c r="G49420" s="272" t="s">
        <v>1099</v>
      </c>
    </row>
    <row r="49421">
      <c r="B49421" s="31"/>
      <c r="G49421" s="272" t="s">
        <v>1099</v>
      </c>
    </row>
    <row r="49422">
      <c r="B49422" s="31"/>
      <c r="G49422" s="272" t="s">
        <v>1099</v>
      </c>
    </row>
    <row r="49423">
      <c r="B49423" s="31"/>
      <c r="G49423" s="272" t="s">
        <v>1099</v>
      </c>
    </row>
    <row r="49424">
      <c r="B49424" s="31"/>
      <c r="G49424" s="272" t="s">
        <v>1099</v>
      </c>
    </row>
    <row r="49425">
      <c r="B49425" s="31"/>
      <c r="G49425" s="272" t="s">
        <v>1099</v>
      </c>
    </row>
    <row r="49426">
      <c r="B49426" s="31"/>
      <c r="G49426" s="272" t="s">
        <v>1099</v>
      </c>
    </row>
    <row r="49427">
      <c r="B49427" s="31"/>
      <c r="G49427" s="272" t="s">
        <v>1099</v>
      </c>
    </row>
    <row r="49428">
      <c r="B49428" s="31"/>
      <c r="G49428" s="272" t="s">
        <v>1099</v>
      </c>
    </row>
    <row r="49429">
      <c r="B49429" s="31"/>
      <c r="G49429" s="272" t="s">
        <v>1099</v>
      </c>
    </row>
    <row r="49430">
      <c r="B49430" s="31"/>
      <c r="G49430" s="272" t="s">
        <v>1099</v>
      </c>
    </row>
    <row r="49431">
      <c r="B49431" s="31"/>
      <c r="G49431" s="272" t="s">
        <v>1099</v>
      </c>
    </row>
    <row r="49432">
      <c r="B49432" s="31"/>
      <c r="G49432" s="272" t="s">
        <v>1099</v>
      </c>
    </row>
    <row r="49433">
      <c r="B49433" s="31"/>
      <c r="G49433" s="272" t="s">
        <v>1099</v>
      </c>
    </row>
    <row r="49434">
      <c r="B49434" s="31"/>
      <c r="G49434" s="272" t="s">
        <v>1099</v>
      </c>
    </row>
    <row r="49435">
      <c r="B49435" s="31"/>
      <c r="G49435" s="272" t="s">
        <v>1099</v>
      </c>
    </row>
    <row r="49436">
      <c r="B49436" s="31"/>
      <c r="G49436" s="272" t="s">
        <v>1099</v>
      </c>
    </row>
    <row r="49437">
      <c r="B49437" s="31"/>
      <c r="G49437" s="272" t="s">
        <v>1099</v>
      </c>
    </row>
    <row r="49438">
      <c r="B49438" s="31"/>
      <c r="G49438" s="272" t="s">
        <v>1099</v>
      </c>
    </row>
    <row r="49439">
      <c r="B49439" s="31"/>
      <c r="G49439" s="272" t="s">
        <v>1099</v>
      </c>
    </row>
    <row r="49440">
      <c r="B49440" s="31"/>
      <c r="G49440" s="272" t="s">
        <v>1099</v>
      </c>
    </row>
    <row r="49441">
      <c r="B49441" s="31"/>
      <c r="G49441" s="272" t="s">
        <v>1099</v>
      </c>
    </row>
    <row r="49442">
      <c r="B49442" s="31"/>
      <c r="G49442" s="272" t="s">
        <v>1099</v>
      </c>
    </row>
    <row r="49443">
      <c r="B49443" s="31"/>
      <c r="G49443" s="272" t="s">
        <v>1099</v>
      </c>
    </row>
    <row r="49444">
      <c r="B49444" s="31"/>
      <c r="G49444" s="272" t="s">
        <v>1099</v>
      </c>
    </row>
    <row r="49445">
      <c r="B49445" s="31"/>
      <c r="G49445" s="272" t="s">
        <v>1099</v>
      </c>
    </row>
    <row r="49446">
      <c r="B49446" s="31"/>
      <c r="G49446" s="272" t="s">
        <v>1099</v>
      </c>
    </row>
    <row r="49447">
      <c r="B49447" s="31"/>
      <c r="G49447" s="272" t="s">
        <v>1099</v>
      </c>
    </row>
    <row r="49448">
      <c r="B49448" s="31"/>
      <c r="G49448" s="272" t="s">
        <v>1099</v>
      </c>
    </row>
    <row r="49449">
      <c r="B49449" s="31"/>
      <c r="G49449" s="272" t="s">
        <v>1099</v>
      </c>
    </row>
    <row r="49450">
      <c r="B49450" s="31"/>
      <c r="G49450" s="272" t="s">
        <v>1099</v>
      </c>
    </row>
    <row r="49451">
      <c r="B49451" s="31"/>
      <c r="G49451" s="272" t="s">
        <v>1099</v>
      </c>
    </row>
    <row r="49452">
      <c r="B49452" s="31"/>
      <c r="G49452" s="272" t="s">
        <v>1099</v>
      </c>
    </row>
    <row r="49453">
      <c r="B49453" s="31"/>
      <c r="G49453" s="272" t="s">
        <v>1099</v>
      </c>
    </row>
    <row r="49454">
      <c r="B49454" s="31"/>
      <c r="G49454" s="272" t="s">
        <v>1099</v>
      </c>
    </row>
    <row r="49455">
      <c r="B49455" s="31"/>
      <c r="G49455" s="272" t="s">
        <v>1099</v>
      </c>
    </row>
    <row r="49456">
      <c r="B49456" s="31"/>
      <c r="G49456" s="272" t="s">
        <v>1099</v>
      </c>
    </row>
    <row r="49457">
      <c r="B49457" s="31"/>
      <c r="G49457" s="272" t="s">
        <v>1099</v>
      </c>
    </row>
    <row r="49458">
      <c r="B49458" s="31"/>
      <c r="G49458" s="272" t="s">
        <v>1099</v>
      </c>
    </row>
    <row r="49459">
      <c r="B49459" s="31"/>
      <c r="G49459" s="272" t="s">
        <v>1099</v>
      </c>
    </row>
    <row r="49460">
      <c r="B49460" s="31"/>
      <c r="G49460" s="272" t="s">
        <v>1099</v>
      </c>
    </row>
    <row r="49461">
      <c r="B49461" s="31"/>
      <c r="G49461" s="272" t="s">
        <v>1099</v>
      </c>
    </row>
    <row r="49462">
      <c r="B49462" s="31"/>
      <c r="G49462" s="272" t="s">
        <v>1099</v>
      </c>
    </row>
    <row r="49463">
      <c r="B49463" s="31"/>
      <c r="G49463" s="272" t="s">
        <v>1099</v>
      </c>
    </row>
    <row r="49464">
      <c r="B49464" s="31"/>
      <c r="G49464" s="272" t="s">
        <v>1099</v>
      </c>
    </row>
    <row r="49465">
      <c r="B49465" s="31"/>
      <c r="G49465" s="272" t="s">
        <v>1099</v>
      </c>
    </row>
    <row r="49466">
      <c r="B49466" s="31"/>
      <c r="G49466" s="272" t="s">
        <v>1099</v>
      </c>
    </row>
    <row r="49467">
      <c r="B49467" s="31"/>
      <c r="G49467" s="272" t="s">
        <v>1099</v>
      </c>
    </row>
    <row r="49468">
      <c r="B49468" s="31"/>
      <c r="G49468" s="272" t="s">
        <v>1099</v>
      </c>
    </row>
    <row r="49469">
      <c r="B49469" s="31"/>
      <c r="G49469" s="272" t="s">
        <v>1099</v>
      </c>
    </row>
    <row r="49470">
      <c r="B49470" s="31"/>
      <c r="G49470" s="272" t="s">
        <v>1099</v>
      </c>
    </row>
    <row r="49471">
      <c r="B49471" s="31"/>
      <c r="G49471" s="272" t="s">
        <v>1099</v>
      </c>
    </row>
    <row r="49472">
      <c r="B49472" s="31"/>
      <c r="G49472" s="272" t="s">
        <v>1099</v>
      </c>
    </row>
    <row r="49473">
      <c r="B49473" s="31"/>
      <c r="G49473" s="272" t="s">
        <v>1099</v>
      </c>
    </row>
    <row r="49474">
      <c r="B49474" s="31"/>
      <c r="G49474" s="272" t="s">
        <v>1099</v>
      </c>
    </row>
    <row r="49475">
      <c r="B49475" s="31"/>
      <c r="G49475" s="272" t="s">
        <v>1099</v>
      </c>
    </row>
    <row r="49476">
      <c r="B49476" s="31"/>
      <c r="G49476" s="272" t="s">
        <v>1099</v>
      </c>
    </row>
    <row r="49477">
      <c r="B49477" s="31"/>
      <c r="G49477" s="272" t="s">
        <v>1099</v>
      </c>
    </row>
    <row r="49478">
      <c r="B49478" s="31"/>
      <c r="G49478" s="272" t="s">
        <v>1099</v>
      </c>
    </row>
    <row r="49479">
      <c r="B49479" s="31"/>
      <c r="G49479" s="272" t="s">
        <v>1099</v>
      </c>
    </row>
    <row r="49480">
      <c r="B49480" s="31"/>
      <c r="G49480" s="272" t="s">
        <v>1099</v>
      </c>
    </row>
    <row r="49481">
      <c r="B49481" s="31"/>
      <c r="G49481" s="272" t="s">
        <v>1099</v>
      </c>
    </row>
    <row r="49482">
      <c r="B49482" s="31"/>
      <c r="G49482" s="272" t="s">
        <v>1099</v>
      </c>
    </row>
    <row r="49483">
      <c r="B49483" s="31"/>
      <c r="G49483" s="272" t="s">
        <v>1099</v>
      </c>
    </row>
    <row r="49484">
      <c r="B49484" s="31"/>
      <c r="G49484" s="272" t="s">
        <v>1099</v>
      </c>
    </row>
    <row r="49485">
      <c r="B49485" s="31"/>
      <c r="G49485" s="272" t="s">
        <v>1099</v>
      </c>
    </row>
    <row r="49486">
      <c r="B49486" s="31"/>
      <c r="G49486" s="272" t="s">
        <v>1099</v>
      </c>
    </row>
    <row r="49487">
      <c r="B49487" s="31"/>
      <c r="G49487" s="272" t="s">
        <v>1099</v>
      </c>
    </row>
    <row r="49488">
      <c r="B49488" s="31"/>
      <c r="G49488" s="272" t="s">
        <v>1099</v>
      </c>
    </row>
    <row r="49489">
      <c r="B49489" s="31"/>
      <c r="G49489" s="272" t="s">
        <v>1099</v>
      </c>
    </row>
    <row r="49490">
      <c r="B49490" s="31"/>
      <c r="G49490" s="272" t="s">
        <v>1099</v>
      </c>
    </row>
    <row r="49491">
      <c r="B49491" s="31"/>
      <c r="G49491" s="272" t="s">
        <v>1099</v>
      </c>
    </row>
    <row r="49492">
      <c r="B49492" s="31"/>
      <c r="G49492" s="272" t="s">
        <v>1099</v>
      </c>
    </row>
    <row r="49493">
      <c r="B49493" s="31"/>
      <c r="G49493" s="272" t="s">
        <v>1099</v>
      </c>
    </row>
    <row r="49494">
      <c r="B49494" s="31"/>
      <c r="G49494" s="272" t="s">
        <v>1099</v>
      </c>
    </row>
    <row r="49495">
      <c r="B49495" s="31"/>
      <c r="G49495" s="272" t="s">
        <v>1099</v>
      </c>
    </row>
    <row r="49496">
      <c r="B49496" s="31"/>
      <c r="G49496" s="272" t="s">
        <v>1099</v>
      </c>
    </row>
    <row r="49497">
      <c r="B49497" s="31"/>
      <c r="G49497" s="272" t="s">
        <v>1099</v>
      </c>
    </row>
    <row r="49498">
      <c r="B49498" s="31"/>
      <c r="G49498" s="272" t="s">
        <v>1099</v>
      </c>
    </row>
    <row r="49499">
      <c r="B49499" s="31"/>
      <c r="G49499" s="272" t="s">
        <v>1099</v>
      </c>
    </row>
    <row r="49500">
      <c r="B49500" s="31"/>
      <c r="G49500" s="272" t="s">
        <v>1099</v>
      </c>
    </row>
    <row r="49501">
      <c r="B49501" s="31"/>
      <c r="G49501" s="272" t="s">
        <v>1099</v>
      </c>
    </row>
    <row r="49502">
      <c r="B49502" s="31"/>
      <c r="G49502" s="272" t="s">
        <v>1099</v>
      </c>
    </row>
    <row r="49503">
      <c r="B49503" s="31"/>
      <c r="G49503" s="272" t="s">
        <v>1099</v>
      </c>
    </row>
    <row r="49504">
      <c r="B49504" s="31"/>
      <c r="G49504" s="272" t="s">
        <v>1099</v>
      </c>
    </row>
    <row r="49505">
      <c r="B49505" s="31"/>
      <c r="G49505" s="272" t="s">
        <v>1099</v>
      </c>
    </row>
    <row r="49506">
      <c r="B49506" s="31"/>
      <c r="G49506" s="272" t="s">
        <v>1099</v>
      </c>
    </row>
    <row r="49507">
      <c r="B49507" s="31"/>
      <c r="G49507" s="272" t="s">
        <v>1099</v>
      </c>
    </row>
    <row r="49508">
      <c r="B49508" s="31"/>
      <c r="G49508" s="272" t="s">
        <v>1099</v>
      </c>
    </row>
    <row r="49509">
      <c r="B49509" s="31"/>
      <c r="G49509" s="272" t="s">
        <v>1099</v>
      </c>
    </row>
    <row r="49510">
      <c r="B49510" s="31"/>
      <c r="G49510" s="272" t="s">
        <v>1099</v>
      </c>
    </row>
    <row r="49511">
      <c r="B49511" s="31"/>
      <c r="G49511" s="272" t="s">
        <v>1099</v>
      </c>
    </row>
    <row r="49512">
      <c r="B49512" s="31"/>
      <c r="G49512" s="272" t="s">
        <v>1099</v>
      </c>
    </row>
    <row r="49513">
      <c r="B49513" s="31"/>
      <c r="G49513" s="272" t="s">
        <v>1099</v>
      </c>
    </row>
    <row r="49514">
      <c r="B49514" s="31"/>
      <c r="G49514" s="272" t="s">
        <v>1099</v>
      </c>
    </row>
    <row r="49515">
      <c r="B49515" s="31"/>
      <c r="G49515" s="272" t="s">
        <v>1099</v>
      </c>
    </row>
    <row r="49516">
      <c r="B49516" s="31"/>
      <c r="G49516" s="272" t="s">
        <v>1099</v>
      </c>
    </row>
    <row r="49517">
      <c r="B49517" s="31"/>
      <c r="G49517" s="272" t="s">
        <v>1099</v>
      </c>
    </row>
    <row r="49518">
      <c r="B49518" s="31"/>
      <c r="G49518" s="272" t="s">
        <v>1099</v>
      </c>
    </row>
    <row r="49519">
      <c r="B49519" s="31"/>
      <c r="G49519" s="272" t="s">
        <v>1099</v>
      </c>
    </row>
    <row r="49520">
      <c r="B49520" s="31"/>
      <c r="G49520" s="272" t="s">
        <v>1099</v>
      </c>
    </row>
    <row r="49521">
      <c r="B49521" s="31"/>
      <c r="G49521" s="272" t="s">
        <v>1099</v>
      </c>
    </row>
    <row r="49522">
      <c r="B49522" s="31"/>
      <c r="G49522" s="272" t="s">
        <v>1099</v>
      </c>
    </row>
    <row r="49523">
      <c r="B49523" s="31"/>
      <c r="G49523" s="272" t="s">
        <v>1099</v>
      </c>
    </row>
    <row r="49524">
      <c r="B49524" s="31"/>
      <c r="G49524" s="272" t="s">
        <v>1099</v>
      </c>
    </row>
    <row r="49525">
      <c r="B49525" s="31"/>
      <c r="G49525" s="272" t="s">
        <v>1099</v>
      </c>
    </row>
    <row r="49526">
      <c r="B49526" s="31"/>
      <c r="G49526" s="272" t="s">
        <v>1099</v>
      </c>
    </row>
    <row r="49527">
      <c r="B49527" s="31"/>
      <c r="G49527" s="272" t="s">
        <v>1099</v>
      </c>
    </row>
    <row r="49528">
      <c r="B49528" s="31"/>
      <c r="G49528" s="272" t="s">
        <v>1099</v>
      </c>
    </row>
    <row r="49529">
      <c r="B49529" s="31"/>
      <c r="G49529" s="272" t="s">
        <v>1099</v>
      </c>
    </row>
    <row r="49530">
      <c r="B49530" s="31"/>
      <c r="G49530" s="272" t="s">
        <v>1099</v>
      </c>
    </row>
    <row r="49531">
      <c r="B49531" s="31"/>
      <c r="G49531" s="272" t="s">
        <v>1099</v>
      </c>
    </row>
    <row r="49532">
      <c r="B49532" s="31"/>
      <c r="G49532" s="272" t="s">
        <v>1099</v>
      </c>
    </row>
    <row r="49533">
      <c r="B49533" s="31"/>
      <c r="G49533" s="272" t="s">
        <v>1099</v>
      </c>
    </row>
    <row r="49534">
      <c r="B49534" s="31"/>
      <c r="G49534" s="272" t="s">
        <v>1099</v>
      </c>
    </row>
    <row r="49535">
      <c r="B49535" s="31"/>
      <c r="G49535" s="272" t="s">
        <v>1099</v>
      </c>
    </row>
    <row r="49536">
      <c r="B49536" s="31"/>
      <c r="G49536" s="272" t="s">
        <v>1099</v>
      </c>
    </row>
    <row r="49537">
      <c r="B49537" s="31"/>
      <c r="G49537" s="272" t="s">
        <v>1099</v>
      </c>
    </row>
    <row r="49538">
      <c r="B49538" s="31"/>
      <c r="G49538" s="272" t="s">
        <v>1099</v>
      </c>
    </row>
    <row r="49539">
      <c r="B49539" s="31"/>
      <c r="G49539" s="272" t="s">
        <v>1099</v>
      </c>
    </row>
    <row r="49540">
      <c r="B49540" s="31"/>
      <c r="G49540" s="272" t="s">
        <v>1099</v>
      </c>
    </row>
    <row r="49541">
      <c r="B49541" s="31"/>
      <c r="G49541" s="272" t="s">
        <v>1099</v>
      </c>
    </row>
    <row r="49542">
      <c r="B49542" s="31"/>
      <c r="G49542" s="272" t="s">
        <v>1099</v>
      </c>
    </row>
    <row r="49543">
      <c r="B49543" s="31"/>
      <c r="G49543" s="272" t="s">
        <v>1099</v>
      </c>
    </row>
    <row r="49544">
      <c r="B49544" s="31"/>
      <c r="G49544" s="272" t="s">
        <v>1099</v>
      </c>
    </row>
    <row r="49545">
      <c r="B49545" s="31"/>
      <c r="G49545" s="272" t="s">
        <v>1099</v>
      </c>
    </row>
    <row r="49546">
      <c r="B49546" s="31"/>
      <c r="G49546" s="272" t="s">
        <v>1099</v>
      </c>
    </row>
    <row r="49547">
      <c r="B49547" s="31"/>
      <c r="G49547" s="272" t="s">
        <v>1099</v>
      </c>
    </row>
    <row r="49548">
      <c r="B49548" s="31"/>
      <c r="G49548" s="272" t="s">
        <v>1099</v>
      </c>
    </row>
    <row r="49549">
      <c r="B49549" s="31"/>
      <c r="G49549" s="272" t="s">
        <v>1099</v>
      </c>
    </row>
    <row r="49550">
      <c r="B49550" s="31"/>
      <c r="G49550" s="272" t="s">
        <v>1099</v>
      </c>
    </row>
    <row r="49551">
      <c r="B49551" s="31"/>
      <c r="G49551" s="272" t="s">
        <v>1099</v>
      </c>
    </row>
    <row r="49552">
      <c r="B49552" s="31"/>
      <c r="G49552" s="272" t="s">
        <v>1099</v>
      </c>
    </row>
    <row r="49553">
      <c r="B49553" s="31"/>
      <c r="G49553" s="272" t="s">
        <v>1099</v>
      </c>
    </row>
    <row r="49554">
      <c r="B49554" s="31"/>
      <c r="G49554" s="272" t="s">
        <v>1099</v>
      </c>
    </row>
    <row r="49555">
      <c r="B49555" s="31"/>
      <c r="G49555" s="272" t="s">
        <v>1099</v>
      </c>
    </row>
    <row r="49556">
      <c r="B49556" s="31"/>
      <c r="G49556" s="272" t="s">
        <v>1099</v>
      </c>
    </row>
    <row r="49557">
      <c r="B49557" s="31"/>
      <c r="G49557" s="272" t="s">
        <v>1099</v>
      </c>
    </row>
    <row r="49558">
      <c r="B49558" s="31"/>
      <c r="G49558" s="272" t="s">
        <v>1099</v>
      </c>
    </row>
    <row r="49559">
      <c r="B49559" s="31"/>
      <c r="G49559" s="272" t="s">
        <v>1099</v>
      </c>
    </row>
    <row r="49560">
      <c r="B49560" s="31"/>
      <c r="G49560" s="272" t="s">
        <v>1099</v>
      </c>
    </row>
    <row r="49561">
      <c r="B49561" s="31"/>
      <c r="G49561" s="272" t="s">
        <v>1099</v>
      </c>
    </row>
    <row r="49562">
      <c r="B49562" s="31"/>
      <c r="G49562" s="272" t="s">
        <v>1099</v>
      </c>
    </row>
    <row r="49563">
      <c r="B49563" s="31"/>
      <c r="G49563" s="272" t="s">
        <v>1099</v>
      </c>
    </row>
    <row r="49564">
      <c r="B49564" s="31"/>
      <c r="G49564" s="272" t="s">
        <v>1099</v>
      </c>
    </row>
    <row r="49565">
      <c r="B49565" s="31"/>
      <c r="G49565" s="272" t="s">
        <v>1099</v>
      </c>
    </row>
    <row r="49566">
      <c r="B49566" s="31"/>
      <c r="G49566" s="272" t="s">
        <v>1099</v>
      </c>
    </row>
    <row r="49567">
      <c r="B49567" s="31"/>
      <c r="G49567" s="272" t="s">
        <v>1099</v>
      </c>
    </row>
    <row r="49568">
      <c r="B49568" s="31"/>
      <c r="G49568" s="272" t="s">
        <v>1099</v>
      </c>
    </row>
    <row r="49569">
      <c r="B49569" s="31"/>
      <c r="G49569" s="272" t="s">
        <v>1099</v>
      </c>
    </row>
    <row r="49570">
      <c r="B49570" s="31"/>
      <c r="G49570" s="272" t="s">
        <v>1099</v>
      </c>
    </row>
    <row r="49571">
      <c r="B49571" s="31"/>
      <c r="G49571" s="272" t="s">
        <v>1099</v>
      </c>
    </row>
    <row r="49572">
      <c r="B49572" s="31"/>
      <c r="G49572" s="272" t="s">
        <v>1099</v>
      </c>
    </row>
    <row r="49573">
      <c r="B49573" s="31"/>
      <c r="G49573" s="272" t="s">
        <v>1099</v>
      </c>
    </row>
    <row r="49574">
      <c r="B49574" s="31"/>
      <c r="G49574" s="272" t="s">
        <v>1099</v>
      </c>
    </row>
    <row r="49575">
      <c r="B49575" s="31"/>
      <c r="G49575" s="272" t="s">
        <v>1099</v>
      </c>
    </row>
    <row r="49576">
      <c r="B49576" s="31"/>
      <c r="G49576" s="272" t="s">
        <v>1099</v>
      </c>
    </row>
    <row r="49577">
      <c r="B49577" s="31"/>
      <c r="G49577" s="272" t="s">
        <v>1099</v>
      </c>
    </row>
    <row r="49578">
      <c r="B49578" s="31"/>
      <c r="G49578" s="272" t="s">
        <v>1099</v>
      </c>
    </row>
    <row r="49579">
      <c r="B49579" s="31"/>
      <c r="G49579" s="272" t="s">
        <v>1099</v>
      </c>
    </row>
    <row r="49580">
      <c r="B49580" s="31"/>
      <c r="G49580" s="272" t="s">
        <v>1099</v>
      </c>
    </row>
    <row r="49581">
      <c r="B49581" s="31"/>
      <c r="G49581" s="272" t="s">
        <v>1099</v>
      </c>
    </row>
    <row r="49582">
      <c r="B49582" s="31"/>
      <c r="G49582" s="272" t="s">
        <v>1099</v>
      </c>
    </row>
    <row r="49583">
      <c r="B49583" s="31"/>
      <c r="G49583" s="272" t="s">
        <v>1099</v>
      </c>
    </row>
    <row r="49584">
      <c r="B49584" s="31"/>
      <c r="G49584" s="272" t="s">
        <v>1099</v>
      </c>
    </row>
    <row r="49585">
      <c r="B49585" s="31"/>
      <c r="G49585" s="272" t="s">
        <v>1099</v>
      </c>
    </row>
    <row r="49586">
      <c r="B49586" s="31"/>
      <c r="G49586" s="272" t="s">
        <v>1099</v>
      </c>
    </row>
    <row r="49587">
      <c r="B49587" s="31"/>
      <c r="G49587" s="272" t="s">
        <v>1099</v>
      </c>
    </row>
    <row r="49588">
      <c r="B49588" s="31"/>
      <c r="G49588" s="272" t="s">
        <v>1099</v>
      </c>
    </row>
    <row r="49589">
      <c r="B49589" s="31"/>
      <c r="G49589" s="272" t="s">
        <v>1099</v>
      </c>
    </row>
    <row r="49590">
      <c r="B49590" s="31"/>
      <c r="G49590" s="272" t="s">
        <v>1099</v>
      </c>
    </row>
    <row r="49591">
      <c r="B49591" s="31"/>
      <c r="G49591" s="272" t="s">
        <v>1099</v>
      </c>
    </row>
    <row r="49592">
      <c r="B49592" s="31"/>
      <c r="G49592" s="272" t="s">
        <v>1099</v>
      </c>
    </row>
    <row r="49593">
      <c r="B49593" s="31"/>
      <c r="G49593" s="272" t="s">
        <v>1099</v>
      </c>
    </row>
    <row r="49594">
      <c r="B49594" s="31"/>
      <c r="G49594" s="272" t="s">
        <v>1099</v>
      </c>
    </row>
    <row r="49595">
      <c r="B49595" s="31"/>
      <c r="G49595" s="272" t="s">
        <v>1099</v>
      </c>
    </row>
    <row r="49596">
      <c r="B49596" s="31"/>
      <c r="G49596" s="272" t="s">
        <v>1099</v>
      </c>
    </row>
    <row r="49597">
      <c r="B49597" s="31"/>
      <c r="G49597" s="272" t="s">
        <v>1099</v>
      </c>
    </row>
    <row r="49598">
      <c r="B49598" s="31"/>
      <c r="G49598" s="272" t="s">
        <v>1099</v>
      </c>
    </row>
    <row r="49599">
      <c r="B49599" s="31"/>
      <c r="G49599" s="272" t="s">
        <v>1099</v>
      </c>
    </row>
    <row r="49600">
      <c r="B49600" s="31"/>
      <c r="G49600" s="272" t="s">
        <v>1099</v>
      </c>
    </row>
    <row r="49601">
      <c r="B49601" s="31"/>
      <c r="G49601" s="272" t="s">
        <v>1099</v>
      </c>
    </row>
    <row r="49602">
      <c r="B49602" s="31"/>
      <c r="G49602" s="272" t="s">
        <v>1099</v>
      </c>
    </row>
    <row r="49603">
      <c r="B49603" s="31"/>
      <c r="G49603" s="272" t="s">
        <v>1099</v>
      </c>
    </row>
    <row r="49604">
      <c r="B49604" s="31"/>
      <c r="G49604" s="272" t="s">
        <v>1099</v>
      </c>
    </row>
    <row r="49605">
      <c r="B49605" s="31"/>
      <c r="G49605" s="272" t="s">
        <v>1099</v>
      </c>
    </row>
    <row r="49606">
      <c r="B49606" s="31"/>
      <c r="G49606" s="272" t="s">
        <v>1099</v>
      </c>
    </row>
    <row r="49607">
      <c r="B49607" s="31"/>
      <c r="G49607" s="272" t="s">
        <v>1099</v>
      </c>
    </row>
    <row r="49608">
      <c r="B49608" s="31"/>
      <c r="G49608" s="272" t="s">
        <v>1099</v>
      </c>
    </row>
    <row r="49609">
      <c r="B49609" s="31"/>
      <c r="G49609" s="272" t="s">
        <v>1099</v>
      </c>
    </row>
    <row r="49610">
      <c r="B49610" s="31"/>
      <c r="G49610" s="272" t="s">
        <v>1099</v>
      </c>
    </row>
    <row r="49611">
      <c r="B49611" s="31"/>
      <c r="G49611" s="272" t="s">
        <v>1099</v>
      </c>
    </row>
    <row r="49612">
      <c r="B49612" s="31"/>
      <c r="G49612" s="272" t="s">
        <v>1099</v>
      </c>
    </row>
    <row r="49613">
      <c r="B49613" s="31"/>
      <c r="G49613" s="272" t="s">
        <v>1099</v>
      </c>
    </row>
    <row r="49614">
      <c r="B49614" s="31"/>
      <c r="G49614" s="272" t="s">
        <v>1099</v>
      </c>
    </row>
    <row r="49615">
      <c r="B49615" s="31"/>
      <c r="G49615" s="272" t="s">
        <v>1099</v>
      </c>
    </row>
    <row r="49616">
      <c r="B49616" s="31"/>
      <c r="G49616" s="272" t="s">
        <v>1099</v>
      </c>
    </row>
    <row r="49617">
      <c r="B49617" s="31"/>
      <c r="G49617" s="272" t="s">
        <v>1099</v>
      </c>
    </row>
    <row r="49618">
      <c r="B49618" s="31"/>
      <c r="G49618" s="272" t="s">
        <v>1099</v>
      </c>
    </row>
    <row r="49619">
      <c r="B49619" s="31"/>
      <c r="G49619" s="272" t="s">
        <v>1099</v>
      </c>
    </row>
    <row r="49620">
      <c r="B49620" s="31"/>
      <c r="G49620" s="272" t="s">
        <v>1099</v>
      </c>
    </row>
    <row r="49621">
      <c r="B49621" s="31"/>
      <c r="G49621" s="272" t="s">
        <v>1099</v>
      </c>
    </row>
    <row r="49622">
      <c r="B49622" s="31"/>
      <c r="G49622" s="272" t="s">
        <v>1099</v>
      </c>
    </row>
    <row r="49623">
      <c r="B49623" s="31"/>
      <c r="G49623" s="272" t="s">
        <v>1099</v>
      </c>
    </row>
    <row r="49624">
      <c r="B49624" s="31"/>
      <c r="G49624" s="272" t="s">
        <v>1099</v>
      </c>
    </row>
    <row r="49625">
      <c r="B49625" s="31"/>
      <c r="G49625" s="272" t="s">
        <v>1099</v>
      </c>
    </row>
    <row r="49626">
      <c r="B49626" s="31"/>
      <c r="G49626" s="272" t="s">
        <v>1099</v>
      </c>
    </row>
    <row r="49627">
      <c r="B49627" s="31"/>
      <c r="G49627" s="272" t="s">
        <v>1099</v>
      </c>
    </row>
    <row r="49628">
      <c r="B49628" s="31"/>
      <c r="G49628" s="272" t="s">
        <v>1099</v>
      </c>
    </row>
    <row r="49629">
      <c r="B49629" s="31"/>
      <c r="G49629" s="272" t="s">
        <v>1099</v>
      </c>
    </row>
    <row r="49630">
      <c r="B49630" s="31"/>
      <c r="G49630" s="272" t="s">
        <v>1099</v>
      </c>
    </row>
    <row r="49631">
      <c r="B49631" s="31"/>
      <c r="G49631" s="272" t="s">
        <v>1099</v>
      </c>
    </row>
    <row r="49632">
      <c r="B49632" s="31"/>
      <c r="G49632" s="272" t="s">
        <v>1099</v>
      </c>
    </row>
    <row r="49633">
      <c r="B49633" s="31"/>
      <c r="G49633" s="272" t="s">
        <v>1099</v>
      </c>
    </row>
    <row r="49634">
      <c r="B49634" s="31"/>
      <c r="G49634" s="272" t="s">
        <v>1099</v>
      </c>
    </row>
    <row r="49635">
      <c r="B49635" s="31"/>
      <c r="G49635" s="272" t="s">
        <v>1099</v>
      </c>
    </row>
    <row r="49636">
      <c r="B49636" s="31"/>
      <c r="G49636" s="272" t="s">
        <v>1099</v>
      </c>
    </row>
    <row r="49637">
      <c r="B49637" s="31"/>
      <c r="G49637" s="272" t="s">
        <v>1099</v>
      </c>
    </row>
    <row r="49638">
      <c r="B49638" s="31"/>
      <c r="G49638" s="272" t="s">
        <v>1099</v>
      </c>
    </row>
    <row r="49639">
      <c r="B49639" s="31"/>
      <c r="G49639" s="272" t="s">
        <v>1099</v>
      </c>
    </row>
    <row r="49640">
      <c r="B49640" s="31"/>
      <c r="G49640" s="272" t="s">
        <v>1099</v>
      </c>
    </row>
    <row r="49641">
      <c r="B49641" s="31"/>
      <c r="G49641" s="272" t="s">
        <v>1099</v>
      </c>
    </row>
    <row r="49642">
      <c r="B49642" s="31"/>
      <c r="G49642" s="272" t="s">
        <v>1099</v>
      </c>
    </row>
    <row r="49643">
      <c r="B49643" s="31"/>
      <c r="G49643" s="272" t="s">
        <v>1099</v>
      </c>
    </row>
    <row r="49644">
      <c r="B49644" s="31"/>
      <c r="G49644" s="272" t="s">
        <v>1099</v>
      </c>
    </row>
    <row r="49645">
      <c r="B49645" s="31"/>
      <c r="G49645" s="272" t="s">
        <v>1099</v>
      </c>
    </row>
    <row r="49646">
      <c r="B49646" s="31"/>
      <c r="G49646" s="272" t="s">
        <v>1099</v>
      </c>
    </row>
    <row r="49647">
      <c r="B49647" s="31"/>
      <c r="G49647" s="272" t="s">
        <v>1099</v>
      </c>
    </row>
    <row r="49648">
      <c r="B49648" s="31"/>
      <c r="G49648" s="272" t="s">
        <v>1099</v>
      </c>
    </row>
    <row r="49649">
      <c r="B49649" s="31"/>
      <c r="G49649" s="272" t="s">
        <v>1099</v>
      </c>
    </row>
    <row r="49650">
      <c r="B49650" s="31"/>
      <c r="G49650" s="272" t="s">
        <v>1099</v>
      </c>
    </row>
    <row r="49651">
      <c r="B49651" s="31"/>
      <c r="G49651" s="272" t="s">
        <v>1099</v>
      </c>
    </row>
    <row r="49652">
      <c r="B49652" s="31"/>
      <c r="G49652" s="272" t="s">
        <v>1099</v>
      </c>
    </row>
    <row r="49653">
      <c r="B49653" s="31"/>
      <c r="G49653" s="272" t="s">
        <v>1099</v>
      </c>
    </row>
    <row r="49654">
      <c r="B49654" s="31"/>
      <c r="G49654" s="272" t="s">
        <v>1099</v>
      </c>
    </row>
    <row r="49655">
      <c r="B49655" s="31"/>
      <c r="G49655" s="272" t="s">
        <v>1099</v>
      </c>
    </row>
    <row r="49656">
      <c r="B49656" s="31"/>
      <c r="G49656" s="272" t="s">
        <v>1099</v>
      </c>
    </row>
    <row r="49657">
      <c r="B49657" s="31"/>
      <c r="G49657" s="272" t="s">
        <v>1099</v>
      </c>
    </row>
    <row r="49658">
      <c r="B49658" s="31"/>
      <c r="G49658" s="272" t="s">
        <v>1099</v>
      </c>
    </row>
    <row r="49659">
      <c r="B49659" s="31"/>
      <c r="G49659" s="272" t="s">
        <v>1099</v>
      </c>
    </row>
    <row r="49660">
      <c r="B49660" s="31"/>
      <c r="G49660" s="272" t="s">
        <v>1099</v>
      </c>
    </row>
    <row r="49661">
      <c r="B49661" s="31"/>
      <c r="G49661" s="272" t="s">
        <v>1099</v>
      </c>
    </row>
    <row r="49662">
      <c r="B49662" s="31"/>
      <c r="G49662" s="272" t="s">
        <v>1099</v>
      </c>
    </row>
    <row r="49663">
      <c r="B49663" s="31"/>
      <c r="G49663" s="272" t="s">
        <v>1099</v>
      </c>
    </row>
    <row r="49664">
      <c r="B49664" s="31"/>
      <c r="G49664" s="272" t="s">
        <v>1099</v>
      </c>
    </row>
    <row r="49665">
      <c r="B49665" s="31"/>
      <c r="G49665" s="272" t="s">
        <v>1099</v>
      </c>
    </row>
    <row r="49666">
      <c r="B49666" s="31"/>
      <c r="G49666" s="272" t="s">
        <v>1099</v>
      </c>
    </row>
    <row r="49667">
      <c r="B49667" s="31"/>
      <c r="G49667" s="272" t="s">
        <v>1099</v>
      </c>
    </row>
    <row r="49668">
      <c r="B49668" s="31"/>
      <c r="G49668" s="272" t="s">
        <v>1099</v>
      </c>
    </row>
    <row r="49669">
      <c r="B49669" s="31"/>
      <c r="G49669" s="272" t="s">
        <v>1099</v>
      </c>
    </row>
    <row r="49670">
      <c r="B49670" s="31"/>
      <c r="G49670" s="272" t="s">
        <v>1099</v>
      </c>
    </row>
    <row r="49671">
      <c r="B49671" s="31"/>
      <c r="G49671" s="272" t="s">
        <v>1099</v>
      </c>
    </row>
    <row r="49672">
      <c r="B49672" s="31"/>
      <c r="G49672" s="272" t="s">
        <v>1099</v>
      </c>
    </row>
    <row r="49673">
      <c r="B49673" s="31"/>
      <c r="G49673" s="272" t="s">
        <v>1099</v>
      </c>
    </row>
    <row r="49674">
      <c r="B49674" s="31"/>
      <c r="G49674" s="272" t="s">
        <v>1099</v>
      </c>
    </row>
    <row r="49675">
      <c r="B49675" s="31"/>
      <c r="G49675" s="272" t="s">
        <v>1099</v>
      </c>
    </row>
    <row r="49676">
      <c r="B49676" s="31"/>
      <c r="G49676" s="272" t="s">
        <v>1099</v>
      </c>
    </row>
    <row r="49677">
      <c r="B49677" s="31"/>
      <c r="G49677" s="272" t="s">
        <v>1099</v>
      </c>
    </row>
    <row r="49678">
      <c r="B49678" s="31"/>
      <c r="G49678" s="272" t="s">
        <v>1099</v>
      </c>
    </row>
    <row r="49679">
      <c r="B49679" s="31"/>
      <c r="G49679" s="272" t="s">
        <v>1099</v>
      </c>
    </row>
    <row r="49680">
      <c r="B49680" s="31"/>
      <c r="G49680" s="272" t="s">
        <v>1099</v>
      </c>
    </row>
    <row r="49681">
      <c r="B49681" s="31"/>
      <c r="G49681" s="272" t="s">
        <v>1099</v>
      </c>
    </row>
    <row r="49682">
      <c r="B49682" s="31"/>
      <c r="G49682" s="272" t="s">
        <v>1099</v>
      </c>
    </row>
    <row r="49683">
      <c r="B49683" s="31"/>
      <c r="G49683" s="272" t="s">
        <v>1099</v>
      </c>
    </row>
    <row r="49684">
      <c r="B49684" s="31"/>
      <c r="G49684" s="272" t="s">
        <v>1099</v>
      </c>
    </row>
    <row r="49685">
      <c r="B49685" s="31"/>
      <c r="G49685" s="272" t="s">
        <v>1099</v>
      </c>
    </row>
    <row r="49686">
      <c r="B49686" s="31"/>
      <c r="G49686" s="272" t="s">
        <v>1099</v>
      </c>
    </row>
    <row r="49687">
      <c r="B49687" s="31"/>
      <c r="G49687" s="272" t="s">
        <v>1099</v>
      </c>
    </row>
    <row r="49688">
      <c r="B49688" s="31"/>
      <c r="G49688" s="272" t="s">
        <v>1099</v>
      </c>
    </row>
    <row r="49689">
      <c r="B49689" s="31"/>
      <c r="G49689" s="272" t="s">
        <v>1099</v>
      </c>
    </row>
    <row r="49690">
      <c r="B49690" s="31"/>
      <c r="G49690" s="272" t="s">
        <v>1099</v>
      </c>
    </row>
    <row r="49691">
      <c r="B49691" s="31"/>
      <c r="G49691" s="272" t="s">
        <v>1099</v>
      </c>
    </row>
    <row r="49692">
      <c r="B49692" s="31"/>
      <c r="G49692" s="272" t="s">
        <v>1099</v>
      </c>
    </row>
    <row r="49693">
      <c r="B49693" s="31"/>
      <c r="G49693" s="272" t="s">
        <v>1099</v>
      </c>
    </row>
    <row r="49694">
      <c r="B49694" s="31"/>
      <c r="G49694" s="272" t="s">
        <v>1099</v>
      </c>
    </row>
    <row r="49695">
      <c r="B49695" s="31"/>
      <c r="G49695" s="272" t="s">
        <v>1099</v>
      </c>
    </row>
    <row r="49696">
      <c r="B49696" s="31"/>
      <c r="G49696" s="272" t="s">
        <v>1099</v>
      </c>
    </row>
    <row r="49697">
      <c r="B49697" s="31"/>
      <c r="G49697" s="272" t="s">
        <v>1099</v>
      </c>
    </row>
    <row r="49698">
      <c r="B49698" s="31"/>
      <c r="G49698" s="272" t="s">
        <v>1099</v>
      </c>
    </row>
    <row r="49699">
      <c r="B49699" s="31"/>
      <c r="G49699" s="272" t="s">
        <v>1099</v>
      </c>
    </row>
    <row r="49700">
      <c r="B49700" s="31"/>
      <c r="G49700" s="272" t="s">
        <v>1099</v>
      </c>
    </row>
    <row r="49701">
      <c r="B49701" s="31"/>
      <c r="G49701" s="272" t="s">
        <v>1099</v>
      </c>
    </row>
    <row r="49702">
      <c r="B49702" s="31"/>
      <c r="G49702" s="272" t="s">
        <v>1099</v>
      </c>
    </row>
    <row r="49703">
      <c r="B49703" s="31"/>
      <c r="G49703" s="272" t="s">
        <v>1099</v>
      </c>
    </row>
    <row r="49704">
      <c r="B49704" s="31"/>
      <c r="G49704" s="272" t="s">
        <v>1099</v>
      </c>
    </row>
    <row r="49705">
      <c r="B49705" s="31"/>
      <c r="G49705" s="272" t="s">
        <v>1099</v>
      </c>
    </row>
    <row r="49706">
      <c r="B49706" s="31"/>
      <c r="G49706" s="272" t="s">
        <v>1099</v>
      </c>
    </row>
    <row r="49707">
      <c r="B49707" s="31"/>
      <c r="G49707" s="272" t="s">
        <v>1099</v>
      </c>
    </row>
    <row r="49708">
      <c r="B49708" s="31"/>
      <c r="G49708" s="272" t="s">
        <v>1099</v>
      </c>
    </row>
    <row r="49709">
      <c r="B49709" s="31"/>
      <c r="G49709" s="272" t="s">
        <v>1099</v>
      </c>
    </row>
    <row r="49710">
      <c r="B49710" s="31"/>
      <c r="G49710" s="272" t="s">
        <v>1099</v>
      </c>
    </row>
    <row r="49711">
      <c r="B49711" s="31"/>
      <c r="G49711" s="272" t="s">
        <v>1099</v>
      </c>
    </row>
    <row r="49712">
      <c r="B49712" s="31"/>
      <c r="G49712" s="272" t="s">
        <v>1099</v>
      </c>
    </row>
    <row r="49713">
      <c r="B49713" s="31"/>
      <c r="G49713" s="272" t="s">
        <v>1099</v>
      </c>
    </row>
    <row r="49714">
      <c r="B49714" s="31"/>
      <c r="G49714" s="272" t="s">
        <v>1099</v>
      </c>
    </row>
    <row r="49715">
      <c r="B49715" s="31"/>
      <c r="G49715" s="272" t="s">
        <v>1099</v>
      </c>
    </row>
    <row r="49716">
      <c r="B49716" s="31"/>
      <c r="G49716" s="272" t="s">
        <v>1099</v>
      </c>
    </row>
    <row r="49717">
      <c r="B49717" s="31"/>
      <c r="G49717" s="272" t="s">
        <v>1099</v>
      </c>
    </row>
    <row r="49718">
      <c r="B49718" s="31"/>
      <c r="G49718" s="272" t="s">
        <v>1099</v>
      </c>
    </row>
    <row r="49719">
      <c r="B49719" s="31"/>
      <c r="G49719" s="272" t="s">
        <v>1099</v>
      </c>
    </row>
    <row r="49720">
      <c r="B49720" s="31"/>
      <c r="G49720" s="272" t="s">
        <v>1099</v>
      </c>
    </row>
    <row r="49721">
      <c r="B49721" s="31"/>
      <c r="G49721" s="272" t="s">
        <v>1099</v>
      </c>
    </row>
    <row r="49722">
      <c r="B49722" s="31"/>
      <c r="G49722" s="272" t="s">
        <v>1099</v>
      </c>
    </row>
    <row r="49723">
      <c r="B49723" s="31"/>
      <c r="G49723" s="272" t="s">
        <v>1099</v>
      </c>
    </row>
    <row r="49724">
      <c r="B49724" s="31"/>
      <c r="G49724" s="272" t="s">
        <v>1099</v>
      </c>
    </row>
    <row r="49725">
      <c r="B49725" s="31"/>
      <c r="G49725" s="272" t="s">
        <v>1099</v>
      </c>
    </row>
    <row r="49726">
      <c r="B49726" s="31"/>
      <c r="G49726" s="272" t="s">
        <v>1099</v>
      </c>
    </row>
    <row r="49727">
      <c r="B49727" s="31"/>
      <c r="G49727" s="272" t="s">
        <v>1099</v>
      </c>
    </row>
    <row r="49728">
      <c r="B49728" s="31"/>
      <c r="G49728" s="272" t="s">
        <v>1099</v>
      </c>
    </row>
    <row r="49729">
      <c r="B49729" s="31"/>
      <c r="G49729" s="272" t="s">
        <v>1099</v>
      </c>
    </row>
    <row r="49730">
      <c r="B49730" s="31"/>
      <c r="G49730" s="272" t="s">
        <v>1099</v>
      </c>
    </row>
    <row r="49731">
      <c r="B49731" s="31"/>
      <c r="G49731" s="272" t="s">
        <v>1099</v>
      </c>
    </row>
    <row r="49732">
      <c r="B49732" s="31"/>
      <c r="G49732" s="272" t="s">
        <v>1099</v>
      </c>
    </row>
    <row r="49733">
      <c r="B49733" s="31"/>
      <c r="G49733" s="272" t="s">
        <v>1099</v>
      </c>
    </row>
    <row r="49734">
      <c r="B49734" s="31"/>
      <c r="G49734" s="272" t="s">
        <v>1099</v>
      </c>
    </row>
    <row r="49735">
      <c r="B49735" s="31"/>
      <c r="G49735" s="272" t="s">
        <v>1099</v>
      </c>
    </row>
    <row r="49736">
      <c r="B49736" s="31"/>
      <c r="G49736" s="272" t="s">
        <v>1099</v>
      </c>
    </row>
    <row r="49737">
      <c r="B49737" s="31"/>
      <c r="G49737" s="272" t="s">
        <v>1099</v>
      </c>
    </row>
    <row r="49738">
      <c r="B49738" s="31"/>
      <c r="G49738" s="272" t="s">
        <v>1099</v>
      </c>
    </row>
    <row r="49739">
      <c r="B49739" s="31"/>
      <c r="G49739" s="272" t="s">
        <v>1099</v>
      </c>
    </row>
    <row r="49740">
      <c r="B49740" s="31"/>
      <c r="G49740" s="272" t="s">
        <v>1099</v>
      </c>
    </row>
    <row r="49741">
      <c r="B49741" s="31"/>
      <c r="G49741" s="272" t="s">
        <v>1099</v>
      </c>
    </row>
    <row r="49742">
      <c r="B49742" s="31"/>
      <c r="G49742" s="272" t="s">
        <v>1099</v>
      </c>
    </row>
    <row r="49743">
      <c r="B49743" s="31"/>
      <c r="G49743" s="272" t="s">
        <v>1099</v>
      </c>
    </row>
    <row r="49744">
      <c r="B49744" s="31"/>
      <c r="G49744" s="272" t="s">
        <v>1099</v>
      </c>
    </row>
    <row r="49745">
      <c r="B49745" s="31"/>
      <c r="G49745" s="272" t="s">
        <v>1099</v>
      </c>
    </row>
    <row r="49746">
      <c r="B49746" s="31"/>
      <c r="G49746" s="272" t="s">
        <v>1099</v>
      </c>
    </row>
    <row r="49747">
      <c r="B49747" s="31"/>
      <c r="G49747" s="272" t="s">
        <v>1099</v>
      </c>
    </row>
    <row r="49748">
      <c r="B49748" s="31"/>
      <c r="G49748" s="272" t="s">
        <v>1099</v>
      </c>
    </row>
    <row r="49749">
      <c r="B49749" s="31"/>
      <c r="G49749" s="272" t="s">
        <v>1099</v>
      </c>
    </row>
    <row r="49750">
      <c r="B49750" s="31"/>
      <c r="G49750" s="272" t="s">
        <v>1099</v>
      </c>
    </row>
    <row r="49751">
      <c r="B49751" s="31"/>
      <c r="G49751" s="272" t="s">
        <v>1099</v>
      </c>
    </row>
    <row r="49752">
      <c r="B49752" s="31"/>
      <c r="G49752" s="272" t="s">
        <v>1099</v>
      </c>
    </row>
    <row r="49753">
      <c r="B49753" s="31"/>
      <c r="G49753" s="272" t="s">
        <v>1099</v>
      </c>
    </row>
    <row r="49754">
      <c r="B49754" s="31"/>
      <c r="G49754" s="272" t="s">
        <v>1099</v>
      </c>
    </row>
    <row r="49755">
      <c r="B49755" s="31"/>
      <c r="G49755" s="272" t="s">
        <v>1099</v>
      </c>
    </row>
    <row r="49756">
      <c r="B49756" s="31"/>
      <c r="G49756" s="272" t="s">
        <v>1099</v>
      </c>
    </row>
    <row r="49757">
      <c r="B49757" s="31"/>
      <c r="G49757" s="272" t="s">
        <v>1099</v>
      </c>
    </row>
    <row r="49758">
      <c r="B49758" s="31"/>
      <c r="G49758" s="272" t="s">
        <v>1099</v>
      </c>
    </row>
    <row r="49759">
      <c r="B49759" s="31"/>
      <c r="G49759" s="272" t="s">
        <v>1099</v>
      </c>
    </row>
    <row r="49760">
      <c r="B49760" s="31"/>
      <c r="G49760" s="272" t="s">
        <v>1099</v>
      </c>
    </row>
    <row r="49761">
      <c r="B49761" s="31"/>
      <c r="G49761" s="272" t="s">
        <v>1099</v>
      </c>
    </row>
    <row r="49762">
      <c r="B49762" s="31"/>
      <c r="G49762" s="272" t="s">
        <v>1099</v>
      </c>
    </row>
    <row r="49763">
      <c r="B49763" s="31"/>
      <c r="G49763" s="272" t="s">
        <v>1099</v>
      </c>
    </row>
    <row r="49764">
      <c r="B49764" s="31"/>
      <c r="G49764" s="272" t="s">
        <v>1099</v>
      </c>
    </row>
    <row r="49765">
      <c r="B49765" s="31"/>
      <c r="G49765" s="272" t="s">
        <v>1099</v>
      </c>
    </row>
    <row r="49766">
      <c r="B49766" s="31"/>
      <c r="G49766" s="272" t="s">
        <v>1099</v>
      </c>
    </row>
    <row r="49767">
      <c r="B49767" s="31"/>
      <c r="G49767" s="272" t="s">
        <v>1099</v>
      </c>
    </row>
    <row r="49768">
      <c r="B49768" s="31"/>
      <c r="G49768" s="272" t="s">
        <v>1099</v>
      </c>
    </row>
    <row r="49769">
      <c r="B49769" s="31"/>
      <c r="G49769" s="272" t="s">
        <v>1099</v>
      </c>
    </row>
    <row r="49770">
      <c r="B49770" s="31"/>
      <c r="G49770" s="272" t="s">
        <v>1099</v>
      </c>
    </row>
    <row r="49771">
      <c r="B49771" s="31"/>
      <c r="G49771" s="272" t="s">
        <v>1099</v>
      </c>
    </row>
    <row r="49772">
      <c r="B49772" s="31"/>
      <c r="G49772" s="272" t="s">
        <v>1099</v>
      </c>
    </row>
    <row r="49773">
      <c r="B49773" s="31"/>
      <c r="G49773" s="272" t="s">
        <v>1099</v>
      </c>
    </row>
    <row r="49774">
      <c r="B49774" s="31"/>
      <c r="G49774" s="272" t="s">
        <v>1099</v>
      </c>
    </row>
    <row r="49775">
      <c r="B49775" s="31"/>
      <c r="G49775" s="272" t="s">
        <v>1099</v>
      </c>
    </row>
    <row r="49776">
      <c r="B49776" s="31"/>
      <c r="G49776" s="272" t="s">
        <v>1099</v>
      </c>
    </row>
    <row r="49777">
      <c r="B49777" s="31"/>
      <c r="G49777" s="272" t="s">
        <v>1099</v>
      </c>
    </row>
    <row r="49778">
      <c r="B49778" s="31"/>
      <c r="G49778" s="272" t="s">
        <v>1099</v>
      </c>
    </row>
    <row r="49779">
      <c r="B49779" s="31"/>
      <c r="G49779" s="272" t="s">
        <v>1099</v>
      </c>
    </row>
    <row r="49780">
      <c r="B49780" s="31"/>
      <c r="G49780" s="272" t="s">
        <v>1099</v>
      </c>
    </row>
    <row r="49781">
      <c r="B49781" s="31"/>
      <c r="G49781" s="272" t="s">
        <v>1099</v>
      </c>
    </row>
    <row r="49782">
      <c r="B49782" s="31"/>
      <c r="G49782" s="272" t="s">
        <v>1099</v>
      </c>
    </row>
    <row r="49783">
      <c r="B49783" s="31"/>
      <c r="G49783" s="272" t="s">
        <v>1099</v>
      </c>
    </row>
    <row r="49784">
      <c r="B49784" s="31"/>
      <c r="G49784" s="272" t="s">
        <v>1099</v>
      </c>
    </row>
    <row r="49785">
      <c r="B49785" s="31"/>
      <c r="G49785" s="272" t="s">
        <v>1099</v>
      </c>
    </row>
    <row r="49786">
      <c r="B49786" s="31"/>
      <c r="G49786" s="272" t="s">
        <v>1099</v>
      </c>
    </row>
    <row r="49787">
      <c r="B49787" s="31"/>
      <c r="G49787" s="272" t="s">
        <v>1099</v>
      </c>
    </row>
    <row r="49788">
      <c r="B49788" s="31"/>
      <c r="G49788" s="272" t="s">
        <v>1099</v>
      </c>
    </row>
    <row r="49789">
      <c r="B49789" s="31"/>
      <c r="G49789" s="272" t="s">
        <v>1099</v>
      </c>
    </row>
    <row r="49790">
      <c r="B49790" s="31"/>
      <c r="G49790" s="272" t="s">
        <v>1099</v>
      </c>
    </row>
    <row r="49791">
      <c r="B49791" s="31"/>
      <c r="G49791" s="272" t="s">
        <v>1099</v>
      </c>
    </row>
    <row r="49792">
      <c r="B49792" s="31"/>
      <c r="G49792" s="272" t="s">
        <v>1099</v>
      </c>
    </row>
    <row r="49793">
      <c r="B49793" s="31"/>
      <c r="G49793" s="272" t="s">
        <v>1099</v>
      </c>
    </row>
    <row r="49794">
      <c r="B49794" s="31"/>
      <c r="G49794" s="272" t="s">
        <v>1099</v>
      </c>
    </row>
    <row r="49795">
      <c r="B49795" s="31"/>
      <c r="G49795" s="272" t="s">
        <v>1099</v>
      </c>
    </row>
    <row r="49796">
      <c r="B49796" s="31"/>
      <c r="G49796" s="272" t="s">
        <v>1099</v>
      </c>
    </row>
    <row r="49797">
      <c r="B49797" s="31"/>
      <c r="G49797" s="272" t="s">
        <v>1099</v>
      </c>
    </row>
    <row r="49798">
      <c r="B49798" s="31"/>
      <c r="G49798" s="272" t="s">
        <v>1099</v>
      </c>
    </row>
    <row r="49799">
      <c r="B49799" s="31"/>
      <c r="G49799" s="272" t="s">
        <v>1099</v>
      </c>
    </row>
    <row r="49800">
      <c r="B49800" s="31"/>
      <c r="G49800" s="272" t="s">
        <v>1099</v>
      </c>
    </row>
    <row r="49801">
      <c r="B49801" s="31"/>
      <c r="G49801" s="272" t="s">
        <v>1099</v>
      </c>
    </row>
    <row r="49802">
      <c r="B49802" s="31"/>
      <c r="G49802" s="272" t="s">
        <v>1099</v>
      </c>
    </row>
    <row r="49803">
      <c r="B49803" s="31"/>
      <c r="G49803" s="272" t="s">
        <v>1099</v>
      </c>
    </row>
    <row r="49804">
      <c r="B49804" s="31"/>
      <c r="G49804" s="272" t="s">
        <v>1099</v>
      </c>
    </row>
    <row r="49805">
      <c r="B49805" s="31"/>
      <c r="G49805" s="272" t="s">
        <v>1099</v>
      </c>
    </row>
    <row r="49806">
      <c r="B49806" s="31"/>
      <c r="G49806" s="272" t="s">
        <v>1099</v>
      </c>
    </row>
    <row r="49807">
      <c r="B49807" s="31"/>
      <c r="G49807" s="272" t="s">
        <v>1099</v>
      </c>
    </row>
    <row r="49808">
      <c r="B49808" s="31"/>
      <c r="G49808" s="272" t="s">
        <v>1099</v>
      </c>
    </row>
    <row r="49809">
      <c r="B49809" s="31"/>
      <c r="G49809" s="272" t="s">
        <v>1099</v>
      </c>
    </row>
    <row r="49810">
      <c r="B49810" s="31"/>
      <c r="G49810" s="272" t="s">
        <v>1099</v>
      </c>
    </row>
    <row r="49811">
      <c r="B49811" s="31"/>
      <c r="G49811" s="272" t="s">
        <v>1099</v>
      </c>
    </row>
    <row r="49812">
      <c r="B49812" s="31"/>
      <c r="G49812" s="272" t="s">
        <v>1099</v>
      </c>
    </row>
    <row r="49813">
      <c r="B49813" s="31"/>
      <c r="G49813" s="272" t="s">
        <v>1099</v>
      </c>
    </row>
    <row r="49814">
      <c r="B49814" s="31"/>
      <c r="G49814" s="272" t="s">
        <v>1099</v>
      </c>
    </row>
    <row r="49815">
      <c r="B49815" s="31"/>
      <c r="G49815" s="272" t="s">
        <v>1099</v>
      </c>
    </row>
    <row r="49816">
      <c r="B49816" s="31"/>
      <c r="G49816" s="272" t="s">
        <v>1099</v>
      </c>
    </row>
    <row r="49817">
      <c r="B49817" s="31"/>
      <c r="G49817" s="272" t="s">
        <v>1099</v>
      </c>
    </row>
    <row r="49818">
      <c r="B49818" s="31"/>
      <c r="G49818" s="272" t="s">
        <v>1099</v>
      </c>
    </row>
    <row r="49819">
      <c r="B49819" s="31"/>
      <c r="G49819" s="272" t="s">
        <v>1099</v>
      </c>
    </row>
    <row r="49820">
      <c r="B49820" s="31"/>
      <c r="G49820" s="272" t="s">
        <v>1099</v>
      </c>
    </row>
    <row r="49821">
      <c r="B49821" s="31"/>
      <c r="G49821" s="272" t="s">
        <v>1099</v>
      </c>
    </row>
    <row r="49822">
      <c r="B49822" s="31"/>
      <c r="G49822" s="272" t="s">
        <v>1099</v>
      </c>
    </row>
    <row r="49823">
      <c r="B49823" s="31"/>
      <c r="G49823" s="272" t="s">
        <v>1099</v>
      </c>
    </row>
    <row r="49824">
      <c r="B49824" s="31"/>
      <c r="G49824" s="272" t="s">
        <v>1099</v>
      </c>
    </row>
    <row r="49825">
      <c r="B49825" s="31"/>
      <c r="G49825" s="272" t="s">
        <v>1099</v>
      </c>
    </row>
    <row r="49826">
      <c r="B49826" s="31"/>
      <c r="G49826" s="272" t="s">
        <v>1099</v>
      </c>
    </row>
    <row r="49827">
      <c r="B49827" s="31"/>
      <c r="G49827" s="272" t="s">
        <v>1099</v>
      </c>
    </row>
    <row r="49828">
      <c r="B49828" s="31"/>
      <c r="G49828" s="272" t="s">
        <v>1099</v>
      </c>
    </row>
    <row r="49829">
      <c r="B49829" s="31"/>
      <c r="G49829" s="272" t="s">
        <v>1099</v>
      </c>
    </row>
    <row r="49830">
      <c r="B49830" s="31"/>
      <c r="G49830" s="272" t="s">
        <v>1099</v>
      </c>
    </row>
    <row r="49831">
      <c r="B49831" s="31"/>
      <c r="G49831" s="272" t="s">
        <v>1099</v>
      </c>
    </row>
    <row r="49832">
      <c r="B49832" s="31"/>
      <c r="G49832" s="272" t="s">
        <v>1099</v>
      </c>
    </row>
    <row r="49833">
      <c r="B49833" s="31"/>
      <c r="G49833" s="272" t="s">
        <v>1099</v>
      </c>
    </row>
    <row r="49834">
      <c r="B49834" s="31"/>
      <c r="G49834" s="272" t="s">
        <v>1099</v>
      </c>
    </row>
    <row r="49835">
      <c r="B49835" s="31"/>
      <c r="G49835" s="272" t="s">
        <v>1099</v>
      </c>
    </row>
    <row r="49836">
      <c r="B49836" s="31"/>
      <c r="G49836" s="272" t="s">
        <v>1099</v>
      </c>
    </row>
    <row r="49837">
      <c r="B49837" s="31"/>
      <c r="G49837" s="272" t="s">
        <v>1099</v>
      </c>
    </row>
    <row r="49838">
      <c r="B49838" s="31"/>
      <c r="G49838" s="272" t="s">
        <v>1099</v>
      </c>
    </row>
    <row r="49839">
      <c r="B49839" s="31"/>
      <c r="G49839" s="272" t="s">
        <v>1099</v>
      </c>
    </row>
    <row r="49840">
      <c r="B49840" s="31"/>
      <c r="G49840" s="272" t="s">
        <v>1099</v>
      </c>
    </row>
    <row r="49841">
      <c r="B49841" s="31"/>
      <c r="G49841" s="272" t="s">
        <v>1099</v>
      </c>
    </row>
    <row r="49842">
      <c r="B49842" s="31"/>
      <c r="G49842" s="272" t="s">
        <v>1099</v>
      </c>
    </row>
    <row r="49843">
      <c r="B49843" s="31"/>
      <c r="G49843" s="272" t="s">
        <v>1099</v>
      </c>
    </row>
    <row r="49844">
      <c r="B49844" s="31"/>
      <c r="G49844" s="272" t="s">
        <v>1099</v>
      </c>
    </row>
    <row r="49845">
      <c r="B49845" s="31"/>
      <c r="G49845" s="272" t="s">
        <v>1099</v>
      </c>
    </row>
    <row r="49846">
      <c r="B49846" s="31"/>
      <c r="G49846" s="272" t="s">
        <v>1099</v>
      </c>
    </row>
    <row r="49847">
      <c r="B49847" s="31"/>
      <c r="G49847" s="272" t="s">
        <v>1099</v>
      </c>
    </row>
    <row r="49848">
      <c r="B49848" s="31"/>
      <c r="G49848" s="272" t="s">
        <v>1099</v>
      </c>
    </row>
    <row r="49849">
      <c r="B49849" s="31"/>
      <c r="G49849" s="272" t="s">
        <v>1099</v>
      </c>
    </row>
    <row r="49850">
      <c r="B49850" s="31"/>
      <c r="G49850" s="272" t="s">
        <v>1099</v>
      </c>
    </row>
    <row r="49851">
      <c r="B49851" s="31"/>
      <c r="G49851" s="272" t="s">
        <v>1099</v>
      </c>
    </row>
    <row r="49852">
      <c r="B49852" s="31"/>
      <c r="G49852" s="272" t="s">
        <v>1099</v>
      </c>
    </row>
    <row r="49853">
      <c r="B49853" s="31"/>
      <c r="G49853" s="272" t="s">
        <v>1099</v>
      </c>
    </row>
    <row r="49854">
      <c r="B49854" s="31"/>
      <c r="G49854" s="272" t="s">
        <v>1099</v>
      </c>
    </row>
    <row r="49855">
      <c r="B49855" s="31"/>
      <c r="G49855" s="272" t="s">
        <v>1099</v>
      </c>
    </row>
    <row r="49856">
      <c r="B49856" s="31"/>
      <c r="G49856" s="272" t="s">
        <v>1099</v>
      </c>
    </row>
    <row r="49857">
      <c r="B49857" s="31"/>
      <c r="G49857" s="272" t="s">
        <v>1099</v>
      </c>
    </row>
    <row r="49858">
      <c r="B49858" s="31"/>
      <c r="G49858" s="272" t="s">
        <v>1099</v>
      </c>
    </row>
    <row r="49859">
      <c r="B49859" s="31"/>
      <c r="G49859" s="272" t="s">
        <v>1099</v>
      </c>
    </row>
    <row r="49860">
      <c r="B49860" s="31"/>
      <c r="G49860" s="272" t="s">
        <v>1099</v>
      </c>
    </row>
    <row r="49861">
      <c r="B49861" s="31"/>
      <c r="G49861" s="272" t="s">
        <v>1099</v>
      </c>
    </row>
    <row r="49862">
      <c r="B49862" s="31"/>
      <c r="G49862" s="272" t="s">
        <v>1099</v>
      </c>
    </row>
    <row r="49863">
      <c r="B49863" s="31"/>
      <c r="G49863" s="272" t="s">
        <v>1099</v>
      </c>
    </row>
    <row r="49864">
      <c r="B49864" s="31"/>
      <c r="G49864" s="272" t="s">
        <v>1099</v>
      </c>
    </row>
    <row r="49865">
      <c r="B49865" s="31"/>
      <c r="G49865" s="272" t="s">
        <v>1099</v>
      </c>
    </row>
    <row r="49866">
      <c r="B49866" s="31"/>
      <c r="G49866" s="272" t="s">
        <v>1099</v>
      </c>
    </row>
    <row r="49867">
      <c r="B49867" s="31"/>
      <c r="G49867" s="272" t="s">
        <v>1099</v>
      </c>
    </row>
    <row r="49868">
      <c r="B49868" s="31"/>
      <c r="G49868" s="272" t="s">
        <v>1099</v>
      </c>
    </row>
    <row r="49869">
      <c r="B49869" s="31"/>
      <c r="G49869" s="272" t="s">
        <v>1099</v>
      </c>
    </row>
    <row r="49870">
      <c r="B49870" s="31"/>
      <c r="G49870" s="272" t="s">
        <v>1099</v>
      </c>
    </row>
    <row r="49871">
      <c r="B49871" s="31"/>
      <c r="G49871" s="272" t="s">
        <v>1099</v>
      </c>
    </row>
    <row r="49872">
      <c r="B49872" s="31"/>
      <c r="G49872" s="272" t="s">
        <v>1099</v>
      </c>
    </row>
    <row r="49873">
      <c r="B49873" s="31"/>
      <c r="G49873" s="272" t="s">
        <v>1099</v>
      </c>
    </row>
    <row r="49874">
      <c r="B49874" s="31"/>
      <c r="G49874" s="272" t="s">
        <v>1099</v>
      </c>
    </row>
    <row r="49875">
      <c r="B49875" s="31"/>
      <c r="G49875" s="272" t="s">
        <v>1099</v>
      </c>
    </row>
    <row r="49876">
      <c r="B49876" s="31"/>
      <c r="G49876" s="272" t="s">
        <v>1099</v>
      </c>
    </row>
    <row r="49877">
      <c r="B49877" s="31"/>
      <c r="G49877" s="272" t="s">
        <v>1099</v>
      </c>
    </row>
    <row r="49878">
      <c r="B49878" s="31"/>
      <c r="G49878" s="272" t="s">
        <v>1099</v>
      </c>
    </row>
    <row r="49879">
      <c r="B49879" s="31"/>
      <c r="G49879" s="272" t="s">
        <v>1099</v>
      </c>
    </row>
    <row r="49880">
      <c r="B49880" s="31"/>
      <c r="G49880" s="272" t="s">
        <v>1099</v>
      </c>
    </row>
    <row r="49881">
      <c r="B49881" s="31"/>
      <c r="G49881" s="272" t="s">
        <v>1099</v>
      </c>
    </row>
    <row r="49882">
      <c r="B49882" s="31"/>
      <c r="G49882" s="272" t="s">
        <v>1099</v>
      </c>
    </row>
    <row r="49883">
      <c r="B49883" s="31"/>
      <c r="G49883" s="272" t="s">
        <v>1099</v>
      </c>
    </row>
    <row r="49884">
      <c r="B49884" s="31"/>
      <c r="G49884" s="272" t="s">
        <v>1099</v>
      </c>
    </row>
    <row r="49885">
      <c r="B49885" s="31"/>
      <c r="G49885" s="272" t="s">
        <v>1099</v>
      </c>
    </row>
    <row r="49886">
      <c r="B49886" s="31"/>
      <c r="G49886" s="272" t="s">
        <v>1099</v>
      </c>
    </row>
    <row r="49887">
      <c r="B49887" s="31"/>
      <c r="G49887" s="272" t="s">
        <v>1099</v>
      </c>
    </row>
    <row r="49888">
      <c r="B49888" s="31"/>
      <c r="G49888" s="272" t="s">
        <v>1099</v>
      </c>
    </row>
    <row r="49889">
      <c r="B49889" s="31"/>
      <c r="G49889" s="272" t="s">
        <v>1099</v>
      </c>
    </row>
    <row r="49890">
      <c r="B49890" s="31"/>
      <c r="G49890" s="272" t="s">
        <v>1099</v>
      </c>
    </row>
    <row r="49891">
      <c r="B49891" s="31"/>
      <c r="G49891" s="272" t="s">
        <v>1099</v>
      </c>
    </row>
    <row r="49892">
      <c r="B49892" s="31"/>
      <c r="G49892" s="272" t="s">
        <v>1099</v>
      </c>
    </row>
    <row r="49893">
      <c r="B49893" s="31"/>
      <c r="G49893" s="272" t="s">
        <v>1099</v>
      </c>
    </row>
    <row r="49894">
      <c r="B49894" s="31"/>
      <c r="G49894" s="272" t="s">
        <v>1099</v>
      </c>
    </row>
    <row r="49895">
      <c r="B49895" s="31"/>
      <c r="G49895" s="272" t="s">
        <v>1099</v>
      </c>
    </row>
    <row r="49896">
      <c r="B49896" s="31"/>
      <c r="G49896" s="272" t="s">
        <v>1099</v>
      </c>
    </row>
    <row r="49897">
      <c r="B49897" s="31"/>
      <c r="G49897" s="272" t="s">
        <v>1099</v>
      </c>
    </row>
    <row r="49898">
      <c r="B49898" s="31"/>
      <c r="G49898" s="272" t="s">
        <v>1099</v>
      </c>
    </row>
    <row r="49899">
      <c r="B49899" s="31"/>
      <c r="G49899" s="272" t="s">
        <v>1099</v>
      </c>
    </row>
    <row r="49900">
      <c r="B49900" s="31"/>
      <c r="G49900" s="272" t="s">
        <v>1099</v>
      </c>
    </row>
    <row r="49901">
      <c r="B49901" s="31"/>
      <c r="G49901" s="272" t="s">
        <v>1099</v>
      </c>
    </row>
    <row r="49902">
      <c r="B49902" s="31"/>
      <c r="G49902" s="272" t="s">
        <v>1099</v>
      </c>
    </row>
    <row r="49903">
      <c r="B49903" s="31"/>
      <c r="G49903" s="272" t="s">
        <v>1099</v>
      </c>
    </row>
    <row r="49904">
      <c r="B49904" s="31"/>
      <c r="G49904" s="272" t="s">
        <v>1099</v>
      </c>
    </row>
    <row r="49905">
      <c r="B49905" s="31"/>
      <c r="G49905" s="272" t="s">
        <v>1099</v>
      </c>
    </row>
    <row r="49906">
      <c r="B49906" s="31"/>
      <c r="G49906" s="272" t="s">
        <v>1099</v>
      </c>
    </row>
    <row r="49907">
      <c r="B49907" s="31"/>
      <c r="G49907" s="272" t="s">
        <v>1099</v>
      </c>
    </row>
    <row r="49908">
      <c r="B49908" s="31"/>
      <c r="G49908" s="272" t="s">
        <v>1099</v>
      </c>
    </row>
    <row r="49909">
      <c r="B49909" s="31"/>
      <c r="G49909" s="272" t="s">
        <v>1099</v>
      </c>
    </row>
    <row r="49910">
      <c r="B49910" s="31"/>
      <c r="G49910" s="272" t="s">
        <v>1099</v>
      </c>
    </row>
    <row r="49911">
      <c r="B49911" s="31"/>
      <c r="G49911" s="272" t="s">
        <v>1099</v>
      </c>
    </row>
    <row r="49912">
      <c r="B49912" s="31"/>
      <c r="G49912" s="272" t="s">
        <v>1099</v>
      </c>
    </row>
    <row r="49913">
      <c r="B49913" s="31"/>
      <c r="G49913" s="272" t="s">
        <v>1099</v>
      </c>
    </row>
    <row r="49914">
      <c r="B49914" s="31"/>
      <c r="G49914" s="272" t="s">
        <v>1099</v>
      </c>
    </row>
    <row r="49915">
      <c r="B49915" s="31"/>
      <c r="G49915" s="272" t="s">
        <v>1099</v>
      </c>
    </row>
    <row r="49916">
      <c r="B49916" s="31"/>
      <c r="G49916" s="272" t="s">
        <v>1099</v>
      </c>
    </row>
    <row r="49917">
      <c r="B49917" s="31"/>
      <c r="G49917" s="272" t="s">
        <v>1099</v>
      </c>
    </row>
    <row r="49918">
      <c r="B49918" s="31"/>
      <c r="G49918" s="272" t="s">
        <v>1099</v>
      </c>
    </row>
    <row r="49919">
      <c r="B49919" s="31"/>
      <c r="G49919" s="272" t="s">
        <v>1099</v>
      </c>
    </row>
    <row r="49920">
      <c r="B49920" s="31"/>
      <c r="G49920" s="272" t="s">
        <v>1099</v>
      </c>
    </row>
    <row r="49921">
      <c r="B49921" s="31"/>
      <c r="G49921" s="272" t="s">
        <v>1099</v>
      </c>
    </row>
    <row r="49922">
      <c r="B49922" s="31"/>
      <c r="G49922" s="272" t="s">
        <v>1099</v>
      </c>
    </row>
    <row r="49923">
      <c r="B49923" s="31"/>
      <c r="G49923" s="272" t="s">
        <v>1099</v>
      </c>
    </row>
    <row r="49924">
      <c r="B49924" s="31"/>
      <c r="G49924" s="272" t="s">
        <v>1099</v>
      </c>
    </row>
    <row r="49925">
      <c r="B49925" s="31"/>
      <c r="G49925" s="272" t="s">
        <v>1099</v>
      </c>
    </row>
    <row r="49926">
      <c r="B49926" s="31"/>
      <c r="G49926" s="272" t="s">
        <v>1099</v>
      </c>
    </row>
    <row r="49927">
      <c r="B49927" s="31"/>
      <c r="G49927" s="272" t="s">
        <v>1099</v>
      </c>
    </row>
    <row r="49928">
      <c r="B49928" s="31"/>
      <c r="G49928" s="272" t="s">
        <v>1099</v>
      </c>
    </row>
    <row r="49929">
      <c r="B49929" s="31"/>
      <c r="G49929" s="272" t="s">
        <v>1099</v>
      </c>
    </row>
    <row r="49930">
      <c r="B49930" s="31"/>
      <c r="G49930" s="272" t="s">
        <v>1099</v>
      </c>
    </row>
    <row r="49931">
      <c r="B49931" s="31"/>
      <c r="G49931" s="272" t="s">
        <v>1099</v>
      </c>
    </row>
    <row r="49932">
      <c r="B49932" s="31"/>
      <c r="G49932" s="272" t="s">
        <v>1099</v>
      </c>
    </row>
    <row r="49933">
      <c r="B49933" s="31"/>
      <c r="G49933" s="272" t="s">
        <v>1099</v>
      </c>
    </row>
    <row r="49934">
      <c r="B49934" s="31"/>
      <c r="G49934" s="272" t="s">
        <v>1099</v>
      </c>
    </row>
    <row r="49935">
      <c r="B49935" s="31"/>
      <c r="G49935" s="272" t="s">
        <v>1099</v>
      </c>
    </row>
    <row r="49936">
      <c r="B49936" s="31"/>
      <c r="G49936" s="272" t="s">
        <v>1099</v>
      </c>
    </row>
    <row r="49937">
      <c r="B49937" s="31"/>
      <c r="G49937" s="272" t="s">
        <v>1099</v>
      </c>
    </row>
    <row r="49938">
      <c r="B49938" s="31"/>
      <c r="G49938" s="272" t="s">
        <v>1099</v>
      </c>
    </row>
    <row r="49939">
      <c r="B49939" s="31"/>
      <c r="G49939" s="272" t="s">
        <v>1099</v>
      </c>
    </row>
    <row r="49940">
      <c r="B49940" s="31"/>
      <c r="G49940" s="272" t="s">
        <v>1099</v>
      </c>
    </row>
    <row r="49941">
      <c r="B49941" s="31"/>
      <c r="G49941" s="272" t="s">
        <v>1099</v>
      </c>
    </row>
    <row r="49942">
      <c r="B49942" s="31"/>
      <c r="G49942" s="272" t="s">
        <v>1099</v>
      </c>
    </row>
    <row r="49943">
      <c r="B49943" s="31"/>
      <c r="G49943" s="272" t="s">
        <v>1099</v>
      </c>
    </row>
    <row r="49944">
      <c r="B49944" s="31"/>
      <c r="G49944" s="272" t="s">
        <v>1099</v>
      </c>
    </row>
    <row r="49945">
      <c r="B49945" s="31"/>
      <c r="G49945" s="272" t="s">
        <v>1099</v>
      </c>
    </row>
    <row r="49946">
      <c r="B49946" s="31"/>
      <c r="G49946" s="272" t="s">
        <v>1099</v>
      </c>
    </row>
    <row r="49947">
      <c r="B49947" s="31"/>
      <c r="G49947" s="272" t="s">
        <v>1099</v>
      </c>
    </row>
    <row r="49948">
      <c r="B49948" s="31"/>
      <c r="G49948" s="272" t="s">
        <v>1099</v>
      </c>
    </row>
    <row r="49949">
      <c r="B49949" s="31"/>
      <c r="G49949" s="272" t="s">
        <v>1099</v>
      </c>
    </row>
    <row r="49950">
      <c r="B49950" s="31"/>
      <c r="G49950" s="272" t="s">
        <v>1099</v>
      </c>
    </row>
    <row r="49951">
      <c r="B49951" s="31"/>
      <c r="G49951" s="272" t="s">
        <v>1099</v>
      </c>
    </row>
    <row r="49952">
      <c r="B49952" s="31"/>
      <c r="G49952" s="272" t="s">
        <v>1099</v>
      </c>
    </row>
    <row r="49953">
      <c r="B49953" s="31"/>
      <c r="G49953" s="272" t="s">
        <v>1099</v>
      </c>
    </row>
    <row r="49954">
      <c r="B49954" s="31"/>
      <c r="G49954" s="272" t="s">
        <v>1099</v>
      </c>
    </row>
    <row r="49955">
      <c r="B49955" s="31"/>
      <c r="G49955" s="272" t="s">
        <v>1099</v>
      </c>
    </row>
    <row r="49956">
      <c r="B49956" s="31"/>
      <c r="G49956" s="272" t="s">
        <v>1099</v>
      </c>
    </row>
    <row r="49957">
      <c r="B49957" s="31"/>
      <c r="G49957" s="272" t="s">
        <v>1099</v>
      </c>
    </row>
    <row r="49958">
      <c r="B49958" s="31"/>
      <c r="G49958" s="272" t="s">
        <v>1099</v>
      </c>
    </row>
    <row r="49959">
      <c r="B49959" s="31"/>
      <c r="G49959" s="272" t="s">
        <v>1099</v>
      </c>
    </row>
    <row r="49960">
      <c r="B49960" s="31"/>
      <c r="G49960" s="272" t="s">
        <v>1099</v>
      </c>
    </row>
    <row r="49961">
      <c r="B49961" s="31"/>
      <c r="G49961" s="272" t="s">
        <v>1099</v>
      </c>
    </row>
    <row r="49962">
      <c r="B49962" s="31"/>
      <c r="G49962" s="272" t="s">
        <v>1099</v>
      </c>
    </row>
    <row r="49963">
      <c r="B49963" s="31"/>
      <c r="G49963" s="272" t="s">
        <v>1099</v>
      </c>
    </row>
    <row r="49964">
      <c r="B49964" s="31"/>
      <c r="G49964" s="272" t="s">
        <v>1099</v>
      </c>
    </row>
    <row r="49965">
      <c r="B49965" s="31"/>
      <c r="G49965" s="272" t="s">
        <v>1099</v>
      </c>
    </row>
    <row r="49966">
      <c r="B49966" s="31"/>
      <c r="G49966" s="272" t="s">
        <v>1099</v>
      </c>
    </row>
    <row r="49967">
      <c r="B49967" s="31"/>
      <c r="G49967" s="272" t="s">
        <v>1099</v>
      </c>
    </row>
    <row r="49968">
      <c r="B49968" s="31"/>
      <c r="G49968" s="272" t="s">
        <v>1099</v>
      </c>
    </row>
    <row r="49969">
      <c r="B49969" s="31"/>
      <c r="G49969" s="272" t="s">
        <v>1099</v>
      </c>
    </row>
    <row r="49970">
      <c r="B49970" s="31"/>
      <c r="G49970" s="272" t="s">
        <v>1099</v>
      </c>
    </row>
    <row r="49971">
      <c r="B49971" s="31"/>
      <c r="G49971" s="272" t="s">
        <v>1099</v>
      </c>
    </row>
    <row r="49972">
      <c r="B49972" s="31"/>
      <c r="G49972" s="272" t="s">
        <v>1099</v>
      </c>
    </row>
    <row r="49973">
      <c r="B49973" s="31"/>
      <c r="G49973" s="272" t="s">
        <v>1099</v>
      </c>
    </row>
    <row r="49974">
      <c r="B49974" s="31"/>
      <c r="G49974" s="272" t="s">
        <v>1099</v>
      </c>
    </row>
    <row r="49975">
      <c r="B49975" s="31"/>
      <c r="G49975" s="272" t="s">
        <v>1099</v>
      </c>
    </row>
    <row r="49976">
      <c r="B49976" s="31"/>
      <c r="G49976" s="272" t="s">
        <v>1099</v>
      </c>
    </row>
    <row r="49977">
      <c r="B49977" s="31"/>
      <c r="G49977" s="272" t="s">
        <v>1099</v>
      </c>
    </row>
    <row r="49978">
      <c r="B49978" s="31"/>
      <c r="G49978" s="272" t="s">
        <v>1099</v>
      </c>
    </row>
    <row r="49979">
      <c r="B49979" s="31"/>
      <c r="G49979" s="272" t="s">
        <v>1099</v>
      </c>
    </row>
    <row r="49980">
      <c r="B49980" s="31"/>
      <c r="G49980" s="272" t="s">
        <v>1099</v>
      </c>
    </row>
    <row r="49981">
      <c r="B49981" s="31"/>
      <c r="G49981" s="272" t="s">
        <v>1099</v>
      </c>
    </row>
    <row r="49982">
      <c r="B49982" s="31"/>
      <c r="G49982" s="272" t="s">
        <v>1099</v>
      </c>
    </row>
    <row r="49983">
      <c r="B49983" s="31"/>
      <c r="G49983" s="272" t="s">
        <v>1099</v>
      </c>
    </row>
    <row r="49984">
      <c r="B49984" s="31"/>
      <c r="G49984" s="272" t="s">
        <v>1099</v>
      </c>
    </row>
    <row r="49985">
      <c r="B49985" s="31"/>
      <c r="G49985" s="272" t="s">
        <v>1099</v>
      </c>
    </row>
    <row r="49986">
      <c r="B49986" s="31"/>
      <c r="G49986" s="272" t="s">
        <v>1099</v>
      </c>
    </row>
    <row r="49987">
      <c r="B49987" s="31"/>
      <c r="G49987" s="272" t="s">
        <v>1099</v>
      </c>
    </row>
    <row r="49988">
      <c r="B49988" s="31"/>
      <c r="G49988" s="272" t="s">
        <v>1099</v>
      </c>
    </row>
    <row r="49989">
      <c r="B49989" s="31"/>
      <c r="G49989" s="272" t="s">
        <v>1099</v>
      </c>
    </row>
    <row r="49990">
      <c r="B49990" s="31"/>
      <c r="G49990" s="272" t="s">
        <v>1099</v>
      </c>
    </row>
    <row r="49991">
      <c r="B49991" s="31"/>
      <c r="G49991" s="272" t="s">
        <v>1099</v>
      </c>
    </row>
    <row r="49992">
      <c r="B49992" s="31"/>
      <c r="G49992" s="272" t="s">
        <v>1099</v>
      </c>
    </row>
    <row r="49993">
      <c r="B49993" s="31"/>
      <c r="G49993" s="272" t="s">
        <v>1099</v>
      </c>
    </row>
    <row r="49994">
      <c r="B49994" s="31"/>
      <c r="G49994" s="272" t="s">
        <v>1099</v>
      </c>
    </row>
    <row r="49995">
      <c r="B49995" s="31"/>
      <c r="G49995" s="272" t="s">
        <v>1099</v>
      </c>
    </row>
    <row r="49996">
      <c r="B49996" s="31"/>
      <c r="G49996" s="272" t="s">
        <v>1099</v>
      </c>
    </row>
    <row r="49997">
      <c r="B49997" s="31"/>
      <c r="G49997" s="272" t="s">
        <v>1099</v>
      </c>
    </row>
    <row r="49998">
      <c r="B49998" s="31"/>
      <c r="G49998" s="272" t="s">
        <v>1099</v>
      </c>
    </row>
    <row r="49999">
      <c r="B49999" s="31"/>
      <c r="G49999" s="272" t="s">
        <v>1099</v>
      </c>
    </row>
    <row r="50000">
      <c r="B50000" s="31"/>
      <c r="G50000" s="272" t="s">
        <v>1099</v>
      </c>
    </row>
    <row r="50001">
      <c r="B50001" s="31"/>
      <c r="G50001" s="272" t="s">
        <v>1099</v>
      </c>
    </row>
    <row r="50002">
      <c r="B50002" s="31"/>
      <c r="G50002" s="272" t="s">
        <v>1099</v>
      </c>
    </row>
    <row r="50003">
      <c r="B50003" s="31"/>
      <c r="G50003" s="272" t="s">
        <v>1099</v>
      </c>
    </row>
    <row r="50004">
      <c r="B50004" s="31"/>
      <c r="G50004" s="272" t="s">
        <v>1099</v>
      </c>
    </row>
    <row r="50005">
      <c r="B50005" s="31"/>
      <c r="G50005" s="272" t="s">
        <v>1099</v>
      </c>
    </row>
    <row r="50006">
      <c r="B50006" s="31"/>
      <c r="G50006" s="272" t="s">
        <v>1099</v>
      </c>
    </row>
    <row r="50007">
      <c r="B50007" s="31"/>
      <c r="G50007" s="272" t="s">
        <v>1099</v>
      </c>
    </row>
    <row r="50008">
      <c r="B50008" s="31"/>
      <c r="G50008" s="272" t="s">
        <v>1099</v>
      </c>
    </row>
    <row r="50009">
      <c r="B50009" s="31"/>
      <c r="G50009" s="272" t="s">
        <v>1099</v>
      </c>
    </row>
    <row r="50010">
      <c r="B50010" s="31"/>
      <c r="G50010" s="272" t="s">
        <v>1099</v>
      </c>
    </row>
    <row r="50011">
      <c r="B50011" s="31"/>
      <c r="G50011" s="272" t="s">
        <v>1099</v>
      </c>
    </row>
    <row r="50012">
      <c r="B50012" s="31"/>
      <c r="G50012" s="272" t="s">
        <v>1099</v>
      </c>
    </row>
    <row r="50013">
      <c r="B50013" s="31"/>
      <c r="G50013" s="272" t="s">
        <v>1099</v>
      </c>
    </row>
    <row r="50014">
      <c r="B50014" s="31"/>
      <c r="G50014" s="272" t="s">
        <v>1099</v>
      </c>
    </row>
    <row r="50015">
      <c r="B50015" s="31"/>
      <c r="G50015" s="272" t="s">
        <v>1099</v>
      </c>
    </row>
    <row r="50016">
      <c r="B50016" s="31"/>
      <c r="G50016" s="272" t="s">
        <v>1099</v>
      </c>
    </row>
    <row r="50017">
      <c r="B50017" s="31"/>
      <c r="G50017" s="272" t="s">
        <v>1099</v>
      </c>
    </row>
    <row r="50018">
      <c r="B50018" s="31"/>
      <c r="G50018" s="272" t="s">
        <v>1099</v>
      </c>
    </row>
    <row r="50019">
      <c r="B50019" s="31"/>
      <c r="G50019" s="272" t="s">
        <v>1099</v>
      </c>
    </row>
    <row r="50020">
      <c r="B50020" s="31"/>
      <c r="G50020" s="272" t="s">
        <v>1099</v>
      </c>
    </row>
    <row r="50021">
      <c r="B50021" s="31"/>
      <c r="G50021" s="272" t="s">
        <v>1099</v>
      </c>
    </row>
    <row r="50022">
      <c r="B50022" s="31"/>
      <c r="G50022" s="272" t="s">
        <v>1099</v>
      </c>
    </row>
    <row r="50023">
      <c r="B50023" s="31"/>
      <c r="G50023" s="272" t="s">
        <v>1099</v>
      </c>
    </row>
    <row r="50024">
      <c r="B50024" s="31"/>
      <c r="G50024" s="272" t="s">
        <v>1099</v>
      </c>
    </row>
    <row r="50025">
      <c r="B50025" s="31"/>
      <c r="G50025" s="272" t="s">
        <v>1099</v>
      </c>
    </row>
    <row r="50026">
      <c r="B50026" s="31"/>
      <c r="G50026" s="272" t="s">
        <v>1099</v>
      </c>
    </row>
    <row r="50027">
      <c r="B50027" s="31"/>
      <c r="G50027" s="272" t="s">
        <v>1099</v>
      </c>
    </row>
    <row r="50028">
      <c r="B50028" s="31"/>
      <c r="G50028" s="272" t="s">
        <v>1099</v>
      </c>
    </row>
    <row r="50029">
      <c r="B50029" s="31"/>
      <c r="G50029" s="272" t="s">
        <v>1099</v>
      </c>
    </row>
    <row r="50030">
      <c r="B50030" s="31"/>
      <c r="G50030" s="272" t="s">
        <v>1099</v>
      </c>
    </row>
    <row r="50031">
      <c r="B50031" s="31"/>
      <c r="G50031" s="272" t="s">
        <v>1099</v>
      </c>
    </row>
    <row r="50032">
      <c r="B50032" s="31"/>
      <c r="G50032" s="272" t="s">
        <v>1099</v>
      </c>
    </row>
    <row r="50033">
      <c r="B50033" s="31"/>
      <c r="G50033" s="272" t="s">
        <v>1099</v>
      </c>
    </row>
    <row r="50034">
      <c r="B50034" s="31"/>
      <c r="G50034" s="272" t="s">
        <v>1099</v>
      </c>
    </row>
    <row r="50035">
      <c r="B50035" s="31"/>
      <c r="G50035" s="272" t="s">
        <v>1099</v>
      </c>
    </row>
    <row r="50036">
      <c r="B50036" s="31"/>
      <c r="G50036" s="272" t="s">
        <v>1099</v>
      </c>
    </row>
    <row r="50037">
      <c r="B50037" s="31"/>
      <c r="G50037" s="272" t="s">
        <v>1099</v>
      </c>
    </row>
    <row r="50038">
      <c r="B50038" s="31"/>
      <c r="G50038" s="272" t="s">
        <v>1099</v>
      </c>
    </row>
    <row r="50039">
      <c r="B50039" s="31"/>
      <c r="G50039" s="272" t="s">
        <v>1099</v>
      </c>
    </row>
    <row r="50040">
      <c r="B50040" s="31"/>
      <c r="G50040" s="272" t="s">
        <v>1099</v>
      </c>
    </row>
    <row r="50041">
      <c r="B50041" s="31"/>
      <c r="G50041" s="272" t="s">
        <v>1099</v>
      </c>
    </row>
    <row r="50042">
      <c r="B50042" s="31"/>
      <c r="G50042" s="272" t="s">
        <v>1099</v>
      </c>
    </row>
    <row r="50043">
      <c r="B50043" s="31"/>
      <c r="G50043" s="272" t="s">
        <v>1099</v>
      </c>
    </row>
    <row r="50044">
      <c r="B50044" s="31"/>
      <c r="G50044" s="272" t="s">
        <v>1099</v>
      </c>
    </row>
    <row r="50045">
      <c r="B50045" s="31"/>
      <c r="G50045" s="272" t="s">
        <v>1099</v>
      </c>
    </row>
    <row r="50046">
      <c r="B50046" s="31"/>
      <c r="G50046" s="272" t="s">
        <v>1099</v>
      </c>
    </row>
    <row r="50047">
      <c r="B50047" s="31"/>
      <c r="G50047" s="272" t="s">
        <v>1099</v>
      </c>
    </row>
    <row r="50048">
      <c r="B50048" s="31"/>
      <c r="G50048" s="272" t="s">
        <v>1099</v>
      </c>
    </row>
    <row r="50049">
      <c r="B50049" s="31"/>
      <c r="G50049" s="272" t="s">
        <v>1099</v>
      </c>
    </row>
    <row r="50050">
      <c r="B50050" s="31"/>
      <c r="G50050" s="272" t="s">
        <v>1099</v>
      </c>
    </row>
    <row r="50051">
      <c r="B50051" s="31"/>
      <c r="G50051" s="272" t="s">
        <v>1099</v>
      </c>
    </row>
    <row r="50052">
      <c r="B50052" s="31"/>
      <c r="G50052" s="272" t="s">
        <v>1099</v>
      </c>
    </row>
    <row r="50053">
      <c r="B50053" s="31"/>
      <c r="G50053" s="272" t="s">
        <v>1099</v>
      </c>
    </row>
    <row r="50054">
      <c r="B50054" s="31"/>
      <c r="G50054" s="272" t="s">
        <v>1099</v>
      </c>
    </row>
    <row r="50055">
      <c r="B50055" s="31"/>
      <c r="G50055" s="272" t="s">
        <v>1099</v>
      </c>
    </row>
    <row r="50056">
      <c r="B50056" s="31"/>
      <c r="G50056" s="272" t="s">
        <v>1099</v>
      </c>
    </row>
    <row r="50057">
      <c r="B50057" s="31"/>
      <c r="G50057" s="272" t="s">
        <v>1099</v>
      </c>
    </row>
    <row r="50058">
      <c r="B50058" s="31"/>
      <c r="G50058" s="272" t="s">
        <v>1099</v>
      </c>
    </row>
    <row r="50059">
      <c r="B50059" s="31"/>
      <c r="G50059" s="272" t="s">
        <v>1099</v>
      </c>
    </row>
    <row r="50060">
      <c r="B50060" s="31"/>
      <c r="G50060" s="272" t="s">
        <v>1099</v>
      </c>
    </row>
    <row r="50061">
      <c r="B50061" s="31"/>
      <c r="G50061" s="272" t="s">
        <v>1099</v>
      </c>
    </row>
    <row r="50062">
      <c r="B50062" s="31"/>
      <c r="G50062" s="272" t="s">
        <v>1099</v>
      </c>
    </row>
    <row r="50063">
      <c r="B50063" s="31"/>
      <c r="G50063" s="272" t="s">
        <v>1099</v>
      </c>
    </row>
    <row r="50064">
      <c r="B50064" s="31"/>
      <c r="G50064" s="272" t="s">
        <v>1099</v>
      </c>
    </row>
    <row r="50065">
      <c r="B50065" s="31"/>
      <c r="G50065" s="272" t="s">
        <v>1099</v>
      </c>
    </row>
    <row r="50066">
      <c r="B50066" s="31"/>
      <c r="G50066" s="272" t="s">
        <v>1099</v>
      </c>
    </row>
    <row r="50067">
      <c r="B50067" s="31"/>
      <c r="G50067" s="272" t="s">
        <v>1099</v>
      </c>
    </row>
    <row r="50068">
      <c r="B50068" s="31"/>
      <c r="G50068" s="272" t="s">
        <v>1099</v>
      </c>
    </row>
    <row r="50069">
      <c r="B50069" s="31"/>
      <c r="G50069" s="272" t="s">
        <v>1099</v>
      </c>
    </row>
    <row r="50070">
      <c r="B50070" s="31"/>
      <c r="G50070" s="272" t="s">
        <v>1099</v>
      </c>
    </row>
    <row r="50071">
      <c r="B50071" s="31"/>
      <c r="G50071" s="272" t="s">
        <v>1099</v>
      </c>
    </row>
    <row r="50072">
      <c r="B50072" s="31"/>
      <c r="G50072" s="272" t="s">
        <v>1099</v>
      </c>
    </row>
    <row r="50073">
      <c r="B50073" s="31"/>
      <c r="G50073" s="272" t="s">
        <v>1099</v>
      </c>
    </row>
    <row r="50074">
      <c r="B50074" s="31"/>
      <c r="G50074" s="272" t="s">
        <v>1099</v>
      </c>
    </row>
    <row r="50075">
      <c r="B50075" s="31"/>
      <c r="G50075" s="272" t="s">
        <v>1099</v>
      </c>
    </row>
    <row r="50076">
      <c r="B50076" s="31"/>
      <c r="G50076" s="272" t="s">
        <v>1099</v>
      </c>
    </row>
    <row r="50077">
      <c r="B50077" s="31"/>
      <c r="G50077" s="272" t="s">
        <v>1099</v>
      </c>
    </row>
    <row r="50078">
      <c r="B50078" s="31"/>
      <c r="G50078" s="272" t="s">
        <v>1099</v>
      </c>
    </row>
    <row r="50079">
      <c r="B50079" s="31"/>
      <c r="G50079" s="272" t="s">
        <v>1099</v>
      </c>
    </row>
    <row r="50080">
      <c r="B50080" s="31"/>
      <c r="G50080" s="272" t="s">
        <v>1099</v>
      </c>
    </row>
    <row r="50081">
      <c r="B50081" s="31"/>
      <c r="G50081" s="272" t="s">
        <v>1099</v>
      </c>
    </row>
    <row r="50082">
      <c r="B50082" s="31"/>
      <c r="G50082" s="272" t="s">
        <v>1099</v>
      </c>
    </row>
    <row r="50083">
      <c r="B50083" s="31"/>
      <c r="G50083" s="272" t="s">
        <v>1099</v>
      </c>
    </row>
    <row r="50084">
      <c r="B50084" s="31"/>
      <c r="G50084" s="272" t="s">
        <v>1099</v>
      </c>
    </row>
    <row r="50085">
      <c r="B50085" s="31"/>
      <c r="G50085" s="272" t="s">
        <v>1099</v>
      </c>
    </row>
    <row r="50086">
      <c r="B50086" s="31"/>
      <c r="G50086" s="272" t="s">
        <v>1099</v>
      </c>
    </row>
    <row r="50087">
      <c r="B50087" s="31"/>
      <c r="G50087" s="272" t="s">
        <v>1099</v>
      </c>
    </row>
    <row r="50088">
      <c r="B50088" s="31"/>
      <c r="G50088" s="272" t="s">
        <v>1099</v>
      </c>
    </row>
    <row r="50089">
      <c r="B50089" s="31"/>
      <c r="G50089" s="272" t="s">
        <v>1099</v>
      </c>
    </row>
    <row r="50090">
      <c r="B50090" s="31"/>
      <c r="G50090" s="272" t="s">
        <v>1099</v>
      </c>
    </row>
    <row r="50091">
      <c r="B50091" s="31"/>
      <c r="G50091" s="272" t="s">
        <v>1099</v>
      </c>
    </row>
    <row r="50092">
      <c r="B50092" s="31"/>
      <c r="G50092" s="272" t="s">
        <v>1099</v>
      </c>
    </row>
    <row r="50093">
      <c r="B50093" s="31"/>
      <c r="G50093" s="272" t="s">
        <v>1099</v>
      </c>
    </row>
    <row r="50094">
      <c r="B50094" s="31"/>
      <c r="G50094" s="272" t="s">
        <v>1099</v>
      </c>
    </row>
    <row r="50095">
      <c r="B50095" s="31"/>
      <c r="G50095" s="272" t="s">
        <v>1099</v>
      </c>
    </row>
    <row r="50096">
      <c r="B50096" s="31"/>
      <c r="G50096" s="272" t="s">
        <v>1099</v>
      </c>
    </row>
    <row r="50097">
      <c r="B50097" s="31"/>
      <c r="G50097" s="272" t="s">
        <v>1099</v>
      </c>
    </row>
    <row r="50098">
      <c r="B50098" s="31"/>
      <c r="G50098" s="272" t="s">
        <v>1099</v>
      </c>
    </row>
    <row r="50099">
      <c r="B50099" s="31"/>
      <c r="G50099" s="272" t="s">
        <v>1099</v>
      </c>
    </row>
    <row r="50100">
      <c r="B50100" s="31"/>
      <c r="G50100" s="272" t="s">
        <v>1099</v>
      </c>
    </row>
    <row r="50101">
      <c r="B50101" s="31"/>
      <c r="G50101" s="272" t="s">
        <v>1099</v>
      </c>
    </row>
    <row r="50102">
      <c r="B50102" s="31"/>
      <c r="G50102" s="272" t="s">
        <v>1099</v>
      </c>
    </row>
    <row r="50103">
      <c r="B50103" s="31"/>
      <c r="G50103" s="272" t="s">
        <v>1099</v>
      </c>
    </row>
    <row r="50104">
      <c r="B50104" s="31"/>
      <c r="G50104" s="272" t="s">
        <v>1099</v>
      </c>
    </row>
    <row r="50105">
      <c r="B50105" s="31"/>
      <c r="G50105" s="272" t="s">
        <v>1099</v>
      </c>
    </row>
    <row r="50106">
      <c r="B50106" s="31"/>
      <c r="G50106" s="272" t="s">
        <v>1099</v>
      </c>
    </row>
    <row r="50107">
      <c r="B50107" s="31"/>
      <c r="G50107" s="272" t="s">
        <v>1099</v>
      </c>
    </row>
    <row r="50108">
      <c r="B50108" s="31"/>
      <c r="G50108" s="272" t="s">
        <v>1099</v>
      </c>
    </row>
    <row r="50109">
      <c r="B50109" s="31"/>
      <c r="G50109" s="272" t="s">
        <v>1099</v>
      </c>
    </row>
    <row r="50110">
      <c r="B50110" s="31"/>
      <c r="G50110" s="272" t="s">
        <v>1099</v>
      </c>
    </row>
    <row r="50111">
      <c r="B50111" s="31"/>
      <c r="G50111" s="272" t="s">
        <v>1099</v>
      </c>
    </row>
    <row r="50112">
      <c r="B50112" s="31"/>
      <c r="G50112" s="272" t="s">
        <v>1099</v>
      </c>
    </row>
    <row r="50113">
      <c r="B50113" s="31"/>
      <c r="G50113" s="272" t="s">
        <v>1099</v>
      </c>
    </row>
    <row r="50114">
      <c r="B50114" s="31"/>
      <c r="G50114" s="272" t="s">
        <v>1099</v>
      </c>
    </row>
    <row r="50115">
      <c r="B50115" s="31"/>
      <c r="G50115" s="272" t="s">
        <v>1099</v>
      </c>
    </row>
    <row r="50116">
      <c r="B50116" s="31"/>
      <c r="G50116" s="272" t="s">
        <v>1099</v>
      </c>
    </row>
    <row r="50117">
      <c r="B50117" s="31"/>
      <c r="G50117" s="272" t="s">
        <v>1099</v>
      </c>
    </row>
    <row r="50118">
      <c r="B50118" s="31"/>
      <c r="G50118" s="272" t="s">
        <v>1099</v>
      </c>
    </row>
    <row r="50119">
      <c r="B50119" s="31"/>
      <c r="G50119" s="272" t="s">
        <v>1099</v>
      </c>
    </row>
    <row r="50120">
      <c r="B50120" s="31"/>
      <c r="G50120" s="272" t="s">
        <v>1099</v>
      </c>
    </row>
    <row r="50121">
      <c r="B50121" s="31"/>
      <c r="G50121" s="272" t="s">
        <v>1099</v>
      </c>
    </row>
    <row r="50122">
      <c r="B50122" s="31"/>
      <c r="G50122" s="272" t="s">
        <v>1099</v>
      </c>
    </row>
    <row r="50123">
      <c r="B50123" s="31"/>
      <c r="G50123" s="272" t="s">
        <v>1099</v>
      </c>
    </row>
    <row r="50124">
      <c r="B50124" s="31"/>
      <c r="G50124" s="272" t="s">
        <v>1099</v>
      </c>
    </row>
    <row r="50125">
      <c r="B50125" s="31"/>
      <c r="G50125" s="272" t="s">
        <v>1099</v>
      </c>
    </row>
    <row r="50126">
      <c r="B50126" s="31"/>
      <c r="G50126" s="272" t="s">
        <v>1099</v>
      </c>
    </row>
    <row r="50127">
      <c r="B50127" s="31"/>
      <c r="G50127" s="272" t="s">
        <v>1099</v>
      </c>
    </row>
    <row r="50128">
      <c r="B50128" s="31"/>
      <c r="G50128" s="272" t="s">
        <v>1099</v>
      </c>
    </row>
    <row r="50129">
      <c r="B50129" s="31"/>
      <c r="G50129" s="272" t="s">
        <v>1099</v>
      </c>
    </row>
    <row r="50130">
      <c r="B50130" s="31"/>
      <c r="G50130" s="272" t="s">
        <v>1099</v>
      </c>
    </row>
    <row r="50131">
      <c r="B50131" s="31"/>
      <c r="G50131" s="272" t="s">
        <v>1099</v>
      </c>
    </row>
    <row r="50132">
      <c r="B50132" s="31"/>
      <c r="G50132" s="272" t="s">
        <v>1099</v>
      </c>
    </row>
    <row r="50133">
      <c r="B50133" s="31"/>
      <c r="G50133" s="272" t="s">
        <v>1099</v>
      </c>
    </row>
    <row r="50134">
      <c r="B50134" s="31"/>
      <c r="G50134" s="272" t="s">
        <v>1099</v>
      </c>
    </row>
    <row r="50135">
      <c r="B50135" s="31"/>
      <c r="G50135" s="272" t="s">
        <v>1099</v>
      </c>
    </row>
    <row r="50136">
      <c r="B50136" s="31"/>
      <c r="G50136" s="272" t="s">
        <v>1099</v>
      </c>
    </row>
    <row r="50137">
      <c r="B50137" s="31"/>
      <c r="G50137" s="272" t="s">
        <v>1099</v>
      </c>
    </row>
    <row r="50138">
      <c r="B50138" s="31"/>
      <c r="G50138" s="272" t="s">
        <v>1099</v>
      </c>
    </row>
    <row r="50139">
      <c r="B50139" s="31"/>
      <c r="G50139" s="272" t="s">
        <v>1099</v>
      </c>
    </row>
    <row r="50140">
      <c r="B50140" s="31"/>
      <c r="G50140" s="272" t="s">
        <v>1099</v>
      </c>
    </row>
    <row r="50141">
      <c r="B50141" s="31"/>
      <c r="G50141" s="272" t="s">
        <v>1099</v>
      </c>
    </row>
    <row r="50142">
      <c r="B50142" s="31"/>
      <c r="G50142" s="272" t="s">
        <v>1099</v>
      </c>
    </row>
    <row r="50143">
      <c r="B50143" s="31"/>
      <c r="G50143" s="272" t="s">
        <v>1099</v>
      </c>
    </row>
    <row r="50144">
      <c r="B50144" s="31"/>
      <c r="G50144" s="272" t="s">
        <v>1099</v>
      </c>
    </row>
    <row r="50145">
      <c r="B50145" s="31"/>
      <c r="G50145" s="272" t="s">
        <v>1099</v>
      </c>
    </row>
    <row r="50146">
      <c r="B50146" s="31"/>
      <c r="G50146" s="272" t="s">
        <v>1099</v>
      </c>
    </row>
    <row r="50147">
      <c r="B50147" s="31"/>
      <c r="G50147" s="272" t="s">
        <v>1099</v>
      </c>
    </row>
    <row r="50148">
      <c r="B50148" s="31"/>
      <c r="G50148" s="272" t="s">
        <v>1099</v>
      </c>
    </row>
    <row r="50149">
      <c r="B50149" s="31"/>
      <c r="G50149" s="272" t="s">
        <v>1099</v>
      </c>
    </row>
    <row r="50150">
      <c r="B50150" s="31"/>
      <c r="G50150" s="272" t="s">
        <v>1099</v>
      </c>
    </row>
    <row r="50151">
      <c r="B50151" s="31"/>
      <c r="G50151" s="272" t="s">
        <v>1099</v>
      </c>
    </row>
    <row r="50152">
      <c r="B50152" s="31"/>
      <c r="G50152" s="272" t="s">
        <v>1099</v>
      </c>
    </row>
    <row r="50153">
      <c r="B50153" s="31"/>
      <c r="G50153" s="272" t="s">
        <v>1099</v>
      </c>
    </row>
    <row r="50154">
      <c r="B50154" s="31"/>
      <c r="G50154" s="272" t="s">
        <v>1099</v>
      </c>
    </row>
    <row r="50155">
      <c r="B50155" s="31"/>
      <c r="G50155" s="272" t="s">
        <v>1099</v>
      </c>
    </row>
    <row r="50156">
      <c r="B50156" s="31"/>
      <c r="G50156" s="272" t="s">
        <v>1099</v>
      </c>
    </row>
    <row r="50157">
      <c r="B50157" s="31"/>
      <c r="G50157" s="272" t="s">
        <v>1099</v>
      </c>
    </row>
    <row r="50158">
      <c r="B50158" s="31"/>
      <c r="G50158" s="272" t="s">
        <v>1099</v>
      </c>
    </row>
    <row r="50159">
      <c r="B50159" s="31"/>
      <c r="G50159" s="272" t="s">
        <v>1099</v>
      </c>
    </row>
    <row r="50160">
      <c r="B50160" s="31"/>
      <c r="G50160" s="272" t="s">
        <v>1099</v>
      </c>
    </row>
    <row r="50161">
      <c r="B50161" s="31"/>
      <c r="G50161" s="272" t="s">
        <v>1099</v>
      </c>
    </row>
    <row r="50162">
      <c r="B50162" s="31"/>
      <c r="G50162" s="272" t="s">
        <v>1099</v>
      </c>
    </row>
    <row r="50163">
      <c r="B50163" s="31"/>
      <c r="G50163" s="272" t="s">
        <v>1099</v>
      </c>
    </row>
    <row r="50164">
      <c r="B50164" s="31"/>
      <c r="G50164" s="272" t="s">
        <v>1099</v>
      </c>
    </row>
    <row r="50165">
      <c r="B50165" s="31"/>
      <c r="G50165" s="272" t="s">
        <v>1099</v>
      </c>
    </row>
    <row r="50166">
      <c r="B50166" s="31"/>
      <c r="G50166" s="272" t="s">
        <v>1099</v>
      </c>
    </row>
    <row r="50167">
      <c r="B50167" s="31"/>
      <c r="G50167" s="272" t="s">
        <v>1099</v>
      </c>
    </row>
    <row r="50168">
      <c r="B50168" s="31"/>
      <c r="G50168" s="272" t="s">
        <v>1099</v>
      </c>
    </row>
    <row r="50169">
      <c r="B50169" s="31"/>
      <c r="G50169" s="272" t="s">
        <v>1099</v>
      </c>
    </row>
    <row r="50170">
      <c r="B50170" s="31"/>
      <c r="G50170" s="272" t="s">
        <v>1099</v>
      </c>
    </row>
    <row r="50171">
      <c r="B50171" s="31"/>
      <c r="G50171" s="272" t="s">
        <v>1099</v>
      </c>
    </row>
    <row r="50172">
      <c r="B50172" s="31"/>
      <c r="G50172" s="272" t="s">
        <v>1099</v>
      </c>
    </row>
    <row r="50173">
      <c r="B50173" s="31"/>
      <c r="G50173" s="272" t="s">
        <v>1099</v>
      </c>
    </row>
    <row r="50174">
      <c r="B50174" s="31"/>
      <c r="G50174" s="272" t="s">
        <v>1099</v>
      </c>
    </row>
    <row r="50175">
      <c r="B50175" s="31"/>
      <c r="G50175" s="272" t="s">
        <v>1099</v>
      </c>
    </row>
    <row r="50176">
      <c r="B50176" s="31"/>
      <c r="G50176" s="272" t="s">
        <v>1099</v>
      </c>
    </row>
    <row r="50177">
      <c r="B50177" s="31"/>
      <c r="G50177" s="272" t="s">
        <v>1099</v>
      </c>
    </row>
    <row r="50178">
      <c r="B50178" s="31"/>
      <c r="G50178" s="272" t="s">
        <v>1099</v>
      </c>
    </row>
    <row r="50179">
      <c r="B50179" s="31"/>
      <c r="G50179" s="272" t="s">
        <v>1099</v>
      </c>
    </row>
    <row r="50180">
      <c r="B50180" s="31"/>
      <c r="G50180" s="272" t="s">
        <v>1099</v>
      </c>
    </row>
    <row r="50181">
      <c r="B50181" s="31"/>
      <c r="G50181" s="272" t="s">
        <v>1099</v>
      </c>
    </row>
    <row r="50182">
      <c r="B50182" s="31"/>
      <c r="G50182" s="272" t="s">
        <v>1099</v>
      </c>
    </row>
    <row r="50183">
      <c r="B50183" s="31"/>
      <c r="G50183" s="272" t="s">
        <v>1099</v>
      </c>
    </row>
    <row r="50184">
      <c r="B50184" s="31"/>
      <c r="G50184" s="272" t="s">
        <v>1099</v>
      </c>
    </row>
    <row r="50185">
      <c r="B50185" s="31"/>
      <c r="G50185" s="272" t="s">
        <v>1099</v>
      </c>
    </row>
    <row r="50186">
      <c r="B50186" s="31"/>
      <c r="G50186" s="272" t="s">
        <v>1099</v>
      </c>
    </row>
    <row r="50187">
      <c r="B50187" s="31"/>
      <c r="G50187" s="272" t="s">
        <v>1099</v>
      </c>
    </row>
    <row r="50188">
      <c r="B50188" s="31"/>
      <c r="G50188" s="272" t="s">
        <v>1099</v>
      </c>
    </row>
    <row r="50189">
      <c r="B50189" s="31"/>
      <c r="G50189" s="272" t="s">
        <v>1099</v>
      </c>
    </row>
    <row r="50190">
      <c r="B50190" s="31"/>
      <c r="G50190" s="272" t="s">
        <v>1099</v>
      </c>
    </row>
    <row r="50191">
      <c r="B50191" s="31"/>
      <c r="G50191" s="272" t="s">
        <v>1099</v>
      </c>
    </row>
    <row r="50192">
      <c r="B50192" s="31"/>
      <c r="G50192" s="272" t="s">
        <v>1099</v>
      </c>
    </row>
    <row r="50193">
      <c r="B50193" s="31"/>
      <c r="G50193" s="272" t="s">
        <v>1099</v>
      </c>
    </row>
    <row r="50194">
      <c r="B50194" s="31"/>
      <c r="G50194" s="272" t="s">
        <v>1099</v>
      </c>
    </row>
    <row r="50195">
      <c r="B50195" s="31"/>
      <c r="G50195" s="272" t="s">
        <v>1099</v>
      </c>
    </row>
    <row r="50196">
      <c r="B50196" s="31"/>
      <c r="G50196" s="272" t="s">
        <v>1099</v>
      </c>
    </row>
    <row r="50197">
      <c r="B50197" s="31"/>
      <c r="G50197" s="272" t="s">
        <v>1099</v>
      </c>
    </row>
    <row r="50198">
      <c r="B50198" s="31"/>
      <c r="G50198" s="272" t="s">
        <v>1099</v>
      </c>
    </row>
    <row r="50199">
      <c r="B50199" s="31"/>
      <c r="G50199" s="272" t="s">
        <v>1099</v>
      </c>
    </row>
    <row r="50200">
      <c r="B50200" s="31"/>
      <c r="G50200" s="272" t="s">
        <v>1099</v>
      </c>
    </row>
    <row r="50201">
      <c r="B50201" s="31"/>
      <c r="G50201" s="272" t="s">
        <v>1099</v>
      </c>
    </row>
    <row r="50202">
      <c r="B50202" s="31"/>
      <c r="G50202" s="272" t="s">
        <v>1099</v>
      </c>
    </row>
    <row r="50203">
      <c r="B50203" s="31"/>
      <c r="G50203" s="272" t="s">
        <v>1099</v>
      </c>
    </row>
    <row r="50204">
      <c r="B50204" s="31"/>
      <c r="G50204" s="272" t="s">
        <v>1099</v>
      </c>
    </row>
    <row r="50205">
      <c r="B50205" s="31"/>
      <c r="G50205" s="272" t="s">
        <v>1099</v>
      </c>
    </row>
    <row r="50206">
      <c r="B50206" s="31"/>
      <c r="G50206" s="272" t="s">
        <v>1099</v>
      </c>
    </row>
    <row r="50207">
      <c r="B50207" s="31"/>
      <c r="G50207" s="272" t="s">
        <v>1099</v>
      </c>
    </row>
    <row r="50208">
      <c r="B50208" s="31"/>
      <c r="G50208" s="272" t="s">
        <v>1099</v>
      </c>
    </row>
    <row r="50209">
      <c r="B50209" s="31"/>
      <c r="G50209" s="272" t="s">
        <v>1099</v>
      </c>
    </row>
    <row r="50210">
      <c r="B50210" s="31"/>
      <c r="G50210" s="272" t="s">
        <v>1099</v>
      </c>
    </row>
    <row r="50211">
      <c r="B50211" s="31"/>
      <c r="G50211" s="272" t="s">
        <v>1099</v>
      </c>
    </row>
    <row r="50212">
      <c r="B50212" s="31"/>
      <c r="G50212" s="272" t="s">
        <v>1099</v>
      </c>
    </row>
    <row r="50213">
      <c r="B50213" s="31"/>
      <c r="G50213" s="272" t="s">
        <v>1099</v>
      </c>
    </row>
    <row r="50214">
      <c r="B50214" s="31"/>
      <c r="G50214" s="272" t="s">
        <v>1099</v>
      </c>
    </row>
    <row r="50215">
      <c r="B50215" s="31"/>
      <c r="G50215" s="272" t="s">
        <v>1099</v>
      </c>
    </row>
    <row r="50216">
      <c r="B50216" s="31"/>
      <c r="G50216" s="272" t="s">
        <v>1099</v>
      </c>
    </row>
    <row r="50217">
      <c r="B50217" s="31"/>
      <c r="G50217" s="272" t="s">
        <v>1099</v>
      </c>
    </row>
    <row r="50218">
      <c r="B50218" s="31"/>
      <c r="G50218" s="272" t="s">
        <v>1099</v>
      </c>
    </row>
    <row r="50219">
      <c r="B50219" s="31"/>
      <c r="G50219" s="272" t="s">
        <v>1099</v>
      </c>
    </row>
    <row r="50220">
      <c r="B50220" s="31"/>
      <c r="G50220" s="272" t="s">
        <v>1099</v>
      </c>
    </row>
    <row r="50221">
      <c r="B50221" s="31"/>
      <c r="G50221" s="272" t="s">
        <v>1099</v>
      </c>
    </row>
    <row r="50222">
      <c r="B50222" s="31"/>
      <c r="G50222" s="272" t="s">
        <v>1099</v>
      </c>
    </row>
    <row r="50223">
      <c r="B50223" s="31"/>
      <c r="G50223" s="272" t="s">
        <v>1099</v>
      </c>
    </row>
    <row r="50224">
      <c r="B50224" s="31"/>
      <c r="G50224" s="272" t="s">
        <v>1099</v>
      </c>
    </row>
    <row r="50225">
      <c r="B50225" s="31"/>
      <c r="G50225" s="272" t="s">
        <v>1099</v>
      </c>
    </row>
    <row r="50226">
      <c r="B50226" s="31"/>
      <c r="G50226" s="272" t="s">
        <v>1099</v>
      </c>
    </row>
    <row r="50227">
      <c r="B50227" s="31"/>
      <c r="G50227" s="272" t="s">
        <v>1099</v>
      </c>
    </row>
    <row r="50228">
      <c r="B50228" s="31"/>
      <c r="G50228" s="272" t="s">
        <v>1099</v>
      </c>
    </row>
    <row r="50229">
      <c r="B50229" s="31"/>
      <c r="G50229" s="272" t="s">
        <v>1099</v>
      </c>
    </row>
    <row r="50230">
      <c r="B50230" s="31"/>
      <c r="G50230" s="272" t="s">
        <v>1099</v>
      </c>
    </row>
    <row r="50231">
      <c r="B50231" s="31"/>
      <c r="G50231" s="272" t="s">
        <v>1099</v>
      </c>
    </row>
    <row r="50232">
      <c r="B50232" s="31"/>
      <c r="G50232" s="272" t="s">
        <v>1099</v>
      </c>
    </row>
    <row r="50233">
      <c r="B50233" s="31"/>
      <c r="G50233" s="272" t="s">
        <v>1099</v>
      </c>
    </row>
    <row r="50234">
      <c r="B50234" s="31"/>
      <c r="G50234" s="272" t="s">
        <v>1099</v>
      </c>
    </row>
    <row r="50235">
      <c r="B50235" s="31"/>
      <c r="G50235" s="272" t="s">
        <v>1099</v>
      </c>
    </row>
    <row r="50236">
      <c r="B50236" s="31"/>
      <c r="G50236" s="272" t="s">
        <v>1099</v>
      </c>
    </row>
    <row r="50237">
      <c r="B50237" s="31"/>
      <c r="G50237" s="272" t="s">
        <v>1099</v>
      </c>
    </row>
    <row r="50238">
      <c r="B50238" s="31"/>
      <c r="G50238" s="272" t="s">
        <v>1099</v>
      </c>
    </row>
    <row r="50239">
      <c r="B50239" s="31"/>
      <c r="G50239" s="272" t="s">
        <v>1099</v>
      </c>
    </row>
    <row r="50240">
      <c r="B50240" s="31"/>
      <c r="G50240" s="272" t="s">
        <v>1099</v>
      </c>
    </row>
    <row r="50241">
      <c r="B50241" s="31"/>
      <c r="G50241" s="272" t="s">
        <v>1099</v>
      </c>
    </row>
    <row r="50242">
      <c r="B50242" s="31"/>
      <c r="G50242" s="272" t="s">
        <v>1099</v>
      </c>
    </row>
    <row r="50243">
      <c r="B50243" s="31"/>
      <c r="G50243" s="272" t="s">
        <v>1099</v>
      </c>
    </row>
    <row r="50244">
      <c r="B50244" s="31"/>
      <c r="G50244" s="272" t="s">
        <v>1099</v>
      </c>
    </row>
    <row r="50245">
      <c r="B50245" s="31"/>
      <c r="G50245" s="272" t="s">
        <v>1099</v>
      </c>
    </row>
    <row r="50246">
      <c r="B50246" s="31"/>
      <c r="G50246" s="272" t="s">
        <v>1099</v>
      </c>
    </row>
    <row r="50247">
      <c r="B50247" s="31"/>
      <c r="G50247" s="272" t="s">
        <v>1099</v>
      </c>
    </row>
    <row r="50248">
      <c r="B50248" s="31"/>
      <c r="G50248" s="272" t="s">
        <v>1099</v>
      </c>
    </row>
    <row r="50249">
      <c r="B50249" s="31"/>
      <c r="G50249" s="272" t="s">
        <v>1099</v>
      </c>
    </row>
    <row r="50250">
      <c r="B50250" s="31"/>
      <c r="G50250" s="272" t="s">
        <v>1099</v>
      </c>
    </row>
    <row r="50251">
      <c r="B50251" s="31"/>
      <c r="G50251" s="272" t="s">
        <v>1099</v>
      </c>
    </row>
    <row r="50252">
      <c r="B50252" s="31"/>
      <c r="G50252" s="272" t="s">
        <v>1099</v>
      </c>
    </row>
    <row r="50253">
      <c r="B50253" s="31"/>
      <c r="G50253" s="272" t="s">
        <v>1099</v>
      </c>
    </row>
    <row r="50254">
      <c r="B50254" s="31"/>
      <c r="G50254" s="272" t="s">
        <v>1099</v>
      </c>
    </row>
    <row r="50255">
      <c r="B50255" s="31"/>
      <c r="G50255" s="272" t="s">
        <v>1099</v>
      </c>
    </row>
    <row r="50256">
      <c r="B50256" s="31"/>
      <c r="G50256" s="272" t="s">
        <v>1099</v>
      </c>
    </row>
    <row r="50257">
      <c r="B50257" s="31"/>
      <c r="G50257" s="272" t="s">
        <v>1099</v>
      </c>
    </row>
    <row r="50258">
      <c r="B50258" s="31"/>
      <c r="G50258" s="272" t="s">
        <v>1099</v>
      </c>
    </row>
    <row r="50259">
      <c r="B50259" s="31"/>
      <c r="G50259" s="272" t="s">
        <v>1099</v>
      </c>
    </row>
    <row r="50260">
      <c r="B50260" s="31"/>
      <c r="G50260" s="272" t="s">
        <v>1099</v>
      </c>
    </row>
    <row r="50261">
      <c r="B50261" s="31"/>
      <c r="G50261" s="272" t="s">
        <v>1099</v>
      </c>
    </row>
    <row r="50262">
      <c r="B50262" s="31"/>
      <c r="G50262" s="272" t="s">
        <v>1099</v>
      </c>
    </row>
    <row r="50263">
      <c r="B50263" s="31"/>
      <c r="G50263" s="272" t="s">
        <v>1099</v>
      </c>
    </row>
    <row r="50264">
      <c r="B50264" s="31"/>
      <c r="G50264" s="272" t="s">
        <v>1099</v>
      </c>
    </row>
    <row r="50265">
      <c r="B50265" s="31"/>
      <c r="G50265" s="272" t="s">
        <v>1099</v>
      </c>
    </row>
    <row r="50266">
      <c r="B50266" s="31"/>
      <c r="G50266" s="272" t="s">
        <v>1099</v>
      </c>
    </row>
    <row r="50267">
      <c r="B50267" s="31"/>
      <c r="G50267" s="272" t="s">
        <v>1099</v>
      </c>
    </row>
    <row r="50268">
      <c r="B50268" s="31"/>
      <c r="G50268" s="272" t="s">
        <v>1099</v>
      </c>
    </row>
    <row r="50269">
      <c r="B50269" s="31"/>
      <c r="G50269" s="272" t="s">
        <v>1099</v>
      </c>
    </row>
    <row r="50270">
      <c r="B50270" s="31"/>
      <c r="G50270" s="272" t="s">
        <v>1099</v>
      </c>
    </row>
    <row r="50271">
      <c r="B50271" s="31"/>
      <c r="G50271" s="272" t="s">
        <v>1099</v>
      </c>
    </row>
    <row r="50272">
      <c r="B50272" s="31"/>
      <c r="G50272" s="272" t="s">
        <v>1099</v>
      </c>
    </row>
    <row r="50273">
      <c r="B50273" s="31"/>
      <c r="G50273" s="272" t="s">
        <v>1099</v>
      </c>
    </row>
    <row r="50274">
      <c r="B50274" s="31"/>
      <c r="G50274" s="272" t="s">
        <v>1099</v>
      </c>
    </row>
    <row r="50275">
      <c r="B50275" s="31"/>
      <c r="G50275" s="272" t="s">
        <v>1099</v>
      </c>
    </row>
    <row r="50276">
      <c r="B50276" s="31"/>
      <c r="G50276" s="272" t="s">
        <v>1099</v>
      </c>
    </row>
    <row r="50277">
      <c r="B50277" s="31"/>
      <c r="G50277" s="272" t="s">
        <v>1099</v>
      </c>
    </row>
    <row r="50278">
      <c r="B50278" s="31"/>
      <c r="G50278" s="272" t="s">
        <v>1099</v>
      </c>
    </row>
    <row r="50279">
      <c r="B50279" s="31"/>
      <c r="G50279" s="272" t="s">
        <v>1099</v>
      </c>
    </row>
    <row r="50280">
      <c r="B50280" s="31"/>
      <c r="G50280" s="272" t="s">
        <v>1099</v>
      </c>
    </row>
    <row r="50281">
      <c r="B50281" s="31"/>
      <c r="G50281" s="272" t="s">
        <v>1099</v>
      </c>
    </row>
    <row r="50282">
      <c r="B50282" s="31"/>
      <c r="G50282" s="272" t="s">
        <v>1099</v>
      </c>
    </row>
    <row r="50283">
      <c r="B50283" s="31"/>
      <c r="G50283" s="272" t="s">
        <v>1099</v>
      </c>
    </row>
    <row r="50284">
      <c r="B50284" s="31"/>
      <c r="G50284" s="272" t="s">
        <v>1099</v>
      </c>
    </row>
    <row r="50285">
      <c r="B50285" s="31"/>
      <c r="G50285" s="272" t="s">
        <v>1099</v>
      </c>
    </row>
    <row r="50286">
      <c r="B50286" s="31"/>
      <c r="G50286" s="272" t="s">
        <v>1099</v>
      </c>
    </row>
    <row r="50287">
      <c r="B50287" s="31"/>
      <c r="G50287" s="272" t="s">
        <v>1099</v>
      </c>
    </row>
    <row r="50288">
      <c r="B50288" s="31"/>
      <c r="G50288" s="272" t="s">
        <v>1099</v>
      </c>
    </row>
    <row r="50289">
      <c r="B50289" s="31"/>
      <c r="G50289" s="272" t="s">
        <v>1099</v>
      </c>
    </row>
    <row r="50290">
      <c r="B50290" s="31"/>
      <c r="G50290" s="272" t="s">
        <v>1099</v>
      </c>
    </row>
    <row r="50291">
      <c r="B50291" s="31"/>
      <c r="G50291" s="272" t="s">
        <v>1099</v>
      </c>
    </row>
    <row r="50292">
      <c r="B50292" s="31"/>
      <c r="G50292" s="272" t="s">
        <v>1099</v>
      </c>
    </row>
    <row r="50293">
      <c r="B50293" s="31"/>
      <c r="G50293" s="272" t="s">
        <v>1099</v>
      </c>
    </row>
    <row r="50294">
      <c r="B50294" s="31"/>
      <c r="G50294" s="272" t="s">
        <v>1099</v>
      </c>
    </row>
    <row r="50295">
      <c r="B50295" s="31"/>
      <c r="G50295" s="272" t="s">
        <v>1099</v>
      </c>
    </row>
    <row r="50296">
      <c r="B50296" s="31"/>
      <c r="G50296" s="272" t="s">
        <v>1099</v>
      </c>
    </row>
    <row r="50297">
      <c r="B50297" s="31"/>
      <c r="G50297" s="272" t="s">
        <v>1099</v>
      </c>
    </row>
    <row r="50298">
      <c r="B50298" s="31"/>
      <c r="G50298" s="272" t="s">
        <v>1099</v>
      </c>
    </row>
    <row r="50299">
      <c r="B50299" s="31"/>
      <c r="G50299" s="272" t="s">
        <v>1099</v>
      </c>
    </row>
    <row r="50300">
      <c r="B50300" s="31"/>
      <c r="G50300" s="272" t="s">
        <v>1099</v>
      </c>
    </row>
    <row r="50301">
      <c r="B50301" s="31"/>
      <c r="G50301" s="272" t="s">
        <v>1099</v>
      </c>
    </row>
    <row r="50302">
      <c r="B50302" s="31"/>
      <c r="G50302" s="272" t="s">
        <v>1099</v>
      </c>
    </row>
    <row r="50303">
      <c r="B50303" s="31"/>
      <c r="G50303" s="272" t="s">
        <v>1099</v>
      </c>
    </row>
    <row r="50304">
      <c r="B50304" s="31"/>
      <c r="G50304" s="272" t="s">
        <v>1099</v>
      </c>
    </row>
    <row r="50305">
      <c r="B50305" s="31"/>
      <c r="G50305" s="272" t="s">
        <v>1099</v>
      </c>
    </row>
    <row r="50306">
      <c r="B50306" s="31"/>
      <c r="G50306" s="272" t="s">
        <v>1099</v>
      </c>
    </row>
    <row r="50307">
      <c r="B50307" s="31"/>
      <c r="G50307" s="272" t="s">
        <v>1099</v>
      </c>
    </row>
    <row r="50308">
      <c r="B50308" s="31"/>
      <c r="G50308" s="272" t="s">
        <v>1099</v>
      </c>
    </row>
    <row r="50309">
      <c r="B50309" s="31"/>
      <c r="G50309" s="272" t="s">
        <v>1099</v>
      </c>
    </row>
    <row r="50310">
      <c r="B50310" s="31"/>
      <c r="G50310" s="272" t="s">
        <v>1099</v>
      </c>
    </row>
    <row r="50311">
      <c r="B50311" s="31"/>
      <c r="G50311" s="272" t="s">
        <v>1099</v>
      </c>
    </row>
    <row r="50312">
      <c r="B50312" s="31"/>
      <c r="G50312" s="272" t="s">
        <v>1099</v>
      </c>
    </row>
    <row r="50313">
      <c r="B50313" s="31"/>
      <c r="G50313" s="272" t="s">
        <v>1099</v>
      </c>
    </row>
    <row r="50314">
      <c r="B50314" s="31"/>
      <c r="G50314" s="272" t="s">
        <v>1099</v>
      </c>
    </row>
    <row r="50315">
      <c r="B50315" s="31"/>
      <c r="G50315" s="272" t="s">
        <v>1099</v>
      </c>
    </row>
    <row r="50316">
      <c r="B50316" s="31"/>
      <c r="G50316" s="272" t="s">
        <v>1099</v>
      </c>
    </row>
    <row r="50317">
      <c r="B50317" s="31"/>
      <c r="G50317" s="272" t="s">
        <v>1099</v>
      </c>
    </row>
    <row r="50318">
      <c r="B50318" s="31"/>
      <c r="G50318" s="272" t="s">
        <v>1099</v>
      </c>
    </row>
    <row r="50319">
      <c r="B50319" s="31"/>
      <c r="G50319" s="272" t="s">
        <v>1099</v>
      </c>
    </row>
    <row r="50320">
      <c r="B50320" s="31"/>
      <c r="G50320" s="272" t="s">
        <v>1099</v>
      </c>
    </row>
    <row r="50321">
      <c r="B50321" s="31"/>
      <c r="G50321" s="272" t="s">
        <v>1099</v>
      </c>
    </row>
    <row r="50322">
      <c r="B50322" s="31"/>
      <c r="G50322" s="272" t="s">
        <v>1099</v>
      </c>
    </row>
    <row r="50323">
      <c r="B50323" s="31"/>
      <c r="G50323" s="272" t="s">
        <v>1099</v>
      </c>
    </row>
    <row r="50324">
      <c r="B50324" s="31"/>
      <c r="G50324" s="272" t="s">
        <v>1099</v>
      </c>
    </row>
    <row r="50325">
      <c r="B50325" s="31"/>
      <c r="G50325" s="272" t="s">
        <v>1099</v>
      </c>
    </row>
    <row r="50326">
      <c r="B50326" s="31"/>
      <c r="G50326" s="272" t="s">
        <v>1099</v>
      </c>
    </row>
    <row r="50327">
      <c r="B50327" s="31"/>
      <c r="G50327" s="272" t="s">
        <v>1099</v>
      </c>
    </row>
    <row r="50328">
      <c r="B50328" s="31"/>
      <c r="G50328" s="272" t="s">
        <v>1099</v>
      </c>
    </row>
    <row r="50329">
      <c r="B50329" s="31"/>
      <c r="G50329" s="272" t="s">
        <v>1099</v>
      </c>
    </row>
    <row r="50330">
      <c r="B50330" s="31"/>
      <c r="G50330" s="272" t="s">
        <v>1099</v>
      </c>
    </row>
    <row r="50331">
      <c r="B50331" s="31"/>
      <c r="G50331" s="272" t="s">
        <v>1099</v>
      </c>
    </row>
    <row r="50332">
      <c r="B50332" s="31"/>
      <c r="G50332" s="272" t="s">
        <v>1099</v>
      </c>
    </row>
    <row r="50333">
      <c r="B50333" s="31"/>
      <c r="G50333" s="272" t="s">
        <v>1099</v>
      </c>
    </row>
    <row r="50334">
      <c r="B50334" s="31"/>
      <c r="G50334" s="272" t="s">
        <v>1099</v>
      </c>
    </row>
    <row r="50335">
      <c r="B50335" s="31"/>
      <c r="G50335" s="272" t="s">
        <v>1099</v>
      </c>
    </row>
    <row r="50336">
      <c r="B50336" s="31"/>
      <c r="G50336" s="272" t="s">
        <v>1099</v>
      </c>
    </row>
    <row r="50337">
      <c r="B50337" s="31"/>
      <c r="G50337" s="272" t="s">
        <v>1099</v>
      </c>
    </row>
    <row r="50338">
      <c r="B50338" s="31"/>
      <c r="G50338" s="272" t="s">
        <v>1099</v>
      </c>
    </row>
    <row r="50339">
      <c r="B50339" s="31"/>
      <c r="G50339" s="272" t="s">
        <v>1099</v>
      </c>
    </row>
    <row r="50340">
      <c r="B50340" s="31"/>
      <c r="G50340" s="272" t="s">
        <v>1099</v>
      </c>
    </row>
    <row r="50341">
      <c r="B50341" s="31"/>
      <c r="G50341" s="272" t="s">
        <v>1099</v>
      </c>
    </row>
    <row r="50342">
      <c r="B50342" s="31"/>
      <c r="G50342" s="272" t="s">
        <v>1099</v>
      </c>
    </row>
    <row r="50343">
      <c r="B50343" s="31"/>
      <c r="G50343" s="272" t="s">
        <v>1099</v>
      </c>
    </row>
    <row r="50344">
      <c r="B50344" s="31"/>
      <c r="G50344" s="272" t="s">
        <v>1099</v>
      </c>
    </row>
    <row r="50345">
      <c r="B50345" s="31"/>
      <c r="G50345" s="272" t="s">
        <v>1099</v>
      </c>
    </row>
    <row r="50346">
      <c r="B50346" s="31"/>
      <c r="G50346" s="272" t="s">
        <v>1099</v>
      </c>
    </row>
    <row r="50347">
      <c r="B50347" s="31"/>
      <c r="G50347" s="272" t="s">
        <v>1099</v>
      </c>
    </row>
    <row r="50348">
      <c r="B50348" s="31"/>
      <c r="G50348" s="272" t="s">
        <v>1099</v>
      </c>
    </row>
    <row r="50349">
      <c r="B50349" s="31"/>
      <c r="G50349" s="272" t="s">
        <v>1099</v>
      </c>
    </row>
    <row r="50350">
      <c r="B50350" s="31"/>
      <c r="G50350" s="272" t="s">
        <v>1099</v>
      </c>
    </row>
    <row r="50351">
      <c r="B50351" s="31"/>
      <c r="G50351" s="272" t="s">
        <v>1099</v>
      </c>
    </row>
    <row r="50352">
      <c r="B50352" s="31"/>
      <c r="G50352" s="272" t="s">
        <v>1099</v>
      </c>
    </row>
    <row r="50353">
      <c r="B50353" s="31"/>
      <c r="G50353" s="272" t="s">
        <v>1099</v>
      </c>
    </row>
    <row r="50354">
      <c r="B50354" s="31"/>
      <c r="G50354" s="272" t="s">
        <v>1099</v>
      </c>
    </row>
    <row r="50355">
      <c r="B50355" s="31"/>
      <c r="G50355" s="272" t="s">
        <v>1099</v>
      </c>
    </row>
    <row r="50356">
      <c r="B50356" s="31"/>
      <c r="G50356" s="272" t="s">
        <v>1099</v>
      </c>
    </row>
    <row r="50357">
      <c r="B50357" s="31"/>
      <c r="G50357" s="272" t="s">
        <v>1099</v>
      </c>
    </row>
    <row r="50358">
      <c r="B50358" s="31"/>
      <c r="G50358" s="272" t="s">
        <v>1099</v>
      </c>
    </row>
    <row r="50359">
      <c r="B50359" s="31"/>
      <c r="G50359" s="272" t="s">
        <v>1099</v>
      </c>
    </row>
    <row r="50360">
      <c r="B50360" s="31"/>
      <c r="G50360" s="272" t="s">
        <v>1099</v>
      </c>
    </row>
    <row r="50361">
      <c r="B50361" s="31"/>
      <c r="G50361" s="272" t="s">
        <v>1099</v>
      </c>
    </row>
    <row r="50362">
      <c r="B50362" s="31"/>
      <c r="G50362" s="272" t="s">
        <v>1099</v>
      </c>
    </row>
    <row r="50363">
      <c r="B50363" s="31"/>
      <c r="G50363" s="272" t="s">
        <v>1099</v>
      </c>
    </row>
    <row r="50364">
      <c r="B50364" s="31"/>
      <c r="G50364" s="272" t="s">
        <v>1099</v>
      </c>
    </row>
    <row r="50365">
      <c r="B50365" s="31"/>
      <c r="G50365" s="272" t="s">
        <v>1099</v>
      </c>
    </row>
    <row r="50366">
      <c r="B50366" s="31"/>
      <c r="G50366" s="272" t="s">
        <v>1099</v>
      </c>
    </row>
    <row r="50367">
      <c r="B50367" s="31"/>
      <c r="G50367" s="272" t="s">
        <v>1099</v>
      </c>
    </row>
    <row r="50368">
      <c r="B50368" s="31"/>
      <c r="G50368" s="272" t="s">
        <v>1099</v>
      </c>
    </row>
    <row r="50369">
      <c r="B50369" s="31"/>
      <c r="G50369" s="272" t="s">
        <v>1099</v>
      </c>
    </row>
    <row r="50370">
      <c r="B50370" s="31"/>
      <c r="G50370" s="272" t="s">
        <v>1099</v>
      </c>
    </row>
    <row r="50371">
      <c r="B50371" s="31"/>
      <c r="G50371" s="272" t="s">
        <v>1099</v>
      </c>
    </row>
    <row r="50372">
      <c r="B50372" s="31"/>
      <c r="G50372" s="272" t="s">
        <v>1099</v>
      </c>
    </row>
    <row r="50373">
      <c r="B50373" s="31"/>
      <c r="G50373" s="272" t="s">
        <v>1099</v>
      </c>
    </row>
    <row r="50374">
      <c r="B50374" s="31"/>
      <c r="G50374" s="272" t="s">
        <v>1099</v>
      </c>
    </row>
    <row r="50375">
      <c r="B50375" s="31"/>
      <c r="G50375" s="272" t="s">
        <v>1099</v>
      </c>
    </row>
    <row r="50376">
      <c r="B50376" s="31"/>
      <c r="G50376" s="272" t="s">
        <v>1099</v>
      </c>
    </row>
    <row r="50377">
      <c r="B50377" s="31"/>
      <c r="G50377" s="272" t="s">
        <v>1099</v>
      </c>
    </row>
    <row r="50378">
      <c r="B50378" s="31"/>
      <c r="G50378" s="272" t="s">
        <v>1099</v>
      </c>
    </row>
    <row r="50379">
      <c r="B50379" s="31"/>
      <c r="G50379" s="272" t="s">
        <v>1099</v>
      </c>
    </row>
    <row r="50380">
      <c r="B50380" s="31"/>
      <c r="G50380" s="272" t="s">
        <v>1099</v>
      </c>
    </row>
    <row r="50381">
      <c r="B50381" s="31"/>
      <c r="G50381" s="272" t="s">
        <v>1099</v>
      </c>
    </row>
    <row r="50382">
      <c r="B50382" s="31"/>
      <c r="G50382" s="272" t="s">
        <v>1099</v>
      </c>
    </row>
    <row r="50383">
      <c r="B50383" s="31"/>
      <c r="G50383" s="272" t="s">
        <v>1099</v>
      </c>
    </row>
    <row r="50384">
      <c r="B50384" s="31"/>
      <c r="G50384" s="272" t="s">
        <v>1099</v>
      </c>
    </row>
    <row r="50385">
      <c r="B50385" s="31"/>
      <c r="G50385" s="272" t="s">
        <v>1099</v>
      </c>
    </row>
    <row r="50386">
      <c r="B50386" s="31"/>
      <c r="G50386" s="272" t="s">
        <v>1099</v>
      </c>
    </row>
    <row r="50387">
      <c r="B50387" s="31"/>
      <c r="G50387" s="272" t="s">
        <v>1099</v>
      </c>
    </row>
    <row r="50388">
      <c r="B50388" s="31"/>
      <c r="G50388" s="272" t="s">
        <v>1099</v>
      </c>
    </row>
    <row r="50389">
      <c r="B50389" s="31"/>
      <c r="G50389" s="272" t="s">
        <v>1099</v>
      </c>
    </row>
    <row r="50390">
      <c r="B50390" s="31"/>
      <c r="G50390" s="272" t="s">
        <v>1099</v>
      </c>
    </row>
    <row r="50391">
      <c r="B50391" s="31"/>
      <c r="G50391" s="272" t="s">
        <v>1099</v>
      </c>
    </row>
    <row r="50392">
      <c r="B50392" s="31"/>
      <c r="G50392" s="272" t="s">
        <v>1099</v>
      </c>
    </row>
    <row r="50393">
      <c r="B50393" s="31"/>
      <c r="G50393" s="272" t="s">
        <v>1099</v>
      </c>
    </row>
    <row r="50394">
      <c r="B50394" s="31"/>
      <c r="G50394" s="272" t="s">
        <v>1099</v>
      </c>
    </row>
    <row r="50395">
      <c r="B50395" s="31"/>
      <c r="G50395" s="272" t="s">
        <v>1099</v>
      </c>
    </row>
    <row r="50396">
      <c r="B50396" s="31"/>
      <c r="G50396" s="272" t="s">
        <v>1099</v>
      </c>
    </row>
    <row r="50397">
      <c r="B50397" s="31"/>
      <c r="G50397" s="272" t="s">
        <v>1099</v>
      </c>
    </row>
    <row r="50398">
      <c r="B50398" s="31"/>
      <c r="G50398" s="272" t="s">
        <v>1099</v>
      </c>
    </row>
    <row r="50399">
      <c r="B50399" s="31"/>
      <c r="G50399" s="272" t="s">
        <v>1099</v>
      </c>
    </row>
    <row r="50400">
      <c r="B50400" s="31"/>
      <c r="G50400" s="272" t="s">
        <v>1099</v>
      </c>
    </row>
    <row r="50401">
      <c r="B50401" s="31"/>
      <c r="G50401" s="272" t="s">
        <v>1099</v>
      </c>
    </row>
    <row r="50402">
      <c r="B50402" s="31"/>
      <c r="G50402" s="272" t="s">
        <v>1099</v>
      </c>
    </row>
    <row r="50403">
      <c r="B50403" s="31"/>
      <c r="G50403" s="272" t="s">
        <v>1099</v>
      </c>
    </row>
    <row r="50404">
      <c r="B50404" s="31"/>
      <c r="G50404" s="272" t="s">
        <v>1099</v>
      </c>
    </row>
    <row r="50405">
      <c r="B50405" s="31"/>
      <c r="G50405" s="272" t="s">
        <v>1099</v>
      </c>
    </row>
    <row r="50406">
      <c r="B50406" s="31"/>
      <c r="G50406" s="272" t="s">
        <v>1099</v>
      </c>
    </row>
    <row r="50407">
      <c r="B50407" s="31"/>
      <c r="G50407" s="272" t="s">
        <v>1099</v>
      </c>
    </row>
    <row r="50408">
      <c r="B50408" s="31"/>
      <c r="G50408" s="272" t="s">
        <v>1099</v>
      </c>
    </row>
    <row r="50409">
      <c r="B50409" s="31"/>
      <c r="G50409" s="272" t="s">
        <v>1099</v>
      </c>
    </row>
    <row r="50410">
      <c r="B50410" s="31"/>
      <c r="G50410" s="272" t="s">
        <v>1099</v>
      </c>
    </row>
    <row r="50411">
      <c r="B50411" s="31"/>
      <c r="G50411" s="272" t="s">
        <v>1099</v>
      </c>
    </row>
    <row r="50412">
      <c r="B50412" s="31"/>
      <c r="G50412" s="272" t="s">
        <v>1099</v>
      </c>
    </row>
    <row r="50413">
      <c r="B50413" s="31"/>
      <c r="G50413" s="272" t="s">
        <v>1099</v>
      </c>
    </row>
    <row r="50414">
      <c r="B50414" s="31"/>
      <c r="G50414" s="272" t="s">
        <v>1099</v>
      </c>
    </row>
    <row r="50415">
      <c r="B50415" s="31"/>
      <c r="G50415" s="272" t="s">
        <v>1099</v>
      </c>
    </row>
    <row r="50416">
      <c r="B50416" s="31"/>
      <c r="G50416" s="272" t="s">
        <v>1099</v>
      </c>
    </row>
    <row r="50417">
      <c r="B50417" s="31"/>
      <c r="G50417" s="272" t="s">
        <v>1099</v>
      </c>
    </row>
    <row r="50418">
      <c r="B50418" s="31"/>
      <c r="G50418" s="272" t="s">
        <v>1099</v>
      </c>
    </row>
    <row r="50419">
      <c r="B50419" s="31"/>
      <c r="G50419" s="272" t="s">
        <v>1099</v>
      </c>
    </row>
    <row r="50420">
      <c r="B50420" s="31"/>
      <c r="G50420" s="272" t="s">
        <v>1099</v>
      </c>
    </row>
    <row r="50421">
      <c r="B50421" s="31"/>
      <c r="G50421" s="272" t="s">
        <v>1099</v>
      </c>
    </row>
    <row r="50422">
      <c r="B50422" s="31"/>
      <c r="G50422" s="272" t="s">
        <v>1099</v>
      </c>
    </row>
    <row r="50423">
      <c r="B50423" s="31"/>
      <c r="G50423" s="272" t="s">
        <v>1099</v>
      </c>
    </row>
    <row r="50424">
      <c r="B50424" s="31"/>
      <c r="G50424" s="272" t="s">
        <v>1099</v>
      </c>
    </row>
    <row r="50425">
      <c r="B50425" s="31"/>
      <c r="G50425" s="272" t="s">
        <v>1099</v>
      </c>
    </row>
    <row r="50426">
      <c r="B50426" s="31"/>
      <c r="G50426" s="272" t="s">
        <v>1099</v>
      </c>
    </row>
    <row r="50427">
      <c r="B50427" s="31"/>
      <c r="G50427" s="272" t="s">
        <v>1099</v>
      </c>
    </row>
    <row r="50428">
      <c r="B50428" s="31"/>
      <c r="G50428" s="272" t="s">
        <v>1099</v>
      </c>
    </row>
    <row r="50429">
      <c r="B50429" s="31"/>
      <c r="G50429" s="272" t="s">
        <v>1099</v>
      </c>
    </row>
    <row r="50430">
      <c r="B50430" s="31"/>
      <c r="G50430" s="272" t="s">
        <v>1099</v>
      </c>
    </row>
    <row r="50431">
      <c r="B50431" s="31"/>
      <c r="G50431" s="272" t="s">
        <v>1099</v>
      </c>
    </row>
    <row r="50432">
      <c r="B50432" s="31"/>
      <c r="G50432" s="272" t="s">
        <v>1099</v>
      </c>
    </row>
    <row r="50433">
      <c r="B50433" s="31"/>
      <c r="G50433" s="272" t="s">
        <v>1099</v>
      </c>
    </row>
    <row r="50434">
      <c r="B50434" s="31"/>
      <c r="G50434" s="272" t="s">
        <v>1099</v>
      </c>
    </row>
    <row r="50435">
      <c r="B50435" s="31"/>
      <c r="G50435" s="272" t="s">
        <v>1099</v>
      </c>
    </row>
    <row r="50436">
      <c r="B50436" s="31"/>
      <c r="G50436" s="272" t="s">
        <v>1099</v>
      </c>
    </row>
    <row r="50437">
      <c r="B50437" s="31"/>
      <c r="G50437" s="272" t="s">
        <v>1099</v>
      </c>
    </row>
    <row r="50438">
      <c r="B50438" s="31"/>
      <c r="G50438" s="272" t="s">
        <v>1099</v>
      </c>
    </row>
    <row r="50439">
      <c r="B50439" s="31"/>
      <c r="G50439" s="272" t="s">
        <v>1099</v>
      </c>
    </row>
    <row r="50440">
      <c r="B50440" s="31"/>
      <c r="G50440" s="272" t="s">
        <v>1099</v>
      </c>
    </row>
    <row r="50441">
      <c r="B50441" s="31"/>
      <c r="G50441" s="272" t="s">
        <v>1099</v>
      </c>
    </row>
    <row r="50442">
      <c r="B50442" s="31"/>
      <c r="G50442" s="272" t="s">
        <v>1099</v>
      </c>
    </row>
    <row r="50443">
      <c r="B50443" s="31"/>
      <c r="G50443" s="272" t="s">
        <v>1099</v>
      </c>
    </row>
    <row r="50444">
      <c r="B50444" s="31"/>
      <c r="G50444" s="272" t="s">
        <v>1099</v>
      </c>
    </row>
    <row r="50445">
      <c r="B50445" s="31"/>
      <c r="G50445" s="272" t="s">
        <v>1099</v>
      </c>
    </row>
    <row r="50446">
      <c r="B50446" s="31"/>
      <c r="G50446" s="272" t="s">
        <v>1099</v>
      </c>
    </row>
    <row r="50447">
      <c r="B50447" s="31"/>
      <c r="G50447" s="272" t="s">
        <v>1099</v>
      </c>
    </row>
    <row r="50448">
      <c r="B50448" s="31"/>
      <c r="G50448" s="272" t="s">
        <v>1099</v>
      </c>
    </row>
    <row r="50449">
      <c r="B50449" s="31"/>
      <c r="G50449" s="272" t="s">
        <v>1099</v>
      </c>
    </row>
    <row r="50450">
      <c r="B50450" s="31"/>
      <c r="G50450" s="272" t="s">
        <v>1099</v>
      </c>
    </row>
    <row r="50451">
      <c r="B50451" s="31"/>
      <c r="G50451" s="272" t="s">
        <v>1099</v>
      </c>
    </row>
    <row r="50452">
      <c r="B50452" s="31"/>
      <c r="G50452" s="272" t="s">
        <v>1099</v>
      </c>
    </row>
    <row r="50453">
      <c r="B50453" s="31"/>
      <c r="G50453" s="272" t="s">
        <v>1099</v>
      </c>
    </row>
    <row r="50454">
      <c r="B50454" s="31"/>
      <c r="G50454" s="272" t="s">
        <v>1099</v>
      </c>
    </row>
    <row r="50455">
      <c r="B50455" s="31"/>
      <c r="G50455" s="272" t="s">
        <v>1099</v>
      </c>
    </row>
    <row r="50456">
      <c r="B50456" s="31"/>
      <c r="G50456" s="272" t="s">
        <v>1099</v>
      </c>
    </row>
    <row r="50457">
      <c r="B50457" s="31"/>
      <c r="G50457" s="272" t="s">
        <v>1099</v>
      </c>
    </row>
    <row r="50458">
      <c r="B50458" s="31"/>
      <c r="G50458" s="272" t="s">
        <v>1099</v>
      </c>
    </row>
    <row r="50459">
      <c r="B50459" s="31"/>
      <c r="G50459" s="272" t="s">
        <v>1099</v>
      </c>
    </row>
    <row r="50460">
      <c r="B50460" s="31"/>
      <c r="G50460" s="272" t="s">
        <v>1099</v>
      </c>
    </row>
    <row r="50461">
      <c r="B50461" s="31"/>
      <c r="G50461" s="272" t="s">
        <v>1099</v>
      </c>
    </row>
    <row r="50462">
      <c r="B50462" s="31"/>
      <c r="G50462" s="272" t="s">
        <v>1099</v>
      </c>
    </row>
    <row r="50463">
      <c r="B50463" s="31"/>
      <c r="G50463" s="272" t="s">
        <v>1099</v>
      </c>
    </row>
    <row r="50464">
      <c r="B50464" s="31"/>
      <c r="G50464" s="272" t="s">
        <v>1099</v>
      </c>
    </row>
    <row r="50465">
      <c r="B50465" s="31"/>
      <c r="G50465" s="272" t="s">
        <v>1099</v>
      </c>
    </row>
    <row r="50466">
      <c r="B50466" s="31"/>
      <c r="G50466" s="272" t="s">
        <v>1099</v>
      </c>
    </row>
    <row r="50467">
      <c r="B50467" s="31"/>
      <c r="G50467" s="272" t="s">
        <v>1099</v>
      </c>
    </row>
    <row r="50468">
      <c r="B50468" s="31"/>
      <c r="G50468" s="272" t="s">
        <v>1099</v>
      </c>
    </row>
    <row r="50469">
      <c r="B50469" s="31"/>
      <c r="G50469" s="272" t="s">
        <v>1099</v>
      </c>
    </row>
    <row r="50470">
      <c r="B50470" s="31"/>
      <c r="G50470" s="272" t="s">
        <v>1099</v>
      </c>
    </row>
    <row r="50471">
      <c r="B50471" s="31"/>
      <c r="G50471" s="272" t="s">
        <v>1099</v>
      </c>
    </row>
    <row r="50472">
      <c r="B50472" s="31"/>
      <c r="G50472" s="272" t="s">
        <v>1099</v>
      </c>
    </row>
    <row r="50473">
      <c r="B50473" s="31"/>
      <c r="G50473" s="272" t="s">
        <v>1099</v>
      </c>
    </row>
    <row r="50474">
      <c r="B50474" s="31"/>
      <c r="G50474" s="272" t="s">
        <v>1099</v>
      </c>
    </row>
    <row r="50475">
      <c r="B50475" s="31"/>
      <c r="G50475" s="272" t="s">
        <v>1099</v>
      </c>
    </row>
    <row r="50476">
      <c r="B50476" s="31"/>
      <c r="G50476" s="272" t="s">
        <v>1099</v>
      </c>
    </row>
    <row r="50477">
      <c r="B50477" s="31"/>
      <c r="G50477" s="272" t="s">
        <v>1099</v>
      </c>
    </row>
    <row r="50478">
      <c r="B50478" s="31"/>
      <c r="G50478" s="272" t="s">
        <v>1099</v>
      </c>
    </row>
    <row r="50479">
      <c r="B50479" s="31"/>
      <c r="G50479" s="272" t="s">
        <v>1099</v>
      </c>
    </row>
    <row r="50480">
      <c r="B50480" s="31"/>
      <c r="G50480" s="272" t="s">
        <v>1099</v>
      </c>
    </row>
    <row r="50481">
      <c r="B50481" s="31"/>
      <c r="G50481" s="272" t="s">
        <v>1099</v>
      </c>
    </row>
    <row r="50482">
      <c r="B50482" s="31"/>
      <c r="G50482" s="272" t="s">
        <v>1099</v>
      </c>
    </row>
    <row r="50483">
      <c r="B50483" s="31"/>
      <c r="G50483" s="272" t="s">
        <v>1099</v>
      </c>
    </row>
    <row r="50484">
      <c r="B50484" s="31"/>
      <c r="G50484" s="272" t="s">
        <v>1099</v>
      </c>
    </row>
    <row r="50485">
      <c r="B50485" s="31"/>
      <c r="G50485" s="272" t="s">
        <v>1099</v>
      </c>
    </row>
    <row r="50486">
      <c r="B50486" s="31"/>
      <c r="G50486" s="272" t="s">
        <v>1099</v>
      </c>
    </row>
    <row r="50487">
      <c r="B50487" s="31"/>
      <c r="G50487" s="272" t="s">
        <v>1099</v>
      </c>
    </row>
    <row r="50488">
      <c r="B50488" s="31"/>
      <c r="G50488" s="272" t="s">
        <v>1099</v>
      </c>
    </row>
    <row r="50489">
      <c r="B50489" s="31"/>
      <c r="G50489" s="272" t="s">
        <v>1099</v>
      </c>
    </row>
    <row r="50490">
      <c r="B50490" s="31"/>
      <c r="G50490" s="272" t="s">
        <v>1099</v>
      </c>
    </row>
    <row r="50491">
      <c r="B50491" s="31"/>
      <c r="G50491" s="272" t="s">
        <v>1099</v>
      </c>
    </row>
    <row r="50492">
      <c r="B50492" s="31"/>
      <c r="G50492" s="272" t="s">
        <v>1099</v>
      </c>
    </row>
    <row r="50493">
      <c r="B50493" s="31"/>
      <c r="G50493" s="272" t="s">
        <v>1099</v>
      </c>
    </row>
    <row r="50494">
      <c r="B50494" s="31"/>
      <c r="G50494" s="272" t="s">
        <v>1099</v>
      </c>
    </row>
    <row r="50495">
      <c r="B50495" s="31"/>
      <c r="G50495" s="272" t="s">
        <v>1099</v>
      </c>
    </row>
    <row r="50496">
      <c r="B50496" s="31"/>
      <c r="G50496" s="272" t="s">
        <v>1099</v>
      </c>
    </row>
    <row r="50497">
      <c r="B50497" s="31"/>
      <c r="G50497" s="272" t="s">
        <v>1099</v>
      </c>
    </row>
    <row r="50498">
      <c r="B50498" s="31"/>
      <c r="G50498" s="272" t="s">
        <v>1099</v>
      </c>
    </row>
  </sheetData>
  <dataValidations>
    <dataValidation type="list" allowBlank="1" showErrorMessage="1" sqref="B1:B50498">
      <formula1>Accounts!$A$2:$A50498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29.38"/>
    <col customWidth="1" min="3" max="3" width="24.13"/>
    <col customWidth="1" min="4" max="4" width="31.75"/>
    <col customWidth="1" min="5" max="5" width="27.88"/>
    <col customWidth="1" min="6" max="6" width="22.13"/>
    <col customWidth="1" min="7" max="7" width="9.25"/>
    <col customWidth="1" min="8" max="8" width="26.0"/>
    <col customWidth="1" min="13" max="13" width="22.75"/>
  </cols>
  <sheetData>
    <row r="1">
      <c r="A1" s="253"/>
      <c r="B1" s="253"/>
      <c r="C1" s="253"/>
      <c r="D1" s="253"/>
      <c r="E1" s="253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</row>
    <row r="2">
      <c r="A2" s="253"/>
      <c r="B2" s="253"/>
      <c r="C2" s="253"/>
      <c r="D2" s="253"/>
      <c r="E2" s="253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</row>
    <row r="3">
      <c r="A3" s="257" t="s">
        <v>877</v>
      </c>
      <c r="B3" s="258">
        <v>46174.0</v>
      </c>
      <c r="C3" s="253"/>
      <c r="D3" s="259" t="s">
        <v>880</v>
      </c>
      <c r="E3" s="260">
        <v>46174.0</v>
      </c>
      <c r="F3" s="255"/>
      <c r="G3" s="261"/>
      <c r="H3" s="266" t="str">
        <f>IFERROR(__xludf.DUMMYFUNCTION("{
QUERY(
{'UK London sales'!A:H},
""select Col6, count(Col6), sum(Col8)
 where Col1 &gt;= date '""&amp;TEXT(EOMONTH(TODAY(),-1)+1,""yyyy-mm-dd"")&amp;""'
 and Col1 &lt; date '""&amp;TEXT(EOMONTH(TODAY(),0)+1,""yyyy-mm-dd"")&amp;""'
 and Col6 is not null
 group by Col6
 order b"&amp;"y count(Col6) desc
 label Col6 'Account Name', count(Col6) 'Sales', sum(Col8) 'Revenue'"",
1
);
{
""Total"",
COUNTIFS(
'UK London sales'!A:A,""&gt;=""&amp;EOMONTH(TODAY(),-1)+1,
'UK London sales'!A:A,""&lt;""&amp;EOMONTH(TODAY(),0)+1,
'UK London sales'!F:F,""&lt;&gt;""
),
SU"&amp;"MIFS(
'UK London sales'!H:H,
'UK London sales'!A:A,""&gt;=""&amp;EOMONTH(TODAY(),-1)+1,
'UK London sales'!A:A,""&lt;""&amp;EOMONTH(TODAY(),0)+1,
'UK London sales'!F:F,""&lt;&gt;""
)
}
}"),"Account Name")</f>
        <v>Account Name</v>
      </c>
      <c r="I3" s="266" t="str">
        <f>IFERROR(__xludf.DUMMYFUNCTION("""COMPUTED_VALUE"""),"Sales")</f>
        <v>Sales</v>
      </c>
      <c r="J3" s="266" t="str">
        <f>IFERROR(__xludf.DUMMYFUNCTION("""COMPUTED_VALUE"""),"Revenue")</f>
        <v>Revenue</v>
      </c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</row>
    <row r="4">
      <c r="A4" s="267" t="s">
        <v>884</v>
      </c>
      <c r="B4" s="269">
        <f>COUNTIFS('UK London sales'!A:A,"&gt;="&amp;DATE(2026,8,1),'UK London sales'!A:A,"&lt;"&amp;DATE(2026,9,1))</f>
        <v>117</v>
      </c>
      <c r="C4" s="253"/>
      <c r="D4" s="271" t="s">
        <v>884</v>
      </c>
      <c r="E4" s="273">
        <f>COUNTIFS('UK London sales'!A:A,"&gt;="&amp;EOMONTH(TODAY(),-1)+1,'UK London sales'!A:A,"&lt;"&amp;EOMONTH(TODAY(),0)+1)</f>
        <v>104</v>
      </c>
      <c r="F4" s="255"/>
      <c r="G4" s="274"/>
      <c r="H4" s="275" t="str">
        <f>IFERROR(__xludf.DUMMYFUNCTION("""COMPUTED_VALUE"""),"Umar2")</f>
        <v>Umar2</v>
      </c>
      <c r="I4" s="275">
        <f>IFERROR(__xludf.DUMMYFUNCTION("""COMPUTED_VALUE"""),14.0)</f>
        <v>14</v>
      </c>
      <c r="J4" s="275">
        <f>IFERROR(__xludf.DUMMYFUNCTION("""COMPUTED_VALUE"""),283.6)</f>
        <v>283.6</v>
      </c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</row>
    <row r="5">
      <c r="A5" s="267" t="s">
        <v>890</v>
      </c>
      <c r="B5" s="269">
        <f>SUMIFS('UK London sales'!H:H,'UK London sales'!A:A,"&gt;="&amp;DATE(2026,8,1),'UK London sales'!A:A,"&lt;"&amp;DATE(2026,9,1))</f>
        <v>2168.71</v>
      </c>
      <c r="C5" s="253"/>
      <c r="D5" s="271" t="s">
        <v>890</v>
      </c>
      <c r="E5" s="273">
        <f>SUMIFS('UK London sales'!H:H,'UK London sales'!A:A,"&gt;="&amp;EOMONTH(TODAY(),-1)+1,'UK London sales'!A:A,"&lt;"&amp;EOMONTH(TODAY(),0)+1)</f>
        <v>2093.83</v>
      </c>
      <c r="F5" s="255"/>
      <c r="G5" s="274"/>
      <c r="H5" s="275" t="str">
        <f>IFERROR(__xludf.DUMMYFUNCTION("""COMPUTED_VALUE"""),"amm2")</f>
        <v>amm2</v>
      </c>
      <c r="I5" s="275">
        <f>IFERROR(__xludf.DUMMYFUNCTION("""COMPUTED_VALUE"""),12.0)</f>
        <v>12</v>
      </c>
      <c r="J5" s="275">
        <f>IFERROR(__xludf.DUMMYFUNCTION("""COMPUTED_VALUE"""),255.8)</f>
        <v>255.8</v>
      </c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</row>
    <row r="6">
      <c r="A6" s="267" t="s">
        <v>895</v>
      </c>
      <c r="B6" s="269">
        <f>B5/B4</f>
        <v>18.53598291</v>
      </c>
      <c r="C6" s="253"/>
      <c r="D6" s="271" t="s">
        <v>895</v>
      </c>
      <c r="E6" s="273">
        <f>E5/E4</f>
        <v>20.13298077</v>
      </c>
      <c r="F6" s="255"/>
      <c r="G6" s="274"/>
      <c r="H6" s="275" t="str">
        <f>IFERROR(__xludf.DUMMYFUNCTION("""COMPUTED_VALUE"""),"Umaima")</f>
        <v>Umaima</v>
      </c>
      <c r="I6" s="275">
        <f>IFERROR(__xludf.DUMMYFUNCTION("""COMPUTED_VALUE"""),10.0)</f>
        <v>10</v>
      </c>
      <c r="J6" s="275">
        <f>IFERROR(__xludf.DUMMYFUNCTION("""COMPUTED_VALUE"""),197.8)</f>
        <v>197.8</v>
      </c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</row>
    <row r="7">
      <c r="A7" s="253"/>
      <c r="B7" s="253"/>
      <c r="C7" s="253"/>
      <c r="D7" s="253"/>
      <c r="E7" s="253"/>
      <c r="F7" s="255"/>
      <c r="G7" s="274"/>
      <c r="H7" s="275" t="str">
        <f>IFERROR(__xludf.DUMMYFUNCTION("""COMPUTED_VALUE"""),"zoee931")</f>
        <v>zoee931</v>
      </c>
      <c r="I7" s="275">
        <f>IFERROR(__xludf.DUMMYFUNCTION("""COMPUTED_VALUE"""),7.0)</f>
        <v>7</v>
      </c>
      <c r="J7" s="275">
        <f>IFERROR(__xludf.DUMMYFUNCTION("""COMPUTED_VALUE"""),143.2)</f>
        <v>143.2</v>
      </c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</row>
    <row r="8">
      <c r="A8" s="253"/>
      <c r="B8" s="253"/>
      <c r="C8" s="253"/>
      <c r="D8" s="253"/>
      <c r="E8" s="253"/>
      <c r="F8" s="255"/>
      <c r="G8" s="274"/>
      <c r="H8" s="275" t="str">
        <f>IFERROR(__xludf.DUMMYFUNCTION("""COMPUTED_VALUE"""),"Gwen")</f>
        <v>Gwen</v>
      </c>
      <c r="I8" s="275">
        <f>IFERROR(__xludf.DUMMYFUNCTION("""COMPUTED_VALUE"""),5.0)</f>
        <v>5</v>
      </c>
      <c r="J8" s="275">
        <f>IFERROR(__xludf.DUMMYFUNCTION("""COMPUTED_VALUE"""),90.5)</f>
        <v>90.5</v>
      </c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</row>
    <row r="9">
      <c r="A9" s="277" t="str">
        <f>IFERROR(__xludf.DUMMYFUNCTION("{
QUERY(
{'UK London sales'!A:E},
""select Col5, count(Col5)
 where Col1 &gt;= date '""&amp;TEXT(EOMONTH(TODAY(),-2)+1,""yyyy-mm-dd"")&amp;""'
 and Col1 &lt; date '""&amp;TEXT(EOMONTH(TODAY(),-1)+1,""yyyy-mm-dd"")&amp;""'
 group by Col5
 label Col5 'Salesperson', count(Col5) '"&amp;"Orders'"",
1
);
{""Total"",
COUNTIFS(
'UK London sales'!A:A,""&gt;=""&amp;EOMONTH(TODAY(),-2)+1,
'UK London sales'!A:A,""&lt;""&amp;EOMONTH(TODAY(),-1)+1
)}
}"),"Salesperson")</f>
        <v>Salesperson</v>
      </c>
      <c r="B9" s="277" t="str">
        <f>IFERROR(__xludf.DUMMYFUNCTION("""COMPUTED_VALUE"""),"Orders")</f>
        <v>Orders</v>
      </c>
      <c r="C9" s="253"/>
      <c r="D9" s="279" t="str">
        <f>IFERROR(__xludf.DUMMYFUNCTION("{
  QUERY(
    {
      'UK London sales'!A:E,
      ARRAYFORMULA(
        IF(
          'UK London sales'!E:E="""",
          ,
          COUNTIFS(
            'Accounts Data'!C:C,'UK London sales'!E:E,
            'Accounts Data'!B:B,""Active""
         "&amp;" )
        )
      )
    },
    ""select Col5, count(Col5), max(Col6)
     where Col1 &gt;= date '""&amp;TEXT(EOMONTH(TODAY(),-1)+1,""yyyy-mm-dd"")&amp;""'
     and Col1 &lt; date '""&amp;TEXT(EOMONTH(TODAY(),0)+1,""yyyy-mm-dd"")&amp;""'
     and Col5 is not null
     group by"&amp;" Col5
     order by count(Col5) desc
     label Col5 'Salesperson', count(Col5) 'Orders', max(Col6) 'Active Accounts'"",
    1
  );
  {
    ""Total"",
    COUNTIFS(
      'UK London sales'!A:A,""&gt;=""&amp;EOMONTH(TODAY(),-1)+1,
      'UK London sales'!A:A,""&lt;"&amp;"""&amp;EOMONTH(TODAY(),0)+1,
      'UK London sales'!E:E,""&lt;&gt;""
    ),
    COUNTIFS(
      'Accounts Data'!B:B,""Active"",
      'Accounts Data'!C:C,""&lt;&gt;""
    )
  }
}"),"Salesperson")</f>
        <v>Salesperson</v>
      </c>
      <c r="E9" s="280" t="str">
        <f>IFERROR(__xludf.DUMMYFUNCTION("""COMPUTED_VALUE"""),"Orders")</f>
        <v>Orders</v>
      </c>
      <c r="F9" s="280" t="str">
        <f>IFERROR(__xludf.DUMMYFUNCTION("""COMPUTED_VALUE"""),"Active Accounts")</f>
        <v>Active Accounts</v>
      </c>
      <c r="G9" s="274"/>
      <c r="H9" s="275" t="str">
        <f>IFERROR(__xludf.DUMMYFUNCTION("""COMPUTED_VALUE"""),"Jane")</f>
        <v>Jane</v>
      </c>
      <c r="I9" s="275">
        <f>IFERROR(__xludf.DUMMYFUNCTION("""COMPUTED_VALUE"""),5.0)</f>
        <v>5</v>
      </c>
      <c r="J9" s="275">
        <f>IFERROR(__xludf.DUMMYFUNCTION("""COMPUTED_VALUE"""),98.3)</f>
        <v>98.3</v>
      </c>
      <c r="K9" s="255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</row>
    <row r="10">
      <c r="A10" s="269" t="str">
        <f>IFERROR(__xludf.DUMMYFUNCTION("""COMPUTED_VALUE"""),"Aali")</f>
        <v>Aali</v>
      </c>
      <c r="B10" s="269">
        <f>IFERROR(__xludf.DUMMYFUNCTION("""COMPUTED_VALUE"""),1.0)</f>
        <v>1</v>
      </c>
      <c r="C10" s="253"/>
      <c r="D10" s="271" t="str">
        <f>IFERROR(__xludf.DUMMYFUNCTION("""COMPUTED_VALUE"""),"Umar")</f>
        <v>Umar</v>
      </c>
      <c r="E10" s="273">
        <f>IFERROR(__xludf.DUMMYFUNCTION("""COMPUTED_VALUE"""),35.0)</f>
        <v>35</v>
      </c>
      <c r="F10" s="273">
        <f>IFERROR(__xludf.DUMMYFUNCTION("""COMPUTED_VALUE"""),8.0)</f>
        <v>8</v>
      </c>
      <c r="G10" s="274"/>
      <c r="H10" s="275" t="str">
        <f>IFERROR(__xludf.DUMMYFUNCTION("""COMPUTED_VALUE"""),"Sama")</f>
        <v>Sama</v>
      </c>
      <c r="I10" s="275">
        <f>IFERROR(__xludf.DUMMYFUNCTION("""COMPUTED_VALUE"""),5.0)</f>
        <v>5</v>
      </c>
      <c r="J10" s="275">
        <f>IFERROR(__xludf.DUMMYFUNCTION("""COMPUTED_VALUE"""),100.95)</f>
        <v>100.95</v>
      </c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</row>
    <row r="11">
      <c r="A11" s="269" t="str">
        <f>IFERROR(__xludf.DUMMYFUNCTION("""COMPUTED_VALUE"""),"Abdullah Malik")</f>
        <v>Abdullah Malik</v>
      </c>
      <c r="B11" s="269">
        <f>IFERROR(__xludf.DUMMYFUNCTION("""COMPUTED_VALUE"""),6.0)</f>
        <v>6</v>
      </c>
      <c r="C11" s="253"/>
      <c r="D11" s="273" t="str">
        <f>IFERROR(__xludf.DUMMYFUNCTION("""COMPUTED_VALUE"""),"Faizan")</f>
        <v>Faizan</v>
      </c>
      <c r="E11" s="273">
        <f>IFERROR(__xludf.DUMMYFUNCTION("""COMPUTED_VALUE"""),30.0)</f>
        <v>30</v>
      </c>
      <c r="F11" s="273">
        <f>IFERROR(__xludf.DUMMYFUNCTION("""COMPUTED_VALUE"""),5.0)</f>
        <v>5</v>
      </c>
      <c r="G11" s="274"/>
      <c r="H11" s="275" t="str">
        <f>IFERROR(__xludf.DUMMYFUNCTION("""COMPUTED_VALUE"""),"Sanu")</f>
        <v>Sanu</v>
      </c>
      <c r="I11" s="275">
        <f>IFERROR(__xludf.DUMMYFUNCTION("""COMPUTED_VALUE"""),5.0)</f>
        <v>5</v>
      </c>
      <c r="J11" s="275">
        <f>IFERROR(__xludf.DUMMYFUNCTION("""COMPUTED_VALUE"""),109.38999999999999)</f>
        <v>109.39</v>
      </c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</row>
    <row r="12">
      <c r="A12" s="269" t="str">
        <f>IFERROR(__xludf.DUMMYFUNCTION("""COMPUTED_VALUE"""),"Ammar")</f>
        <v>Ammar</v>
      </c>
      <c r="B12" s="269">
        <f>IFERROR(__xludf.DUMMYFUNCTION("""COMPUTED_VALUE"""),43.0)</f>
        <v>43</v>
      </c>
      <c r="C12" s="253"/>
      <c r="D12" s="273" t="str">
        <f>IFERROR(__xludf.DUMMYFUNCTION("""COMPUTED_VALUE"""),"Ammar")</f>
        <v>Ammar</v>
      </c>
      <c r="E12" s="273">
        <f>IFERROR(__xludf.DUMMYFUNCTION("""COMPUTED_VALUE"""),20.0)</f>
        <v>20</v>
      </c>
      <c r="F12" s="273">
        <f>IFERROR(__xludf.DUMMYFUNCTION("""COMPUTED_VALUE"""),3.0)</f>
        <v>3</v>
      </c>
      <c r="G12" s="274"/>
      <c r="H12" s="275" t="str">
        <f>IFERROR(__xludf.DUMMYFUNCTION("""COMPUTED_VALUE"""),"Mose")</f>
        <v>Mose</v>
      </c>
      <c r="I12" s="275">
        <f>IFERROR(__xludf.DUMMYFUNCTION("""COMPUTED_VALUE"""),4.0)</f>
        <v>4</v>
      </c>
      <c r="J12" s="275">
        <f>IFERROR(__xludf.DUMMYFUNCTION("""COMPUTED_VALUE"""),81.5)</f>
        <v>81.5</v>
      </c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</row>
    <row r="13">
      <c r="A13" s="269" t="str">
        <f>IFERROR(__xludf.DUMMYFUNCTION("""COMPUTED_VALUE"""),"Faizan")</f>
        <v>Faizan</v>
      </c>
      <c r="B13" s="269">
        <f>IFERROR(__xludf.DUMMYFUNCTION("""COMPUTED_VALUE"""),27.0)</f>
        <v>27</v>
      </c>
      <c r="C13" s="253"/>
      <c r="D13" s="273" t="str">
        <f>IFERROR(__xludf.DUMMYFUNCTION("""COMPUTED_VALUE"""),"Aali")</f>
        <v>Aali</v>
      </c>
      <c r="E13" s="273">
        <f>IFERROR(__xludf.DUMMYFUNCTION("""COMPUTED_VALUE"""),12.0)</f>
        <v>12</v>
      </c>
      <c r="F13" s="273">
        <f>IFERROR(__xludf.DUMMYFUNCTION("""COMPUTED_VALUE"""),1.0)</f>
        <v>1</v>
      </c>
      <c r="G13" s="274"/>
      <c r="H13" s="275" t="str">
        <f>IFERROR(__xludf.DUMMYFUNCTION("""COMPUTED_VALUE"""),"Olivia")</f>
        <v>Olivia</v>
      </c>
      <c r="I13" s="275">
        <f>IFERROR(__xludf.DUMMYFUNCTION("""COMPUTED_VALUE"""),4.0)</f>
        <v>4</v>
      </c>
      <c r="J13" s="275">
        <f>IFERROR(__xludf.DUMMYFUNCTION("""COMPUTED_VALUE"""),83.49)</f>
        <v>83.49</v>
      </c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</row>
    <row r="14">
      <c r="A14" s="269" t="str">
        <f>IFERROR(__xludf.DUMMYFUNCTION("""COMPUTED_VALUE"""),"Umar")</f>
        <v>Umar</v>
      </c>
      <c r="B14" s="269">
        <f>IFERROR(__xludf.DUMMYFUNCTION("""COMPUTED_VALUE"""),40.0)</f>
        <v>40</v>
      </c>
      <c r="C14" s="253"/>
      <c r="D14" s="273" t="str">
        <f>IFERROR(__xludf.DUMMYFUNCTION("""COMPUTED_VALUE"""),"Abdullah Malik")</f>
        <v>Abdullah Malik</v>
      </c>
      <c r="E14" s="273">
        <f>IFERROR(__xludf.DUMMYFUNCTION("""COMPUTED_VALUE"""),7.0)</f>
        <v>7</v>
      </c>
      <c r="F14" s="273">
        <f>IFERROR(__xludf.DUMMYFUNCTION("""COMPUTED_VALUE"""),2.0)</f>
        <v>2</v>
      </c>
      <c r="G14" s="274"/>
      <c r="H14" s="275" t="str">
        <f>IFERROR(__xludf.DUMMYFUNCTION("""COMPUTED_VALUE"""),"AmmarRana")</f>
        <v>AmmarRana</v>
      </c>
      <c r="I14" s="275">
        <f>IFERROR(__xludf.DUMMYFUNCTION("""COMPUTED_VALUE"""),3.0)</f>
        <v>3</v>
      </c>
      <c r="J14" s="275">
        <f>IFERROR(__xludf.DUMMYFUNCTION("""COMPUTED_VALUE"""),62.2)</f>
        <v>62.2</v>
      </c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</row>
    <row r="15">
      <c r="A15" s="269" t="str">
        <f>IFERROR(__xludf.DUMMYFUNCTION("""COMPUTED_VALUE"""),"Total")</f>
        <v>Total</v>
      </c>
      <c r="B15" s="269">
        <f>IFERROR(__xludf.DUMMYFUNCTION("""COMPUTED_VALUE"""),117.0)</f>
        <v>117</v>
      </c>
      <c r="C15" s="253"/>
      <c r="D15" s="273" t="str">
        <f>IFERROR(__xludf.DUMMYFUNCTION("""COMPUTED_VALUE"""),"Total")</f>
        <v>Total</v>
      </c>
      <c r="E15" s="271">
        <f>IFERROR(__xludf.DUMMYFUNCTION("""COMPUTED_VALUE"""),104.0)</f>
        <v>104</v>
      </c>
      <c r="F15" s="273">
        <f>IFERROR(__xludf.DUMMYFUNCTION("""COMPUTED_VALUE"""),20.0)</f>
        <v>20</v>
      </c>
      <c r="G15" s="274"/>
      <c r="H15" s="275" t="str">
        <f>IFERROR(__xludf.DUMMYFUNCTION("""COMPUTED_VALUE"""),"Sammy")</f>
        <v>Sammy</v>
      </c>
      <c r="I15" s="275">
        <f>IFERROR(__xludf.DUMMYFUNCTION("""COMPUTED_VALUE"""),3.0)</f>
        <v>3</v>
      </c>
      <c r="J15" s="275">
        <f>IFERROR(__xludf.DUMMYFUNCTION("""COMPUTED_VALUE"""),57.4)</f>
        <v>57.4</v>
      </c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</row>
    <row r="16">
      <c r="A16" s="282"/>
      <c r="B16" s="282"/>
      <c r="C16" s="253"/>
      <c r="D16" s="283"/>
      <c r="E16" s="283"/>
      <c r="F16" s="283"/>
      <c r="G16" s="274"/>
      <c r="H16" s="275" t="str">
        <f>IFERROR(__xludf.DUMMYFUNCTION("""COMPUTED_VALUE"""),"Zainab")</f>
        <v>Zainab</v>
      </c>
      <c r="I16" s="275">
        <f>IFERROR(__xludf.DUMMYFUNCTION("""COMPUTED_VALUE"""),3.0)</f>
        <v>3</v>
      </c>
      <c r="J16" s="275">
        <f>IFERROR(__xludf.DUMMYFUNCTION("""COMPUTED_VALUE"""),61.0)</f>
        <v>61</v>
      </c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</row>
    <row r="17">
      <c r="A17" s="284"/>
      <c r="B17" s="284"/>
      <c r="C17" s="253"/>
      <c r="D17" s="285"/>
      <c r="E17" s="285"/>
      <c r="F17" s="255"/>
      <c r="G17" s="274"/>
      <c r="H17" s="275" t="str">
        <f>IFERROR(__xludf.DUMMYFUNCTION("""COMPUTED_VALUE"""),"SanaImran")</f>
        <v>SanaImran</v>
      </c>
      <c r="I17" s="275">
        <f>IFERROR(__xludf.DUMMYFUNCTION("""COMPUTED_VALUE"""),2.0)</f>
        <v>2</v>
      </c>
      <c r="J17" s="275">
        <f>IFERROR(__xludf.DUMMYFUNCTION("""COMPUTED_VALUE"""),38.0)</f>
        <v>38</v>
      </c>
      <c r="K17" s="255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</row>
    <row r="18">
      <c r="A18" s="253"/>
      <c r="B18" s="253"/>
      <c r="C18" s="253"/>
      <c r="D18" s="253"/>
      <c r="E18" s="253"/>
      <c r="F18" s="255"/>
      <c r="G18" s="286"/>
      <c r="H18" s="275" t="str">
        <f>IFERROR(__xludf.DUMMYFUNCTION("""COMPUTED_VALUE"""),"winona")</f>
        <v>winona</v>
      </c>
      <c r="I18" s="275">
        <f>IFERROR(__xludf.DUMMYFUNCTION("""COMPUTED_VALUE"""),2.0)</f>
        <v>2</v>
      </c>
      <c r="J18" s="275">
        <f>IFERROR(__xludf.DUMMYFUNCTION("""COMPUTED_VALUE"""),38.0)</f>
        <v>38</v>
      </c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</row>
    <row r="19">
      <c r="A19" s="253"/>
      <c r="B19" s="253"/>
      <c r="C19" s="253"/>
      <c r="D19" s="253"/>
      <c r="E19" s="253"/>
      <c r="F19" s="255"/>
      <c r="G19" s="255"/>
      <c r="H19" s="275" t="str">
        <f>IFERROR(__xludf.DUMMYFUNCTION("""COMPUTED_VALUE"""),"Lucy")</f>
        <v>Lucy</v>
      </c>
      <c r="I19" s="275">
        <f>IFERROR(__xludf.DUMMYFUNCTION("""COMPUTED_VALUE"""),1.0)</f>
        <v>1</v>
      </c>
      <c r="J19" s="275">
        <f>IFERROR(__xludf.DUMMYFUNCTION("""COMPUTED_VALUE"""),18.0)</f>
        <v>18</v>
      </c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</row>
    <row r="20">
      <c r="A20" s="277" t="str">
        <f>IFERROR(__xludf.DUMMYFUNCTION("{
QUERY(
{'UK London sales'!A:B},
""select Col2, count(Col2)
 where Col1 &gt;= date '""&amp;TEXT(EOMONTH(TODAY(),-2)+1,""yyyy-mm-dd"")&amp;""'
 and Col1 &lt; date '""&amp;TEXT(EOMONTH(TODAY(),-1)+1,""yyyy-mm-dd"")&amp;""'
 group by Col2
 order by count(Col2) desc
 label Col2 '"&amp;"Jean', count(Col2) 'Orders'"",
1
);
{
""Total"",
COUNTIFS(
'UK London sales'!A:A,""&gt;=""&amp;EOMONTH(TODAY(),-2)+1,
'UK London sales'!A:A,""&lt;""&amp;EOMONTH(TODAY(),-1)+1
)
}
}"),"Jean")</f>
        <v>Jean</v>
      </c>
      <c r="B20" s="277" t="str">
        <f>IFERROR(__xludf.DUMMYFUNCTION("""COMPUTED_VALUE"""),"Orders")</f>
        <v>Orders</v>
      </c>
      <c r="C20" s="253"/>
      <c r="D20" s="279" t="str">
        <f>IFERROR(__xludf.DUMMYFUNCTION("{
QUERY(
{'UK London sales'!A:B},
""select Col2, count(Col2)
 where Col1 &gt;= date '""&amp;TEXT(EOMONTH(TODAY(),-1)+1,""yyyy-mm-dd"")&amp;""'
 and Col1 &lt; date '""&amp;TEXT(EOMONTH(TODAY(),0)+1,""yyyy-mm-dd"")&amp;""'
 group by Col2
 order by count(Col2) desc
 label Col2 'J"&amp;"ean', count(Col2) 'Orders'"",
1
);
{
""Total"",
COUNTIFS(
'UK London sales'!A:A,""&gt;=""&amp;EOMONTH(TODAY(),-1)+1,
'UK London sales'!A:A,""&lt;""&amp;EOMONTH(TODAY(),0)+1
)
}
}"),"Jean")</f>
        <v>Jean</v>
      </c>
      <c r="E20" s="279" t="str">
        <f>IFERROR(__xludf.DUMMYFUNCTION("""COMPUTED_VALUE"""),"Orders")</f>
        <v>Orders</v>
      </c>
      <c r="F20" s="255"/>
      <c r="G20" s="255"/>
      <c r="H20" s="287" t="str">
        <f>IFERROR(__xludf.DUMMYFUNCTION("""COMPUTED_VALUE"""),"Rosalind")</f>
        <v>Rosalind</v>
      </c>
      <c r="I20" s="287">
        <f>IFERROR(__xludf.DUMMYFUNCTION("""COMPUTED_VALUE"""),1.0)</f>
        <v>1</v>
      </c>
      <c r="J20" s="287">
        <f>IFERROR(__xludf.DUMMYFUNCTION("""COMPUTED_VALUE"""),19.6)</f>
        <v>19.6</v>
      </c>
      <c r="K20" s="255"/>
      <c r="L20" s="255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  <c r="AA20" s="255"/>
    </row>
    <row r="21">
      <c r="A21" s="269" t="str">
        <f>IFERROR(__xludf.DUMMYFUNCTION("""COMPUTED_VALUE"""),"501 Mid Blue")</f>
        <v>501 Mid Blue</v>
      </c>
      <c r="B21" s="269">
        <f>IFERROR(__xludf.DUMMYFUNCTION("""COMPUTED_VALUE"""),23.0)</f>
        <v>23</v>
      </c>
      <c r="C21" s="253"/>
      <c r="D21" s="273" t="str">
        <f>IFERROR(__xludf.DUMMYFUNCTION("""COMPUTED_VALUE"""),"502 Black")</f>
        <v>502 Black</v>
      </c>
      <c r="E21" s="273">
        <f>IFERROR(__xludf.DUMMYFUNCTION("""COMPUTED_VALUE"""),25.0)</f>
        <v>25</v>
      </c>
      <c r="F21" s="255"/>
      <c r="G21" s="255"/>
      <c r="H21" s="255" t="str">
        <f>IFERROR(__xludf.DUMMYFUNCTION("""COMPUTED_VALUE"""),"Total")</f>
        <v>Total</v>
      </c>
      <c r="I21" s="255">
        <f>IFERROR(__xludf.DUMMYFUNCTION("""COMPUTED_VALUE"""),86.0)</f>
        <v>86</v>
      </c>
      <c r="J21" s="255">
        <f>IFERROR(__xludf.DUMMYFUNCTION("""COMPUTED_VALUE"""),1738.73)</f>
        <v>1738.73</v>
      </c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</row>
    <row r="22">
      <c r="A22" s="269" t="str">
        <f>IFERROR(__xludf.DUMMYFUNCTION("""COMPUTED_VALUE"""),"511 Navy Blue")</f>
        <v>511 Navy Blue</v>
      </c>
      <c r="B22" s="269">
        <f>IFERROR(__xludf.DUMMYFUNCTION("""COMPUTED_VALUE"""),22.0)</f>
        <v>22</v>
      </c>
      <c r="C22" s="253"/>
      <c r="D22" s="273" t="str">
        <f>IFERROR(__xludf.DUMMYFUNCTION("""COMPUTED_VALUE"""),"501 Navy Blue")</f>
        <v>501 Navy Blue</v>
      </c>
      <c r="E22" s="273">
        <f>IFERROR(__xludf.DUMMYFUNCTION("""COMPUTED_VALUE"""),24.0)</f>
        <v>24</v>
      </c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</row>
    <row r="23">
      <c r="A23" s="269" t="str">
        <f>IFERROR(__xludf.DUMMYFUNCTION("""COMPUTED_VALUE"""),"511 Blackish")</f>
        <v>511 Blackish</v>
      </c>
      <c r="B23" s="269">
        <f>IFERROR(__xludf.DUMMYFUNCTION("""COMPUTED_VALUE"""),18.0)</f>
        <v>18</v>
      </c>
      <c r="C23" s="253"/>
      <c r="D23" s="273" t="str">
        <f>IFERROR(__xludf.DUMMYFUNCTION("""COMPUTED_VALUE"""),"502 Navy Blue")</f>
        <v>502 Navy Blue</v>
      </c>
      <c r="E23" s="273">
        <f>IFERROR(__xludf.DUMMYFUNCTION("""COMPUTED_VALUE"""),19.0)</f>
        <v>19</v>
      </c>
      <c r="F23" s="255"/>
      <c r="G23" s="255"/>
      <c r="H23" s="163"/>
      <c r="I23" s="274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</row>
    <row r="24">
      <c r="A24" s="269" t="str">
        <f>IFERROR(__xludf.DUMMYFUNCTION("""COMPUTED_VALUE"""),"511 Grey")</f>
        <v>511 Grey</v>
      </c>
      <c r="B24" s="269">
        <f>IFERROR(__xludf.DUMMYFUNCTION("""COMPUTED_VALUE"""),16.0)</f>
        <v>16</v>
      </c>
      <c r="C24" s="253"/>
      <c r="D24" s="273" t="str">
        <f>IFERROR(__xludf.DUMMYFUNCTION("""COMPUTED_VALUE"""),"501 Grey")</f>
        <v>501 Grey</v>
      </c>
      <c r="E24" s="273">
        <f>IFERROR(__xludf.DUMMYFUNCTION("""COMPUTED_VALUE"""),15.0)</f>
        <v>15</v>
      </c>
      <c r="F24" s="255"/>
      <c r="G24" s="255"/>
      <c r="H24" s="274"/>
      <c r="I24" s="274"/>
      <c r="J24" s="255"/>
      <c r="K24" s="255"/>
      <c r="L24" s="255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</row>
    <row r="25">
      <c r="A25" s="269" t="str">
        <f>IFERROR(__xludf.DUMMYFUNCTION("""COMPUTED_VALUE"""),"511 Mid Blue")</f>
        <v>511 Mid Blue</v>
      </c>
      <c r="B25" s="269">
        <f>IFERROR(__xludf.DUMMYFUNCTION("""COMPUTED_VALUE"""),13.0)</f>
        <v>13</v>
      </c>
      <c r="C25" s="253"/>
      <c r="D25" s="273" t="str">
        <f>IFERROR(__xludf.DUMMYFUNCTION("""COMPUTED_VALUE"""),"511 Light Blue L30")</f>
        <v>511 Light Blue L30</v>
      </c>
      <c r="E25" s="273">
        <f>IFERROR(__xludf.DUMMYFUNCTION("""COMPUTED_VALUE"""),7.0)</f>
        <v>7</v>
      </c>
      <c r="F25" s="255"/>
      <c r="G25" s="255"/>
      <c r="H25" s="274"/>
      <c r="I25" s="274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</row>
    <row r="26">
      <c r="A26" s="269" t="str">
        <f>IFERROR(__xludf.DUMMYFUNCTION("""COMPUTED_VALUE"""),"511 Light Blue L30")</f>
        <v>511 Light Blue L30</v>
      </c>
      <c r="B26" s="269">
        <f>IFERROR(__xludf.DUMMYFUNCTION("""COMPUTED_VALUE"""),9.0)</f>
        <v>9</v>
      </c>
      <c r="C26" s="253"/>
      <c r="D26" s="273" t="str">
        <f>IFERROR(__xludf.DUMMYFUNCTION("""COMPUTED_VALUE"""),"511 Mid Blue")</f>
        <v>511 Mid Blue</v>
      </c>
      <c r="E26" s="273">
        <f>IFERROR(__xludf.DUMMYFUNCTION("""COMPUTED_VALUE"""),4.0)</f>
        <v>4</v>
      </c>
      <c r="F26" s="255"/>
      <c r="G26" s="255"/>
      <c r="H26" s="274"/>
      <c r="I26" s="274"/>
      <c r="J26" s="255"/>
      <c r="K26" s="255"/>
      <c r="L26" s="255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  <c r="AA26" s="255"/>
    </row>
    <row r="27">
      <c r="A27" s="269" t="str">
        <f>IFERROR(__xludf.DUMMYFUNCTION("""COMPUTED_VALUE"""),"501 Mid Blue L30")</f>
        <v>501 Mid Blue L30</v>
      </c>
      <c r="B27" s="269">
        <f>IFERROR(__xludf.DUMMYFUNCTION("""COMPUTED_VALUE"""),8.0)</f>
        <v>8</v>
      </c>
      <c r="C27" s="253"/>
      <c r="D27" s="273" t="str">
        <f>IFERROR(__xludf.DUMMYFUNCTION("""COMPUTED_VALUE"""),"501 Mid Blue")</f>
        <v>501 Mid Blue</v>
      </c>
      <c r="E27" s="273">
        <f>IFERROR(__xludf.DUMMYFUNCTION("""COMPUTED_VALUE"""),3.0)</f>
        <v>3</v>
      </c>
      <c r="F27" s="255"/>
      <c r="G27" s="255"/>
      <c r="H27" s="274"/>
      <c r="I27" s="274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</row>
    <row r="28">
      <c r="A28" s="269" t="str">
        <f>IFERROR(__xludf.DUMMYFUNCTION("""COMPUTED_VALUE"""),"514 Navy")</f>
        <v>514 Navy</v>
      </c>
      <c r="B28" s="269">
        <f>IFERROR(__xludf.DUMMYFUNCTION("""COMPUTED_VALUE"""),3.0)</f>
        <v>3</v>
      </c>
      <c r="C28" s="253"/>
      <c r="D28" s="273" t="str">
        <f>IFERROR(__xludf.DUMMYFUNCTION("""COMPUTED_VALUE"""),"501 Mid Blue L30")</f>
        <v>501 Mid Blue L30</v>
      </c>
      <c r="E28" s="273">
        <f>IFERROR(__xludf.DUMMYFUNCTION("""COMPUTED_VALUE"""),3.0)</f>
        <v>3</v>
      </c>
      <c r="F28" s="255"/>
      <c r="G28" s="255"/>
      <c r="H28" s="274"/>
      <c r="I28" s="274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  <c r="AA28" s="255"/>
    </row>
    <row r="29">
      <c r="A29" s="269" t="str">
        <f>IFERROR(__xludf.DUMMYFUNCTION("""COMPUTED_VALUE"""),"501 Light Blue")</f>
        <v>501 Light Blue</v>
      </c>
      <c r="B29" s="269">
        <f>IFERROR(__xludf.DUMMYFUNCTION("""COMPUTED_VALUE"""),2.0)</f>
        <v>2</v>
      </c>
      <c r="C29" s="253"/>
      <c r="D29" s="273" t="str">
        <f>IFERROR(__xludf.DUMMYFUNCTION("""COMPUTED_VALUE"""),"501 Light Blue")</f>
        <v>501 Light Blue</v>
      </c>
      <c r="E29" s="273">
        <f>IFERROR(__xludf.DUMMYFUNCTION("""COMPUTED_VALUE"""),2.0)</f>
        <v>2</v>
      </c>
      <c r="F29" s="255"/>
      <c r="G29" s="255"/>
      <c r="H29" s="288" t="str">
        <f>IFERROR(__xludf.DUMMYFUNCTION("{
QUERY(
{'UK London sales'!A:C},
""select Col3, count(Col3)
 where Col1 &gt;= date '""&amp;TEXT(EOMONTH(TODAY(),-1)+1,""yyyy-mm-dd"")&amp;""'
 and Col1 &lt; date '""&amp;TEXT(EOMONTH(TODAY(),0)+1,""yyyy-mm-dd"")&amp;""'
 group by Col3
 order by count(Col3) desc
 label Col3 'W"&amp;"aist Size', count(Col3) 'Orders'"",
1
);
{
""Total"",
COUNTIFS(
'UK London sales'!A:A,""&gt;=""&amp;EOMONTH(TODAY(),-1)+1,
'UK London sales'!A:A,""&lt;""&amp;EOMONTH(TODAY(),0)+1
)
}
}"),"Waist Size")</f>
        <v>Waist Size</v>
      </c>
      <c r="I29" s="289" t="str">
        <f>IFERROR(__xludf.DUMMYFUNCTION("""COMPUTED_VALUE"""),"Orders")</f>
        <v>Orders</v>
      </c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</row>
    <row r="30">
      <c r="A30" s="269" t="str">
        <f>IFERROR(__xludf.DUMMYFUNCTION("""COMPUTED_VALUE"""),"501 Black")</f>
        <v>501 Black</v>
      </c>
      <c r="B30" s="269">
        <f>IFERROR(__xludf.DUMMYFUNCTION("""COMPUTED_VALUE"""),1.0)</f>
        <v>1</v>
      </c>
      <c r="C30" s="253"/>
      <c r="D30" s="273" t="str">
        <f>IFERROR(__xludf.DUMMYFUNCTION("""COMPUTED_VALUE"""),"511 Blackish")</f>
        <v>511 Blackish</v>
      </c>
      <c r="E30" s="273">
        <f>IFERROR(__xludf.DUMMYFUNCTION("""COMPUTED_VALUE"""),2.0)</f>
        <v>2</v>
      </c>
      <c r="F30" s="255"/>
      <c r="G30" s="255"/>
      <c r="H30" s="290">
        <f>IFERROR(__xludf.DUMMYFUNCTION("""COMPUTED_VALUE"""),32.0)</f>
        <v>32</v>
      </c>
      <c r="I30" s="290">
        <f>IFERROR(__xludf.DUMMYFUNCTION("""COMPUTED_VALUE"""),29.0)</f>
        <v>29</v>
      </c>
      <c r="J30" s="255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  <c r="AA30" s="255"/>
    </row>
    <row r="31">
      <c r="A31" s="291" t="str">
        <f>IFERROR(__xludf.DUMMYFUNCTION("""COMPUTED_VALUE"""),"501 Selvedge")</f>
        <v>501 Selvedge</v>
      </c>
      <c r="B31" s="291">
        <f>IFERROR(__xludf.DUMMYFUNCTION("""COMPUTED_VALUE"""),1.0)</f>
        <v>1</v>
      </c>
      <c r="C31" s="253"/>
      <c r="D31" s="273" t="str">
        <f>IFERROR(__xludf.DUMMYFUNCTION("""COMPUTED_VALUE"""),"Total")</f>
        <v>Total</v>
      </c>
      <c r="E31" s="273">
        <f>IFERROR(__xludf.DUMMYFUNCTION("""COMPUTED_VALUE"""),104.0)</f>
        <v>104</v>
      </c>
      <c r="F31" s="255"/>
      <c r="G31" s="255"/>
      <c r="H31" s="290">
        <f>IFERROR(__xludf.DUMMYFUNCTION("""COMPUTED_VALUE"""),34.0)</f>
        <v>34</v>
      </c>
      <c r="I31" s="290">
        <f>IFERROR(__xludf.DUMMYFUNCTION("""COMPUTED_VALUE"""),28.0)</f>
        <v>28</v>
      </c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</row>
    <row r="32">
      <c r="A32" s="291" t="str">
        <f>IFERROR(__xludf.DUMMYFUNCTION("""COMPUTED_VALUE"""),"502 Navy Blue")</f>
        <v>502 Navy Blue</v>
      </c>
      <c r="B32" s="291">
        <f>IFERROR(__xludf.DUMMYFUNCTION("""COMPUTED_VALUE"""),1.0)</f>
        <v>1</v>
      </c>
      <c r="C32" s="253"/>
      <c r="D32" s="273"/>
      <c r="E32" s="273"/>
      <c r="F32" s="255"/>
      <c r="G32" s="255"/>
      <c r="H32" s="290">
        <f>IFERROR(__xludf.DUMMYFUNCTION("""COMPUTED_VALUE"""),36.0)</f>
        <v>36</v>
      </c>
      <c r="I32" s="290">
        <f>IFERROR(__xludf.DUMMYFUNCTION("""COMPUTED_VALUE"""),23.0)</f>
        <v>23</v>
      </c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</row>
    <row r="33">
      <c r="A33" s="291" t="str">
        <f>IFERROR(__xludf.DUMMYFUNCTION("""COMPUTED_VALUE"""),"Total")</f>
        <v>Total</v>
      </c>
      <c r="B33" s="291">
        <f>IFERROR(__xludf.DUMMYFUNCTION("""COMPUTED_VALUE"""),117.0)</f>
        <v>117</v>
      </c>
      <c r="C33" s="253"/>
      <c r="D33" s="273"/>
      <c r="E33" s="273"/>
      <c r="F33" s="255"/>
      <c r="G33" s="255"/>
      <c r="H33" s="290">
        <f>IFERROR(__xludf.DUMMYFUNCTION("""COMPUTED_VALUE"""),30.0)</f>
        <v>30</v>
      </c>
      <c r="I33" s="290">
        <f>IFERROR(__xludf.DUMMYFUNCTION("""COMPUTED_VALUE"""),8.0)</f>
        <v>8</v>
      </c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</row>
    <row r="34">
      <c r="A34" s="292"/>
      <c r="B34" s="292"/>
      <c r="C34" s="253"/>
      <c r="D34" s="283"/>
      <c r="E34" s="283"/>
      <c r="F34" s="255"/>
      <c r="G34" s="255"/>
      <c r="H34" s="290">
        <f>IFERROR(__xludf.DUMMYFUNCTION("""COMPUTED_VALUE"""),38.0)</f>
        <v>38</v>
      </c>
      <c r="I34" s="290">
        <f>IFERROR(__xludf.DUMMYFUNCTION("""COMPUTED_VALUE"""),8.0)</f>
        <v>8</v>
      </c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</row>
    <row r="35">
      <c r="A35" s="285"/>
      <c r="B35" s="285"/>
      <c r="C35" s="253"/>
      <c r="D35" s="285"/>
      <c r="E35" s="285"/>
      <c r="F35" s="255"/>
      <c r="G35" s="255"/>
      <c r="H35" s="255">
        <f>IFERROR(__xludf.DUMMYFUNCTION("""COMPUTED_VALUE"""),40.0)</f>
        <v>40</v>
      </c>
      <c r="I35" s="255">
        <f>IFERROR(__xludf.DUMMYFUNCTION("""COMPUTED_VALUE"""),8.0)</f>
        <v>8</v>
      </c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</row>
    <row r="36">
      <c r="A36" s="285"/>
      <c r="B36" s="285"/>
      <c r="C36" s="253"/>
      <c r="D36" s="285"/>
      <c r="E36" s="285"/>
      <c r="F36" s="255"/>
      <c r="G36" s="255"/>
      <c r="H36" s="255" t="str">
        <f>IFERROR(__xludf.DUMMYFUNCTION("""COMPUTED_VALUE"""),"Total")</f>
        <v>Total</v>
      </c>
      <c r="I36" s="255">
        <f>IFERROR(__xludf.DUMMYFUNCTION("""COMPUTED_VALUE"""),104.0)</f>
        <v>104</v>
      </c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</row>
    <row r="37">
      <c r="A37" s="296" t="str">
        <f>IFERROR(__xludf.DUMMYFUNCTION("{
QUERY(
{'UK London sales'!A:H},
""select Col6, count(Col6), sum(Col8)
 where Col1 &gt;= date '""&amp;TEXT(EOMONTH(TODAY(),-2)+1,""yyyy-mm-dd"")&amp;""'
 and Col1 &lt; date '""&amp;TEXT(EOMONTH(TODAY(),-1)+1,""yyyy-mm-dd"")&amp;""'
 and Col6 is not null
 group by Col6
 order "&amp;"by count(Col6) desc
 label Col6 'Account Name', count(Col6) 'Sales', sum(Col8) 'Revenue'"",
1
);
{
""Total"",
COUNTIFS(
'UK London sales'!A:A,""&gt;=""&amp;EOMONTH(TODAY(),-2)+1,
'UK London sales'!A:A,""&lt;""&amp;EOMONTH(TODAY(),-1)+1,
'UK London sales'!F:F,""&lt;&gt;""
),
"&amp;"SUMIFS(
'UK London sales'!H:H,
'UK London sales'!A:A,""&gt;=""&amp;EOMONTH(TODAY(),-2)+1,
'UK London sales'!A:A,""&lt;""&amp;EOMONTH(TODAY(),-1)+1,
'UK London sales'!F:F,""&lt;&gt;""
)
}
}"),"Account Name")</f>
        <v>Account Name</v>
      </c>
      <c r="B37" s="297" t="str">
        <f>IFERROR(__xludf.DUMMYFUNCTION("""COMPUTED_VALUE"""),"Sales")</f>
        <v>Sales</v>
      </c>
      <c r="C37" s="297" t="str">
        <f>IFERROR(__xludf.DUMMYFUNCTION("""COMPUTED_VALUE"""),"Revenue")</f>
        <v>Revenue</v>
      </c>
      <c r="D37" s="299"/>
      <c r="E37" s="299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</row>
    <row r="38" ht="24.75" customHeight="1">
      <c r="A38" s="269" t="str">
        <f>IFERROR(__xludf.DUMMYFUNCTION("""COMPUTED_VALUE"""),"winona")</f>
        <v>winona</v>
      </c>
      <c r="B38" s="269">
        <f>IFERROR(__xludf.DUMMYFUNCTION("""COMPUTED_VALUE"""),14.0)</f>
        <v>14</v>
      </c>
      <c r="C38" s="269">
        <f>IFERROR(__xludf.DUMMYFUNCTION("""COMPUTED_VALUE"""),278.4)</f>
        <v>278.4</v>
      </c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</row>
    <row r="39">
      <c r="A39" s="269" t="str">
        <f>IFERROR(__xludf.DUMMYFUNCTION("""COMPUTED_VALUE"""),"Rosalind")</f>
        <v>Rosalind</v>
      </c>
      <c r="B39" s="269">
        <f>IFERROR(__xludf.DUMMYFUNCTION("""COMPUTED_VALUE"""),8.0)</f>
        <v>8</v>
      </c>
      <c r="C39" s="269">
        <f>IFERROR(__xludf.DUMMYFUNCTION("""COMPUTED_VALUE"""),158.60000000000002)</f>
        <v>158.6</v>
      </c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</row>
    <row r="40">
      <c r="A40" s="269" t="str">
        <f>IFERROR(__xludf.DUMMYFUNCTION("""COMPUTED_VALUE"""),"Sanu")</f>
        <v>Sanu</v>
      </c>
      <c r="B40" s="269">
        <f>IFERROR(__xludf.DUMMYFUNCTION("""COMPUTED_VALUE"""),8.0)</f>
        <v>8</v>
      </c>
      <c r="C40" s="269">
        <f>IFERROR(__xludf.DUMMYFUNCTION("""COMPUTED_VALUE"""),163.0)</f>
        <v>163</v>
      </c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</row>
    <row r="41">
      <c r="A41" s="267" t="str">
        <f>IFERROR(__xludf.DUMMYFUNCTION("""COMPUTED_VALUE"""),"Umaima")</f>
        <v>Umaima</v>
      </c>
      <c r="B41" s="269">
        <f>IFERROR(__xludf.DUMMYFUNCTION("""COMPUTED_VALUE"""),8.0)</f>
        <v>8</v>
      </c>
      <c r="C41" s="269">
        <f>IFERROR(__xludf.DUMMYFUNCTION("""COMPUTED_VALUE"""),156.7)</f>
        <v>156.7</v>
      </c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  <c r="AA41" s="255"/>
    </row>
    <row r="42">
      <c r="A42" s="267" t="str">
        <f>IFERROR(__xludf.DUMMYFUNCTION("""COMPUTED_VALUE"""),"AmmarRana")</f>
        <v>AmmarRana</v>
      </c>
      <c r="B42" s="269">
        <f>IFERROR(__xludf.DUMMYFUNCTION("""COMPUTED_VALUE"""),6.0)</f>
        <v>6</v>
      </c>
      <c r="C42" s="269">
        <f>IFERROR(__xludf.DUMMYFUNCTION("""COMPUTED_VALUE"""),74.7)</f>
        <v>74.7</v>
      </c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  <c r="AA42" s="255"/>
    </row>
    <row r="43">
      <c r="A43" s="267" t="str">
        <f>IFERROR(__xludf.DUMMYFUNCTION("""COMPUTED_VALUE"""),"Hina")</f>
        <v>Hina</v>
      </c>
      <c r="B43" s="269">
        <f>IFERROR(__xludf.DUMMYFUNCTION("""COMPUTED_VALUE"""),6.0)</f>
        <v>6</v>
      </c>
      <c r="C43" s="269">
        <f>IFERROR(__xludf.DUMMYFUNCTION("""COMPUTED_VALUE"""),125.4)</f>
        <v>125.4</v>
      </c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</row>
    <row r="44">
      <c r="A44" s="267" t="str">
        <f>IFERROR(__xludf.DUMMYFUNCTION("""COMPUTED_VALUE"""),"Levi Style Store")</f>
        <v>Levi Style Store</v>
      </c>
      <c r="B44" s="269">
        <f>IFERROR(__xludf.DUMMYFUNCTION("""COMPUTED_VALUE"""),6.0)</f>
        <v>6</v>
      </c>
      <c r="C44" s="269">
        <f>IFERROR(__xludf.DUMMYFUNCTION("""COMPUTED_VALUE"""),108.9)</f>
        <v>108.9</v>
      </c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</row>
    <row r="45">
      <c r="A45" s="267" t="str">
        <f>IFERROR(__xludf.DUMMYFUNCTION("""COMPUTED_VALUE"""),"abbash")</f>
        <v>abbash</v>
      </c>
      <c r="B45" s="269">
        <f>IFERROR(__xludf.DUMMYFUNCTION("""COMPUTED_VALUE"""),6.0)</f>
        <v>6</v>
      </c>
      <c r="C45" s="269">
        <f>IFERROR(__xludf.DUMMYFUNCTION("""COMPUTED_VALUE"""),0.0)</f>
        <v>0</v>
      </c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</row>
    <row r="46">
      <c r="A46" s="267" t="str">
        <f>IFERROR(__xludf.DUMMYFUNCTION("""COMPUTED_VALUE"""),"Gwen")</f>
        <v>Gwen</v>
      </c>
      <c r="B46" s="269">
        <f>IFERROR(__xludf.DUMMYFUNCTION("""COMPUTED_VALUE"""),5.0)</f>
        <v>5</v>
      </c>
      <c r="C46" s="269">
        <f>IFERROR(__xludf.DUMMYFUNCTION("""COMPUTED_VALUE"""),99.4)</f>
        <v>99.4</v>
      </c>
      <c r="D46" s="253"/>
      <c r="E46" s="253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  <c r="AA46" s="255"/>
    </row>
    <row r="47">
      <c r="A47" s="267" t="str">
        <f>IFERROR(__xludf.DUMMYFUNCTION("""COMPUTED_VALUE"""),"Jane")</f>
        <v>Jane</v>
      </c>
      <c r="B47" s="269">
        <f>IFERROR(__xludf.DUMMYFUNCTION("""COMPUTED_VALUE"""),5.0)</f>
        <v>5</v>
      </c>
      <c r="C47" s="269">
        <f>IFERROR(__xludf.DUMMYFUNCTION("""COMPUTED_VALUE"""),116.35)</f>
        <v>116.35</v>
      </c>
      <c r="D47" s="253"/>
      <c r="E47" s="253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</row>
    <row r="48">
      <c r="A48" s="267" t="str">
        <f>IFERROR(__xludf.DUMMYFUNCTION("""COMPUTED_VALUE"""),"RaimaFatima")</f>
        <v>RaimaFatima</v>
      </c>
      <c r="B48" s="269">
        <f>IFERROR(__xludf.DUMMYFUNCTION("""COMPUTED_VALUE"""),5.0)</f>
        <v>5</v>
      </c>
      <c r="C48" s="269">
        <f>IFERROR(__xludf.DUMMYFUNCTION("""COMPUTED_VALUE"""),97.0)</f>
        <v>97</v>
      </c>
      <c r="D48" s="253"/>
      <c r="E48" s="253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  <c r="AA48" s="255"/>
    </row>
    <row r="49">
      <c r="A49" s="267" t="str">
        <f>IFERROR(__xludf.DUMMYFUNCTION("""COMPUTED_VALUE"""),"Rana")</f>
        <v>Rana</v>
      </c>
      <c r="B49" s="269">
        <f>IFERROR(__xludf.DUMMYFUNCTION("""COMPUTED_VALUE"""),5.0)</f>
        <v>5</v>
      </c>
      <c r="C49" s="269">
        <f>IFERROR(__xludf.DUMMYFUNCTION("""COMPUTED_VALUE"""),99.7)</f>
        <v>99.7</v>
      </c>
      <c r="D49" s="253"/>
      <c r="E49" s="253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  <c r="AA49" s="255"/>
    </row>
    <row r="50">
      <c r="A50" s="267" t="str">
        <f>IFERROR(__xludf.DUMMYFUNCTION("""COMPUTED_VALUE"""),"Sama")</f>
        <v>Sama</v>
      </c>
      <c r="B50" s="269">
        <f>IFERROR(__xludf.DUMMYFUNCTION("""COMPUTED_VALUE"""),5.0)</f>
        <v>5</v>
      </c>
      <c r="C50" s="269">
        <f>IFERROR(__xludf.DUMMYFUNCTION("""COMPUTED_VALUE"""),94.48)</f>
        <v>94.48</v>
      </c>
      <c r="D50" s="253"/>
      <c r="E50" s="253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</row>
    <row r="51">
      <c r="A51" s="267" t="str">
        <f>IFERROR(__xludf.DUMMYFUNCTION("""COMPUTED_VALUE"""),"SanaImran")</f>
        <v>SanaImran</v>
      </c>
      <c r="B51" s="269">
        <f>IFERROR(__xludf.DUMMYFUNCTION("""COMPUTED_VALUE"""),5.0)</f>
        <v>5</v>
      </c>
      <c r="C51" s="269">
        <f>IFERROR(__xludf.DUMMYFUNCTION("""COMPUTED_VALUE"""),100.1)</f>
        <v>100.1</v>
      </c>
      <c r="D51" s="253"/>
      <c r="E51" s="253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</row>
    <row r="52">
      <c r="A52" s="267" t="str">
        <f>IFERROR(__xludf.DUMMYFUNCTION("""COMPUTED_VALUE"""),"Zainab")</f>
        <v>Zainab</v>
      </c>
      <c r="B52" s="269">
        <f>IFERROR(__xludf.DUMMYFUNCTION("""COMPUTED_VALUE"""),5.0)</f>
        <v>5</v>
      </c>
      <c r="C52" s="269">
        <f>IFERROR(__xludf.DUMMYFUNCTION("""COMPUTED_VALUE"""),95.4)</f>
        <v>95.4</v>
      </c>
      <c r="D52" s="253"/>
      <c r="E52" s="253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</row>
    <row r="53">
      <c r="A53" s="267" t="str">
        <f>IFERROR(__xludf.DUMMYFUNCTION("""COMPUTED_VALUE"""),"zoee931")</f>
        <v>zoee931</v>
      </c>
      <c r="B53" s="269">
        <f>IFERROR(__xludf.DUMMYFUNCTION("""COMPUTED_VALUE"""),4.0)</f>
        <v>4</v>
      </c>
      <c r="C53" s="269">
        <f>IFERROR(__xludf.DUMMYFUNCTION("""COMPUTED_VALUE"""),76.0)</f>
        <v>76</v>
      </c>
      <c r="D53" s="253"/>
      <c r="E53" s="253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</row>
    <row r="54">
      <c r="A54" s="307" t="str">
        <f>IFERROR(__xludf.DUMMYFUNCTION("""COMPUTED_VALUE"""),"Olivia")</f>
        <v>Olivia</v>
      </c>
      <c r="B54" s="308">
        <f>IFERROR(__xludf.DUMMYFUNCTION("""COMPUTED_VALUE"""),3.0)</f>
        <v>3</v>
      </c>
      <c r="C54" s="308">
        <f>IFERROR(__xludf.DUMMYFUNCTION("""COMPUTED_VALUE"""),56.0)</f>
        <v>56</v>
      </c>
      <c r="D54" s="253"/>
      <c r="E54" s="253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</row>
    <row r="55">
      <c r="A55" s="309" t="str">
        <f>IFERROR(__xludf.DUMMYFUNCTION("""COMPUTED_VALUE"""),"Mose")</f>
        <v>Mose</v>
      </c>
      <c r="B55" s="285">
        <f>IFERROR(__xludf.DUMMYFUNCTION("""COMPUTED_VALUE"""),2.0)</f>
        <v>2</v>
      </c>
      <c r="C55" s="285">
        <f>IFERROR(__xludf.DUMMYFUNCTION("""COMPUTED_VALUE"""),43.98)</f>
        <v>43.98</v>
      </c>
      <c r="D55" s="253"/>
      <c r="E55" s="253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</row>
    <row r="56">
      <c r="A56" s="309" t="str">
        <f>IFERROR(__xludf.DUMMYFUNCTION("""COMPUTED_VALUE"""),"Umar")</f>
        <v>Umar</v>
      </c>
      <c r="B56" s="285">
        <f>IFERROR(__xludf.DUMMYFUNCTION("""COMPUTED_VALUE"""),2.0)</f>
        <v>2</v>
      </c>
      <c r="C56" s="285">
        <f>IFERROR(__xludf.DUMMYFUNCTION("""COMPUTED_VALUE"""),36.4)</f>
        <v>36.4</v>
      </c>
      <c r="D56" s="253"/>
      <c r="E56" s="253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</row>
    <row r="57">
      <c r="A57" s="309" t="str">
        <f>IFERROR(__xludf.DUMMYFUNCTION("""COMPUTED_VALUE"""),"antonio")</f>
        <v>antonio</v>
      </c>
      <c r="B57" s="285">
        <f>IFERROR(__xludf.DUMMYFUNCTION("""COMPUTED_VALUE"""),2.0)</f>
        <v>2</v>
      </c>
      <c r="C57" s="285">
        <f>IFERROR(__xludf.DUMMYFUNCTION("""COMPUTED_VALUE"""),43.0)</f>
        <v>43</v>
      </c>
      <c r="D57" s="253"/>
      <c r="E57" s="253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</row>
    <row r="58">
      <c r="A58" s="285" t="str">
        <f>IFERROR(__xludf.DUMMYFUNCTION("""COMPUTED_VALUE"""),"lauren")</f>
        <v>lauren</v>
      </c>
      <c r="B58" s="285">
        <f>IFERROR(__xludf.DUMMYFUNCTION("""COMPUTED_VALUE"""),2.0)</f>
        <v>2</v>
      </c>
      <c r="C58" s="285">
        <f>IFERROR(__xludf.DUMMYFUNCTION("""COMPUTED_VALUE"""),38.8)</f>
        <v>38.8</v>
      </c>
      <c r="D58" s="253"/>
      <c r="E58" s="253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</row>
    <row r="59">
      <c r="A59" s="285" t="str">
        <f>IFERROR(__xludf.DUMMYFUNCTION("""COMPUTED_VALUE"""),"Total")</f>
        <v>Total</v>
      </c>
      <c r="B59" s="285">
        <f>IFERROR(__xludf.DUMMYFUNCTION("""COMPUTED_VALUE"""),112.0)</f>
        <v>112</v>
      </c>
      <c r="C59" s="285">
        <f>IFERROR(__xludf.DUMMYFUNCTION("""COMPUTED_VALUE"""),2062.3100000000004)</f>
        <v>2062.31</v>
      </c>
      <c r="D59" s="253"/>
      <c r="E59" s="253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</row>
    <row r="60">
      <c r="A60" s="285"/>
      <c r="B60" s="285"/>
      <c r="C60" s="285"/>
      <c r="D60" s="253"/>
      <c r="E60" s="253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</row>
    <row r="61">
      <c r="A61" s="285"/>
      <c r="B61" s="285"/>
      <c r="C61" s="285"/>
      <c r="D61" s="253"/>
      <c r="E61" s="253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</row>
    <row r="62">
      <c r="A62" s="285"/>
      <c r="B62" s="285"/>
      <c r="C62" s="285"/>
      <c r="D62" s="253"/>
      <c r="E62" s="253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255"/>
    </row>
    <row r="63">
      <c r="A63" s="285"/>
      <c r="B63" s="285"/>
      <c r="C63" s="285"/>
      <c r="D63" s="253"/>
      <c r="E63" s="253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255"/>
    </row>
    <row r="64">
      <c r="A64" s="285"/>
      <c r="B64" s="285"/>
      <c r="C64" s="285"/>
      <c r="D64" s="253"/>
      <c r="E64" s="253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  <c r="Y64" s="255"/>
      <c r="Z64" s="255"/>
      <c r="AA64" s="255"/>
    </row>
    <row r="65">
      <c r="A65" s="253"/>
      <c r="B65" s="253"/>
      <c r="C65" s="253"/>
      <c r="D65" s="253"/>
      <c r="E65" s="253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255"/>
    </row>
    <row r="66">
      <c r="A66" s="253"/>
      <c r="B66" s="253"/>
      <c r="C66" s="253"/>
      <c r="D66" s="253"/>
      <c r="E66" s="253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  <c r="AA66" s="255"/>
    </row>
    <row r="67">
      <c r="A67" s="253"/>
      <c r="B67" s="253"/>
      <c r="C67" s="253"/>
      <c r="D67" s="253"/>
      <c r="E67" s="253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  <c r="AA67" s="255"/>
    </row>
    <row r="68">
      <c r="A68" s="253"/>
      <c r="B68" s="253"/>
      <c r="C68" s="253"/>
      <c r="D68" s="253"/>
      <c r="E68" s="253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  <c r="AA68" s="255"/>
    </row>
    <row r="69">
      <c r="A69" s="253"/>
      <c r="B69" s="253"/>
      <c r="C69" s="253"/>
      <c r="D69" s="253"/>
      <c r="E69" s="253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  <c r="AA69" s="255"/>
    </row>
    <row r="70">
      <c r="A70" s="253"/>
      <c r="B70" s="253"/>
      <c r="C70" s="253"/>
      <c r="D70" s="253"/>
      <c r="E70" s="253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  <c r="Z70" s="255"/>
      <c r="AA70" s="255"/>
    </row>
    <row r="71">
      <c r="A71" s="253"/>
      <c r="B71" s="253"/>
      <c r="C71" s="253"/>
      <c r="D71" s="253"/>
      <c r="E71" s="253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  <c r="AA71" s="255"/>
    </row>
    <row r="72">
      <c r="A72" s="253"/>
      <c r="B72" s="253"/>
      <c r="C72" s="253"/>
      <c r="D72" s="253"/>
      <c r="E72" s="253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  <c r="AA72" s="255"/>
    </row>
    <row r="73">
      <c r="A73" s="253"/>
      <c r="B73" s="253"/>
      <c r="C73" s="253"/>
      <c r="D73" s="253"/>
      <c r="E73" s="253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  <c r="AA73" s="255"/>
    </row>
    <row r="74">
      <c r="A74" s="253"/>
      <c r="B74" s="253"/>
      <c r="C74" s="253"/>
      <c r="D74" s="253"/>
      <c r="E74" s="253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  <c r="AA74" s="255"/>
    </row>
    <row r="75">
      <c r="A75" s="253"/>
      <c r="B75" s="253"/>
      <c r="C75" s="253"/>
      <c r="D75" s="253"/>
      <c r="E75" s="253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  <c r="AA75" s="255"/>
    </row>
    <row r="76">
      <c r="A76" s="253"/>
      <c r="B76" s="253"/>
      <c r="C76" s="253"/>
      <c r="D76" s="253"/>
      <c r="E76" s="253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  <c r="Z76" s="255"/>
      <c r="AA76" s="255"/>
    </row>
    <row r="77">
      <c r="A77" s="253"/>
      <c r="B77" s="253"/>
      <c r="C77" s="253"/>
      <c r="D77" s="253"/>
      <c r="E77" s="253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  <c r="AA77" s="255"/>
    </row>
    <row r="78">
      <c r="A78" s="253"/>
      <c r="B78" s="253"/>
      <c r="C78" s="253"/>
      <c r="D78" s="253"/>
      <c r="E78" s="253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  <c r="AA78" s="255"/>
    </row>
    <row r="79">
      <c r="A79" s="253"/>
      <c r="B79" s="253"/>
      <c r="C79" s="253"/>
      <c r="D79" s="253"/>
      <c r="E79" s="253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  <c r="AA79" s="255"/>
    </row>
    <row r="80">
      <c r="A80" s="253"/>
      <c r="B80" s="253"/>
      <c r="C80" s="253"/>
      <c r="D80" s="253"/>
      <c r="E80" s="253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  <c r="AA80" s="255"/>
    </row>
    <row r="81">
      <c r="A81" s="253"/>
      <c r="B81" s="253"/>
      <c r="C81" s="253"/>
      <c r="D81" s="253"/>
      <c r="E81" s="253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  <c r="AA81" s="255"/>
    </row>
    <row r="82">
      <c r="A82" s="253"/>
      <c r="B82" s="253"/>
      <c r="C82" s="253"/>
      <c r="D82" s="253"/>
      <c r="E82" s="253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  <c r="Y82" s="255"/>
      <c r="Z82" s="255"/>
      <c r="AA82" s="255"/>
    </row>
    <row r="83">
      <c r="A83" s="253"/>
      <c r="B83" s="253"/>
      <c r="C83" s="253"/>
      <c r="D83" s="253"/>
      <c r="E83" s="253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</row>
    <row r="84">
      <c r="A84" s="253"/>
      <c r="B84" s="253"/>
      <c r="C84" s="253"/>
      <c r="D84" s="253"/>
      <c r="E84" s="253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  <c r="AA84" s="255"/>
    </row>
    <row r="85">
      <c r="A85" s="253"/>
      <c r="B85" s="253"/>
      <c r="C85" s="253"/>
      <c r="D85" s="253"/>
      <c r="E85" s="253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  <c r="AA85" s="255"/>
    </row>
    <row r="86">
      <c r="A86" s="253"/>
      <c r="B86" s="253"/>
      <c r="C86" s="253"/>
      <c r="D86" s="253"/>
      <c r="E86" s="253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  <c r="AA86" s="255"/>
    </row>
    <row r="87">
      <c r="A87" s="253"/>
      <c r="B87" s="253"/>
      <c r="C87" s="253"/>
      <c r="D87" s="253"/>
      <c r="E87" s="253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  <c r="AA87" s="255"/>
    </row>
    <row r="88">
      <c r="A88" s="253"/>
      <c r="B88" s="253"/>
      <c r="C88" s="253"/>
      <c r="D88" s="253"/>
      <c r="E88" s="253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  <c r="AA88" s="255"/>
    </row>
    <row r="89">
      <c r="A89" s="253"/>
      <c r="B89" s="253"/>
      <c r="C89" s="253"/>
      <c r="D89" s="253"/>
      <c r="E89" s="253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  <c r="Z89" s="255"/>
      <c r="AA89" s="255"/>
    </row>
    <row r="90">
      <c r="A90" s="253"/>
      <c r="B90" s="253"/>
      <c r="C90" s="253"/>
      <c r="D90" s="253"/>
      <c r="E90" s="253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  <c r="AA90" s="255"/>
    </row>
    <row r="91">
      <c r="A91" s="253"/>
      <c r="B91" s="253"/>
      <c r="C91" s="253"/>
      <c r="D91" s="253"/>
      <c r="E91" s="253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  <c r="Z91" s="255"/>
      <c r="AA91" s="255"/>
    </row>
    <row r="92">
      <c r="A92" s="253"/>
      <c r="B92" s="253"/>
      <c r="C92" s="253"/>
      <c r="D92" s="253"/>
      <c r="E92" s="253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  <c r="T92" s="255"/>
      <c r="U92" s="255"/>
      <c r="V92" s="255"/>
      <c r="W92" s="255"/>
      <c r="X92" s="255"/>
      <c r="Y92" s="255"/>
      <c r="Z92" s="255"/>
      <c r="AA92" s="255"/>
    </row>
    <row r="93">
      <c r="A93" s="253"/>
      <c r="B93" s="253"/>
      <c r="C93" s="253"/>
      <c r="D93" s="253"/>
      <c r="E93" s="253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255"/>
      <c r="AA93" s="255"/>
    </row>
    <row r="94">
      <c r="A94" s="253"/>
      <c r="B94" s="253"/>
      <c r="C94" s="253"/>
      <c r="D94" s="253"/>
      <c r="E94" s="253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  <c r="T94" s="255"/>
      <c r="U94" s="255"/>
      <c r="V94" s="255"/>
      <c r="W94" s="255"/>
      <c r="X94" s="255"/>
      <c r="Y94" s="255"/>
      <c r="Z94" s="255"/>
      <c r="AA94" s="255"/>
    </row>
    <row r="95">
      <c r="A95" s="253"/>
      <c r="B95" s="253"/>
      <c r="C95" s="253"/>
      <c r="D95" s="253"/>
      <c r="E95" s="253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  <c r="Z95" s="255"/>
      <c r="AA95" s="255"/>
    </row>
    <row r="96">
      <c r="A96" s="253"/>
      <c r="B96" s="253"/>
      <c r="C96" s="253"/>
      <c r="D96" s="253"/>
      <c r="E96" s="253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  <c r="Z96" s="255"/>
      <c r="AA96" s="255"/>
    </row>
    <row r="97">
      <c r="A97" s="253"/>
      <c r="B97" s="253"/>
      <c r="C97" s="253"/>
      <c r="D97" s="253"/>
      <c r="E97" s="253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  <c r="Z97" s="255"/>
      <c r="AA97" s="255"/>
    </row>
    <row r="98">
      <c r="A98" s="253"/>
      <c r="B98" s="253"/>
      <c r="C98" s="253"/>
      <c r="D98" s="253"/>
      <c r="E98" s="253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  <c r="T98" s="255"/>
      <c r="U98" s="255"/>
      <c r="V98" s="255"/>
      <c r="W98" s="255"/>
      <c r="X98" s="255"/>
      <c r="Y98" s="255"/>
      <c r="Z98" s="255"/>
      <c r="AA98" s="255"/>
    </row>
    <row r="99">
      <c r="A99" s="253"/>
      <c r="B99" s="253"/>
      <c r="C99" s="253"/>
      <c r="D99" s="253"/>
      <c r="E99" s="253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  <c r="AA99" s="255"/>
    </row>
    <row r="100">
      <c r="A100" s="253"/>
      <c r="B100" s="253"/>
      <c r="C100" s="253"/>
      <c r="D100" s="253"/>
      <c r="E100" s="253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  <c r="AA100" s="255"/>
    </row>
    <row r="101">
      <c r="A101" s="253"/>
      <c r="B101" s="253"/>
      <c r="C101" s="253"/>
      <c r="D101" s="253"/>
      <c r="E101" s="253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</row>
    <row r="102">
      <c r="A102" s="253"/>
      <c r="B102" s="253"/>
      <c r="C102" s="253"/>
      <c r="D102" s="253"/>
      <c r="E102" s="253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</row>
    <row r="103">
      <c r="A103" s="253"/>
      <c r="B103" s="253"/>
      <c r="C103" s="253"/>
      <c r="D103" s="253"/>
      <c r="E103" s="253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</row>
    <row r="104">
      <c r="A104" s="253"/>
      <c r="B104" s="253"/>
      <c r="C104" s="253"/>
      <c r="D104" s="253"/>
      <c r="E104" s="253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</row>
    <row r="105">
      <c r="A105" s="253"/>
      <c r="B105" s="253"/>
      <c r="C105" s="253"/>
      <c r="D105" s="253"/>
      <c r="E105" s="253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</row>
    <row r="106">
      <c r="A106" s="253"/>
      <c r="B106" s="253"/>
      <c r="C106" s="253"/>
      <c r="D106" s="253"/>
      <c r="E106" s="253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</row>
    <row r="107">
      <c r="A107" s="253"/>
      <c r="B107" s="253"/>
      <c r="C107" s="253"/>
      <c r="D107" s="253"/>
      <c r="E107" s="253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</row>
    <row r="108">
      <c r="A108" s="253"/>
      <c r="B108" s="253"/>
      <c r="C108" s="253"/>
      <c r="D108" s="253"/>
      <c r="E108" s="253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</row>
    <row r="109">
      <c r="A109" s="253"/>
      <c r="B109" s="253"/>
      <c r="C109" s="253"/>
      <c r="D109" s="253"/>
      <c r="E109" s="253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</row>
    <row r="110">
      <c r="A110" s="253"/>
      <c r="B110" s="253"/>
      <c r="C110" s="253"/>
      <c r="D110" s="253"/>
      <c r="E110" s="253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</row>
    <row r="111">
      <c r="A111" s="253"/>
      <c r="B111" s="253"/>
      <c r="C111" s="253"/>
      <c r="D111" s="253"/>
      <c r="E111" s="253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</row>
    <row r="112">
      <c r="A112" s="253"/>
      <c r="B112" s="253"/>
      <c r="C112" s="253"/>
      <c r="D112" s="253"/>
      <c r="E112" s="253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  <c r="AA112" s="255"/>
    </row>
    <row r="113">
      <c r="A113" s="253"/>
      <c r="B113" s="253"/>
      <c r="C113" s="253"/>
      <c r="D113" s="253"/>
      <c r="E113" s="253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</row>
    <row r="114">
      <c r="A114" s="253"/>
      <c r="B114" s="253"/>
      <c r="C114" s="253"/>
      <c r="D114" s="253"/>
      <c r="E114" s="253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</row>
    <row r="115">
      <c r="A115" s="253"/>
      <c r="B115" s="253"/>
      <c r="C115" s="253"/>
      <c r="D115" s="253"/>
      <c r="E115" s="253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  <c r="AA115" s="255"/>
    </row>
    <row r="116">
      <c r="A116" s="253"/>
      <c r="B116" s="253"/>
      <c r="C116" s="253"/>
      <c r="D116" s="253"/>
      <c r="E116" s="253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</row>
    <row r="117">
      <c r="A117" s="253"/>
      <c r="B117" s="253"/>
      <c r="C117" s="253"/>
      <c r="D117" s="253"/>
      <c r="E117" s="253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</row>
    <row r="118">
      <c r="A118" s="253"/>
      <c r="B118" s="253"/>
      <c r="C118" s="253"/>
      <c r="D118" s="253"/>
      <c r="E118" s="253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</row>
    <row r="119">
      <c r="A119" s="253"/>
      <c r="B119" s="253"/>
      <c r="C119" s="253"/>
      <c r="D119" s="253"/>
      <c r="E119" s="253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</row>
    <row r="120">
      <c r="A120" s="253"/>
      <c r="B120" s="253"/>
      <c r="C120" s="253"/>
      <c r="D120" s="253"/>
      <c r="E120" s="253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</row>
    <row r="121">
      <c r="A121" s="253"/>
      <c r="B121" s="253"/>
      <c r="C121" s="253"/>
      <c r="D121" s="253"/>
      <c r="E121" s="253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</row>
    <row r="122">
      <c r="A122" s="253"/>
      <c r="B122" s="253"/>
      <c r="C122" s="253"/>
      <c r="D122" s="253"/>
      <c r="E122" s="253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  <c r="AA122" s="255"/>
    </row>
    <row r="123">
      <c r="A123" s="253"/>
      <c r="B123" s="253"/>
      <c r="C123" s="253"/>
      <c r="D123" s="253"/>
      <c r="E123" s="253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</row>
    <row r="124">
      <c r="A124" s="253"/>
      <c r="B124" s="253"/>
      <c r="C124" s="253"/>
      <c r="D124" s="253"/>
      <c r="E124" s="253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  <c r="AA124" s="255"/>
    </row>
    <row r="125">
      <c r="A125" s="253"/>
      <c r="B125" s="253"/>
      <c r="C125" s="253"/>
      <c r="D125" s="253"/>
      <c r="E125" s="253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</row>
    <row r="126">
      <c r="A126" s="253"/>
      <c r="B126" s="253"/>
      <c r="C126" s="253"/>
      <c r="D126" s="253"/>
      <c r="E126" s="253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  <c r="AA126" s="255"/>
    </row>
    <row r="127">
      <c r="A127" s="253"/>
      <c r="B127" s="253"/>
      <c r="C127" s="253"/>
      <c r="D127" s="253"/>
      <c r="E127" s="253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</row>
    <row r="128">
      <c r="A128" s="253"/>
      <c r="B128" s="253"/>
      <c r="C128" s="253"/>
      <c r="D128" s="253"/>
      <c r="E128" s="253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  <c r="AA128" s="255"/>
    </row>
    <row r="129">
      <c r="A129" s="253"/>
      <c r="B129" s="253"/>
      <c r="C129" s="253"/>
      <c r="D129" s="253"/>
      <c r="E129" s="253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</row>
    <row r="130">
      <c r="A130" s="253"/>
      <c r="B130" s="253"/>
      <c r="C130" s="253"/>
      <c r="D130" s="253"/>
      <c r="E130" s="253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</row>
    <row r="131">
      <c r="A131" s="253"/>
      <c r="B131" s="253"/>
      <c r="C131" s="253"/>
      <c r="D131" s="253"/>
      <c r="E131" s="253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</row>
    <row r="132">
      <c r="A132" s="253"/>
      <c r="B132" s="253"/>
      <c r="C132" s="253"/>
      <c r="D132" s="253"/>
      <c r="E132" s="253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</row>
    <row r="133">
      <c r="A133" s="253"/>
      <c r="B133" s="253"/>
      <c r="C133" s="253"/>
      <c r="D133" s="253"/>
      <c r="E133" s="253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</row>
    <row r="134">
      <c r="A134" s="253"/>
      <c r="B134" s="253"/>
      <c r="C134" s="253"/>
      <c r="D134" s="253"/>
      <c r="E134" s="253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</row>
    <row r="135">
      <c r="A135" s="253"/>
      <c r="B135" s="253"/>
      <c r="C135" s="253"/>
      <c r="D135" s="253"/>
      <c r="E135" s="253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</row>
    <row r="136">
      <c r="A136" s="253"/>
      <c r="B136" s="253"/>
      <c r="C136" s="253"/>
      <c r="D136" s="253"/>
      <c r="E136" s="253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</row>
    <row r="137">
      <c r="A137" s="253"/>
      <c r="B137" s="253"/>
      <c r="C137" s="253"/>
      <c r="D137" s="253"/>
      <c r="E137" s="253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</row>
    <row r="138">
      <c r="A138" s="253"/>
      <c r="B138" s="253"/>
      <c r="C138" s="253"/>
      <c r="D138" s="253"/>
      <c r="E138" s="253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</row>
    <row r="139">
      <c r="A139" s="253"/>
      <c r="B139" s="253"/>
      <c r="C139" s="253"/>
      <c r="D139" s="253"/>
      <c r="E139" s="253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</row>
    <row r="140">
      <c r="A140" s="253"/>
      <c r="B140" s="253"/>
      <c r="C140" s="253"/>
      <c r="D140" s="253"/>
      <c r="E140" s="253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</row>
    <row r="141">
      <c r="A141" s="253"/>
      <c r="B141" s="253"/>
      <c r="C141" s="253"/>
      <c r="D141" s="253"/>
      <c r="E141" s="253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</row>
    <row r="142">
      <c r="A142" s="253"/>
      <c r="B142" s="253"/>
      <c r="C142" s="253"/>
      <c r="D142" s="253"/>
      <c r="E142" s="253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</row>
    <row r="143">
      <c r="A143" s="253"/>
      <c r="B143" s="253"/>
      <c r="C143" s="253"/>
      <c r="D143" s="253"/>
      <c r="E143" s="253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</row>
    <row r="144">
      <c r="A144" s="253"/>
      <c r="B144" s="253"/>
      <c r="C144" s="253"/>
      <c r="D144" s="253"/>
      <c r="E144" s="253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</row>
    <row r="145">
      <c r="A145" s="253"/>
      <c r="B145" s="253"/>
      <c r="C145" s="253"/>
      <c r="D145" s="253"/>
      <c r="E145" s="253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</row>
    <row r="146">
      <c r="A146" s="253"/>
      <c r="B146" s="253"/>
      <c r="C146" s="253"/>
      <c r="D146" s="253"/>
      <c r="E146" s="253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</row>
    <row r="147">
      <c r="A147" s="253"/>
      <c r="B147" s="253"/>
      <c r="C147" s="253"/>
      <c r="D147" s="253"/>
      <c r="E147" s="253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</row>
    <row r="148">
      <c r="A148" s="253"/>
      <c r="B148" s="253"/>
      <c r="C148" s="253"/>
      <c r="D148" s="253"/>
      <c r="E148" s="253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</row>
    <row r="149">
      <c r="A149" s="253"/>
      <c r="B149" s="253"/>
      <c r="C149" s="253"/>
      <c r="D149" s="253"/>
      <c r="E149" s="253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</row>
    <row r="150">
      <c r="A150" s="253"/>
      <c r="B150" s="253"/>
      <c r="C150" s="253"/>
      <c r="D150" s="253"/>
      <c r="E150" s="253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</row>
    <row r="151">
      <c r="A151" s="253"/>
      <c r="B151" s="253"/>
      <c r="C151" s="253"/>
      <c r="D151" s="253"/>
      <c r="E151" s="253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</row>
    <row r="152">
      <c r="A152" s="253"/>
      <c r="B152" s="253"/>
      <c r="C152" s="253"/>
      <c r="D152" s="253"/>
      <c r="E152" s="253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</row>
    <row r="153">
      <c r="A153" s="253"/>
      <c r="B153" s="253"/>
      <c r="C153" s="253"/>
      <c r="D153" s="253"/>
      <c r="E153" s="253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</row>
    <row r="154">
      <c r="A154" s="253"/>
      <c r="B154" s="253"/>
      <c r="C154" s="253"/>
      <c r="D154" s="253"/>
      <c r="E154" s="253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</row>
    <row r="155">
      <c r="A155" s="253"/>
      <c r="B155" s="253"/>
      <c r="C155" s="253"/>
      <c r="D155" s="253"/>
      <c r="E155" s="253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</row>
    <row r="156">
      <c r="A156" s="253"/>
      <c r="B156" s="253"/>
      <c r="C156" s="253"/>
      <c r="D156" s="253"/>
      <c r="E156" s="253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</row>
    <row r="157">
      <c r="A157" s="253"/>
      <c r="B157" s="253"/>
      <c r="C157" s="253"/>
      <c r="D157" s="253"/>
      <c r="E157" s="253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</row>
    <row r="158">
      <c r="A158" s="253"/>
      <c r="B158" s="253"/>
      <c r="C158" s="253"/>
      <c r="D158" s="253"/>
      <c r="E158" s="253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  <c r="AA158" s="255"/>
    </row>
    <row r="159">
      <c r="A159" s="253"/>
      <c r="B159" s="253"/>
      <c r="C159" s="253"/>
      <c r="D159" s="253"/>
      <c r="E159" s="253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</row>
    <row r="160">
      <c r="A160" s="253"/>
      <c r="B160" s="253"/>
      <c r="C160" s="253"/>
      <c r="D160" s="253"/>
      <c r="E160" s="253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  <c r="AA160" s="255"/>
    </row>
    <row r="161">
      <c r="A161" s="253"/>
      <c r="B161" s="253"/>
      <c r="C161" s="253"/>
      <c r="D161" s="253"/>
      <c r="E161" s="253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</row>
    <row r="162">
      <c r="A162" s="253"/>
      <c r="B162" s="253"/>
      <c r="C162" s="253"/>
      <c r="D162" s="253"/>
      <c r="E162" s="253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</row>
    <row r="163">
      <c r="A163" s="253"/>
      <c r="B163" s="253"/>
      <c r="C163" s="253"/>
      <c r="D163" s="253"/>
      <c r="E163" s="253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  <c r="AA163" s="255"/>
    </row>
    <row r="164">
      <c r="A164" s="253"/>
      <c r="B164" s="253"/>
      <c r="C164" s="253"/>
      <c r="D164" s="253"/>
      <c r="E164" s="253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</row>
    <row r="165">
      <c r="A165" s="253"/>
      <c r="B165" s="253"/>
      <c r="C165" s="253"/>
      <c r="D165" s="253"/>
      <c r="E165" s="253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  <c r="AA165" s="255"/>
    </row>
    <row r="166">
      <c r="A166" s="253"/>
      <c r="B166" s="253"/>
      <c r="C166" s="253"/>
      <c r="D166" s="253"/>
      <c r="E166" s="253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</row>
    <row r="167">
      <c r="A167" s="253"/>
      <c r="B167" s="253"/>
      <c r="C167" s="253"/>
      <c r="D167" s="253"/>
      <c r="E167" s="253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</row>
    <row r="168">
      <c r="A168" s="253"/>
      <c r="B168" s="253"/>
      <c r="C168" s="253"/>
      <c r="D168" s="253"/>
      <c r="E168" s="253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  <c r="AA168" s="255"/>
    </row>
    <row r="169">
      <c r="A169" s="253"/>
      <c r="B169" s="253"/>
      <c r="C169" s="253"/>
      <c r="D169" s="253"/>
      <c r="E169" s="253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  <c r="AA169" s="255"/>
    </row>
    <row r="170">
      <c r="A170" s="253"/>
      <c r="B170" s="253"/>
      <c r="C170" s="253"/>
      <c r="D170" s="253"/>
      <c r="E170" s="253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  <c r="AA170" s="255"/>
    </row>
    <row r="171">
      <c r="A171" s="253"/>
      <c r="B171" s="253"/>
      <c r="C171" s="253"/>
      <c r="D171" s="253"/>
      <c r="E171" s="253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  <c r="Z171" s="255"/>
      <c r="AA171" s="255"/>
    </row>
    <row r="172">
      <c r="A172" s="253"/>
      <c r="B172" s="253"/>
      <c r="C172" s="253"/>
      <c r="D172" s="253"/>
      <c r="E172" s="253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  <c r="Y172" s="255"/>
      <c r="Z172" s="255"/>
      <c r="AA172" s="255"/>
    </row>
    <row r="173">
      <c r="A173" s="253"/>
      <c r="B173" s="253"/>
      <c r="C173" s="253"/>
      <c r="D173" s="253"/>
      <c r="E173" s="253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  <c r="AA173" s="255"/>
    </row>
    <row r="174">
      <c r="A174" s="253"/>
      <c r="B174" s="253"/>
      <c r="C174" s="253"/>
      <c r="D174" s="253"/>
      <c r="E174" s="253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  <c r="AA174" s="255"/>
    </row>
    <row r="175">
      <c r="A175" s="253"/>
      <c r="B175" s="253"/>
      <c r="C175" s="253"/>
      <c r="D175" s="253"/>
      <c r="E175" s="253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  <c r="AA175" s="255"/>
    </row>
    <row r="176">
      <c r="A176" s="253"/>
      <c r="B176" s="253"/>
      <c r="C176" s="253"/>
      <c r="D176" s="253"/>
      <c r="E176" s="253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  <c r="AA176" s="255"/>
    </row>
    <row r="177">
      <c r="A177" s="253"/>
      <c r="B177" s="253"/>
      <c r="C177" s="253"/>
      <c r="D177" s="253"/>
      <c r="E177" s="253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  <c r="AA177" s="255"/>
    </row>
    <row r="178">
      <c r="A178" s="253"/>
      <c r="B178" s="253"/>
      <c r="C178" s="253"/>
      <c r="D178" s="253"/>
      <c r="E178" s="253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5"/>
      <c r="Z178" s="255"/>
      <c r="AA178" s="255"/>
    </row>
    <row r="179">
      <c r="A179" s="253"/>
      <c r="B179" s="253"/>
      <c r="C179" s="253"/>
      <c r="D179" s="253"/>
      <c r="E179" s="253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  <c r="AA179" s="255"/>
    </row>
    <row r="180">
      <c r="A180" s="253"/>
      <c r="B180" s="253"/>
      <c r="C180" s="253"/>
      <c r="D180" s="253"/>
      <c r="E180" s="253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255"/>
      <c r="Z180" s="255"/>
      <c r="AA180" s="255"/>
    </row>
    <row r="181">
      <c r="A181" s="253"/>
      <c r="B181" s="253"/>
      <c r="C181" s="253"/>
      <c r="D181" s="253"/>
      <c r="E181" s="253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  <c r="AA181" s="255"/>
    </row>
    <row r="182">
      <c r="A182" s="253"/>
      <c r="B182" s="253"/>
      <c r="C182" s="253"/>
      <c r="D182" s="253"/>
      <c r="E182" s="253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  <c r="Z182" s="255"/>
      <c r="AA182" s="255"/>
    </row>
    <row r="183">
      <c r="A183" s="253"/>
      <c r="B183" s="253"/>
      <c r="C183" s="253"/>
      <c r="D183" s="253"/>
      <c r="E183" s="253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  <c r="AA183" s="255"/>
    </row>
    <row r="184">
      <c r="A184" s="253"/>
      <c r="B184" s="253"/>
      <c r="C184" s="253"/>
      <c r="D184" s="253"/>
      <c r="E184" s="253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  <c r="AA184" s="255"/>
    </row>
    <row r="185">
      <c r="A185" s="253"/>
      <c r="B185" s="253"/>
      <c r="C185" s="253"/>
      <c r="D185" s="253"/>
      <c r="E185" s="253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</row>
    <row r="186">
      <c r="A186" s="253"/>
      <c r="B186" s="253"/>
      <c r="C186" s="253"/>
      <c r="D186" s="253"/>
      <c r="E186" s="253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  <c r="AA186" s="255"/>
    </row>
    <row r="187">
      <c r="A187" s="253"/>
      <c r="B187" s="253"/>
      <c r="C187" s="253"/>
      <c r="D187" s="253"/>
      <c r="E187" s="253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  <c r="AA187" s="255"/>
    </row>
    <row r="188">
      <c r="A188" s="253"/>
      <c r="B188" s="253"/>
      <c r="C188" s="253"/>
      <c r="D188" s="253"/>
      <c r="E188" s="253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  <c r="AA188" s="255"/>
    </row>
    <row r="189">
      <c r="A189" s="253"/>
      <c r="B189" s="253"/>
      <c r="C189" s="253"/>
      <c r="D189" s="253"/>
      <c r="E189" s="253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  <c r="AA189" s="255"/>
    </row>
    <row r="190">
      <c r="A190" s="253"/>
      <c r="B190" s="253"/>
      <c r="C190" s="253"/>
      <c r="D190" s="253"/>
      <c r="E190" s="253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  <c r="AA190" s="255"/>
    </row>
    <row r="191">
      <c r="A191" s="253"/>
      <c r="B191" s="253"/>
      <c r="C191" s="253"/>
      <c r="D191" s="253"/>
      <c r="E191" s="253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  <c r="AA191" s="255"/>
    </row>
    <row r="192">
      <c r="A192" s="253"/>
      <c r="B192" s="253"/>
      <c r="C192" s="253"/>
      <c r="D192" s="253"/>
      <c r="E192" s="253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  <c r="AA192" s="255"/>
    </row>
    <row r="193">
      <c r="A193" s="253"/>
      <c r="B193" s="253"/>
      <c r="C193" s="253"/>
      <c r="D193" s="253"/>
      <c r="E193" s="253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  <c r="AA193" s="255"/>
    </row>
    <row r="194">
      <c r="A194" s="253"/>
      <c r="B194" s="253"/>
      <c r="C194" s="253"/>
      <c r="D194" s="253"/>
      <c r="E194" s="253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  <c r="AA194" s="255"/>
    </row>
    <row r="195">
      <c r="A195" s="253"/>
      <c r="B195" s="253"/>
      <c r="C195" s="253"/>
      <c r="D195" s="253"/>
      <c r="E195" s="253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  <c r="AA195" s="255"/>
    </row>
    <row r="196">
      <c r="A196" s="253"/>
      <c r="B196" s="253"/>
      <c r="C196" s="253"/>
      <c r="D196" s="253"/>
      <c r="E196" s="253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  <c r="AA196" s="255"/>
    </row>
    <row r="197">
      <c r="A197" s="253"/>
      <c r="B197" s="253"/>
      <c r="C197" s="253"/>
      <c r="D197" s="253"/>
      <c r="E197" s="253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  <c r="AA197" s="255"/>
    </row>
    <row r="198">
      <c r="A198" s="253"/>
      <c r="B198" s="253"/>
      <c r="C198" s="253"/>
      <c r="D198" s="253"/>
      <c r="E198" s="253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  <c r="AA198" s="255"/>
    </row>
    <row r="199">
      <c r="A199" s="253"/>
      <c r="B199" s="253"/>
      <c r="C199" s="253"/>
      <c r="D199" s="253"/>
      <c r="E199" s="253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  <c r="AA199" s="255"/>
    </row>
    <row r="200">
      <c r="A200" s="253"/>
      <c r="B200" s="253"/>
      <c r="C200" s="253"/>
      <c r="D200" s="253"/>
      <c r="E200" s="253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  <c r="AA200" s="255"/>
    </row>
    <row r="201">
      <c r="A201" s="253"/>
      <c r="B201" s="253"/>
      <c r="C201" s="253"/>
      <c r="D201" s="253"/>
      <c r="E201" s="253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  <c r="Z201" s="255"/>
      <c r="AA201" s="255"/>
    </row>
    <row r="202">
      <c r="A202" s="253"/>
      <c r="B202" s="253"/>
      <c r="C202" s="253"/>
      <c r="D202" s="253"/>
      <c r="E202" s="253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  <c r="AA202" s="255"/>
    </row>
    <row r="203">
      <c r="A203" s="253"/>
      <c r="B203" s="253"/>
      <c r="C203" s="253"/>
      <c r="D203" s="253"/>
      <c r="E203" s="253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  <c r="AA203" s="255"/>
    </row>
    <row r="204">
      <c r="A204" s="253"/>
      <c r="B204" s="253"/>
      <c r="C204" s="253"/>
      <c r="D204" s="253"/>
      <c r="E204" s="253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  <c r="AA204" s="255"/>
    </row>
    <row r="205">
      <c r="A205" s="253"/>
      <c r="B205" s="253"/>
      <c r="C205" s="253"/>
      <c r="D205" s="253"/>
      <c r="E205" s="253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  <c r="AA205" s="255"/>
    </row>
    <row r="206">
      <c r="A206" s="253"/>
      <c r="B206" s="253"/>
      <c r="C206" s="253"/>
      <c r="D206" s="253"/>
      <c r="E206" s="253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  <c r="AA206" s="255"/>
    </row>
    <row r="207">
      <c r="A207" s="253"/>
      <c r="B207" s="253"/>
      <c r="C207" s="253"/>
      <c r="D207" s="253"/>
      <c r="E207" s="253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  <c r="AA207" s="255"/>
    </row>
    <row r="208">
      <c r="A208" s="253"/>
      <c r="B208" s="253"/>
      <c r="C208" s="253"/>
      <c r="D208" s="253"/>
      <c r="E208" s="253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  <c r="AA208" s="255"/>
    </row>
    <row r="209">
      <c r="A209" s="253"/>
      <c r="B209" s="253"/>
      <c r="C209" s="253"/>
      <c r="D209" s="253"/>
      <c r="E209" s="253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  <c r="AA209" s="255"/>
    </row>
    <row r="210">
      <c r="A210" s="253"/>
      <c r="B210" s="253"/>
      <c r="C210" s="253"/>
      <c r="D210" s="253"/>
      <c r="E210" s="253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  <c r="AA210" s="255"/>
    </row>
    <row r="211">
      <c r="A211" s="253"/>
      <c r="B211" s="253"/>
      <c r="C211" s="253"/>
      <c r="D211" s="253"/>
      <c r="E211" s="253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  <c r="AA211" s="255"/>
    </row>
    <row r="212">
      <c r="A212" s="253"/>
      <c r="B212" s="253"/>
      <c r="C212" s="253"/>
      <c r="D212" s="253"/>
      <c r="E212" s="253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  <c r="AA212" s="255"/>
    </row>
    <row r="213">
      <c r="A213" s="253"/>
      <c r="B213" s="253"/>
      <c r="C213" s="253"/>
      <c r="D213" s="253"/>
      <c r="E213" s="253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  <c r="AA213" s="255"/>
    </row>
    <row r="214">
      <c r="A214" s="253"/>
      <c r="B214" s="253"/>
      <c r="C214" s="253"/>
      <c r="D214" s="253"/>
      <c r="E214" s="253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  <c r="AA214" s="255"/>
    </row>
    <row r="215">
      <c r="A215" s="253"/>
      <c r="B215" s="253"/>
      <c r="C215" s="253"/>
      <c r="D215" s="253"/>
      <c r="E215" s="253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  <c r="AA215" s="255"/>
    </row>
    <row r="216">
      <c r="A216" s="253"/>
      <c r="B216" s="253"/>
      <c r="C216" s="253"/>
      <c r="D216" s="253"/>
      <c r="E216" s="253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  <c r="AA216" s="255"/>
    </row>
    <row r="217">
      <c r="A217" s="253"/>
      <c r="B217" s="253"/>
      <c r="C217" s="253"/>
      <c r="D217" s="253"/>
      <c r="E217" s="253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  <c r="AA217" s="255"/>
    </row>
    <row r="218">
      <c r="A218" s="253"/>
      <c r="B218" s="253"/>
      <c r="C218" s="253"/>
      <c r="D218" s="253"/>
      <c r="E218" s="253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  <c r="AA218" s="255"/>
    </row>
    <row r="219">
      <c r="A219" s="253"/>
      <c r="B219" s="253"/>
      <c r="C219" s="253"/>
      <c r="D219" s="253"/>
      <c r="E219" s="253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  <c r="AA219" s="255"/>
    </row>
    <row r="220">
      <c r="A220" s="253"/>
      <c r="B220" s="253"/>
      <c r="C220" s="253"/>
      <c r="D220" s="253"/>
      <c r="E220" s="253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  <c r="AA220" s="255"/>
    </row>
    <row r="221">
      <c r="A221" s="253"/>
      <c r="B221" s="253"/>
      <c r="C221" s="253"/>
      <c r="D221" s="253"/>
      <c r="E221" s="253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  <c r="AA221" s="255"/>
    </row>
    <row r="222">
      <c r="A222" s="253"/>
      <c r="B222" s="253"/>
      <c r="C222" s="253"/>
      <c r="D222" s="253"/>
      <c r="E222" s="253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  <c r="AA222" s="255"/>
    </row>
    <row r="223">
      <c r="A223" s="253"/>
      <c r="B223" s="253"/>
      <c r="C223" s="253"/>
      <c r="D223" s="253"/>
      <c r="E223" s="253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  <c r="AA223" s="255"/>
    </row>
    <row r="224">
      <c r="A224" s="253"/>
      <c r="B224" s="253"/>
      <c r="C224" s="253"/>
      <c r="D224" s="253"/>
      <c r="E224" s="253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  <c r="AA224" s="255"/>
    </row>
    <row r="225">
      <c r="A225" s="253"/>
      <c r="B225" s="253"/>
      <c r="C225" s="253"/>
      <c r="D225" s="253"/>
      <c r="E225" s="253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  <c r="Z225" s="255"/>
      <c r="AA225" s="255"/>
    </row>
    <row r="226">
      <c r="A226" s="253"/>
      <c r="B226" s="253"/>
      <c r="C226" s="253"/>
      <c r="D226" s="253"/>
      <c r="E226" s="253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  <c r="Z226" s="255"/>
      <c r="AA226" s="255"/>
    </row>
    <row r="227">
      <c r="A227" s="253"/>
      <c r="B227" s="253"/>
      <c r="C227" s="253"/>
      <c r="D227" s="253"/>
      <c r="E227" s="253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  <c r="Z227" s="255"/>
      <c r="AA227" s="255"/>
    </row>
    <row r="228">
      <c r="A228" s="253"/>
      <c r="B228" s="253"/>
      <c r="C228" s="253"/>
      <c r="D228" s="253"/>
      <c r="E228" s="253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  <c r="Z228" s="255"/>
      <c r="AA228" s="255"/>
    </row>
    <row r="229">
      <c r="A229" s="253"/>
      <c r="B229" s="253"/>
      <c r="C229" s="253"/>
      <c r="D229" s="253"/>
      <c r="E229" s="253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  <c r="AA229" s="255"/>
    </row>
    <row r="230">
      <c r="A230" s="253"/>
      <c r="B230" s="253"/>
      <c r="C230" s="253"/>
      <c r="D230" s="253"/>
      <c r="E230" s="253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  <c r="Z230" s="255"/>
      <c r="AA230" s="255"/>
    </row>
    <row r="231">
      <c r="A231" s="253"/>
      <c r="B231" s="253"/>
      <c r="C231" s="253"/>
      <c r="D231" s="253"/>
      <c r="E231" s="253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  <c r="Z231" s="255"/>
      <c r="AA231" s="255"/>
    </row>
    <row r="232">
      <c r="A232" s="253"/>
      <c r="B232" s="253"/>
      <c r="C232" s="253"/>
      <c r="D232" s="253"/>
      <c r="E232" s="253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  <c r="Z232" s="255"/>
      <c r="AA232" s="255"/>
    </row>
    <row r="233">
      <c r="A233" s="253"/>
      <c r="B233" s="253"/>
      <c r="C233" s="253"/>
      <c r="D233" s="253"/>
      <c r="E233" s="253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  <c r="AA233" s="255"/>
    </row>
    <row r="234">
      <c r="A234" s="253"/>
      <c r="B234" s="253"/>
      <c r="C234" s="253"/>
      <c r="D234" s="253"/>
      <c r="E234" s="253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  <c r="Z234" s="255"/>
      <c r="AA234" s="255"/>
    </row>
    <row r="235">
      <c r="A235" s="253"/>
      <c r="B235" s="253"/>
      <c r="C235" s="253"/>
      <c r="D235" s="253"/>
      <c r="E235" s="253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  <c r="Z235" s="255"/>
      <c r="AA235" s="255"/>
    </row>
    <row r="236">
      <c r="A236" s="253"/>
      <c r="B236" s="253"/>
      <c r="C236" s="253"/>
      <c r="D236" s="253"/>
      <c r="E236" s="253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  <c r="Z236" s="255"/>
      <c r="AA236" s="255"/>
    </row>
    <row r="237">
      <c r="A237" s="253"/>
      <c r="B237" s="253"/>
      <c r="C237" s="253"/>
      <c r="D237" s="253"/>
      <c r="E237" s="253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  <c r="Z237" s="255"/>
      <c r="AA237" s="255"/>
    </row>
    <row r="238">
      <c r="A238" s="253"/>
      <c r="B238" s="253"/>
      <c r="C238" s="253"/>
      <c r="D238" s="253"/>
      <c r="E238" s="253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  <c r="Z238" s="255"/>
      <c r="AA238" s="255"/>
    </row>
    <row r="239">
      <c r="A239" s="253"/>
      <c r="B239" s="253"/>
      <c r="C239" s="253"/>
      <c r="D239" s="253"/>
      <c r="E239" s="253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  <c r="Z239" s="255"/>
      <c r="AA239" s="255"/>
    </row>
    <row r="240">
      <c r="A240" s="253"/>
      <c r="B240" s="253"/>
      <c r="C240" s="253"/>
      <c r="D240" s="253"/>
      <c r="E240" s="253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  <c r="Z240" s="255"/>
      <c r="AA240" s="255"/>
    </row>
    <row r="241">
      <c r="A241" s="253"/>
      <c r="B241" s="253"/>
      <c r="C241" s="253"/>
      <c r="D241" s="253"/>
      <c r="E241" s="253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  <c r="AA241" s="255"/>
    </row>
    <row r="242">
      <c r="A242" s="253"/>
      <c r="B242" s="253"/>
      <c r="C242" s="253"/>
      <c r="D242" s="253"/>
      <c r="E242" s="253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  <c r="Z242" s="255"/>
      <c r="AA242" s="255"/>
    </row>
    <row r="243">
      <c r="A243" s="253"/>
      <c r="B243" s="253"/>
      <c r="C243" s="253"/>
      <c r="D243" s="253"/>
      <c r="E243" s="253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  <c r="Z243" s="255"/>
      <c r="AA243" s="255"/>
    </row>
    <row r="244">
      <c r="A244" s="253"/>
      <c r="B244" s="253"/>
      <c r="C244" s="253"/>
      <c r="D244" s="253"/>
      <c r="E244" s="253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  <c r="AA244" s="255"/>
    </row>
    <row r="245">
      <c r="A245" s="253"/>
      <c r="B245" s="253"/>
      <c r="C245" s="253"/>
      <c r="D245" s="253"/>
      <c r="E245" s="253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  <c r="AA245" s="255"/>
    </row>
    <row r="246">
      <c r="A246" s="253"/>
      <c r="B246" s="253"/>
      <c r="C246" s="253"/>
      <c r="D246" s="253"/>
      <c r="E246" s="253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  <c r="Z246" s="255"/>
      <c r="AA246" s="255"/>
    </row>
    <row r="247">
      <c r="A247" s="253"/>
      <c r="B247" s="253"/>
      <c r="C247" s="253"/>
      <c r="D247" s="253"/>
      <c r="E247" s="253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  <c r="AA247" s="255"/>
    </row>
    <row r="248">
      <c r="A248" s="253"/>
      <c r="B248" s="253"/>
      <c r="C248" s="253"/>
      <c r="D248" s="253"/>
      <c r="E248" s="253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  <c r="Z248" s="255"/>
      <c r="AA248" s="255"/>
    </row>
    <row r="249">
      <c r="A249" s="253"/>
      <c r="B249" s="253"/>
      <c r="C249" s="253"/>
      <c r="D249" s="253"/>
      <c r="E249" s="253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  <c r="Z249" s="255"/>
      <c r="AA249" s="255"/>
    </row>
    <row r="250">
      <c r="A250" s="253"/>
      <c r="B250" s="253"/>
      <c r="C250" s="253"/>
      <c r="D250" s="253"/>
      <c r="E250" s="253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  <c r="Z250" s="255"/>
      <c r="AA250" s="255"/>
    </row>
    <row r="251">
      <c r="A251" s="253"/>
      <c r="B251" s="253"/>
      <c r="C251" s="253"/>
      <c r="D251" s="253"/>
      <c r="E251" s="253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  <c r="Z251" s="255"/>
      <c r="AA251" s="255"/>
    </row>
    <row r="252">
      <c r="A252" s="253"/>
      <c r="B252" s="253"/>
      <c r="C252" s="253"/>
      <c r="D252" s="253"/>
      <c r="E252" s="253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  <c r="AA252" s="255"/>
    </row>
    <row r="253">
      <c r="A253" s="253"/>
      <c r="B253" s="253"/>
      <c r="C253" s="253"/>
      <c r="D253" s="253"/>
      <c r="E253" s="253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  <c r="Z253" s="255"/>
      <c r="AA253" s="255"/>
    </row>
    <row r="254">
      <c r="A254" s="253"/>
      <c r="B254" s="253"/>
      <c r="C254" s="253"/>
      <c r="D254" s="253"/>
      <c r="E254" s="253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  <c r="Z254" s="255"/>
      <c r="AA254" s="255"/>
    </row>
    <row r="255">
      <c r="A255" s="253"/>
      <c r="B255" s="253"/>
      <c r="C255" s="253"/>
      <c r="D255" s="253"/>
      <c r="E255" s="253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  <c r="AA255" s="255"/>
    </row>
    <row r="256">
      <c r="A256" s="253"/>
      <c r="B256" s="253"/>
      <c r="C256" s="253"/>
      <c r="D256" s="253"/>
      <c r="E256" s="253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  <c r="Z256" s="255"/>
      <c r="AA256" s="255"/>
    </row>
    <row r="257">
      <c r="A257" s="253"/>
      <c r="B257" s="253"/>
      <c r="C257" s="253"/>
      <c r="D257" s="253"/>
      <c r="E257" s="253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  <c r="Z257" s="255"/>
      <c r="AA257" s="255"/>
    </row>
    <row r="258">
      <c r="A258" s="253"/>
      <c r="B258" s="253"/>
      <c r="C258" s="253"/>
      <c r="D258" s="253"/>
      <c r="E258" s="253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  <c r="Z258" s="255"/>
      <c r="AA258" s="255"/>
    </row>
    <row r="259">
      <c r="A259" s="253"/>
      <c r="B259" s="253"/>
      <c r="C259" s="253"/>
      <c r="D259" s="253"/>
      <c r="E259" s="253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  <c r="Z259" s="255"/>
      <c r="AA259" s="255"/>
    </row>
    <row r="260">
      <c r="A260" s="253"/>
      <c r="B260" s="253"/>
      <c r="C260" s="253"/>
      <c r="D260" s="253"/>
      <c r="E260" s="253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  <c r="Z260" s="255"/>
      <c r="AA260" s="255"/>
    </row>
    <row r="261">
      <c r="A261" s="253"/>
      <c r="B261" s="253"/>
      <c r="C261" s="253"/>
      <c r="D261" s="253"/>
      <c r="E261" s="253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  <c r="Z261" s="255"/>
      <c r="AA261" s="255"/>
    </row>
    <row r="262">
      <c r="A262" s="253"/>
      <c r="B262" s="253"/>
      <c r="C262" s="253"/>
      <c r="D262" s="253"/>
      <c r="E262" s="253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  <c r="Z262" s="255"/>
      <c r="AA262" s="255"/>
    </row>
    <row r="263">
      <c r="A263" s="253"/>
      <c r="B263" s="253"/>
      <c r="C263" s="253"/>
      <c r="D263" s="253"/>
      <c r="E263" s="253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  <c r="Z263" s="255"/>
      <c r="AA263" s="255"/>
    </row>
    <row r="264">
      <c r="A264" s="253"/>
      <c r="B264" s="253"/>
      <c r="C264" s="253"/>
      <c r="D264" s="253"/>
      <c r="E264" s="253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  <c r="Z264" s="255"/>
      <c r="AA264" s="255"/>
    </row>
    <row r="265">
      <c r="A265" s="253"/>
      <c r="B265" s="253"/>
      <c r="C265" s="253"/>
      <c r="D265" s="253"/>
      <c r="E265" s="253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  <c r="Z265" s="255"/>
      <c r="AA265" s="255"/>
    </row>
    <row r="266">
      <c r="A266" s="253"/>
      <c r="B266" s="253"/>
      <c r="C266" s="253"/>
      <c r="D266" s="253"/>
      <c r="E266" s="253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  <c r="Z266" s="255"/>
      <c r="AA266" s="255"/>
    </row>
    <row r="267">
      <c r="A267" s="253"/>
      <c r="B267" s="253"/>
      <c r="C267" s="253"/>
      <c r="D267" s="253"/>
      <c r="E267" s="253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  <c r="Y267" s="255"/>
      <c r="Z267" s="255"/>
      <c r="AA267" s="255"/>
    </row>
    <row r="268">
      <c r="A268" s="253"/>
      <c r="B268" s="253"/>
      <c r="C268" s="253"/>
      <c r="D268" s="253"/>
      <c r="E268" s="253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  <c r="Y268" s="255"/>
      <c r="Z268" s="255"/>
      <c r="AA268" s="255"/>
    </row>
    <row r="269">
      <c r="A269" s="253"/>
      <c r="B269" s="253"/>
      <c r="C269" s="253"/>
      <c r="D269" s="253"/>
      <c r="E269" s="253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  <c r="Y269" s="255"/>
      <c r="Z269" s="255"/>
      <c r="AA269" s="255"/>
    </row>
    <row r="270">
      <c r="A270" s="253"/>
      <c r="B270" s="253"/>
      <c r="C270" s="253"/>
      <c r="D270" s="253"/>
      <c r="E270" s="253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  <c r="Y270" s="255"/>
      <c r="Z270" s="255"/>
      <c r="AA270" s="255"/>
    </row>
    <row r="271">
      <c r="A271" s="253"/>
      <c r="B271" s="253"/>
      <c r="C271" s="253"/>
      <c r="D271" s="253"/>
      <c r="E271" s="253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  <c r="Y271" s="255"/>
      <c r="Z271" s="255"/>
      <c r="AA271" s="255"/>
    </row>
    <row r="272">
      <c r="A272" s="253"/>
      <c r="B272" s="253"/>
      <c r="C272" s="253"/>
      <c r="D272" s="253"/>
      <c r="E272" s="253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  <c r="Y272" s="255"/>
      <c r="Z272" s="255"/>
      <c r="AA272" s="255"/>
    </row>
    <row r="273">
      <c r="A273" s="253"/>
      <c r="B273" s="253"/>
      <c r="C273" s="253"/>
      <c r="D273" s="253"/>
      <c r="E273" s="253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  <c r="Y273" s="255"/>
      <c r="Z273" s="255"/>
      <c r="AA273" s="255"/>
    </row>
    <row r="274">
      <c r="A274" s="253"/>
      <c r="B274" s="253"/>
      <c r="C274" s="253"/>
      <c r="D274" s="253"/>
      <c r="E274" s="253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  <c r="Y274" s="255"/>
      <c r="Z274" s="255"/>
      <c r="AA274" s="255"/>
    </row>
    <row r="275">
      <c r="A275" s="253"/>
      <c r="B275" s="253"/>
      <c r="C275" s="253"/>
      <c r="D275" s="253"/>
      <c r="E275" s="253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  <c r="Y275" s="255"/>
      <c r="Z275" s="255"/>
      <c r="AA275" s="255"/>
    </row>
    <row r="276">
      <c r="A276" s="253"/>
      <c r="B276" s="253"/>
      <c r="C276" s="253"/>
      <c r="D276" s="253"/>
      <c r="E276" s="253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  <c r="AA276" s="255"/>
    </row>
    <row r="277">
      <c r="A277" s="253"/>
      <c r="B277" s="253"/>
      <c r="C277" s="253"/>
      <c r="D277" s="253"/>
      <c r="E277" s="253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  <c r="AA277" s="255"/>
    </row>
    <row r="278">
      <c r="A278" s="253"/>
      <c r="B278" s="253"/>
      <c r="C278" s="253"/>
      <c r="D278" s="253"/>
      <c r="E278" s="253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  <c r="AA278" s="255"/>
    </row>
    <row r="279">
      <c r="A279" s="253"/>
      <c r="B279" s="253"/>
      <c r="C279" s="253"/>
      <c r="D279" s="253"/>
      <c r="E279" s="253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  <c r="AA279" s="255"/>
    </row>
    <row r="280">
      <c r="A280" s="253"/>
      <c r="B280" s="253"/>
      <c r="C280" s="253"/>
      <c r="D280" s="253"/>
      <c r="E280" s="253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  <c r="AA280" s="255"/>
    </row>
    <row r="281">
      <c r="A281" s="253"/>
      <c r="B281" s="253"/>
      <c r="C281" s="253"/>
      <c r="D281" s="253"/>
      <c r="E281" s="253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  <c r="Y281" s="255"/>
      <c r="Z281" s="255"/>
      <c r="AA281" s="255"/>
    </row>
    <row r="282">
      <c r="A282" s="253"/>
      <c r="B282" s="253"/>
      <c r="C282" s="253"/>
      <c r="D282" s="253"/>
      <c r="E282" s="253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  <c r="Y282" s="255"/>
      <c r="Z282" s="255"/>
      <c r="AA282" s="255"/>
    </row>
    <row r="283">
      <c r="A283" s="253"/>
      <c r="B283" s="253"/>
      <c r="C283" s="253"/>
      <c r="D283" s="253"/>
      <c r="E283" s="253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  <c r="Y283" s="255"/>
      <c r="Z283" s="255"/>
      <c r="AA283" s="255"/>
    </row>
    <row r="284">
      <c r="A284" s="253"/>
      <c r="B284" s="253"/>
      <c r="C284" s="253"/>
      <c r="D284" s="253"/>
      <c r="E284" s="253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  <c r="Y284" s="255"/>
      <c r="Z284" s="255"/>
      <c r="AA284" s="255"/>
    </row>
    <row r="285">
      <c r="A285" s="253"/>
      <c r="B285" s="253"/>
      <c r="C285" s="253"/>
      <c r="D285" s="253"/>
      <c r="E285" s="253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  <c r="Y285" s="255"/>
      <c r="Z285" s="255"/>
      <c r="AA285" s="255"/>
    </row>
    <row r="286">
      <c r="A286" s="253"/>
      <c r="B286" s="253"/>
      <c r="C286" s="253"/>
      <c r="D286" s="253"/>
      <c r="E286" s="253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  <c r="Y286" s="255"/>
      <c r="Z286" s="255"/>
      <c r="AA286" s="255"/>
    </row>
    <row r="287">
      <c r="A287" s="253"/>
      <c r="B287" s="253"/>
      <c r="C287" s="253"/>
      <c r="D287" s="253"/>
      <c r="E287" s="253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  <c r="Y287" s="255"/>
      <c r="Z287" s="255"/>
      <c r="AA287" s="255"/>
    </row>
    <row r="288">
      <c r="A288" s="253"/>
      <c r="B288" s="253"/>
      <c r="C288" s="253"/>
      <c r="D288" s="253"/>
      <c r="E288" s="253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  <c r="Y288" s="255"/>
      <c r="Z288" s="255"/>
      <c r="AA288" s="255"/>
    </row>
    <row r="289">
      <c r="A289" s="253"/>
      <c r="B289" s="253"/>
      <c r="C289" s="253"/>
      <c r="D289" s="253"/>
      <c r="E289" s="253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  <c r="Y289" s="255"/>
      <c r="Z289" s="255"/>
      <c r="AA289" s="255"/>
    </row>
    <row r="290">
      <c r="A290" s="253"/>
      <c r="B290" s="253"/>
      <c r="C290" s="253"/>
      <c r="D290" s="253"/>
      <c r="E290" s="253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  <c r="Y290" s="255"/>
      <c r="Z290" s="255"/>
      <c r="AA290" s="255"/>
    </row>
    <row r="291">
      <c r="A291" s="253"/>
      <c r="B291" s="253"/>
      <c r="C291" s="253"/>
      <c r="D291" s="253"/>
      <c r="E291" s="253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  <c r="Y291" s="255"/>
      <c r="Z291" s="255"/>
      <c r="AA291" s="255"/>
    </row>
    <row r="292">
      <c r="A292" s="253"/>
      <c r="B292" s="253"/>
      <c r="C292" s="253"/>
      <c r="D292" s="253"/>
      <c r="E292" s="253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  <c r="AA292" s="255"/>
    </row>
    <row r="293">
      <c r="A293" s="253"/>
      <c r="B293" s="253"/>
      <c r="C293" s="253"/>
      <c r="D293" s="253"/>
      <c r="E293" s="253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  <c r="AA293" s="255"/>
    </row>
    <row r="294">
      <c r="A294" s="253"/>
      <c r="B294" s="253"/>
      <c r="C294" s="253"/>
      <c r="D294" s="253"/>
      <c r="E294" s="253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  <c r="Y294" s="255"/>
      <c r="Z294" s="255"/>
      <c r="AA294" s="255"/>
    </row>
    <row r="295">
      <c r="A295" s="253"/>
      <c r="B295" s="253"/>
      <c r="C295" s="253"/>
      <c r="D295" s="253"/>
      <c r="E295" s="253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  <c r="AA295" s="255"/>
    </row>
    <row r="296">
      <c r="A296" s="253"/>
      <c r="B296" s="253"/>
      <c r="C296" s="253"/>
      <c r="D296" s="253"/>
      <c r="E296" s="253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  <c r="Y296" s="255"/>
      <c r="Z296" s="255"/>
      <c r="AA296" s="255"/>
    </row>
    <row r="297">
      <c r="A297" s="253"/>
      <c r="B297" s="253"/>
      <c r="C297" s="253"/>
      <c r="D297" s="253"/>
      <c r="E297" s="253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  <c r="Y297" s="255"/>
      <c r="Z297" s="255"/>
      <c r="AA297" s="255"/>
    </row>
    <row r="298">
      <c r="A298" s="253"/>
      <c r="B298" s="253"/>
      <c r="C298" s="253"/>
      <c r="D298" s="253"/>
      <c r="E298" s="253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  <c r="Y298" s="255"/>
      <c r="Z298" s="255"/>
      <c r="AA298" s="255"/>
    </row>
    <row r="299">
      <c r="A299" s="253"/>
      <c r="B299" s="253"/>
      <c r="C299" s="253"/>
      <c r="D299" s="253"/>
      <c r="E299" s="253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  <c r="Y299" s="255"/>
      <c r="Z299" s="255"/>
      <c r="AA299" s="255"/>
    </row>
    <row r="300">
      <c r="A300" s="253"/>
      <c r="B300" s="253"/>
      <c r="C300" s="253"/>
      <c r="D300" s="253"/>
      <c r="E300" s="253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  <c r="Y300" s="255"/>
      <c r="Z300" s="255"/>
      <c r="AA300" s="255"/>
    </row>
    <row r="301">
      <c r="A301" s="253"/>
      <c r="B301" s="253"/>
      <c r="C301" s="253"/>
      <c r="D301" s="253"/>
      <c r="E301" s="253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  <c r="Y301" s="255"/>
      <c r="Z301" s="255"/>
      <c r="AA301" s="255"/>
    </row>
    <row r="302">
      <c r="A302" s="253"/>
      <c r="B302" s="253"/>
      <c r="C302" s="253"/>
      <c r="D302" s="253"/>
      <c r="E302" s="253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  <c r="Y302" s="255"/>
      <c r="Z302" s="255"/>
      <c r="AA302" s="255"/>
    </row>
    <row r="303">
      <c r="A303" s="253"/>
      <c r="B303" s="253"/>
      <c r="C303" s="253"/>
      <c r="D303" s="253"/>
      <c r="E303" s="253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  <c r="Y303" s="255"/>
      <c r="Z303" s="255"/>
      <c r="AA303" s="255"/>
    </row>
    <row r="304">
      <c r="A304" s="253"/>
      <c r="B304" s="253"/>
      <c r="C304" s="253"/>
      <c r="D304" s="253"/>
      <c r="E304" s="253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  <c r="Y304" s="255"/>
      <c r="Z304" s="255"/>
      <c r="AA304" s="255"/>
    </row>
    <row r="305">
      <c r="A305" s="253"/>
      <c r="B305" s="253"/>
      <c r="C305" s="253"/>
      <c r="D305" s="253"/>
      <c r="E305" s="253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  <c r="Y305" s="255"/>
      <c r="Z305" s="255"/>
      <c r="AA305" s="255"/>
    </row>
    <row r="306">
      <c r="A306" s="253"/>
      <c r="B306" s="253"/>
      <c r="C306" s="253"/>
      <c r="D306" s="253"/>
      <c r="E306" s="253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  <c r="Y306" s="255"/>
      <c r="Z306" s="255"/>
      <c r="AA306" s="255"/>
    </row>
    <row r="307">
      <c r="A307" s="253"/>
      <c r="B307" s="253"/>
      <c r="C307" s="253"/>
      <c r="D307" s="253"/>
      <c r="E307" s="253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  <c r="AA307" s="255"/>
    </row>
    <row r="308">
      <c r="A308" s="253"/>
      <c r="B308" s="253"/>
      <c r="C308" s="253"/>
      <c r="D308" s="253"/>
      <c r="E308" s="253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  <c r="Y308" s="255"/>
      <c r="Z308" s="255"/>
      <c r="AA308" s="255"/>
    </row>
    <row r="309">
      <c r="A309" s="253"/>
      <c r="B309" s="253"/>
      <c r="C309" s="253"/>
      <c r="D309" s="253"/>
      <c r="E309" s="253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  <c r="Y309" s="255"/>
      <c r="Z309" s="255"/>
      <c r="AA309" s="255"/>
    </row>
    <row r="310">
      <c r="A310" s="253"/>
      <c r="B310" s="253"/>
      <c r="C310" s="253"/>
      <c r="D310" s="253"/>
      <c r="E310" s="253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  <c r="Y310" s="255"/>
      <c r="Z310" s="255"/>
      <c r="AA310" s="255"/>
    </row>
    <row r="311">
      <c r="A311" s="253"/>
      <c r="B311" s="253"/>
      <c r="C311" s="253"/>
      <c r="D311" s="253"/>
      <c r="E311" s="253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  <c r="Y311" s="255"/>
      <c r="Z311" s="255"/>
      <c r="AA311" s="255"/>
    </row>
    <row r="312">
      <c r="A312" s="253"/>
      <c r="B312" s="253"/>
      <c r="C312" s="253"/>
      <c r="D312" s="253"/>
      <c r="E312" s="253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  <c r="Y312" s="255"/>
      <c r="Z312" s="255"/>
      <c r="AA312" s="255"/>
    </row>
    <row r="313">
      <c r="A313" s="253"/>
      <c r="B313" s="253"/>
      <c r="C313" s="253"/>
      <c r="D313" s="253"/>
      <c r="E313" s="253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  <c r="Y313" s="255"/>
      <c r="Z313" s="255"/>
      <c r="AA313" s="255"/>
    </row>
    <row r="314">
      <c r="A314" s="253"/>
      <c r="B314" s="253"/>
      <c r="C314" s="253"/>
      <c r="D314" s="253"/>
      <c r="E314" s="253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  <c r="Y314" s="255"/>
      <c r="Z314" s="255"/>
      <c r="AA314" s="255"/>
    </row>
    <row r="315">
      <c r="A315" s="253"/>
      <c r="B315" s="253"/>
      <c r="C315" s="253"/>
      <c r="D315" s="253"/>
      <c r="E315" s="253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  <c r="Y315" s="255"/>
      <c r="Z315" s="255"/>
      <c r="AA315" s="255"/>
    </row>
    <row r="316">
      <c r="A316" s="253"/>
      <c r="B316" s="253"/>
      <c r="C316" s="253"/>
      <c r="D316" s="253"/>
      <c r="E316" s="253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  <c r="Y316" s="255"/>
      <c r="Z316" s="255"/>
      <c r="AA316" s="255"/>
    </row>
    <row r="317">
      <c r="A317" s="253"/>
      <c r="B317" s="253"/>
      <c r="C317" s="253"/>
      <c r="D317" s="253"/>
      <c r="E317" s="253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  <c r="Y317" s="255"/>
      <c r="Z317" s="255"/>
      <c r="AA317" s="255"/>
    </row>
    <row r="318">
      <c r="A318" s="253"/>
      <c r="B318" s="253"/>
      <c r="C318" s="253"/>
      <c r="D318" s="253"/>
      <c r="E318" s="253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  <c r="Y318" s="255"/>
      <c r="Z318" s="255"/>
      <c r="AA318" s="255"/>
    </row>
    <row r="319">
      <c r="A319" s="253"/>
      <c r="B319" s="253"/>
      <c r="C319" s="253"/>
      <c r="D319" s="253"/>
      <c r="E319" s="253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  <c r="AA319" s="255"/>
    </row>
    <row r="320">
      <c r="A320" s="253"/>
      <c r="B320" s="253"/>
      <c r="C320" s="253"/>
      <c r="D320" s="253"/>
      <c r="E320" s="253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  <c r="Y320" s="255"/>
      <c r="Z320" s="255"/>
      <c r="AA320" s="255"/>
    </row>
    <row r="321">
      <c r="A321" s="253"/>
      <c r="B321" s="253"/>
      <c r="C321" s="253"/>
      <c r="D321" s="253"/>
      <c r="E321" s="253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  <c r="Y321" s="255"/>
      <c r="Z321" s="255"/>
      <c r="AA321" s="255"/>
    </row>
    <row r="322">
      <c r="A322" s="253"/>
      <c r="B322" s="253"/>
      <c r="C322" s="253"/>
      <c r="D322" s="253"/>
      <c r="E322" s="253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  <c r="Y322" s="255"/>
      <c r="Z322" s="255"/>
      <c r="AA322" s="255"/>
    </row>
    <row r="323">
      <c r="A323" s="253"/>
      <c r="B323" s="253"/>
      <c r="C323" s="253"/>
      <c r="D323" s="253"/>
      <c r="E323" s="253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  <c r="Y323" s="255"/>
      <c r="Z323" s="255"/>
      <c r="AA323" s="255"/>
    </row>
    <row r="324">
      <c r="A324" s="253"/>
      <c r="B324" s="253"/>
      <c r="C324" s="253"/>
      <c r="D324" s="253"/>
      <c r="E324" s="253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  <c r="Y324" s="255"/>
      <c r="Z324" s="255"/>
      <c r="AA324" s="255"/>
    </row>
    <row r="325">
      <c r="A325" s="253"/>
      <c r="B325" s="253"/>
      <c r="C325" s="253"/>
      <c r="D325" s="253"/>
      <c r="E325" s="253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  <c r="Y325" s="255"/>
      <c r="Z325" s="255"/>
      <c r="AA325" s="255"/>
    </row>
    <row r="326">
      <c r="A326" s="253"/>
      <c r="B326" s="253"/>
      <c r="C326" s="253"/>
      <c r="D326" s="253"/>
      <c r="E326" s="253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  <c r="Y326" s="255"/>
      <c r="Z326" s="255"/>
      <c r="AA326" s="255"/>
    </row>
    <row r="327">
      <c r="A327" s="253"/>
      <c r="B327" s="253"/>
      <c r="C327" s="253"/>
      <c r="D327" s="253"/>
      <c r="E327" s="253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  <c r="Y327" s="255"/>
      <c r="Z327" s="255"/>
      <c r="AA327" s="255"/>
    </row>
    <row r="328">
      <c r="A328" s="253"/>
      <c r="B328" s="253"/>
      <c r="C328" s="253"/>
      <c r="D328" s="253"/>
      <c r="E328" s="253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  <c r="Y328" s="255"/>
      <c r="Z328" s="255"/>
      <c r="AA328" s="255"/>
    </row>
    <row r="329">
      <c r="A329" s="253"/>
      <c r="B329" s="253"/>
      <c r="C329" s="253"/>
      <c r="D329" s="253"/>
      <c r="E329" s="253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  <c r="Y329" s="255"/>
      <c r="Z329" s="255"/>
      <c r="AA329" s="255"/>
    </row>
    <row r="330">
      <c r="A330" s="253"/>
      <c r="B330" s="253"/>
      <c r="C330" s="253"/>
      <c r="D330" s="253"/>
      <c r="E330" s="253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  <c r="Y330" s="255"/>
      <c r="Z330" s="255"/>
      <c r="AA330" s="255"/>
    </row>
    <row r="331">
      <c r="A331" s="253"/>
      <c r="B331" s="253"/>
      <c r="C331" s="253"/>
      <c r="D331" s="253"/>
      <c r="E331" s="253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  <c r="Y331" s="255"/>
      <c r="Z331" s="255"/>
      <c r="AA331" s="255"/>
    </row>
    <row r="332">
      <c r="A332" s="253"/>
      <c r="B332" s="253"/>
      <c r="C332" s="253"/>
      <c r="D332" s="253"/>
      <c r="E332" s="253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  <c r="Y332" s="255"/>
      <c r="Z332" s="255"/>
      <c r="AA332" s="255"/>
    </row>
    <row r="333">
      <c r="A333" s="253"/>
      <c r="B333" s="253"/>
      <c r="C333" s="253"/>
      <c r="D333" s="253"/>
      <c r="E333" s="253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  <c r="Y333" s="255"/>
      <c r="Z333" s="255"/>
      <c r="AA333" s="255"/>
    </row>
    <row r="334">
      <c r="A334" s="253"/>
      <c r="B334" s="253"/>
      <c r="C334" s="253"/>
      <c r="D334" s="253"/>
      <c r="E334" s="253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  <c r="Y334" s="255"/>
      <c r="Z334" s="255"/>
      <c r="AA334" s="255"/>
    </row>
    <row r="335">
      <c r="A335" s="253"/>
      <c r="B335" s="253"/>
      <c r="C335" s="253"/>
      <c r="D335" s="253"/>
      <c r="E335" s="253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  <c r="Y335" s="255"/>
      <c r="Z335" s="255"/>
      <c r="AA335" s="255"/>
    </row>
    <row r="336">
      <c r="A336" s="253"/>
      <c r="B336" s="253"/>
      <c r="C336" s="253"/>
      <c r="D336" s="253"/>
      <c r="E336" s="253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  <c r="Y336" s="255"/>
      <c r="Z336" s="255"/>
      <c r="AA336" s="255"/>
    </row>
    <row r="337">
      <c r="A337" s="253"/>
      <c r="B337" s="253"/>
      <c r="C337" s="253"/>
      <c r="D337" s="253"/>
      <c r="E337" s="253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  <c r="Y337" s="255"/>
      <c r="Z337" s="255"/>
      <c r="AA337" s="255"/>
    </row>
    <row r="338">
      <c r="A338" s="253"/>
      <c r="B338" s="253"/>
      <c r="C338" s="253"/>
      <c r="D338" s="253"/>
      <c r="E338" s="253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  <c r="Y338" s="255"/>
      <c r="Z338" s="255"/>
      <c r="AA338" s="255"/>
    </row>
    <row r="339">
      <c r="A339" s="253"/>
      <c r="B339" s="253"/>
      <c r="C339" s="253"/>
      <c r="D339" s="253"/>
      <c r="E339" s="253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  <c r="Y339" s="255"/>
      <c r="Z339" s="255"/>
      <c r="AA339" s="255"/>
    </row>
    <row r="340">
      <c r="A340" s="253"/>
      <c r="B340" s="253"/>
      <c r="C340" s="253"/>
      <c r="D340" s="253"/>
      <c r="E340" s="253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  <c r="Y340" s="255"/>
      <c r="Z340" s="255"/>
      <c r="AA340" s="255"/>
    </row>
    <row r="341">
      <c r="A341" s="253"/>
      <c r="B341" s="253"/>
      <c r="C341" s="253"/>
      <c r="D341" s="253"/>
      <c r="E341" s="253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  <c r="Y341" s="255"/>
      <c r="Z341" s="255"/>
      <c r="AA341" s="255"/>
    </row>
    <row r="342">
      <c r="A342" s="253"/>
      <c r="B342" s="253"/>
      <c r="C342" s="253"/>
      <c r="D342" s="253"/>
      <c r="E342" s="253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  <c r="Y342" s="255"/>
      <c r="Z342" s="255"/>
      <c r="AA342" s="255"/>
    </row>
    <row r="343">
      <c r="A343" s="253"/>
      <c r="B343" s="253"/>
      <c r="C343" s="253"/>
      <c r="D343" s="253"/>
      <c r="E343" s="253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  <c r="Y343" s="255"/>
      <c r="Z343" s="255"/>
      <c r="AA343" s="255"/>
    </row>
    <row r="344">
      <c r="A344" s="253"/>
      <c r="B344" s="253"/>
      <c r="C344" s="253"/>
      <c r="D344" s="253"/>
      <c r="E344" s="253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  <c r="Y344" s="255"/>
      <c r="Z344" s="255"/>
      <c r="AA344" s="255"/>
    </row>
    <row r="345">
      <c r="A345" s="253"/>
      <c r="B345" s="253"/>
      <c r="C345" s="253"/>
      <c r="D345" s="253"/>
      <c r="E345" s="253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  <c r="Y345" s="255"/>
      <c r="Z345" s="255"/>
      <c r="AA345" s="255"/>
    </row>
    <row r="346">
      <c r="A346" s="253"/>
      <c r="B346" s="253"/>
      <c r="C346" s="253"/>
      <c r="D346" s="253"/>
      <c r="E346" s="253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  <c r="Y346" s="255"/>
      <c r="Z346" s="255"/>
      <c r="AA346" s="255"/>
    </row>
    <row r="347">
      <c r="A347" s="253"/>
      <c r="B347" s="253"/>
      <c r="C347" s="253"/>
      <c r="D347" s="253"/>
      <c r="E347" s="253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  <c r="Y347" s="255"/>
      <c r="Z347" s="255"/>
      <c r="AA347" s="255"/>
    </row>
    <row r="348">
      <c r="A348" s="253"/>
      <c r="B348" s="253"/>
      <c r="C348" s="253"/>
      <c r="D348" s="253"/>
      <c r="E348" s="253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  <c r="Y348" s="255"/>
      <c r="Z348" s="255"/>
      <c r="AA348" s="255"/>
    </row>
    <row r="349">
      <c r="A349" s="253"/>
      <c r="B349" s="253"/>
      <c r="C349" s="253"/>
      <c r="D349" s="253"/>
      <c r="E349" s="253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  <c r="Y349" s="255"/>
      <c r="Z349" s="255"/>
      <c r="AA349" s="255"/>
    </row>
    <row r="350">
      <c r="A350" s="253"/>
      <c r="B350" s="253"/>
      <c r="C350" s="253"/>
      <c r="D350" s="253"/>
      <c r="E350" s="253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  <c r="Y350" s="255"/>
      <c r="Z350" s="255"/>
      <c r="AA350" s="255"/>
    </row>
    <row r="351">
      <c r="A351" s="253"/>
      <c r="B351" s="253"/>
      <c r="C351" s="253"/>
      <c r="D351" s="253"/>
      <c r="E351" s="253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  <c r="Y351" s="255"/>
      <c r="Z351" s="255"/>
      <c r="AA351" s="255"/>
    </row>
    <row r="352">
      <c r="A352" s="253"/>
      <c r="B352" s="253"/>
      <c r="C352" s="253"/>
      <c r="D352" s="253"/>
      <c r="E352" s="253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  <c r="Y352" s="255"/>
      <c r="Z352" s="255"/>
      <c r="AA352" s="255"/>
    </row>
    <row r="353">
      <c r="A353" s="253"/>
      <c r="B353" s="253"/>
      <c r="C353" s="253"/>
      <c r="D353" s="253"/>
      <c r="E353" s="253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  <c r="Y353" s="255"/>
      <c r="Z353" s="255"/>
      <c r="AA353" s="255"/>
    </row>
    <row r="354">
      <c r="A354" s="253"/>
      <c r="B354" s="253"/>
      <c r="C354" s="253"/>
      <c r="D354" s="253"/>
      <c r="E354" s="253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  <c r="Y354" s="255"/>
      <c r="Z354" s="255"/>
      <c r="AA354" s="255"/>
    </row>
    <row r="355">
      <c r="A355" s="253"/>
      <c r="B355" s="253"/>
      <c r="C355" s="253"/>
      <c r="D355" s="253"/>
      <c r="E355" s="253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  <c r="Y355" s="255"/>
      <c r="Z355" s="255"/>
      <c r="AA355" s="255"/>
    </row>
    <row r="356">
      <c r="A356" s="253"/>
      <c r="B356" s="253"/>
      <c r="C356" s="253"/>
      <c r="D356" s="253"/>
      <c r="E356" s="253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  <c r="Y356" s="255"/>
      <c r="Z356" s="255"/>
      <c r="AA356" s="255"/>
    </row>
    <row r="357">
      <c r="A357" s="253"/>
      <c r="B357" s="253"/>
      <c r="C357" s="253"/>
      <c r="D357" s="253"/>
      <c r="E357" s="253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  <c r="Y357" s="255"/>
      <c r="Z357" s="255"/>
      <c r="AA357" s="255"/>
    </row>
    <row r="358">
      <c r="A358" s="253"/>
      <c r="B358" s="253"/>
      <c r="C358" s="253"/>
      <c r="D358" s="253"/>
      <c r="E358" s="253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  <c r="Y358" s="255"/>
      <c r="Z358" s="255"/>
      <c r="AA358" s="255"/>
    </row>
    <row r="359">
      <c r="A359" s="253"/>
      <c r="B359" s="253"/>
      <c r="C359" s="253"/>
      <c r="D359" s="253"/>
      <c r="E359" s="253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  <c r="Y359" s="255"/>
      <c r="Z359" s="255"/>
      <c r="AA359" s="255"/>
    </row>
    <row r="360">
      <c r="A360" s="253"/>
      <c r="B360" s="253"/>
      <c r="C360" s="253"/>
      <c r="D360" s="253"/>
      <c r="E360" s="253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  <c r="Y360" s="255"/>
      <c r="Z360" s="255"/>
      <c r="AA360" s="255"/>
    </row>
    <row r="361">
      <c r="A361" s="253"/>
      <c r="B361" s="253"/>
      <c r="C361" s="253"/>
      <c r="D361" s="253"/>
      <c r="E361" s="253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  <c r="Y361" s="255"/>
      <c r="Z361" s="255"/>
      <c r="AA361" s="255"/>
    </row>
    <row r="362">
      <c r="A362" s="253"/>
      <c r="B362" s="253"/>
      <c r="C362" s="253"/>
      <c r="D362" s="253"/>
      <c r="E362" s="253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  <c r="Y362" s="255"/>
      <c r="Z362" s="255"/>
      <c r="AA362" s="255"/>
    </row>
    <row r="363">
      <c r="A363" s="253"/>
      <c r="B363" s="253"/>
      <c r="C363" s="253"/>
      <c r="D363" s="253"/>
      <c r="E363" s="253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  <c r="Y363" s="255"/>
      <c r="Z363" s="255"/>
      <c r="AA363" s="255"/>
    </row>
    <row r="364">
      <c r="A364" s="253"/>
      <c r="B364" s="253"/>
      <c r="C364" s="253"/>
      <c r="D364" s="253"/>
      <c r="E364" s="253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  <c r="Y364" s="255"/>
      <c r="Z364" s="255"/>
      <c r="AA364" s="255"/>
    </row>
    <row r="365">
      <c r="A365" s="253"/>
      <c r="B365" s="253"/>
      <c r="C365" s="253"/>
      <c r="D365" s="253"/>
      <c r="E365" s="253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  <c r="Y365" s="255"/>
      <c r="Z365" s="255"/>
      <c r="AA365" s="255"/>
    </row>
    <row r="366">
      <c r="A366" s="253"/>
      <c r="B366" s="253"/>
      <c r="C366" s="253"/>
      <c r="D366" s="253"/>
      <c r="E366" s="253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  <c r="Y366" s="255"/>
      <c r="Z366" s="255"/>
      <c r="AA366" s="255"/>
    </row>
    <row r="367">
      <c r="A367" s="253"/>
      <c r="B367" s="253"/>
      <c r="C367" s="253"/>
      <c r="D367" s="253"/>
      <c r="E367" s="253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  <c r="Y367" s="255"/>
      <c r="Z367" s="255"/>
      <c r="AA367" s="255"/>
    </row>
    <row r="368">
      <c r="A368" s="253"/>
      <c r="B368" s="253"/>
      <c r="C368" s="253"/>
      <c r="D368" s="253"/>
      <c r="E368" s="253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  <c r="Y368" s="255"/>
      <c r="Z368" s="255"/>
      <c r="AA368" s="255"/>
    </row>
    <row r="369">
      <c r="A369" s="253"/>
      <c r="B369" s="253"/>
      <c r="C369" s="253"/>
      <c r="D369" s="253"/>
      <c r="E369" s="253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  <c r="AA369" s="255"/>
    </row>
    <row r="370">
      <c r="A370" s="253"/>
      <c r="B370" s="253"/>
      <c r="C370" s="253"/>
      <c r="D370" s="253"/>
      <c r="E370" s="253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  <c r="Y370" s="255"/>
      <c r="Z370" s="255"/>
      <c r="AA370" s="255"/>
    </row>
    <row r="371">
      <c r="A371" s="253"/>
      <c r="B371" s="253"/>
      <c r="C371" s="253"/>
      <c r="D371" s="253"/>
      <c r="E371" s="253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  <c r="Y371" s="255"/>
      <c r="Z371" s="255"/>
      <c r="AA371" s="255"/>
    </row>
    <row r="372">
      <c r="A372" s="253"/>
      <c r="B372" s="253"/>
      <c r="C372" s="253"/>
      <c r="D372" s="253"/>
      <c r="E372" s="253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  <c r="Y372" s="255"/>
      <c r="Z372" s="255"/>
      <c r="AA372" s="255"/>
    </row>
    <row r="373">
      <c r="A373" s="253"/>
      <c r="B373" s="253"/>
      <c r="C373" s="253"/>
      <c r="D373" s="253"/>
      <c r="E373" s="253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  <c r="AA373" s="255"/>
    </row>
    <row r="374">
      <c r="A374" s="253"/>
      <c r="B374" s="253"/>
      <c r="C374" s="253"/>
      <c r="D374" s="253"/>
      <c r="E374" s="253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  <c r="AA374" s="255"/>
    </row>
    <row r="375">
      <c r="A375" s="253"/>
      <c r="B375" s="253"/>
      <c r="C375" s="253"/>
      <c r="D375" s="253"/>
      <c r="E375" s="253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  <c r="AA375" s="255"/>
    </row>
    <row r="376">
      <c r="A376" s="253"/>
      <c r="B376" s="253"/>
      <c r="C376" s="253"/>
      <c r="D376" s="253"/>
      <c r="E376" s="253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  <c r="AA376" s="255"/>
    </row>
    <row r="377">
      <c r="A377" s="253"/>
      <c r="B377" s="253"/>
      <c r="C377" s="253"/>
      <c r="D377" s="253"/>
      <c r="E377" s="253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  <c r="AA377" s="255"/>
    </row>
    <row r="378">
      <c r="A378" s="253"/>
      <c r="B378" s="253"/>
      <c r="C378" s="253"/>
      <c r="D378" s="253"/>
      <c r="E378" s="253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  <c r="AA378" s="255"/>
    </row>
    <row r="379">
      <c r="A379" s="253"/>
      <c r="B379" s="253"/>
      <c r="C379" s="253"/>
      <c r="D379" s="253"/>
      <c r="E379" s="253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  <c r="AA379" s="255"/>
    </row>
    <row r="380">
      <c r="A380" s="253"/>
      <c r="B380" s="253"/>
      <c r="C380" s="253"/>
      <c r="D380" s="253"/>
      <c r="E380" s="253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  <c r="AA380" s="255"/>
    </row>
    <row r="381">
      <c r="A381" s="253"/>
      <c r="B381" s="253"/>
      <c r="C381" s="253"/>
      <c r="D381" s="253"/>
      <c r="E381" s="253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  <c r="AA381" s="255"/>
    </row>
    <row r="382">
      <c r="A382" s="253"/>
      <c r="B382" s="253"/>
      <c r="C382" s="253"/>
      <c r="D382" s="253"/>
      <c r="E382" s="253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  <c r="AA382" s="255"/>
    </row>
    <row r="383">
      <c r="A383" s="253"/>
      <c r="B383" s="253"/>
      <c r="C383" s="253"/>
      <c r="D383" s="253"/>
      <c r="E383" s="253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  <c r="AA383" s="255"/>
    </row>
    <row r="384">
      <c r="A384" s="253"/>
      <c r="B384" s="253"/>
      <c r="C384" s="253"/>
      <c r="D384" s="253"/>
      <c r="E384" s="253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  <c r="Y384" s="255"/>
      <c r="Z384" s="255"/>
      <c r="AA384" s="255"/>
    </row>
    <row r="385">
      <c r="A385" s="253"/>
      <c r="B385" s="253"/>
      <c r="C385" s="253"/>
      <c r="D385" s="253"/>
      <c r="E385" s="253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  <c r="Y385" s="255"/>
      <c r="Z385" s="255"/>
      <c r="AA385" s="255"/>
    </row>
    <row r="386">
      <c r="A386" s="253"/>
      <c r="B386" s="253"/>
      <c r="C386" s="253"/>
      <c r="D386" s="253"/>
      <c r="E386" s="253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  <c r="Y386" s="255"/>
      <c r="Z386" s="255"/>
      <c r="AA386" s="255"/>
    </row>
    <row r="387">
      <c r="A387" s="253"/>
      <c r="B387" s="253"/>
      <c r="C387" s="253"/>
      <c r="D387" s="253"/>
      <c r="E387" s="253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  <c r="Y387" s="255"/>
      <c r="Z387" s="255"/>
      <c r="AA387" s="255"/>
    </row>
    <row r="388">
      <c r="A388" s="253"/>
      <c r="B388" s="253"/>
      <c r="C388" s="253"/>
      <c r="D388" s="253"/>
      <c r="E388" s="253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  <c r="Y388" s="255"/>
      <c r="Z388" s="255"/>
      <c r="AA388" s="255"/>
    </row>
    <row r="389">
      <c r="A389" s="253"/>
      <c r="B389" s="253"/>
      <c r="C389" s="253"/>
      <c r="D389" s="253"/>
      <c r="E389" s="253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  <c r="Y389" s="255"/>
      <c r="Z389" s="255"/>
      <c r="AA389" s="255"/>
    </row>
    <row r="390">
      <c r="A390" s="253"/>
      <c r="B390" s="253"/>
      <c r="C390" s="253"/>
      <c r="D390" s="253"/>
      <c r="E390" s="253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  <c r="Y390" s="255"/>
      <c r="Z390" s="255"/>
      <c r="AA390" s="255"/>
    </row>
    <row r="391">
      <c r="A391" s="253"/>
      <c r="B391" s="253"/>
      <c r="C391" s="253"/>
      <c r="D391" s="253"/>
      <c r="E391" s="253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  <c r="Y391" s="255"/>
      <c r="Z391" s="255"/>
      <c r="AA391" s="255"/>
    </row>
    <row r="392">
      <c r="A392" s="253"/>
      <c r="B392" s="253"/>
      <c r="C392" s="253"/>
      <c r="D392" s="253"/>
      <c r="E392" s="253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  <c r="Y392" s="255"/>
      <c r="Z392" s="255"/>
      <c r="AA392" s="255"/>
    </row>
    <row r="393">
      <c r="A393" s="253"/>
      <c r="B393" s="253"/>
      <c r="C393" s="253"/>
      <c r="D393" s="253"/>
      <c r="E393" s="253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  <c r="Y393" s="255"/>
      <c r="Z393" s="255"/>
      <c r="AA393" s="255"/>
    </row>
    <row r="394">
      <c r="A394" s="253"/>
      <c r="B394" s="253"/>
      <c r="C394" s="253"/>
      <c r="D394" s="253"/>
      <c r="E394" s="253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  <c r="Y394" s="255"/>
      <c r="Z394" s="255"/>
      <c r="AA394" s="255"/>
    </row>
    <row r="395">
      <c r="A395" s="253"/>
      <c r="B395" s="253"/>
      <c r="C395" s="253"/>
      <c r="D395" s="253"/>
      <c r="E395" s="253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  <c r="Y395" s="255"/>
      <c r="Z395" s="255"/>
      <c r="AA395" s="255"/>
    </row>
    <row r="396">
      <c r="A396" s="253"/>
      <c r="B396" s="253"/>
      <c r="C396" s="253"/>
      <c r="D396" s="253"/>
      <c r="E396" s="253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  <c r="Y396" s="255"/>
      <c r="Z396" s="255"/>
      <c r="AA396" s="255"/>
    </row>
    <row r="397">
      <c r="A397" s="253"/>
      <c r="B397" s="253"/>
      <c r="C397" s="253"/>
      <c r="D397" s="253"/>
      <c r="E397" s="253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  <c r="Y397" s="255"/>
      <c r="Z397" s="255"/>
      <c r="AA397" s="255"/>
    </row>
    <row r="398">
      <c r="A398" s="253"/>
      <c r="B398" s="253"/>
      <c r="C398" s="253"/>
      <c r="D398" s="253"/>
      <c r="E398" s="253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  <c r="Y398" s="255"/>
      <c r="Z398" s="255"/>
      <c r="AA398" s="255"/>
    </row>
    <row r="399">
      <c r="A399" s="253"/>
      <c r="B399" s="253"/>
      <c r="C399" s="253"/>
      <c r="D399" s="253"/>
      <c r="E399" s="253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  <c r="Y399" s="255"/>
      <c r="Z399" s="255"/>
      <c r="AA399" s="255"/>
    </row>
    <row r="400">
      <c r="A400" s="253"/>
      <c r="B400" s="253"/>
      <c r="C400" s="253"/>
      <c r="D400" s="253"/>
      <c r="E400" s="253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  <c r="Y400" s="255"/>
      <c r="Z400" s="255"/>
      <c r="AA400" s="255"/>
    </row>
    <row r="401">
      <c r="A401" s="253"/>
      <c r="B401" s="253"/>
      <c r="C401" s="253"/>
      <c r="D401" s="253"/>
      <c r="E401" s="253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  <c r="Y401" s="255"/>
      <c r="Z401" s="255"/>
      <c r="AA401" s="255"/>
    </row>
    <row r="402">
      <c r="A402" s="253"/>
      <c r="B402" s="253"/>
      <c r="C402" s="253"/>
      <c r="D402" s="253"/>
      <c r="E402" s="253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  <c r="Y402" s="255"/>
      <c r="Z402" s="255"/>
      <c r="AA402" s="255"/>
    </row>
    <row r="403">
      <c r="A403" s="253"/>
      <c r="B403" s="253"/>
      <c r="C403" s="253"/>
      <c r="D403" s="253"/>
      <c r="E403" s="253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  <c r="Y403" s="255"/>
      <c r="Z403" s="255"/>
      <c r="AA403" s="255"/>
    </row>
    <row r="404">
      <c r="A404" s="253"/>
      <c r="B404" s="253"/>
      <c r="C404" s="253"/>
      <c r="D404" s="253"/>
      <c r="E404" s="253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  <c r="Y404" s="255"/>
      <c r="Z404" s="255"/>
      <c r="AA404" s="255"/>
    </row>
    <row r="405">
      <c r="A405" s="253"/>
      <c r="B405" s="253"/>
      <c r="C405" s="253"/>
      <c r="D405" s="253"/>
      <c r="E405" s="253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  <c r="Y405" s="255"/>
      <c r="Z405" s="255"/>
      <c r="AA405" s="255"/>
    </row>
    <row r="406">
      <c r="A406" s="253"/>
      <c r="B406" s="253"/>
      <c r="C406" s="253"/>
      <c r="D406" s="253"/>
      <c r="E406" s="253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  <c r="Y406" s="255"/>
      <c r="Z406" s="255"/>
      <c r="AA406" s="255"/>
    </row>
    <row r="407">
      <c r="A407" s="253"/>
      <c r="B407" s="253"/>
      <c r="C407" s="253"/>
      <c r="D407" s="253"/>
      <c r="E407" s="253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  <c r="Y407" s="255"/>
      <c r="Z407" s="255"/>
      <c r="AA407" s="255"/>
    </row>
    <row r="408">
      <c r="A408" s="253"/>
      <c r="B408" s="253"/>
      <c r="C408" s="253"/>
      <c r="D408" s="253"/>
      <c r="E408" s="253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  <c r="Y408" s="255"/>
      <c r="Z408" s="255"/>
      <c r="AA408" s="255"/>
    </row>
    <row r="409">
      <c r="A409" s="253"/>
      <c r="B409" s="253"/>
      <c r="C409" s="253"/>
      <c r="D409" s="253"/>
      <c r="E409" s="253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  <c r="Y409" s="255"/>
      <c r="Z409" s="255"/>
      <c r="AA409" s="255"/>
    </row>
    <row r="410">
      <c r="A410" s="253"/>
      <c r="B410" s="253"/>
      <c r="C410" s="253"/>
      <c r="D410" s="253"/>
      <c r="E410" s="253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  <c r="Y410" s="255"/>
      <c r="Z410" s="255"/>
      <c r="AA410" s="255"/>
    </row>
    <row r="411">
      <c r="A411" s="253"/>
      <c r="B411" s="253"/>
      <c r="C411" s="253"/>
      <c r="D411" s="253"/>
      <c r="E411" s="253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  <c r="Y411" s="255"/>
      <c r="Z411" s="255"/>
      <c r="AA411" s="255"/>
    </row>
    <row r="412">
      <c r="A412" s="253"/>
      <c r="B412" s="253"/>
      <c r="C412" s="253"/>
      <c r="D412" s="253"/>
      <c r="E412" s="253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  <c r="Y412" s="255"/>
      <c r="Z412" s="255"/>
      <c r="AA412" s="255"/>
    </row>
    <row r="413">
      <c r="A413" s="253"/>
      <c r="B413" s="253"/>
      <c r="C413" s="253"/>
      <c r="D413" s="253"/>
      <c r="E413" s="253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  <c r="Y413" s="255"/>
      <c r="Z413" s="255"/>
      <c r="AA413" s="255"/>
    </row>
    <row r="414">
      <c r="A414" s="253"/>
      <c r="B414" s="253"/>
      <c r="C414" s="253"/>
      <c r="D414" s="253"/>
      <c r="E414" s="253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  <c r="Y414" s="255"/>
      <c r="Z414" s="255"/>
      <c r="AA414" s="255"/>
    </row>
    <row r="415">
      <c r="A415" s="253"/>
      <c r="B415" s="253"/>
      <c r="C415" s="253"/>
      <c r="D415" s="253"/>
      <c r="E415" s="253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  <c r="Y415" s="255"/>
      <c r="Z415" s="255"/>
      <c r="AA415" s="255"/>
    </row>
    <row r="416">
      <c r="A416" s="253"/>
      <c r="B416" s="253"/>
      <c r="C416" s="253"/>
      <c r="D416" s="253"/>
      <c r="E416" s="253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  <c r="Y416" s="255"/>
      <c r="Z416" s="255"/>
      <c r="AA416" s="255"/>
    </row>
    <row r="417">
      <c r="A417" s="253"/>
      <c r="B417" s="253"/>
      <c r="C417" s="253"/>
      <c r="D417" s="253"/>
      <c r="E417" s="253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  <c r="Y417" s="255"/>
      <c r="Z417" s="255"/>
      <c r="AA417" s="255"/>
    </row>
    <row r="418">
      <c r="A418" s="253"/>
      <c r="B418" s="253"/>
      <c r="C418" s="253"/>
      <c r="D418" s="253"/>
      <c r="E418" s="253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  <c r="Y418" s="255"/>
      <c r="Z418" s="255"/>
      <c r="AA418" s="255"/>
    </row>
    <row r="419">
      <c r="A419" s="253"/>
      <c r="B419" s="253"/>
      <c r="C419" s="253"/>
      <c r="D419" s="253"/>
      <c r="E419" s="253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  <c r="Y419" s="255"/>
      <c r="Z419" s="255"/>
      <c r="AA419" s="255"/>
    </row>
    <row r="420">
      <c r="A420" s="253"/>
      <c r="B420" s="253"/>
      <c r="C420" s="253"/>
      <c r="D420" s="253"/>
      <c r="E420" s="253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  <c r="Y420" s="255"/>
      <c r="Z420" s="255"/>
      <c r="AA420" s="255"/>
    </row>
    <row r="421">
      <c r="A421" s="253"/>
      <c r="B421" s="253"/>
      <c r="C421" s="253"/>
      <c r="D421" s="253"/>
      <c r="E421" s="253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  <c r="Y421" s="255"/>
      <c r="Z421" s="255"/>
      <c r="AA421" s="255"/>
    </row>
    <row r="422">
      <c r="A422" s="253"/>
      <c r="B422" s="253"/>
      <c r="C422" s="253"/>
      <c r="D422" s="253"/>
      <c r="E422" s="253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  <c r="AA422" s="255"/>
    </row>
    <row r="423">
      <c r="A423" s="253"/>
      <c r="B423" s="253"/>
      <c r="C423" s="253"/>
      <c r="D423" s="253"/>
      <c r="E423" s="253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  <c r="Y423" s="255"/>
      <c r="Z423" s="255"/>
      <c r="AA423" s="255"/>
    </row>
    <row r="424">
      <c r="A424" s="253"/>
      <c r="B424" s="253"/>
      <c r="C424" s="253"/>
      <c r="D424" s="253"/>
      <c r="E424" s="253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  <c r="Y424" s="255"/>
      <c r="Z424" s="255"/>
      <c r="AA424" s="255"/>
    </row>
    <row r="425">
      <c r="A425" s="253"/>
      <c r="B425" s="253"/>
      <c r="C425" s="253"/>
      <c r="D425" s="253"/>
      <c r="E425" s="253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  <c r="AA425" s="255"/>
    </row>
    <row r="426">
      <c r="A426" s="253"/>
      <c r="B426" s="253"/>
      <c r="C426" s="253"/>
      <c r="D426" s="253"/>
      <c r="E426" s="253"/>
      <c r="F426" s="255"/>
      <c r="G426" s="255"/>
      <c r="H426" s="255"/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  <c r="Y426" s="255"/>
      <c r="Z426" s="255"/>
      <c r="AA426" s="255"/>
    </row>
    <row r="427">
      <c r="A427" s="253"/>
      <c r="B427" s="253"/>
      <c r="C427" s="253"/>
      <c r="D427" s="253"/>
      <c r="E427" s="253"/>
      <c r="F427" s="255"/>
      <c r="G427" s="255"/>
      <c r="H427" s="255"/>
      <c r="I427" s="255"/>
      <c r="J427" s="255"/>
      <c r="K427" s="255"/>
      <c r="L427" s="255"/>
      <c r="M427" s="255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  <c r="Y427" s="255"/>
      <c r="Z427" s="255"/>
      <c r="AA427" s="255"/>
    </row>
    <row r="428">
      <c r="A428" s="253"/>
      <c r="B428" s="253"/>
      <c r="C428" s="253"/>
      <c r="D428" s="253"/>
      <c r="E428" s="253"/>
      <c r="F428" s="255"/>
      <c r="G428" s="255"/>
      <c r="H428" s="255"/>
      <c r="I428" s="255"/>
      <c r="J428" s="255"/>
      <c r="K428" s="255"/>
      <c r="L428" s="255"/>
      <c r="M428" s="255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  <c r="Y428" s="255"/>
      <c r="Z428" s="255"/>
      <c r="AA428" s="255"/>
    </row>
    <row r="429">
      <c r="A429" s="253"/>
      <c r="B429" s="253"/>
      <c r="C429" s="253"/>
      <c r="D429" s="253"/>
      <c r="E429" s="253"/>
      <c r="F429" s="255"/>
      <c r="G429" s="255"/>
      <c r="H429" s="255"/>
      <c r="I429" s="255"/>
      <c r="J429" s="255"/>
      <c r="K429" s="255"/>
      <c r="L429" s="255"/>
      <c r="M429" s="255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  <c r="Y429" s="255"/>
      <c r="Z429" s="255"/>
      <c r="AA429" s="255"/>
    </row>
    <row r="430">
      <c r="A430" s="253"/>
      <c r="B430" s="253"/>
      <c r="C430" s="253"/>
      <c r="D430" s="253"/>
      <c r="E430" s="253"/>
      <c r="F430" s="255"/>
      <c r="G430" s="255"/>
      <c r="H430" s="255"/>
      <c r="I430" s="255"/>
      <c r="J430" s="255"/>
      <c r="K430" s="255"/>
      <c r="L430" s="255"/>
      <c r="M430" s="255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  <c r="Y430" s="255"/>
      <c r="Z430" s="255"/>
      <c r="AA430" s="255"/>
    </row>
    <row r="431">
      <c r="A431" s="253"/>
      <c r="B431" s="253"/>
      <c r="C431" s="253"/>
      <c r="D431" s="253"/>
      <c r="E431" s="253"/>
      <c r="F431" s="255"/>
      <c r="G431" s="255"/>
      <c r="H431" s="255"/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  <c r="Y431" s="255"/>
      <c r="Z431" s="255"/>
      <c r="AA431" s="255"/>
    </row>
    <row r="432">
      <c r="A432" s="253"/>
      <c r="B432" s="253"/>
      <c r="C432" s="253"/>
      <c r="D432" s="253"/>
      <c r="E432" s="253"/>
      <c r="F432" s="255"/>
      <c r="G432" s="255"/>
      <c r="H432" s="255"/>
      <c r="I432" s="255"/>
      <c r="J432" s="255"/>
      <c r="K432" s="255"/>
      <c r="L432" s="255"/>
      <c r="M432" s="255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  <c r="Y432" s="255"/>
      <c r="Z432" s="255"/>
      <c r="AA432" s="255"/>
    </row>
    <row r="433">
      <c r="A433" s="253"/>
      <c r="B433" s="253"/>
      <c r="C433" s="253"/>
      <c r="D433" s="253"/>
      <c r="E433" s="253"/>
      <c r="F433" s="255"/>
      <c r="G433" s="255"/>
      <c r="H433" s="255"/>
      <c r="I433" s="255"/>
      <c r="J433" s="255"/>
      <c r="K433" s="255"/>
      <c r="L433" s="255"/>
      <c r="M433" s="255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  <c r="Y433" s="255"/>
      <c r="Z433" s="255"/>
      <c r="AA433" s="255"/>
    </row>
    <row r="434">
      <c r="A434" s="253"/>
      <c r="B434" s="253"/>
      <c r="C434" s="253"/>
      <c r="D434" s="253"/>
      <c r="E434" s="253"/>
      <c r="F434" s="255"/>
      <c r="G434" s="255"/>
      <c r="H434" s="255"/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  <c r="Y434" s="255"/>
      <c r="Z434" s="255"/>
      <c r="AA434" s="255"/>
    </row>
    <row r="435">
      <c r="A435" s="253"/>
      <c r="B435" s="253"/>
      <c r="C435" s="253"/>
      <c r="D435" s="253"/>
      <c r="E435" s="253"/>
      <c r="F435" s="255"/>
      <c r="G435" s="255"/>
      <c r="H435" s="255"/>
      <c r="I435" s="255"/>
      <c r="J435" s="255"/>
      <c r="K435" s="255"/>
      <c r="L435" s="255"/>
      <c r="M435" s="255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  <c r="Y435" s="255"/>
      <c r="Z435" s="255"/>
      <c r="AA435" s="255"/>
    </row>
    <row r="436">
      <c r="A436" s="253"/>
      <c r="B436" s="253"/>
      <c r="C436" s="253"/>
      <c r="D436" s="253"/>
      <c r="E436" s="253"/>
      <c r="F436" s="255"/>
      <c r="G436" s="255"/>
      <c r="H436" s="255"/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  <c r="Y436" s="255"/>
      <c r="Z436" s="255"/>
      <c r="AA436" s="255"/>
    </row>
    <row r="437">
      <c r="A437" s="253"/>
      <c r="B437" s="253"/>
      <c r="C437" s="253"/>
      <c r="D437" s="253"/>
      <c r="E437" s="253"/>
      <c r="F437" s="255"/>
      <c r="G437" s="255"/>
      <c r="H437" s="255"/>
      <c r="I437" s="255"/>
      <c r="J437" s="255"/>
      <c r="K437" s="255"/>
      <c r="L437" s="255"/>
      <c r="M437" s="255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  <c r="Y437" s="255"/>
      <c r="Z437" s="255"/>
      <c r="AA437" s="255"/>
    </row>
    <row r="438">
      <c r="A438" s="253"/>
      <c r="B438" s="253"/>
      <c r="C438" s="253"/>
      <c r="D438" s="253"/>
      <c r="E438" s="253"/>
      <c r="F438" s="255"/>
      <c r="G438" s="255"/>
      <c r="H438" s="255"/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  <c r="Y438" s="255"/>
      <c r="Z438" s="255"/>
      <c r="AA438" s="255"/>
    </row>
    <row r="439">
      <c r="A439" s="253"/>
      <c r="B439" s="253"/>
      <c r="C439" s="253"/>
      <c r="D439" s="253"/>
      <c r="E439" s="253"/>
      <c r="F439" s="255"/>
      <c r="G439" s="255"/>
      <c r="H439" s="255"/>
      <c r="I439" s="255"/>
      <c r="J439" s="255"/>
      <c r="K439" s="255"/>
      <c r="L439" s="255"/>
      <c r="M439" s="255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  <c r="Y439" s="255"/>
      <c r="Z439" s="255"/>
      <c r="AA439" s="255"/>
    </row>
    <row r="440">
      <c r="A440" s="253"/>
      <c r="B440" s="253"/>
      <c r="C440" s="253"/>
      <c r="D440" s="253"/>
      <c r="E440" s="253"/>
      <c r="F440" s="255"/>
      <c r="G440" s="255"/>
      <c r="H440" s="255"/>
      <c r="I440" s="255"/>
      <c r="J440" s="255"/>
      <c r="K440" s="255"/>
      <c r="L440" s="255"/>
      <c r="M440" s="255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  <c r="Y440" s="255"/>
      <c r="Z440" s="255"/>
      <c r="AA440" s="255"/>
    </row>
    <row r="441">
      <c r="A441" s="253"/>
      <c r="B441" s="253"/>
      <c r="C441" s="253"/>
      <c r="D441" s="253"/>
      <c r="E441" s="253"/>
      <c r="F441" s="255"/>
      <c r="G441" s="255"/>
      <c r="H441" s="255"/>
      <c r="I441" s="255"/>
      <c r="J441" s="255"/>
      <c r="K441" s="255"/>
      <c r="L441" s="255"/>
      <c r="M441" s="255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  <c r="Y441" s="255"/>
      <c r="Z441" s="255"/>
      <c r="AA441" s="255"/>
    </row>
    <row r="442">
      <c r="A442" s="253"/>
      <c r="B442" s="253"/>
      <c r="C442" s="253"/>
      <c r="D442" s="253"/>
      <c r="E442" s="253"/>
      <c r="F442" s="255"/>
      <c r="G442" s="255"/>
      <c r="H442" s="255"/>
      <c r="I442" s="255"/>
      <c r="J442" s="255"/>
      <c r="K442" s="255"/>
      <c r="L442" s="255"/>
      <c r="M442" s="255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  <c r="Y442" s="255"/>
      <c r="Z442" s="255"/>
      <c r="AA442" s="255"/>
    </row>
    <row r="443">
      <c r="A443" s="253"/>
      <c r="B443" s="253"/>
      <c r="C443" s="253"/>
      <c r="D443" s="253"/>
      <c r="E443" s="253"/>
      <c r="F443" s="255"/>
      <c r="G443" s="255"/>
      <c r="H443" s="255"/>
      <c r="I443" s="255"/>
      <c r="J443" s="255"/>
      <c r="K443" s="255"/>
      <c r="L443" s="255"/>
      <c r="M443" s="255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  <c r="Y443" s="255"/>
      <c r="Z443" s="255"/>
      <c r="AA443" s="255"/>
    </row>
    <row r="444">
      <c r="A444" s="253"/>
      <c r="B444" s="253"/>
      <c r="C444" s="253"/>
      <c r="D444" s="253"/>
      <c r="E444" s="253"/>
      <c r="F444" s="255"/>
      <c r="G444" s="255"/>
      <c r="H444" s="255"/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  <c r="Y444" s="255"/>
      <c r="Z444" s="255"/>
      <c r="AA444" s="255"/>
    </row>
    <row r="445">
      <c r="A445" s="253"/>
      <c r="B445" s="253"/>
      <c r="C445" s="253"/>
      <c r="D445" s="253"/>
      <c r="E445" s="253"/>
      <c r="F445" s="255"/>
      <c r="G445" s="255"/>
      <c r="H445" s="255"/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  <c r="Y445" s="255"/>
      <c r="Z445" s="255"/>
      <c r="AA445" s="255"/>
    </row>
    <row r="446">
      <c r="A446" s="253"/>
      <c r="B446" s="253"/>
      <c r="C446" s="253"/>
      <c r="D446" s="253"/>
      <c r="E446" s="253"/>
      <c r="F446" s="255"/>
      <c r="G446" s="255"/>
      <c r="H446" s="255"/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  <c r="Y446" s="255"/>
      <c r="Z446" s="255"/>
      <c r="AA446" s="255"/>
    </row>
    <row r="447">
      <c r="A447" s="253"/>
      <c r="B447" s="253"/>
      <c r="C447" s="253"/>
      <c r="D447" s="253"/>
      <c r="E447" s="253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  <c r="Y447" s="255"/>
      <c r="Z447" s="255"/>
      <c r="AA447" s="255"/>
    </row>
    <row r="448">
      <c r="A448" s="253"/>
      <c r="B448" s="253"/>
      <c r="C448" s="253"/>
      <c r="D448" s="253"/>
      <c r="E448" s="253"/>
      <c r="F448" s="255"/>
      <c r="G448" s="255"/>
      <c r="H448" s="255"/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  <c r="Y448" s="255"/>
      <c r="Z448" s="255"/>
      <c r="AA448" s="255"/>
    </row>
    <row r="449">
      <c r="A449" s="253"/>
      <c r="B449" s="253"/>
      <c r="C449" s="253"/>
      <c r="D449" s="253"/>
      <c r="E449" s="253"/>
      <c r="F449" s="255"/>
      <c r="G449" s="255"/>
      <c r="H449" s="255"/>
      <c r="I449" s="255"/>
      <c r="J449" s="255"/>
      <c r="K449" s="255"/>
      <c r="L449" s="255"/>
      <c r="M449" s="255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  <c r="Y449" s="255"/>
      <c r="Z449" s="255"/>
      <c r="AA449" s="255"/>
    </row>
    <row r="450">
      <c r="A450" s="253"/>
      <c r="B450" s="253"/>
      <c r="C450" s="253"/>
      <c r="D450" s="253"/>
      <c r="E450" s="253"/>
      <c r="F450" s="255"/>
      <c r="G450" s="255"/>
      <c r="H450" s="255"/>
      <c r="I450" s="255"/>
      <c r="J450" s="255"/>
      <c r="K450" s="255"/>
      <c r="L450" s="255"/>
      <c r="M450" s="255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  <c r="Y450" s="255"/>
      <c r="Z450" s="255"/>
      <c r="AA450" s="255"/>
    </row>
    <row r="451">
      <c r="A451" s="253"/>
      <c r="B451" s="253"/>
      <c r="C451" s="253"/>
      <c r="D451" s="253"/>
      <c r="E451" s="253"/>
      <c r="F451" s="255"/>
      <c r="G451" s="255"/>
      <c r="H451" s="255"/>
      <c r="I451" s="255"/>
      <c r="J451" s="255"/>
      <c r="K451" s="255"/>
      <c r="L451" s="255"/>
      <c r="M451" s="255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  <c r="Y451" s="255"/>
      <c r="Z451" s="255"/>
      <c r="AA451" s="255"/>
    </row>
    <row r="452">
      <c r="A452" s="253"/>
      <c r="B452" s="253"/>
      <c r="C452" s="253"/>
      <c r="D452" s="253"/>
      <c r="E452" s="253"/>
      <c r="F452" s="255"/>
      <c r="G452" s="255"/>
      <c r="H452" s="255"/>
      <c r="I452" s="255"/>
      <c r="J452" s="255"/>
      <c r="K452" s="255"/>
      <c r="L452" s="255"/>
      <c r="M452" s="255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  <c r="Y452" s="255"/>
      <c r="Z452" s="255"/>
      <c r="AA452" s="255"/>
    </row>
    <row r="453">
      <c r="A453" s="253"/>
      <c r="B453" s="253"/>
      <c r="C453" s="253"/>
      <c r="D453" s="253"/>
      <c r="E453" s="253"/>
      <c r="F453" s="255"/>
      <c r="G453" s="255"/>
      <c r="H453" s="255"/>
      <c r="I453" s="255"/>
      <c r="J453" s="255"/>
      <c r="K453" s="255"/>
      <c r="L453" s="255"/>
      <c r="M453" s="255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  <c r="Y453" s="255"/>
      <c r="Z453" s="255"/>
      <c r="AA453" s="255"/>
    </row>
    <row r="454">
      <c r="A454" s="253"/>
      <c r="B454" s="253"/>
      <c r="C454" s="253"/>
      <c r="D454" s="253"/>
      <c r="E454" s="253"/>
      <c r="F454" s="255"/>
      <c r="G454" s="255"/>
      <c r="H454" s="255"/>
      <c r="I454" s="255"/>
      <c r="J454" s="255"/>
      <c r="K454" s="255"/>
      <c r="L454" s="255"/>
      <c r="M454" s="255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  <c r="Y454" s="255"/>
      <c r="Z454" s="255"/>
      <c r="AA454" s="255"/>
    </row>
    <row r="455">
      <c r="A455" s="253"/>
      <c r="B455" s="253"/>
      <c r="C455" s="253"/>
      <c r="D455" s="253"/>
      <c r="E455" s="253"/>
      <c r="F455" s="255"/>
      <c r="G455" s="255"/>
      <c r="H455" s="255"/>
      <c r="I455" s="255"/>
      <c r="J455" s="255"/>
      <c r="K455" s="255"/>
      <c r="L455" s="255"/>
      <c r="M455" s="255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  <c r="Y455" s="255"/>
      <c r="Z455" s="255"/>
      <c r="AA455" s="255"/>
    </row>
    <row r="456">
      <c r="A456" s="253"/>
      <c r="B456" s="253"/>
      <c r="C456" s="253"/>
      <c r="D456" s="253"/>
      <c r="E456" s="253"/>
      <c r="F456" s="255"/>
      <c r="G456" s="255"/>
      <c r="H456" s="255"/>
      <c r="I456" s="255"/>
      <c r="J456" s="255"/>
      <c r="K456" s="255"/>
      <c r="L456" s="255"/>
      <c r="M456" s="255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  <c r="Y456" s="255"/>
      <c r="Z456" s="255"/>
      <c r="AA456" s="255"/>
    </row>
    <row r="457">
      <c r="A457" s="253"/>
      <c r="B457" s="253"/>
      <c r="C457" s="253"/>
      <c r="D457" s="253"/>
      <c r="E457" s="253"/>
      <c r="F457" s="255"/>
      <c r="G457" s="255"/>
      <c r="H457" s="255"/>
      <c r="I457" s="255"/>
      <c r="J457" s="255"/>
      <c r="K457" s="255"/>
      <c r="L457" s="255"/>
      <c r="M457" s="255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  <c r="Y457" s="255"/>
      <c r="Z457" s="255"/>
      <c r="AA457" s="255"/>
    </row>
    <row r="458">
      <c r="A458" s="253"/>
      <c r="B458" s="253"/>
      <c r="C458" s="253"/>
      <c r="D458" s="253"/>
      <c r="E458" s="253"/>
      <c r="F458" s="255"/>
      <c r="G458" s="255"/>
      <c r="H458" s="255"/>
      <c r="I458" s="255"/>
      <c r="J458" s="255"/>
      <c r="K458" s="255"/>
      <c r="L458" s="255"/>
      <c r="M458" s="255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  <c r="Y458" s="255"/>
      <c r="Z458" s="255"/>
      <c r="AA458" s="255"/>
    </row>
    <row r="459">
      <c r="A459" s="253"/>
      <c r="B459" s="253"/>
      <c r="C459" s="253"/>
      <c r="D459" s="253"/>
      <c r="E459" s="253"/>
      <c r="F459" s="255"/>
      <c r="G459" s="255"/>
      <c r="H459" s="255"/>
      <c r="I459" s="255"/>
      <c r="J459" s="255"/>
      <c r="K459" s="255"/>
      <c r="L459" s="255"/>
      <c r="M459" s="255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  <c r="Y459" s="255"/>
      <c r="Z459" s="255"/>
      <c r="AA459" s="255"/>
    </row>
    <row r="460">
      <c r="A460" s="253"/>
      <c r="B460" s="253"/>
      <c r="C460" s="253"/>
      <c r="D460" s="253"/>
      <c r="E460" s="253"/>
      <c r="F460" s="255"/>
      <c r="G460" s="255"/>
      <c r="H460" s="255"/>
      <c r="I460" s="255"/>
      <c r="J460" s="255"/>
      <c r="K460" s="255"/>
      <c r="L460" s="255"/>
      <c r="M460" s="255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  <c r="Y460" s="255"/>
      <c r="Z460" s="255"/>
      <c r="AA460" s="255"/>
    </row>
    <row r="461">
      <c r="A461" s="253"/>
      <c r="B461" s="253"/>
      <c r="C461" s="253"/>
      <c r="D461" s="253"/>
      <c r="E461" s="253"/>
      <c r="F461" s="255"/>
      <c r="G461" s="255"/>
      <c r="H461" s="255"/>
      <c r="I461" s="255"/>
      <c r="J461" s="255"/>
      <c r="K461" s="255"/>
      <c r="L461" s="255"/>
      <c r="M461" s="255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  <c r="Y461" s="255"/>
      <c r="Z461" s="255"/>
      <c r="AA461" s="255"/>
    </row>
    <row r="462">
      <c r="A462" s="253"/>
      <c r="B462" s="253"/>
      <c r="C462" s="253"/>
      <c r="D462" s="253"/>
      <c r="E462" s="253"/>
      <c r="F462" s="255"/>
      <c r="G462" s="255"/>
      <c r="H462" s="255"/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  <c r="Y462" s="255"/>
      <c r="Z462" s="255"/>
      <c r="AA462" s="255"/>
    </row>
    <row r="463">
      <c r="A463" s="253"/>
      <c r="B463" s="253"/>
      <c r="C463" s="253"/>
      <c r="D463" s="253"/>
      <c r="E463" s="253"/>
      <c r="F463" s="255"/>
      <c r="G463" s="255"/>
      <c r="H463" s="255"/>
      <c r="I463" s="255"/>
      <c r="J463" s="255"/>
      <c r="K463" s="255"/>
      <c r="L463" s="255"/>
      <c r="M463" s="255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  <c r="Y463" s="255"/>
      <c r="Z463" s="255"/>
      <c r="AA463" s="255"/>
    </row>
    <row r="464">
      <c r="A464" s="253"/>
      <c r="B464" s="253"/>
      <c r="C464" s="253"/>
      <c r="D464" s="253"/>
      <c r="E464" s="253"/>
      <c r="F464" s="255"/>
      <c r="G464" s="255"/>
      <c r="H464" s="255"/>
      <c r="I464" s="255"/>
      <c r="J464" s="255"/>
      <c r="K464" s="255"/>
      <c r="L464" s="255"/>
      <c r="M464" s="255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  <c r="Y464" s="255"/>
      <c r="Z464" s="255"/>
      <c r="AA464" s="255"/>
    </row>
    <row r="465">
      <c r="A465" s="253"/>
      <c r="B465" s="253"/>
      <c r="C465" s="253"/>
      <c r="D465" s="253"/>
      <c r="E465" s="253"/>
      <c r="F465" s="255"/>
      <c r="G465" s="255"/>
      <c r="H465" s="255"/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  <c r="Y465" s="255"/>
      <c r="Z465" s="255"/>
      <c r="AA465" s="255"/>
    </row>
    <row r="466">
      <c r="A466" s="253"/>
      <c r="B466" s="253"/>
      <c r="C466" s="253"/>
      <c r="D466" s="253"/>
      <c r="E466" s="253"/>
      <c r="F466" s="255"/>
      <c r="G466" s="255"/>
      <c r="H466" s="255"/>
      <c r="I466" s="255"/>
      <c r="J466" s="255"/>
      <c r="K466" s="255"/>
      <c r="L466" s="255"/>
      <c r="M466" s="255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  <c r="Y466" s="255"/>
      <c r="Z466" s="255"/>
      <c r="AA466" s="255"/>
    </row>
    <row r="467">
      <c r="A467" s="253"/>
      <c r="B467" s="253"/>
      <c r="C467" s="253"/>
      <c r="D467" s="253"/>
      <c r="E467" s="253"/>
      <c r="F467" s="255"/>
      <c r="G467" s="255"/>
      <c r="H467" s="255"/>
      <c r="I467" s="255"/>
      <c r="J467" s="255"/>
      <c r="K467" s="255"/>
      <c r="L467" s="255"/>
      <c r="M467" s="255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  <c r="Y467" s="255"/>
      <c r="Z467" s="255"/>
      <c r="AA467" s="255"/>
    </row>
    <row r="468">
      <c r="A468" s="253"/>
      <c r="B468" s="253"/>
      <c r="C468" s="253"/>
      <c r="D468" s="253"/>
      <c r="E468" s="253"/>
      <c r="F468" s="255"/>
      <c r="G468" s="255"/>
      <c r="H468" s="255"/>
      <c r="I468" s="255"/>
      <c r="J468" s="255"/>
      <c r="K468" s="255"/>
      <c r="L468" s="255"/>
      <c r="M468" s="255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  <c r="Y468" s="255"/>
      <c r="Z468" s="255"/>
      <c r="AA468" s="255"/>
    </row>
    <row r="469">
      <c r="A469" s="253"/>
      <c r="B469" s="253"/>
      <c r="C469" s="253"/>
      <c r="D469" s="253"/>
      <c r="E469" s="253"/>
      <c r="F469" s="255"/>
      <c r="G469" s="255"/>
      <c r="H469" s="255"/>
      <c r="I469" s="255"/>
      <c r="J469" s="255"/>
      <c r="K469" s="255"/>
      <c r="L469" s="255"/>
      <c r="M469" s="255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  <c r="Y469" s="255"/>
      <c r="Z469" s="255"/>
      <c r="AA469" s="255"/>
    </row>
    <row r="470">
      <c r="A470" s="253"/>
      <c r="B470" s="253"/>
      <c r="C470" s="253"/>
      <c r="D470" s="253"/>
      <c r="E470" s="253"/>
      <c r="F470" s="255"/>
      <c r="G470" s="255"/>
      <c r="H470" s="255"/>
      <c r="I470" s="255"/>
      <c r="J470" s="255"/>
      <c r="K470" s="255"/>
      <c r="L470" s="255"/>
      <c r="M470" s="255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  <c r="Y470" s="255"/>
      <c r="Z470" s="255"/>
      <c r="AA470" s="255"/>
    </row>
    <row r="471">
      <c r="A471" s="253"/>
      <c r="B471" s="253"/>
      <c r="C471" s="253"/>
      <c r="D471" s="253"/>
      <c r="E471" s="253"/>
      <c r="F471" s="255"/>
      <c r="G471" s="255"/>
      <c r="H471" s="255"/>
      <c r="I471" s="255"/>
      <c r="J471" s="255"/>
      <c r="K471" s="255"/>
      <c r="L471" s="255"/>
      <c r="M471" s="255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  <c r="Y471" s="255"/>
      <c r="Z471" s="255"/>
      <c r="AA471" s="255"/>
    </row>
    <row r="472">
      <c r="A472" s="253"/>
      <c r="B472" s="253"/>
      <c r="C472" s="253"/>
      <c r="D472" s="253"/>
      <c r="E472" s="253"/>
      <c r="F472" s="255"/>
      <c r="G472" s="255"/>
      <c r="H472" s="255"/>
      <c r="I472" s="255"/>
      <c r="J472" s="255"/>
      <c r="K472" s="255"/>
      <c r="L472" s="255"/>
      <c r="M472" s="255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  <c r="Y472" s="255"/>
      <c r="Z472" s="255"/>
      <c r="AA472" s="255"/>
    </row>
    <row r="473">
      <c r="A473" s="253"/>
      <c r="B473" s="253"/>
      <c r="C473" s="253"/>
      <c r="D473" s="253"/>
      <c r="E473" s="253"/>
      <c r="F473" s="255"/>
      <c r="G473" s="255"/>
      <c r="H473" s="255"/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  <c r="Y473" s="255"/>
      <c r="Z473" s="255"/>
      <c r="AA473" s="255"/>
    </row>
    <row r="474">
      <c r="A474" s="253"/>
      <c r="B474" s="253"/>
      <c r="C474" s="253"/>
      <c r="D474" s="253"/>
      <c r="E474" s="253"/>
      <c r="F474" s="255"/>
      <c r="G474" s="255"/>
      <c r="H474" s="255"/>
      <c r="I474" s="255"/>
      <c r="J474" s="255"/>
      <c r="K474" s="255"/>
      <c r="L474" s="255"/>
      <c r="M474" s="255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  <c r="Y474" s="255"/>
      <c r="Z474" s="255"/>
      <c r="AA474" s="255"/>
    </row>
    <row r="475">
      <c r="A475" s="253"/>
      <c r="B475" s="253"/>
      <c r="C475" s="253"/>
      <c r="D475" s="253"/>
      <c r="E475" s="253"/>
      <c r="F475" s="255"/>
      <c r="G475" s="255"/>
      <c r="H475" s="255"/>
      <c r="I475" s="255"/>
      <c r="J475" s="255"/>
      <c r="K475" s="255"/>
      <c r="L475" s="255"/>
      <c r="M475" s="255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  <c r="Y475" s="255"/>
      <c r="Z475" s="255"/>
      <c r="AA475" s="255"/>
    </row>
    <row r="476">
      <c r="A476" s="253"/>
      <c r="B476" s="253"/>
      <c r="C476" s="253"/>
      <c r="D476" s="253"/>
      <c r="E476" s="253"/>
      <c r="F476" s="255"/>
      <c r="G476" s="255"/>
      <c r="H476" s="255"/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  <c r="Y476" s="255"/>
      <c r="Z476" s="255"/>
      <c r="AA476" s="255"/>
    </row>
    <row r="477">
      <c r="A477" s="253"/>
      <c r="B477" s="253"/>
      <c r="C477" s="253"/>
      <c r="D477" s="253"/>
      <c r="E477" s="253"/>
      <c r="F477" s="255"/>
      <c r="G477" s="255"/>
      <c r="H477" s="255"/>
      <c r="I477" s="255"/>
      <c r="J477" s="255"/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  <c r="AA477" s="255"/>
    </row>
    <row r="478">
      <c r="A478" s="253"/>
      <c r="B478" s="253"/>
      <c r="C478" s="253"/>
      <c r="D478" s="253"/>
      <c r="E478" s="253"/>
      <c r="F478" s="255"/>
      <c r="G478" s="255"/>
      <c r="H478" s="255"/>
      <c r="I478" s="255"/>
      <c r="J478" s="255"/>
      <c r="K478" s="255"/>
      <c r="L478" s="255"/>
      <c r="M478" s="255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  <c r="Y478" s="255"/>
      <c r="Z478" s="255"/>
      <c r="AA478" s="255"/>
    </row>
    <row r="479">
      <c r="A479" s="253"/>
      <c r="B479" s="253"/>
      <c r="C479" s="253"/>
      <c r="D479" s="253"/>
      <c r="E479" s="253"/>
      <c r="F479" s="255"/>
      <c r="G479" s="255"/>
      <c r="H479" s="255"/>
      <c r="I479" s="255"/>
      <c r="J479" s="255"/>
      <c r="K479" s="255"/>
      <c r="L479" s="255"/>
      <c r="M479" s="255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  <c r="Y479" s="255"/>
      <c r="Z479" s="255"/>
      <c r="AA479" s="255"/>
    </row>
    <row r="480">
      <c r="A480" s="253"/>
      <c r="B480" s="253"/>
      <c r="C480" s="253"/>
      <c r="D480" s="253"/>
      <c r="E480" s="253"/>
      <c r="F480" s="255"/>
      <c r="G480" s="255"/>
      <c r="H480" s="255"/>
      <c r="I480" s="255"/>
      <c r="J480" s="255"/>
      <c r="K480" s="255"/>
      <c r="L480" s="255"/>
      <c r="M480" s="255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  <c r="Y480" s="255"/>
      <c r="Z480" s="255"/>
      <c r="AA480" s="255"/>
    </row>
    <row r="481">
      <c r="A481" s="253"/>
      <c r="B481" s="253"/>
      <c r="C481" s="253"/>
      <c r="D481" s="253"/>
      <c r="E481" s="253"/>
      <c r="F481" s="255"/>
      <c r="G481" s="255"/>
      <c r="H481" s="255"/>
      <c r="I481" s="255"/>
      <c r="J481" s="255"/>
      <c r="K481" s="255"/>
      <c r="L481" s="255"/>
      <c r="M481" s="255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  <c r="Y481" s="255"/>
      <c r="Z481" s="255"/>
      <c r="AA481" s="255"/>
    </row>
    <row r="482">
      <c r="A482" s="253"/>
      <c r="B482" s="253"/>
      <c r="C482" s="253"/>
      <c r="D482" s="253"/>
      <c r="E482" s="253"/>
      <c r="F482" s="255"/>
      <c r="G482" s="255"/>
      <c r="H482" s="255"/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  <c r="Y482" s="255"/>
      <c r="Z482" s="255"/>
      <c r="AA482" s="255"/>
    </row>
    <row r="483">
      <c r="A483" s="253"/>
      <c r="B483" s="253"/>
      <c r="C483" s="253"/>
      <c r="D483" s="253"/>
      <c r="E483" s="253"/>
      <c r="F483" s="255"/>
      <c r="G483" s="255"/>
      <c r="H483" s="255"/>
      <c r="I483" s="255"/>
      <c r="J483" s="255"/>
      <c r="K483" s="255"/>
      <c r="L483" s="255"/>
      <c r="M483" s="255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  <c r="Y483" s="255"/>
      <c r="Z483" s="255"/>
      <c r="AA483" s="255"/>
    </row>
    <row r="484">
      <c r="A484" s="253"/>
      <c r="B484" s="253"/>
      <c r="C484" s="253"/>
      <c r="D484" s="253"/>
      <c r="E484" s="253"/>
      <c r="F484" s="255"/>
      <c r="G484" s="255"/>
      <c r="H484" s="255"/>
      <c r="I484" s="255"/>
      <c r="J484" s="255"/>
      <c r="K484" s="255"/>
      <c r="L484" s="255"/>
      <c r="M484" s="255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  <c r="Y484" s="255"/>
      <c r="Z484" s="255"/>
      <c r="AA484" s="255"/>
    </row>
    <row r="485">
      <c r="A485" s="253"/>
      <c r="B485" s="253"/>
      <c r="C485" s="253"/>
      <c r="D485" s="253"/>
      <c r="E485" s="253"/>
      <c r="F485" s="255"/>
      <c r="G485" s="255"/>
      <c r="H485" s="255"/>
      <c r="I485" s="255"/>
      <c r="J485" s="255"/>
      <c r="K485" s="255"/>
      <c r="L485" s="255"/>
      <c r="M485" s="255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  <c r="Y485" s="255"/>
      <c r="Z485" s="255"/>
      <c r="AA485" s="255"/>
    </row>
    <row r="486">
      <c r="A486" s="253"/>
      <c r="B486" s="253"/>
      <c r="C486" s="253"/>
      <c r="D486" s="253"/>
      <c r="E486" s="253"/>
      <c r="F486" s="255"/>
      <c r="G486" s="255"/>
      <c r="H486" s="255"/>
      <c r="I486" s="255"/>
      <c r="J486" s="255"/>
      <c r="K486" s="255"/>
      <c r="L486" s="255"/>
      <c r="M486" s="255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  <c r="Y486" s="255"/>
      <c r="Z486" s="255"/>
      <c r="AA486" s="255"/>
    </row>
    <row r="487">
      <c r="A487" s="253"/>
      <c r="B487" s="253"/>
      <c r="C487" s="253"/>
      <c r="D487" s="253"/>
      <c r="E487" s="253"/>
      <c r="F487" s="255"/>
      <c r="G487" s="255"/>
      <c r="H487" s="255"/>
      <c r="I487" s="255"/>
      <c r="J487" s="255"/>
      <c r="K487" s="255"/>
      <c r="L487" s="255"/>
      <c r="M487" s="255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  <c r="Y487" s="255"/>
      <c r="Z487" s="255"/>
      <c r="AA487" s="255"/>
    </row>
    <row r="488">
      <c r="A488" s="253"/>
      <c r="B488" s="253"/>
      <c r="C488" s="253"/>
      <c r="D488" s="253"/>
      <c r="E488" s="253"/>
      <c r="F488" s="255"/>
      <c r="G488" s="255"/>
      <c r="H488" s="255"/>
      <c r="I488" s="255"/>
      <c r="J488" s="255"/>
      <c r="K488" s="255"/>
      <c r="L488" s="255"/>
      <c r="M488" s="255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  <c r="Y488" s="255"/>
      <c r="Z488" s="255"/>
      <c r="AA488" s="255"/>
    </row>
    <row r="489">
      <c r="A489" s="253"/>
      <c r="B489" s="253"/>
      <c r="C489" s="253"/>
      <c r="D489" s="253"/>
      <c r="E489" s="253"/>
      <c r="F489" s="255"/>
      <c r="G489" s="255"/>
      <c r="H489" s="255"/>
      <c r="I489" s="255"/>
      <c r="J489" s="255"/>
      <c r="K489" s="255"/>
      <c r="L489" s="255"/>
      <c r="M489" s="255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  <c r="Y489" s="255"/>
      <c r="Z489" s="255"/>
      <c r="AA489" s="255"/>
    </row>
    <row r="490">
      <c r="A490" s="253"/>
      <c r="B490" s="253"/>
      <c r="C490" s="253"/>
      <c r="D490" s="253"/>
      <c r="E490" s="253"/>
      <c r="F490" s="255"/>
      <c r="G490" s="255"/>
      <c r="H490" s="255"/>
      <c r="I490" s="255"/>
      <c r="J490" s="255"/>
      <c r="K490" s="255"/>
      <c r="L490" s="255"/>
      <c r="M490" s="255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  <c r="Y490" s="255"/>
      <c r="Z490" s="255"/>
      <c r="AA490" s="255"/>
    </row>
    <row r="491">
      <c r="A491" s="253"/>
      <c r="B491" s="253"/>
      <c r="C491" s="253"/>
      <c r="D491" s="253"/>
      <c r="E491" s="253"/>
      <c r="F491" s="255"/>
      <c r="G491" s="255"/>
      <c r="H491" s="255"/>
      <c r="I491" s="255"/>
      <c r="J491" s="255"/>
      <c r="K491" s="255"/>
      <c r="L491" s="255"/>
      <c r="M491" s="255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  <c r="Y491" s="255"/>
      <c r="Z491" s="255"/>
      <c r="AA491" s="255"/>
    </row>
    <row r="492">
      <c r="A492" s="253"/>
      <c r="B492" s="253"/>
      <c r="C492" s="253"/>
      <c r="D492" s="253"/>
      <c r="E492" s="253"/>
      <c r="F492" s="255"/>
      <c r="G492" s="255"/>
      <c r="H492" s="255"/>
      <c r="I492" s="255"/>
      <c r="J492" s="255"/>
      <c r="K492" s="255"/>
      <c r="L492" s="255"/>
      <c r="M492" s="255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  <c r="Y492" s="255"/>
      <c r="Z492" s="255"/>
      <c r="AA492" s="255"/>
    </row>
    <row r="493">
      <c r="A493" s="253"/>
      <c r="B493" s="253"/>
      <c r="C493" s="253"/>
      <c r="D493" s="253"/>
      <c r="E493" s="253"/>
      <c r="F493" s="255"/>
      <c r="G493" s="255"/>
      <c r="H493" s="255"/>
      <c r="I493" s="255"/>
      <c r="J493" s="255"/>
      <c r="K493" s="255"/>
      <c r="L493" s="255"/>
      <c r="M493" s="255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  <c r="Y493" s="255"/>
      <c r="Z493" s="255"/>
      <c r="AA493" s="255"/>
    </row>
    <row r="494">
      <c r="A494" s="253"/>
      <c r="B494" s="253"/>
      <c r="C494" s="253"/>
      <c r="D494" s="253"/>
      <c r="E494" s="253"/>
      <c r="F494" s="255"/>
      <c r="G494" s="255"/>
      <c r="H494" s="255"/>
      <c r="I494" s="255"/>
      <c r="J494" s="255"/>
      <c r="K494" s="255"/>
      <c r="L494" s="255"/>
      <c r="M494" s="255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  <c r="Y494" s="255"/>
      <c r="Z494" s="255"/>
      <c r="AA494" s="255"/>
    </row>
    <row r="495">
      <c r="A495" s="253"/>
      <c r="B495" s="253"/>
      <c r="C495" s="253"/>
      <c r="D495" s="253"/>
      <c r="E495" s="253"/>
      <c r="F495" s="255"/>
      <c r="G495" s="255"/>
      <c r="H495" s="255"/>
      <c r="I495" s="255"/>
      <c r="J495" s="255"/>
      <c r="K495" s="255"/>
      <c r="L495" s="255"/>
      <c r="M495" s="255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  <c r="Y495" s="255"/>
      <c r="Z495" s="255"/>
      <c r="AA495" s="255"/>
    </row>
    <row r="496">
      <c r="A496" s="253"/>
      <c r="B496" s="253"/>
      <c r="C496" s="253"/>
      <c r="D496" s="253"/>
      <c r="E496" s="253"/>
      <c r="F496" s="255"/>
      <c r="G496" s="255"/>
      <c r="H496" s="255"/>
      <c r="I496" s="255"/>
      <c r="J496" s="255"/>
      <c r="K496" s="255"/>
      <c r="L496" s="255"/>
      <c r="M496" s="255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  <c r="Y496" s="255"/>
      <c r="Z496" s="255"/>
      <c r="AA496" s="255"/>
    </row>
    <row r="497">
      <c r="A497" s="253"/>
      <c r="B497" s="253"/>
      <c r="C497" s="253"/>
      <c r="D497" s="253"/>
      <c r="E497" s="253"/>
      <c r="F497" s="255"/>
      <c r="G497" s="255"/>
      <c r="H497" s="255"/>
      <c r="I497" s="255"/>
      <c r="J497" s="255"/>
      <c r="K497" s="255"/>
      <c r="L497" s="255"/>
      <c r="M497" s="255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  <c r="Y497" s="255"/>
      <c r="Z497" s="255"/>
      <c r="AA497" s="255"/>
    </row>
    <row r="498">
      <c r="A498" s="253"/>
      <c r="B498" s="253"/>
      <c r="C498" s="253"/>
      <c r="D498" s="253"/>
      <c r="E498" s="253"/>
      <c r="F498" s="255"/>
      <c r="G498" s="255"/>
      <c r="H498" s="255"/>
      <c r="I498" s="255"/>
      <c r="J498" s="255"/>
      <c r="K498" s="255"/>
      <c r="L498" s="255"/>
      <c r="M498" s="255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  <c r="Y498" s="255"/>
      <c r="Z498" s="255"/>
      <c r="AA498" s="255"/>
    </row>
    <row r="499">
      <c r="A499" s="253"/>
      <c r="B499" s="253"/>
      <c r="C499" s="253"/>
      <c r="D499" s="253"/>
      <c r="E499" s="253"/>
      <c r="F499" s="255"/>
      <c r="G499" s="255"/>
      <c r="H499" s="255"/>
      <c r="I499" s="255"/>
      <c r="J499" s="255"/>
      <c r="K499" s="255"/>
      <c r="L499" s="255"/>
      <c r="M499" s="255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  <c r="Y499" s="255"/>
      <c r="Z499" s="255"/>
      <c r="AA499" s="255"/>
    </row>
    <row r="500">
      <c r="A500" s="253"/>
      <c r="B500" s="253"/>
      <c r="C500" s="253"/>
      <c r="D500" s="253"/>
      <c r="E500" s="253"/>
      <c r="F500" s="255"/>
      <c r="G500" s="255"/>
      <c r="H500" s="255"/>
      <c r="I500" s="255"/>
      <c r="J500" s="255"/>
      <c r="K500" s="255"/>
      <c r="L500" s="255"/>
      <c r="M500" s="255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  <c r="Y500" s="255"/>
      <c r="Z500" s="255"/>
      <c r="AA500" s="255"/>
    </row>
    <row r="501">
      <c r="A501" s="253"/>
      <c r="B501" s="253"/>
      <c r="C501" s="253"/>
      <c r="D501" s="253"/>
      <c r="E501" s="253"/>
      <c r="F501" s="255"/>
      <c r="G501" s="255"/>
      <c r="H501" s="255"/>
      <c r="I501" s="255"/>
      <c r="J501" s="255"/>
      <c r="K501" s="255"/>
      <c r="L501" s="255"/>
      <c r="M501" s="255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  <c r="Y501" s="255"/>
      <c r="Z501" s="255"/>
      <c r="AA501" s="255"/>
    </row>
    <row r="502">
      <c r="A502" s="253"/>
      <c r="B502" s="253"/>
      <c r="C502" s="253"/>
      <c r="D502" s="253"/>
      <c r="E502" s="253"/>
      <c r="F502" s="255"/>
      <c r="G502" s="255"/>
      <c r="H502" s="255"/>
      <c r="I502" s="255"/>
      <c r="J502" s="255"/>
      <c r="K502" s="255"/>
      <c r="L502" s="255"/>
      <c r="M502" s="255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  <c r="Y502" s="255"/>
      <c r="Z502" s="255"/>
      <c r="AA502" s="255"/>
    </row>
    <row r="503">
      <c r="A503" s="253"/>
      <c r="B503" s="253"/>
      <c r="C503" s="253"/>
      <c r="D503" s="253"/>
      <c r="E503" s="253"/>
      <c r="F503" s="255"/>
      <c r="G503" s="255"/>
      <c r="H503" s="255"/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  <c r="Y503" s="255"/>
      <c r="Z503" s="255"/>
      <c r="AA503" s="255"/>
    </row>
    <row r="504">
      <c r="A504" s="253"/>
      <c r="B504" s="253"/>
      <c r="C504" s="253"/>
      <c r="D504" s="253"/>
      <c r="E504" s="253"/>
      <c r="F504" s="255"/>
      <c r="G504" s="255"/>
      <c r="H504" s="255"/>
      <c r="I504" s="255"/>
      <c r="J504" s="255"/>
      <c r="K504" s="255"/>
      <c r="L504" s="255"/>
      <c r="M504" s="255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  <c r="Y504" s="255"/>
      <c r="Z504" s="255"/>
      <c r="AA504" s="255"/>
    </row>
    <row r="505">
      <c r="A505" s="253"/>
      <c r="B505" s="253"/>
      <c r="C505" s="253"/>
      <c r="D505" s="253"/>
      <c r="E505" s="253"/>
      <c r="F505" s="255"/>
      <c r="G505" s="255"/>
      <c r="H505" s="255"/>
      <c r="I505" s="255"/>
      <c r="J505" s="255"/>
      <c r="K505" s="255"/>
      <c r="L505" s="255"/>
      <c r="M505" s="255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  <c r="Y505" s="255"/>
      <c r="Z505" s="255"/>
      <c r="AA505" s="255"/>
    </row>
    <row r="506">
      <c r="A506" s="253"/>
      <c r="B506" s="253"/>
      <c r="C506" s="253"/>
      <c r="D506" s="253"/>
      <c r="E506" s="253"/>
      <c r="F506" s="255"/>
      <c r="G506" s="255"/>
      <c r="H506" s="255"/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  <c r="Y506" s="255"/>
      <c r="Z506" s="255"/>
      <c r="AA506" s="255"/>
    </row>
    <row r="507">
      <c r="A507" s="253"/>
      <c r="B507" s="253"/>
      <c r="C507" s="253"/>
      <c r="D507" s="253"/>
      <c r="E507" s="253"/>
      <c r="F507" s="255"/>
      <c r="G507" s="255"/>
      <c r="H507" s="255"/>
      <c r="I507" s="255"/>
      <c r="J507" s="255"/>
      <c r="K507" s="255"/>
      <c r="L507" s="255"/>
      <c r="M507" s="255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  <c r="Y507" s="255"/>
      <c r="Z507" s="255"/>
      <c r="AA507" s="255"/>
    </row>
    <row r="508">
      <c r="A508" s="253"/>
      <c r="B508" s="253"/>
      <c r="C508" s="253"/>
      <c r="D508" s="253"/>
      <c r="E508" s="253"/>
      <c r="F508" s="255"/>
      <c r="G508" s="255"/>
      <c r="H508" s="255"/>
      <c r="I508" s="255"/>
      <c r="J508" s="255"/>
      <c r="K508" s="255"/>
      <c r="L508" s="255"/>
      <c r="M508" s="255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  <c r="Y508" s="255"/>
      <c r="Z508" s="255"/>
      <c r="AA508" s="255"/>
    </row>
    <row r="509">
      <c r="A509" s="253"/>
      <c r="B509" s="253"/>
      <c r="C509" s="253"/>
      <c r="D509" s="253"/>
      <c r="E509" s="253"/>
      <c r="F509" s="255"/>
      <c r="G509" s="255"/>
      <c r="H509" s="255"/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  <c r="Y509" s="255"/>
      <c r="Z509" s="255"/>
      <c r="AA509" s="255"/>
    </row>
    <row r="510">
      <c r="A510" s="253"/>
      <c r="B510" s="253"/>
      <c r="C510" s="253"/>
      <c r="D510" s="253"/>
      <c r="E510" s="253"/>
      <c r="F510" s="255"/>
      <c r="G510" s="255"/>
      <c r="H510" s="255"/>
      <c r="I510" s="255"/>
      <c r="J510" s="255"/>
      <c r="K510" s="255"/>
      <c r="L510" s="255"/>
      <c r="M510" s="255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  <c r="Y510" s="255"/>
      <c r="Z510" s="255"/>
      <c r="AA510" s="255"/>
    </row>
    <row r="511">
      <c r="A511" s="253"/>
      <c r="B511" s="253"/>
      <c r="C511" s="253"/>
      <c r="D511" s="253"/>
      <c r="E511" s="253"/>
      <c r="F511" s="255"/>
      <c r="G511" s="255"/>
      <c r="H511" s="255"/>
      <c r="I511" s="255"/>
      <c r="J511" s="255"/>
      <c r="K511" s="255"/>
      <c r="L511" s="255"/>
      <c r="M511" s="255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  <c r="Y511" s="255"/>
      <c r="Z511" s="255"/>
      <c r="AA511" s="255"/>
    </row>
    <row r="512">
      <c r="A512" s="253"/>
      <c r="B512" s="253"/>
      <c r="C512" s="253"/>
      <c r="D512" s="253"/>
      <c r="E512" s="253"/>
      <c r="F512" s="255"/>
      <c r="G512" s="255"/>
      <c r="H512" s="255"/>
      <c r="I512" s="255"/>
      <c r="J512" s="255"/>
      <c r="K512" s="255"/>
      <c r="L512" s="255"/>
      <c r="M512" s="255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  <c r="Y512" s="255"/>
      <c r="Z512" s="255"/>
      <c r="AA512" s="255"/>
    </row>
    <row r="513">
      <c r="A513" s="253"/>
      <c r="B513" s="253"/>
      <c r="C513" s="253"/>
      <c r="D513" s="253"/>
      <c r="E513" s="253"/>
      <c r="F513" s="255"/>
      <c r="G513" s="255"/>
      <c r="H513" s="255"/>
      <c r="I513" s="255"/>
      <c r="J513" s="255"/>
      <c r="K513" s="255"/>
      <c r="L513" s="255"/>
      <c r="M513" s="255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  <c r="Y513" s="255"/>
      <c r="Z513" s="255"/>
      <c r="AA513" s="255"/>
    </row>
    <row r="514">
      <c r="A514" s="253"/>
      <c r="B514" s="253"/>
      <c r="C514" s="253"/>
      <c r="D514" s="253"/>
      <c r="E514" s="253"/>
      <c r="F514" s="255"/>
      <c r="G514" s="255"/>
      <c r="H514" s="255"/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  <c r="Y514" s="255"/>
      <c r="Z514" s="255"/>
      <c r="AA514" s="255"/>
    </row>
    <row r="515">
      <c r="A515" s="253"/>
      <c r="B515" s="253"/>
      <c r="C515" s="253"/>
      <c r="D515" s="253"/>
      <c r="E515" s="253"/>
      <c r="F515" s="255"/>
      <c r="G515" s="255"/>
      <c r="H515" s="255"/>
      <c r="I515" s="255"/>
      <c r="J515" s="255"/>
      <c r="K515" s="255"/>
      <c r="L515" s="255"/>
      <c r="M515" s="255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  <c r="Y515" s="255"/>
      <c r="Z515" s="255"/>
      <c r="AA515" s="255"/>
    </row>
    <row r="516">
      <c r="A516" s="253"/>
      <c r="B516" s="253"/>
      <c r="C516" s="253"/>
      <c r="D516" s="253"/>
      <c r="E516" s="253"/>
      <c r="F516" s="255"/>
      <c r="G516" s="255"/>
      <c r="H516" s="255"/>
      <c r="I516" s="255"/>
      <c r="J516" s="255"/>
      <c r="K516" s="255"/>
      <c r="L516" s="255"/>
      <c r="M516" s="255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  <c r="Y516" s="255"/>
      <c r="Z516" s="255"/>
      <c r="AA516" s="255"/>
    </row>
    <row r="517">
      <c r="A517" s="253"/>
      <c r="B517" s="253"/>
      <c r="C517" s="253"/>
      <c r="D517" s="253"/>
      <c r="E517" s="253"/>
      <c r="F517" s="255"/>
      <c r="G517" s="255"/>
      <c r="H517" s="255"/>
      <c r="I517" s="255"/>
      <c r="J517" s="255"/>
      <c r="K517" s="255"/>
      <c r="L517" s="255"/>
      <c r="M517" s="255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  <c r="Y517" s="255"/>
      <c r="Z517" s="255"/>
      <c r="AA517" s="255"/>
    </row>
    <row r="518">
      <c r="A518" s="253"/>
      <c r="B518" s="253"/>
      <c r="C518" s="253"/>
      <c r="D518" s="253"/>
      <c r="E518" s="253"/>
      <c r="F518" s="255"/>
      <c r="G518" s="255"/>
      <c r="H518" s="255"/>
      <c r="I518" s="255"/>
      <c r="J518" s="255"/>
      <c r="K518" s="255"/>
      <c r="L518" s="255"/>
      <c r="M518" s="255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  <c r="Y518" s="255"/>
      <c r="Z518" s="255"/>
      <c r="AA518" s="255"/>
    </row>
    <row r="519">
      <c r="A519" s="253"/>
      <c r="B519" s="253"/>
      <c r="C519" s="253"/>
      <c r="D519" s="253"/>
      <c r="E519" s="253"/>
      <c r="F519" s="255"/>
      <c r="G519" s="255"/>
      <c r="H519" s="255"/>
      <c r="I519" s="255"/>
      <c r="J519" s="255"/>
      <c r="K519" s="255"/>
      <c r="L519" s="255"/>
      <c r="M519" s="255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  <c r="Y519" s="255"/>
      <c r="Z519" s="255"/>
      <c r="AA519" s="255"/>
    </row>
    <row r="520">
      <c r="A520" s="253"/>
      <c r="B520" s="253"/>
      <c r="C520" s="253"/>
      <c r="D520" s="253"/>
      <c r="E520" s="253"/>
      <c r="F520" s="255"/>
      <c r="G520" s="255"/>
      <c r="H520" s="255"/>
      <c r="I520" s="255"/>
      <c r="J520" s="255"/>
      <c r="K520" s="255"/>
      <c r="L520" s="255"/>
      <c r="M520" s="255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  <c r="Y520" s="255"/>
      <c r="Z520" s="255"/>
      <c r="AA520" s="255"/>
    </row>
    <row r="521">
      <c r="A521" s="253"/>
      <c r="B521" s="253"/>
      <c r="C521" s="253"/>
      <c r="D521" s="253"/>
      <c r="E521" s="253"/>
      <c r="F521" s="255"/>
      <c r="G521" s="255"/>
      <c r="H521" s="255"/>
      <c r="I521" s="255"/>
      <c r="J521" s="255"/>
      <c r="K521" s="255"/>
      <c r="L521" s="255"/>
      <c r="M521" s="255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  <c r="Y521" s="255"/>
      <c r="Z521" s="255"/>
      <c r="AA521" s="255"/>
    </row>
    <row r="522">
      <c r="A522" s="253"/>
      <c r="B522" s="253"/>
      <c r="C522" s="253"/>
      <c r="D522" s="253"/>
      <c r="E522" s="253"/>
      <c r="F522" s="255"/>
      <c r="G522" s="255"/>
      <c r="H522" s="255"/>
      <c r="I522" s="255"/>
      <c r="J522" s="255"/>
      <c r="K522" s="255"/>
      <c r="L522" s="255"/>
      <c r="M522" s="255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  <c r="Y522" s="255"/>
      <c r="Z522" s="255"/>
      <c r="AA522" s="255"/>
    </row>
    <row r="523">
      <c r="A523" s="253"/>
      <c r="B523" s="253"/>
      <c r="C523" s="253"/>
      <c r="D523" s="253"/>
      <c r="E523" s="253"/>
      <c r="F523" s="255"/>
      <c r="G523" s="255"/>
      <c r="H523" s="255"/>
      <c r="I523" s="255"/>
      <c r="J523" s="255"/>
      <c r="K523" s="255"/>
      <c r="L523" s="255"/>
      <c r="M523" s="255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  <c r="Y523" s="255"/>
      <c r="Z523" s="255"/>
      <c r="AA523" s="255"/>
    </row>
    <row r="524">
      <c r="A524" s="253"/>
      <c r="B524" s="253"/>
      <c r="C524" s="253"/>
      <c r="D524" s="253"/>
      <c r="E524" s="253"/>
      <c r="F524" s="255"/>
      <c r="G524" s="255"/>
      <c r="H524" s="255"/>
      <c r="I524" s="255"/>
      <c r="J524" s="255"/>
      <c r="K524" s="255"/>
      <c r="L524" s="255"/>
      <c r="M524" s="255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  <c r="Y524" s="255"/>
      <c r="Z524" s="255"/>
      <c r="AA524" s="255"/>
    </row>
    <row r="525">
      <c r="A525" s="253"/>
      <c r="B525" s="253"/>
      <c r="C525" s="253"/>
      <c r="D525" s="253"/>
      <c r="E525" s="253"/>
      <c r="F525" s="255"/>
      <c r="G525" s="255"/>
      <c r="H525" s="255"/>
      <c r="I525" s="255"/>
      <c r="J525" s="255"/>
      <c r="K525" s="255"/>
      <c r="L525" s="255"/>
      <c r="M525" s="255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  <c r="Y525" s="255"/>
      <c r="Z525" s="255"/>
      <c r="AA525" s="255"/>
    </row>
    <row r="526">
      <c r="A526" s="253"/>
      <c r="B526" s="253"/>
      <c r="C526" s="253"/>
      <c r="D526" s="253"/>
      <c r="E526" s="253"/>
      <c r="F526" s="255"/>
      <c r="G526" s="255"/>
      <c r="H526" s="255"/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  <c r="Y526" s="255"/>
      <c r="Z526" s="255"/>
      <c r="AA526" s="255"/>
    </row>
    <row r="527">
      <c r="A527" s="253"/>
      <c r="B527" s="253"/>
      <c r="C527" s="253"/>
      <c r="D527" s="253"/>
      <c r="E527" s="253"/>
      <c r="F527" s="255"/>
      <c r="G527" s="255"/>
      <c r="H527" s="255"/>
      <c r="I527" s="255"/>
      <c r="J527" s="255"/>
      <c r="K527" s="255"/>
      <c r="L527" s="255"/>
      <c r="M527" s="255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  <c r="Y527" s="255"/>
      <c r="Z527" s="255"/>
      <c r="AA527" s="255"/>
    </row>
    <row r="528">
      <c r="A528" s="253"/>
      <c r="B528" s="253"/>
      <c r="C528" s="253"/>
      <c r="D528" s="253"/>
      <c r="E528" s="253"/>
      <c r="F528" s="255"/>
      <c r="G528" s="255"/>
      <c r="H528" s="255"/>
      <c r="I528" s="255"/>
      <c r="J528" s="255"/>
      <c r="K528" s="255"/>
      <c r="L528" s="255"/>
      <c r="M528" s="255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  <c r="Y528" s="255"/>
      <c r="Z528" s="255"/>
      <c r="AA528" s="255"/>
    </row>
    <row r="529">
      <c r="A529" s="253"/>
      <c r="B529" s="253"/>
      <c r="C529" s="253"/>
      <c r="D529" s="253"/>
      <c r="E529" s="253"/>
      <c r="F529" s="255"/>
      <c r="G529" s="255"/>
      <c r="H529" s="255"/>
      <c r="I529" s="255"/>
      <c r="J529" s="255"/>
      <c r="K529" s="255"/>
      <c r="L529" s="255"/>
      <c r="M529" s="255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  <c r="Y529" s="255"/>
      <c r="Z529" s="255"/>
      <c r="AA529" s="255"/>
    </row>
    <row r="530">
      <c r="A530" s="253"/>
      <c r="B530" s="253"/>
      <c r="C530" s="253"/>
      <c r="D530" s="253"/>
      <c r="E530" s="253"/>
      <c r="F530" s="255"/>
      <c r="G530" s="255"/>
      <c r="H530" s="255"/>
      <c r="I530" s="255"/>
      <c r="J530" s="255"/>
      <c r="K530" s="255"/>
      <c r="L530" s="255"/>
      <c r="M530" s="255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  <c r="Y530" s="255"/>
      <c r="Z530" s="255"/>
      <c r="AA530" s="255"/>
    </row>
    <row r="531">
      <c r="A531" s="253"/>
      <c r="B531" s="253"/>
      <c r="C531" s="253"/>
      <c r="D531" s="253"/>
      <c r="E531" s="253"/>
      <c r="F531" s="255"/>
      <c r="G531" s="255"/>
      <c r="H531" s="255"/>
      <c r="I531" s="255"/>
      <c r="J531" s="255"/>
      <c r="K531" s="255"/>
      <c r="L531" s="255"/>
      <c r="M531" s="255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  <c r="Y531" s="255"/>
      <c r="Z531" s="255"/>
      <c r="AA531" s="255"/>
    </row>
    <row r="532">
      <c r="A532" s="253"/>
      <c r="B532" s="253"/>
      <c r="C532" s="253"/>
      <c r="D532" s="253"/>
      <c r="E532" s="253"/>
      <c r="F532" s="255"/>
      <c r="G532" s="255"/>
      <c r="H532" s="255"/>
      <c r="I532" s="255"/>
      <c r="J532" s="255"/>
      <c r="K532" s="255"/>
      <c r="L532" s="255"/>
      <c r="M532" s="255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  <c r="Y532" s="255"/>
      <c r="Z532" s="255"/>
      <c r="AA532" s="255"/>
    </row>
    <row r="533">
      <c r="A533" s="253"/>
      <c r="B533" s="253"/>
      <c r="C533" s="253"/>
      <c r="D533" s="253"/>
      <c r="E533" s="253"/>
      <c r="F533" s="255"/>
      <c r="G533" s="255"/>
      <c r="H533" s="255"/>
      <c r="I533" s="255"/>
      <c r="J533" s="255"/>
      <c r="K533" s="255"/>
      <c r="L533" s="255"/>
      <c r="M533" s="255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  <c r="Y533" s="255"/>
      <c r="Z533" s="255"/>
      <c r="AA533" s="255"/>
    </row>
    <row r="534">
      <c r="A534" s="253"/>
      <c r="B534" s="253"/>
      <c r="C534" s="253"/>
      <c r="D534" s="253"/>
      <c r="E534" s="253"/>
      <c r="F534" s="255"/>
      <c r="G534" s="255"/>
      <c r="H534" s="255"/>
      <c r="I534" s="255"/>
      <c r="J534" s="255"/>
      <c r="K534" s="255"/>
      <c r="L534" s="255"/>
      <c r="M534" s="255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  <c r="Y534" s="255"/>
      <c r="Z534" s="255"/>
      <c r="AA534" s="255"/>
    </row>
    <row r="535">
      <c r="A535" s="253"/>
      <c r="B535" s="253"/>
      <c r="C535" s="253"/>
      <c r="D535" s="253"/>
      <c r="E535" s="253"/>
      <c r="F535" s="255"/>
      <c r="G535" s="255"/>
      <c r="H535" s="255"/>
      <c r="I535" s="255"/>
      <c r="J535" s="255"/>
      <c r="K535" s="255"/>
      <c r="L535" s="255"/>
      <c r="M535" s="255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  <c r="Y535" s="255"/>
      <c r="Z535" s="255"/>
      <c r="AA535" s="255"/>
    </row>
    <row r="536">
      <c r="A536" s="253"/>
      <c r="B536" s="253"/>
      <c r="C536" s="253"/>
      <c r="D536" s="253"/>
      <c r="E536" s="253"/>
      <c r="F536" s="255"/>
      <c r="G536" s="255"/>
      <c r="H536" s="255"/>
      <c r="I536" s="255"/>
      <c r="J536" s="255"/>
      <c r="K536" s="255"/>
      <c r="L536" s="255"/>
      <c r="M536" s="255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  <c r="Y536" s="255"/>
      <c r="Z536" s="255"/>
      <c r="AA536" s="255"/>
    </row>
    <row r="537">
      <c r="A537" s="253"/>
      <c r="B537" s="253"/>
      <c r="C537" s="253"/>
      <c r="D537" s="253"/>
      <c r="E537" s="253"/>
      <c r="F537" s="255"/>
      <c r="G537" s="255"/>
      <c r="H537" s="255"/>
      <c r="I537" s="255"/>
      <c r="J537" s="255"/>
      <c r="K537" s="255"/>
      <c r="L537" s="255"/>
      <c r="M537" s="255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  <c r="Y537" s="255"/>
      <c r="Z537" s="255"/>
      <c r="AA537" s="255"/>
    </row>
    <row r="538">
      <c r="A538" s="253"/>
      <c r="B538" s="253"/>
      <c r="C538" s="253"/>
      <c r="D538" s="253"/>
      <c r="E538" s="253"/>
      <c r="F538" s="255"/>
      <c r="G538" s="255"/>
      <c r="H538" s="255"/>
      <c r="I538" s="255"/>
      <c r="J538" s="255"/>
      <c r="K538" s="255"/>
      <c r="L538" s="255"/>
      <c r="M538" s="255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  <c r="AA538" s="255"/>
    </row>
    <row r="539">
      <c r="A539" s="253"/>
      <c r="B539" s="253"/>
      <c r="C539" s="253"/>
      <c r="D539" s="253"/>
      <c r="E539" s="253"/>
      <c r="F539" s="255"/>
      <c r="G539" s="255"/>
      <c r="H539" s="255"/>
      <c r="I539" s="255"/>
      <c r="J539" s="255"/>
      <c r="K539" s="255"/>
      <c r="L539" s="255"/>
      <c r="M539" s="255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  <c r="Y539" s="255"/>
      <c r="Z539" s="255"/>
      <c r="AA539" s="255"/>
    </row>
    <row r="540">
      <c r="A540" s="253"/>
      <c r="B540" s="253"/>
      <c r="C540" s="253"/>
      <c r="D540" s="253"/>
      <c r="E540" s="253"/>
      <c r="F540" s="255"/>
      <c r="G540" s="255"/>
      <c r="H540" s="255"/>
      <c r="I540" s="255"/>
      <c r="J540" s="255"/>
      <c r="K540" s="255"/>
      <c r="L540" s="255"/>
      <c r="M540" s="255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  <c r="Y540" s="255"/>
      <c r="Z540" s="255"/>
      <c r="AA540" s="255"/>
    </row>
    <row r="541">
      <c r="A541" s="253"/>
      <c r="B541" s="253"/>
      <c r="C541" s="253"/>
      <c r="D541" s="253"/>
      <c r="E541" s="253"/>
      <c r="F541" s="255"/>
      <c r="G541" s="255"/>
      <c r="H541" s="255"/>
      <c r="I541" s="255"/>
      <c r="J541" s="255"/>
      <c r="K541" s="255"/>
      <c r="L541" s="255"/>
      <c r="M541" s="255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  <c r="Y541" s="255"/>
      <c r="Z541" s="255"/>
      <c r="AA541" s="255"/>
    </row>
    <row r="542">
      <c r="A542" s="253"/>
      <c r="B542" s="253"/>
      <c r="C542" s="253"/>
      <c r="D542" s="253"/>
      <c r="E542" s="253"/>
      <c r="F542" s="255"/>
      <c r="G542" s="255"/>
      <c r="H542" s="255"/>
      <c r="I542" s="255"/>
      <c r="J542" s="255"/>
      <c r="K542" s="255"/>
      <c r="L542" s="255"/>
      <c r="M542" s="255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  <c r="Y542" s="255"/>
      <c r="Z542" s="255"/>
      <c r="AA542" s="255"/>
    </row>
    <row r="543">
      <c r="A543" s="253"/>
      <c r="B543" s="253"/>
      <c r="C543" s="253"/>
      <c r="D543" s="253"/>
      <c r="E543" s="253"/>
      <c r="F543" s="255"/>
      <c r="G543" s="255"/>
      <c r="H543" s="255"/>
      <c r="I543" s="255"/>
      <c r="J543" s="255"/>
      <c r="K543" s="255"/>
      <c r="L543" s="255"/>
      <c r="M543" s="255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  <c r="Y543" s="255"/>
      <c r="Z543" s="255"/>
      <c r="AA543" s="255"/>
    </row>
    <row r="544">
      <c r="A544" s="253"/>
      <c r="B544" s="253"/>
      <c r="C544" s="253"/>
      <c r="D544" s="253"/>
      <c r="E544" s="253"/>
      <c r="F544" s="255"/>
      <c r="G544" s="255"/>
      <c r="H544" s="255"/>
      <c r="I544" s="255"/>
      <c r="J544" s="255"/>
      <c r="K544" s="255"/>
      <c r="L544" s="255"/>
      <c r="M544" s="255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  <c r="Y544" s="255"/>
      <c r="Z544" s="255"/>
      <c r="AA544" s="255"/>
    </row>
    <row r="545">
      <c r="A545" s="253"/>
      <c r="B545" s="253"/>
      <c r="C545" s="253"/>
      <c r="D545" s="253"/>
      <c r="E545" s="253"/>
      <c r="F545" s="255"/>
      <c r="G545" s="255"/>
      <c r="H545" s="255"/>
      <c r="I545" s="255"/>
      <c r="J545" s="255"/>
      <c r="K545" s="255"/>
      <c r="L545" s="255"/>
      <c r="M545" s="255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  <c r="Y545" s="255"/>
      <c r="Z545" s="255"/>
      <c r="AA545" s="255"/>
    </row>
    <row r="546">
      <c r="A546" s="253"/>
      <c r="B546" s="253"/>
      <c r="C546" s="253"/>
      <c r="D546" s="253"/>
      <c r="E546" s="253"/>
      <c r="F546" s="255"/>
      <c r="G546" s="255"/>
      <c r="H546" s="255"/>
      <c r="I546" s="255"/>
      <c r="J546" s="255"/>
      <c r="K546" s="255"/>
      <c r="L546" s="255"/>
      <c r="M546" s="255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  <c r="Y546" s="255"/>
      <c r="Z546" s="255"/>
      <c r="AA546" s="255"/>
    </row>
    <row r="547">
      <c r="A547" s="253"/>
      <c r="B547" s="253"/>
      <c r="C547" s="253"/>
      <c r="D547" s="253"/>
      <c r="E547" s="253"/>
      <c r="F547" s="255"/>
      <c r="G547" s="255"/>
      <c r="H547" s="255"/>
      <c r="I547" s="255"/>
      <c r="J547" s="255"/>
      <c r="K547" s="255"/>
      <c r="L547" s="255"/>
      <c r="M547" s="255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  <c r="Y547" s="255"/>
      <c r="Z547" s="255"/>
      <c r="AA547" s="255"/>
    </row>
    <row r="548">
      <c r="A548" s="253"/>
      <c r="B548" s="253"/>
      <c r="C548" s="253"/>
      <c r="D548" s="253"/>
      <c r="E548" s="253"/>
      <c r="F548" s="255"/>
      <c r="G548" s="255"/>
      <c r="H548" s="255"/>
      <c r="I548" s="255"/>
      <c r="J548" s="255"/>
      <c r="K548" s="255"/>
      <c r="L548" s="255"/>
      <c r="M548" s="255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  <c r="Y548" s="255"/>
      <c r="Z548" s="255"/>
      <c r="AA548" s="255"/>
    </row>
    <row r="549">
      <c r="A549" s="253"/>
      <c r="B549" s="253"/>
      <c r="C549" s="253"/>
      <c r="D549" s="253"/>
      <c r="E549" s="253"/>
      <c r="F549" s="255"/>
      <c r="G549" s="255"/>
      <c r="H549" s="255"/>
      <c r="I549" s="255"/>
      <c r="J549" s="255"/>
      <c r="K549" s="255"/>
      <c r="L549" s="255"/>
      <c r="M549" s="255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  <c r="Y549" s="255"/>
      <c r="Z549" s="255"/>
      <c r="AA549" s="255"/>
    </row>
    <row r="550">
      <c r="A550" s="253"/>
      <c r="B550" s="253"/>
      <c r="C550" s="253"/>
      <c r="D550" s="253"/>
      <c r="E550" s="253"/>
      <c r="F550" s="255"/>
      <c r="G550" s="255"/>
      <c r="H550" s="255"/>
      <c r="I550" s="255"/>
      <c r="J550" s="255"/>
      <c r="K550" s="255"/>
      <c r="L550" s="255"/>
      <c r="M550" s="255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  <c r="Y550" s="255"/>
      <c r="Z550" s="255"/>
      <c r="AA550" s="255"/>
    </row>
    <row r="551">
      <c r="A551" s="253"/>
      <c r="B551" s="253"/>
      <c r="C551" s="253"/>
      <c r="D551" s="253"/>
      <c r="E551" s="253"/>
      <c r="F551" s="255"/>
      <c r="G551" s="255"/>
      <c r="H551" s="255"/>
      <c r="I551" s="255"/>
      <c r="J551" s="255"/>
      <c r="K551" s="255"/>
      <c r="L551" s="255"/>
      <c r="M551" s="255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  <c r="Y551" s="255"/>
      <c r="Z551" s="255"/>
      <c r="AA551" s="255"/>
    </row>
    <row r="552">
      <c r="A552" s="253"/>
      <c r="B552" s="253"/>
      <c r="C552" s="253"/>
      <c r="D552" s="253"/>
      <c r="E552" s="253"/>
      <c r="F552" s="255"/>
      <c r="G552" s="255"/>
      <c r="H552" s="255"/>
      <c r="I552" s="255"/>
      <c r="J552" s="255"/>
      <c r="K552" s="255"/>
      <c r="L552" s="255"/>
      <c r="M552" s="255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  <c r="Y552" s="255"/>
      <c r="Z552" s="255"/>
      <c r="AA552" s="255"/>
    </row>
    <row r="553">
      <c r="A553" s="253"/>
      <c r="B553" s="253"/>
      <c r="C553" s="253"/>
      <c r="D553" s="253"/>
      <c r="E553" s="253"/>
      <c r="F553" s="255"/>
      <c r="G553" s="255"/>
      <c r="H553" s="255"/>
      <c r="I553" s="255"/>
      <c r="J553" s="255"/>
      <c r="K553" s="255"/>
      <c r="L553" s="255"/>
      <c r="M553" s="255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  <c r="Y553" s="255"/>
      <c r="Z553" s="255"/>
      <c r="AA553" s="255"/>
    </row>
    <row r="554">
      <c r="A554" s="253"/>
      <c r="B554" s="253"/>
      <c r="C554" s="253"/>
      <c r="D554" s="253"/>
      <c r="E554" s="253"/>
      <c r="F554" s="255"/>
      <c r="G554" s="255"/>
      <c r="H554" s="255"/>
      <c r="I554" s="255"/>
      <c r="J554" s="255"/>
      <c r="K554" s="255"/>
      <c r="L554" s="255"/>
      <c r="M554" s="255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  <c r="Y554" s="255"/>
      <c r="Z554" s="255"/>
      <c r="AA554" s="255"/>
    </row>
    <row r="555">
      <c r="A555" s="253"/>
      <c r="B555" s="253"/>
      <c r="C555" s="253"/>
      <c r="D555" s="253"/>
      <c r="E555" s="253"/>
      <c r="F555" s="255"/>
      <c r="G555" s="255"/>
      <c r="H555" s="255"/>
      <c r="I555" s="255"/>
      <c r="J555" s="255"/>
      <c r="K555" s="255"/>
      <c r="L555" s="255"/>
      <c r="M555" s="255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  <c r="Y555" s="255"/>
      <c r="Z555" s="255"/>
      <c r="AA555" s="255"/>
    </row>
    <row r="556">
      <c r="A556" s="253"/>
      <c r="B556" s="253"/>
      <c r="C556" s="253"/>
      <c r="D556" s="253"/>
      <c r="E556" s="253"/>
      <c r="F556" s="255"/>
      <c r="G556" s="255"/>
      <c r="H556" s="255"/>
      <c r="I556" s="255"/>
      <c r="J556" s="255"/>
      <c r="K556" s="255"/>
      <c r="L556" s="255"/>
      <c r="M556" s="255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  <c r="Y556" s="255"/>
      <c r="Z556" s="255"/>
      <c r="AA556" s="255"/>
    </row>
    <row r="557">
      <c r="A557" s="253"/>
      <c r="B557" s="253"/>
      <c r="C557" s="253"/>
      <c r="D557" s="253"/>
      <c r="E557" s="253"/>
      <c r="F557" s="255"/>
      <c r="G557" s="255"/>
      <c r="H557" s="255"/>
      <c r="I557" s="255"/>
      <c r="J557" s="255"/>
      <c r="K557" s="255"/>
      <c r="L557" s="255"/>
      <c r="M557" s="255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  <c r="Y557" s="255"/>
      <c r="Z557" s="255"/>
      <c r="AA557" s="255"/>
    </row>
    <row r="558">
      <c r="A558" s="253"/>
      <c r="B558" s="253"/>
      <c r="C558" s="253"/>
      <c r="D558" s="253"/>
      <c r="E558" s="253"/>
      <c r="F558" s="255"/>
      <c r="G558" s="255"/>
      <c r="H558" s="255"/>
      <c r="I558" s="255"/>
      <c r="J558" s="255"/>
      <c r="K558" s="255"/>
      <c r="L558" s="255"/>
      <c r="M558" s="255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  <c r="Y558" s="255"/>
      <c r="Z558" s="255"/>
      <c r="AA558" s="255"/>
    </row>
    <row r="559">
      <c r="A559" s="253"/>
      <c r="B559" s="253"/>
      <c r="C559" s="253"/>
      <c r="D559" s="253"/>
      <c r="E559" s="253"/>
      <c r="F559" s="255"/>
      <c r="G559" s="255"/>
      <c r="H559" s="255"/>
      <c r="I559" s="255"/>
      <c r="J559" s="255"/>
      <c r="K559" s="255"/>
      <c r="L559" s="255"/>
      <c r="M559" s="255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  <c r="Y559" s="255"/>
      <c r="Z559" s="255"/>
      <c r="AA559" s="255"/>
    </row>
    <row r="560">
      <c r="A560" s="253"/>
      <c r="B560" s="253"/>
      <c r="C560" s="253"/>
      <c r="D560" s="253"/>
      <c r="E560" s="253"/>
      <c r="F560" s="255"/>
      <c r="G560" s="255"/>
      <c r="H560" s="255"/>
      <c r="I560" s="255"/>
      <c r="J560" s="255"/>
      <c r="K560" s="255"/>
      <c r="L560" s="255"/>
      <c r="M560" s="255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  <c r="Y560" s="255"/>
      <c r="Z560" s="255"/>
      <c r="AA560" s="255"/>
    </row>
    <row r="561">
      <c r="A561" s="253"/>
      <c r="B561" s="253"/>
      <c r="C561" s="253"/>
      <c r="D561" s="253"/>
      <c r="E561" s="253"/>
      <c r="F561" s="255"/>
      <c r="G561" s="255"/>
      <c r="H561" s="255"/>
      <c r="I561" s="255"/>
      <c r="J561" s="255"/>
      <c r="K561" s="255"/>
      <c r="L561" s="255"/>
      <c r="M561" s="255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  <c r="Y561" s="255"/>
      <c r="Z561" s="255"/>
      <c r="AA561" s="255"/>
    </row>
    <row r="562">
      <c r="A562" s="253"/>
      <c r="B562" s="253"/>
      <c r="C562" s="253"/>
      <c r="D562" s="253"/>
      <c r="E562" s="253"/>
      <c r="F562" s="255"/>
      <c r="G562" s="255"/>
      <c r="H562" s="255"/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  <c r="Y562" s="255"/>
      <c r="Z562" s="255"/>
      <c r="AA562" s="255"/>
    </row>
    <row r="563">
      <c r="A563" s="253"/>
      <c r="B563" s="253"/>
      <c r="C563" s="253"/>
      <c r="D563" s="253"/>
      <c r="E563" s="253"/>
      <c r="F563" s="255"/>
      <c r="G563" s="255"/>
      <c r="H563" s="255"/>
      <c r="I563" s="255"/>
      <c r="J563" s="255"/>
      <c r="K563" s="255"/>
      <c r="L563" s="255"/>
      <c r="M563" s="255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  <c r="Y563" s="255"/>
      <c r="Z563" s="255"/>
      <c r="AA563" s="255"/>
    </row>
    <row r="564">
      <c r="A564" s="253"/>
      <c r="B564" s="253"/>
      <c r="C564" s="253"/>
      <c r="D564" s="253"/>
      <c r="E564" s="253"/>
      <c r="F564" s="255"/>
      <c r="G564" s="255"/>
      <c r="H564" s="255"/>
      <c r="I564" s="255"/>
      <c r="J564" s="255"/>
      <c r="K564" s="255"/>
      <c r="L564" s="255"/>
      <c r="M564" s="255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  <c r="Y564" s="255"/>
      <c r="Z564" s="255"/>
      <c r="AA564" s="255"/>
    </row>
    <row r="565">
      <c r="A565" s="253"/>
      <c r="B565" s="253"/>
      <c r="C565" s="253"/>
      <c r="D565" s="253"/>
      <c r="E565" s="253"/>
      <c r="F565" s="255"/>
      <c r="G565" s="255"/>
      <c r="H565" s="255"/>
      <c r="I565" s="255"/>
      <c r="J565" s="255"/>
      <c r="K565" s="255"/>
      <c r="L565" s="255"/>
      <c r="M565" s="255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  <c r="Y565" s="255"/>
      <c r="Z565" s="255"/>
      <c r="AA565" s="255"/>
    </row>
    <row r="566">
      <c r="A566" s="253"/>
      <c r="B566" s="253"/>
      <c r="C566" s="253"/>
      <c r="D566" s="253"/>
      <c r="E566" s="253"/>
      <c r="F566" s="255"/>
      <c r="G566" s="255"/>
      <c r="H566" s="255"/>
      <c r="I566" s="255"/>
      <c r="J566" s="255"/>
      <c r="K566" s="255"/>
      <c r="L566" s="255"/>
      <c r="M566" s="255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  <c r="Y566" s="255"/>
      <c r="Z566" s="255"/>
      <c r="AA566" s="255"/>
    </row>
    <row r="567">
      <c r="A567" s="253"/>
      <c r="B567" s="253"/>
      <c r="C567" s="253"/>
      <c r="D567" s="253"/>
      <c r="E567" s="253"/>
      <c r="F567" s="255"/>
      <c r="G567" s="255"/>
      <c r="H567" s="255"/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  <c r="Y567" s="255"/>
      <c r="Z567" s="255"/>
      <c r="AA567" s="255"/>
    </row>
    <row r="568">
      <c r="A568" s="253"/>
      <c r="B568" s="253"/>
      <c r="C568" s="253"/>
      <c r="D568" s="253"/>
      <c r="E568" s="253"/>
      <c r="F568" s="255"/>
      <c r="G568" s="255"/>
      <c r="H568" s="255"/>
      <c r="I568" s="255"/>
      <c r="J568" s="255"/>
      <c r="K568" s="255"/>
      <c r="L568" s="255"/>
      <c r="M568" s="255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  <c r="Y568" s="255"/>
      <c r="Z568" s="255"/>
      <c r="AA568" s="255"/>
    </row>
    <row r="569">
      <c r="A569" s="253"/>
      <c r="B569" s="253"/>
      <c r="C569" s="253"/>
      <c r="D569" s="253"/>
      <c r="E569" s="253"/>
      <c r="F569" s="255"/>
      <c r="G569" s="255"/>
      <c r="H569" s="255"/>
      <c r="I569" s="255"/>
      <c r="J569" s="255"/>
      <c r="K569" s="255"/>
      <c r="L569" s="255"/>
      <c r="M569" s="255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  <c r="Y569" s="255"/>
      <c r="Z569" s="255"/>
      <c r="AA569" s="255"/>
    </row>
    <row r="570">
      <c r="A570" s="253"/>
      <c r="B570" s="253"/>
      <c r="C570" s="253"/>
      <c r="D570" s="253"/>
      <c r="E570" s="253"/>
      <c r="F570" s="255"/>
      <c r="G570" s="255"/>
      <c r="H570" s="255"/>
      <c r="I570" s="255"/>
      <c r="J570" s="255"/>
      <c r="K570" s="255"/>
      <c r="L570" s="255"/>
      <c r="M570" s="255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  <c r="Y570" s="255"/>
      <c r="Z570" s="255"/>
      <c r="AA570" s="255"/>
    </row>
    <row r="571">
      <c r="A571" s="253"/>
      <c r="B571" s="253"/>
      <c r="C571" s="253"/>
      <c r="D571" s="253"/>
      <c r="E571" s="253"/>
      <c r="F571" s="255"/>
      <c r="G571" s="255"/>
      <c r="H571" s="255"/>
      <c r="I571" s="255"/>
      <c r="J571" s="255"/>
      <c r="K571" s="255"/>
      <c r="L571" s="255"/>
      <c r="M571" s="255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  <c r="Y571" s="255"/>
      <c r="Z571" s="255"/>
      <c r="AA571" s="255"/>
    </row>
    <row r="572">
      <c r="A572" s="253"/>
      <c r="B572" s="253"/>
      <c r="C572" s="253"/>
      <c r="D572" s="253"/>
      <c r="E572" s="253"/>
      <c r="F572" s="255"/>
      <c r="G572" s="255"/>
      <c r="H572" s="255"/>
      <c r="I572" s="255"/>
      <c r="J572" s="255"/>
      <c r="K572" s="255"/>
      <c r="L572" s="255"/>
      <c r="M572" s="255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  <c r="Y572" s="255"/>
      <c r="Z572" s="255"/>
      <c r="AA572" s="255"/>
    </row>
    <row r="573">
      <c r="A573" s="253"/>
      <c r="B573" s="253"/>
      <c r="C573" s="253"/>
      <c r="D573" s="253"/>
      <c r="E573" s="253"/>
      <c r="F573" s="255"/>
      <c r="G573" s="255"/>
      <c r="H573" s="255"/>
      <c r="I573" s="255"/>
      <c r="J573" s="255"/>
      <c r="K573" s="255"/>
      <c r="L573" s="255"/>
      <c r="M573" s="255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  <c r="Y573" s="255"/>
      <c r="Z573" s="255"/>
      <c r="AA573" s="255"/>
    </row>
    <row r="574">
      <c r="A574" s="253"/>
      <c r="B574" s="253"/>
      <c r="C574" s="253"/>
      <c r="D574" s="253"/>
      <c r="E574" s="253"/>
      <c r="F574" s="255"/>
      <c r="G574" s="255"/>
      <c r="H574" s="255"/>
      <c r="I574" s="255"/>
      <c r="J574" s="255"/>
      <c r="K574" s="255"/>
      <c r="L574" s="255"/>
      <c r="M574" s="255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  <c r="Y574" s="255"/>
      <c r="Z574" s="255"/>
      <c r="AA574" s="255"/>
    </row>
    <row r="575">
      <c r="A575" s="253"/>
      <c r="B575" s="253"/>
      <c r="C575" s="253"/>
      <c r="D575" s="253"/>
      <c r="E575" s="253"/>
      <c r="F575" s="255"/>
      <c r="G575" s="255"/>
      <c r="H575" s="255"/>
      <c r="I575" s="255"/>
      <c r="J575" s="255"/>
      <c r="K575" s="255"/>
      <c r="L575" s="255"/>
      <c r="M575" s="255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  <c r="Y575" s="255"/>
      <c r="Z575" s="255"/>
      <c r="AA575" s="255"/>
    </row>
    <row r="576">
      <c r="A576" s="253"/>
      <c r="B576" s="253"/>
      <c r="C576" s="253"/>
      <c r="D576" s="253"/>
      <c r="E576" s="253"/>
      <c r="F576" s="255"/>
      <c r="G576" s="255"/>
      <c r="H576" s="255"/>
      <c r="I576" s="255"/>
      <c r="J576" s="255"/>
      <c r="K576" s="255"/>
      <c r="L576" s="255"/>
      <c r="M576" s="255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  <c r="Y576" s="255"/>
      <c r="Z576" s="255"/>
      <c r="AA576" s="255"/>
    </row>
    <row r="577">
      <c r="A577" s="253"/>
      <c r="B577" s="253"/>
      <c r="C577" s="253"/>
      <c r="D577" s="253"/>
      <c r="E577" s="253"/>
      <c r="F577" s="255"/>
      <c r="G577" s="255"/>
      <c r="H577" s="255"/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  <c r="Y577" s="255"/>
      <c r="Z577" s="255"/>
      <c r="AA577" s="255"/>
    </row>
    <row r="578">
      <c r="A578" s="253"/>
      <c r="B578" s="253"/>
      <c r="C578" s="253"/>
      <c r="D578" s="253"/>
      <c r="E578" s="253"/>
      <c r="F578" s="255"/>
      <c r="G578" s="255"/>
      <c r="H578" s="255"/>
      <c r="I578" s="255"/>
      <c r="J578" s="255"/>
      <c r="K578" s="255"/>
      <c r="L578" s="255"/>
      <c r="M578" s="255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  <c r="Y578" s="255"/>
      <c r="Z578" s="255"/>
      <c r="AA578" s="255"/>
    </row>
    <row r="579">
      <c r="A579" s="253"/>
      <c r="B579" s="253"/>
      <c r="C579" s="253"/>
      <c r="D579" s="253"/>
      <c r="E579" s="253"/>
      <c r="F579" s="255"/>
      <c r="G579" s="255"/>
      <c r="H579" s="255"/>
      <c r="I579" s="255"/>
      <c r="J579" s="255"/>
      <c r="K579" s="255"/>
      <c r="L579" s="255"/>
      <c r="M579" s="255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  <c r="Y579" s="255"/>
      <c r="Z579" s="255"/>
      <c r="AA579" s="255"/>
    </row>
    <row r="580">
      <c r="A580" s="253"/>
      <c r="B580" s="253"/>
      <c r="C580" s="253"/>
      <c r="D580" s="253"/>
      <c r="E580" s="253"/>
      <c r="F580" s="255"/>
      <c r="G580" s="255"/>
      <c r="H580" s="255"/>
      <c r="I580" s="255"/>
      <c r="J580" s="255"/>
      <c r="K580" s="255"/>
      <c r="L580" s="255"/>
      <c r="M580" s="255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  <c r="Y580" s="255"/>
      <c r="Z580" s="255"/>
      <c r="AA580" s="255"/>
    </row>
    <row r="581">
      <c r="A581" s="253"/>
      <c r="B581" s="253"/>
      <c r="C581" s="253"/>
      <c r="D581" s="253"/>
      <c r="E581" s="253"/>
      <c r="F581" s="255"/>
      <c r="G581" s="255"/>
      <c r="H581" s="255"/>
      <c r="I581" s="255"/>
      <c r="J581" s="255"/>
      <c r="K581" s="255"/>
      <c r="L581" s="255"/>
      <c r="M581" s="255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  <c r="Y581" s="255"/>
      <c r="Z581" s="255"/>
      <c r="AA581" s="255"/>
    </row>
    <row r="582">
      <c r="A582" s="253"/>
      <c r="B582" s="253"/>
      <c r="C582" s="253"/>
      <c r="D582" s="253"/>
      <c r="E582" s="253"/>
      <c r="F582" s="255"/>
      <c r="G582" s="255"/>
      <c r="H582" s="255"/>
      <c r="I582" s="255"/>
      <c r="J582" s="255"/>
      <c r="K582" s="255"/>
      <c r="L582" s="255"/>
      <c r="M582" s="255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  <c r="Y582" s="255"/>
      <c r="Z582" s="255"/>
      <c r="AA582" s="255"/>
    </row>
    <row r="583">
      <c r="A583" s="253"/>
      <c r="B583" s="253"/>
      <c r="C583" s="253"/>
      <c r="D583" s="253"/>
      <c r="E583" s="253"/>
      <c r="F583" s="255"/>
      <c r="G583" s="255"/>
      <c r="H583" s="255"/>
      <c r="I583" s="255"/>
      <c r="J583" s="255"/>
      <c r="K583" s="255"/>
      <c r="L583" s="255"/>
      <c r="M583" s="255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  <c r="Y583" s="255"/>
      <c r="Z583" s="255"/>
      <c r="AA583" s="255"/>
    </row>
    <row r="584">
      <c r="A584" s="253"/>
      <c r="B584" s="253"/>
      <c r="C584" s="253"/>
      <c r="D584" s="253"/>
      <c r="E584" s="253"/>
      <c r="F584" s="255"/>
      <c r="G584" s="255"/>
      <c r="H584" s="255"/>
      <c r="I584" s="255"/>
      <c r="J584" s="255"/>
      <c r="K584" s="255"/>
      <c r="L584" s="255"/>
      <c r="M584" s="255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  <c r="Y584" s="255"/>
      <c r="Z584" s="255"/>
      <c r="AA584" s="255"/>
    </row>
    <row r="585">
      <c r="A585" s="253"/>
      <c r="B585" s="253"/>
      <c r="C585" s="253"/>
      <c r="D585" s="253"/>
      <c r="E585" s="253"/>
      <c r="F585" s="255"/>
      <c r="G585" s="255"/>
      <c r="H585" s="255"/>
      <c r="I585" s="255"/>
      <c r="J585" s="255"/>
      <c r="K585" s="255"/>
      <c r="L585" s="255"/>
      <c r="M585" s="255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  <c r="Y585" s="255"/>
      <c r="Z585" s="255"/>
      <c r="AA585" s="255"/>
    </row>
    <row r="586">
      <c r="A586" s="253"/>
      <c r="B586" s="253"/>
      <c r="C586" s="253"/>
      <c r="D586" s="253"/>
      <c r="E586" s="253"/>
      <c r="F586" s="255"/>
      <c r="G586" s="255"/>
      <c r="H586" s="255"/>
      <c r="I586" s="255"/>
      <c r="J586" s="255"/>
      <c r="K586" s="255"/>
      <c r="L586" s="255"/>
      <c r="M586" s="255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  <c r="Y586" s="255"/>
      <c r="Z586" s="255"/>
      <c r="AA586" s="255"/>
    </row>
    <row r="587">
      <c r="A587" s="253"/>
      <c r="B587" s="253"/>
      <c r="C587" s="253"/>
      <c r="D587" s="253"/>
      <c r="E587" s="253"/>
      <c r="F587" s="255"/>
      <c r="G587" s="255"/>
      <c r="H587" s="255"/>
      <c r="I587" s="255"/>
      <c r="J587" s="255"/>
      <c r="K587" s="255"/>
      <c r="L587" s="255"/>
      <c r="M587" s="255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  <c r="Y587" s="255"/>
      <c r="Z587" s="255"/>
      <c r="AA587" s="255"/>
    </row>
    <row r="588">
      <c r="A588" s="253"/>
      <c r="B588" s="253"/>
      <c r="C588" s="253"/>
      <c r="D588" s="253"/>
      <c r="E588" s="253"/>
      <c r="F588" s="255"/>
      <c r="G588" s="255"/>
      <c r="H588" s="255"/>
      <c r="I588" s="255"/>
      <c r="J588" s="255"/>
      <c r="K588" s="255"/>
      <c r="L588" s="255"/>
      <c r="M588" s="255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  <c r="Y588" s="255"/>
      <c r="Z588" s="255"/>
      <c r="AA588" s="255"/>
    </row>
    <row r="589">
      <c r="A589" s="253"/>
      <c r="B589" s="253"/>
      <c r="C589" s="253"/>
      <c r="D589" s="253"/>
      <c r="E589" s="253"/>
      <c r="F589" s="255"/>
      <c r="G589" s="255"/>
      <c r="H589" s="255"/>
      <c r="I589" s="255"/>
      <c r="J589" s="255"/>
      <c r="K589" s="255"/>
      <c r="L589" s="255"/>
      <c r="M589" s="255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  <c r="Y589" s="255"/>
      <c r="Z589" s="255"/>
      <c r="AA589" s="255"/>
    </row>
    <row r="590">
      <c r="A590" s="253"/>
      <c r="B590" s="253"/>
      <c r="C590" s="253"/>
      <c r="D590" s="253"/>
      <c r="E590" s="253"/>
      <c r="F590" s="255"/>
      <c r="G590" s="255"/>
      <c r="H590" s="255"/>
      <c r="I590" s="255"/>
      <c r="J590" s="255"/>
      <c r="K590" s="255"/>
      <c r="L590" s="255"/>
      <c r="M590" s="255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  <c r="Y590" s="255"/>
      <c r="Z590" s="255"/>
      <c r="AA590" s="255"/>
    </row>
    <row r="591">
      <c r="A591" s="253"/>
      <c r="B591" s="253"/>
      <c r="C591" s="253"/>
      <c r="D591" s="253"/>
      <c r="E591" s="253"/>
      <c r="F591" s="255"/>
      <c r="G591" s="255"/>
      <c r="H591" s="255"/>
      <c r="I591" s="255"/>
      <c r="J591" s="255"/>
      <c r="K591" s="255"/>
      <c r="L591" s="255"/>
      <c r="M591" s="255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  <c r="Y591" s="255"/>
      <c r="Z591" s="255"/>
      <c r="AA591" s="255"/>
    </row>
    <row r="592">
      <c r="A592" s="253"/>
      <c r="B592" s="253"/>
      <c r="C592" s="253"/>
      <c r="D592" s="253"/>
      <c r="E592" s="253"/>
      <c r="F592" s="255"/>
      <c r="G592" s="255"/>
      <c r="H592" s="255"/>
      <c r="I592" s="255"/>
      <c r="J592" s="255"/>
      <c r="K592" s="255"/>
      <c r="L592" s="255"/>
      <c r="M592" s="255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  <c r="Y592" s="255"/>
      <c r="Z592" s="255"/>
      <c r="AA592" s="255"/>
    </row>
    <row r="593">
      <c r="A593" s="253"/>
      <c r="B593" s="253"/>
      <c r="C593" s="253"/>
      <c r="D593" s="253"/>
      <c r="E593" s="253"/>
      <c r="F593" s="255"/>
      <c r="G593" s="255"/>
      <c r="H593" s="255"/>
      <c r="I593" s="255"/>
      <c r="J593" s="255"/>
      <c r="K593" s="255"/>
      <c r="L593" s="255"/>
      <c r="M593" s="255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  <c r="Y593" s="255"/>
      <c r="Z593" s="255"/>
      <c r="AA593" s="255"/>
    </row>
    <row r="594">
      <c r="A594" s="253"/>
      <c r="B594" s="253"/>
      <c r="C594" s="253"/>
      <c r="D594" s="253"/>
      <c r="E594" s="253"/>
      <c r="F594" s="255"/>
      <c r="G594" s="255"/>
      <c r="H594" s="255"/>
      <c r="I594" s="255"/>
      <c r="J594" s="255"/>
      <c r="K594" s="255"/>
      <c r="L594" s="255"/>
      <c r="M594" s="255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  <c r="Y594" s="255"/>
      <c r="Z594" s="255"/>
      <c r="AA594" s="255"/>
    </row>
    <row r="595">
      <c r="A595" s="253"/>
      <c r="B595" s="253"/>
      <c r="C595" s="253"/>
      <c r="D595" s="253"/>
      <c r="E595" s="253"/>
      <c r="F595" s="255"/>
      <c r="G595" s="255"/>
      <c r="H595" s="255"/>
      <c r="I595" s="255"/>
      <c r="J595" s="255"/>
      <c r="K595" s="255"/>
      <c r="L595" s="255"/>
      <c r="M595" s="255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  <c r="Y595" s="255"/>
      <c r="Z595" s="255"/>
      <c r="AA595" s="255"/>
    </row>
    <row r="596">
      <c r="A596" s="253"/>
      <c r="B596" s="253"/>
      <c r="C596" s="253"/>
      <c r="D596" s="253"/>
      <c r="E596" s="253"/>
      <c r="F596" s="255"/>
      <c r="G596" s="255"/>
      <c r="H596" s="255"/>
      <c r="I596" s="255"/>
      <c r="J596" s="255"/>
      <c r="K596" s="255"/>
      <c r="L596" s="255"/>
      <c r="M596" s="255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  <c r="Y596" s="255"/>
      <c r="Z596" s="255"/>
      <c r="AA596" s="255"/>
    </row>
    <row r="597">
      <c r="A597" s="253"/>
      <c r="B597" s="253"/>
      <c r="C597" s="253"/>
      <c r="D597" s="253"/>
      <c r="E597" s="253"/>
      <c r="F597" s="255"/>
      <c r="G597" s="255"/>
      <c r="H597" s="255"/>
      <c r="I597" s="255"/>
      <c r="J597" s="255"/>
      <c r="K597" s="255"/>
      <c r="L597" s="255"/>
      <c r="M597" s="255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  <c r="Y597" s="255"/>
      <c r="Z597" s="255"/>
      <c r="AA597" s="255"/>
    </row>
    <row r="598">
      <c r="A598" s="253"/>
      <c r="B598" s="253"/>
      <c r="C598" s="253"/>
      <c r="D598" s="253"/>
      <c r="E598" s="253"/>
      <c r="F598" s="255"/>
      <c r="G598" s="255"/>
      <c r="H598" s="255"/>
      <c r="I598" s="255"/>
      <c r="J598" s="255"/>
      <c r="K598" s="255"/>
      <c r="L598" s="255"/>
      <c r="M598" s="255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  <c r="Y598" s="255"/>
      <c r="Z598" s="255"/>
      <c r="AA598" s="255"/>
    </row>
    <row r="599">
      <c r="A599" s="253"/>
      <c r="B599" s="253"/>
      <c r="C599" s="253"/>
      <c r="D599" s="253"/>
      <c r="E599" s="253"/>
      <c r="F599" s="255"/>
      <c r="G599" s="255"/>
      <c r="H599" s="255"/>
      <c r="I599" s="255"/>
      <c r="J599" s="255"/>
      <c r="K599" s="255"/>
      <c r="L599" s="255"/>
      <c r="M599" s="255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  <c r="Y599" s="255"/>
      <c r="Z599" s="255"/>
      <c r="AA599" s="255"/>
    </row>
    <row r="600">
      <c r="A600" s="253"/>
      <c r="B600" s="253"/>
      <c r="C600" s="253"/>
      <c r="D600" s="253"/>
      <c r="E600" s="253"/>
      <c r="F600" s="255"/>
      <c r="G600" s="255"/>
      <c r="H600" s="255"/>
      <c r="I600" s="255"/>
      <c r="J600" s="255"/>
      <c r="K600" s="255"/>
      <c r="L600" s="255"/>
      <c r="M600" s="255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  <c r="Y600" s="255"/>
      <c r="Z600" s="255"/>
      <c r="AA600" s="255"/>
    </row>
    <row r="601">
      <c r="A601" s="253"/>
      <c r="B601" s="253"/>
      <c r="C601" s="253"/>
      <c r="D601" s="253"/>
      <c r="E601" s="253"/>
      <c r="F601" s="255"/>
      <c r="G601" s="255"/>
      <c r="H601" s="255"/>
      <c r="I601" s="255"/>
      <c r="J601" s="255"/>
      <c r="K601" s="255"/>
      <c r="L601" s="255"/>
      <c r="M601" s="255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  <c r="Y601" s="255"/>
      <c r="Z601" s="255"/>
      <c r="AA601" s="255"/>
    </row>
    <row r="602">
      <c r="A602" s="253"/>
      <c r="B602" s="253"/>
      <c r="C602" s="253"/>
      <c r="D602" s="253"/>
      <c r="E602" s="253"/>
      <c r="F602" s="255"/>
      <c r="G602" s="255"/>
      <c r="H602" s="255"/>
      <c r="I602" s="255"/>
      <c r="J602" s="255"/>
      <c r="K602" s="255"/>
      <c r="L602" s="255"/>
      <c r="M602" s="255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  <c r="Y602" s="255"/>
      <c r="Z602" s="255"/>
      <c r="AA602" s="255"/>
    </row>
    <row r="603">
      <c r="A603" s="253"/>
      <c r="B603" s="253"/>
      <c r="C603" s="253"/>
      <c r="D603" s="253"/>
      <c r="E603" s="253"/>
      <c r="F603" s="255"/>
      <c r="G603" s="255"/>
      <c r="H603" s="255"/>
      <c r="I603" s="255"/>
      <c r="J603" s="255"/>
      <c r="K603" s="255"/>
      <c r="L603" s="255"/>
      <c r="M603" s="255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  <c r="Y603" s="255"/>
      <c r="Z603" s="255"/>
      <c r="AA603" s="255"/>
    </row>
    <row r="604">
      <c r="A604" s="253"/>
      <c r="B604" s="253"/>
      <c r="C604" s="253"/>
      <c r="D604" s="253"/>
      <c r="E604" s="253"/>
      <c r="F604" s="255"/>
      <c r="G604" s="255"/>
      <c r="H604" s="255"/>
      <c r="I604" s="255"/>
      <c r="J604" s="255"/>
      <c r="K604" s="255"/>
      <c r="L604" s="255"/>
      <c r="M604" s="255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  <c r="Y604" s="255"/>
      <c r="Z604" s="255"/>
      <c r="AA604" s="255"/>
    </row>
    <row r="605">
      <c r="A605" s="253"/>
      <c r="B605" s="253"/>
      <c r="C605" s="253"/>
      <c r="D605" s="253"/>
      <c r="E605" s="253"/>
      <c r="F605" s="255"/>
      <c r="G605" s="255"/>
      <c r="H605" s="255"/>
      <c r="I605" s="255"/>
      <c r="J605" s="255"/>
      <c r="K605" s="255"/>
      <c r="L605" s="255"/>
      <c r="M605" s="255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  <c r="Y605" s="255"/>
      <c r="Z605" s="255"/>
      <c r="AA605" s="255"/>
    </row>
    <row r="606">
      <c r="A606" s="253"/>
      <c r="B606" s="253"/>
      <c r="C606" s="253"/>
      <c r="D606" s="253"/>
      <c r="E606" s="253"/>
      <c r="F606" s="255"/>
      <c r="G606" s="255"/>
      <c r="H606" s="255"/>
      <c r="I606" s="255"/>
      <c r="J606" s="255"/>
      <c r="K606" s="255"/>
      <c r="L606" s="255"/>
      <c r="M606" s="255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  <c r="Y606" s="255"/>
      <c r="Z606" s="255"/>
      <c r="AA606" s="255"/>
    </row>
    <row r="607">
      <c r="A607" s="253"/>
      <c r="B607" s="253"/>
      <c r="C607" s="253"/>
      <c r="D607" s="253"/>
      <c r="E607" s="253"/>
      <c r="F607" s="255"/>
      <c r="G607" s="255"/>
      <c r="H607" s="255"/>
      <c r="I607" s="255"/>
      <c r="J607" s="255"/>
      <c r="K607" s="255"/>
      <c r="L607" s="255"/>
      <c r="M607" s="255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  <c r="Y607" s="255"/>
      <c r="Z607" s="255"/>
      <c r="AA607" s="255"/>
    </row>
    <row r="608">
      <c r="A608" s="253"/>
      <c r="B608" s="253"/>
      <c r="C608" s="253"/>
      <c r="D608" s="253"/>
      <c r="E608" s="253"/>
      <c r="F608" s="255"/>
      <c r="G608" s="255"/>
      <c r="H608" s="255"/>
      <c r="I608" s="255"/>
      <c r="J608" s="255"/>
      <c r="K608" s="255"/>
      <c r="L608" s="255"/>
      <c r="M608" s="255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  <c r="Y608" s="255"/>
      <c r="Z608" s="255"/>
      <c r="AA608" s="255"/>
    </row>
    <row r="609">
      <c r="A609" s="253"/>
      <c r="B609" s="253"/>
      <c r="C609" s="253"/>
      <c r="D609" s="253"/>
      <c r="E609" s="253"/>
      <c r="F609" s="255"/>
      <c r="G609" s="255"/>
      <c r="H609" s="255"/>
      <c r="I609" s="255"/>
      <c r="J609" s="255"/>
      <c r="K609" s="255"/>
      <c r="L609" s="255"/>
      <c r="M609" s="255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  <c r="Y609" s="255"/>
      <c r="Z609" s="255"/>
      <c r="AA609" s="255"/>
    </row>
    <row r="610">
      <c r="A610" s="253"/>
      <c r="B610" s="253"/>
      <c r="C610" s="253"/>
      <c r="D610" s="253"/>
      <c r="E610" s="253"/>
      <c r="F610" s="255"/>
      <c r="G610" s="255"/>
      <c r="H610" s="255"/>
      <c r="I610" s="255"/>
      <c r="J610" s="255"/>
      <c r="K610" s="255"/>
      <c r="L610" s="255"/>
      <c r="M610" s="255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  <c r="Y610" s="255"/>
      <c r="Z610" s="255"/>
      <c r="AA610" s="255"/>
    </row>
    <row r="611">
      <c r="A611" s="253"/>
      <c r="B611" s="253"/>
      <c r="C611" s="253"/>
      <c r="D611" s="253"/>
      <c r="E611" s="253"/>
      <c r="F611" s="255"/>
      <c r="G611" s="255"/>
      <c r="H611" s="255"/>
      <c r="I611" s="255"/>
      <c r="J611" s="255"/>
      <c r="K611" s="255"/>
      <c r="L611" s="255"/>
      <c r="M611" s="255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  <c r="Y611" s="255"/>
      <c r="Z611" s="255"/>
      <c r="AA611" s="255"/>
    </row>
    <row r="612">
      <c r="A612" s="253"/>
      <c r="B612" s="253"/>
      <c r="C612" s="253"/>
      <c r="D612" s="253"/>
      <c r="E612" s="253"/>
      <c r="F612" s="255"/>
      <c r="G612" s="255"/>
      <c r="H612" s="255"/>
      <c r="I612" s="255"/>
      <c r="J612" s="255"/>
      <c r="K612" s="255"/>
      <c r="L612" s="255"/>
      <c r="M612" s="255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  <c r="Y612" s="255"/>
      <c r="Z612" s="255"/>
      <c r="AA612" s="255"/>
    </row>
    <row r="613">
      <c r="A613" s="253"/>
      <c r="B613" s="253"/>
      <c r="C613" s="253"/>
      <c r="D613" s="253"/>
      <c r="E613" s="253"/>
      <c r="F613" s="255"/>
      <c r="G613" s="255"/>
      <c r="H613" s="255"/>
      <c r="I613" s="255"/>
      <c r="J613" s="255"/>
      <c r="K613" s="255"/>
      <c r="L613" s="255"/>
      <c r="M613" s="255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  <c r="Y613" s="255"/>
      <c r="Z613" s="255"/>
      <c r="AA613" s="255"/>
    </row>
    <row r="614">
      <c r="A614" s="253"/>
      <c r="B614" s="253"/>
      <c r="C614" s="253"/>
      <c r="D614" s="253"/>
      <c r="E614" s="253"/>
      <c r="F614" s="255"/>
      <c r="G614" s="255"/>
      <c r="H614" s="255"/>
      <c r="I614" s="255"/>
      <c r="J614" s="255"/>
      <c r="K614" s="255"/>
      <c r="L614" s="255"/>
      <c r="M614" s="255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  <c r="Y614" s="255"/>
      <c r="Z614" s="255"/>
      <c r="AA614" s="255"/>
    </row>
    <row r="615">
      <c r="A615" s="253"/>
      <c r="B615" s="253"/>
      <c r="C615" s="253"/>
      <c r="D615" s="253"/>
      <c r="E615" s="253"/>
      <c r="F615" s="255"/>
      <c r="G615" s="255"/>
      <c r="H615" s="255"/>
      <c r="I615" s="255"/>
      <c r="J615" s="255"/>
      <c r="K615" s="255"/>
      <c r="L615" s="255"/>
      <c r="M615" s="255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  <c r="Y615" s="255"/>
      <c r="Z615" s="255"/>
      <c r="AA615" s="255"/>
    </row>
    <row r="616">
      <c r="A616" s="253"/>
      <c r="B616" s="253"/>
      <c r="C616" s="253"/>
      <c r="D616" s="253"/>
      <c r="E616" s="253"/>
      <c r="F616" s="255"/>
      <c r="G616" s="255"/>
      <c r="H616" s="255"/>
      <c r="I616" s="255"/>
      <c r="J616" s="255"/>
      <c r="K616" s="255"/>
      <c r="L616" s="255"/>
      <c r="M616" s="255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  <c r="Y616" s="255"/>
      <c r="Z616" s="255"/>
      <c r="AA616" s="255"/>
    </row>
    <row r="617">
      <c r="A617" s="253"/>
      <c r="B617" s="253"/>
      <c r="C617" s="253"/>
      <c r="D617" s="253"/>
      <c r="E617" s="253"/>
      <c r="F617" s="255"/>
      <c r="G617" s="255"/>
      <c r="H617" s="255"/>
      <c r="I617" s="255"/>
      <c r="J617" s="255"/>
      <c r="K617" s="255"/>
      <c r="L617" s="255"/>
      <c r="M617" s="255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  <c r="Y617" s="255"/>
      <c r="Z617" s="255"/>
      <c r="AA617" s="255"/>
    </row>
    <row r="618">
      <c r="A618" s="253"/>
      <c r="B618" s="253"/>
      <c r="C618" s="253"/>
      <c r="D618" s="253"/>
      <c r="E618" s="253"/>
      <c r="F618" s="255"/>
      <c r="G618" s="255"/>
      <c r="H618" s="255"/>
      <c r="I618" s="255"/>
      <c r="J618" s="255"/>
      <c r="K618" s="255"/>
      <c r="L618" s="255"/>
      <c r="M618" s="255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  <c r="Y618" s="255"/>
      <c r="Z618" s="255"/>
      <c r="AA618" s="255"/>
    </row>
    <row r="619">
      <c r="A619" s="253"/>
      <c r="B619" s="253"/>
      <c r="C619" s="253"/>
      <c r="D619" s="253"/>
      <c r="E619" s="253"/>
      <c r="F619" s="255"/>
      <c r="G619" s="255"/>
      <c r="H619" s="255"/>
      <c r="I619" s="255"/>
      <c r="J619" s="255"/>
      <c r="K619" s="255"/>
      <c r="L619" s="255"/>
      <c r="M619" s="255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  <c r="Y619" s="255"/>
      <c r="Z619" s="255"/>
      <c r="AA619" s="255"/>
    </row>
    <row r="620">
      <c r="A620" s="253"/>
      <c r="B620" s="253"/>
      <c r="C620" s="253"/>
      <c r="D620" s="253"/>
      <c r="E620" s="253"/>
      <c r="F620" s="255"/>
      <c r="G620" s="255"/>
      <c r="H620" s="255"/>
      <c r="I620" s="255"/>
      <c r="J620" s="255"/>
      <c r="K620" s="255"/>
      <c r="L620" s="255"/>
      <c r="M620" s="255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  <c r="Y620" s="255"/>
      <c r="Z620" s="255"/>
      <c r="AA620" s="255"/>
    </row>
    <row r="621">
      <c r="A621" s="253"/>
      <c r="B621" s="253"/>
      <c r="C621" s="253"/>
      <c r="D621" s="253"/>
      <c r="E621" s="253"/>
      <c r="F621" s="255"/>
      <c r="G621" s="255"/>
      <c r="H621" s="255"/>
      <c r="I621" s="255"/>
      <c r="J621" s="255"/>
      <c r="K621" s="255"/>
      <c r="L621" s="255"/>
      <c r="M621" s="255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  <c r="Y621" s="255"/>
      <c r="Z621" s="255"/>
      <c r="AA621" s="255"/>
    </row>
    <row r="622">
      <c r="A622" s="253"/>
      <c r="B622" s="253"/>
      <c r="C622" s="253"/>
      <c r="D622" s="253"/>
      <c r="E622" s="253"/>
      <c r="F622" s="255"/>
      <c r="G622" s="255"/>
      <c r="H622" s="255"/>
      <c r="I622" s="255"/>
      <c r="J622" s="255"/>
      <c r="K622" s="255"/>
      <c r="L622" s="255"/>
      <c r="M622" s="255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  <c r="Y622" s="255"/>
      <c r="Z622" s="255"/>
      <c r="AA622" s="255"/>
    </row>
    <row r="623">
      <c r="A623" s="253"/>
      <c r="B623" s="253"/>
      <c r="C623" s="253"/>
      <c r="D623" s="253"/>
      <c r="E623" s="253"/>
      <c r="F623" s="255"/>
      <c r="G623" s="255"/>
      <c r="H623" s="255"/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  <c r="Y623" s="255"/>
      <c r="Z623" s="255"/>
      <c r="AA623" s="255"/>
    </row>
    <row r="624">
      <c r="A624" s="253"/>
      <c r="B624" s="253"/>
      <c r="C624" s="253"/>
      <c r="D624" s="253"/>
      <c r="E624" s="253"/>
      <c r="F624" s="255"/>
      <c r="G624" s="255"/>
      <c r="H624" s="255"/>
      <c r="I624" s="255"/>
      <c r="J624" s="255"/>
      <c r="K624" s="255"/>
      <c r="L624" s="255"/>
      <c r="M624" s="255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  <c r="Y624" s="255"/>
      <c r="Z624" s="255"/>
      <c r="AA624" s="255"/>
    </row>
    <row r="625">
      <c r="A625" s="253"/>
      <c r="B625" s="253"/>
      <c r="C625" s="253"/>
      <c r="D625" s="253"/>
      <c r="E625" s="253"/>
      <c r="F625" s="255"/>
      <c r="G625" s="255"/>
      <c r="H625" s="255"/>
      <c r="I625" s="255"/>
      <c r="J625" s="255"/>
      <c r="K625" s="255"/>
      <c r="L625" s="255"/>
      <c r="M625" s="255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  <c r="Y625" s="255"/>
      <c r="Z625" s="255"/>
      <c r="AA625" s="255"/>
    </row>
    <row r="626">
      <c r="A626" s="253"/>
      <c r="B626" s="253"/>
      <c r="C626" s="253"/>
      <c r="D626" s="253"/>
      <c r="E626" s="253"/>
      <c r="F626" s="255"/>
      <c r="G626" s="255"/>
      <c r="H626" s="255"/>
      <c r="I626" s="255"/>
      <c r="J626" s="255"/>
      <c r="K626" s="255"/>
      <c r="L626" s="255"/>
      <c r="M626" s="255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  <c r="Y626" s="255"/>
      <c r="Z626" s="255"/>
      <c r="AA626" s="255"/>
    </row>
    <row r="627">
      <c r="A627" s="253"/>
      <c r="B627" s="253"/>
      <c r="C627" s="253"/>
      <c r="D627" s="253"/>
      <c r="E627" s="253"/>
      <c r="F627" s="255"/>
      <c r="G627" s="255"/>
      <c r="H627" s="255"/>
      <c r="I627" s="255"/>
      <c r="J627" s="255"/>
      <c r="K627" s="255"/>
      <c r="L627" s="255"/>
      <c r="M627" s="255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  <c r="Y627" s="255"/>
      <c r="Z627" s="255"/>
      <c r="AA627" s="255"/>
    </row>
    <row r="628">
      <c r="A628" s="253"/>
      <c r="B628" s="253"/>
      <c r="C628" s="253"/>
      <c r="D628" s="253"/>
      <c r="E628" s="253"/>
      <c r="F628" s="255"/>
      <c r="G628" s="255"/>
      <c r="H628" s="255"/>
      <c r="I628" s="255"/>
      <c r="J628" s="255"/>
      <c r="K628" s="255"/>
      <c r="L628" s="255"/>
      <c r="M628" s="255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  <c r="Y628" s="255"/>
      <c r="Z628" s="255"/>
      <c r="AA628" s="255"/>
    </row>
    <row r="629">
      <c r="A629" s="253"/>
      <c r="B629" s="253"/>
      <c r="C629" s="253"/>
      <c r="D629" s="253"/>
      <c r="E629" s="253"/>
      <c r="F629" s="255"/>
      <c r="G629" s="255"/>
      <c r="H629" s="255"/>
      <c r="I629" s="255"/>
      <c r="J629" s="255"/>
      <c r="K629" s="255"/>
      <c r="L629" s="255"/>
      <c r="M629" s="255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  <c r="Y629" s="255"/>
      <c r="Z629" s="255"/>
      <c r="AA629" s="255"/>
    </row>
    <row r="630">
      <c r="A630" s="253"/>
      <c r="B630" s="253"/>
      <c r="C630" s="253"/>
      <c r="D630" s="253"/>
      <c r="E630" s="253"/>
      <c r="F630" s="255"/>
      <c r="G630" s="255"/>
      <c r="H630" s="255"/>
      <c r="I630" s="255"/>
      <c r="J630" s="255"/>
      <c r="K630" s="255"/>
      <c r="L630" s="255"/>
      <c r="M630" s="255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  <c r="Y630" s="255"/>
      <c r="Z630" s="255"/>
      <c r="AA630" s="255"/>
    </row>
    <row r="631">
      <c r="A631" s="253"/>
      <c r="B631" s="253"/>
      <c r="C631" s="253"/>
      <c r="D631" s="253"/>
      <c r="E631" s="253"/>
      <c r="F631" s="255"/>
      <c r="G631" s="255"/>
      <c r="H631" s="255"/>
      <c r="I631" s="255"/>
      <c r="J631" s="255"/>
      <c r="K631" s="255"/>
      <c r="L631" s="255"/>
      <c r="M631" s="255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  <c r="Y631" s="255"/>
      <c r="Z631" s="255"/>
      <c r="AA631" s="255"/>
    </row>
    <row r="632">
      <c r="A632" s="253"/>
      <c r="B632" s="253"/>
      <c r="C632" s="253"/>
      <c r="D632" s="253"/>
      <c r="E632" s="253"/>
      <c r="F632" s="255"/>
      <c r="G632" s="255"/>
      <c r="H632" s="255"/>
      <c r="I632" s="255"/>
      <c r="J632" s="255"/>
      <c r="K632" s="255"/>
      <c r="L632" s="255"/>
      <c r="M632" s="255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  <c r="Y632" s="255"/>
      <c r="Z632" s="255"/>
      <c r="AA632" s="255"/>
    </row>
    <row r="633">
      <c r="A633" s="253"/>
      <c r="B633" s="253"/>
      <c r="C633" s="253"/>
      <c r="D633" s="253"/>
      <c r="E633" s="253"/>
      <c r="F633" s="255"/>
      <c r="G633" s="255"/>
      <c r="H633" s="255"/>
      <c r="I633" s="255"/>
      <c r="J633" s="255"/>
      <c r="K633" s="255"/>
      <c r="L633" s="255"/>
      <c r="M633" s="255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  <c r="Y633" s="255"/>
      <c r="Z633" s="255"/>
      <c r="AA633" s="255"/>
    </row>
    <row r="634">
      <c r="A634" s="253"/>
      <c r="B634" s="253"/>
      <c r="C634" s="253"/>
      <c r="D634" s="253"/>
      <c r="E634" s="253"/>
      <c r="F634" s="255"/>
      <c r="G634" s="255"/>
      <c r="H634" s="255"/>
      <c r="I634" s="255"/>
      <c r="J634" s="255"/>
      <c r="K634" s="255"/>
      <c r="L634" s="255"/>
      <c r="M634" s="255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  <c r="Y634" s="255"/>
      <c r="Z634" s="255"/>
      <c r="AA634" s="255"/>
    </row>
    <row r="635">
      <c r="A635" s="253"/>
      <c r="B635" s="253"/>
      <c r="C635" s="253"/>
      <c r="D635" s="253"/>
      <c r="E635" s="253"/>
      <c r="F635" s="255"/>
      <c r="G635" s="255"/>
      <c r="H635" s="255"/>
      <c r="I635" s="255"/>
      <c r="J635" s="255"/>
      <c r="K635" s="255"/>
      <c r="L635" s="255"/>
      <c r="M635" s="255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  <c r="Y635" s="255"/>
      <c r="Z635" s="255"/>
      <c r="AA635" s="255"/>
    </row>
    <row r="636">
      <c r="A636" s="253"/>
      <c r="B636" s="253"/>
      <c r="C636" s="253"/>
      <c r="D636" s="253"/>
      <c r="E636" s="253"/>
      <c r="F636" s="255"/>
      <c r="G636" s="255"/>
      <c r="H636" s="255"/>
      <c r="I636" s="255"/>
      <c r="J636" s="255"/>
      <c r="K636" s="255"/>
      <c r="L636" s="255"/>
      <c r="M636" s="255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  <c r="Y636" s="255"/>
      <c r="Z636" s="255"/>
      <c r="AA636" s="255"/>
    </row>
    <row r="637">
      <c r="A637" s="253"/>
      <c r="B637" s="253"/>
      <c r="C637" s="253"/>
      <c r="D637" s="253"/>
      <c r="E637" s="253"/>
      <c r="F637" s="255"/>
      <c r="G637" s="255"/>
      <c r="H637" s="255"/>
      <c r="I637" s="255"/>
      <c r="J637" s="255"/>
      <c r="K637" s="255"/>
      <c r="L637" s="255"/>
      <c r="M637" s="255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  <c r="Y637" s="255"/>
      <c r="Z637" s="255"/>
      <c r="AA637" s="255"/>
    </row>
    <row r="638">
      <c r="A638" s="253"/>
      <c r="B638" s="253"/>
      <c r="C638" s="253"/>
      <c r="D638" s="253"/>
      <c r="E638" s="253"/>
      <c r="F638" s="255"/>
      <c r="G638" s="255"/>
      <c r="H638" s="255"/>
      <c r="I638" s="255"/>
      <c r="J638" s="255"/>
      <c r="K638" s="255"/>
      <c r="L638" s="255"/>
      <c r="M638" s="255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  <c r="Y638" s="255"/>
      <c r="Z638" s="255"/>
      <c r="AA638" s="255"/>
    </row>
    <row r="639">
      <c r="A639" s="253"/>
      <c r="B639" s="253"/>
      <c r="C639" s="253"/>
      <c r="D639" s="253"/>
      <c r="E639" s="253"/>
      <c r="F639" s="255"/>
      <c r="G639" s="255"/>
      <c r="H639" s="255"/>
      <c r="I639" s="255"/>
      <c r="J639" s="255"/>
      <c r="K639" s="255"/>
      <c r="L639" s="255"/>
      <c r="M639" s="255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  <c r="Y639" s="255"/>
      <c r="Z639" s="255"/>
      <c r="AA639" s="255"/>
    </row>
    <row r="640">
      <c r="A640" s="253"/>
      <c r="B640" s="253"/>
      <c r="C640" s="253"/>
      <c r="D640" s="253"/>
      <c r="E640" s="253"/>
      <c r="F640" s="255"/>
      <c r="G640" s="255"/>
      <c r="H640" s="255"/>
      <c r="I640" s="255"/>
      <c r="J640" s="255"/>
      <c r="K640" s="255"/>
      <c r="L640" s="255"/>
      <c r="M640" s="255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  <c r="Y640" s="255"/>
      <c r="Z640" s="255"/>
      <c r="AA640" s="255"/>
    </row>
    <row r="641">
      <c r="A641" s="253"/>
      <c r="B641" s="253"/>
      <c r="C641" s="253"/>
      <c r="D641" s="253"/>
      <c r="E641" s="253"/>
      <c r="F641" s="255"/>
      <c r="G641" s="255"/>
      <c r="H641" s="255"/>
      <c r="I641" s="255"/>
      <c r="J641" s="255"/>
      <c r="K641" s="255"/>
      <c r="L641" s="255"/>
      <c r="M641" s="255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  <c r="Y641" s="255"/>
      <c r="Z641" s="255"/>
      <c r="AA641" s="255"/>
    </row>
    <row r="642">
      <c r="A642" s="253"/>
      <c r="B642" s="253"/>
      <c r="C642" s="253"/>
      <c r="D642" s="253"/>
      <c r="E642" s="253"/>
      <c r="F642" s="255"/>
      <c r="G642" s="255"/>
      <c r="H642" s="255"/>
      <c r="I642" s="255"/>
      <c r="J642" s="255"/>
      <c r="K642" s="255"/>
      <c r="L642" s="255"/>
      <c r="M642" s="255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  <c r="Y642" s="255"/>
      <c r="Z642" s="255"/>
      <c r="AA642" s="255"/>
    </row>
    <row r="643">
      <c r="A643" s="253"/>
      <c r="B643" s="253"/>
      <c r="C643" s="253"/>
      <c r="D643" s="253"/>
      <c r="E643" s="253"/>
      <c r="F643" s="255"/>
      <c r="G643" s="255"/>
      <c r="H643" s="255"/>
      <c r="I643" s="255"/>
      <c r="J643" s="255"/>
      <c r="K643" s="255"/>
      <c r="L643" s="255"/>
      <c r="M643" s="255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  <c r="AA643" s="255"/>
    </row>
    <row r="644">
      <c r="A644" s="253"/>
      <c r="B644" s="253"/>
      <c r="C644" s="253"/>
      <c r="D644" s="253"/>
      <c r="E644" s="253"/>
      <c r="F644" s="255"/>
      <c r="G644" s="255"/>
      <c r="H644" s="255"/>
      <c r="I644" s="255"/>
      <c r="J644" s="255"/>
      <c r="K644" s="255"/>
      <c r="L644" s="255"/>
      <c r="M644" s="255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  <c r="Y644" s="255"/>
      <c r="Z644" s="255"/>
      <c r="AA644" s="255"/>
    </row>
    <row r="645">
      <c r="A645" s="253"/>
      <c r="B645" s="253"/>
      <c r="C645" s="253"/>
      <c r="D645" s="253"/>
      <c r="E645" s="253"/>
      <c r="F645" s="255"/>
      <c r="G645" s="255"/>
      <c r="H645" s="255"/>
      <c r="I645" s="255"/>
      <c r="J645" s="255"/>
      <c r="K645" s="255"/>
      <c r="L645" s="255"/>
      <c r="M645" s="255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  <c r="Y645" s="255"/>
      <c r="Z645" s="255"/>
      <c r="AA645" s="255"/>
    </row>
    <row r="646">
      <c r="A646" s="253"/>
      <c r="B646" s="253"/>
      <c r="C646" s="253"/>
      <c r="D646" s="253"/>
      <c r="E646" s="253"/>
      <c r="F646" s="255"/>
      <c r="G646" s="255"/>
      <c r="H646" s="255"/>
      <c r="I646" s="255"/>
      <c r="J646" s="255"/>
      <c r="K646" s="255"/>
      <c r="L646" s="255"/>
      <c r="M646" s="255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  <c r="Y646" s="255"/>
      <c r="Z646" s="255"/>
      <c r="AA646" s="255"/>
    </row>
    <row r="647">
      <c r="A647" s="253"/>
      <c r="B647" s="253"/>
      <c r="C647" s="253"/>
      <c r="D647" s="253"/>
      <c r="E647" s="253"/>
      <c r="F647" s="255"/>
      <c r="G647" s="255"/>
      <c r="H647" s="255"/>
      <c r="I647" s="255"/>
      <c r="J647" s="255"/>
      <c r="K647" s="255"/>
      <c r="L647" s="255"/>
      <c r="M647" s="255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  <c r="Y647" s="255"/>
      <c r="Z647" s="255"/>
      <c r="AA647" s="255"/>
    </row>
    <row r="648">
      <c r="A648" s="253"/>
      <c r="B648" s="253"/>
      <c r="C648" s="253"/>
      <c r="D648" s="253"/>
      <c r="E648" s="253"/>
      <c r="F648" s="255"/>
      <c r="G648" s="255"/>
      <c r="H648" s="255"/>
      <c r="I648" s="255"/>
      <c r="J648" s="255"/>
      <c r="K648" s="255"/>
      <c r="L648" s="255"/>
      <c r="M648" s="255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  <c r="Y648" s="255"/>
      <c r="Z648" s="255"/>
      <c r="AA648" s="255"/>
    </row>
    <row r="649">
      <c r="A649" s="253"/>
      <c r="B649" s="253"/>
      <c r="C649" s="253"/>
      <c r="D649" s="253"/>
      <c r="E649" s="253"/>
      <c r="F649" s="255"/>
      <c r="G649" s="255"/>
      <c r="H649" s="255"/>
      <c r="I649" s="255"/>
      <c r="J649" s="255"/>
      <c r="K649" s="255"/>
      <c r="L649" s="255"/>
      <c r="M649" s="255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  <c r="Y649" s="255"/>
      <c r="Z649" s="255"/>
      <c r="AA649" s="255"/>
    </row>
    <row r="650">
      <c r="A650" s="253"/>
      <c r="B650" s="253"/>
      <c r="C650" s="253"/>
      <c r="D650" s="253"/>
      <c r="E650" s="253"/>
      <c r="F650" s="255"/>
      <c r="G650" s="255"/>
      <c r="H650" s="255"/>
      <c r="I650" s="255"/>
      <c r="J650" s="255"/>
      <c r="K650" s="255"/>
      <c r="L650" s="255"/>
      <c r="M650" s="255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  <c r="Y650" s="255"/>
      <c r="Z650" s="255"/>
      <c r="AA650" s="255"/>
    </row>
    <row r="651">
      <c r="A651" s="253"/>
      <c r="B651" s="253"/>
      <c r="C651" s="253"/>
      <c r="D651" s="253"/>
      <c r="E651" s="253"/>
      <c r="F651" s="255"/>
      <c r="G651" s="255"/>
      <c r="H651" s="255"/>
      <c r="I651" s="255"/>
      <c r="J651" s="255"/>
      <c r="K651" s="255"/>
      <c r="L651" s="255"/>
      <c r="M651" s="255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  <c r="Y651" s="255"/>
      <c r="Z651" s="255"/>
      <c r="AA651" s="255"/>
    </row>
    <row r="652">
      <c r="A652" s="253"/>
      <c r="B652" s="253"/>
      <c r="C652" s="253"/>
      <c r="D652" s="253"/>
      <c r="E652" s="253"/>
      <c r="F652" s="255"/>
      <c r="G652" s="255"/>
      <c r="H652" s="255"/>
      <c r="I652" s="255"/>
      <c r="J652" s="255"/>
      <c r="K652" s="255"/>
      <c r="L652" s="255"/>
      <c r="M652" s="255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  <c r="Y652" s="255"/>
      <c r="Z652" s="255"/>
      <c r="AA652" s="255"/>
    </row>
    <row r="653">
      <c r="A653" s="253"/>
      <c r="B653" s="253"/>
      <c r="C653" s="253"/>
      <c r="D653" s="253"/>
      <c r="E653" s="253"/>
      <c r="F653" s="255"/>
      <c r="G653" s="255"/>
      <c r="H653" s="255"/>
      <c r="I653" s="255"/>
      <c r="J653" s="255"/>
      <c r="K653" s="255"/>
      <c r="L653" s="255"/>
      <c r="M653" s="255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  <c r="Y653" s="255"/>
      <c r="Z653" s="255"/>
      <c r="AA653" s="255"/>
    </row>
    <row r="654">
      <c r="A654" s="253"/>
      <c r="B654" s="253"/>
      <c r="C654" s="253"/>
      <c r="D654" s="253"/>
      <c r="E654" s="253"/>
      <c r="F654" s="255"/>
      <c r="G654" s="255"/>
      <c r="H654" s="255"/>
      <c r="I654" s="255"/>
      <c r="J654" s="255"/>
      <c r="K654" s="255"/>
      <c r="L654" s="255"/>
      <c r="M654" s="255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  <c r="Y654" s="255"/>
      <c r="Z654" s="255"/>
      <c r="AA654" s="255"/>
    </row>
    <row r="655">
      <c r="A655" s="253"/>
      <c r="B655" s="253"/>
      <c r="C655" s="253"/>
      <c r="D655" s="253"/>
      <c r="E655" s="253"/>
      <c r="F655" s="255"/>
      <c r="G655" s="255"/>
      <c r="H655" s="255"/>
      <c r="I655" s="255"/>
      <c r="J655" s="255"/>
      <c r="K655" s="255"/>
      <c r="L655" s="255"/>
      <c r="M655" s="255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  <c r="Y655" s="255"/>
      <c r="Z655" s="255"/>
      <c r="AA655" s="255"/>
    </row>
    <row r="656">
      <c r="A656" s="253"/>
      <c r="B656" s="253"/>
      <c r="C656" s="253"/>
      <c r="D656" s="253"/>
      <c r="E656" s="253"/>
      <c r="F656" s="255"/>
      <c r="G656" s="255"/>
      <c r="H656" s="255"/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  <c r="Y656" s="255"/>
      <c r="Z656" s="255"/>
      <c r="AA656" s="255"/>
    </row>
    <row r="657">
      <c r="A657" s="253"/>
      <c r="B657" s="253"/>
      <c r="C657" s="253"/>
      <c r="D657" s="253"/>
      <c r="E657" s="253"/>
      <c r="F657" s="255"/>
      <c r="G657" s="255"/>
      <c r="H657" s="255"/>
      <c r="I657" s="255"/>
      <c r="J657" s="255"/>
      <c r="K657" s="255"/>
      <c r="L657" s="255"/>
      <c r="M657" s="255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  <c r="Y657" s="255"/>
      <c r="Z657" s="255"/>
      <c r="AA657" s="255"/>
    </row>
    <row r="658">
      <c r="A658" s="253"/>
      <c r="B658" s="253"/>
      <c r="C658" s="253"/>
      <c r="D658" s="253"/>
      <c r="E658" s="253"/>
      <c r="F658" s="255"/>
      <c r="G658" s="255"/>
      <c r="H658" s="255"/>
      <c r="I658" s="255"/>
      <c r="J658" s="255"/>
      <c r="K658" s="255"/>
      <c r="L658" s="255"/>
      <c r="M658" s="255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  <c r="Y658" s="255"/>
      <c r="Z658" s="255"/>
      <c r="AA658" s="255"/>
    </row>
    <row r="659">
      <c r="A659" s="253"/>
      <c r="B659" s="253"/>
      <c r="C659" s="253"/>
      <c r="D659" s="253"/>
      <c r="E659" s="253"/>
      <c r="F659" s="255"/>
      <c r="G659" s="255"/>
      <c r="H659" s="255"/>
      <c r="I659" s="255"/>
      <c r="J659" s="255"/>
      <c r="K659" s="255"/>
      <c r="L659" s="255"/>
      <c r="M659" s="255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  <c r="Y659" s="255"/>
      <c r="Z659" s="255"/>
      <c r="AA659" s="255"/>
    </row>
    <row r="660">
      <c r="A660" s="253"/>
      <c r="B660" s="253"/>
      <c r="C660" s="253"/>
      <c r="D660" s="253"/>
      <c r="E660" s="253"/>
      <c r="F660" s="255"/>
      <c r="G660" s="255"/>
      <c r="H660" s="255"/>
      <c r="I660" s="255"/>
      <c r="J660" s="255"/>
      <c r="K660" s="255"/>
      <c r="L660" s="255"/>
      <c r="M660" s="255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  <c r="Y660" s="255"/>
      <c r="Z660" s="255"/>
      <c r="AA660" s="255"/>
    </row>
    <row r="661">
      <c r="A661" s="253"/>
      <c r="B661" s="253"/>
      <c r="C661" s="253"/>
      <c r="D661" s="253"/>
      <c r="E661" s="253"/>
      <c r="F661" s="255"/>
      <c r="G661" s="255"/>
      <c r="H661" s="255"/>
      <c r="I661" s="255"/>
      <c r="J661" s="255"/>
      <c r="K661" s="255"/>
      <c r="L661" s="255"/>
      <c r="M661" s="255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  <c r="Y661" s="255"/>
      <c r="Z661" s="255"/>
      <c r="AA661" s="255"/>
    </row>
    <row r="662">
      <c r="A662" s="253"/>
      <c r="B662" s="253"/>
      <c r="C662" s="253"/>
      <c r="D662" s="253"/>
      <c r="E662" s="253"/>
      <c r="F662" s="255"/>
      <c r="G662" s="255"/>
      <c r="H662" s="255"/>
      <c r="I662" s="255"/>
      <c r="J662" s="255"/>
      <c r="K662" s="255"/>
      <c r="L662" s="255"/>
      <c r="M662" s="255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  <c r="Y662" s="255"/>
      <c r="Z662" s="255"/>
      <c r="AA662" s="255"/>
    </row>
    <row r="663">
      <c r="A663" s="253"/>
      <c r="B663" s="253"/>
      <c r="C663" s="253"/>
      <c r="D663" s="253"/>
      <c r="E663" s="253"/>
      <c r="F663" s="255"/>
      <c r="G663" s="255"/>
      <c r="H663" s="255"/>
      <c r="I663" s="255"/>
      <c r="J663" s="255"/>
      <c r="K663" s="255"/>
      <c r="L663" s="255"/>
      <c r="M663" s="255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  <c r="Y663" s="255"/>
      <c r="Z663" s="255"/>
      <c r="AA663" s="255"/>
    </row>
    <row r="664">
      <c r="A664" s="253"/>
      <c r="B664" s="253"/>
      <c r="C664" s="253"/>
      <c r="D664" s="253"/>
      <c r="E664" s="253"/>
      <c r="F664" s="255"/>
      <c r="G664" s="255"/>
      <c r="H664" s="255"/>
      <c r="I664" s="255"/>
      <c r="J664" s="255"/>
      <c r="K664" s="255"/>
      <c r="L664" s="255"/>
      <c r="M664" s="255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  <c r="Y664" s="255"/>
      <c r="Z664" s="255"/>
      <c r="AA664" s="255"/>
    </row>
    <row r="665">
      <c r="A665" s="253"/>
      <c r="B665" s="253"/>
      <c r="C665" s="253"/>
      <c r="D665" s="253"/>
      <c r="E665" s="253"/>
      <c r="F665" s="255"/>
      <c r="G665" s="255"/>
      <c r="H665" s="255"/>
      <c r="I665" s="255"/>
      <c r="J665" s="255"/>
      <c r="K665" s="255"/>
      <c r="L665" s="255"/>
      <c r="M665" s="255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  <c r="Y665" s="255"/>
      <c r="Z665" s="255"/>
      <c r="AA665" s="255"/>
    </row>
    <row r="666">
      <c r="A666" s="253"/>
      <c r="B666" s="253"/>
      <c r="C666" s="253"/>
      <c r="D666" s="253"/>
      <c r="E666" s="253"/>
      <c r="F666" s="255"/>
      <c r="G666" s="255"/>
      <c r="H666" s="255"/>
      <c r="I666" s="255"/>
      <c r="J666" s="255"/>
      <c r="K666" s="255"/>
      <c r="L666" s="255"/>
      <c r="M666" s="255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  <c r="Y666" s="255"/>
      <c r="Z666" s="255"/>
      <c r="AA666" s="255"/>
    </row>
    <row r="667">
      <c r="A667" s="253"/>
      <c r="B667" s="253"/>
      <c r="C667" s="253"/>
      <c r="D667" s="253"/>
      <c r="E667" s="253"/>
      <c r="F667" s="255"/>
      <c r="G667" s="255"/>
      <c r="H667" s="255"/>
      <c r="I667" s="255"/>
      <c r="J667" s="255"/>
      <c r="K667" s="255"/>
      <c r="L667" s="255"/>
      <c r="M667" s="255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  <c r="Y667" s="255"/>
      <c r="Z667" s="255"/>
      <c r="AA667" s="255"/>
    </row>
    <row r="668">
      <c r="A668" s="253"/>
      <c r="B668" s="253"/>
      <c r="C668" s="253"/>
      <c r="D668" s="253"/>
      <c r="E668" s="253"/>
      <c r="F668" s="255"/>
      <c r="G668" s="255"/>
      <c r="H668" s="255"/>
      <c r="I668" s="255"/>
      <c r="J668" s="255"/>
      <c r="K668" s="255"/>
      <c r="L668" s="255"/>
      <c r="M668" s="255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  <c r="Y668" s="255"/>
      <c r="Z668" s="255"/>
      <c r="AA668" s="255"/>
    </row>
    <row r="669">
      <c r="A669" s="253"/>
      <c r="B669" s="253"/>
      <c r="C669" s="253"/>
      <c r="D669" s="253"/>
      <c r="E669" s="253"/>
      <c r="F669" s="255"/>
      <c r="G669" s="255"/>
      <c r="H669" s="255"/>
      <c r="I669" s="255"/>
      <c r="J669" s="255"/>
      <c r="K669" s="255"/>
      <c r="L669" s="255"/>
      <c r="M669" s="255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  <c r="Y669" s="255"/>
      <c r="Z669" s="255"/>
      <c r="AA669" s="255"/>
    </row>
    <row r="670">
      <c r="A670" s="253"/>
      <c r="B670" s="253"/>
      <c r="C670" s="253"/>
      <c r="D670" s="253"/>
      <c r="E670" s="253"/>
      <c r="F670" s="255"/>
      <c r="G670" s="255"/>
      <c r="H670" s="255"/>
      <c r="I670" s="255"/>
      <c r="J670" s="255"/>
      <c r="K670" s="255"/>
      <c r="L670" s="255"/>
      <c r="M670" s="255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  <c r="Y670" s="255"/>
      <c r="Z670" s="255"/>
      <c r="AA670" s="255"/>
    </row>
    <row r="671">
      <c r="A671" s="253"/>
      <c r="B671" s="253"/>
      <c r="C671" s="253"/>
      <c r="D671" s="253"/>
      <c r="E671" s="253"/>
      <c r="F671" s="255"/>
      <c r="G671" s="255"/>
      <c r="H671" s="255"/>
      <c r="I671" s="255"/>
      <c r="J671" s="255"/>
      <c r="K671" s="255"/>
      <c r="L671" s="255"/>
      <c r="M671" s="255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  <c r="Y671" s="255"/>
      <c r="Z671" s="255"/>
      <c r="AA671" s="255"/>
    </row>
    <row r="672">
      <c r="A672" s="253"/>
      <c r="B672" s="253"/>
      <c r="C672" s="253"/>
      <c r="D672" s="253"/>
      <c r="E672" s="253"/>
      <c r="F672" s="255"/>
      <c r="G672" s="255"/>
      <c r="H672" s="255"/>
      <c r="I672" s="255"/>
      <c r="J672" s="255"/>
      <c r="K672" s="255"/>
      <c r="L672" s="255"/>
      <c r="M672" s="255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  <c r="Y672" s="255"/>
      <c r="Z672" s="255"/>
      <c r="AA672" s="255"/>
    </row>
    <row r="673">
      <c r="A673" s="253"/>
      <c r="B673" s="253"/>
      <c r="C673" s="253"/>
      <c r="D673" s="253"/>
      <c r="E673" s="253"/>
      <c r="F673" s="255"/>
      <c r="G673" s="255"/>
      <c r="H673" s="255"/>
      <c r="I673" s="255"/>
      <c r="J673" s="255"/>
      <c r="K673" s="255"/>
      <c r="L673" s="255"/>
      <c r="M673" s="255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  <c r="Y673" s="255"/>
      <c r="Z673" s="255"/>
      <c r="AA673" s="255"/>
    </row>
    <row r="674">
      <c r="A674" s="253"/>
      <c r="B674" s="253"/>
      <c r="C674" s="253"/>
      <c r="D674" s="253"/>
      <c r="E674" s="253"/>
      <c r="F674" s="255"/>
      <c r="G674" s="255"/>
      <c r="H674" s="255"/>
      <c r="I674" s="255"/>
      <c r="J674" s="255"/>
      <c r="K674" s="255"/>
      <c r="L674" s="255"/>
      <c r="M674" s="255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  <c r="Y674" s="255"/>
      <c r="Z674" s="255"/>
      <c r="AA674" s="255"/>
    </row>
    <row r="675">
      <c r="A675" s="253"/>
      <c r="B675" s="253"/>
      <c r="C675" s="253"/>
      <c r="D675" s="253"/>
      <c r="E675" s="253"/>
      <c r="F675" s="255"/>
      <c r="G675" s="255"/>
      <c r="H675" s="255"/>
      <c r="I675" s="255"/>
      <c r="J675" s="255"/>
      <c r="K675" s="255"/>
      <c r="L675" s="255"/>
      <c r="M675" s="255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  <c r="Y675" s="255"/>
      <c r="Z675" s="255"/>
      <c r="AA675" s="255"/>
    </row>
    <row r="676">
      <c r="A676" s="253"/>
      <c r="B676" s="253"/>
      <c r="C676" s="253"/>
      <c r="D676" s="253"/>
      <c r="E676" s="253"/>
      <c r="F676" s="255"/>
      <c r="G676" s="255"/>
      <c r="H676" s="255"/>
      <c r="I676" s="255"/>
      <c r="J676" s="255"/>
      <c r="K676" s="255"/>
      <c r="L676" s="255"/>
      <c r="M676" s="255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  <c r="Y676" s="255"/>
      <c r="Z676" s="255"/>
      <c r="AA676" s="255"/>
    </row>
    <row r="677">
      <c r="A677" s="253"/>
      <c r="B677" s="253"/>
      <c r="C677" s="253"/>
      <c r="D677" s="253"/>
      <c r="E677" s="253"/>
      <c r="F677" s="255"/>
      <c r="G677" s="255"/>
      <c r="H677" s="255"/>
      <c r="I677" s="255"/>
      <c r="J677" s="255"/>
      <c r="K677" s="255"/>
      <c r="L677" s="255"/>
      <c r="M677" s="255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  <c r="Y677" s="255"/>
      <c r="Z677" s="255"/>
      <c r="AA677" s="255"/>
    </row>
    <row r="678">
      <c r="A678" s="253"/>
      <c r="B678" s="253"/>
      <c r="C678" s="253"/>
      <c r="D678" s="253"/>
      <c r="E678" s="253"/>
      <c r="F678" s="255"/>
      <c r="G678" s="255"/>
      <c r="H678" s="255"/>
      <c r="I678" s="255"/>
      <c r="J678" s="255"/>
      <c r="K678" s="255"/>
      <c r="L678" s="255"/>
      <c r="M678" s="255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  <c r="Y678" s="255"/>
      <c r="Z678" s="255"/>
      <c r="AA678" s="255"/>
    </row>
    <row r="679">
      <c r="A679" s="253"/>
      <c r="B679" s="253"/>
      <c r="C679" s="253"/>
      <c r="D679" s="253"/>
      <c r="E679" s="253"/>
      <c r="F679" s="255"/>
      <c r="G679" s="255"/>
      <c r="H679" s="255"/>
      <c r="I679" s="255"/>
      <c r="J679" s="255"/>
      <c r="K679" s="255"/>
      <c r="L679" s="255"/>
      <c r="M679" s="255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  <c r="Y679" s="255"/>
      <c r="Z679" s="255"/>
      <c r="AA679" s="255"/>
    </row>
    <row r="680">
      <c r="A680" s="253"/>
      <c r="B680" s="253"/>
      <c r="C680" s="253"/>
      <c r="D680" s="253"/>
      <c r="E680" s="253"/>
      <c r="F680" s="255"/>
      <c r="G680" s="255"/>
      <c r="H680" s="255"/>
      <c r="I680" s="255"/>
      <c r="J680" s="255"/>
      <c r="K680" s="255"/>
      <c r="L680" s="255"/>
      <c r="M680" s="255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  <c r="Y680" s="255"/>
      <c r="Z680" s="255"/>
      <c r="AA680" s="255"/>
    </row>
    <row r="681">
      <c r="A681" s="253"/>
      <c r="B681" s="253"/>
      <c r="C681" s="253"/>
      <c r="D681" s="253"/>
      <c r="E681" s="253"/>
      <c r="F681" s="255"/>
      <c r="G681" s="255"/>
      <c r="H681" s="255"/>
      <c r="I681" s="255"/>
      <c r="J681" s="255"/>
      <c r="K681" s="255"/>
      <c r="L681" s="255"/>
      <c r="M681" s="255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  <c r="Y681" s="255"/>
      <c r="Z681" s="255"/>
      <c r="AA681" s="255"/>
    </row>
    <row r="682">
      <c r="A682" s="253"/>
      <c r="B682" s="253"/>
      <c r="C682" s="253"/>
      <c r="D682" s="253"/>
      <c r="E682" s="253"/>
      <c r="F682" s="255"/>
      <c r="G682" s="255"/>
      <c r="H682" s="255"/>
      <c r="I682" s="255"/>
      <c r="J682" s="255"/>
      <c r="K682" s="255"/>
      <c r="L682" s="255"/>
      <c r="M682" s="255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  <c r="Y682" s="255"/>
      <c r="Z682" s="255"/>
      <c r="AA682" s="255"/>
    </row>
    <row r="683">
      <c r="A683" s="253"/>
      <c r="B683" s="253"/>
      <c r="C683" s="253"/>
      <c r="D683" s="253"/>
      <c r="E683" s="253"/>
      <c r="F683" s="255"/>
      <c r="G683" s="255"/>
      <c r="H683" s="255"/>
      <c r="I683" s="255"/>
      <c r="J683" s="255"/>
      <c r="K683" s="255"/>
      <c r="L683" s="255"/>
      <c r="M683" s="255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  <c r="Y683" s="255"/>
      <c r="Z683" s="255"/>
      <c r="AA683" s="255"/>
    </row>
    <row r="684">
      <c r="A684" s="253"/>
      <c r="B684" s="253"/>
      <c r="C684" s="253"/>
      <c r="D684" s="253"/>
      <c r="E684" s="253"/>
      <c r="F684" s="255"/>
      <c r="G684" s="255"/>
      <c r="H684" s="255"/>
      <c r="I684" s="255"/>
      <c r="J684" s="255"/>
      <c r="K684" s="255"/>
      <c r="L684" s="255"/>
      <c r="M684" s="255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  <c r="Y684" s="255"/>
      <c r="Z684" s="255"/>
      <c r="AA684" s="255"/>
    </row>
    <row r="685">
      <c r="A685" s="253"/>
      <c r="B685" s="253"/>
      <c r="C685" s="253"/>
      <c r="D685" s="253"/>
      <c r="E685" s="253"/>
      <c r="F685" s="255"/>
      <c r="G685" s="255"/>
      <c r="H685" s="255"/>
      <c r="I685" s="255"/>
      <c r="J685" s="255"/>
      <c r="K685" s="255"/>
      <c r="L685" s="255"/>
      <c r="M685" s="255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  <c r="Y685" s="255"/>
      <c r="Z685" s="255"/>
      <c r="AA685" s="255"/>
    </row>
    <row r="686">
      <c r="A686" s="253"/>
      <c r="B686" s="253"/>
      <c r="C686" s="253"/>
      <c r="D686" s="253"/>
      <c r="E686" s="253"/>
      <c r="F686" s="255"/>
      <c r="G686" s="255"/>
      <c r="H686" s="255"/>
      <c r="I686" s="255"/>
      <c r="J686" s="255"/>
      <c r="K686" s="255"/>
      <c r="L686" s="255"/>
      <c r="M686" s="255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  <c r="Y686" s="255"/>
      <c r="Z686" s="255"/>
      <c r="AA686" s="255"/>
    </row>
    <row r="687">
      <c r="A687" s="253"/>
      <c r="B687" s="253"/>
      <c r="C687" s="253"/>
      <c r="D687" s="253"/>
      <c r="E687" s="253"/>
      <c r="F687" s="255"/>
      <c r="G687" s="255"/>
      <c r="H687" s="255"/>
      <c r="I687" s="255"/>
      <c r="J687" s="255"/>
      <c r="K687" s="255"/>
      <c r="L687" s="255"/>
      <c r="M687" s="255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  <c r="Y687" s="255"/>
      <c r="Z687" s="255"/>
      <c r="AA687" s="255"/>
    </row>
    <row r="688">
      <c r="A688" s="253"/>
      <c r="B688" s="253"/>
      <c r="C688" s="253"/>
      <c r="D688" s="253"/>
      <c r="E688" s="253"/>
      <c r="F688" s="255"/>
      <c r="G688" s="255"/>
      <c r="H688" s="255"/>
      <c r="I688" s="255"/>
      <c r="J688" s="255"/>
      <c r="K688" s="255"/>
      <c r="L688" s="255"/>
      <c r="M688" s="255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  <c r="Y688" s="255"/>
      <c r="Z688" s="255"/>
      <c r="AA688" s="255"/>
    </row>
    <row r="689">
      <c r="A689" s="253"/>
      <c r="B689" s="253"/>
      <c r="C689" s="253"/>
      <c r="D689" s="253"/>
      <c r="E689" s="253"/>
      <c r="F689" s="255"/>
      <c r="G689" s="255"/>
      <c r="H689" s="255"/>
      <c r="I689" s="255"/>
      <c r="J689" s="255"/>
      <c r="K689" s="255"/>
      <c r="L689" s="255"/>
      <c r="M689" s="255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  <c r="Y689" s="255"/>
      <c r="Z689" s="255"/>
      <c r="AA689" s="255"/>
    </row>
    <row r="690">
      <c r="A690" s="253"/>
      <c r="B690" s="253"/>
      <c r="C690" s="253"/>
      <c r="D690" s="253"/>
      <c r="E690" s="253"/>
      <c r="F690" s="255"/>
      <c r="G690" s="255"/>
      <c r="H690" s="255"/>
      <c r="I690" s="255"/>
      <c r="J690" s="255"/>
      <c r="K690" s="255"/>
      <c r="L690" s="255"/>
      <c r="M690" s="255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  <c r="Y690" s="255"/>
      <c r="Z690" s="255"/>
      <c r="AA690" s="255"/>
    </row>
    <row r="691">
      <c r="A691" s="253"/>
      <c r="B691" s="253"/>
      <c r="C691" s="253"/>
      <c r="D691" s="253"/>
      <c r="E691" s="253"/>
      <c r="F691" s="255"/>
      <c r="G691" s="255"/>
      <c r="H691" s="255"/>
      <c r="I691" s="255"/>
      <c r="J691" s="255"/>
      <c r="K691" s="255"/>
      <c r="L691" s="255"/>
      <c r="M691" s="255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  <c r="Y691" s="255"/>
      <c r="Z691" s="255"/>
      <c r="AA691" s="255"/>
    </row>
    <row r="692">
      <c r="A692" s="253"/>
      <c r="B692" s="253"/>
      <c r="C692" s="253"/>
      <c r="D692" s="253"/>
      <c r="E692" s="253"/>
      <c r="F692" s="255"/>
      <c r="G692" s="255"/>
      <c r="H692" s="255"/>
      <c r="I692" s="255"/>
      <c r="J692" s="255"/>
      <c r="K692" s="255"/>
      <c r="L692" s="255"/>
      <c r="M692" s="255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  <c r="Y692" s="255"/>
      <c r="Z692" s="255"/>
      <c r="AA692" s="255"/>
    </row>
    <row r="693">
      <c r="A693" s="253"/>
      <c r="B693" s="253"/>
      <c r="C693" s="253"/>
      <c r="D693" s="253"/>
      <c r="E693" s="253"/>
      <c r="F693" s="255"/>
      <c r="G693" s="255"/>
      <c r="H693" s="255"/>
      <c r="I693" s="255"/>
      <c r="J693" s="255"/>
      <c r="K693" s="255"/>
      <c r="L693" s="255"/>
      <c r="M693" s="255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  <c r="Y693" s="255"/>
      <c r="Z693" s="255"/>
      <c r="AA693" s="255"/>
    </row>
    <row r="694">
      <c r="A694" s="253"/>
      <c r="B694" s="253"/>
      <c r="C694" s="253"/>
      <c r="D694" s="253"/>
      <c r="E694" s="253"/>
      <c r="F694" s="255"/>
      <c r="G694" s="255"/>
      <c r="H694" s="255"/>
      <c r="I694" s="255"/>
      <c r="J694" s="255"/>
      <c r="K694" s="255"/>
      <c r="L694" s="255"/>
      <c r="M694" s="255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  <c r="Y694" s="255"/>
      <c r="Z694" s="255"/>
      <c r="AA694" s="255"/>
    </row>
    <row r="695">
      <c r="A695" s="253"/>
      <c r="B695" s="253"/>
      <c r="C695" s="253"/>
      <c r="D695" s="253"/>
      <c r="E695" s="253"/>
      <c r="F695" s="255"/>
      <c r="G695" s="255"/>
      <c r="H695" s="255"/>
      <c r="I695" s="255"/>
      <c r="J695" s="255"/>
      <c r="K695" s="255"/>
      <c r="L695" s="255"/>
      <c r="M695" s="255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  <c r="Y695" s="255"/>
      <c r="Z695" s="255"/>
      <c r="AA695" s="255"/>
    </row>
    <row r="696">
      <c r="A696" s="253"/>
      <c r="B696" s="253"/>
      <c r="C696" s="253"/>
      <c r="D696" s="253"/>
      <c r="E696" s="253"/>
      <c r="F696" s="255"/>
      <c r="G696" s="255"/>
      <c r="H696" s="255"/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  <c r="Y696" s="255"/>
      <c r="Z696" s="255"/>
      <c r="AA696" s="255"/>
    </row>
    <row r="697">
      <c r="A697" s="253"/>
      <c r="B697" s="253"/>
      <c r="C697" s="253"/>
      <c r="D697" s="253"/>
      <c r="E697" s="253"/>
      <c r="F697" s="255"/>
      <c r="G697" s="255"/>
      <c r="H697" s="255"/>
      <c r="I697" s="255"/>
      <c r="J697" s="255"/>
      <c r="K697" s="255"/>
      <c r="L697" s="255"/>
      <c r="M697" s="255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  <c r="Y697" s="255"/>
      <c r="Z697" s="255"/>
      <c r="AA697" s="255"/>
    </row>
    <row r="698">
      <c r="A698" s="253"/>
      <c r="B698" s="253"/>
      <c r="C698" s="253"/>
      <c r="D698" s="253"/>
      <c r="E698" s="253"/>
      <c r="F698" s="255"/>
      <c r="G698" s="255"/>
      <c r="H698" s="255"/>
      <c r="I698" s="255"/>
      <c r="J698" s="255"/>
      <c r="K698" s="255"/>
      <c r="L698" s="255"/>
      <c r="M698" s="255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  <c r="Y698" s="255"/>
      <c r="Z698" s="255"/>
      <c r="AA698" s="255"/>
    </row>
    <row r="699">
      <c r="A699" s="253"/>
      <c r="B699" s="253"/>
      <c r="C699" s="253"/>
      <c r="D699" s="253"/>
      <c r="E699" s="253"/>
      <c r="F699" s="255"/>
      <c r="G699" s="255"/>
      <c r="H699" s="255"/>
      <c r="I699" s="255"/>
      <c r="J699" s="255"/>
      <c r="K699" s="255"/>
      <c r="L699" s="255"/>
      <c r="M699" s="255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  <c r="Y699" s="255"/>
      <c r="Z699" s="255"/>
      <c r="AA699" s="255"/>
    </row>
    <row r="700">
      <c r="A700" s="253"/>
      <c r="B700" s="253"/>
      <c r="C700" s="253"/>
      <c r="D700" s="253"/>
      <c r="E700" s="253"/>
      <c r="F700" s="255"/>
      <c r="G700" s="255"/>
      <c r="H700" s="255"/>
      <c r="I700" s="255"/>
      <c r="J700" s="255"/>
      <c r="K700" s="255"/>
      <c r="L700" s="255"/>
      <c r="M700" s="255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  <c r="Y700" s="255"/>
      <c r="Z700" s="255"/>
      <c r="AA700" s="255"/>
    </row>
    <row r="701">
      <c r="A701" s="253"/>
      <c r="B701" s="253"/>
      <c r="C701" s="253"/>
      <c r="D701" s="253"/>
      <c r="E701" s="253"/>
      <c r="F701" s="255"/>
      <c r="G701" s="255"/>
      <c r="H701" s="255"/>
      <c r="I701" s="255"/>
      <c r="J701" s="255"/>
      <c r="K701" s="255"/>
      <c r="L701" s="255"/>
      <c r="M701" s="255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  <c r="Y701" s="255"/>
      <c r="Z701" s="255"/>
      <c r="AA701" s="255"/>
    </row>
    <row r="702">
      <c r="A702" s="253"/>
      <c r="B702" s="253"/>
      <c r="C702" s="253"/>
      <c r="D702" s="253"/>
      <c r="E702" s="253"/>
      <c r="F702" s="255"/>
      <c r="G702" s="255"/>
      <c r="H702" s="255"/>
      <c r="I702" s="255"/>
      <c r="J702" s="255"/>
      <c r="K702" s="255"/>
      <c r="L702" s="255"/>
      <c r="M702" s="255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  <c r="Y702" s="255"/>
      <c r="Z702" s="255"/>
      <c r="AA702" s="255"/>
    </row>
    <row r="703">
      <c r="A703" s="253"/>
      <c r="B703" s="253"/>
      <c r="C703" s="253"/>
      <c r="D703" s="253"/>
      <c r="E703" s="253"/>
      <c r="F703" s="255"/>
      <c r="G703" s="255"/>
      <c r="H703" s="255"/>
      <c r="I703" s="255"/>
      <c r="J703" s="255"/>
      <c r="K703" s="255"/>
      <c r="L703" s="255"/>
      <c r="M703" s="255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  <c r="Y703" s="255"/>
      <c r="Z703" s="255"/>
      <c r="AA703" s="255"/>
    </row>
    <row r="704">
      <c r="A704" s="253"/>
      <c r="B704" s="253"/>
      <c r="C704" s="253"/>
      <c r="D704" s="253"/>
      <c r="E704" s="253"/>
      <c r="F704" s="255"/>
      <c r="G704" s="255"/>
      <c r="H704" s="255"/>
      <c r="I704" s="255"/>
      <c r="J704" s="255"/>
      <c r="K704" s="255"/>
      <c r="L704" s="255"/>
      <c r="M704" s="255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  <c r="Y704" s="255"/>
      <c r="Z704" s="255"/>
      <c r="AA704" s="255"/>
    </row>
    <row r="705">
      <c r="A705" s="253"/>
      <c r="B705" s="253"/>
      <c r="C705" s="253"/>
      <c r="D705" s="253"/>
      <c r="E705" s="253"/>
      <c r="F705" s="255"/>
      <c r="G705" s="255"/>
      <c r="H705" s="255"/>
      <c r="I705" s="255"/>
      <c r="J705" s="255"/>
      <c r="K705" s="255"/>
      <c r="L705" s="255"/>
      <c r="M705" s="255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  <c r="Y705" s="255"/>
      <c r="Z705" s="255"/>
      <c r="AA705" s="255"/>
    </row>
    <row r="706">
      <c r="A706" s="253"/>
      <c r="B706" s="253"/>
      <c r="C706" s="253"/>
      <c r="D706" s="253"/>
      <c r="E706" s="253"/>
      <c r="F706" s="255"/>
      <c r="G706" s="255"/>
      <c r="H706" s="255"/>
      <c r="I706" s="255"/>
      <c r="J706" s="255"/>
      <c r="K706" s="255"/>
      <c r="L706" s="255"/>
      <c r="M706" s="255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  <c r="Y706" s="255"/>
      <c r="Z706" s="255"/>
      <c r="AA706" s="255"/>
    </row>
    <row r="707">
      <c r="A707" s="253"/>
      <c r="B707" s="253"/>
      <c r="C707" s="253"/>
      <c r="D707" s="253"/>
      <c r="E707" s="253"/>
      <c r="F707" s="255"/>
      <c r="G707" s="255"/>
      <c r="H707" s="255"/>
      <c r="I707" s="255"/>
      <c r="J707" s="255"/>
      <c r="K707" s="255"/>
      <c r="L707" s="255"/>
      <c r="M707" s="255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  <c r="Y707" s="255"/>
      <c r="Z707" s="255"/>
      <c r="AA707" s="255"/>
    </row>
    <row r="708">
      <c r="A708" s="253"/>
      <c r="B708" s="253"/>
      <c r="C708" s="253"/>
      <c r="D708" s="253"/>
      <c r="E708" s="253"/>
      <c r="F708" s="255"/>
      <c r="G708" s="255"/>
      <c r="H708" s="255"/>
      <c r="I708" s="255"/>
      <c r="J708" s="255"/>
      <c r="K708" s="255"/>
      <c r="L708" s="255"/>
      <c r="M708" s="255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  <c r="Y708" s="255"/>
      <c r="Z708" s="255"/>
      <c r="AA708" s="255"/>
    </row>
    <row r="709">
      <c r="A709" s="253"/>
      <c r="B709" s="253"/>
      <c r="C709" s="253"/>
      <c r="D709" s="253"/>
      <c r="E709" s="253"/>
      <c r="F709" s="255"/>
      <c r="G709" s="255"/>
      <c r="H709" s="255"/>
      <c r="I709" s="255"/>
      <c r="J709" s="255"/>
      <c r="K709" s="255"/>
      <c r="L709" s="255"/>
      <c r="M709" s="255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  <c r="Y709" s="255"/>
      <c r="Z709" s="255"/>
      <c r="AA709" s="255"/>
    </row>
    <row r="710">
      <c r="A710" s="253"/>
      <c r="B710" s="253"/>
      <c r="C710" s="253"/>
      <c r="D710" s="253"/>
      <c r="E710" s="253"/>
      <c r="F710" s="255"/>
      <c r="G710" s="255"/>
      <c r="H710" s="255"/>
      <c r="I710" s="255"/>
      <c r="J710" s="255"/>
      <c r="K710" s="255"/>
      <c r="L710" s="255"/>
      <c r="M710" s="255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  <c r="Y710" s="255"/>
      <c r="Z710" s="255"/>
      <c r="AA710" s="255"/>
    </row>
    <row r="711">
      <c r="A711" s="253"/>
      <c r="B711" s="253"/>
      <c r="C711" s="253"/>
      <c r="D711" s="253"/>
      <c r="E711" s="253"/>
      <c r="F711" s="255"/>
      <c r="G711" s="255"/>
      <c r="H711" s="255"/>
      <c r="I711" s="255"/>
      <c r="J711" s="255"/>
      <c r="K711" s="255"/>
      <c r="L711" s="255"/>
      <c r="M711" s="255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  <c r="Y711" s="255"/>
      <c r="Z711" s="255"/>
      <c r="AA711" s="255"/>
    </row>
    <row r="712">
      <c r="A712" s="253"/>
      <c r="B712" s="253"/>
      <c r="C712" s="253"/>
      <c r="D712" s="253"/>
      <c r="E712" s="253"/>
      <c r="F712" s="255"/>
      <c r="G712" s="255"/>
      <c r="H712" s="255"/>
      <c r="I712" s="255"/>
      <c r="J712" s="255"/>
      <c r="K712" s="255"/>
      <c r="L712" s="255"/>
      <c r="M712" s="255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  <c r="Y712" s="255"/>
      <c r="Z712" s="255"/>
      <c r="AA712" s="255"/>
    </row>
    <row r="713">
      <c r="A713" s="253"/>
      <c r="B713" s="253"/>
      <c r="C713" s="253"/>
      <c r="D713" s="253"/>
      <c r="E713" s="253"/>
      <c r="F713" s="255"/>
      <c r="G713" s="255"/>
      <c r="H713" s="255"/>
      <c r="I713" s="255"/>
      <c r="J713" s="255"/>
      <c r="K713" s="255"/>
      <c r="L713" s="255"/>
      <c r="M713" s="255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  <c r="AA713" s="255"/>
    </row>
    <row r="714">
      <c r="A714" s="253"/>
      <c r="B714" s="253"/>
      <c r="C714" s="253"/>
      <c r="D714" s="253"/>
      <c r="E714" s="253"/>
      <c r="F714" s="255"/>
      <c r="G714" s="255"/>
      <c r="H714" s="255"/>
      <c r="I714" s="255"/>
      <c r="J714" s="255"/>
      <c r="K714" s="255"/>
      <c r="L714" s="255"/>
      <c r="M714" s="255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  <c r="AA714" s="255"/>
    </row>
    <row r="715">
      <c r="A715" s="253"/>
      <c r="B715" s="253"/>
      <c r="C715" s="253"/>
      <c r="D715" s="253"/>
      <c r="E715" s="253"/>
      <c r="F715" s="255"/>
      <c r="G715" s="255"/>
      <c r="H715" s="255"/>
      <c r="I715" s="255"/>
      <c r="J715" s="255"/>
      <c r="K715" s="255"/>
      <c r="L715" s="255"/>
      <c r="M715" s="255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  <c r="AA715" s="255"/>
    </row>
    <row r="716">
      <c r="A716" s="253"/>
      <c r="B716" s="253"/>
      <c r="C716" s="253"/>
      <c r="D716" s="253"/>
      <c r="E716" s="253"/>
      <c r="F716" s="255"/>
      <c r="G716" s="255"/>
      <c r="H716" s="255"/>
      <c r="I716" s="255"/>
      <c r="J716" s="255"/>
      <c r="K716" s="255"/>
      <c r="L716" s="255"/>
      <c r="M716" s="255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  <c r="AA716" s="255"/>
    </row>
    <row r="717">
      <c r="A717" s="253"/>
      <c r="B717" s="253"/>
      <c r="C717" s="253"/>
      <c r="D717" s="253"/>
      <c r="E717" s="253"/>
      <c r="F717" s="255"/>
      <c r="G717" s="255"/>
      <c r="H717" s="255"/>
      <c r="I717" s="255"/>
      <c r="J717" s="255"/>
      <c r="K717" s="255"/>
      <c r="L717" s="255"/>
      <c r="M717" s="255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  <c r="AA717" s="255"/>
    </row>
    <row r="718">
      <c r="A718" s="253"/>
      <c r="B718" s="253"/>
      <c r="C718" s="253"/>
      <c r="D718" s="253"/>
      <c r="E718" s="253"/>
      <c r="F718" s="255"/>
      <c r="G718" s="255"/>
      <c r="H718" s="255"/>
      <c r="I718" s="255"/>
      <c r="J718" s="255"/>
      <c r="K718" s="255"/>
      <c r="L718" s="255"/>
      <c r="M718" s="255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  <c r="AA718" s="255"/>
    </row>
    <row r="719">
      <c r="A719" s="253"/>
      <c r="B719" s="253"/>
      <c r="C719" s="253"/>
      <c r="D719" s="253"/>
      <c r="E719" s="253"/>
      <c r="F719" s="255"/>
      <c r="G719" s="255"/>
      <c r="H719" s="255"/>
      <c r="I719" s="255"/>
      <c r="J719" s="255"/>
      <c r="K719" s="255"/>
      <c r="L719" s="255"/>
      <c r="M719" s="255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  <c r="AA719" s="255"/>
    </row>
    <row r="720">
      <c r="A720" s="253"/>
      <c r="B720" s="253"/>
      <c r="C720" s="253"/>
      <c r="D720" s="253"/>
      <c r="E720" s="253"/>
      <c r="F720" s="255"/>
      <c r="G720" s="255"/>
      <c r="H720" s="255"/>
      <c r="I720" s="255"/>
      <c r="J720" s="255"/>
      <c r="K720" s="255"/>
      <c r="L720" s="255"/>
      <c r="M720" s="255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  <c r="AA720" s="255"/>
    </row>
    <row r="721">
      <c r="A721" s="253"/>
      <c r="B721" s="253"/>
      <c r="C721" s="253"/>
      <c r="D721" s="253"/>
      <c r="E721" s="253"/>
      <c r="F721" s="255"/>
      <c r="G721" s="255"/>
      <c r="H721" s="255"/>
      <c r="I721" s="255"/>
      <c r="J721" s="255"/>
      <c r="K721" s="255"/>
      <c r="L721" s="255"/>
      <c r="M721" s="255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  <c r="AA721" s="255"/>
    </row>
    <row r="722">
      <c r="A722" s="253"/>
      <c r="B722" s="253"/>
      <c r="C722" s="253"/>
      <c r="D722" s="253"/>
      <c r="E722" s="253"/>
      <c r="F722" s="255"/>
      <c r="G722" s="255"/>
      <c r="H722" s="255"/>
      <c r="I722" s="255"/>
      <c r="J722" s="255"/>
      <c r="K722" s="255"/>
      <c r="L722" s="255"/>
      <c r="M722" s="255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  <c r="AA722" s="255"/>
    </row>
    <row r="723">
      <c r="A723" s="253"/>
      <c r="B723" s="253"/>
      <c r="C723" s="253"/>
      <c r="D723" s="253"/>
      <c r="E723" s="253"/>
      <c r="F723" s="255"/>
      <c r="G723" s="255"/>
      <c r="H723" s="255"/>
      <c r="I723" s="255"/>
      <c r="J723" s="255"/>
      <c r="K723" s="255"/>
      <c r="L723" s="255"/>
      <c r="M723" s="255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  <c r="Y723" s="255"/>
      <c r="Z723" s="255"/>
      <c r="AA723" s="255"/>
    </row>
    <row r="724">
      <c r="A724" s="253"/>
      <c r="B724" s="253"/>
      <c r="C724" s="253"/>
      <c r="D724" s="253"/>
      <c r="E724" s="253"/>
      <c r="F724" s="255"/>
      <c r="G724" s="255"/>
      <c r="H724" s="255"/>
      <c r="I724" s="255"/>
      <c r="J724" s="255"/>
      <c r="K724" s="255"/>
      <c r="L724" s="255"/>
      <c r="M724" s="255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  <c r="Y724" s="255"/>
      <c r="Z724" s="255"/>
      <c r="AA724" s="255"/>
    </row>
    <row r="725">
      <c r="A725" s="253"/>
      <c r="B725" s="253"/>
      <c r="C725" s="253"/>
      <c r="D725" s="253"/>
      <c r="E725" s="253"/>
      <c r="F725" s="255"/>
      <c r="G725" s="255"/>
      <c r="H725" s="255"/>
      <c r="I725" s="255"/>
      <c r="J725" s="255"/>
      <c r="K725" s="255"/>
      <c r="L725" s="255"/>
      <c r="M725" s="255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  <c r="Y725" s="255"/>
      <c r="Z725" s="255"/>
      <c r="AA725" s="255"/>
    </row>
    <row r="726">
      <c r="A726" s="253"/>
      <c r="B726" s="253"/>
      <c r="C726" s="253"/>
      <c r="D726" s="253"/>
      <c r="E726" s="253"/>
      <c r="F726" s="255"/>
      <c r="G726" s="255"/>
      <c r="H726" s="255"/>
      <c r="I726" s="255"/>
      <c r="J726" s="255"/>
      <c r="K726" s="255"/>
      <c r="L726" s="255"/>
      <c r="M726" s="255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  <c r="Y726" s="255"/>
      <c r="Z726" s="255"/>
      <c r="AA726" s="255"/>
    </row>
    <row r="727">
      <c r="A727" s="253"/>
      <c r="B727" s="253"/>
      <c r="C727" s="253"/>
      <c r="D727" s="253"/>
      <c r="E727" s="253"/>
      <c r="F727" s="255"/>
      <c r="G727" s="255"/>
      <c r="H727" s="255"/>
      <c r="I727" s="255"/>
      <c r="J727" s="255"/>
      <c r="K727" s="255"/>
      <c r="L727" s="255"/>
      <c r="M727" s="255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  <c r="Y727" s="255"/>
      <c r="Z727" s="255"/>
      <c r="AA727" s="255"/>
    </row>
    <row r="728">
      <c r="A728" s="253"/>
      <c r="B728" s="253"/>
      <c r="C728" s="253"/>
      <c r="D728" s="253"/>
      <c r="E728" s="253"/>
      <c r="F728" s="255"/>
      <c r="G728" s="255"/>
      <c r="H728" s="255"/>
      <c r="I728" s="255"/>
      <c r="J728" s="255"/>
      <c r="K728" s="255"/>
      <c r="L728" s="255"/>
      <c r="M728" s="255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  <c r="Y728" s="255"/>
      <c r="Z728" s="255"/>
      <c r="AA728" s="255"/>
    </row>
    <row r="729">
      <c r="A729" s="253"/>
      <c r="B729" s="253"/>
      <c r="C729" s="253"/>
      <c r="D729" s="253"/>
      <c r="E729" s="253"/>
      <c r="F729" s="255"/>
      <c r="G729" s="255"/>
      <c r="H729" s="255"/>
      <c r="I729" s="255"/>
      <c r="J729" s="255"/>
      <c r="K729" s="255"/>
      <c r="L729" s="255"/>
      <c r="M729" s="255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  <c r="Y729" s="255"/>
      <c r="Z729" s="255"/>
      <c r="AA729" s="255"/>
    </row>
    <row r="730">
      <c r="A730" s="253"/>
      <c r="B730" s="253"/>
      <c r="C730" s="253"/>
      <c r="D730" s="253"/>
      <c r="E730" s="253"/>
      <c r="F730" s="255"/>
      <c r="G730" s="255"/>
      <c r="H730" s="255"/>
      <c r="I730" s="255"/>
      <c r="J730" s="255"/>
      <c r="K730" s="255"/>
      <c r="L730" s="255"/>
      <c r="M730" s="255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  <c r="Y730" s="255"/>
      <c r="Z730" s="255"/>
      <c r="AA730" s="255"/>
    </row>
    <row r="731">
      <c r="A731" s="253"/>
      <c r="B731" s="253"/>
      <c r="C731" s="253"/>
      <c r="D731" s="253"/>
      <c r="E731" s="253"/>
      <c r="F731" s="255"/>
      <c r="G731" s="255"/>
      <c r="H731" s="255"/>
      <c r="I731" s="255"/>
      <c r="J731" s="255"/>
      <c r="K731" s="255"/>
      <c r="L731" s="255"/>
      <c r="M731" s="255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  <c r="Y731" s="255"/>
      <c r="Z731" s="255"/>
      <c r="AA731" s="255"/>
    </row>
    <row r="732">
      <c r="A732" s="253"/>
      <c r="B732" s="253"/>
      <c r="C732" s="253"/>
      <c r="D732" s="253"/>
      <c r="E732" s="253"/>
      <c r="F732" s="255"/>
      <c r="G732" s="255"/>
      <c r="H732" s="255"/>
      <c r="I732" s="255"/>
      <c r="J732" s="255"/>
      <c r="K732" s="255"/>
      <c r="L732" s="255"/>
      <c r="M732" s="255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  <c r="Y732" s="255"/>
      <c r="Z732" s="255"/>
      <c r="AA732" s="255"/>
    </row>
    <row r="733">
      <c r="A733" s="253"/>
      <c r="B733" s="253"/>
      <c r="C733" s="253"/>
      <c r="D733" s="253"/>
      <c r="E733" s="253"/>
      <c r="F733" s="255"/>
      <c r="G733" s="255"/>
      <c r="H733" s="255"/>
      <c r="I733" s="255"/>
      <c r="J733" s="255"/>
      <c r="K733" s="255"/>
      <c r="L733" s="255"/>
      <c r="M733" s="255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  <c r="Y733" s="255"/>
      <c r="Z733" s="255"/>
      <c r="AA733" s="255"/>
    </row>
    <row r="734">
      <c r="A734" s="253"/>
      <c r="B734" s="253"/>
      <c r="C734" s="253"/>
      <c r="D734" s="253"/>
      <c r="E734" s="253"/>
      <c r="F734" s="255"/>
      <c r="G734" s="255"/>
      <c r="H734" s="255"/>
      <c r="I734" s="255"/>
      <c r="J734" s="255"/>
      <c r="K734" s="255"/>
      <c r="L734" s="255"/>
      <c r="M734" s="255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  <c r="Y734" s="255"/>
      <c r="Z734" s="255"/>
      <c r="AA734" s="255"/>
    </row>
    <row r="735">
      <c r="A735" s="253"/>
      <c r="B735" s="253"/>
      <c r="C735" s="253"/>
      <c r="D735" s="253"/>
      <c r="E735" s="253"/>
      <c r="F735" s="255"/>
      <c r="G735" s="255"/>
      <c r="H735" s="255"/>
      <c r="I735" s="255"/>
      <c r="J735" s="255"/>
      <c r="K735" s="255"/>
      <c r="L735" s="255"/>
      <c r="M735" s="255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  <c r="Y735" s="255"/>
      <c r="Z735" s="255"/>
      <c r="AA735" s="255"/>
    </row>
    <row r="736">
      <c r="A736" s="253"/>
      <c r="B736" s="253"/>
      <c r="C736" s="253"/>
      <c r="D736" s="253"/>
      <c r="E736" s="253"/>
      <c r="F736" s="255"/>
      <c r="G736" s="255"/>
      <c r="H736" s="255"/>
      <c r="I736" s="255"/>
      <c r="J736" s="255"/>
      <c r="K736" s="255"/>
      <c r="L736" s="255"/>
      <c r="M736" s="255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  <c r="Y736" s="255"/>
      <c r="Z736" s="255"/>
      <c r="AA736" s="255"/>
    </row>
    <row r="737">
      <c r="A737" s="253"/>
      <c r="B737" s="253"/>
      <c r="C737" s="253"/>
      <c r="D737" s="253"/>
      <c r="E737" s="253"/>
      <c r="F737" s="255"/>
      <c r="G737" s="255"/>
      <c r="H737" s="255"/>
      <c r="I737" s="255"/>
      <c r="J737" s="255"/>
      <c r="K737" s="255"/>
      <c r="L737" s="255"/>
      <c r="M737" s="255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  <c r="Y737" s="255"/>
      <c r="Z737" s="255"/>
      <c r="AA737" s="255"/>
    </row>
    <row r="738">
      <c r="A738" s="253"/>
      <c r="B738" s="253"/>
      <c r="C738" s="253"/>
      <c r="D738" s="253"/>
      <c r="E738" s="253"/>
      <c r="F738" s="255"/>
      <c r="G738" s="255"/>
      <c r="H738" s="255"/>
      <c r="I738" s="255"/>
      <c r="J738" s="255"/>
      <c r="K738" s="255"/>
      <c r="L738" s="255"/>
      <c r="M738" s="255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  <c r="Y738" s="255"/>
      <c r="Z738" s="255"/>
      <c r="AA738" s="255"/>
    </row>
    <row r="739">
      <c r="A739" s="253"/>
      <c r="B739" s="253"/>
      <c r="C739" s="253"/>
      <c r="D739" s="253"/>
      <c r="E739" s="253"/>
      <c r="F739" s="255"/>
      <c r="G739" s="255"/>
      <c r="H739" s="255"/>
      <c r="I739" s="255"/>
      <c r="J739" s="255"/>
      <c r="K739" s="255"/>
      <c r="L739" s="255"/>
      <c r="M739" s="255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  <c r="Y739" s="255"/>
      <c r="Z739" s="255"/>
      <c r="AA739" s="255"/>
    </row>
    <row r="740">
      <c r="A740" s="253"/>
      <c r="B740" s="253"/>
      <c r="C740" s="253"/>
      <c r="D740" s="253"/>
      <c r="E740" s="253"/>
      <c r="F740" s="255"/>
      <c r="G740" s="255"/>
      <c r="H740" s="255"/>
      <c r="I740" s="255"/>
      <c r="J740" s="255"/>
      <c r="K740" s="255"/>
      <c r="L740" s="255"/>
      <c r="M740" s="255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  <c r="Y740" s="255"/>
      <c r="Z740" s="255"/>
      <c r="AA740" s="255"/>
    </row>
    <row r="741">
      <c r="A741" s="253"/>
      <c r="B741" s="253"/>
      <c r="C741" s="253"/>
      <c r="D741" s="253"/>
      <c r="E741" s="253"/>
      <c r="F741" s="255"/>
      <c r="G741" s="255"/>
      <c r="H741" s="255"/>
      <c r="I741" s="255"/>
      <c r="J741" s="255"/>
      <c r="K741" s="255"/>
      <c r="L741" s="255"/>
      <c r="M741" s="255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  <c r="Y741" s="255"/>
      <c r="Z741" s="255"/>
      <c r="AA741" s="255"/>
    </row>
    <row r="742">
      <c r="A742" s="253"/>
      <c r="B742" s="253"/>
      <c r="C742" s="253"/>
      <c r="D742" s="253"/>
      <c r="E742" s="253"/>
      <c r="F742" s="255"/>
      <c r="G742" s="255"/>
      <c r="H742" s="255"/>
      <c r="I742" s="255"/>
      <c r="J742" s="255"/>
      <c r="K742" s="255"/>
      <c r="L742" s="255"/>
      <c r="M742" s="255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  <c r="Y742" s="255"/>
      <c r="Z742" s="255"/>
      <c r="AA742" s="255"/>
    </row>
    <row r="743">
      <c r="A743" s="253"/>
      <c r="B743" s="253"/>
      <c r="C743" s="253"/>
      <c r="D743" s="253"/>
      <c r="E743" s="253"/>
      <c r="F743" s="255"/>
      <c r="G743" s="255"/>
      <c r="H743" s="255"/>
      <c r="I743" s="255"/>
      <c r="J743" s="255"/>
      <c r="K743" s="255"/>
      <c r="L743" s="255"/>
      <c r="M743" s="255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  <c r="Y743" s="255"/>
      <c r="Z743" s="255"/>
      <c r="AA743" s="255"/>
    </row>
    <row r="744">
      <c r="A744" s="253"/>
      <c r="B744" s="253"/>
      <c r="C744" s="253"/>
      <c r="D744" s="253"/>
      <c r="E744" s="253"/>
      <c r="F744" s="255"/>
      <c r="G744" s="255"/>
      <c r="H744" s="255"/>
      <c r="I744" s="255"/>
      <c r="J744" s="255"/>
      <c r="K744" s="255"/>
      <c r="L744" s="255"/>
      <c r="M744" s="255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  <c r="Y744" s="255"/>
      <c r="Z744" s="255"/>
      <c r="AA744" s="255"/>
    </row>
    <row r="745">
      <c r="A745" s="253"/>
      <c r="B745" s="253"/>
      <c r="C745" s="253"/>
      <c r="D745" s="253"/>
      <c r="E745" s="253"/>
      <c r="F745" s="255"/>
      <c r="G745" s="255"/>
      <c r="H745" s="255"/>
      <c r="I745" s="255"/>
      <c r="J745" s="255"/>
      <c r="K745" s="255"/>
      <c r="L745" s="255"/>
      <c r="M745" s="255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  <c r="Y745" s="255"/>
      <c r="Z745" s="255"/>
      <c r="AA745" s="255"/>
    </row>
    <row r="746">
      <c r="A746" s="253"/>
      <c r="B746" s="253"/>
      <c r="C746" s="253"/>
      <c r="D746" s="253"/>
      <c r="E746" s="253"/>
      <c r="F746" s="255"/>
      <c r="G746" s="255"/>
      <c r="H746" s="255"/>
      <c r="I746" s="255"/>
      <c r="J746" s="255"/>
      <c r="K746" s="255"/>
      <c r="L746" s="255"/>
      <c r="M746" s="255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  <c r="Y746" s="255"/>
      <c r="Z746" s="255"/>
      <c r="AA746" s="255"/>
    </row>
    <row r="747">
      <c r="A747" s="253"/>
      <c r="B747" s="253"/>
      <c r="C747" s="253"/>
      <c r="D747" s="253"/>
      <c r="E747" s="253"/>
      <c r="F747" s="255"/>
      <c r="G747" s="255"/>
      <c r="H747" s="255"/>
      <c r="I747" s="255"/>
      <c r="J747" s="255"/>
      <c r="K747" s="255"/>
      <c r="L747" s="255"/>
      <c r="M747" s="255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  <c r="Y747" s="255"/>
      <c r="Z747" s="255"/>
      <c r="AA747" s="255"/>
    </row>
    <row r="748">
      <c r="A748" s="253"/>
      <c r="B748" s="253"/>
      <c r="C748" s="253"/>
      <c r="D748" s="253"/>
      <c r="E748" s="253"/>
      <c r="F748" s="255"/>
      <c r="G748" s="255"/>
      <c r="H748" s="255"/>
      <c r="I748" s="255"/>
      <c r="J748" s="255"/>
      <c r="K748" s="255"/>
      <c r="L748" s="255"/>
      <c r="M748" s="255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  <c r="Y748" s="255"/>
      <c r="Z748" s="255"/>
      <c r="AA748" s="255"/>
    </row>
    <row r="749">
      <c r="A749" s="253"/>
      <c r="B749" s="253"/>
      <c r="C749" s="253"/>
      <c r="D749" s="253"/>
      <c r="E749" s="253"/>
      <c r="F749" s="255"/>
      <c r="G749" s="255"/>
      <c r="H749" s="255"/>
      <c r="I749" s="255"/>
      <c r="J749" s="255"/>
      <c r="K749" s="255"/>
      <c r="L749" s="255"/>
      <c r="M749" s="255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  <c r="Y749" s="255"/>
      <c r="Z749" s="255"/>
      <c r="AA749" s="255"/>
    </row>
    <row r="750">
      <c r="A750" s="253"/>
      <c r="B750" s="253"/>
      <c r="C750" s="253"/>
      <c r="D750" s="253"/>
      <c r="E750" s="253"/>
      <c r="F750" s="255"/>
      <c r="G750" s="255"/>
      <c r="H750" s="255"/>
      <c r="I750" s="255"/>
      <c r="J750" s="255"/>
      <c r="K750" s="255"/>
      <c r="L750" s="255"/>
      <c r="M750" s="255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  <c r="Y750" s="255"/>
      <c r="Z750" s="255"/>
      <c r="AA750" s="255"/>
    </row>
    <row r="751">
      <c r="A751" s="253"/>
      <c r="B751" s="253"/>
      <c r="C751" s="253"/>
      <c r="D751" s="253"/>
      <c r="E751" s="253"/>
      <c r="F751" s="255"/>
      <c r="G751" s="255"/>
      <c r="H751" s="255"/>
      <c r="I751" s="255"/>
      <c r="J751" s="255"/>
      <c r="K751" s="255"/>
      <c r="L751" s="255"/>
      <c r="M751" s="255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  <c r="Y751" s="255"/>
      <c r="Z751" s="255"/>
      <c r="AA751" s="255"/>
    </row>
    <row r="752">
      <c r="A752" s="253"/>
      <c r="B752" s="253"/>
      <c r="C752" s="253"/>
      <c r="D752" s="253"/>
      <c r="E752" s="253"/>
      <c r="F752" s="255"/>
      <c r="G752" s="255"/>
      <c r="H752" s="255"/>
      <c r="I752" s="255"/>
      <c r="J752" s="255"/>
      <c r="K752" s="255"/>
      <c r="L752" s="255"/>
      <c r="M752" s="255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  <c r="AA752" s="255"/>
    </row>
    <row r="753">
      <c r="A753" s="253"/>
      <c r="B753" s="253"/>
      <c r="C753" s="253"/>
      <c r="D753" s="253"/>
      <c r="E753" s="253"/>
      <c r="F753" s="255"/>
      <c r="G753" s="255"/>
      <c r="H753" s="255"/>
      <c r="I753" s="255"/>
      <c r="J753" s="255"/>
      <c r="K753" s="255"/>
      <c r="L753" s="255"/>
      <c r="M753" s="255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  <c r="Y753" s="255"/>
      <c r="Z753" s="255"/>
      <c r="AA753" s="255"/>
    </row>
    <row r="754">
      <c r="A754" s="253"/>
      <c r="B754" s="253"/>
      <c r="C754" s="253"/>
      <c r="D754" s="253"/>
      <c r="E754" s="253"/>
      <c r="F754" s="255"/>
      <c r="G754" s="255"/>
      <c r="H754" s="255"/>
      <c r="I754" s="255"/>
      <c r="J754" s="255"/>
      <c r="K754" s="255"/>
      <c r="L754" s="255"/>
      <c r="M754" s="255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  <c r="Y754" s="255"/>
      <c r="Z754" s="255"/>
      <c r="AA754" s="255"/>
    </row>
    <row r="755">
      <c r="A755" s="253"/>
      <c r="B755" s="253"/>
      <c r="C755" s="253"/>
      <c r="D755" s="253"/>
      <c r="E755" s="253"/>
      <c r="F755" s="255"/>
      <c r="G755" s="255"/>
      <c r="H755" s="255"/>
      <c r="I755" s="255"/>
      <c r="J755" s="255"/>
      <c r="K755" s="255"/>
      <c r="L755" s="255"/>
      <c r="M755" s="255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  <c r="Y755" s="255"/>
      <c r="Z755" s="255"/>
      <c r="AA755" s="255"/>
    </row>
    <row r="756">
      <c r="A756" s="253"/>
      <c r="B756" s="253"/>
      <c r="C756" s="253"/>
      <c r="D756" s="253"/>
      <c r="E756" s="253"/>
      <c r="F756" s="255"/>
      <c r="G756" s="255"/>
      <c r="H756" s="255"/>
      <c r="I756" s="255"/>
      <c r="J756" s="255"/>
      <c r="K756" s="255"/>
      <c r="L756" s="255"/>
      <c r="M756" s="255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  <c r="Y756" s="255"/>
      <c r="Z756" s="255"/>
      <c r="AA756" s="255"/>
    </row>
    <row r="757">
      <c r="A757" s="253"/>
      <c r="B757" s="253"/>
      <c r="C757" s="253"/>
      <c r="D757" s="253"/>
      <c r="E757" s="253"/>
      <c r="F757" s="255"/>
      <c r="G757" s="255"/>
      <c r="H757" s="255"/>
      <c r="I757" s="255"/>
      <c r="J757" s="255"/>
      <c r="K757" s="255"/>
      <c r="L757" s="255"/>
      <c r="M757" s="255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  <c r="Y757" s="255"/>
      <c r="Z757" s="255"/>
      <c r="AA757" s="255"/>
    </row>
    <row r="758">
      <c r="A758" s="253"/>
      <c r="B758" s="253"/>
      <c r="C758" s="253"/>
      <c r="D758" s="253"/>
      <c r="E758" s="253"/>
      <c r="F758" s="255"/>
      <c r="G758" s="255"/>
      <c r="H758" s="255"/>
      <c r="I758" s="255"/>
      <c r="J758" s="255"/>
      <c r="K758" s="255"/>
      <c r="L758" s="255"/>
      <c r="M758" s="255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  <c r="Y758" s="255"/>
      <c r="Z758" s="255"/>
      <c r="AA758" s="255"/>
    </row>
    <row r="759">
      <c r="A759" s="253"/>
      <c r="B759" s="253"/>
      <c r="C759" s="253"/>
      <c r="D759" s="253"/>
      <c r="E759" s="253"/>
      <c r="F759" s="255"/>
      <c r="G759" s="255"/>
      <c r="H759" s="255"/>
      <c r="I759" s="255"/>
      <c r="J759" s="255"/>
      <c r="K759" s="255"/>
      <c r="L759" s="255"/>
      <c r="M759" s="255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  <c r="Y759" s="255"/>
      <c r="Z759" s="255"/>
      <c r="AA759" s="255"/>
    </row>
    <row r="760">
      <c r="A760" s="253"/>
      <c r="B760" s="253"/>
      <c r="C760" s="253"/>
      <c r="D760" s="253"/>
      <c r="E760" s="253"/>
      <c r="F760" s="255"/>
      <c r="G760" s="255"/>
      <c r="H760" s="255"/>
      <c r="I760" s="255"/>
      <c r="J760" s="255"/>
      <c r="K760" s="255"/>
      <c r="L760" s="255"/>
      <c r="M760" s="255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  <c r="Y760" s="255"/>
      <c r="Z760" s="255"/>
      <c r="AA760" s="255"/>
    </row>
    <row r="761">
      <c r="A761" s="253"/>
      <c r="B761" s="253"/>
      <c r="C761" s="253"/>
      <c r="D761" s="253"/>
      <c r="E761" s="253"/>
      <c r="F761" s="255"/>
      <c r="G761" s="255"/>
      <c r="H761" s="255"/>
      <c r="I761" s="255"/>
      <c r="J761" s="255"/>
      <c r="K761" s="255"/>
      <c r="L761" s="255"/>
      <c r="M761" s="255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  <c r="Y761" s="255"/>
      <c r="Z761" s="255"/>
      <c r="AA761" s="255"/>
    </row>
    <row r="762">
      <c r="A762" s="253"/>
      <c r="B762" s="253"/>
      <c r="C762" s="253"/>
      <c r="D762" s="253"/>
      <c r="E762" s="253"/>
      <c r="F762" s="255"/>
      <c r="G762" s="255"/>
      <c r="H762" s="255"/>
      <c r="I762" s="255"/>
      <c r="J762" s="255"/>
      <c r="K762" s="255"/>
      <c r="L762" s="255"/>
      <c r="M762" s="255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  <c r="Y762" s="255"/>
      <c r="Z762" s="255"/>
      <c r="AA762" s="255"/>
    </row>
    <row r="763">
      <c r="A763" s="253"/>
      <c r="B763" s="253"/>
      <c r="C763" s="253"/>
      <c r="D763" s="253"/>
      <c r="E763" s="253"/>
      <c r="F763" s="255"/>
      <c r="G763" s="255"/>
      <c r="H763" s="255"/>
      <c r="I763" s="255"/>
      <c r="J763" s="255"/>
      <c r="K763" s="255"/>
      <c r="L763" s="255"/>
      <c r="M763" s="255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  <c r="Y763" s="255"/>
      <c r="Z763" s="255"/>
      <c r="AA763" s="255"/>
    </row>
    <row r="764">
      <c r="A764" s="253"/>
      <c r="B764" s="253"/>
      <c r="C764" s="253"/>
      <c r="D764" s="253"/>
      <c r="E764" s="253"/>
      <c r="F764" s="255"/>
      <c r="G764" s="255"/>
      <c r="H764" s="255"/>
      <c r="I764" s="255"/>
      <c r="J764" s="255"/>
      <c r="K764" s="255"/>
      <c r="L764" s="255"/>
      <c r="M764" s="255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  <c r="Y764" s="255"/>
      <c r="Z764" s="255"/>
      <c r="AA764" s="255"/>
    </row>
    <row r="765">
      <c r="A765" s="253"/>
      <c r="B765" s="253"/>
      <c r="C765" s="253"/>
      <c r="D765" s="253"/>
      <c r="E765" s="253"/>
      <c r="F765" s="255"/>
      <c r="G765" s="255"/>
      <c r="H765" s="255"/>
      <c r="I765" s="255"/>
      <c r="J765" s="255"/>
      <c r="K765" s="255"/>
      <c r="L765" s="255"/>
      <c r="M765" s="255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  <c r="Y765" s="255"/>
      <c r="Z765" s="255"/>
      <c r="AA765" s="255"/>
    </row>
    <row r="766">
      <c r="A766" s="253"/>
      <c r="B766" s="253"/>
      <c r="C766" s="253"/>
      <c r="D766" s="253"/>
      <c r="E766" s="253"/>
      <c r="F766" s="255"/>
      <c r="G766" s="255"/>
      <c r="H766" s="255"/>
      <c r="I766" s="255"/>
      <c r="J766" s="255"/>
      <c r="K766" s="255"/>
      <c r="L766" s="255"/>
      <c r="M766" s="255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  <c r="Y766" s="255"/>
      <c r="Z766" s="255"/>
      <c r="AA766" s="255"/>
    </row>
    <row r="767">
      <c r="A767" s="253"/>
      <c r="B767" s="253"/>
      <c r="C767" s="253"/>
      <c r="D767" s="253"/>
      <c r="E767" s="253"/>
      <c r="F767" s="255"/>
      <c r="G767" s="255"/>
      <c r="H767" s="255"/>
      <c r="I767" s="255"/>
      <c r="J767" s="255"/>
      <c r="K767" s="255"/>
      <c r="L767" s="255"/>
      <c r="M767" s="255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  <c r="Y767" s="255"/>
      <c r="Z767" s="255"/>
      <c r="AA767" s="255"/>
    </row>
    <row r="768">
      <c r="A768" s="253"/>
      <c r="B768" s="253"/>
      <c r="C768" s="253"/>
      <c r="D768" s="253"/>
      <c r="E768" s="253"/>
      <c r="F768" s="255"/>
      <c r="G768" s="255"/>
      <c r="H768" s="255"/>
      <c r="I768" s="255"/>
      <c r="J768" s="255"/>
      <c r="K768" s="255"/>
      <c r="L768" s="255"/>
      <c r="M768" s="255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  <c r="Y768" s="255"/>
      <c r="Z768" s="255"/>
      <c r="AA768" s="255"/>
    </row>
    <row r="769">
      <c r="A769" s="253"/>
      <c r="B769" s="253"/>
      <c r="C769" s="253"/>
      <c r="D769" s="253"/>
      <c r="E769" s="253"/>
      <c r="F769" s="255"/>
      <c r="G769" s="255"/>
      <c r="H769" s="255"/>
      <c r="I769" s="255"/>
      <c r="J769" s="255"/>
      <c r="K769" s="255"/>
      <c r="L769" s="255"/>
      <c r="M769" s="255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  <c r="AA769" s="255"/>
    </row>
    <row r="770">
      <c r="A770" s="253"/>
      <c r="B770" s="253"/>
      <c r="C770" s="253"/>
      <c r="D770" s="253"/>
      <c r="E770" s="253"/>
      <c r="F770" s="255"/>
      <c r="G770" s="255"/>
      <c r="H770" s="255"/>
      <c r="I770" s="255"/>
      <c r="J770" s="255"/>
      <c r="K770" s="255"/>
      <c r="L770" s="255"/>
      <c r="M770" s="255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  <c r="Y770" s="255"/>
      <c r="Z770" s="255"/>
      <c r="AA770" s="255"/>
    </row>
    <row r="771">
      <c r="A771" s="253"/>
      <c r="B771" s="253"/>
      <c r="C771" s="253"/>
      <c r="D771" s="253"/>
      <c r="E771" s="253"/>
      <c r="F771" s="255"/>
      <c r="G771" s="255"/>
      <c r="H771" s="255"/>
      <c r="I771" s="255"/>
      <c r="J771" s="255"/>
      <c r="K771" s="255"/>
      <c r="L771" s="255"/>
      <c r="M771" s="255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  <c r="Y771" s="255"/>
      <c r="Z771" s="255"/>
      <c r="AA771" s="255"/>
    </row>
    <row r="772">
      <c r="A772" s="253"/>
      <c r="B772" s="253"/>
      <c r="C772" s="253"/>
      <c r="D772" s="253"/>
      <c r="E772" s="253"/>
      <c r="F772" s="255"/>
      <c r="G772" s="255"/>
      <c r="H772" s="255"/>
      <c r="I772" s="255"/>
      <c r="J772" s="255"/>
      <c r="K772" s="255"/>
      <c r="L772" s="255"/>
      <c r="M772" s="255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  <c r="Y772" s="255"/>
      <c r="Z772" s="255"/>
      <c r="AA772" s="255"/>
    </row>
    <row r="773">
      <c r="A773" s="253"/>
      <c r="B773" s="253"/>
      <c r="C773" s="253"/>
      <c r="D773" s="253"/>
      <c r="E773" s="253"/>
      <c r="F773" s="255"/>
      <c r="G773" s="255"/>
      <c r="H773" s="255"/>
      <c r="I773" s="255"/>
      <c r="J773" s="255"/>
      <c r="K773" s="255"/>
      <c r="L773" s="255"/>
      <c r="M773" s="255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  <c r="Y773" s="255"/>
      <c r="Z773" s="255"/>
      <c r="AA773" s="255"/>
    </row>
    <row r="774">
      <c r="A774" s="253"/>
      <c r="B774" s="253"/>
      <c r="C774" s="253"/>
      <c r="D774" s="253"/>
      <c r="E774" s="253"/>
      <c r="F774" s="255"/>
      <c r="G774" s="255"/>
      <c r="H774" s="255"/>
      <c r="I774" s="255"/>
      <c r="J774" s="255"/>
      <c r="K774" s="255"/>
      <c r="L774" s="255"/>
      <c r="M774" s="255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  <c r="Y774" s="255"/>
      <c r="Z774" s="255"/>
      <c r="AA774" s="255"/>
    </row>
    <row r="775">
      <c r="A775" s="253"/>
      <c r="B775" s="253"/>
      <c r="C775" s="253"/>
      <c r="D775" s="253"/>
      <c r="E775" s="253"/>
      <c r="F775" s="255"/>
      <c r="G775" s="255"/>
      <c r="H775" s="255"/>
      <c r="I775" s="255"/>
      <c r="J775" s="255"/>
      <c r="K775" s="255"/>
      <c r="L775" s="255"/>
      <c r="M775" s="255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  <c r="Y775" s="255"/>
      <c r="Z775" s="255"/>
      <c r="AA775" s="255"/>
    </row>
    <row r="776">
      <c r="A776" s="253"/>
      <c r="B776" s="253"/>
      <c r="C776" s="253"/>
      <c r="D776" s="253"/>
      <c r="E776" s="253"/>
      <c r="F776" s="255"/>
      <c r="G776" s="255"/>
      <c r="H776" s="255"/>
      <c r="I776" s="255"/>
      <c r="J776" s="255"/>
      <c r="K776" s="255"/>
      <c r="L776" s="255"/>
      <c r="M776" s="255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  <c r="Y776" s="255"/>
      <c r="Z776" s="255"/>
      <c r="AA776" s="255"/>
    </row>
    <row r="777">
      <c r="A777" s="253"/>
      <c r="B777" s="253"/>
      <c r="C777" s="253"/>
      <c r="D777" s="253"/>
      <c r="E777" s="253"/>
      <c r="F777" s="255"/>
      <c r="G777" s="255"/>
      <c r="H777" s="255"/>
      <c r="I777" s="255"/>
      <c r="J777" s="255"/>
      <c r="K777" s="255"/>
      <c r="L777" s="255"/>
      <c r="M777" s="255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  <c r="Y777" s="255"/>
      <c r="Z777" s="255"/>
      <c r="AA777" s="255"/>
    </row>
    <row r="778">
      <c r="A778" s="253"/>
      <c r="B778" s="253"/>
      <c r="C778" s="253"/>
      <c r="D778" s="253"/>
      <c r="E778" s="253"/>
      <c r="F778" s="255"/>
      <c r="G778" s="255"/>
      <c r="H778" s="255"/>
      <c r="I778" s="255"/>
      <c r="J778" s="255"/>
      <c r="K778" s="255"/>
      <c r="L778" s="255"/>
      <c r="M778" s="255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  <c r="Y778" s="255"/>
      <c r="Z778" s="255"/>
      <c r="AA778" s="255"/>
    </row>
    <row r="779">
      <c r="A779" s="253"/>
      <c r="B779" s="253"/>
      <c r="C779" s="253"/>
      <c r="D779" s="253"/>
      <c r="E779" s="253"/>
      <c r="F779" s="255"/>
      <c r="G779" s="255"/>
      <c r="H779" s="255"/>
      <c r="I779" s="255"/>
      <c r="J779" s="255"/>
      <c r="K779" s="255"/>
      <c r="L779" s="255"/>
      <c r="M779" s="255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  <c r="Y779" s="255"/>
      <c r="Z779" s="255"/>
      <c r="AA779" s="255"/>
    </row>
    <row r="780">
      <c r="A780" s="253"/>
      <c r="B780" s="253"/>
      <c r="C780" s="253"/>
      <c r="D780" s="253"/>
      <c r="E780" s="253"/>
      <c r="F780" s="255"/>
      <c r="G780" s="255"/>
      <c r="H780" s="255"/>
      <c r="I780" s="255"/>
      <c r="J780" s="255"/>
      <c r="K780" s="255"/>
      <c r="L780" s="255"/>
      <c r="M780" s="255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  <c r="Y780" s="255"/>
      <c r="Z780" s="255"/>
      <c r="AA780" s="255"/>
    </row>
    <row r="781">
      <c r="A781" s="253"/>
      <c r="B781" s="253"/>
      <c r="C781" s="253"/>
      <c r="D781" s="253"/>
      <c r="E781" s="253"/>
      <c r="F781" s="255"/>
      <c r="G781" s="255"/>
      <c r="H781" s="255"/>
      <c r="I781" s="255"/>
      <c r="J781" s="255"/>
      <c r="K781" s="255"/>
      <c r="L781" s="255"/>
      <c r="M781" s="255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  <c r="Y781" s="255"/>
      <c r="Z781" s="255"/>
      <c r="AA781" s="255"/>
    </row>
    <row r="782">
      <c r="A782" s="253"/>
      <c r="B782" s="253"/>
      <c r="C782" s="253"/>
      <c r="D782" s="253"/>
      <c r="E782" s="253"/>
      <c r="F782" s="255"/>
      <c r="G782" s="255"/>
      <c r="H782" s="255"/>
      <c r="I782" s="255"/>
      <c r="J782" s="255"/>
      <c r="K782" s="255"/>
      <c r="L782" s="255"/>
      <c r="M782" s="255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  <c r="Y782" s="255"/>
      <c r="Z782" s="255"/>
      <c r="AA782" s="255"/>
    </row>
    <row r="783">
      <c r="A783" s="253"/>
      <c r="B783" s="253"/>
      <c r="C783" s="253"/>
      <c r="D783" s="253"/>
      <c r="E783" s="253"/>
      <c r="F783" s="255"/>
      <c r="G783" s="255"/>
      <c r="H783" s="255"/>
      <c r="I783" s="255"/>
      <c r="J783" s="255"/>
      <c r="K783" s="255"/>
      <c r="L783" s="255"/>
      <c r="M783" s="255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  <c r="Y783" s="255"/>
      <c r="Z783" s="255"/>
      <c r="AA783" s="255"/>
    </row>
    <row r="784">
      <c r="A784" s="253"/>
      <c r="B784" s="253"/>
      <c r="C784" s="253"/>
      <c r="D784" s="253"/>
      <c r="E784" s="253"/>
      <c r="F784" s="255"/>
      <c r="G784" s="255"/>
      <c r="H784" s="255"/>
      <c r="I784" s="255"/>
      <c r="J784" s="255"/>
      <c r="K784" s="255"/>
      <c r="L784" s="255"/>
      <c r="M784" s="255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  <c r="Y784" s="255"/>
      <c r="Z784" s="255"/>
      <c r="AA784" s="255"/>
    </row>
    <row r="785">
      <c r="A785" s="253"/>
      <c r="B785" s="253"/>
      <c r="C785" s="253"/>
      <c r="D785" s="253"/>
      <c r="E785" s="253"/>
      <c r="F785" s="255"/>
      <c r="G785" s="255"/>
      <c r="H785" s="255"/>
      <c r="I785" s="255"/>
      <c r="J785" s="255"/>
      <c r="K785" s="255"/>
      <c r="L785" s="255"/>
      <c r="M785" s="255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  <c r="Y785" s="255"/>
      <c r="Z785" s="255"/>
      <c r="AA785" s="255"/>
    </row>
    <row r="786">
      <c r="A786" s="253"/>
      <c r="B786" s="253"/>
      <c r="C786" s="253"/>
      <c r="D786" s="253"/>
      <c r="E786" s="253"/>
      <c r="F786" s="255"/>
      <c r="G786" s="255"/>
      <c r="H786" s="255"/>
      <c r="I786" s="255"/>
      <c r="J786" s="255"/>
      <c r="K786" s="255"/>
      <c r="L786" s="255"/>
      <c r="M786" s="255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  <c r="Y786" s="255"/>
      <c r="Z786" s="255"/>
      <c r="AA786" s="255"/>
    </row>
    <row r="787">
      <c r="A787" s="253"/>
      <c r="B787" s="253"/>
      <c r="C787" s="253"/>
      <c r="D787" s="253"/>
      <c r="E787" s="253"/>
      <c r="F787" s="255"/>
      <c r="G787" s="255"/>
      <c r="H787" s="255"/>
      <c r="I787" s="255"/>
      <c r="J787" s="255"/>
      <c r="K787" s="255"/>
      <c r="L787" s="255"/>
      <c r="M787" s="255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  <c r="Y787" s="255"/>
      <c r="Z787" s="255"/>
      <c r="AA787" s="255"/>
    </row>
    <row r="788">
      <c r="A788" s="253"/>
      <c r="B788" s="253"/>
      <c r="C788" s="253"/>
      <c r="D788" s="253"/>
      <c r="E788" s="253"/>
      <c r="F788" s="255"/>
      <c r="G788" s="255"/>
      <c r="H788" s="255"/>
      <c r="I788" s="255"/>
      <c r="J788" s="255"/>
      <c r="K788" s="255"/>
      <c r="L788" s="255"/>
      <c r="M788" s="255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  <c r="Y788" s="255"/>
      <c r="Z788" s="255"/>
      <c r="AA788" s="255"/>
    </row>
    <row r="789">
      <c r="A789" s="253"/>
      <c r="B789" s="253"/>
      <c r="C789" s="253"/>
      <c r="D789" s="253"/>
      <c r="E789" s="253"/>
      <c r="F789" s="255"/>
      <c r="G789" s="255"/>
      <c r="H789" s="255"/>
      <c r="I789" s="255"/>
      <c r="J789" s="255"/>
      <c r="K789" s="255"/>
      <c r="L789" s="255"/>
      <c r="M789" s="255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  <c r="Y789" s="255"/>
      <c r="Z789" s="255"/>
      <c r="AA789" s="255"/>
    </row>
    <row r="790">
      <c r="A790" s="253"/>
      <c r="B790" s="253"/>
      <c r="C790" s="253"/>
      <c r="D790" s="253"/>
      <c r="E790" s="253"/>
      <c r="F790" s="255"/>
      <c r="G790" s="255"/>
      <c r="H790" s="255"/>
      <c r="I790" s="255"/>
      <c r="J790" s="255"/>
      <c r="K790" s="255"/>
      <c r="L790" s="255"/>
      <c r="M790" s="255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  <c r="Y790" s="255"/>
      <c r="Z790" s="255"/>
      <c r="AA790" s="255"/>
    </row>
    <row r="791">
      <c r="A791" s="253"/>
      <c r="B791" s="253"/>
      <c r="C791" s="253"/>
      <c r="D791" s="253"/>
      <c r="E791" s="253"/>
      <c r="F791" s="255"/>
      <c r="G791" s="255"/>
      <c r="H791" s="255"/>
      <c r="I791" s="255"/>
      <c r="J791" s="255"/>
      <c r="K791" s="255"/>
      <c r="L791" s="255"/>
      <c r="M791" s="255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  <c r="Y791" s="255"/>
      <c r="Z791" s="255"/>
      <c r="AA791" s="255"/>
    </row>
    <row r="792">
      <c r="A792" s="253"/>
      <c r="B792" s="253"/>
      <c r="C792" s="253"/>
      <c r="D792" s="253"/>
      <c r="E792" s="253"/>
      <c r="F792" s="255"/>
      <c r="G792" s="255"/>
      <c r="H792" s="255"/>
      <c r="I792" s="255"/>
      <c r="J792" s="255"/>
      <c r="K792" s="255"/>
      <c r="L792" s="255"/>
      <c r="M792" s="255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  <c r="Y792" s="255"/>
      <c r="Z792" s="255"/>
      <c r="AA792" s="255"/>
    </row>
    <row r="793">
      <c r="A793" s="253"/>
      <c r="B793" s="253"/>
      <c r="C793" s="253"/>
      <c r="D793" s="253"/>
      <c r="E793" s="253"/>
      <c r="F793" s="255"/>
      <c r="G793" s="255"/>
      <c r="H793" s="255"/>
      <c r="I793" s="255"/>
      <c r="J793" s="255"/>
      <c r="K793" s="255"/>
      <c r="L793" s="255"/>
      <c r="M793" s="255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  <c r="Y793" s="255"/>
      <c r="Z793" s="255"/>
      <c r="AA793" s="255"/>
    </row>
    <row r="794">
      <c r="A794" s="253"/>
      <c r="B794" s="253"/>
      <c r="C794" s="253"/>
      <c r="D794" s="253"/>
      <c r="E794" s="253"/>
      <c r="F794" s="255"/>
      <c r="G794" s="255"/>
      <c r="H794" s="255"/>
      <c r="I794" s="255"/>
      <c r="J794" s="255"/>
      <c r="K794" s="255"/>
      <c r="L794" s="255"/>
      <c r="M794" s="255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  <c r="Y794" s="255"/>
      <c r="Z794" s="255"/>
      <c r="AA794" s="255"/>
    </row>
    <row r="795">
      <c r="A795" s="253"/>
      <c r="B795" s="253"/>
      <c r="C795" s="253"/>
      <c r="D795" s="253"/>
      <c r="E795" s="253"/>
      <c r="F795" s="255"/>
      <c r="G795" s="255"/>
      <c r="H795" s="255"/>
      <c r="I795" s="255"/>
      <c r="J795" s="255"/>
      <c r="K795" s="255"/>
      <c r="L795" s="255"/>
      <c r="M795" s="255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  <c r="Y795" s="255"/>
      <c r="Z795" s="255"/>
      <c r="AA795" s="255"/>
    </row>
    <row r="796">
      <c r="A796" s="253"/>
      <c r="B796" s="253"/>
      <c r="C796" s="253"/>
      <c r="D796" s="253"/>
      <c r="E796" s="253"/>
      <c r="F796" s="255"/>
      <c r="G796" s="255"/>
      <c r="H796" s="255"/>
      <c r="I796" s="255"/>
      <c r="J796" s="255"/>
      <c r="K796" s="255"/>
      <c r="L796" s="255"/>
      <c r="M796" s="255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  <c r="Y796" s="255"/>
      <c r="Z796" s="255"/>
      <c r="AA796" s="255"/>
    </row>
    <row r="797">
      <c r="A797" s="253"/>
      <c r="B797" s="253"/>
      <c r="C797" s="253"/>
      <c r="D797" s="253"/>
      <c r="E797" s="253"/>
      <c r="F797" s="255"/>
      <c r="G797" s="255"/>
      <c r="H797" s="255"/>
      <c r="I797" s="255"/>
      <c r="J797" s="255"/>
      <c r="K797" s="255"/>
      <c r="L797" s="255"/>
      <c r="M797" s="255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  <c r="Y797" s="255"/>
      <c r="Z797" s="255"/>
      <c r="AA797" s="255"/>
    </row>
    <row r="798">
      <c r="A798" s="253"/>
      <c r="B798" s="253"/>
      <c r="C798" s="253"/>
      <c r="D798" s="253"/>
      <c r="E798" s="253"/>
      <c r="F798" s="255"/>
      <c r="G798" s="255"/>
      <c r="H798" s="255"/>
      <c r="I798" s="255"/>
      <c r="J798" s="255"/>
      <c r="K798" s="255"/>
      <c r="L798" s="255"/>
      <c r="M798" s="255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  <c r="Y798" s="255"/>
      <c r="Z798" s="255"/>
      <c r="AA798" s="255"/>
    </row>
    <row r="799">
      <c r="A799" s="253"/>
      <c r="B799" s="253"/>
      <c r="C799" s="253"/>
      <c r="D799" s="253"/>
      <c r="E799" s="253"/>
      <c r="F799" s="255"/>
      <c r="G799" s="255"/>
      <c r="H799" s="255"/>
      <c r="I799" s="255"/>
      <c r="J799" s="255"/>
      <c r="K799" s="255"/>
      <c r="L799" s="255"/>
      <c r="M799" s="255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  <c r="Y799" s="255"/>
      <c r="Z799" s="255"/>
      <c r="AA799" s="255"/>
    </row>
    <row r="800">
      <c r="A800" s="253"/>
      <c r="B800" s="253"/>
      <c r="C800" s="253"/>
      <c r="D800" s="253"/>
      <c r="E800" s="253"/>
      <c r="F800" s="255"/>
      <c r="G800" s="255"/>
      <c r="H800" s="255"/>
      <c r="I800" s="255"/>
      <c r="J800" s="255"/>
      <c r="K800" s="255"/>
      <c r="L800" s="255"/>
      <c r="M800" s="255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  <c r="Y800" s="255"/>
      <c r="Z800" s="255"/>
      <c r="AA800" s="255"/>
    </row>
    <row r="801">
      <c r="A801" s="253"/>
      <c r="B801" s="253"/>
      <c r="C801" s="253"/>
      <c r="D801" s="253"/>
      <c r="E801" s="253"/>
      <c r="F801" s="255"/>
      <c r="G801" s="255"/>
      <c r="H801" s="255"/>
      <c r="I801" s="255"/>
      <c r="J801" s="255"/>
      <c r="K801" s="255"/>
      <c r="L801" s="255"/>
      <c r="M801" s="255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  <c r="Y801" s="255"/>
      <c r="Z801" s="255"/>
      <c r="AA801" s="255"/>
    </row>
    <row r="802">
      <c r="A802" s="253"/>
      <c r="B802" s="253"/>
      <c r="C802" s="253"/>
      <c r="D802" s="253"/>
      <c r="E802" s="253"/>
      <c r="F802" s="255"/>
      <c r="G802" s="255"/>
      <c r="H802" s="255"/>
      <c r="I802" s="255"/>
      <c r="J802" s="255"/>
      <c r="K802" s="255"/>
      <c r="L802" s="255"/>
      <c r="M802" s="255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  <c r="Y802" s="255"/>
      <c r="Z802" s="255"/>
      <c r="AA802" s="255"/>
    </row>
    <row r="803">
      <c r="A803" s="253"/>
      <c r="B803" s="253"/>
      <c r="C803" s="253"/>
      <c r="D803" s="253"/>
      <c r="E803" s="253"/>
      <c r="F803" s="255"/>
      <c r="G803" s="255"/>
      <c r="H803" s="255"/>
      <c r="I803" s="255"/>
      <c r="J803" s="255"/>
      <c r="K803" s="255"/>
      <c r="L803" s="255"/>
      <c r="M803" s="255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  <c r="Y803" s="255"/>
      <c r="Z803" s="255"/>
      <c r="AA803" s="255"/>
    </row>
    <row r="804">
      <c r="A804" s="253"/>
      <c r="B804" s="253"/>
      <c r="C804" s="253"/>
      <c r="D804" s="253"/>
      <c r="E804" s="253"/>
      <c r="F804" s="255"/>
      <c r="G804" s="255"/>
      <c r="H804" s="255"/>
      <c r="I804" s="255"/>
      <c r="J804" s="255"/>
      <c r="K804" s="255"/>
      <c r="L804" s="255"/>
      <c r="M804" s="255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  <c r="Y804" s="255"/>
      <c r="Z804" s="255"/>
      <c r="AA804" s="255"/>
    </row>
    <row r="805">
      <c r="A805" s="253"/>
      <c r="B805" s="253"/>
      <c r="C805" s="253"/>
      <c r="D805" s="253"/>
      <c r="E805" s="253"/>
      <c r="F805" s="255"/>
      <c r="G805" s="255"/>
      <c r="H805" s="255"/>
      <c r="I805" s="255"/>
      <c r="J805" s="255"/>
      <c r="K805" s="255"/>
      <c r="L805" s="255"/>
      <c r="M805" s="255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  <c r="Y805" s="255"/>
      <c r="Z805" s="255"/>
      <c r="AA805" s="255"/>
    </row>
    <row r="806">
      <c r="A806" s="253"/>
      <c r="B806" s="253"/>
      <c r="C806" s="253"/>
      <c r="D806" s="253"/>
      <c r="E806" s="253"/>
      <c r="F806" s="255"/>
      <c r="G806" s="255"/>
      <c r="H806" s="255"/>
      <c r="I806" s="255"/>
      <c r="J806" s="255"/>
      <c r="K806" s="255"/>
      <c r="L806" s="255"/>
      <c r="M806" s="255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  <c r="Y806" s="255"/>
      <c r="Z806" s="255"/>
      <c r="AA806" s="255"/>
    </row>
    <row r="807">
      <c r="A807" s="253"/>
      <c r="B807" s="253"/>
      <c r="C807" s="253"/>
      <c r="D807" s="253"/>
      <c r="E807" s="253"/>
      <c r="F807" s="255"/>
      <c r="G807" s="255"/>
      <c r="H807" s="255"/>
      <c r="I807" s="255"/>
      <c r="J807" s="255"/>
      <c r="K807" s="255"/>
      <c r="L807" s="255"/>
      <c r="M807" s="255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  <c r="Y807" s="255"/>
      <c r="Z807" s="255"/>
      <c r="AA807" s="255"/>
    </row>
    <row r="808">
      <c r="A808" s="253"/>
      <c r="B808" s="253"/>
      <c r="C808" s="253"/>
      <c r="D808" s="253"/>
      <c r="E808" s="253"/>
      <c r="F808" s="255"/>
      <c r="G808" s="255"/>
      <c r="H808" s="255"/>
      <c r="I808" s="255"/>
      <c r="J808" s="255"/>
      <c r="K808" s="255"/>
      <c r="L808" s="255"/>
      <c r="M808" s="255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  <c r="Y808" s="255"/>
      <c r="Z808" s="255"/>
      <c r="AA808" s="255"/>
    </row>
    <row r="809">
      <c r="A809" s="253"/>
      <c r="B809" s="253"/>
      <c r="C809" s="253"/>
      <c r="D809" s="253"/>
      <c r="E809" s="253"/>
      <c r="F809" s="255"/>
      <c r="G809" s="255"/>
      <c r="H809" s="255"/>
      <c r="I809" s="255"/>
      <c r="J809" s="255"/>
      <c r="K809" s="255"/>
      <c r="L809" s="255"/>
      <c r="M809" s="255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  <c r="Y809" s="255"/>
      <c r="Z809" s="255"/>
      <c r="AA809" s="255"/>
    </row>
    <row r="810">
      <c r="A810" s="253"/>
      <c r="B810" s="253"/>
      <c r="C810" s="253"/>
      <c r="D810" s="253"/>
      <c r="E810" s="253"/>
      <c r="F810" s="255"/>
      <c r="G810" s="255"/>
      <c r="H810" s="255"/>
      <c r="I810" s="255"/>
      <c r="J810" s="255"/>
      <c r="K810" s="255"/>
      <c r="L810" s="255"/>
      <c r="M810" s="255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  <c r="Y810" s="255"/>
      <c r="Z810" s="255"/>
      <c r="AA810" s="255"/>
    </row>
    <row r="811">
      <c r="A811" s="253"/>
      <c r="B811" s="253"/>
      <c r="C811" s="253"/>
      <c r="D811" s="253"/>
      <c r="E811" s="253"/>
      <c r="F811" s="255"/>
      <c r="G811" s="255"/>
      <c r="H811" s="255"/>
      <c r="I811" s="255"/>
      <c r="J811" s="255"/>
      <c r="K811" s="255"/>
      <c r="L811" s="255"/>
      <c r="M811" s="255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  <c r="Y811" s="255"/>
      <c r="Z811" s="255"/>
      <c r="AA811" s="255"/>
    </row>
    <row r="812">
      <c r="A812" s="253"/>
      <c r="B812" s="253"/>
      <c r="C812" s="253"/>
      <c r="D812" s="253"/>
      <c r="E812" s="253"/>
      <c r="F812" s="255"/>
      <c r="G812" s="255"/>
      <c r="H812" s="255"/>
      <c r="I812" s="255"/>
      <c r="J812" s="255"/>
      <c r="K812" s="255"/>
      <c r="L812" s="255"/>
      <c r="M812" s="255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  <c r="AA812" s="255"/>
    </row>
    <row r="813">
      <c r="A813" s="253"/>
      <c r="B813" s="253"/>
      <c r="C813" s="253"/>
      <c r="D813" s="253"/>
      <c r="E813" s="253"/>
      <c r="F813" s="255"/>
      <c r="G813" s="255"/>
      <c r="H813" s="255"/>
      <c r="I813" s="255"/>
      <c r="J813" s="255"/>
      <c r="K813" s="255"/>
      <c r="L813" s="255"/>
      <c r="M813" s="255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  <c r="Y813" s="255"/>
      <c r="Z813" s="255"/>
      <c r="AA813" s="255"/>
    </row>
    <row r="814">
      <c r="A814" s="253"/>
      <c r="B814" s="253"/>
      <c r="C814" s="253"/>
      <c r="D814" s="253"/>
      <c r="E814" s="253"/>
      <c r="F814" s="255"/>
      <c r="G814" s="255"/>
      <c r="H814" s="255"/>
      <c r="I814" s="255"/>
      <c r="J814" s="255"/>
      <c r="K814" s="255"/>
      <c r="L814" s="255"/>
      <c r="M814" s="255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  <c r="Y814" s="255"/>
      <c r="Z814" s="255"/>
      <c r="AA814" s="255"/>
    </row>
    <row r="815">
      <c r="A815" s="253"/>
      <c r="B815" s="253"/>
      <c r="C815" s="253"/>
      <c r="D815" s="253"/>
      <c r="E815" s="253"/>
      <c r="F815" s="255"/>
      <c r="G815" s="255"/>
      <c r="H815" s="255"/>
      <c r="I815" s="255"/>
      <c r="J815" s="255"/>
      <c r="K815" s="255"/>
      <c r="L815" s="255"/>
      <c r="M815" s="255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  <c r="Y815" s="255"/>
      <c r="Z815" s="255"/>
      <c r="AA815" s="255"/>
    </row>
    <row r="816">
      <c r="A816" s="253"/>
      <c r="B816" s="253"/>
      <c r="C816" s="253"/>
      <c r="D816" s="253"/>
      <c r="E816" s="253"/>
      <c r="F816" s="255"/>
      <c r="G816" s="255"/>
      <c r="H816" s="255"/>
      <c r="I816" s="255"/>
      <c r="J816" s="255"/>
      <c r="K816" s="255"/>
      <c r="L816" s="255"/>
      <c r="M816" s="255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  <c r="Y816" s="255"/>
      <c r="Z816" s="255"/>
      <c r="AA816" s="255"/>
    </row>
    <row r="817">
      <c r="A817" s="253"/>
      <c r="B817" s="253"/>
      <c r="C817" s="253"/>
      <c r="D817" s="253"/>
      <c r="E817" s="253"/>
      <c r="F817" s="255"/>
      <c r="G817" s="255"/>
      <c r="H817" s="255"/>
      <c r="I817" s="255"/>
      <c r="J817" s="255"/>
      <c r="K817" s="255"/>
      <c r="L817" s="255"/>
      <c r="M817" s="255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  <c r="Y817" s="255"/>
      <c r="Z817" s="255"/>
      <c r="AA817" s="255"/>
    </row>
    <row r="818">
      <c r="A818" s="253"/>
      <c r="B818" s="253"/>
      <c r="C818" s="253"/>
      <c r="D818" s="253"/>
      <c r="E818" s="253"/>
      <c r="F818" s="255"/>
      <c r="G818" s="255"/>
      <c r="H818" s="255"/>
      <c r="I818" s="255"/>
      <c r="J818" s="255"/>
      <c r="K818" s="255"/>
      <c r="L818" s="255"/>
      <c r="M818" s="255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  <c r="Y818" s="255"/>
      <c r="Z818" s="255"/>
      <c r="AA818" s="255"/>
    </row>
    <row r="819">
      <c r="A819" s="253"/>
      <c r="B819" s="253"/>
      <c r="C819" s="253"/>
      <c r="D819" s="253"/>
      <c r="E819" s="253"/>
      <c r="F819" s="255"/>
      <c r="G819" s="255"/>
      <c r="H819" s="255"/>
      <c r="I819" s="255"/>
      <c r="J819" s="255"/>
      <c r="K819" s="255"/>
      <c r="L819" s="255"/>
      <c r="M819" s="255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  <c r="Y819" s="255"/>
      <c r="Z819" s="255"/>
      <c r="AA819" s="255"/>
    </row>
    <row r="820">
      <c r="A820" s="253"/>
      <c r="B820" s="253"/>
      <c r="C820" s="253"/>
      <c r="D820" s="253"/>
      <c r="E820" s="253"/>
      <c r="F820" s="255"/>
      <c r="G820" s="255"/>
      <c r="H820" s="255"/>
      <c r="I820" s="255"/>
      <c r="J820" s="255"/>
      <c r="K820" s="255"/>
      <c r="L820" s="255"/>
      <c r="M820" s="255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  <c r="Y820" s="255"/>
      <c r="Z820" s="255"/>
      <c r="AA820" s="255"/>
    </row>
    <row r="821">
      <c r="A821" s="253"/>
      <c r="B821" s="253"/>
      <c r="C821" s="253"/>
      <c r="D821" s="253"/>
      <c r="E821" s="253"/>
      <c r="F821" s="255"/>
      <c r="G821" s="255"/>
      <c r="H821" s="255"/>
      <c r="I821" s="255"/>
      <c r="J821" s="255"/>
      <c r="K821" s="255"/>
      <c r="L821" s="255"/>
      <c r="M821" s="255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  <c r="Y821" s="255"/>
      <c r="Z821" s="255"/>
      <c r="AA821" s="255"/>
    </row>
    <row r="822">
      <c r="A822" s="253"/>
      <c r="B822" s="253"/>
      <c r="C822" s="253"/>
      <c r="D822" s="253"/>
      <c r="E822" s="253"/>
      <c r="F822" s="255"/>
      <c r="G822" s="255"/>
      <c r="H822" s="255"/>
      <c r="I822" s="255"/>
      <c r="J822" s="255"/>
      <c r="K822" s="255"/>
      <c r="L822" s="255"/>
      <c r="M822" s="255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  <c r="Y822" s="255"/>
      <c r="Z822" s="255"/>
      <c r="AA822" s="255"/>
    </row>
    <row r="823">
      <c r="A823" s="253"/>
      <c r="B823" s="253"/>
      <c r="C823" s="253"/>
      <c r="D823" s="253"/>
      <c r="E823" s="253"/>
      <c r="F823" s="255"/>
      <c r="G823" s="255"/>
      <c r="H823" s="255"/>
      <c r="I823" s="255"/>
      <c r="J823" s="255"/>
      <c r="K823" s="255"/>
      <c r="L823" s="255"/>
      <c r="M823" s="255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  <c r="Y823" s="255"/>
      <c r="Z823" s="255"/>
      <c r="AA823" s="255"/>
    </row>
    <row r="824">
      <c r="A824" s="253"/>
      <c r="B824" s="253"/>
      <c r="C824" s="253"/>
      <c r="D824" s="253"/>
      <c r="E824" s="253"/>
      <c r="F824" s="255"/>
      <c r="G824" s="255"/>
      <c r="H824" s="255"/>
      <c r="I824" s="255"/>
      <c r="J824" s="255"/>
      <c r="K824" s="255"/>
      <c r="L824" s="255"/>
      <c r="M824" s="255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  <c r="Y824" s="255"/>
      <c r="Z824" s="255"/>
      <c r="AA824" s="255"/>
    </row>
    <row r="825">
      <c r="A825" s="253"/>
      <c r="B825" s="253"/>
      <c r="C825" s="253"/>
      <c r="D825" s="253"/>
      <c r="E825" s="253"/>
      <c r="F825" s="255"/>
      <c r="G825" s="255"/>
      <c r="H825" s="255"/>
      <c r="I825" s="255"/>
      <c r="J825" s="255"/>
      <c r="K825" s="255"/>
      <c r="L825" s="255"/>
      <c r="M825" s="255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  <c r="Y825" s="255"/>
      <c r="Z825" s="255"/>
      <c r="AA825" s="255"/>
    </row>
    <row r="826">
      <c r="A826" s="253"/>
      <c r="B826" s="253"/>
      <c r="C826" s="253"/>
      <c r="D826" s="253"/>
      <c r="E826" s="253"/>
      <c r="F826" s="255"/>
      <c r="G826" s="255"/>
      <c r="H826" s="255"/>
      <c r="I826" s="255"/>
      <c r="J826" s="255"/>
      <c r="K826" s="255"/>
      <c r="L826" s="255"/>
      <c r="M826" s="255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  <c r="Y826" s="255"/>
      <c r="Z826" s="255"/>
      <c r="AA826" s="255"/>
    </row>
    <row r="827">
      <c r="A827" s="253"/>
      <c r="B827" s="253"/>
      <c r="C827" s="253"/>
      <c r="D827" s="253"/>
      <c r="E827" s="253"/>
      <c r="F827" s="255"/>
      <c r="G827" s="255"/>
      <c r="H827" s="255"/>
      <c r="I827" s="255"/>
      <c r="J827" s="255"/>
      <c r="K827" s="255"/>
      <c r="L827" s="255"/>
      <c r="M827" s="255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  <c r="Y827" s="255"/>
      <c r="Z827" s="255"/>
      <c r="AA827" s="255"/>
    </row>
    <row r="828">
      <c r="A828" s="253"/>
      <c r="B828" s="253"/>
      <c r="C828" s="253"/>
      <c r="D828" s="253"/>
      <c r="E828" s="253"/>
      <c r="F828" s="255"/>
      <c r="G828" s="255"/>
      <c r="H828" s="255"/>
      <c r="I828" s="255"/>
      <c r="J828" s="255"/>
      <c r="K828" s="255"/>
      <c r="L828" s="255"/>
      <c r="M828" s="255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  <c r="Y828" s="255"/>
      <c r="Z828" s="255"/>
      <c r="AA828" s="255"/>
    </row>
    <row r="829">
      <c r="A829" s="253"/>
      <c r="B829" s="253"/>
      <c r="C829" s="253"/>
      <c r="D829" s="253"/>
      <c r="E829" s="253"/>
      <c r="F829" s="255"/>
      <c r="G829" s="255"/>
      <c r="H829" s="255"/>
      <c r="I829" s="255"/>
      <c r="J829" s="255"/>
      <c r="K829" s="255"/>
      <c r="L829" s="255"/>
      <c r="M829" s="255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  <c r="Y829" s="255"/>
      <c r="Z829" s="255"/>
      <c r="AA829" s="255"/>
    </row>
    <row r="830">
      <c r="A830" s="253"/>
      <c r="B830" s="253"/>
      <c r="C830" s="253"/>
      <c r="D830" s="253"/>
      <c r="E830" s="253"/>
      <c r="F830" s="255"/>
      <c r="G830" s="255"/>
      <c r="H830" s="255"/>
      <c r="I830" s="255"/>
      <c r="J830" s="255"/>
      <c r="K830" s="255"/>
      <c r="L830" s="255"/>
      <c r="M830" s="255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  <c r="Y830" s="255"/>
      <c r="Z830" s="255"/>
      <c r="AA830" s="255"/>
    </row>
    <row r="831">
      <c r="A831" s="253"/>
      <c r="B831" s="253"/>
      <c r="C831" s="253"/>
      <c r="D831" s="253"/>
      <c r="E831" s="253"/>
      <c r="F831" s="255"/>
      <c r="G831" s="255"/>
      <c r="H831" s="255"/>
      <c r="I831" s="255"/>
      <c r="J831" s="255"/>
      <c r="K831" s="255"/>
      <c r="L831" s="255"/>
      <c r="M831" s="255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  <c r="Y831" s="255"/>
      <c r="Z831" s="255"/>
      <c r="AA831" s="255"/>
    </row>
    <row r="832">
      <c r="A832" s="253"/>
      <c r="B832" s="253"/>
      <c r="C832" s="253"/>
      <c r="D832" s="253"/>
      <c r="E832" s="253"/>
      <c r="F832" s="255"/>
      <c r="G832" s="255"/>
      <c r="H832" s="255"/>
      <c r="I832" s="255"/>
      <c r="J832" s="255"/>
      <c r="K832" s="255"/>
      <c r="L832" s="255"/>
      <c r="M832" s="255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  <c r="Y832" s="255"/>
      <c r="Z832" s="255"/>
      <c r="AA832" s="255"/>
    </row>
    <row r="833">
      <c r="A833" s="253"/>
      <c r="B833" s="253"/>
      <c r="C833" s="253"/>
      <c r="D833" s="253"/>
      <c r="E833" s="253"/>
      <c r="F833" s="255"/>
      <c r="G833" s="255"/>
      <c r="H833" s="255"/>
      <c r="I833" s="255"/>
      <c r="J833" s="255"/>
      <c r="K833" s="255"/>
      <c r="L833" s="255"/>
      <c r="M833" s="255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  <c r="Y833" s="255"/>
      <c r="Z833" s="255"/>
      <c r="AA833" s="255"/>
    </row>
    <row r="834">
      <c r="A834" s="253"/>
      <c r="B834" s="253"/>
      <c r="C834" s="253"/>
      <c r="D834" s="253"/>
      <c r="E834" s="253"/>
      <c r="F834" s="255"/>
      <c r="G834" s="255"/>
      <c r="H834" s="255"/>
      <c r="I834" s="255"/>
      <c r="J834" s="255"/>
      <c r="K834" s="255"/>
      <c r="L834" s="255"/>
      <c r="M834" s="255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  <c r="Y834" s="255"/>
      <c r="Z834" s="255"/>
      <c r="AA834" s="255"/>
    </row>
    <row r="835">
      <c r="A835" s="253"/>
      <c r="B835" s="253"/>
      <c r="C835" s="253"/>
      <c r="D835" s="253"/>
      <c r="E835" s="253"/>
      <c r="F835" s="255"/>
      <c r="G835" s="255"/>
      <c r="H835" s="255"/>
      <c r="I835" s="255"/>
      <c r="J835" s="255"/>
      <c r="K835" s="255"/>
      <c r="L835" s="255"/>
      <c r="M835" s="255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  <c r="Y835" s="255"/>
      <c r="Z835" s="255"/>
      <c r="AA835" s="255"/>
    </row>
    <row r="836">
      <c r="A836" s="253"/>
      <c r="B836" s="253"/>
      <c r="C836" s="253"/>
      <c r="D836" s="253"/>
      <c r="E836" s="253"/>
      <c r="F836" s="255"/>
      <c r="G836" s="255"/>
      <c r="H836" s="255"/>
      <c r="I836" s="255"/>
      <c r="J836" s="255"/>
      <c r="K836" s="255"/>
      <c r="L836" s="255"/>
      <c r="M836" s="255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  <c r="Y836" s="255"/>
      <c r="Z836" s="255"/>
      <c r="AA836" s="255"/>
    </row>
    <row r="837">
      <c r="A837" s="253"/>
      <c r="B837" s="253"/>
      <c r="C837" s="253"/>
      <c r="D837" s="253"/>
      <c r="E837" s="253"/>
      <c r="F837" s="255"/>
      <c r="G837" s="255"/>
      <c r="H837" s="255"/>
      <c r="I837" s="255"/>
      <c r="J837" s="255"/>
      <c r="K837" s="255"/>
      <c r="L837" s="255"/>
      <c r="M837" s="255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  <c r="Y837" s="255"/>
      <c r="Z837" s="255"/>
      <c r="AA837" s="255"/>
    </row>
    <row r="838">
      <c r="A838" s="253"/>
      <c r="B838" s="253"/>
      <c r="C838" s="253"/>
      <c r="D838" s="253"/>
      <c r="E838" s="253"/>
      <c r="F838" s="255"/>
      <c r="G838" s="255"/>
      <c r="H838" s="255"/>
      <c r="I838" s="255"/>
      <c r="J838" s="255"/>
      <c r="K838" s="255"/>
      <c r="L838" s="255"/>
      <c r="M838" s="255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  <c r="Y838" s="255"/>
      <c r="Z838" s="255"/>
      <c r="AA838" s="255"/>
    </row>
    <row r="839">
      <c r="A839" s="253"/>
      <c r="B839" s="253"/>
      <c r="C839" s="253"/>
      <c r="D839" s="253"/>
      <c r="E839" s="253"/>
      <c r="F839" s="255"/>
      <c r="G839" s="255"/>
      <c r="H839" s="255"/>
      <c r="I839" s="255"/>
      <c r="J839" s="255"/>
      <c r="K839" s="255"/>
      <c r="L839" s="255"/>
      <c r="M839" s="255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  <c r="Y839" s="255"/>
      <c r="Z839" s="255"/>
      <c r="AA839" s="255"/>
    </row>
    <row r="840">
      <c r="A840" s="253"/>
      <c r="B840" s="253"/>
      <c r="C840" s="253"/>
      <c r="D840" s="253"/>
      <c r="E840" s="253"/>
      <c r="F840" s="255"/>
      <c r="G840" s="255"/>
      <c r="H840" s="255"/>
      <c r="I840" s="255"/>
      <c r="J840" s="255"/>
      <c r="K840" s="255"/>
      <c r="L840" s="255"/>
      <c r="M840" s="255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  <c r="Y840" s="255"/>
      <c r="Z840" s="255"/>
      <c r="AA840" s="255"/>
    </row>
    <row r="841">
      <c r="A841" s="253"/>
      <c r="B841" s="253"/>
      <c r="C841" s="253"/>
      <c r="D841" s="253"/>
      <c r="E841" s="253"/>
      <c r="F841" s="255"/>
      <c r="G841" s="255"/>
      <c r="H841" s="255"/>
      <c r="I841" s="255"/>
      <c r="J841" s="255"/>
      <c r="K841" s="255"/>
      <c r="L841" s="255"/>
      <c r="M841" s="255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  <c r="Y841" s="255"/>
      <c r="Z841" s="255"/>
      <c r="AA841" s="255"/>
    </row>
    <row r="842">
      <c r="A842" s="253"/>
      <c r="B842" s="253"/>
      <c r="C842" s="253"/>
      <c r="D842" s="253"/>
      <c r="E842" s="253"/>
      <c r="F842" s="255"/>
      <c r="G842" s="255"/>
      <c r="H842" s="255"/>
      <c r="I842" s="255"/>
      <c r="J842" s="255"/>
      <c r="K842" s="255"/>
      <c r="L842" s="255"/>
      <c r="M842" s="255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  <c r="Y842" s="255"/>
      <c r="Z842" s="255"/>
      <c r="AA842" s="255"/>
    </row>
    <row r="843">
      <c r="A843" s="253"/>
      <c r="B843" s="253"/>
      <c r="C843" s="253"/>
      <c r="D843" s="253"/>
      <c r="E843" s="253"/>
      <c r="F843" s="255"/>
      <c r="G843" s="255"/>
      <c r="H843" s="255"/>
      <c r="I843" s="255"/>
      <c r="J843" s="255"/>
      <c r="K843" s="255"/>
      <c r="L843" s="255"/>
      <c r="M843" s="255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  <c r="Y843" s="255"/>
      <c r="Z843" s="255"/>
      <c r="AA843" s="255"/>
    </row>
    <row r="844">
      <c r="A844" s="253"/>
      <c r="B844" s="253"/>
      <c r="C844" s="253"/>
      <c r="D844" s="253"/>
      <c r="E844" s="253"/>
      <c r="F844" s="255"/>
      <c r="G844" s="255"/>
      <c r="H844" s="255"/>
      <c r="I844" s="255"/>
      <c r="J844" s="255"/>
      <c r="K844" s="255"/>
      <c r="L844" s="255"/>
      <c r="M844" s="255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  <c r="Y844" s="255"/>
      <c r="Z844" s="255"/>
      <c r="AA844" s="255"/>
    </row>
    <row r="845">
      <c r="A845" s="253"/>
      <c r="B845" s="253"/>
      <c r="C845" s="253"/>
      <c r="D845" s="253"/>
      <c r="E845" s="253"/>
      <c r="F845" s="255"/>
      <c r="G845" s="255"/>
      <c r="H845" s="255"/>
      <c r="I845" s="255"/>
      <c r="J845" s="255"/>
      <c r="K845" s="255"/>
      <c r="L845" s="255"/>
      <c r="M845" s="255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  <c r="Y845" s="255"/>
      <c r="Z845" s="255"/>
      <c r="AA845" s="255"/>
    </row>
    <row r="846">
      <c r="A846" s="253"/>
      <c r="B846" s="253"/>
      <c r="C846" s="253"/>
      <c r="D846" s="253"/>
      <c r="E846" s="253"/>
      <c r="F846" s="255"/>
      <c r="G846" s="255"/>
      <c r="H846" s="255"/>
      <c r="I846" s="255"/>
      <c r="J846" s="255"/>
      <c r="K846" s="255"/>
      <c r="L846" s="255"/>
      <c r="M846" s="255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  <c r="Y846" s="255"/>
      <c r="Z846" s="255"/>
      <c r="AA846" s="255"/>
    </row>
    <row r="847">
      <c r="A847" s="253"/>
      <c r="B847" s="253"/>
      <c r="C847" s="253"/>
      <c r="D847" s="253"/>
      <c r="E847" s="253"/>
      <c r="F847" s="255"/>
      <c r="G847" s="255"/>
      <c r="H847" s="255"/>
      <c r="I847" s="255"/>
      <c r="J847" s="255"/>
      <c r="K847" s="255"/>
      <c r="L847" s="255"/>
      <c r="M847" s="255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  <c r="Y847" s="255"/>
      <c r="Z847" s="255"/>
      <c r="AA847" s="255"/>
    </row>
    <row r="848">
      <c r="A848" s="253"/>
      <c r="B848" s="253"/>
      <c r="C848" s="253"/>
      <c r="D848" s="253"/>
      <c r="E848" s="253"/>
      <c r="F848" s="255"/>
      <c r="G848" s="255"/>
      <c r="H848" s="255"/>
      <c r="I848" s="255"/>
      <c r="J848" s="255"/>
      <c r="K848" s="255"/>
      <c r="L848" s="255"/>
      <c r="M848" s="255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  <c r="Y848" s="255"/>
      <c r="Z848" s="255"/>
      <c r="AA848" s="255"/>
    </row>
    <row r="849">
      <c r="A849" s="253"/>
      <c r="B849" s="253"/>
      <c r="C849" s="253"/>
      <c r="D849" s="253"/>
      <c r="E849" s="253"/>
      <c r="F849" s="255"/>
      <c r="G849" s="255"/>
      <c r="H849" s="255"/>
      <c r="I849" s="255"/>
      <c r="J849" s="255"/>
      <c r="K849" s="255"/>
      <c r="L849" s="255"/>
      <c r="M849" s="255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  <c r="Y849" s="255"/>
      <c r="Z849" s="255"/>
      <c r="AA849" s="255"/>
    </row>
    <row r="850">
      <c r="A850" s="253"/>
      <c r="B850" s="253"/>
      <c r="C850" s="253"/>
      <c r="D850" s="253"/>
      <c r="E850" s="253"/>
      <c r="F850" s="255"/>
      <c r="G850" s="255"/>
      <c r="H850" s="255"/>
      <c r="I850" s="255"/>
      <c r="J850" s="255"/>
      <c r="K850" s="255"/>
      <c r="L850" s="255"/>
      <c r="M850" s="255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  <c r="Y850" s="255"/>
      <c r="Z850" s="255"/>
      <c r="AA850" s="255"/>
    </row>
    <row r="851">
      <c r="A851" s="253"/>
      <c r="B851" s="253"/>
      <c r="C851" s="253"/>
      <c r="D851" s="253"/>
      <c r="E851" s="253"/>
      <c r="F851" s="255"/>
      <c r="G851" s="255"/>
      <c r="H851" s="255"/>
      <c r="I851" s="255"/>
      <c r="J851" s="255"/>
      <c r="K851" s="255"/>
      <c r="L851" s="255"/>
      <c r="M851" s="255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  <c r="Y851" s="255"/>
      <c r="Z851" s="255"/>
      <c r="AA851" s="255"/>
    </row>
    <row r="852">
      <c r="A852" s="253"/>
      <c r="B852" s="253"/>
      <c r="C852" s="253"/>
      <c r="D852" s="253"/>
      <c r="E852" s="253"/>
      <c r="F852" s="255"/>
      <c r="G852" s="255"/>
      <c r="H852" s="255"/>
      <c r="I852" s="255"/>
      <c r="J852" s="255"/>
      <c r="K852" s="255"/>
      <c r="L852" s="255"/>
      <c r="M852" s="255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  <c r="Y852" s="255"/>
      <c r="Z852" s="255"/>
      <c r="AA852" s="255"/>
    </row>
    <row r="853">
      <c r="A853" s="253"/>
      <c r="B853" s="253"/>
      <c r="C853" s="253"/>
      <c r="D853" s="253"/>
      <c r="E853" s="253"/>
      <c r="F853" s="255"/>
      <c r="G853" s="255"/>
      <c r="H853" s="255"/>
      <c r="I853" s="255"/>
      <c r="J853" s="255"/>
      <c r="K853" s="255"/>
      <c r="L853" s="255"/>
      <c r="M853" s="255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  <c r="Y853" s="255"/>
      <c r="Z853" s="255"/>
      <c r="AA853" s="255"/>
    </row>
    <row r="854">
      <c r="A854" s="253"/>
      <c r="B854" s="253"/>
      <c r="C854" s="253"/>
      <c r="D854" s="253"/>
      <c r="E854" s="253"/>
      <c r="F854" s="255"/>
      <c r="G854" s="255"/>
      <c r="H854" s="255"/>
      <c r="I854" s="255"/>
      <c r="J854" s="255"/>
      <c r="K854" s="255"/>
      <c r="L854" s="255"/>
      <c r="M854" s="255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  <c r="AA854" s="255"/>
    </row>
    <row r="855">
      <c r="A855" s="253"/>
      <c r="B855" s="253"/>
      <c r="C855" s="253"/>
      <c r="D855" s="253"/>
      <c r="E855" s="253"/>
      <c r="F855" s="255"/>
      <c r="G855" s="255"/>
      <c r="H855" s="255"/>
      <c r="I855" s="255"/>
      <c r="J855" s="255"/>
      <c r="K855" s="255"/>
      <c r="L855" s="255"/>
      <c r="M855" s="255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  <c r="Y855" s="255"/>
      <c r="Z855" s="255"/>
      <c r="AA855" s="255"/>
    </row>
    <row r="856">
      <c r="A856" s="253"/>
      <c r="B856" s="253"/>
      <c r="C856" s="253"/>
      <c r="D856" s="253"/>
      <c r="E856" s="253"/>
      <c r="F856" s="255"/>
      <c r="G856" s="255"/>
      <c r="H856" s="255"/>
      <c r="I856" s="255"/>
      <c r="J856" s="255"/>
      <c r="K856" s="255"/>
      <c r="L856" s="255"/>
      <c r="M856" s="255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  <c r="Y856" s="255"/>
      <c r="Z856" s="255"/>
      <c r="AA856" s="255"/>
    </row>
    <row r="857">
      <c r="A857" s="253"/>
      <c r="B857" s="253"/>
      <c r="C857" s="253"/>
      <c r="D857" s="253"/>
      <c r="E857" s="253"/>
      <c r="F857" s="255"/>
      <c r="G857" s="255"/>
      <c r="H857" s="255"/>
      <c r="I857" s="255"/>
      <c r="J857" s="255"/>
      <c r="K857" s="255"/>
      <c r="L857" s="255"/>
      <c r="M857" s="255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  <c r="Y857" s="255"/>
      <c r="Z857" s="255"/>
      <c r="AA857" s="255"/>
    </row>
    <row r="858">
      <c r="A858" s="253"/>
      <c r="B858" s="253"/>
      <c r="C858" s="253"/>
      <c r="D858" s="253"/>
      <c r="E858" s="253"/>
      <c r="F858" s="255"/>
      <c r="G858" s="255"/>
      <c r="H858" s="255"/>
      <c r="I858" s="255"/>
      <c r="J858" s="255"/>
      <c r="K858" s="255"/>
      <c r="L858" s="255"/>
      <c r="M858" s="255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  <c r="Y858" s="255"/>
      <c r="Z858" s="255"/>
      <c r="AA858" s="255"/>
    </row>
    <row r="859">
      <c r="A859" s="253"/>
      <c r="B859" s="253"/>
      <c r="C859" s="253"/>
      <c r="D859" s="253"/>
      <c r="E859" s="253"/>
      <c r="F859" s="255"/>
      <c r="G859" s="255"/>
      <c r="H859" s="255"/>
      <c r="I859" s="255"/>
      <c r="J859" s="255"/>
      <c r="K859" s="255"/>
      <c r="L859" s="255"/>
      <c r="M859" s="255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  <c r="Y859" s="255"/>
      <c r="Z859" s="255"/>
      <c r="AA859" s="255"/>
    </row>
    <row r="860">
      <c r="A860" s="253"/>
      <c r="B860" s="253"/>
      <c r="C860" s="253"/>
      <c r="D860" s="253"/>
      <c r="E860" s="253"/>
      <c r="F860" s="255"/>
      <c r="G860" s="255"/>
      <c r="H860" s="255"/>
      <c r="I860" s="255"/>
      <c r="J860" s="255"/>
      <c r="K860" s="255"/>
      <c r="L860" s="255"/>
      <c r="M860" s="255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  <c r="Y860" s="255"/>
      <c r="Z860" s="255"/>
      <c r="AA860" s="255"/>
    </row>
    <row r="861">
      <c r="A861" s="253"/>
      <c r="B861" s="253"/>
      <c r="C861" s="253"/>
      <c r="D861" s="253"/>
      <c r="E861" s="253"/>
      <c r="F861" s="255"/>
      <c r="G861" s="255"/>
      <c r="H861" s="255"/>
      <c r="I861" s="255"/>
      <c r="J861" s="255"/>
      <c r="K861" s="255"/>
      <c r="L861" s="255"/>
      <c r="M861" s="255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  <c r="Y861" s="255"/>
      <c r="Z861" s="255"/>
      <c r="AA861" s="255"/>
    </row>
    <row r="862">
      <c r="A862" s="253"/>
      <c r="B862" s="253"/>
      <c r="C862" s="253"/>
      <c r="D862" s="253"/>
      <c r="E862" s="253"/>
      <c r="F862" s="255"/>
      <c r="G862" s="255"/>
      <c r="H862" s="255"/>
      <c r="I862" s="255"/>
      <c r="J862" s="255"/>
      <c r="K862" s="255"/>
      <c r="L862" s="255"/>
      <c r="M862" s="255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  <c r="Y862" s="255"/>
      <c r="Z862" s="255"/>
      <c r="AA862" s="255"/>
    </row>
    <row r="863">
      <c r="A863" s="253"/>
      <c r="B863" s="253"/>
      <c r="C863" s="253"/>
      <c r="D863" s="253"/>
      <c r="E863" s="253"/>
      <c r="F863" s="255"/>
      <c r="G863" s="255"/>
      <c r="H863" s="255"/>
      <c r="I863" s="255"/>
      <c r="J863" s="255"/>
      <c r="K863" s="255"/>
      <c r="L863" s="255"/>
      <c r="M863" s="255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  <c r="Y863" s="255"/>
      <c r="Z863" s="255"/>
      <c r="AA863" s="255"/>
    </row>
    <row r="864">
      <c r="A864" s="253"/>
      <c r="B864" s="253"/>
      <c r="C864" s="253"/>
      <c r="D864" s="253"/>
      <c r="E864" s="253"/>
      <c r="F864" s="255"/>
      <c r="G864" s="255"/>
      <c r="H864" s="255"/>
      <c r="I864" s="255"/>
      <c r="J864" s="255"/>
      <c r="K864" s="255"/>
      <c r="L864" s="255"/>
      <c r="M864" s="255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  <c r="Y864" s="255"/>
      <c r="Z864" s="255"/>
      <c r="AA864" s="255"/>
    </row>
    <row r="865">
      <c r="A865" s="253"/>
      <c r="B865" s="253"/>
      <c r="C865" s="253"/>
      <c r="D865" s="253"/>
      <c r="E865" s="253"/>
      <c r="F865" s="255"/>
      <c r="G865" s="255"/>
      <c r="H865" s="255"/>
      <c r="I865" s="255"/>
      <c r="J865" s="255"/>
      <c r="K865" s="255"/>
      <c r="L865" s="255"/>
      <c r="M865" s="255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  <c r="AA865" s="255"/>
    </row>
    <row r="866">
      <c r="A866" s="253"/>
      <c r="B866" s="253"/>
      <c r="C866" s="253"/>
      <c r="D866" s="253"/>
      <c r="E866" s="253"/>
      <c r="F866" s="255"/>
      <c r="G866" s="255"/>
      <c r="H866" s="255"/>
      <c r="I866" s="255"/>
      <c r="J866" s="255"/>
      <c r="K866" s="255"/>
      <c r="L866" s="255"/>
      <c r="M866" s="255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  <c r="Y866" s="255"/>
      <c r="Z866" s="255"/>
      <c r="AA866" s="255"/>
    </row>
    <row r="867">
      <c r="A867" s="253"/>
      <c r="B867" s="253"/>
      <c r="C867" s="253"/>
      <c r="D867" s="253"/>
      <c r="E867" s="253"/>
      <c r="F867" s="255"/>
      <c r="G867" s="255"/>
      <c r="H867" s="255"/>
      <c r="I867" s="255"/>
      <c r="J867" s="255"/>
      <c r="K867" s="255"/>
      <c r="L867" s="255"/>
      <c r="M867" s="255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  <c r="Y867" s="255"/>
      <c r="Z867" s="255"/>
      <c r="AA867" s="255"/>
    </row>
    <row r="868">
      <c r="A868" s="253"/>
      <c r="B868" s="253"/>
      <c r="C868" s="253"/>
      <c r="D868" s="253"/>
      <c r="E868" s="253"/>
      <c r="F868" s="255"/>
      <c r="G868" s="255"/>
      <c r="H868" s="255"/>
      <c r="I868" s="255"/>
      <c r="J868" s="255"/>
      <c r="K868" s="255"/>
      <c r="L868" s="255"/>
      <c r="M868" s="255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  <c r="Y868" s="255"/>
      <c r="Z868" s="255"/>
      <c r="AA868" s="255"/>
    </row>
    <row r="869">
      <c r="A869" s="253"/>
      <c r="B869" s="253"/>
      <c r="C869" s="253"/>
      <c r="D869" s="253"/>
      <c r="E869" s="253"/>
      <c r="F869" s="255"/>
      <c r="G869" s="255"/>
      <c r="H869" s="255"/>
      <c r="I869" s="255"/>
      <c r="J869" s="255"/>
      <c r="K869" s="255"/>
      <c r="L869" s="255"/>
      <c r="M869" s="255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  <c r="Y869" s="255"/>
      <c r="Z869" s="255"/>
      <c r="AA869" s="255"/>
    </row>
    <row r="870">
      <c r="A870" s="253"/>
      <c r="B870" s="253"/>
      <c r="C870" s="253"/>
      <c r="D870" s="253"/>
      <c r="E870" s="253"/>
      <c r="F870" s="255"/>
      <c r="G870" s="255"/>
      <c r="H870" s="255"/>
      <c r="I870" s="255"/>
      <c r="J870" s="255"/>
      <c r="K870" s="255"/>
      <c r="L870" s="255"/>
      <c r="M870" s="255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  <c r="Y870" s="255"/>
      <c r="Z870" s="255"/>
      <c r="AA870" s="255"/>
    </row>
    <row r="871">
      <c r="A871" s="253"/>
      <c r="B871" s="253"/>
      <c r="C871" s="253"/>
      <c r="D871" s="253"/>
      <c r="E871" s="253"/>
      <c r="F871" s="255"/>
      <c r="G871" s="255"/>
      <c r="H871" s="255"/>
      <c r="I871" s="255"/>
      <c r="J871" s="255"/>
      <c r="K871" s="255"/>
      <c r="L871" s="255"/>
      <c r="M871" s="255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  <c r="Y871" s="255"/>
      <c r="Z871" s="255"/>
      <c r="AA871" s="255"/>
    </row>
    <row r="872">
      <c r="A872" s="253"/>
      <c r="B872" s="253"/>
      <c r="C872" s="253"/>
      <c r="D872" s="253"/>
      <c r="E872" s="253"/>
      <c r="F872" s="255"/>
      <c r="G872" s="255"/>
      <c r="H872" s="255"/>
      <c r="I872" s="255"/>
      <c r="J872" s="255"/>
      <c r="K872" s="255"/>
      <c r="L872" s="255"/>
      <c r="M872" s="255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  <c r="Y872" s="255"/>
      <c r="Z872" s="255"/>
      <c r="AA872" s="255"/>
    </row>
    <row r="873">
      <c r="A873" s="253"/>
      <c r="B873" s="253"/>
      <c r="C873" s="253"/>
      <c r="D873" s="253"/>
      <c r="E873" s="253"/>
      <c r="F873" s="255"/>
      <c r="G873" s="255"/>
      <c r="H873" s="255"/>
      <c r="I873" s="255"/>
      <c r="J873" s="255"/>
      <c r="K873" s="255"/>
      <c r="L873" s="255"/>
      <c r="M873" s="255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  <c r="Y873" s="255"/>
      <c r="Z873" s="255"/>
      <c r="AA873" s="255"/>
    </row>
    <row r="874">
      <c r="A874" s="253"/>
      <c r="B874" s="253"/>
      <c r="C874" s="253"/>
      <c r="D874" s="253"/>
      <c r="E874" s="253"/>
      <c r="F874" s="255"/>
      <c r="G874" s="255"/>
      <c r="H874" s="255"/>
      <c r="I874" s="255"/>
      <c r="J874" s="255"/>
      <c r="K874" s="255"/>
      <c r="L874" s="255"/>
      <c r="M874" s="255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  <c r="Y874" s="255"/>
      <c r="Z874" s="255"/>
      <c r="AA874" s="255"/>
    </row>
    <row r="875">
      <c r="A875" s="253"/>
      <c r="B875" s="253"/>
      <c r="C875" s="253"/>
      <c r="D875" s="253"/>
      <c r="E875" s="253"/>
      <c r="F875" s="255"/>
      <c r="G875" s="255"/>
      <c r="H875" s="255"/>
      <c r="I875" s="255"/>
      <c r="J875" s="255"/>
      <c r="K875" s="255"/>
      <c r="L875" s="255"/>
      <c r="M875" s="255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  <c r="Y875" s="255"/>
      <c r="Z875" s="255"/>
      <c r="AA875" s="255"/>
    </row>
    <row r="876">
      <c r="A876" s="253"/>
      <c r="B876" s="253"/>
      <c r="C876" s="253"/>
      <c r="D876" s="253"/>
      <c r="E876" s="253"/>
      <c r="F876" s="255"/>
      <c r="G876" s="255"/>
      <c r="H876" s="255"/>
      <c r="I876" s="255"/>
      <c r="J876" s="255"/>
      <c r="K876" s="255"/>
      <c r="L876" s="255"/>
      <c r="M876" s="255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  <c r="AA876" s="255"/>
    </row>
    <row r="877">
      <c r="A877" s="253"/>
      <c r="B877" s="253"/>
      <c r="C877" s="253"/>
      <c r="D877" s="253"/>
      <c r="E877" s="253"/>
      <c r="F877" s="255"/>
      <c r="G877" s="255"/>
      <c r="H877" s="255"/>
      <c r="I877" s="255"/>
      <c r="J877" s="255"/>
      <c r="K877" s="255"/>
      <c r="L877" s="255"/>
      <c r="M877" s="255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  <c r="Y877" s="255"/>
      <c r="Z877" s="255"/>
      <c r="AA877" s="255"/>
    </row>
    <row r="878">
      <c r="A878" s="253"/>
      <c r="B878" s="253"/>
      <c r="C878" s="253"/>
      <c r="D878" s="253"/>
      <c r="E878" s="253"/>
      <c r="F878" s="255"/>
      <c r="G878" s="255"/>
      <c r="H878" s="255"/>
      <c r="I878" s="255"/>
      <c r="J878" s="255"/>
      <c r="K878" s="255"/>
      <c r="L878" s="255"/>
      <c r="M878" s="255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  <c r="Y878" s="255"/>
      <c r="Z878" s="255"/>
      <c r="AA878" s="255"/>
    </row>
    <row r="879">
      <c r="A879" s="253"/>
      <c r="B879" s="253"/>
      <c r="C879" s="253"/>
      <c r="D879" s="253"/>
      <c r="E879" s="253"/>
      <c r="F879" s="255"/>
      <c r="G879" s="255"/>
      <c r="H879" s="255"/>
      <c r="I879" s="255"/>
      <c r="J879" s="255"/>
      <c r="K879" s="255"/>
      <c r="L879" s="255"/>
      <c r="M879" s="255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  <c r="Y879" s="255"/>
      <c r="Z879" s="255"/>
      <c r="AA879" s="255"/>
    </row>
    <row r="880">
      <c r="A880" s="253"/>
      <c r="B880" s="253"/>
      <c r="C880" s="253"/>
      <c r="D880" s="253"/>
      <c r="E880" s="253"/>
      <c r="F880" s="255"/>
      <c r="G880" s="255"/>
      <c r="H880" s="255"/>
      <c r="I880" s="255"/>
      <c r="J880" s="255"/>
      <c r="K880" s="255"/>
      <c r="L880" s="255"/>
      <c r="M880" s="255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  <c r="Y880" s="255"/>
      <c r="Z880" s="255"/>
      <c r="AA880" s="255"/>
    </row>
    <row r="881">
      <c r="A881" s="253"/>
      <c r="B881" s="253"/>
      <c r="C881" s="253"/>
      <c r="D881" s="253"/>
      <c r="E881" s="253"/>
      <c r="F881" s="255"/>
      <c r="G881" s="255"/>
      <c r="H881" s="255"/>
      <c r="I881" s="255"/>
      <c r="J881" s="255"/>
      <c r="K881" s="255"/>
      <c r="L881" s="255"/>
      <c r="M881" s="255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  <c r="Y881" s="255"/>
      <c r="Z881" s="255"/>
      <c r="AA881" s="255"/>
    </row>
    <row r="882">
      <c r="A882" s="253"/>
      <c r="B882" s="253"/>
      <c r="C882" s="253"/>
      <c r="D882" s="253"/>
      <c r="E882" s="253"/>
      <c r="F882" s="255"/>
      <c r="G882" s="255"/>
      <c r="H882" s="255"/>
      <c r="I882" s="255"/>
      <c r="J882" s="255"/>
      <c r="K882" s="255"/>
      <c r="L882" s="255"/>
      <c r="M882" s="255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  <c r="AA882" s="255"/>
    </row>
    <row r="883">
      <c r="A883" s="253"/>
      <c r="B883" s="253"/>
      <c r="C883" s="253"/>
      <c r="D883" s="253"/>
      <c r="E883" s="253"/>
      <c r="F883" s="255"/>
      <c r="G883" s="255"/>
      <c r="H883" s="255"/>
      <c r="I883" s="255"/>
      <c r="J883" s="255"/>
      <c r="K883" s="255"/>
      <c r="L883" s="255"/>
      <c r="M883" s="255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  <c r="Y883" s="255"/>
      <c r="Z883" s="255"/>
      <c r="AA883" s="255"/>
    </row>
    <row r="884">
      <c r="A884" s="253"/>
      <c r="B884" s="253"/>
      <c r="C884" s="253"/>
      <c r="D884" s="253"/>
      <c r="E884" s="253"/>
      <c r="F884" s="255"/>
      <c r="G884" s="255"/>
      <c r="H884" s="255"/>
      <c r="I884" s="255"/>
      <c r="J884" s="255"/>
      <c r="K884" s="255"/>
      <c r="L884" s="255"/>
      <c r="M884" s="255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  <c r="Y884" s="255"/>
      <c r="Z884" s="255"/>
      <c r="AA884" s="255"/>
    </row>
    <row r="885">
      <c r="A885" s="253"/>
      <c r="B885" s="253"/>
      <c r="C885" s="253"/>
      <c r="D885" s="253"/>
      <c r="E885" s="253"/>
      <c r="F885" s="255"/>
      <c r="G885" s="255"/>
      <c r="H885" s="255"/>
      <c r="I885" s="255"/>
      <c r="J885" s="255"/>
      <c r="K885" s="255"/>
      <c r="L885" s="255"/>
      <c r="M885" s="255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  <c r="Y885" s="255"/>
      <c r="Z885" s="255"/>
      <c r="AA885" s="255"/>
    </row>
    <row r="886">
      <c r="A886" s="253"/>
      <c r="B886" s="253"/>
      <c r="C886" s="253"/>
      <c r="D886" s="253"/>
      <c r="E886" s="253"/>
      <c r="F886" s="255"/>
      <c r="G886" s="255"/>
      <c r="H886" s="255"/>
      <c r="I886" s="255"/>
      <c r="J886" s="255"/>
      <c r="K886" s="255"/>
      <c r="L886" s="255"/>
      <c r="M886" s="255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  <c r="Y886" s="255"/>
      <c r="Z886" s="255"/>
      <c r="AA886" s="255"/>
    </row>
    <row r="887">
      <c r="A887" s="253"/>
      <c r="B887" s="253"/>
      <c r="C887" s="253"/>
      <c r="D887" s="253"/>
      <c r="E887" s="253"/>
      <c r="F887" s="255"/>
      <c r="G887" s="255"/>
      <c r="H887" s="255"/>
      <c r="I887" s="255"/>
      <c r="J887" s="255"/>
      <c r="K887" s="255"/>
      <c r="L887" s="255"/>
      <c r="M887" s="255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  <c r="AA887" s="255"/>
    </row>
    <row r="888">
      <c r="A888" s="253"/>
      <c r="B888" s="253"/>
      <c r="C888" s="253"/>
      <c r="D888" s="253"/>
      <c r="E888" s="253"/>
      <c r="F888" s="255"/>
      <c r="G888" s="255"/>
      <c r="H888" s="255"/>
      <c r="I888" s="255"/>
      <c r="J888" s="255"/>
      <c r="K888" s="255"/>
      <c r="L888" s="255"/>
      <c r="M888" s="255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  <c r="Y888" s="255"/>
      <c r="Z888" s="255"/>
      <c r="AA888" s="255"/>
    </row>
    <row r="889">
      <c r="A889" s="253"/>
      <c r="B889" s="253"/>
      <c r="C889" s="253"/>
      <c r="D889" s="253"/>
      <c r="E889" s="253"/>
      <c r="F889" s="255"/>
      <c r="G889" s="255"/>
      <c r="H889" s="255"/>
      <c r="I889" s="255"/>
      <c r="J889" s="255"/>
      <c r="K889" s="255"/>
      <c r="L889" s="255"/>
      <c r="M889" s="255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  <c r="Y889" s="255"/>
      <c r="Z889" s="255"/>
      <c r="AA889" s="255"/>
    </row>
    <row r="890">
      <c r="A890" s="253"/>
      <c r="B890" s="253"/>
      <c r="C890" s="253"/>
      <c r="D890" s="253"/>
      <c r="E890" s="253"/>
      <c r="F890" s="255"/>
      <c r="G890" s="255"/>
      <c r="H890" s="255"/>
      <c r="I890" s="255"/>
      <c r="J890" s="255"/>
      <c r="K890" s="255"/>
      <c r="L890" s="255"/>
      <c r="M890" s="255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  <c r="Y890" s="255"/>
      <c r="Z890" s="255"/>
      <c r="AA890" s="255"/>
    </row>
    <row r="891">
      <c r="A891" s="253"/>
      <c r="B891" s="253"/>
      <c r="C891" s="253"/>
      <c r="D891" s="253"/>
      <c r="E891" s="253"/>
      <c r="F891" s="255"/>
      <c r="G891" s="255"/>
      <c r="H891" s="255"/>
      <c r="I891" s="255"/>
      <c r="J891" s="255"/>
      <c r="K891" s="255"/>
      <c r="L891" s="255"/>
      <c r="M891" s="255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  <c r="Y891" s="255"/>
      <c r="Z891" s="255"/>
      <c r="AA891" s="255"/>
    </row>
    <row r="892">
      <c r="A892" s="253"/>
      <c r="B892" s="253"/>
      <c r="C892" s="253"/>
      <c r="D892" s="253"/>
      <c r="E892" s="253"/>
      <c r="F892" s="255"/>
      <c r="G892" s="255"/>
      <c r="H892" s="255"/>
      <c r="I892" s="255"/>
      <c r="J892" s="255"/>
      <c r="K892" s="255"/>
      <c r="L892" s="255"/>
      <c r="M892" s="255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  <c r="Y892" s="255"/>
      <c r="Z892" s="255"/>
      <c r="AA892" s="255"/>
    </row>
    <row r="893">
      <c r="A893" s="253"/>
      <c r="B893" s="253"/>
      <c r="C893" s="253"/>
      <c r="D893" s="253"/>
      <c r="E893" s="253"/>
      <c r="F893" s="255"/>
      <c r="G893" s="255"/>
      <c r="H893" s="255"/>
      <c r="I893" s="255"/>
      <c r="J893" s="255"/>
      <c r="K893" s="255"/>
      <c r="L893" s="255"/>
      <c r="M893" s="255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  <c r="Y893" s="255"/>
      <c r="Z893" s="255"/>
      <c r="AA893" s="255"/>
    </row>
    <row r="894">
      <c r="A894" s="253"/>
      <c r="B894" s="253"/>
      <c r="C894" s="253"/>
      <c r="D894" s="253"/>
      <c r="E894" s="253"/>
      <c r="F894" s="255"/>
      <c r="G894" s="255"/>
      <c r="H894" s="255"/>
      <c r="I894" s="255"/>
      <c r="J894" s="255"/>
      <c r="K894" s="255"/>
      <c r="L894" s="255"/>
      <c r="M894" s="255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  <c r="Y894" s="255"/>
      <c r="Z894" s="255"/>
      <c r="AA894" s="255"/>
    </row>
    <row r="895">
      <c r="A895" s="253"/>
      <c r="B895" s="253"/>
      <c r="C895" s="253"/>
      <c r="D895" s="253"/>
      <c r="E895" s="253"/>
      <c r="F895" s="255"/>
      <c r="G895" s="255"/>
      <c r="H895" s="255"/>
      <c r="I895" s="255"/>
      <c r="J895" s="255"/>
      <c r="K895" s="255"/>
      <c r="L895" s="255"/>
      <c r="M895" s="255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  <c r="Y895" s="255"/>
      <c r="Z895" s="255"/>
      <c r="AA895" s="255"/>
    </row>
    <row r="896">
      <c r="A896" s="253"/>
      <c r="B896" s="253"/>
      <c r="C896" s="253"/>
      <c r="D896" s="253"/>
      <c r="E896" s="253"/>
      <c r="F896" s="255"/>
      <c r="G896" s="255"/>
      <c r="H896" s="255"/>
      <c r="I896" s="255"/>
      <c r="J896" s="255"/>
      <c r="K896" s="255"/>
      <c r="L896" s="255"/>
      <c r="M896" s="255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  <c r="Y896" s="255"/>
      <c r="Z896" s="255"/>
      <c r="AA896" s="255"/>
    </row>
    <row r="897">
      <c r="A897" s="253"/>
      <c r="B897" s="253"/>
      <c r="C897" s="253"/>
      <c r="D897" s="253"/>
      <c r="E897" s="253"/>
      <c r="F897" s="255"/>
      <c r="G897" s="255"/>
      <c r="H897" s="255"/>
      <c r="I897" s="255"/>
      <c r="J897" s="255"/>
      <c r="K897" s="255"/>
      <c r="L897" s="255"/>
      <c r="M897" s="255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  <c r="Y897" s="255"/>
      <c r="Z897" s="255"/>
      <c r="AA897" s="255"/>
    </row>
    <row r="898">
      <c r="A898" s="253"/>
      <c r="B898" s="253"/>
      <c r="C898" s="253"/>
      <c r="D898" s="253"/>
      <c r="E898" s="253"/>
      <c r="F898" s="255"/>
      <c r="G898" s="255"/>
      <c r="H898" s="255"/>
      <c r="I898" s="255"/>
      <c r="J898" s="255"/>
      <c r="K898" s="255"/>
      <c r="L898" s="255"/>
      <c r="M898" s="255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  <c r="AA898" s="255"/>
    </row>
    <row r="899">
      <c r="A899" s="253"/>
      <c r="B899" s="253"/>
      <c r="C899" s="253"/>
      <c r="D899" s="253"/>
      <c r="E899" s="253"/>
      <c r="F899" s="255"/>
      <c r="G899" s="255"/>
      <c r="H899" s="255"/>
      <c r="I899" s="255"/>
      <c r="J899" s="255"/>
      <c r="K899" s="255"/>
      <c r="L899" s="255"/>
      <c r="M899" s="255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  <c r="Y899" s="255"/>
      <c r="Z899" s="255"/>
      <c r="AA899" s="255"/>
    </row>
    <row r="900">
      <c r="A900" s="253"/>
      <c r="B900" s="253"/>
      <c r="C900" s="253"/>
      <c r="D900" s="253"/>
      <c r="E900" s="253"/>
      <c r="F900" s="255"/>
      <c r="G900" s="255"/>
      <c r="H900" s="255"/>
      <c r="I900" s="255"/>
      <c r="J900" s="255"/>
      <c r="K900" s="255"/>
      <c r="L900" s="255"/>
      <c r="M900" s="255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  <c r="Y900" s="255"/>
      <c r="Z900" s="255"/>
      <c r="AA900" s="255"/>
    </row>
    <row r="901">
      <c r="A901" s="253"/>
      <c r="B901" s="253"/>
      <c r="C901" s="253"/>
      <c r="D901" s="253"/>
      <c r="E901" s="253"/>
      <c r="F901" s="255"/>
      <c r="G901" s="255"/>
      <c r="H901" s="255"/>
      <c r="I901" s="255"/>
      <c r="J901" s="255"/>
      <c r="K901" s="255"/>
      <c r="L901" s="255"/>
      <c r="M901" s="255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  <c r="Y901" s="255"/>
      <c r="Z901" s="255"/>
      <c r="AA901" s="255"/>
    </row>
    <row r="902">
      <c r="A902" s="253"/>
      <c r="B902" s="253"/>
      <c r="C902" s="253"/>
      <c r="D902" s="253"/>
      <c r="E902" s="253"/>
      <c r="F902" s="255"/>
      <c r="G902" s="255"/>
      <c r="H902" s="255"/>
      <c r="I902" s="255"/>
      <c r="J902" s="255"/>
      <c r="K902" s="255"/>
      <c r="L902" s="255"/>
      <c r="M902" s="255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  <c r="Y902" s="255"/>
      <c r="Z902" s="255"/>
      <c r="AA902" s="255"/>
    </row>
    <row r="903">
      <c r="A903" s="253"/>
      <c r="B903" s="253"/>
      <c r="C903" s="253"/>
      <c r="D903" s="253"/>
      <c r="E903" s="253"/>
      <c r="F903" s="255"/>
      <c r="G903" s="255"/>
      <c r="H903" s="255"/>
      <c r="I903" s="255"/>
      <c r="J903" s="255"/>
      <c r="K903" s="255"/>
      <c r="L903" s="255"/>
      <c r="M903" s="255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  <c r="Y903" s="255"/>
      <c r="Z903" s="255"/>
      <c r="AA903" s="255"/>
    </row>
    <row r="904">
      <c r="A904" s="253"/>
      <c r="B904" s="253"/>
      <c r="C904" s="253"/>
      <c r="D904" s="253"/>
      <c r="E904" s="253"/>
      <c r="F904" s="255"/>
      <c r="G904" s="255"/>
      <c r="H904" s="255"/>
      <c r="I904" s="255"/>
      <c r="J904" s="255"/>
      <c r="K904" s="255"/>
      <c r="L904" s="255"/>
      <c r="M904" s="255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  <c r="Y904" s="255"/>
      <c r="Z904" s="255"/>
      <c r="AA904" s="255"/>
    </row>
    <row r="905">
      <c r="A905" s="253"/>
      <c r="B905" s="253"/>
      <c r="C905" s="253"/>
      <c r="D905" s="253"/>
      <c r="E905" s="253"/>
      <c r="F905" s="255"/>
      <c r="G905" s="255"/>
      <c r="H905" s="255"/>
      <c r="I905" s="255"/>
      <c r="J905" s="255"/>
      <c r="K905" s="255"/>
      <c r="L905" s="255"/>
      <c r="M905" s="255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  <c r="Y905" s="255"/>
      <c r="Z905" s="255"/>
      <c r="AA905" s="255"/>
    </row>
    <row r="906">
      <c r="A906" s="253"/>
      <c r="B906" s="253"/>
      <c r="C906" s="253"/>
      <c r="D906" s="253"/>
      <c r="E906" s="253"/>
      <c r="F906" s="255"/>
      <c r="G906" s="255"/>
      <c r="H906" s="255"/>
      <c r="I906" s="255"/>
      <c r="J906" s="255"/>
      <c r="K906" s="255"/>
      <c r="L906" s="255"/>
      <c r="M906" s="255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  <c r="AA906" s="255"/>
    </row>
    <row r="907">
      <c r="A907" s="253"/>
      <c r="B907" s="253"/>
      <c r="C907" s="253"/>
      <c r="D907" s="253"/>
      <c r="E907" s="253"/>
      <c r="F907" s="255"/>
      <c r="G907" s="255"/>
      <c r="H907" s="255"/>
      <c r="I907" s="255"/>
      <c r="J907" s="255"/>
      <c r="K907" s="255"/>
      <c r="L907" s="255"/>
      <c r="M907" s="255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  <c r="Y907" s="255"/>
      <c r="Z907" s="255"/>
      <c r="AA907" s="255"/>
    </row>
    <row r="908">
      <c r="A908" s="253"/>
      <c r="B908" s="253"/>
      <c r="C908" s="253"/>
      <c r="D908" s="253"/>
      <c r="E908" s="253"/>
      <c r="F908" s="255"/>
      <c r="G908" s="255"/>
      <c r="H908" s="255"/>
      <c r="I908" s="255"/>
      <c r="J908" s="255"/>
      <c r="K908" s="255"/>
      <c r="L908" s="255"/>
      <c r="M908" s="255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  <c r="Y908" s="255"/>
      <c r="Z908" s="255"/>
      <c r="AA908" s="255"/>
    </row>
    <row r="909">
      <c r="A909" s="253"/>
      <c r="B909" s="253"/>
      <c r="C909" s="253"/>
      <c r="D909" s="253"/>
      <c r="E909" s="253"/>
      <c r="F909" s="255"/>
      <c r="G909" s="255"/>
      <c r="H909" s="255"/>
      <c r="I909" s="255"/>
      <c r="J909" s="255"/>
      <c r="K909" s="255"/>
      <c r="L909" s="255"/>
      <c r="M909" s="255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  <c r="AA909" s="255"/>
    </row>
    <row r="910">
      <c r="A910" s="253"/>
      <c r="B910" s="253"/>
      <c r="C910" s="253"/>
      <c r="D910" s="253"/>
      <c r="E910" s="253"/>
      <c r="F910" s="255"/>
      <c r="G910" s="255"/>
      <c r="H910" s="255"/>
      <c r="I910" s="255"/>
      <c r="J910" s="255"/>
      <c r="K910" s="255"/>
      <c r="L910" s="255"/>
      <c r="M910" s="255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  <c r="Y910" s="255"/>
      <c r="Z910" s="255"/>
      <c r="AA910" s="255"/>
    </row>
    <row r="911">
      <c r="A911" s="253"/>
      <c r="B911" s="253"/>
      <c r="C911" s="253"/>
      <c r="D911" s="253"/>
      <c r="E911" s="253"/>
      <c r="F911" s="255"/>
      <c r="G911" s="255"/>
      <c r="H911" s="255"/>
      <c r="I911" s="255"/>
      <c r="J911" s="255"/>
      <c r="K911" s="255"/>
      <c r="L911" s="255"/>
      <c r="M911" s="255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  <c r="Y911" s="255"/>
      <c r="Z911" s="255"/>
      <c r="AA911" s="255"/>
    </row>
    <row r="912">
      <c r="A912" s="253"/>
      <c r="B912" s="253"/>
      <c r="C912" s="253"/>
      <c r="D912" s="253"/>
      <c r="E912" s="253"/>
      <c r="F912" s="255"/>
      <c r="G912" s="255"/>
      <c r="H912" s="255"/>
      <c r="I912" s="255"/>
      <c r="J912" s="255"/>
      <c r="K912" s="255"/>
      <c r="L912" s="255"/>
      <c r="M912" s="255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  <c r="Y912" s="255"/>
      <c r="Z912" s="255"/>
      <c r="AA912" s="255"/>
    </row>
    <row r="913">
      <c r="A913" s="253"/>
      <c r="B913" s="253"/>
      <c r="C913" s="253"/>
      <c r="D913" s="253"/>
      <c r="E913" s="253"/>
      <c r="F913" s="255"/>
      <c r="G913" s="255"/>
      <c r="H913" s="255"/>
      <c r="I913" s="255"/>
      <c r="J913" s="255"/>
      <c r="K913" s="255"/>
      <c r="L913" s="255"/>
      <c r="M913" s="255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  <c r="Y913" s="255"/>
      <c r="Z913" s="255"/>
      <c r="AA913" s="255"/>
    </row>
    <row r="914">
      <c r="A914" s="253"/>
      <c r="B914" s="253"/>
      <c r="C914" s="253"/>
      <c r="D914" s="253"/>
      <c r="E914" s="253"/>
      <c r="F914" s="255"/>
      <c r="G914" s="255"/>
      <c r="H914" s="255"/>
      <c r="I914" s="255"/>
      <c r="J914" s="255"/>
      <c r="K914" s="255"/>
      <c r="L914" s="255"/>
      <c r="M914" s="255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  <c r="Y914" s="255"/>
      <c r="Z914" s="255"/>
      <c r="AA914" s="255"/>
    </row>
    <row r="915">
      <c r="A915" s="253"/>
      <c r="B915" s="253"/>
      <c r="C915" s="253"/>
      <c r="D915" s="253"/>
      <c r="E915" s="253"/>
      <c r="F915" s="255"/>
      <c r="G915" s="255"/>
      <c r="H915" s="255"/>
      <c r="I915" s="255"/>
      <c r="J915" s="255"/>
      <c r="K915" s="255"/>
      <c r="L915" s="255"/>
      <c r="M915" s="255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  <c r="Y915" s="255"/>
      <c r="Z915" s="255"/>
      <c r="AA915" s="255"/>
    </row>
    <row r="916">
      <c r="A916" s="253"/>
      <c r="B916" s="253"/>
      <c r="C916" s="253"/>
      <c r="D916" s="253"/>
      <c r="E916" s="253"/>
      <c r="F916" s="255"/>
      <c r="G916" s="255"/>
      <c r="H916" s="255"/>
      <c r="I916" s="255"/>
      <c r="J916" s="255"/>
      <c r="K916" s="255"/>
      <c r="L916" s="255"/>
      <c r="M916" s="255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  <c r="Y916" s="255"/>
      <c r="Z916" s="255"/>
      <c r="AA916" s="255"/>
    </row>
    <row r="917">
      <c r="A917" s="253"/>
      <c r="B917" s="253"/>
      <c r="C917" s="253"/>
      <c r="D917" s="253"/>
      <c r="E917" s="253"/>
      <c r="F917" s="255"/>
      <c r="G917" s="255"/>
      <c r="H917" s="255"/>
      <c r="I917" s="255"/>
      <c r="J917" s="255"/>
      <c r="K917" s="255"/>
      <c r="L917" s="255"/>
      <c r="M917" s="255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  <c r="Y917" s="255"/>
      <c r="Z917" s="255"/>
      <c r="AA917" s="255"/>
    </row>
    <row r="918">
      <c r="A918" s="253"/>
      <c r="B918" s="253"/>
      <c r="C918" s="253"/>
      <c r="D918" s="253"/>
      <c r="E918" s="253"/>
      <c r="F918" s="255"/>
      <c r="G918" s="255"/>
      <c r="H918" s="255"/>
      <c r="I918" s="255"/>
      <c r="J918" s="255"/>
      <c r="K918" s="255"/>
      <c r="L918" s="255"/>
      <c r="M918" s="255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  <c r="Y918" s="255"/>
      <c r="Z918" s="255"/>
      <c r="AA918" s="255"/>
    </row>
    <row r="919">
      <c r="A919" s="253"/>
      <c r="B919" s="253"/>
      <c r="C919" s="253"/>
      <c r="D919" s="253"/>
      <c r="E919" s="253"/>
      <c r="F919" s="255"/>
      <c r="G919" s="255"/>
      <c r="H919" s="255"/>
      <c r="I919" s="255"/>
      <c r="J919" s="255"/>
      <c r="K919" s="255"/>
      <c r="L919" s="255"/>
      <c r="M919" s="255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  <c r="Y919" s="255"/>
      <c r="Z919" s="255"/>
      <c r="AA919" s="255"/>
    </row>
    <row r="920">
      <c r="A920" s="253"/>
      <c r="B920" s="253"/>
      <c r="C920" s="253"/>
      <c r="D920" s="253"/>
      <c r="E920" s="253"/>
      <c r="F920" s="255"/>
      <c r="G920" s="255"/>
      <c r="H920" s="255"/>
      <c r="I920" s="255"/>
      <c r="J920" s="255"/>
      <c r="K920" s="255"/>
      <c r="L920" s="255"/>
      <c r="M920" s="255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  <c r="Y920" s="255"/>
      <c r="Z920" s="255"/>
      <c r="AA920" s="255"/>
    </row>
    <row r="921">
      <c r="A921" s="253"/>
      <c r="B921" s="253"/>
      <c r="C921" s="253"/>
      <c r="D921" s="253"/>
      <c r="E921" s="253"/>
      <c r="F921" s="255"/>
      <c r="G921" s="255"/>
      <c r="H921" s="255"/>
      <c r="I921" s="255"/>
      <c r="J921" s="255"/>
      <c r="K921" s="255"/>
      <c r="L921" s="255"/>
      <c r="M921" s="255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  <c r="Y921" s="255"/>
      <c r="Z921" s="255"/>
      <c r="AA921" s="255"/>
    </row>
    <row r="922">
      <c r="A922" s="253"/>
      <c r="B922" s="253"/>
      <c r="C922" s="253"/>
      <c r="D922" s="253"/>
      <c r="E922" s="253"/>
      <c r="F922" s="255"/>
      <c r="G922" s="255"/>
      <c r="H922" s="255"/>
      <c r="I922" s="255"/>
      <c r="J922" s="255"/>
      <c r="K922" s="255"/>
      <c r="L922" s="255"/>
      <c r="M922" s="255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  <c r="Y922" s="255"/>
      <c r="Z922" s="255"/>
      <c r="AA922" s="255"/>
    </row>
    <row r="923">
      <c r="A923" s="253"/>
      <c r="B923" s="253"/>
      <c r="C923" s="253"/>
      <c r="D923" s="253"/>
      <c r="E923" s="253"/>
      <c r="F923" s="255"/>
      <c r="G923" s="255"/>
      <c r="H923" s="255"/>
      <c r="I923" s="255"/>
      <c r="J923" s="255"/>
      <c r="K923" s="255"/>
      <c r="L923" s="255"/>
      <c r="M923" s="255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  <c r="Y923" s="255"/>
      <c r="Z923" s="255"/>
      <c r="AA923" s="255"/>
    </row>
    <row r="924">
      <c r="A924" s="253"/>
      <c r="B924" s="253"/>
      <c r="C924" s="253"/>
      <c r="D924" s="253"/>
      <c r="E924" s="253"/>
      <c r="F924" s="255"/>
      <c r="G924" s="255"/>
      <c r="H924" s="255"/>
      <c r="I924" s="255"/>
      <c r="J924" s="255"/>
      <c r="K924" s="255"/>
      <c r="L924" s="255"/>
      <c r="M924" s="255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  <c r="Y924" s="255"/>
      <c r="Z924" s="255"/>
      <c r="AA924" s="255"/>
    </row>
    <row r="925">
      <c r="A925" s="253"/>
      <c r="B925" s="253"/>
      <c r="C925" s="253"/>
      <c r="D925" s="253"/>
      <c r="E925" s="253"/>
      <c r="F925" s="255"/>
      <c r="G925" s="255"/>
      <c r="H925" s="255"/>
      <c r="I925" s="255"/>
      <c r="J925" s="255"/>
      <c r="K925" s="255"/>
      <c r="L925" s="255"/>
      <c r="M925" s="255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  <c r="Y925" s="255"/>
      <c r="Z925" s="255"/>
      <c r="AA925" s="255"/>
    </row>
    <row r="926">
      <c r="A926" s="253"/>
      <c r="B926" s="253"/>
      <c r="C926" s="253"/>
      <c r="D926" s="253"/>
      <c r="E926" s="253"/>
      <c r="F926" s="255"/>
      <c r="G926" s="255"/>
      <c r="H926" s="255"/>
      <c r="I926" s="255"/>
      <c r="J926" s="255"/>
      <c r="K926" s="255"/>
      <c r="L926" s="255"/>
      <c r="M926" s="255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  <c r="Y926" s="255"/>
      <c r="Z926" s="255"/>
      <c r="AA926" s="255"/>
    </row>
    <row r="927">
      <c r="A927" s="253"/>
      <c r="B927" s="253"/>
      <c r="C927" s="253"/>
      <c r="D927" s="253"/>
      <c r="E927" s="253"/>
      <c r="F927" s="255"/>
      <c r="G927" s="255"/>
      <c r="H927" s="255"/>
      <c r="I927" s="255"/>
      <c r="J927" s="255"/>
      <c r="K927" s="255"/>
      <c r="L927" s="255"/>
      <c r="M927" s="255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  <c r="Y927" s="255"/>
      <c r="Z927" s="255"/>
      <c r="AA927" s="255"/>
    </row>
    <row r="928">
      <c r="A928" s="253"/>
      <c r="B928" s="253"/>
      <c r="C928" s="253"/>
      <c r="D928" s="253"/>
      <c r="E928" s="253"/>
      <c r="F928" s="255"/>
      <c r="G928" s="255"/>
      <c r="H928" s="255"/>
      <c r="I928" s="255"/>
      <c r="J928" s="255"/>
      <c r="K928" s="255"/>
      <c r="L928" s="255"/>
      <c r="M928" s="255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  <c r="Y928" s="255"/>
      <c r="Z928" s="255"/>
      <c r="AA928" s="255"/>
    </row>
    <row r="929">
      <c r="A929" s="253"/>
      <c r="B929" s="253"/>
      <c r="C929" s="253"/>
      <c r="D929" s="253"/>
      <c r="E929" s="253"/>
      <c r="F929" s="255"/>
      <c r="G929" s="255"/>
      <c r="H929" s="255"/>
      <c r="I929" s="255"/>
      <c r="J929" s="255"/>
      <c r="K929" s="255"/>
      <c r="L929" s="255"/>
      <c r="M929" s="255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  <c r="Y929" s="255"/>
      <c r="Z929" s="255"/>
      <c r="AA929" s="255"/>
    </row>
    <row r="930">
      <c r="A930" s="253"/>
      <c r="B930" s="253"/>
      <c r="C930" s="253"/>
      <c r="D930" s="253"/>
      <c r="E930" s="253"/>
      <c r="F930" s="255"/>
      <c r="G930" s="255"/>
      <c r="H930" s="255"/>
      <c r="I930" s="255"/>
      <c r="J930" s="255"/>
      <c r="K930" s="255"/>
      <c r="L930" s="255"/>
      <c r="M930" s="255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  <c r="Y930" s="255"/>
      <c r="Z930" s="255"/>
      <c r="AA930" s="255"/>
    </row>
    <row r="931">
      <c r="A931" s="253"/>
      <c r="B931" s="253"/>
      <c r="C931" s="253"/>
      <c r="D931" s="253"/>
      <c r="E931" s="253"/>
      <c r="F931" s="255"/>
      <c r="G931" s="255"/>
      <c r="H931" s="255"/>
      <c r="I931" s="255"/>
      <c r="J931" s="255"/>
      <c r="K931" s="255"/>
      <c r="L931" s="255"/>
      <c r="M931" s="255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  <c r="Y931" s="255"/>
      <c r="Z931" s="255"/>
      <c r="AA931" s="255"/>
    </row>
    <row r="932">
      <c r="A932" s="253"/>
      <c r="B932" s="253"/>
      <c r="C932" s="253"/>
      <c r="D932" s="253"/>
      <c r="E932" s="253"/>
      <c r="F932" s="255"/>
      <c r="G932" s="255"/>
      <c r="H932" s="255"/>
      <c r="I932" s="255"/>
      <c r="J932" s="255"/>
      <c r="K932" s="255"/>
      <c r="L932" s="255"/>
      <c r="M932" s="255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  <c r="Y932" s="255"/>
      <c r="Z932" s="255"/>
      <c r="AA932" s="255"/>
    </row>
    <row r="933">
      <c r="A933" s="253"/>
      <c r="B933" s="253"/>
      <c r="C933" s="253"/>
      <c r="D933" s="253"/>
      <c r="E933" s="253"/>
      <c r="F933" s="255"/>
      <c r="G933" s="255"/>
      <c r="H933" s="255"/>
      <c r="I933" s="255"/>
      <c r="J933" s="255"/>
      <c r="K933" s="255"/>
      <c r="L933" s="255"/>
      <c r="M933" s="255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  <c r="Y933" s="255"/>
      <c r="Z933" s="255"/>
      <c r="AA933" s="255"/>
    </row>
    <row r="934">
      <c r="A934" s="253"/>
      <c r="B934" s="253"/>
      <c r="C934" s="253"/>
      <c r="D934" s="253"/>
      <c r="E934" s="253"/>
      <c r="F934" s="255"/>
      <c r="G934" s="255"/>
      <c r="H934" s="255"/>
      <c r="I934" s="255"/>
      <c r="J934" s="255"/>
      <c r="K934" s="255"/>
      <c r="L934" s="255"/>
      <c r="M934" s="255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  <c r="Y934" s="255"/>
      <c r="Z934" s="255"/>
      <c r="AA934" s="255"/>
    </row>
    <row r="935">
      <c r="A935" s="253"/>
      <c r="B935" s="253"/>
      <c r="C935" s="253"/>
      <c r="D935" s="253"/>
      <c r="E935" s="253"/>
      <c r="F935" s="255"/>
      <c r="G935" s="255"/>
      <c r="H935" s="255"/>
      <c r="I935" s="255"/>
      <c r="J935" s="255"/>
      <c r="K935" s="255"/>
      <c r="L935" s="255"/>
      <c r="M935" s="255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  <c r="Y935" s="255"/>
      <c r="Z935" s="255"/>
      <c r="AA935" s="255"/>
    </row>
    <row r="936">
      <c r="A936" s="253"/>
      <c r="B936" s="253"/>
      <c r="C936" s="253"/>
      <c r="D936" s="253"/>
      <c r="E936" s="253"/>
      <c r="F936" s="255"/>
      <c r="G936" s="255"/>
      <c r="H936" s="255"/>
      <c r="I936" s="255"/>
      <c r="J936" s="255"/>
      <c r="K936" s="255"/>
      <c r="L936" s="255"/>
      <c r="M936" s="255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  <c r="Y936" s="255"/>
      <c r="Z936" s="255"/>
      <c r="AA936" s="255"/>
    </row>
    <row r="937">
      <c r="A937" s="253"/>
      <c r="B937" s="253"/>
      <c r="C937" s="253"/>
      <c r="D937" s="253"/>
      <c r="E937" s="253"/>
      <c r="F937" s="255"/>
      <c r="G937" s="255"/>
      <c r="H937" s="255"/>
      <c r="I937" s="255"/>
      <c r="J937" s="255"/>
      <c r="K937" s="255"/>
      <c r="L937" s="255"/>
      <c r="M937" s="255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  <c r="Y937" s="255"/>
      <c r="Z937" s="255"/>
      <c r="AA937" s="255"/>
    </row>
    <row r="938">
      <c r="A938" s="253"/>
      <c r="B938" s="253"/>
      <c r="C938" s="253"/>
      <c r="D938" s="253"/>
      <c r="E938" s="253"/>
      <c r="F938" s="255"/>
      <c r="G938" s="255"/>
      <c r="H938" s="255"/>
      <c r="I938" s="255"/>
      <c r="J938" s="255"/>
      <c r="K938" s="255"/>
      <c r="L938" s="255"/>
      <c r="M938" s="255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  <c r="Y938" s="255"/>
      <c r="Z938" s="255"/>
      <c r="AA938" s="255"/>
    </row>
    <row r="939">
      <c r="A939" s="253"/>
      <c r="B939" s="253"/>
      <c r="C939" s="253"/>
      <c r="D939" s="253"/>
      <c r="E939" s="253"/>
      <c r="F939" s="255"/>
      <c r="G939" s="255"/>
      <c r="H939" s="255"/>
      <c r="I939" s="255"/>
      <c r="J939" s="255"/>
      <c r="K939" s="255"/>
      <c r="L939" s="255"/>
      <c r="M939" s="255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  <c r="Y939" s="255"/>
      <c r="Z939" s="255"/>
      <c r="AA939" s="255"/>
    </row>
    <row r="940">
      <c r="A940" s="253"/>
      <c r="B940" s="253"/>
      <c r="C940" s="253"/>
      <c r="D940" s="253"/>
      <c r="E940" s="253"/>
      <c r="F940" s="255"/>
      <c r="G940" s="255"/>
      <c r="H940" s="255"/>
      <c r="I940" s="255"/>
      <c r="J940" s="255"/>
      <c r="K940" s="255"/>
      <c r="L940" s="255"/>
      <c r="M940" s="255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  <c r="Y940" s="255"/>
      <c r="Z940" s="255"/>
      <c r="AA940" s="255"/>
    </row>
    <row r="941">
      <c r="A941" s="253"/>
      <c r="B941" s="253"/>
      <c r="C941" s="253"/>
      <c r="D941" s="253"/>
      <c r="E941" s="253"/>
      <c r="F941" s="255"/>
      <c r="G941" s="255"/>
      <c r="H941" s="255"/>
      <c r="I941" s="255"/>
      <c r="J941" s="255"/>
      <c r="K941" s="255"/>
      <c r="L941" s="255"/>
      <c r="M941" s="255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  <c r="Y941" s="255"/>
      <c r="Z941" s="255"/>
      <c r="AA941" s="255"/>
    </row>
    <row r="942">
      <c r="A942" s="253"/>
      <c r="B942" s="253"/>
      <c r="C942" s="253"/>
      <c r="D942" s="253"/>
      <c r="E942" s="253"/>
      <c r="F942" s="255"/>
      <c r="G942" s="255"/>
      <c r="H942" s="255"/>
      <c r="I942" s="255"/>
      <c r="J942" s="255"/>
      <c r="K942" s="255"/>
      <c r="L942" s="255"/>
      <c r="M942" s="255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  <c r="Y942" s="255"/>
      <c r="Z942" s="255"/>
      <c r="AA942" s="255"/>
    </row>
    <row r="943">
      <c r="A943" s="253"/>
      <c r="B943" s="253"/>
      <c r="C943" s="253"/>
      <c r="D943" s="253"/>
      <c r="E943" s="253"/>
      <c r="F943" s="255"/>
      <c r="G943" s="255"/>
      <c r="H943" s="255"/>
      <c r="I943" s="255"/>
      <c r="J943" s="255"/>
      <c r="K943" s="255"/>
      <c r="L943" s="255"/>
      <c r="M943" s="255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  <c r="AA943" s="255"/>
    </row>
    <row r="944">
      <c r="A944" s="253"/>
      <c r="B944" s="253"/>
      <c r="C944" s="253"/>
      <c r="D944" s="253"/>
      <c r="E944" s="253"/>
      <c r="F944" s="255"/>
      <c r="G944" s="255"/>
      <c r="H944" s="255"/>
      <c r="I944" s="255"/>
      <c r="J944" s="255"/>
      <c r="K944" s="255"/>
      <c r="L944" s="255"/>
      <c r="M944" s="255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  <c r="Y944" s="255"/>
      <c r="Z944" s="255"/>
      <c r="AA944" s="255"/>
    </row>
    <row r="945">
      <c r="A945" s="253"/>
      <c r="B945" s="253"/>
      <c r="C945" s="253"/>
      <c r="D945" s="253"/>
      <c r="E945" s="253"/>
      <c r="F945" s="255"/>
      <c r="G945" s="255"/>
      <c r="H945" s="255"/>
      <c r="I945" s="255"/>
      <c r="J945" s="255"/>
      <c r="K945" s="255"/>
      <c r="L945" s="255"/>
      <c r="M945" s="255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  <c r="Y945" s="255"/>
      <c r="Z945" s="255"/>
      <c r="AA945" s="255"/>
    </row>
    <row r="946">
      <c r="A946" s="253"/>
      <c r="B946" s="253"/>
      <c r="C946" s="253"/>
      <c r="D946" s="253"/>
      <c r="E946" s="253"/>
      <c r="F946" s="255"/>
      <c r="G946" s="255"/>
      <c r="H946" s="255"/>
      <c r="I946" s="255"/>
      <c r="J946" s="255"/>
      <c r="K946" s="255"/>
      <c r="L946" s="255"/>
      <c r="M946" s="255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  <c r="Y946" s="255"/>
      <c r="Z946" s="255"/>
      <c r="AA946" s="255"/>
    </row>
    <row r="947">
      <c r="A947" s="253"/>
      <c r="B947" s="253"/>
      <c r="C947" s="253"/>
      <c r="D947" s="253"/>
      <c r="E947" s="253"/>
      <c r="F947" s="255"/>
      <c r="G947" s="255"/>
      <c r="H947" s="255"/>
      <c r="I947" s="255"/>
      <c r="J947" s="255"/>
      <c r="K947" s="255"/>
      <c r="L947" s="255"/>
      <c r="M947" s="255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  <c r="Y947" s="255"/>
      <c r="Z947" s="255"/>
      <c r="AA947" s="255"/>
    </row>
    <row r="948">
      <c r="A948" s="253"/>
      <c r="B948" s="253"/>
      <c r="C948" s="253"/>
      <c r="D948" s="253"/>
      <c r="E948" s="253"/>
      <c r="F948" s="255"/>
      <c r="G948" s="255"/>
      <c r="H948" s="255"/>
      <c r="I948" s="255"/>
      <c r="J948" s="255"/>
      <c r="K948" s="255"/>
      <c r="L948" s="255"/>
      <c r="M948" s="255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  <c r="Y948" s="255"/>
      <c r="Z948" s="255"/>
      <c r="AA948" s="255"/>
    </row>
    <row r="949">
      <c r="A949" s="253"/>
      <c r="B949" s="253"/>
      <c r="C949" s="253"/>
      <c r="D949" s="253"/>
      <c r="E949" s="253"/>
      <c r="F949" s="255"/>
      <c r="G949" s="255"/>
      <c r="H949" s="255"/>
      <c r="I949" s="255"/>
      <c r="J949" s="255"/>
      <c r="K949" s="255"/>
      <c r="L949" s="255"/>
      <c r="M949" s="255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  <c r="Y949" s="255"/>
      <c r="Z949" s="255"/>
      <c r="AA949" s="255"/>
    </row>
    <row r="950">
      <c r="A950" s="253"/>
      <c r="B950" s="253"/>
      <c r="C950" s="253"/>
      <c r="D950" s="253"/>
      <c r="E950" s="253"/>
      <c r="F950" s="255"/>
      <c r="G950" s="255"/>
      <c r="H950" s="255"/>
      <c r="I950" s="255"/>
      <c r="J950" s="255"/>
      <c r="K950" s="255"/>
      <c r="L950" s="255"/>
      <c r="M950" s="255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  <c r="Y950" s="255"/>
      <c r="Z950" s="255"/>
      <c r="AA950" s="255"/>
    </row>
    <row r="951">
      <c r="A951" s="253"/>
      <c r="B951" s="253"/>
      <c r="C951" s="253"/>
      <c r="D951" s="253"/>
      <c r="E951" s="253"/>
      <c r="F951" s="255"/>
      <c r="G951" s="255"/>
      <c r="H951" s="255"/>
      <c r="I951" s="255"/>
      <c r="J951" s="255"/>
      <c r="K951" s="255"/>
      <c r="L951" s="255"/>
      <c r="M951" s="255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  <c r="Y951" s="255"/>
      <c r="Z951" s="255"/>
      <c r="AA951" s="255"/>
    </row>
    <row r="952">
      <c r="A952" s="253"/>
      <c r="B952" s="253"/>
      <c r="C952" s="253"/>
      <c r="D952" s="253"/>
      <c r="E952" s="253"/>
      <c r="F952" s="255"/>
      <c r="G952" s="255"/>
      <c r="H952" s="255"/>
      <c r="I952" s="255"/>
      <c r="J952" s="255"/>
      <c r="K952" s="255"/>
      <c r="L952" s="255"/>
      <c r="M952" s="255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  <c r="Y952" s="255"/>
      <c r="Z952" s="255"/>
      <c r="AA952" s="255"/>
    </row>
    <row r="953">
      <c r="A953" s="253"/>
      <c r="B953" s="253"/>
      <c r="C953" s="253"/>
      <c r="D953" s="253"/>
      <c r="E953" s="253"/>
      <c r="F953" s="255"/>
      <c r="G953" s="255"/>
      <c r="H953" s="255"/>
      <c r="I953" s="255"/>
      <c r="J953" s="255"/>
      <c r="K953" s="255"/>
      <c r="L953" s="255"/>
      <c r="M953" s="255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  <c r="Y953" s="255"/>
      <c r="Z953" s="255"/>
      <c r="AA953" s="255"/>
    </row>
    <row r="954">
      <c r="A954" s="253"/>
      <c r="B954" s="253"/>
      <c r="C954" s="253"/>
      <c r="D954" s="253"/>
      <c r="E954" s="253"/>
      <c r="F954" s="255"/>
      <c r="G954" s="255"/>
      <c r="H954" s="255"/>
      <c r="I954" s="255"/>
      <c r="J954" s="255"/>
      <c r="K954" s="255"/>
      <c r="L954" s="255"/>
      <c r="M954" s="255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  <c r="AA954" s="255"/>
    </row>
    <row r="955">
      <c r="A955" s="253"/>
      <c r="B955" s="253"/>
      <c r="C955" s="253"/>
      <c r="D955" s="253"/>
      <c r="E955" s="253"/>
      <c r="F955" s="255"/>
      <c r="G955" s="255"/>
      <c r="H955" s="255"/>
      <c r="I955" s="255"/>
      <c r="J955" s="255"/>
      <c r="K955" s="255"/>
      <c r="L955" s="255"/>
      <c r="M955" s="255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  <c r="Y955" s="255"/>
      <c r="Z955" s="255"/>
      <c r="AA955" s="255"/>
    </row>
    <row r="956">
      <c r="A956" s="253"/>
      <c r="B956" s="253"/>
      <c r="C956" s="253"/>
      <c r="D956" s="253"/>
      <c r="E956" s="253"/>
      <c r="F956" s="255"/>
      <c r="G956" s="255"/>
      <c r="H956" s="255"/>
      <c r="I956" s="255"/>
      <c r="J956" s="255"/>
      <c r="K956" s="255"/>
      <c r="L956" s="255"/>
      <c r="M956" s="255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  <c r="Y956" s="255"/>
      <c r="Z956" s="255"/>
      <c r="AA956" s="255"/>
    </row>
    <row r="957">
      <c r="A957" s="253"/>
      <c r="B957" s="253"/>
      <c r="C957" s="253"/>
      <c r="D957" s="253"/>
      <c r="E957" s="253"/>
      <c r="F957" s="255"/>
      <c r="G957" s="255"/>
      <c r="H957" s="255"/>
      <c r="I957" s="255"/>
      <c r="J957" s="255"/>
      <c r="K957" s="255"/>
      <c r="L957" s="255"/>
      <c r="M957" s="255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  <c r="Y957" s="255"/>
      <c r="Z957" s="255"/>
      <c r="AA957" s="255"/>
    </row>
    <row r="958">
      <c r="A958" s="253"/>
      <c r="B958" s="253"/>
      <c r="C958" s="253"/>
      <c r="D958" s="253"/>
      <c r="E958" s="253"/>
      <c r="F958" s="255"/>
      <c r="G958" s="255"/>
      <c r="H958" s="255"/>
      <c r="I958" s="255"/>
      <c r="J958" s="255"/>
      <c r="K958" s="255"/>
      <c r="L958" s="255"/>
      <c r="M958" s="255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  <c r="Y958" s="255"/>
      <c r="Z958" s="255"/>
      <c r="AA958" s="255"/>
    </row>
    <row r="959">
      <c r="A959" s="253"/>
      <c r="B959" s="253"/>
      <c r="C959" s="253"/>
      <c r="D959" s="253"/>
      <c r="E959" s="253"/>
      <c r="F959" s="255"/>
      <c r="G959" s="255"/>
      <c r="H959" s="255"/>
      <c r="I959" s="255"/>
      <c r="J959" s="255"/>
      <c r="K959" s="255"/>
      <c r="L959" s="255"/>
      <c r="M959" s="255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  <c r="Y959" s="255"/>
      <c r="Z959" s="255"/>
      <c r="AA959" s="255"/>
    </row>
    <row r="960">
      <c r="A960" s="253"/>
      <c r="B960" s="253"/>
      <c r="C960" s="253"/>
      <c r="D960" s="253"/>
      <c r="E960" s="253"/>
      <c r="F960" s="255"/>
      <c r="G960" s="255"/>
      <c r="H960" s="255"/>
      <c r="I960" s="255"/>
      <c r="J960" s="255"/>
      <c r="K960" s="255"/>
      <c r="L960" s="255"/>
      <c r="M960" s="255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  <c r="Y960" s="255"/>
      <c r="Z960" s="255"/>
      <c r="AA960" s="255"/>
    </row>
    <row r="961">
      <c r="A961" s="253"/>
      <c r="B961" s="253"/>
      <c r="C961" s="253"/>
      <c r="D961" s="253"/>
      <c r="E961" s="253"/>
      <c r="F961" s="255"/>
      <c r="G961" s="255"/>
      <c r="H961" s="255"/>
      <c r="I961" s="255"/>
      <c r="J961" s="255"/>
      <c r="K961" s="255"/>
      <c r="L961" s="255"/>
      <c r="M961" s="255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  <c r="Y961" s="255"/>
      <c r="Z961" s="255"/>
      <c r="AA961" s="255"/>
    </row>
    <row r="962">
      <c r="A962" s="253"/>
      <c r="B962" s="253"/>
      <c r="C962" s="253"/>
      <c r="D962" s="253"/>
      <c r="E962" s="253"/>
      <c r="F962" s="255"/>
      <c r="G962" s="255"/>
      <c r="H962" s="255"/>
      <c r="I962" s="255"/>
      <c r="J962" s="255"/>
      <c r="K962" s="255"/>
      <c r="L962" s="255"/>
      <c r="M962" s="255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  <c r="Y962" s="255"/>
      <c r="Z962" s="255"/>
      <c r="AA962" s="255"/>
    </row>
    <row r="963">
      <c r="A963" s="253"/>
      <c r="B963" s="253"/>
      <c r="C963" s="253"/>
      <c r="D963" s="253"/>
      <c r="E963" s="253"/>
      <c r="F963" s="255"/>
      <c r="G963" s="255"/>
      <c r="H963" s="255"/>
      <c r="I963" s="255"/>
      <c r="J963" s="255"/>
      <c r="K963" s="255"/>
      <c r="L963" s="255"/>
      <c r="M963" s="255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  <c r="Y963" s="255"/>
      <c r="Z963" s="255"/>
      <c r="AA963" s="255"/>
    </row>
    <row r="964">
      <c r="A964" s="253"/>
      <c r="B964" s="253"/>
      <c r="C964" s="253"/>
      <c r="D964" s="253"/>
      <c r="E964" s="253"/>
      <c r="F964" s="255"/>
      <c r="G964" s="255"/>
      <c r="H964" s="255"/>
      <c r="I964" s="255"/>
      <c r="J964" s="255"/>
      <c r="K964" s="255"/>
      <c r="L964" s="255"/>
      <c r="M964" s="255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  <c r="Y964" s="255"/>
      <c r="Z964" s="255"/>
      <c r="AA964" s="255"/>
    </row>
    <row r="965">
      <c r="A965" s="253"/>
      <c r="B965" s="253"/>
      <c r="C965" s="253"/>
      <c r="D965" s="253"/>
      <c r="E965" s="253"/>
      <c r="F965" s="255"/>
      <c r="G965" s="255"/>
      <c r="H965" s="255"/>
      <c r="I965" s="255"/>
      <c r="J965" s="255"/>
      <c r="K965" s="255"/>
      <c r="L965" s="255"/>
      <c r="M965" s="255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  <c r="AA965" s="255"/>
    </row>
    <row r="966">
      <c r="A966" s="253"/>
      <c r="B966" s="253"/>
      <c r="C966" s="253"/>
      <c r="D966" s="253"/>
      <c r="E966" s="253"/>
      <c r="F966" s="255"/>
      <c r="G966" s="255"/>
      <c r="H966" s="255"/>
      <c r="I966" s="255"/>
      <c r="J966" s="255"/>
      <c r="K966" s="255"/>
      <c r="L966" s="255"/>
      <c r="M966" s="255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  <c r="Y966" s="255"/>
      <c r="Z966" s="255"/>
      <c r="AA966" s="255"/>
    </row>
    <row r="967">
      <c r="A967" s="253"/>
      <c r="B967" s="253"/>
      <c r="C967" s="253"/>
      <c r="D967" s="253"/>
      <c r="E967" s="253"/>
      <c r="F967" s="255"/>
      <c r="G967" s="255"/>
      <c r="H967" s="255"/>
      <c r="I967" s="255"/>
      <c r="J967" s="255"/>
      <c r="K967" s="255"/>
      <c r="L967" s="255"/>
      <c r="M967" s="255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  <c r="Y967" s="255"/>
      <c r="Z967" s="255"/>
      <c r="AA967" s="255"/>
    </row>
    <row r="968">
      <c r="A968" s="253"/>
      <c r="B968" s="253"/>
      <c r="C968" s="253"/>
      <c r="D968" s="253"/>
      <c r="E968" s="253"/>
      <c r="F968" s="255"/>
      <c r="G968" s="255"/>
      <c r="H968" s="255"/>
      <c r="I968" s="255"/>
      <c r="J968" s="255"/>
      <c r="K968" s="255"/>
      <c r="L968" s="255"/>
      <c r="M968" s="255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  <c r="Y968" s="255"/>
      <c r="Z968" s="255"/>
      <c r="AA968" s="255"/>
    </row>
    <row r="969">
      <c r="A969" s="253"/>
      <c r="B969" s="253"/>
      <c r="C969" s="253"/>
      <c r="D969" s="253"/>
      <c r="E969" s="253"/>
      <c r="F969" s="255"/>
      <c r="G969" s="255"/>
      <c r="H969" s="255"/>
      <c r="I969" s="255"/>
      <c r="J969" s="255"/>
      <c r="K969" s="255"/>
      <c r="L969" s="255"/>
      <c r="M969" s="255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  <c r="Y969" s="255"/>
      <c r="Z969" s="255"/>
      <c r="AA969" s="255"/>
    </row>
    <row r="970">
      <c r="A970" s="253"/>
      <c r="B970" s="253"/>
      <c r="C970" s="253"/>
      <c r="D970" s="253"/>
      <c r="E970" s="253"/>
      <c r="F970" s="255"/>
      <c r="G970" s="255"/>
      <c r="H970" s="255"/>
      <c r="I970" s="255"/>
      <c r="J970" s="255"/>
      <c r="K970" s="255"/>
      <c r="L970" s="255"/>
      <c r="M970" s="255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  <c r="Y970" s="255"/>
      <c r="Z970" s="255"/>
      <c r="AA970" s="255"/>
    </row>
    <row r="971">
      <c r="A971" s="253"/>
      <c r="B971" s="253"/>
      <c r="C971" s="253"/>
      <c r="D971" s="253"/>
      <c r="E971" s="253"/>
      <c r="F971" s="255"/>
      <c r="G971" s="255"/>
      <c r="H971" s="255"/>
      <c r="I971" s="255"/>
      <c r="J971" s="255"/>
      <c r="K971" s="255"/>
      <c r="L971" s="255"/>
      <c r="M971" s="255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  <c r="Y971" s="255"/>
      <c r="Z971" s="255"/>
      <c r="AA971" s="255"/>
    </row>
    <row r="972">
      <c r="A972" s="253"/>
      <c r="B972" s="253"/>
      <c r="C972" s="253"/>
      <c r="D972" s="253"/>
      <c r="E972" s="253"/>
      <c r="F972" s="255"/>
      <c r="G972" s="255"/>
      <c r="H972" s="255"/>
      <c r="I972" s="255"/>
      <c r="J972" s="255"/>
      <c r="K972" s="255"/>
      <c r="L972" s="255"/>
      <c r="M972" s="255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  <c r="Y972" s="255"/>
      <c r="Z972" s="255"/>
      <c r="AA972" s="255"/>
    </row>
    <row r="973">
      <c r="A973" s="253"/>
      <c r="B973" s="253"/>
      <c r="C973" s="253"/>
      <c r="D973" s="253"/>
      <c r="E973" s="253"/>
      <c r="F973" s="255"/>
      <c r="G973" s="255"/>
      <c r="H973" s="255"/>
      <c r="I973" s="255"/>
      <c r="J973" s="255"/>
      <c r="K973" s="255"/>
      <c r="L973" s="255"/>
      <c r="M973" s="255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  <c r="Y973" s="255"/>
      <c r="Z973" s="255"/>
      <c r="AA973" s="255"/>
    </row>
    <row r="974">
      <c r="A974" s="253"/>
      <c r="B974" s="253"/>
      <c r="C974" s="253"/>
      <c r="D974" s="253"/>
      <c r="E974" s="253"/>
      <c r="F974" s="255"/>
      <c r="G974" s="255"/>
      <c r="H974" s="255"/>
      <c r="I974" s="255"/>
      <c r="J974" s="255"/>
      <c r="K974" s="255"/>
      <c r="L974" s="255"/>
      <c r="M974" s="255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  <c r="Y974" s="255"/>
      <c r="Z974" s="255"/>
      <c r="AA974" s="255"/>
    </row>
    <row r="975">
      <c r="A975" s="253"/>
      <c r="B975" s="253"/>
      <c r="C975" s="253"/>
      <c r="D975" s="253"/>
      <c r="E975" s="253"/>
      <c r="F975" s="255"/>
      <c r="G975" s="255"/>
      <c r="H975" s="255"/>
      <c r="I975" s="255"/>
      <c r="J975" s="255"/>
      <c r="K975" s="255"/>
      <c r="L975" s="255"/>
      <c r="M975" s="255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  <c r="Y975" s="255"/>
      <c r="Z975" s="255"/>
      <c r="AA975" s="255"/>
    </row>
    <row r="976">
      <c r="A976" s="253"/>
      <c r="B976" s="253"/>
      <c r="C976" s="253"/>
      <c r="D976" s="253"/>
      <c r="E976" s="253"/>
      <c r="F976" s="255"/>
      <c r="G976" s="255"/>
      <c r="H976" s="255"/>
      <c r="I976" s="255"/>
      <c r="J976" s="255"/>
      <c r="K976" s="255"/>
      <c r="L976" s="255"/>
      <c r="M976" s="255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  <c r="Y976" s="255"/>
      <c r="Z976" s="255"/>
      <c r="AA976" s="255"/>
    </row>
    <row r="977">
      <c r="A977" s="253"/>
      <c r="B977" s="253"/>
      <c r="C977" s="253"/>
      <c r="D977" s="253"/>
      <c r="E977" s="253"/>
      <c r="F977" s="255"/>
      <c r="G977" s="255"/>
      <c r="H977" s="255"/>
      <c r="I977" s="255"/>
      <c r="J977" s="255"/>
      <c r="K977" s="255"/>
      <c r="L977" s="255"/>
      <c r="M977" s="255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  <c r="Y977" s="255"/>
      <c r="Z977" s="255"/>
      <c r="AA977" s="255"/>
    </row>
    <row r="978">
      <c r="A978" s="253"/>
      <c r="B978" s="253"/>
      <c r="C978" s="253"/>
      <c r="D978" s="253"/>
      <c r="E978" s="253"/>
      <c r="F978" s="255"/>
      <c r="G978" s="255"/>
      <c r="H978" s="255"/>
      <c r="I978" s="255"/>
      <c r="J978" s="255"/>
      <c r="K978" s="255"/>
      <c r="L978" s="255"/>
      <c r="M978" s="255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  <c r="Y978" s="255"/>
      <c r="Z978" s="255"/>
      <c r="AA978" s="255"/>
    </row>
    <row r="979">
      <c r="A979" s="253"/>
      <c r="B979" s="253"/>
      <c r="C979" s="253"/>
      <c r="D979" s="253"/>
      <c r="E979" s="253"/>
      <c r="F979" s="255"/>
      <c r="G979" s="255"/>
      <c r="H979" s="255"/>
      <c r="I979" s="255"/>
      <c r="J979" s="255"/>
      <c r="K979" s="255"/>
      <c r="L979" s="255"/>
      <c r="M979" s="255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  <c r="Y979" s="255"/>
      <c r="Z979" s="255"/>
      <c r="AA979" s="255"/>
    </row>
    <row r="980">
      <c r="A980" s="253"/>
      <c r="B980" s="253"/>
      <c r="C980" s="253"/>
      <c r="D980" s="253"/>
      <c r="E980" s="253"/>
      <c r="F980" s="255"/>
      <c r="G980" s="255"/>
      <c r="H980" s="255"/>
      <c r="I980" s="255"/>
      <c r="J980" s="255"/>
      <c r="K980" s="255"/>
      <c r="L980" s="255"/>
      <c r="M980" s="255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  <c r="Y980" s="255"/>
      <c r="Z980" s="255"/>
      <c r="AA980" s="255"/>
    </row>
    <row r="981">
      <c r="A981" s="253"/>
      <c r="B981" s="253"/>
      <c r="C981" s="253"/>
      <c r="D981" s="253"/>
      <c r="E981" s="253"/>
      <c r="F981" s="255"/>
      <c r="G981" s="255"/>
      <c r="H981" s="255"/>
      <c r="I981" s="255"/>
      <c r="J981" s="255"/>
      <c r="K981" s="255"/>
      <c r="L981" s="255"/>
      <c r="M981" s="255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  <c r="Y981" s="255"/>
      <c r="Z981" s="255"/>
      <c r="AA981" s="255"/>
    </row>
    <row r="982">
      <c r="A982" s="253"/>
      <c r="B982" s="253"/>
      <c r="C982" s="253"/>
      <c r="D982" s="253"/>
      <c r="E982" s="253"/>
      <c r="F982" s="255"/>
      <c r="G982" s="255"/>
      <c r="H982" s="255"/>
      <c r="I982" s="255"/>
      <c r="J982" s="255"/>
      <c r="K982" s="255"/>
      <c r="L982" s="255"/>
      <c r="M982" s="255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  <c r="Y982" s="255"/>
      <c r="Z982" s="255"/>
      <c r="AA982" s="255"/>
    </row>
    <row r="983">
      <c r="A983" s="253"/>
      <c r="B983" s="253"/>
      <c r="C983" s="253"/>
      <c r="D983" s="253"/>
      <c r="E983" s="253"/>
      <c r="F983" s="255"/>
      <c r="G983" s="255"/>
      <c r="H983" s="255"/>
      <c r="I983" s="255"/>
      <c r="J983" s="255"/>
      <c r="K983" s="255"/>
      <c r="L983" s="255"/>
      <c r="M983" s="255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  <c r="Y983" s="255"/>
      <c r="Z983" s="255"/>
      <c r="AA983" s="255"/>
    </row>
    <row r="984">
      <c r="A984" s="253"/>
      <c r="B984" s="253"/>
      <c r="C984" s="253"/>
      <c r="D984" s="253"/>
      <c r="E984" s="253"/>
      <c r="F984" s="255"/>
      <c r="G984" s="255"/>
      <c r="H984" s="255"/>
      <c r="I984" s="255"/>
      <c r="J984" s="255"/>
      <c r="K984" s="255"/>
      <c r="L984" s="255"/>
      <c r="M984" s="255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  <c r="Y984" s="255"/>
      <c r="Z984" s="255"/>
      <c r="AA984" s="255"/>
    </row>
    <row r="985">
      <c r="A985" s="253"/>
      <c r="B985" s="253"/>
      <c r="C985" s="253"/>
      <c r="D985" s="253"/>
      <c r="E985" s="253"/>
      <c r="F985" s="255"/>
      <c r="G985" s="255"/>
      <c r="H985" s="255"/>
      <c r="I985" s="255"/>
      <c r="J985" s="255"/>
      <c r="K985" s="255"/>
      <c r="L985" s="255"/>
      <c r="M985" s="255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  <c r="Y985" s="255"/>
      <c r="Z985" s="255"/>
      <c r="AA985" s="255"/>
    </row>
    <row r="986">
      <c r="A986" s="253"/>
      <c r="B986" s="253"/>
      <c r="C986" s="253"/>
      <c r="D986" s="253"/>
      <c r="E986" s="253"/>
      <c r="F986" s="255"/>
      <c r="G986" s="255"/>
      <c r="H986" s="255"/>
      <c r="I986" s="255"/>
      <c r="J986" s="255"/>
      <c r="K986" s="255"/>
      <c r="L986" s="255"/>
      <c r="M986" s="255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  <c r="Y986" s="255"/>
      <c r="Z986" s="255"/>
      <c r="AA986" s="255"/>
    </row>
    <row r="987">
      <c r="A987" s="253"/>
      <c r="B987" s="253"/>
      <c r="C987" s="253"/>
      <c r="D987" s="253"/>
      <c r="E987" s="253"/>
      <c r="F987" s="255"/>
      <c r="G987" s="255"/>
      <c r="H987" s="255"/>
      <c r="I987" s="255"/>
      <c r="J987" s="255"/>
      <c r="K987" s="255"/>
      <c r="L987" s="255"/>
      <c r="M987" s="255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  <c r="Y987" s="255"/>
      <c r="Z987" s="255"/>
      <c r="AA987" s="255"/>
    </row>
    <row r="988">
      <c r="A988" s="253"/>
      <c r="B988" s="253"/>
      <c r="C988" s="253"/>
      <c r="D988" s="253"/>
      <c r="E988" s="253"/>
      <c r="F988" s="255"/>
      <c r="G988" s="255"/>
      <c r="H988" s="255"/>
      <c r="I988" s="255"/>
      <c r="J988" s="255"/>
      <c r="K988" s="255"/>
      <c r="L988" s="255"/>
      <c r="M988" s="255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  <c r="Y988" s="255"/>
      <c r="Z988" s="255"/>
      <c r="AA988" s="255"/>
    </row>
    <row r="989">
      <c r="A989" s="253"/>
      <c r="B989" s="253"/>
      <c r="C989" s="253"/>
      <c r="D989" s="253"/>
      <c r="E989" s="253"/>
      <c r="F989" s="255"/>
      <c r="G989" s="255"/>
      <c r="H989" s="255"/>
      <c r="I989" s="255"/>
      <c r="J989" s="255"/>
      <c r="K989" s="255"/>
      <c r="L989" s="255"/>
      <c r="M989" s="255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  <c r="Y989" s="255"/>
      <c r="Z989" s="255"/>
      <c r="AA989" s="255"/>
    </row>
    <row r="990">
      <c r="A990" s="253"/>
      <c r="B990" s="253"/>
      <c r="C990" s="253"/>
      <c r="D990" s="253"/>
      <c r="E990" s="253"/>
      <c r="F990" s="255"/>
      <c r="G990" s="255"/>
      <c r="H990" s="255"/>
      <c r="I990" s="255"/>
      <c r="J990" s="255"/>
      <c r="K990" s="255"/>
      <c r="L990" s="255"/>
      <c r="M990" s="255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  <c r="Y990" s="255"/>
      <c r="Z990" s="255"/>
      <c r="AA990" s="255"/>
    </row>
    <row r="991">
      <c r="A991" s="253"/>
      <c r="B991" s="253"/>
      <c r="C991" s="253"/>
      <c r="D991" s="253"/>
      <c r="E991" s="253"/>
      <c r="F991" s="255"/>
      <c r="G991" s="255"/>
      <c r="H991" s="255"/>
      <c r="I991" s="255"/>
      <c r="J991" s="255"/>
      <c r="K991" s="255"/>
      <c r="L991" s="255"/>
      <c r="M991" s="255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  <c r="Y991" s="255"/>
      <c r="Z991" s="255"/>
      <c r="AA991" s="255"/>
    </row>
    <row r="992">
      <c r="A992" s="253"/>
      <c r="B992" s="253"/>
      <c r="C992" s="253"/>
      <c r="D992" s="253"/>
      <c r="E992" s="253"/>
      <c r="F992" s="255"/>
      <c r="G992" s="255"/>
      <c r="H992" s="255"/>
      <c r="I992" s="255"/>
      <c r="J992" s="255"/>
      <c r="K992" s="255"/>
      <c r="L992" s="255"/>
      <c r="M992" s="255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  <c r="Y992" s="255"/>
      <c r="Z992" s="255"/>
      <c r="AA992" s="255"/>
    </row>
    <row r="993">
      <c r="A993" s="253"/>
      <c r="B993" s="253"/>
      <c r="C993" s="253"/>
      <c r="D993" s="253"/>
      <c r="E993" s="253"/>
      <c r="F993" s="255"/>
      <c r="G993" s="255"/>
      <c r="H993" s="255"/>
      <c r="I993" s="255"/>
      <c r="J993" s="255"/>
      <c r="K993" s="255"/>
      <c r="L993" s="255"/>
      <c r="M993" s="255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  <c r="Y993" s="255"/>
      <c r="Z993" s="255"/>
      <c r="AA993" s="255"/>
    </row>
    <row r="994">
      <c r="A994" s="253"/>
      <c r="B994" s="253"/>
      <c r="C994" s="253"/>
      <c r="D994" s="253"/>
      <c r="E994" s="253"/>
      <c r="F994" s="255"/>
      <c r="G994" s="255"/>
      <c r="H994" s="255"/>
      <c r="I994" s="255"/>
      <c r="J994" s="255"/>
      <c r="K994" s="255"/>
      <c r="L994" s="255"/>
      <c r="M994" s="255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  <c r="Y994" s="255"/>
      <c r="Z994" s="255"/>
      <c r="AA994" s="255"/>
    </row>
    <row r="995">
      <c r="A995" s="253"/>
      <c r="B995" s="253"/>
      <c r="C995" s="253"/>
      <c r="D995" s="253"/>
      <c r="E995" s="253"/>
      <c r="F995" s="255"/>
      <c r="G995" s="255"/>
      <c r="H995" s="255"/>
      <c r="I995" s="255"/>
      <c r="J995" s="255"/>
      <c r="K995" s="255"/>
      <c r="L995" s="255"/>
      <c r="M995" s="255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  <c r="Y995" s="255"/>
      <c r="Z995" s="255"/>
      <c r="AA995" s="255"/>
    </row>
    <row r="996">
      <c r="A996" s="253"/>
      <c r="B996" s="253"/>
      <c r="C996" s="253"/>
      <c r="D996" s="253"/>
      <c r="E996" s="253"/>
      <c r="F996" s="255"/>
      <c r="G996" s="255"/>
      <c r="H996" s="255"/>
      <c r="I996" s="255"/>
      <c r="J996" s="255"/>
      <c r="K996" s="255"/>
      <c r="L996" s="255"/>
      <c r="M996" s="255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  <c r="Y996" s="255"/>
      <c r="Z996" s="255"/>
      <c r="AA996" s="255"/>
    </row>
    <row r="997">
      <c r="A997" s="253"/>
      <c r="B997" s="253"/>
      <c r="C997" s="253"/>
      <c r="D997" s="253"/>
      <c r="E997" s="253"/>
      <c r="F997" s="255"/>
      <c r="G997" s="255"/>
      <c r="H997" s="255"/>
      <c r="I997" s="255"/>
      <c r="J997" s="255"/>
      <c r="K997" s="255"/>
      <c r="L997" s="255"/>
      <c r="M997" s="255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  <c r="Y997" s="255"/>
      <c r="Z997" s="255"/>
      <c r="AA997" s="255"/>
    </row>
    <row r="998">
      <c r="A998" s="253"/>
      <c r="B998" s="253"/>
      <c r="C998" s="253"/>
      <c r="D998" s="253"/>
      <c r="E998" s="253"/>
      <c r="F998" s="255"/>
      <c r="G998" s="255"/>
      <c r="H998" s="255"/>
      <c r="I998" s="255"/>
      <c r="J998" s="255"/>
      <c r="K998" s="255"/>
      <c r="L998" s="255"/>
      <c r="M998" s="255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  <c r="Y998" s="255"/>
      <c r="Z998" s="255"/>
      <c r="AA998" s="255"/>
    </row>
    <row r="999">
      <c r="A999" s="253"/>
      <c r="B999" s="253"/>
      <c r="C999" s="253"/>
      <c r="D999" s="253"/>
      <c r="E999" s="253"/>
      <c r="F999" s="255"/>
      <c r="G999" s="255"/>
      <c r="H999" s="255"/>
      <c r="I999" s="255"/>
      <c r="J999" s="255"/>
      <c r="K999" s="255"/>
      <c r="L999" s="255"/>
      <c r="M999" s="255"/>
      <c r="N999" s="255"/>
      <c r="O999" s="255"/>
      <c r="P999" s="255"/>
      <c r="Q999" s="255"/>
      <c r="R999" s="255"/>
      <c r="S999" s="255"/>
      <c r="T999" s="255"/>
      <c r="U999" s="255"/>
      <c r="V999" s="255"/>
      <c r="W999" s="255"/>
      <c r="X999" s="255"/>
      <c r="Y999" s="255"/>
      <c r="Z999" s="255"/>
      <c r="AA999" s="25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0.63"/>
    <col customWidth="1" min="3" max="3" width="12.63"/>
    <col customWidth="1" min="4" max="4" width="15.0"/>
    <col customWidth="1" min="5" max="6" width="12.63"/>
    <col customWidth="1" min="8" max="8" width="15.25"/>
  </cols>
  <sheetData>
    <row r="1" ht="15.75" customHeight="1">
      <c r="A1" s="2"/>
      <c r="B1" s="4" t="s">
        <v>2</v>
      </c>
      <c r="C1" s="7" t="s">
        <v>3</v>
      </c>
      <c r="D1" s="7" t="s">
        <v>4</v>
      </c>
      <c r="E1" s="7" t="s">
        <v>14</v>
      </c>
      <c r="F1" s="2" t="s">
        <v>33</v>
      </c>
      <c r="G1" s="7" t="s">
        <v>28</v>
      </c>
      <c r="H1" s="7" t="s">
        <v>30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15.75" customHeight="1">
      <c r="A2" s="17">
        <v>1.0</v>
      </c>
      <c r="B2" s="20" t="s">
        <v>45</v>
      </c>
      <c r="C2" s="23">
        <v>32.0</v>
      </c>
      <c r="D2" s="23" t="str">
        <f t="shared" ref="D2:D30" si="1">(E2)</f>
        <v/>
      </c>
      <c r="E2" s="23"/>
      <c r="F2" s="17"/>
      <c r="G2" s="23">
        <f>SUMIFS('UK Manchester sales'!D:D, 'UK Manchester sales'!B:B, B2, 'UK Manchester sales'!C:C, C2)</f>
        <v>0</v>
      </c>
      <c r="H2" s="23">
        <f t="shared" ref="H2:H29" si="2">D2-G2</f>
        <v>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17">
        <v>2.0</v>
      </c>
      <c r="B3" s="20" t="s">
        <v>45</v>
      </c>
      <c r="C3" s="23">
        <v>34.0</v>
      </c>
      <c r="D3" s="23" t="str">
        <f t="shared" si="1"/>
        <v/>
      </c>
      <c r="E3" s="23"/>
      <c r="F3" s="17"/>
      <c r="G3" s="23">
        <f>SUMIFS('UK Manchester sales'!D:D, 'UK Manchester sales'!B:B, B3, 'UK Manchester sales'!C:C, C3)</f>
        <v>0</v>
      </c>
      <c r="H3" s="23">
        <f t="shared" si="2"/>
        <v>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15.75" customHeight="1">
      <c r="A4" s="17">
        <v>3.0</v>
      </c>
      <c r="B4" s="20" t="s">
        <v>45</v>
      </c>
      <c r="C4" s="23">
        <v>36.0</v>
      </c>
      <c r="D4" s="23" t="str">
        <f t="shared" si="1"/>
        <v/>
      </c>
      <c r="E4" s="23"/>
      <c r="F4" s="17"/>
      <c r="G4" s="23">
        <f>SUMIFS('UK Manchester sales'!D:D, 'UK Manchester sales'!B:B, B4, 'UK Manchester sales'!C:C, C4)</f>
        <v>0</v>
      </c>
      <c r="H4" s="23">
        <f t="shared" si="2"/>
        <v>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15.75" customHeight="1">
      <c r="A5" s="37">
        <v>4.0</v>
      </c>
      <c r="B5" s="39" t="s">
        <v>50</v>
      </c>
      <c r="C5" s="42">
        <v>32.0</v>
      </c>
      <c r="D5" s="23">
        <f t="shared" si="1"/>
        <v>9</v>
      </c>
      <c r="E5" s="42">
        <v>9.0</v>
      </c>
      <c r="F5" s="37"/>
      <c r="G5" s="42">
        <f>SUMIFS('UK Manchester sales'!D:D, 'UK Manchester sales'!B:B, B5, 'UK Manchester sales'!C:C, C5)</f>
        <v>8</v>
      </c>
      <c r="H5" s="23">
        <f t="shared" si="2"/>
        <v>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15.75" customHeight="1">
      <c r="A6" s="37">
        <v>5.0</v>
      </c>
      <c r="B6" s="39" t="s">
        <v>50</v>
      </c>
      <c r="C6" s="42">
        <v>34.0</v>
      </c>
      <c r="D6" s="23">
        <f t="shared" si="1"/>
        <v>10</v>
      </c>
      <c r="E6" s="42">
        <v>10.0</v>
      </c>
      <c r="F6" s="37"/>
      <c r="G6" s="42">
        <f>SUMIFS('UK Manchester sales'!D:D, 'UK Manchester sales'!B:B, B6, 'UK Manchester sales'!C:C, C6)</f>
        <v>10</v>
      </c>
      <c r="H6" s="23">
        <f t="shared" si="2"/>
        <v>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15.75" customHeight="1">
      <c r="A7" s="37">
        <v>6.0</v>
      </c>
      <c r="B7" s="39" t="s">
        <v>50</v>
      </c>
      <c r="C7" s="42">
        <v>36.0</v>
      </c>
      <c r="D7" s="23">
        <f t="shared" si="1"/>
        <v>9</v>
      </c>
      <c r="E7" s="42">
        <v>9.0</v>
      </c>
      <c r="F7" s="37"/>
      <c r="G7" s="42">
        <f>SUMIFS('UK Manchester sales'!D:D, 'UK Manchester sales'!B:B, B7, 'UK Manchester sales'!C:C, C7)</f>
        <v>7</v>
      </c>
      <c r="H7" s="23">
        <f t="shared" si="2"/>
        <v>2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15.75" customHeight="1">
      <c r="A8" s="45">
        <v>7.0</v>
      </c>
      <c r="B8" s="46" t="s">
        <v>52</v>
      </c>
      <c r="C8" s="47">
        <v>32.0</v>
      </c>
      <c r="D8" s="23" t="str">
        <f t="shared" si="1"/>
        <v/>
      </c>
      <c r="E8" s="47"/>
      <c r="F8" s="45"/>
      <c r="G8" s="47">
        <f>SUMIFS('UK Manchester sales'!D:D, 'UK Manchester sales'!B:B, B8, 'UK Manchester sales'!C:C, C8)</f>
        <v>0</v>
      </c>
      <c r="H8" s="23">
        <f t="shared" si="2"/>
        <v>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5.75" customHeight="1">
      <c r="A9" s="45">
        <v>7.0</v>
      </c>
      <c r="B9" s="46" t="s">
        <v>52</v>
      </c>
      <c r="C9" s="47">
        <v>34.0</v>
      </c>
      <c r="D9" s="23" t="str">
        <f t="shared" si="1"/>
        <v/>
      </c>
      <c r="E9" s="47"/>
      <c r="F9" s="45"/>
      <c r="G9" s="47">
        <f>SUMIFS('UK Manchester sales'!D:D, 'UK Manchester sales'!B:B, B9, 'UK Manchester sales'!C:C, C9)</f>
        <v>0</v>
      </c>
      <c r="H9" s="23">
        <f t="shared" si="2"/>
        <v>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5.75" customHeight="1">
      <c r="A10" s="45">
        <v>7.0</v>
      </c>
      <c r="B10" s="46" t="s">
        <v>52</v>
      </c>
      <c r="C10" s="47">
        <v>36.0</v>
      </c>
      <c r="D10" s="23" t="str">
        <f t="shared" si="1"/>
        <v/>
      </c>
      <c r="E10" s="47"/>
      <c r="F10" s="45"/>
      <c r="G10" s="47">
        <f>SUMIFS('UK Manchester sales'!D:D, 'UK Manchester sales'!B:B, B10, 'UK Manchester sales'!C:C, C10)</f>
        <v>0</v>
      </c>
      <c r="H10" s="23">
        <f t="shared" si="2"/>
        <v>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15.75" customHeight="1">
      <c r="A11" s="52">
        <v>7.0</v>
      </c>
      <c r="B11" s="53" t="s">
        <v>53</v>
      </c>
      <c r="C11" s="54">
        <v>32.0</v>
      </c>
      <c r="D11" s="23">
        <f t="shared" si="1"/>
        <v>16</v>
      </c>
      <c r="E11" s="54">
        <v>16.0</v>
      </c>
      <c r="F11" s="52"/>
      <c r="G11" s="54">
        <f>SUMIFS('UK Manchester sales'!D:D, 'UK Manchester sales'!B:B, B11, 'UK Manchester sales'!C:C, C11)</f>
        <v>6</v>
      </c>
      <c r="H11" s="23">
        <f t="shared" si="2"/>
        <v>10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15.75" customHeight="1">
      <c r="A12" s="52">
        <v>7.0</v>
      </c>
      <c r="B12" s="53" t="s">
        <v>53</v>
      </c>
      <c r="C12" s="54">
        <v>34.0</v>
      </c>
      <c r="D12" s="23">
        <f t="shared" si="1"/>
        <v>15</v>
      </c>
      <c r="E12" s="54">
        <v>15.0</v>
      </c>
      <c r="F12" s="52"/>
      <c r="G12" s="54">
        <v>13.0</v>
      </c>
      <c r="H12" s="23">
        <f t="shared" si="2"/>
        <v>2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5.75" customHeight="1">
      <c r="A13" s="52">
        <v>7.0</v>
      </c>
      <c r="B13" s="53" t="s">
        <v>53</v>
      </c>
      <c r="C13" s="54">
        <v>36.0</v>
      </c>
      <c r="D13" s="23">
        <f t="shared" si="1"/>
        <v>12</v>
      </c>
      <c r="E13" s="54">
        <v>12.0</v>
      </c>
      <c r="F13" s="52"/>
      <c r="G13" s="54">
        <f>SUMIFS('UK Manchester sales'!D:D, 'UK Manchester sales'!B:B, B13, 'UK Manchester sales'!C:C, C13)</f>
        <v>8</v>
      </c>
      <c r="H13" s="23">
        <f t="shared" si="2"/>
        <v>4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15.75" customHeight="1">
      <c r="A14" s="17">
        <v>7.0</v>
      </c>
      <c r="B14" s="20" t="s">
        <v>59</v>
      </c>
      <c r="C14" s="23">
        <v>32.0</v>
      </c>
      <c r="D14" s="23" t="str">
        <f t="shared" si="1"/>
        <v/>
      </c>
      <c r="E14" s="23"/>
      <c r="F14" s="17"/>
      <c r="G14" s="23">
        <f>SUMIFS('UK Manchester sales'!D:D, 'UK Manchester sales'!B:B, B14, 'UK Manchester sales'!C:C, C14)</f>
        <v>0</v>
      </c>
      <c r="H14" s="23">
        <f t="shared" si="2"/>
        <v>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15.75" customHeight="1">
      <c r="A15" s="17">
        <v>7.0</v>
      </c>
      <c r="B15" s="20" t="s">
        <v>59</v>
      </c>
      <c r="C15" s="23">
        <v>34.0</v>
      </c>
      <c r="D15" s="23" t="str">
        <f t="shared" si="1"/>
        <v/>
      </c>
      <c r="E15" s="23"/>
      <c r="F15" s="17"/>
      <c r="G15" s="23">
        <f>SUMIFS('UK Manchester sales'!D:D, 'UK Manchester sales'!B:B, B15, 'UK Manchester sales'!C:C, C15)</f>
        <v>0</v>
      </c>
      <c r="H15" s="23">
        <f t="shared" si="2"/>
        <v>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15.75" customHeight="1">
      <c r="A16" s="17">
        <v>7.0</v>
      </c>
      <c r="B16" s="20" t="s">
        <v>59</v>
      </c>
      <c r="C16" s="23">
        <v>36.0</v>
      </c>
      <c r="D16" s="23" t="str">
        <f t="shared" si="1"/>
        <v/>
      </c>
      <c r="E16" s="23"/>
      <c r="F16" s="17"/>
      <c r="G16" s="23">
        <f>SUMIFS('UK Manchester sales'!D:D, 'UK Manchester sales'!B:B, B16, 'UK Manchester sales'!C:C, C16)</f>
        <v>0</v>
      </c>
      <c r="H16" s="23">
        <f t="shared" si="2"/>
        <v>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15.75" customHeight="1">
      <c r="A17" s="37"/>
      <c r="B17" s="39" t="s">
        <v>63</v>
      </c>
      <c r="C17" s="42">
        <v>32.0</v>
      </c>
      <c r="D17" s="23" t="str">
        <f t="shared" si="1"/>
        <v/>
      </c>
      <c r="E17" s="42"/>
      <c r="F17" s="37"/>
      <c r="G17" s="42"/>
      <c r="H17" s="23">
        <f t="shared" si="2"/>
        <v>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15.75" customHeight="1">
      <c r="A18" s="37"/>
      <c r="B18" s="39" t="s">
        <v>63</v>
      </c>
      <c r="C18" s="42">
        <v>34.0</v>
      </c>
      <c r="D18" s="23" t="str">
        <f t="shared" si="1"/>
        <v/>
      </c>
      <c r="E18" s="42"/>
      <c r="F18" s="37"/>
      <c r="G18" s="42"/>
      <c r="H18" s="23">
        <f t="shared" si="2"/>
        <v>0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15.75" customHeight="1">
      <c r="A19" s="37"/>
      <c r="B19" s="39" t="s">
        <v>63</v>
      </c>
      <c r="C19" s="42">
        <v>36.0</v>
      </c>
      <c r="D19" s="23" t="str">
        <f t="shared" si="1"/>
        <v/>
      </c>
      <c r="E19" s="42"/>
      <c r="F19" s="37"/>
      <c r="G19" s="42"/>
      <c r="H19" s="23">
        <f t="shared" si="2"/>
        <v>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15.75" customHeight="1">
      <c r="A20" s="62">
        <v>7.0</v>
      </c>
      <c r="B20" s="46" t="s">
        <v>51</v>
      </c>
      <c r="C20" s="59">
        <v>32.0</v>
      </c>
      <c r="D20" s="23" t="str">
        <f t="shared" si="1"/>
        <v/>
      </c>
      <c r="E20" s="59"/>
      <c r="F20" s="62"/>
      <c r="G20" s="59">
        <f>SUMIFS('UK Manchester sales'!D:D, 'UK Manchester sales'!B:B, B20, 'UK Manchester sales'!C:C, C20)</f>
        <v>0</v>
      </c>
      <c r="H20" s="23">
        <f t="shared" si="2"/>
        <v>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15.75" customHeight="1">
      <c r="A21" s="62">
        <v>7.0</v>
      </c>
      <c r="B21" s="46" t="s">
        <v>51</v>
      </c>
      <c r="C21" s="59">
        <v>34.0</v>
      </c>
      <c r="D21" s="23" t="str">
        <f t="shared" si="1"/>
        <v/>
      </c>
      <c r="E21" s="59"/>
      <c r="F21" s="62"/>
      <c r="G21" s="59">
        <f>SUMIFS('UK Manchester sales'!D:D, 'UK Manchester sales'!B:B, B21, 'UK Manchester sales'!C:C, C21)</f>
        <v>0</v>
      </c>
      <c r="H21" s="23">
        <f t="shared" si="2"/>
        <v>0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15.75" customHeight="1">
      <c r="A22" s="62">
        <v>7.0</v>
      </c>
      <c r="B22" s="46" t="s">
        <v>51</v>
      </c>
      <c r="C22" s="59">
        <v>36.0</v>
      </c>
      <c r="D22" s="23" t="str">
        <f t="shared" si="1"/>
        <v/>
      </c>
      <c r="E22" s="59"/>
      <c r="F22" s="62"/>
      <c r="G22" s="59">
        <f>SUMIFS('UK Manchester sales'!D:D, 'UK Manchester sales'!B:B, B22, 'UK Manchester sales'!C:C, C22)</f>
        <v>0</v>
      </c>
      <c r="H22" s="23">
        <f t="shared" si="2"/>
        <v>0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15.75" customHeight="1">
      <c r="A23" s="69"/>
      <c r="B23" s="53" t="s">
        <v>71</v>
      </c>
      <c r="C23" s="54">
        <v>32.0</v>
      </c>
      <c r="D23" s="23" t="str">
        <f t="shared" si="1"/>
        <v/>
      </c>
      <c r="E23" s="71"/>
      <c r="F23" s="69"/>
      <c r="G23" s="71"/>
      <c r="H23" s="23">
        <f t="shared" si="2"/>
        <v>0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15.75" customHeight="1">
      <c r="A24" s="69"/>
      <c r="B24" s="53" t="s">
        <v>71</v>
      </c>
      <c r="C24" s="54">
        <v>34.0</v>
      </c>
      <c r="D24" s="23" t="str">
        <f t="shared" si="1"/>
        <v/>
      </c>
      <c r="E24" s="71"/>
      <c r="F24" s="69"/>
      <c r="G24" s="71"/>
      <c r="H24" s="23">
        <f t="shared" si="2"/>
        <v>0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15.75" customHeight="1">
      <c r="A25" s="69"/>
      <c r="B25" s="53" t="s">
        <v>71</v>
      </c>
      <c r="C25" s="54">
        <v>36.0</v>
      </c>
      <c r="D25" s="23" t="str">
        <f t="shared" si="1"/>
        <v/>
      </c>
      <c r="E25" s="71"/>
      <c r="F25" s="69"/>
      <c r="G25" s="71"/>
      <c r="H25" s="23">
        <f t="shared" si="2"/>
        <v>0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17.25" customHeight="1">
      <c r="A26" s="73"/>
      <c r="B26" s="74" t="s">
        <v>46</v>
      </c>
      <c r="C26" s="75">
        <v>30.0</v>
      </c>
      <c r="D26" s="23" t="str">
        <f t="shared" si="1"/>
        <v/>
      </c>
      <c r="E26" s="75"/>
      <c r="F26" s="73"/>
      <c r="G26" s="75"/>
      <c r="H26" s="23">
        <f t="shared" si="2"/>
        <v>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17.25" customHeight="1">
      <c r="A27" s="73">
        <v>7.0</v>
      </c>
      <c r="B27" s="74" t="s">
        <v>46</v>
      </c>
      <c r="C27" s="75">
        <v>32.0</v>
      </c>
      <c r="D27" s="23">
        <f t="shared" si="1"/>
        <v>7</v>
      </c>
      <c r="E27" s="75">
        <v>7.0</v>
      </c>
      <c r="F27" s="73"/>
      <c r="G27" s="75">
        <f>SUMIFS('UK Manchester sales'!D:D, 'UK Manchester sales'!B:B, B27, 'UK Manchester sales'!C:C, C27)</f>
        <v>3</v>
      </c>
      <c r="H27" s="23">
        <f t="shared" si="2"/>
        <v>4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15.75" customHeight="1">
      <c r="A28" s="73">
        <v>7.0</v>
      </c>
      <c r="B28" s="74" t="s">
        <v>46</v>
      </c>
      <c r="C28" s="75">
        <v>34.0</v>
      </c>
      <c r="D28" s="23">
        <f t="shared" si="1"/>
        <v>8</v>
      </c>
      <c r="E28" s="75">
        <v>8.0</v>
      </c>
      <c r="F28" s="73"/>
      <c r="G28" s="75">
        <f>SUMIFS('UK Manchester sales'!D:D, 'UK Manchester sales'!B:B, B28, 'UK Manchester sales'!C:C, C28)</f>
        <v>8</v>
      </c>
      <c r="H28" s="23">
        <f t="shared" si="2"/>
        <v>0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15.75" customHeight="1">
      <c r="A29" s="73">
        <v>7.0</v>
      </c>
      <c r="B29" s="74" t="s">
        <v>46</v>
      </c>
      <c r="C29" s="75">
        <v>36.0</v>
      </c>
      <c r="D29" s="23">
        <f t="shared" si="1"/>
        <v>5</v>
      </c>
      <c r="E29" s="75">
        <v>5.0</v>
      </c>
      <c r="F29" s="73"/>
      <c r="G29" s="75">
        <f>SUMIFS('UK Manchester sales'!D:D, 'UK Manchester sales'!B:B, B29, 'UK Manchester sales'!C:C, C29)</f>
        <v>1</v>
      </c>
      <c r="H29" s="23">
        <f t="shared" si="2"/>
        <v>4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15.75" customHeight="1">
      <c r="A30" s="84" t="s">
        <v>75</v>
      </c>
      <c r="B30" s="86"/>
      <c r="C30" s="88"/>
      <c r="D30" s="23">
        <f t="shared" si="1"/>
        <v>91</v>
      </c>
      <c r="E30" s="88">
        <f>SUM(E2:E29)</f>
        <v>91</v>
      </c>
      <c r="F30" s="84"/>
      <c r="G30" s="88">
        <f t="shared" ref="G30:H30" si="3">SUM(G2:G29)</f>
        <v>64</v>
      </c>
      <c r="H30" s="88">
        <f t="shared" si="3"/>
        <v>27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15.75" customHeight="1">
      <c r="A31" s="11"/>
      <c r="B31" s="90"/>
      <c r="C31" s="91"/>
      <c r="D31" s="91"/>
      <c r="E31" s="91"/>
      <c r="F31" s="11"/>
      <c r="G31" s="91"/>
      <c r="H31" s="9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15.75" customHeight="1">
      <c r="A32" s="11"/>
      <c r="B32" s="90"/>
      <c r="C32" s="91"/>
      <c r="D32" s="91"/>
      <c r="E32" s="91"/>
      <c r="F32" s="11"/>
      <c r="G32" s="91"/>
      <c r="H32" s="9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5.75" customHeight="1">
      <c r="A33" s="11"/>
      <c r="B33" s="90"/>
      <c r="C33" s="91"/>
      <c r="D33" s="91"/>
      <c r="E33" s="91"/>
      <c r="F33" s="11"/>
      <c r="G33" s="91"/>
      <c r="H33" s="9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5.75" customHeight="1">
      <c r="A34" s="11"/>
      <c r="B34" s="90"/>
      <c r="C34" s="91"/>
      <c r="D34" s="91"/>
      <c r="E34" s="91"/>
      <c r="F34" s="11"/>
      <c r="G34" s="91"/>
      <c r="H34" s="9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5.75" customHeight="1">
      <c r="A35" s="11"/>
      <c r="B35" s="90"/>
      <c r="C35" s="91"/>
      <c r="D35" s="91"/>
      <c r="E35" s="91"/>
      <c r="F35" s="11"/>
      <c r="G35" s="91"/>
      <c r="H35" s="9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5.75" customHeight="1">
      <c r="A36" s="11"/>
      <c r="B36" s="90"/>
      <c r="C36" s="91"/>
      <c r="D36" s="91"/>
      <c r="E36" s="91"/>
      <c r="F36" s="11"/>
      <c r="G36" s="91"/>
      <c r="H36" s="9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5.75" customHeight="1">
      <c r="A37" s="11"/>
      <c r="B37" s="90"/>
      <c r="C37" s="91"/>
      <c r="D37" s="91"/>
      <c r="E37" s="91"/>
      <c r="F37" s="11"/>
      <c r="G37" s="91"/>
      <c r="H37" s="9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5.75" customHeight="1">
      <c r="A38" s="11"/>
      <c r="B38" s="90"/>
      <c r="C38" s="91"/>
      <c r="D38" s="91"/>
      <c r="E38" s="91"/>
      <c r="F38" s="11"/>
      <c r="G38" s="91"/>
      <c r="H38" s="9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5.75" customHeight="1">
      <c r="A39" s="11"/>
      <c r="B39" s="90"/>
      <c r="C39" s="91"/>
      <c r="D39" s="91"/>
      <c r="E39" s="91"/>
      <c r="F39" s="11"/>
      <c r="G39" s="91"/>
      <c r="H39" s="9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5.75" customHeight="1">
      <c r="A40" s="11"/>
      <c r="B40" s="90"/>
      <c r="C40" s="91"/>
      <c r="D40" s="91"/>
      <c r="E40" s="91"/>
      <c r="F40" s="11"/>
      <c r="G40" s="91"/>
      <c r="H40" s="9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5.75" customHeight="1">
      <c r="A41" s="11"/>
      <c r="B41" s="90"/>
      <c r="C41" s="91"/>
      <c r="D41" s="91"/>
      <c r="E41" s="91"/>
      <c r="F41" s="11"/>
      <c r="G41" s="91"/>
      <c r="H41" s="9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5.75" customHeight="1">
      <c r="A42" s="11"/>
      <c r="B42" s="90"/>
      <c r="C42" s="91"/>
      <c r="D42" s="91"/>
      <c r="E42" s="91"/>
      <c r="F42" s="11"/>
      <c r="G42" s="91"/>
      <c r="H42" s="9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5.75" customHeight="1">
      <c r="A43" s="11"/>
      <c r="B43" s="90"/>
      <c r="C43" s="91"/>
      <c r="D43" s="91"/>
      <c r="E43" s="91"/>
      <c r="F43" s="11"/>
      <c r="G43" s="91"/>
      <c r="H43" s="9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5.75" customHeight="1">
      <c r="A44" s="11"/>
      <c r="B44" s="90"/>
      <c r="C44" s="91"/>
      <c r="D44" s="91"/>
      <c r="E44" s="91"/>
      <c r="F44" s="11"/>
      <c r="G44" s="91"/>
      <c r="H44" s="9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5.75" customHeight="1">
      <c r="A45" s="11"/>
      <c r="B45" s="90"/>
      <c r="C45" s="91"/>
      <c r="D45" s="91"/>
      <c r="E45" s="91"/>
      <c r="F45" s="11"/>
      <c r="G45" s="91"/>
      <c r="H45" s="9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5.75" customHeight="1">
      <c r="A46" s="11"/>
      <c r="B46" s="90"/>
      <c r="C46" s="91"/>
      <c r="D46" s="91"/>
      <c r="E46" s="91"/>
      <c r="F46" s="11"/>
      <c r="G46" s="91"/>
      <c r="H46" s="9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5.75" customHeight="1">
      <c r="A47" s="11"/>
      <c r="B47" s="90"/>
      <c r="C47" s="91"/>
      <c r="D47" s="91"/>
      <c r="E47" s="91"/>
      <c r="F47" s="11"/>
      <c r="G47" s="91"/>
      <c r="H47" s="9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5.75" customHeight="1">
      <c r="A48" s="11"/>
      <c r="B48" s="90"/>
      <c r="C48" s="91"/>
      <c r="D48" s="91"/>
      <c r="E48" s="91"/>
      <c r="F48" s="11"/>
      <c r="G48" s="91"/>
      <c r="H48" s="9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5.75" customHeight="1">
      <c r="A49" s="11"/>
      <c r="B49" s="90"/>
      <c r="C49" s="91"/>
      <c r="D49" s="91"/>
      <c r="E49" s="91"/>
      <c r="F49" s="11"/>
      <c r="G49" s="91"/>
      <c r="H49" s="9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5.75" customHeight="1">
      <c r="A50" s="11"/>
      <c r="B50" s="90"/>
      <c r="C50" s="91"/>
      <c r="D50" s="91"/>
      <c r="E50" s="91"/>
      <c r="F50" s="11"/>
      <c r="G50" s="91"/>
      <c r="H50" s="9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5.75" customHeight="1">
      <c r="A51" s="11"/>
      <c r="B51" s="90"/>
      <c r="C51" s="91"/>
      <c r="D51" s="91"/>
      <c r="E51" s="91"/>
      <c r="F51" s="11"/>
      <c r="G51" s="91"/>
      <c r="H51" s="9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5.75" customHeight="1">
      <c r="A52" s="11"/>
      <c r="B52" s="90"/>
      <c r="C52" s="91"/>
      <c r="D52" s="91"/>
      <c r="E52" s="91"/>
      <c r="F52" s="11"/>
      <c r="G52" s="91"/>
      <c r="H52" s="9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5.75" customHeight="1">
      <c r="A53" s="11"/>
      <c r="B53" s="90"/>
      <c r="C53" s="91"/>
      <c r="D53" s="91"/>
      <c r="E53" s="91"/>
      <c r="F53" s="11"/>
      <c r="G53" s="91"/>
      <c r="H53" s="9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5.75" customHeight="1">
      <c r="A54" s="11"/>
      <c r="B54" s="90"/>
      <c r="C54" s="91"/>
      <c r="D54" s="91"/>
      <c r="E54" s="91"/>
      <c r="F54" s="11"/>
      <c r="G54" s="91"/>
      <c r="H54" s="9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5.75" customHeight="1">
      <c r="A55" s="11"/>
      <c r="B55" s="90"/>
      <c r="C55" s="91"/>
      <c r="D55" s="91"/>
      <c r="E55" s="91"/>
      <c r="F55" s="11"/>
      <c r="G55" s="91"/>
      <c r="H55" s="9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5.75" customHeight="1">
      <c r="A56" s="11"/>
      <c r="B56" s="90"/>
      <c r="C56" s="91"/>
      <c r="D56" s="91"/>
      <c r="E56" s="91"/>
      <c r="F56" s="11"/>
      <c r="G56" s="91"/>
      <c r="H56" s="9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5.75" customHeight="1">
      <c r="A57" s="11"/>
      <c r="B57" s="90"/>
      <c r="C57" s="91"/>
      <c r="D57" s="91"/>
      <c r="E57" s="91"/>
      <c r="F57" s="11"/>
      <c r="G57" s="91"/>
      <c r="H57" s="9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5.75" customHeight="1">
      <c r="A58" s="11"/>
      <c r="B58" s="90"/>
      <c r="C58" s="91"/>
      <c r="D58" s="91"/>
      <c r="E58" s="91"/>
      <c r="F58" s="11"/>
      <c r="G58" s="91"/>
      <c r="H58" s="9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5.75" customHeight="1">
      <c r="A59" s="11"/>
      <c r="B59" s="90"/>
      <c r="C59" s="91"/>
      <c r="D59" s="91"/>
      <c r="E59" s="91"/>
      <c r="F59" s="11"/>
      <c r="G59" s="91"/>
      <c r="H59" s="9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5.75" customHeight="1">
      <c r="A60" s="11"/>
      <c r="B60" s="90"/>
      <c r="C60" s="91"/>
      <c r="D60" s="91"/>
      <c r="E60" s="91"/>
      <c r="F60" s="11"/>
      <c r="G60" s="91"/>
      <c r="H60" s="9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5.75" customHeight="1">
      <c r="A61" s="11"/>
      <c r="B61" s="90"/>
      <c r="C61" s="91"/>
      <c r="D61" s="91"/>
      <c r="E61" s="91"/>
      <c r="F61" s="11"/>
      <c r="G61" s="91"/>
      <c r="H61" s="9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5.75" customHeight="1">
      <c r="A62" s="11"/>
      <c r="B62" s="90"/>
      <c r="C62" s="91"/>
      <c r="D62" s="91"/>
      <c r="E62" s="91"/>
      <c r="F62" s="11"/>
      <c r="G62" s="91"/>
      <c r="H62" s="9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5.75" customHeight="1">
      <c r="A63" s="11"/>
      <c r="B63" s="90"/>
      <c r="C63" s="91"/>
      <c r="D63" s="91"/>
      <c r="E63" s="91"/>
      <c r="F63" s="11"/>
      <c r="G63" s="91"/>
      <c r="H63" s="9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5.75" customHeight="1">
      <c r="A64" s="11"/>
      <c r="B64" s="90"/>
      <c r="C64" s="91"/>
      <c r="D64" s="91"/>
      <c r="E64" s="91"/>
      <c r="F64" s="11"/>
      <c r="G64" s="91"/>
      <c r="H64" s="9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5.75" customHeight="1">
      <c r="A65" s="11"/>
      <c r="B65" s="90"/>
      <c r="C65" s="91"/>
      <c r="D65" s="91"/>
      <c r="E65" s="91"/>
      <c r="F65" s="11"/>
      <c r="G65" s="91"/>
      <c r="H65" s="9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5.75" customHeight="1">
      <c r="A66" s="11"/>
      <c r="B66" s="90"/>
      <c r="C66" s="91"/>
      <c r="D66" s="91"/>
      <c r="E66" s="91"/>
      <c r="F66" s="11"/>
      <c r="G66" s="91"/>
      <c r="H66" s="9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5.75" customHeight="1">
      <c r="A67" s="11"/>
      <c r="B67" s="90"/>
      <c r="C67" s="91"/>
      <c r="D67" s="91"/>
      <c r="E67" s="91"/>
      <c r="F67" s="11"/>
      <c r="G67" s="91"/>
      <c r="H67" s="9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5.75" customHeight="1">
      <c r="A68" s="11"/>
      <c r="B68" s="90"/>
      <c r="C68" s="91"/>
      <c r="D68" s="91"/>
      <c r="E68" s="91"/>
      <c r="F68" s="11"/>
      <c r="G68" s="91"/>
      <c r="H68" s="9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5.75" customHeight="1">
      <c r="A69" s="11"/>
      <c r="B69" s="90"/>
      <c r="C69" s="91"/>
      <c r="D69" s="91"/>
      <c r="E69" s="91"/>
      <c r="F69" s="11"/>
      <c r="G69" s="91"/>
      <c r="H69" s="9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5.75" customHeight="1">
      <c r="A70" s="11"/>
      <c r="B70" s="90"/>
      <c r="C70" s="91"/>
      <c r="D70" s="91"/>
      <c r="E70" s="91"/>
      <c r="F70" s="11"/>
      <c r="G70" s="91"/>
      <c r="H70" s="9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5.75" customHeight="1">
      <c r="A71" s="11"/>
      <c r="B71" s="90"/>
      <c r="C71" s="91"/>
      <c r="D71" s="91"/>
      <c r="E71" s="91"/>
      <c r="F71" s="11"/>
      <c r="G71" s="91"/>
      <c r="H71" s="9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5.75" customHeight="1">
      <c r="A72" s="11"/>
      <c r="B72" s="90"/>
      <c r="C72" s="91"/>
      <c r="D72" s="91"/>
      <c r="E72" s="91"/>
      <c r="F72" s="11"/>
      <c r="G72" s="91"/>
      <c r="H72" s="9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5.75" customHeight="1">
      <c r="A73" s="11"/>
      <c r="B73" s="90"/>
      <c r="C73" s="91"/>
      <c r="D73" s="91"/>
      <c r="E73" s="91"/>
      <c r="F73" s="11"/>
      <c r="G73" s="91"/>
      <c r="H73" s="9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5.75" customHeight="1">
      <c r="A74" s="11"/>
      <c r="B74" s="90"/>
      <c r="C74" s="91"/>
      <c r="D74" s="91"/>
      <c r="E74" s="91"/>
      <c r="F74" s="11"/>
      <c r="G74" s="91"/>
      <c r="H74" s="9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5.75" customHeight="1">
      <c r="A75" s="11"/>
      <c r="B75" s="90"/>
      <c r="C75" s="91"/>
      <c r="D75" s="91"/>
      <c r="E75" s="91"/>
      <c r="F75" s="11"/>
      <c r="G75" s="91"/>
      <c r="H75" s="9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5.75" customHeight="1">
      <c r="A76" s="11"/>
      <c r="B76" s="90"/>
      <c r="C76" s="91"/>
      <c r="D76" s="91"/>
      <c r="E76" s="91"/>
      <c r="F76" s="11"/>
      <c r="G76" s="91"/>
      <c r="H76" s="9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5.75" customHeight="1">
      <c r="A77" s="11"/>
      <c r="B77" s="90"/>
      <c r="C77" s="91"/>
      <c r="D77" s="91"/>
      <c r="E77" s="91"/>
      <c r="F77" s="11"/>
      <c r="G77" s="91"/>
      <c r="H77" s="9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5.75" customHeight="1">
      <c r="A78" s="11"/>
      <c r="B78" s="90"/>
      <c r="C78" s="91"/>
      <c r="D78" s="91"/>
      <c r="E78" s="91"/>
      <c r="F78" s="11"/>
      <c r="G78" s="91"/>
      <c r="H78" s="9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5.75" customHeight="1">
      <c r="A79" s="11"/>
      <c r="B79" s="90"/>
      <c r="C79" s="91"/>
      <c r="D79" s="91"/>
      <c r="E79" s="91"/>
      <c r="F79" s="11"/>
      <c r="G79" s="91"/>
      <c r="H79" s="9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5.75" customHeight="1">
      <c r="A80" s="11"/>
      <c r="B80" s="90"/>
      <c r="C80" s="91"/>
      <c r="D80" s="91"/>
      <c r="E80" s="91"/>
      <c r="F80" s="11"/>
      <c r="G80" s="91"/>
      <c r="H80" s="9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5.75" customHeight="1">
      <c r="A81" s="11"/>
      <c r="B81" s="90"/>
      <c r="C81" s="91"/>
      <c r="D81" s="91"/>
      <c r="E81" s="91"/>
      <c r="F81" s="11"/>
      <c r="G81" s="91"/>
      <c r="H81" s="9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5.75" customHeight="1">
      <c r="A82" s="11"/>
      <c r="B82" s="90"/>
      <c r="C82" s="91"/>
      <c r="D82" s="91"/>
      <c r="E82" s="91"/>
      <c r="F82" s="11"/>
      <c r="G82" s="91"/>
      <c r="H82" s="9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5.75" customHeight="1">
      <c r="A83" s="11"/>
      <c r="B83" s="90"/>
      <c r="C83" s="91"/>
      <c r="D83" s="91"/>
      <c r="E83" s="91"/>
      <c r="F83" s="11"/>
      <c r="G83" s="91"/>
      <c r="H83" s="9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5.75" customHeight="1">
      <c r="A84" s="11"/>
      <c r="B84" s="90"/>
      <c r="C84" s="91"/>
      <c r="D84" s="91"/>
      <c r="E84" s="91"/>
      <c r="F84" s="11"/>
      <c r="G84" s="91"/>
      <c r="H84" s="9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5.75" customHeight="1">
      <c r="A85" s="11"/>
      <c r="B85" s="90"/>
      <c r="C85" s="91"/>
      <c r="D85" s="91"/>
      <c r="E85" s="91"/>
      <c r="F85" s="11"/>
      <c r="G85" s="91"/>
      <c r="H85" s="9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5.75" customHeight="1">
      <c r="A86" s="11"/>
      <c r="B86" s="90"/>
      <c r="C86" s="91"/>
      <c r="D86" s="91"/>
      <c r="E86" s="91"/>
      <c r="F86" s="11"/>
      <c r="G86" s="91"/>
      <c r="H86" s="9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5.75" customHeight="1">
      <c r="A87" s="11"/>
      <c r="B87" s="90"/>
      <c r="C87" s="91"/>
      <c r="D87" s="91"/>
      <c r="E87" s="91"/>
      <c r="F87" s="11"/>
      <c r="G87" s="91"/>
      <c r="H87" s="9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5.75" customHeight="1">
      <c r="A88" s="11"/>
      <c r="B88" s="90"/>
      <c r="C88" s="91"/>
      <c r="D88" s="91"/>
      <c r="E88" s="91"/>
      <c r="F88" s="11"/>
      <c r="G88" s="91"/>
      <c r="H88" s="9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5.75" customHeight="1">
      <c r="A89" s="11"/>
      <c r="B89" s="90"/>
      <c r="C89" s="91"/>
      <c r="D89" s="91"/>
      <c r="E89" s="91"/>
      <c r="F89" s="11"/>
      <c r="G89" s="91"/>
      <c r="H89" s="9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5.75" customHeight="1">
      <c r="A90" s="11"/>
      <c r="B90" s="90"/>
      <c r="C90" s="91"/>
      <c r="D90" s="91"/>
      <c r="E90" s="91"/>
      <c r="F90" s="11"/>
      <c r="G90" s="91"/>
      <c r="H90" s="9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5.75" customHeight="1">
      <c r="A91" s="11"/>
      <c r="B91" s="90"/>
      <c r="C91" s="91"/>
      <c r="D91" s="91"/>
      <c r="E91" s="91"/>
      <c r="F91" s="11"/>
      <c r="G91" s="91"/>
      <c r="H91" s="9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5.75" customHeight="1">
      <c r="A92" s="11"/>
      <c r="B92" s="90"/>
      <c r="C92" s="91"/>
      <c r="D92" s="91"/>
      <c r="E92" s="91"/>
      <c r="F92" s="11"/>
      <c r="G92" s="91"/>
      <c r="H92" s="9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5.75" customHeight="1">
      <c r="A93" s="11"/>
      <c r="B93" s="90"/>
      <c r="C93" s="91"/>
      <c r="D93" s="91"/>
      <c r="E93" s="91"/>
      <c r="F93" s="11"/>
      <c r="G93" s="91"/>
      <c r="H93" s="9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5.75" customHeight="1">
      <c r="A94" s="11"/>
      <c r="B94" s="90"/>
      <c r="C94" s="91"/>
      <c r="D94" s="91"/>
      <c r="E94" s="91"/>
      <c r="F94" s="11"/>
      <c r="G94" s="91"/>
      <c r="H94" s="9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5.75" customHeight="1">
      <c r="A95" s="11"/>
      <c r="B95" s="90"/>
      <c r="C95" s="91"/>
      <c r="D95" s="91"/>
      <c r="E95" s="91"/>
      <c r="F95" s="11"/>
      <c r="G95" s="91"/>
      <c r="H95" s="9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5.75" customHeight="1">
      <c r="A96" s="11"/>
      <c r="B96" s="90"/>
      <c r="C96" s="91"/>
      <c r="D96" s="91"/>
      <c r="E96" s="91"/>
      <c r="F96" s="11"/>
      <c r="G96" s="91"/>
      <c r="H96" s="9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5.75" customHeight="1">
      <c r="A97" s="11"/>
      <c r="B97" s="90"/>
      <c r="C97" s="91"/>
      <c r="D97" s="91"/>
      <c r="E97" s="91"/>
      <c r="F97" s="11"/>
      <c r="G97" s="91"/>
      <c r="H97" s="9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5.75" customHeight="1">
      <c r="A98" s="11"/>
      <c r="B98" s="90"/>
      <c r="C98" s="91"/>
      <c r="D98" s="91"/>
      <c r="E98" s="91"/>
      <c r="F98" s="11"/>
      <c r="G98" s="91"/>
      <c r="H98" s="9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5.75" customHeight="1">
      <c r="A99" s="11"/>
      <c r="B99" s="90"/>
      <c r="C99" s="91"/>
      <c r="D99" s="91"/>
      <c r="E99" s="91"/>
      <c r="F99" s="11"/>
      <c r="G99" s="91"/>
      <c r="H99" s="9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5.75" customHeight="1">
      <c r="A100" s="11"/>
      <c r="B100" s="90"/>
      <c r="C100" s="91"/>
      <c r="D100" s="91"/>
      <c r="E100" s="91"/>
      <c r="F100" s="11"/>
      <c r="G100" s="91"/>
      <c r="H100" s="9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5.75" customHeight="1">
      <c r="A101" s="11"/>
      <c r="B101" s="90"/>
      <c r="C101" s="91"/>
      <c r="D101" s="91"/>
      <c r="E101" s="91"/>
      <c r="F101" s="11"/>
      <c r="G101" s="91"/>
      <c r="H101" s="9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5.75" customHeight="1">
      <c r="A102" s="11"/>
      <c r="B102" s="90"/>
      <c r="C102" s="91"/>
      <c r="D102" s="91"/>
      <c r="E102" s="91"/>
      <c r="F102" s="11"/>
      <c r="G102" s="91"/>
      <c r="H102" s="9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5.75" customHeight="1">
      <c r="A103" s="11"/>
      <c r="B103" s="90"/>
      <c r="C103" s="91"/>
      <c r="D103" s="91"/>
      <c r="E103" s="91"/>
      <c r="F103" s="11"/>
      <c r="G103" s="91"/>
      <c r="H103" s="9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5.75" customHeight="1">
      <c r="A104" s="11"/>
      <c r="B104" s="90"/>
      <c r="C104" s="91"/>
      <c r="D104" s="91"/>
      <c r="E104" s="91"/>
      <c r="F104" s="11"/>
      <c r="G104" s="91"/>
      <c r="H104" s="9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5.75" customHeight="1">
      <c r="A105" s="11"/>
      <c r="B105" s="90"/>
      <c r="C105" s="91"/>
      <c r="D105" s="91"/>
      <c r="E105" s="91"/>
      <c r="F105" s="11"/>
      <c r="G105" s="91"/>
      <c r="H105" s="9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5.75" customHeight="1">
      <c r="A106" s="11"/>
      <c r="B106" s="90"/>
      <c r="C106" s="91"/>
      <c r="D106" s="91"/>
      <c r="E106" s="91"/>
      <c r="F106" s="11"/>
      <c r="G106" s="91"/>
      <c r="H106" s="9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5.75" customHeight="1">
      <c r="A107" s="11"/>
      <c r="B107" s="90"/>
      <c r="C107" s="91"/>
      <c r="D107" s="91"/>
      <c r="E107" s="91"/>
      <c r="F107" s="11"/>
      <c r="G107" s="91"/>
      <c r="H107" s="9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5.75" customHeight="1">
      <c r="A108" s="11"/>
      <c r="B108" s="90"/>
      <c r="C108" s="91"/>
      <c r="D108" s="91"/>
      <c r="E108" s="91"/>
      <c r="F108" s="11"/>
      <c r="G108" s="91"/>
      <c r="H108" s="9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5.75" customHeight="1">
      <c r="A109" s="11"/>
      <c r="B109" s="90"/>
      <c r="C109" s="91"/>
      <c r="D109" s="91"/>
      <c r="E109" s="91"/>
      <c r="F109" s="11"/>
      <c r="G109" s="91"/>
      <c r="H109" s="9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5.75" customHeight="1">
      <c r="A110" s="11"/>
      <c r="B110" s="90"/>
      <c r="C110" s="91"/>
      <c r="D110" s="91"/>
      <c r="E110" s="91"/>
      <c r="F110" s="11"/>
      <c r="G110" s="91"/>
      <c r="H110" s="9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5.75" customHeight="1">
      <c r="A111" s="11"/>
      <c r="B111" s="90"/>
      <c r="C111" s="91"/>
      <c r="D111" s="91"/>
      <c r="E111" s="91"/>
      <c r="F111" s="11"/>
      <c r="G111" s="91"/>
      <c r="H111" s="9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5.75" customHeight="1">
      <c r="A112" s="11"/>
      <c r="B112" s="90"/>
      <c r="C112" s="91"/>
      <c r="D112" s="91"/>
      <c r="E112" s="91"/>
      <c r="F112" s="11"/>
      <c r="G112" s="91"/>
      <c r="H112" s="9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5.75" customHeight="1">
      <c r="A113" s="11"/>
      <c r="B113" s="90"/>
      <c r="C113" s="91"/>
      <c r="D113" s="91"/>
      <c r="E113" s="91"/>
      <c r="F113" s="11"/>
      <c r="G113" s="91"/>
      <c r="H113" s="9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5.75" customHeight="1">
      <c r="A114" s="11"/>
      <c r="B114" s="90"/>
      <c r="C114" s="91"/>
      <c r="D114" s="91"/>
      <c r="E114" s="91"/>
      <c r="F114" s="11"/>
      <c r="G114" s="91"/>
      <c r="H114" s="9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5.75" customHeight="1">
      <c r="A115" s="11"/>
      <c r="B115" s="90"/>
      <c r="C115" s="91"/>
      <c r="D115" s="91"/>
      <c r="E115" s="91"/>
      <c r="F115" s="11"/>
      <c r="G115" s="91"/>
      <c r="H115" s="9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5.75" customHeight="1">
      <c r="A116" s="11"/>
      <c r="B116" s="90"/>
      <c r="C116" s="91"/>
      <c r="D116" s="91"/>
      <c r="E116" s="91"/>
      <c r="F116" s="11"/>
      <c r="G116" s="91"/>
      <c r="H116" s="9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5.75" customHeight="1">
      <c r="A117" s="11"/>
      <c r="B117" s="90"/>
      <c r="C117" s="91"/>
      <c r="D117" s="91"/>
      <c r="E117" s="91"/>
      <c r="F117" s="11"/>
      <c r="G117" s="91"/>
      <c r="H117" s="9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5.75" customHeight="1">
      <c r="A118" s="11"/>
      <c r="B118" s="90"/>
      <c r="C118" s="91"/>
      <c r="D118" s="91"/>
      <c r="E118" s="91"/>
      <c r="F118" s="11"/>
      <c r="G118" s="91"/>
      <c r="H118" s="9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5.75" customHeight="1">
      <c r="A119" s="11"/>
      <c r="B119" s="90"/>
      <c r="C119" s="91"/>
      <c r="D119" s="91"/>
      <c r="E119" s="91"/>
      <c r="F119" s="11"/>
      <c r="G119" s="91"/>
      <c r="H119" s="9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5.75" customHeight="1">
      <c r="A120" s="11"/>
      <c r="B120" s="90"/>
      <c r="C120" s="91"/>
      <c r="D120" s="91"/>
      <c r="E120" s="91"/>
      <c r="F120" s="11"/>
      <c r="G120" s="91"/>
      <c r="H120" s="9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5.75" customHeight="1">
      <c r="A121" s="11"/>
      <c r="B121" s="90"/>
      <c r="C121" s="91"/>
      <c r="D121" s="91"/>
      <c r="E121" s="91"/>
      <c r="F121" s="11"/>
      <c r="G121" s="91"/>
      <c r="H121" s="9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5.75" customHeight="1">
      <c r="A122" s="11"/>
      <c r="B122" s="90"/>
      <c r="C122" s="91"/>
      <c r="D122" s="91"/>
      <c r="E122" s="91"/>
      <c r="F122" s="11"/>
      <c r="G122" s="91"/>
      <c r="H122" s="9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5.75" customHeight="1">
      <c r="A123" s="11"/>
      <c r="B123" s="90"/>
      <c r="C123" s="91"/>
      <c r="D123" s="91"/>
      <c r="E123" s="91"/>
      <c r="F123" s="11"/>
      <c r="G123" s="91"/>
      <c r="H123" s="9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5.75" customHeight="1">
      <c r="A124" s="11"/>
      <c r="B124" s="90"/>
      <c r="C124" s="91"/>
      <c r="D124" s="91"/>
      <c r="E124" s="91"/>
      <c r="F124" s="11"/>
      <c r="G124" s="91"/>
      <c r="H124" s="9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5.75" customHeight="1">
      <c r="A125" s="11"/>
      <c r="B125" s="90"/>
      <c r="C125" s="91"/>
      <c r="D125" s="91"/>
      <c r="E125" s="91"/>
      <c r="F125" s="11"/>
      <c r="G125" s="91"/>
      <c r="H125" s="9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5.75" customHeight="1">
      <c r="A126" s="11"/>
      <c r="B126" s="90"/>
      <c r="C126" s="91"/>
      <c r="D126" s="91"/>
      <c r="E126" s="91"/>
      <c r="F126" s="11"/>
      <c r="G126" s="91"/>
      <c r="H126" s="9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5.75" customHeight="1">
      <c r="A127" s="11"/>
      <c r="B127" s="90"/>
      <c r="C127" s="91"/>
      <c r="D127" s="91"/>
      <c r="E127" s="91"/>
      <c r="F127" s="11"/>
      <c r="G127" s="91"/>
      <c r="H127" s="9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5.75" customHeight="1">
      <c r="A128" s="11"/>
      <c r="B128" s="90"/>
      <c r="C128" s="91"/>
      <c r="D128" s="91"/>
      <c r="E128" s="91"/>
      <c r="F128" s="11"/>
      <c r="G128" s="91"/>
      <c r="H128" s="9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5.75" customHeight="1">
      <c r="A129" s="11"/>
      <c r="B129" s="90"/>
      <c r="C129" s="91"/>
      <c r="D129" s="91"/>
      <c r="E129" s="91"/>
      <c r="F129" s="11"/>
      <c r="G129" s="91"/>
      <c r="H129" s="9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5.75" customHeight="1">
      <c r="A130" s="11"/>
      <c r="B130" s="90"/>
      <c r="C130" s="91"/>
      <c r="D130" s="91"/>
      <c r="E130" s="91"/>
      <c r="F130" s="11"/>
      <c r="G130" s="91"/>
      <c r="H130" s="9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5.75" customHeight="1">
      <c r="A131" s="11"/>
      <c r="B131" s="90"/>
      <c r="C131" s="91"/>
      <c r="D131" s="91"/>
      <c r="E131" s="91"/>
      <c r="F131" s="11"/>
      <c r="G131" s="91"/>
      <c r="H131" s="9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5.75" customHeight="1">
      <c r="A132" s="11"/>
      <c r="B132" s="90"/>
      <c r="C132" s="91"/>
      <c r="D132" s="91"/>
      <c r="E132" s="91"/>
      <c r="F132" s="11"/>
      <c r="G132" s="91"/>
      <c r="H132" s="9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5.75" customHeight="1">
      <c r="A133" s="11"/>
      <c r="B133" s="90"/>
      <c r="C133" s="91"/>
      <c r="D133" s="91"/>
      <c r="E133" s="91"/>
      <c r="F133" s="11"/>
      <c r="G133" s="91"/>
      <c r="H133" s="9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5.75" customHeight="1">
      <c r="A134" s="11"/>
      <c r="B134" s="90"/>
      <c r="C134" s="91"/>
      <c r="D134" s="91"/>
      <c r="E134" s="91"/>
      <c r="F134" s="11"/>
      <c r="G134" s="91"/>
      <c r="H134" s="9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5.75" customHeight="1">
      <c r="A135" s="11"/>
      <c r="B135" s="90"/>
      <c r="C135" s="91"/>
      <c r="D135" s="91"/>
      <c r="E135" s="91"/>
      <c r="F135" s="11"/>
      <c r="G135" s="91"/>
      <c r="H135" s="9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5.75" customHeight="1">
      <c r="A136" s="11"/>
      <c r="B136" s="90"/>
      <c r="C136" s="91"/>
      <c r="D136" s="91"/>
      <c r="E136" s="91"/>
      <c r="F136" s="11"/>
      <c r="G136" s="91"/>
      <c r="H136" s="9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5.75" customHeight="1">
      <c r="A137" s="11"/>
      <c r="B137" s="90"/>
      <c r="C137" s="91"/>
      <c r="D137" s="91"/>
      <c r="E137" s="91"/>
      <c r="F137" s="11"/>
      <c r="G137" s="91"/>
      <c r="H137" s="9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5.75" customHeight="1">
      <c r="A138" s="11"/>
      <c r="B138" s="90"/>
      <c r="C138" s="91"/>
      <c r="D138" s="91"/>
      <c r="E138" s="91"/>
      <c r="F138" s="11"/>
      <c r="G138" s="91"/>
      <c r="H138" s="9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5.75" customHeight="1">
      <c r="A139" s="11"/>
      <c r="B139" s="90"/>
      <c r="C139" s="91"/>
      <c r="D139" s="91"/>
      <c r="E139" s="91"/>
      <c r="F139" s="11"/>
      <c r="G139" s="91"/>
      <c r="H139" s="9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5.75" customHeight="1">
      <c r="A140" s="11"/>
      <c r="B140" s="90"/>
      <c r="C140" s="91"/>
      <c r="D140" s="91"/>
      <c r="E140" s="91"/>
      <c r="F140" s="11"/>
      <c r="G140" s="91"/>
      <c r="H140" s="9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5.75" customHeight="1">
      <c r="A141" s="11"/>
      <c r="B141" s="90"/>
      <c r="C141" s="91"/>
      <c r="D141" s="91"/>
      <c r="E141" s="91"/>
      <c r="F141" s="11"/>
      <c r="G141" s="91"/>
      <c r="H141" s="9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5.75" customHeight="1">
      <c r="A142" s="11"/>
      <c r="B142" s="90"/>
      <c r="C142" s="91"/>
      <c r="D142" s="91"/>
      <c r="E142" s="91"/>
      <c r="F142" s="11"/>
      <c r="G142" s="91"/>
      <c r="H142" s="9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5.75" customHeight="1">
      <c r="A143" s="11"/>
      <c r="B143" s="90"/>
      <c r="C143" s="91"/>
      <c r="D143" s="91"/>
      <c r="E143" s="91"/>
      <c r="F143" s="11"/>
      <c r="G143" s="91"/>
      <c r="H143" s="9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5.75" customHeight="1">
      <c r="A144" s="11"/>
      <c r="B144" s="90"/>
      <c r="C144" s="91"/>
      <c r="D144" s="91"/>
      <c r="E144" s="91"/>
      <c r="F144" s="11"/>
      <c r="G144" s="91"/>
      <c r="H144" s="9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5.75" customHeight="1">
      <c r="A145" s="11"/>
      <c r="B145" s="90"/>
      <c r="C145" s="91"/>
      <c r="D145" s="91"/>
      <c r="E145" s="91"/>
      <c r="F145" s="11"/>
      <c r="G145" s="91"/>
      <c r="H145" s="9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5.75" customHeight="1">
      <c r="A146" s="11"/>
      <c r="B146" s="90"/>
      <c r="C146" s="91"/>
      <c r="D146" s="91"/>
      <c r="E146" s="91"/>
      <c r="F146" s="11"/>
      <c r="G146" s="91"/>
      <c r="H146" s="9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5.75" customHeight="1">
      <c r="A147" s="11"/>
      <c r="B147" s="90"/>
      <c r="C147" s="91"/>
      <c r="D147" s="91"/>
      <c r="E147" s="91"/>
      <c r="F147" s="11"/>
      <c r="G147" s="91"/>
      <c r="H147" s="9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5.75" customHeight="1">
      <c r="A148" s="11"/>
      <c r="B148" s="90"/>
      <c r="C148" s="91"/>
      <c r="D148" s="91"/>
      <c r="E148" s="91"/>
      <c r="F148" s="11"/>
      <c r="G148" s="91"/>
      <c r="H148" s="9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5.75" customHeight="1">
      <c r="A149" s="11"/>
      <c r="B149" s="90"/>
      <c r="C149" s="91"/>
      <c r="D149" s="91"/>
      <c r="E149" s="91"/>
      <c r="F149" s="11"/>
      <c r="G149" s="91"/>
      <c r="H149" s="9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5.75" customHeight="1">
      <c r="A150" s="11"/>
      <c r="B150" s="90"/>
      <c r="C150" s="91"/>
      <c r="D150" s="91"/>
      <c r="E150" s="91"/>
      <c r="F150" s="11"/>
      <c r="G150" s="91"/>
      <c r="H150" s="9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5.75" customHeight="1">
      <c r="A151" s="11"/>
      <c r="B151" s="90"/>
      <c r="C151" s="91"/>
      <c r="D151" s="91"/>
      <c r="E151" s="91"/>
      <c r="F151" s="11"/>
      <c r="G151" s="91"/>
      <c r="H151" s="9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5.75" customHeight="1">
      <c r="A152" s="11"/>
      <c r="B152" s="90"/>
      <c r="C152" s="91"/>
      <c r="D152" s="91"/>
      <c r="E152" s="91"/>
      <c r="F152" s="11"/>
      <c r="G152" s="91"/>
      <c r="H152" s="9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5.75" customHeight="1">
      <c r="A153" s="11"/>
      <c r="B153" s="90"/>
      <c r="C153" s="91"/>
      <c r="D153" s="91"/>
      <c r="E153" s="91"/>
      <c r="F153" s="11"/>
      <c r="G153" s="91"/>
      <c r="H153" s="9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5.75" customHeight="1">
      <c r="A154" s="11"/>
      <c r="B154" s="90"/>
      <c r="C154" s="91"/>
      <c r="D154" s="91"/>
      <c r="E154" s="91"/>
      <c r="F154" s="11"/>
      <c r="G154" s="91"/>
      <c r="H154" s="9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5.75" customHeight="1">
      <c r="A155" s="11"/>
      <c r="B155" s="90"/>
      <c r="C155" s="91"/>
      <c r="D155" s="91"/>
      <c r="E155" s="91"/>
      <c r="F155" s="11"/>
      <c r="G155" s="91"/>
      <c r="H155" s="9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5.75" customHeight="1">
      <c r="A156" s="11"/>
      <c r="B156" s="90"/>
      <c r="C156" s="91"/>
      <c r="D156" s="91"/>
      <c r="E156" s="91"/>
      <c r="F156" s="11"/>
      <c r="G156" s="91"/>
      <c r="H156" s="9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5.75" customHeight="1">
      <c r="A157" s="11"/>
      <c r="B157" s="90"/>
      <c r="C157" s="91"/>
      <c r="D157" s="91"/>
      <c r="E157" s="91"/>
      <c r="F157" s="11"/>
      <c r="G157" s="91"/>
      <c r="H157" s="9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5.75" customHeight="1">
      <c r="A158" s="11"/>
      <c r="B158" s="90"/>
      <c r="C158" s="91"/>
      <c r="D158" s="91"/>
      <c r="E158" s="91"/>
      <c r="F158" s="11"/>
      <c r="G158" s="91"/>
      <c r="H158" s="9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5.75" customHeight="1">
      <c r="A159" s="11"/>
      <c r="B159" s="90"/>
      <c r="C159" s="91"/>
      <c r="D159" s="91"/>
      <c r="E159" s="91"/>
      <c r="F159" s="11"/>
      <c r="G159" s="91"/>
      <c r="H159" s="9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5.75" customHeight="1">
      <c r="A160" s="11"/>
      <c r="B160" s="90"/>
      <c r="C160" s="91"/>
      <c r="D160" s="91"/>
      <c r="E160" s="91"/>
      <c r="F160" s="11"/>
      <c r="G160" s="91"/>
      <c r="H160" s="9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5.75" customHeight="1">
      <c r="A161" s="11"/>
      <c r="B161" s="90"/>
      <c r="C161" s="91"/>
      <c r="D161" s="91"/>
      <c r="E161" s="91"/>
      <c r="F161" s="11"/>
      <c r="G161" s="91"/>
      <c r="H161" s="9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5.75" customHeight="1">
      <c r="A162" s="11"/>
      <c r="B162" s="90"/>
      <c r="C162" s="91"/>
      <c r="D162" s="91"/>
      <c r="E162" s="91"/>
      <c r="F162" s="11"/>
      <c r="G162" s="91"/>
      <c r="H162" s="9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5.75" customHeight="1">
      <c r="A163" s="11"/>
      <c r="B163" s="90"/>
      <c r="C163" s="91"/>
      <c r="D163" s="91"/>
      <c r="E163" s="91"/>
      <c r="F163" s="11"/>
      <c r="G163" s="91"/>
      <c r="H163" s="9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5.75" customHeight="1">
      <c r="A164" s="11"/>
      <c r="B164" s="90"/>
      <c r="C164" s="91"/>
      <c r="D164" s="91"/>
      <c r="E164" s="91"/>
      <c r="F164" s="11"/>
      <c r="G164" s="91"/>
      <c r="H164" s="9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5.75" customHeight="1">
      <c r="A165" s="11"/>
      <c r="B165" s="90"/>
      <c r="C165" s="91"/>
      <c r="D165" s="91"/>
      <c r="E165" s="91"/>
      <c r="F165" s="11"/>
      <c r="G165" s="91"/>
      <c r="H165" s="9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5.75" customHeight="1">
      <c r="A166" s="11"/>
      <c r="B166" s="90"/>
      <c r="C166" s="91"/>
      <c r="D166" s="91"/>
      <c r="E166" s="91"/>
      <c r="F166" s="11"/>
      <c r="G166" s="91"/>
      <c r="H166" s="9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5.75" customHeight="1">
      <c r="A167" s="11"/>
      <c r="B167" s="90"/>
      <c r="C167" s="91"/>
      <c r="D167" s="91"/>
      <c r="E167" s="91"/>
      <c r="F167" s="11"/>
      <c r="G167" s="91"/>
      <c r="H167" s="9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5.75" customHeight="1">
      <c r="A168" s="11"/>
      <c r="B168" s="90"/>
      <c r="C168" s="91"/>
      <c r="D168" s="91"/>
      <c r="E168" s="91"/>
      <c r="F168" s="11"/>
      <c r="G168" s="91"/>
      <c r="H168" s="9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5.75" customHeight="1">
      <c r="A169" s="11"/>
      <c r="B169" s="90"/>
      <c r="C169" s="91"/>
      <c r="D169" s="91"/>
      <c r="E169" s="91"/>
      <c r="F169" s="11"/>
      <c r="G169" s="91"/>
      <c r="H169" s="9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5.75" customHeight="1">
      <c r="A170" s="11"/>
      <c r="B170" s="90"/>
      <c r="C170" s="91"/>
      <c r="D170" s="91"/>
      <c r="E170" s="91"/>
      <c r="F170" s="11"/>
      <c r="G170" s="91"/>
      <c r="H170" s="9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5.75" customHeight="1">
      <c r="A171" s="11"/>
      <c r="B171" s="90"/>
      <c r="C171" s="91"/>
      <c r="D171" s="91"/>
      <c r="E171" s="91"/>
      <c r="F171" s="11"/>
      <c r="G171" s="91"/>
      <c r="H171" s="9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5.75" customHeight="1">
      <c r="A172" s="11"/>
      <c r="B172" s="90"/>
      <c r="C172" s="91"/>
      <c r="D172" s="91"/>
      <c r="E172" s="91"/>
      <c r="F172" s="11"/>
      <c r="G172" s="91"/>
      <c r="H172" s="9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5.75" customHeight="1">
      <c r="A173" s="11"/>
      <c r="B173" s="90"/>
      <c r="C173" s="91"/>
      <c r="D173" s="91"/>
      <c r="E173" s="91"/>
      <c r="F173" s="11"/>
      <c r="G173" s="91"/>
      <c r="H173" s="9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5.75" customHeight="1">
      <c r="A174" s="11"/>
      <c r="B174" s="90"/>
      <c r="C174" s="91"/>
      <c r="D174" s="91"/>
      <c r="E174" s="91"/>
      <c r="F174" s="11"/>
      <c r="G174" s="91"/>
      <c r="H174" s="9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5.75" customHeight="1">
      <c r="A175" s="11"/>
      <c r="B175" s="90"/>
      <c r="C175" s="91"/>
      <c r="D175" s="91"/>
      <c r="E175" s="91"/>
      <c r="F175" s="11"/>
      <c r="G175" s="91"/>
      <c r="H175" s="9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5.75" customHeight="1">
      <c r="A176" s="11"/>
      <c r="B176" s="90"/>
      <c r="C176" s="91"/>
      <c r="D176" s="91"/>
      <c r="E176" s="91"/>
      <c r="F176" s="11"/>
      <c r="G176" s="91"/>
      <c r="H176" s="9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5.75" customHeight="1">
      <c r="A177" s="11"/>
      <c r="B177" s="90"/>
      <c r="C177" s="91"/>
      <c r="D177" s="91"/>
      <c r="E177" s="91"/>
      <c r="F177" s="11"/>
      <c r="G177" s="91"/>
      <c r="H177" s="9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5.75" customHeight="1">
      <c r="A178" s="11"/>
      <c r="B178" s="90"/>
      <c r="C178" s="91"/>
      <c r="D178" s="91"/>
      <c r="E178" s="91"/>
      <c r="F178" s="11"/>
      <c r="G178" s="91"/>
      <c r="H178" s="9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5.75" customHeight="1">
      <c r="A179" s="11"/>
      <c r="B179" s="90"/>
      <c r="C179" s="91"/>
      <c r="D179" s="91"/>
      <c r="E179" s="91"/>
      <c r="F179" s="11"/>
      <c r="G179" s="91"/>
      <c r="H179" s="9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5.75" customHeight="1">
      <c r="A180" s="11"/>
      <c r="B180" s="90"/>
      <c r="C180" s="91"/>
      <c r="D180" s="91"/>
      <c r="E180" s="91"/>
      <c r="F180" s="11"/>
      <c r="G180" s="91"/>
      <c r="H180" s="9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5.75" customHeight="1">
      <c r="A181" s="11"/>
      <c r="B181" s="90"/>
      <c r="C181" s="91"/>
      <c r="D181" s="91"/>
      <c r="E181" s="91"/>
      <c r="F181" s="11"/>
      <c r="G181" s="91"/>
      <c r="H181" s="9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5.75" customHeight="1">
      <c r="A182" s="11"/>
      <c r="B182" s="90"/>
      <c r="C182" s="91"/>
      <c r="D182" s="91"/>
      <c r="E182" s="91"/>
      <c r="F182" s="11"/>
      <c r="G182" s="91"/>
      <c r="H182" s="9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5.75" customHeight="1">
      <c r="A183" s="11"/>
      <c r="B183" s="90"/>
      <c r="C183" s="91"/>
      <c r="D183" s="91"/>
      <c r="E183" s="91"/>
      <c r="F183" s="11"/>
      <c r="G183" s="91"/>
      <c r="H183" s="9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5.75" customHeight="1">
      <c r="A184" s="11"/>
      <c r="B184" s="90"/>
      <c r="C184" s="91"/>
      <c r="D184" s="91"/>
      <c r="E184" s="91"/>
      <c r="F184" s="11"/>
      <c r="G184" s="91"/>
      <c r="H184" s="9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5.75" customHeight="1">
      <c r="A185" s="11"/>
      <c r="B185" s="90"/>
      <c r="C185" s="91"/>
      <c r="D185" s="91"/>
      <c r="E185" s="91"/>
      <c r="F185" s="11"/>
      <c r="G185" s="91"/>
      <c r="H185" s="9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5.75" customHeight="1">
      <c r="A186" s="11"/>
      <c r="B186" s="90"/>
      <c r="C186" s="91"/>
      <c r="D186" s="91"/>
      <c r="E186" s="91"/>
      <c r="F186" s="11"/>
      <c r="G186" s="91"/>
      <c r="H186" s="9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5.75" customHeight="1">
      <c r="A187" s="11"/>
      <c r="B187" s="90"/>
      <c r="C187" s="91"/>
      <c r="D187" s="91"/>
      <c r="E187" s="91"/>
      <c r="F187" s="11"/>
      <c r="G187" s="91"/>
      <c r="H187" s="9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5.75" customHeight="1">
      <c r="A188" s="11"/>
      <c r="B188" s="90"/>
      <c r="C188" s="91"/>
      <c r="D188" s="91"/>
      <c r="E188" s="91"/>
      <c r="F188" s="11"/>
      <c r="G188" s="91"/>
      <c r="H188" s="9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5.75" customHeight="1">
      <c r="A189" s="11"/>
      <c r="B189" s="90"/>
      <c r="C189" s="91"/>
      <c r="D189" s="91"/>
      <c r="E189" s="91"/>
      <c r="F189" s="11"/>
      <c r="G189" s="91"/>
      <c r="H189" s="9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5.75" customHeight="1">
      <c r="A190" s="11"/>
      <c r="B190" s="90"/>
      <c r="C190" s="91"/>
      <c r="D190" s="91"/>
      <c r="E190" s="91"/>
      <c r="F190" s="11"/>
      <c r="G190" s="91"/>
      <c r="H190" s="9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5.75" customHeight="1">
      <c r="A191" s="11"/>
      <c r="B191" s="90"/>
      <c r="C191" s="91"/>
      <c r="D191" s="91"/>
      <c r="E191" s="91"/>
      <c r="F191" s="11"/>
      <c r="G191" s="91"/>
      <c r="H191" s="9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5.75" customHeight="1">
      <c r="A192" s="11"/>
      <c r="B192" s="90"/>
      <c r="C192" s="91"/>
      <c r="D192" s="91"/>
      <c r="E192" s="91"/>
      <c r="F192" s="11"/>
      <c r="G192" s="91"/>
      <c r="H192" s="9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5.75" customHeight="1">
      <c r="A193" s="11"/>
      <c r="B193" s="90"/>
      <c r="C193" s="91"/>
      <c r="D193" s="91"/>
      <c r="E193" s="91"/>
      <c r="F193" s="11"/>
      <c r="G193" s="91"/>
      <c r="H193" s="9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5.75" customHeight="1">
      <c r="A194" s="11"/>
      <c r="B194" s="90"/>
      <c r="C194" s="91"/>
      <c r="D194" s="91"/>
      <c r="E194" s="91"/>
      <c r="F194" s="11"/>
      <c r="G194" s="91"/>
      <c r="H194" s="9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5.75" customHeight="1">
      <c r="A195" s="11"/>
      <c r="B195" s="90"/>
      <c r="C195" s="91"/>
      <c r="D195" s="91"/>
      <c r="E195" s="91"/>
      <c r="F195" s="11"/>
      <c r="G195" s="91"/>
      <c r="H195" s="9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5.75" customHeight="1">
      <c r="A196" s="11"/>
      <c r="B196" s="90"/>
      <c r="C196" s="91"/>
      <c r="D196" s="91"/>
      <c r="E196" s="91"/>
      <c r="F196" s="11"/>
      <c r="G196" s="91"/>
      <c r="H196" s="9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5.75" customHeight="1">
      <c r="A197" s="11"/>
      <c r="B197" s="90"/>
      <c r="C197" s="91"/>
      <c r="D197" s="91"/>
      <c r="E197" s="91"/>
      <c r="F197" s="11"/>
      <c r="G197" s="91"/>
      <c r="H197" s="9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5.75" customHeight="1">
      <c r="A198" s="11"/>
      <c r="B198" s="90"/>
      <c r="C198" s="91"/>
      <c r="D198" s="91"/>
      <c r="E198" s="91"/>
      <c r="F198" s="11"/>
      <c r="G198" s="91"/>
      <c r="H198" s="9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5.75" customHeight="1">
      <c r="A199" s="11"/>
      <c r="B199" s="90"/>
      <c r="C199" s="91"/>
      <c r="D199" s="91"/>
      <c r="E199" s="91"/>
      <c r="F199" s="11"/>
      <c r="G199" s="91"/>
      <c r="H199" s="9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5.75" customHeight="1">
      <c r="A200" s="11"/>
      <c r="B200" s="90"/>
      <c r="C200" s="91"/>
      <c r="D200" s="91"/>
      <c r="E200" s="91"/>
      <c r="F200" s="11"/>
      <c r="G200" s="91"/>
      <c r="H200" s="9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5.75" customHeight="1">
      <c r="A201" s="11"/>
      <c r="B201" s="90"/>
      <c r="C201" s="91"/>
      <c r="D201" s="91"/>
      <c r="E201" s="91"/>
      <c r="F201" s="11"/>
      <c r="G201" s="91"/>
      <c r="H201" s="9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5.75" customHeight="1">
      <c r="A202" s="11"/>
      <c r="B202" s="90"/>
      <c r="C202" s="91"/>
      <c r="D202" s="91"/>
      <c r="E202" s="91"/>
      <c r="F202" s="11"/>
      <c r="G202" s="91"/>
      <c r="H202" s="9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5.75" customHeight="1">
      <c r="A203" s="11"/>
      <c r="B203" s="90"/>
      <c r="C203" s="91"/>
      <c r="D203" s="91"/>
      <c r="E203" s="91"/>
      <c r="F203" s="11"/>
      <c r="G203" s="91"/>
      <c r="H203" s="9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5.75" customHeight="1">
      <c r="A204" s="11"/>
      <c r="B204" s="90"/>
      <c r="C204" s="91"/>
      <c r="D204" s="91"/>
      <c r="E204" s="91"/>
      <c r="F204" s="11"/>
      <c r="G204" s="91"/>
      <c r="H204" s="9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5.75" customHeight="1">
      <c r="A205" s="11"/>
      <c r="B205" s="90"/>
      <c r="C205" s="91"/>
      <c r="D205" s="91"/>
      <c r="E205" s="91"/>
      <c r="F205" s="11"/>
      <c r="G205" s="91"/>
      <c r="H205" s="9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5.75" customHeight="1">
      <c r="A206" s="11"/>
      <c r="B206" s="90"/>
      <c r="C206" s="91"/>
      <c r="D206" s="91"/>
      <c r="E206" s="91"/>
      <c r="F206" s="11"/>
      <c r="G206" s="91"/>
      <c r="H206" s="9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5.75" customHeight="1">
      <c r="A207" s="11"/>
      <c r="B207" s="90"/>
      <c r="C207" s="91"/>
      <c r="D207" s="91"/>
      <c r="E207" s="91"/>
      <c r="F207" s="11"/>
      <c r="G207" s="91"/>
      <c r="H207" s="9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5.75" customHeight="1">
      <c r="A208" s="11"/>
      <c r="B208" s="90"/>
      <c r="C208" s="91"/>
      <c r="D208" s="91"/>
      <c r="E208" s="91"/>
      <c r="F208" s="11"/>
      <c r="G208" s="91"/>
      <c r="H208" s="9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5.75" customHeight="1">
      <c r="A209" s="11"/>
      <c r="B209" s="90"/>
      <c r="C209" s="91"/>
      <c r="D209" s="91"/>
      <c r="E209" s="91"/>
      <c r="F209" s="11"/>
      <c r="G209" s="91"/>
      <c r="H209" s="9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5.75" customHeight="1">
      <c r="A210" s="11"/>
      <c r="B210" s="90"/>
      <c r="C210" s="91"/>
      <c r="D210" s="91"/>
      <c r="E210" s="91"/>
      <c r="F210" s="11"/>
      <c r="G210" s="91"/>
      <c r="H210" s="9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5.75" customHeight="1">
      <c r="A211" s="11"/>
      <c r="B211" s="90"/>
      <c r="C211" s="91"/>
      <c r="D211" s="91"/>
      <c r="E211" s="91"/>
      <c r="F211" s="11"/>
      <c r="G211" s="91"/>
      <c r="H211" s="9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5.75" customHeight="1">
      <c r="A212" s="11"/>
      <c r="B212" s="90"/>
      <c r="C212" s="91"/>
      <c r="D212" s="91"/>
      <c r="E212" s="91"/>
      <c r="F212" s="11"/>
      <c r="G212" s="91"/>
      <c r="H212" s="9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5.75" customHeight="1">
      <c r="A213" s="11"/>
      <c r="B213" s="90"/>
      <c r="C213" s="91"/>
      <c r="D213" s="91"/>
      <c r="E213" s="91"/>
      <c r="F213" s="11"/>
      <c r="G213" s="91"/>
      <c r="H213" s="9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5.75" customHeight="1">
      <c r="A214" s="11"/>
      <c r="B214" s="90"/>
      <c r="C214" s="91"/>
      <c r="D214" s="91"/>
      <c r="E214" s="91"/>
      <c r="F214" s="11"/>
      <c r="G214" s="91"/>
      <c r="H214" s="9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5.75" customHeight="1">
      <c r="A215" s="11"/>
      <c r="B215" s="90"/>
      <c r="C215" s="91"/>
      <c r="D215" s="91"/>
      <c r="E215" s="91"/>
      <c r="F215" s="11"/>
      <c r="G215" s="91"/>
      <c r="H215" s="9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5.75" customHeight="1">
      <c r="A216" s="11"/>
      <c r="B216" s="90"/>
      <c r="C216" s="91"/>
      <c r="D216" s="91"/>
      <c r="E216" s="91"/>
      <c r="F216" s="11"/>
      <c r="G216" s="91"/>
      <c r="H216" s="9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5.75" customHeight="1">
      <c r="A217" s="11"/>
      <c r="B217" s="90"/>
      <c r="C217" s="91"/>
      <c r="D217" s="91"/>
      <c r="E217" s="91"/>
      <c r="F217" s="11"/>
      <c r="G217" s="91"/>
      <c r="H217" s="9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5.75" customHeight="1">
      <c r="A218" s="11"/>
      <c r="B218" s="90"/>
      <c r="C218" s="91"/>
      <c r="D218" s="91"/>
      <c r="E218" s="91"/>
      <c r="F218" s="11"/>
      <c r="G218" s="91"/>
      <c r="H218" s="9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5.75" customHeight="1">
      <c r="A219" s="11"/>
      <c r="B219" s="90"/>
      <c r="C219" s="91"/>
      <c r="D219" s="91"/>
      <c r="E219" s="91"/>
      <c r="F219" s="11"/>
      <c r="G219" s="91"/>
      <c r="H219" s="9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5.75" customHeight="1">
      <c r="A220" s="11"/>
      <c r="B220" s="90"/>
      <c r="C220" s="91"/>
      <c r="D220" s="91"/>
      <c r="E220" s="91"/>
      <c r="F220" s="11"/>
      <c r="G220" s="91"/>
      <c r="H220" s="9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5.75" customHeight="1">
      <c r="A221" s="11"/>
      <c r="B221" s="90"/>
      <c r="C221" s="91"/>
      <c r="D221" s="91"/>
      <c r="E221" s="91"/>
      <c r="F221" s="11"/>
      <c r="G221" s="91"/>
      <c r="H221" s="9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5.75" customHeight="1">
      <c r="A222" s="11"/>
      <c r="B222" s="90"/>
      <c r="C222" s="91"/>
      <c r="D222" s="91"/>
      <c r="E222" s="91"/>
      <c r="F222" s="11"/>
      <c r="G222" s="91"/>
      <c r="H222" s="9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5.75" customHeight="1">
      <c r="A223" s="11"/>
      <c r="B223" s="90"/>
      <c r="C223" s="91"/>
      <c r="D223" s="91"/>
      <c r="E223" s="91"/>
      <c r="F223" s="11"/>
      <c r="G223" s="91"/>
      <c r="H223" s="9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5.75" customHeight="1">
      <c r="A224" s="11"/>
      <c r="B224" s="90"/>
      <c r="C224" s="91"/>
      <c r="D224" s="91"/>
      <c r="E224" s="91"/>
      <c r="F224" s="11"/>
      <c r="G224" s="91"/>
      <c r="H224" s="9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5.75" customHeight="1">
      <c r="A225" s="11"/>
      <c r="B225" s="90"/>
      <c r="C225" s="91"/>
      <c r="D225" s="91"/>
      <c r="E225" s="91"/>
      <c r="F225" s="11"/>
      <c r="G225" s="91"/>
      <c r="H225" s="9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5.75" customHeight="1">
      <c r="A226" s="11"/>
      <c r="B226" s="90"/>
      <c r="C226" s="91"/>
      <c r="D226" s="91"/>
      <c r="E226" s="91"/>
      <c r="F226" s="11"/>
      <c r="G226" s="91"/>
      <c r="H226" s="9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5.75" customHeight="1">
      <c r="A227" s="11"/>
      <c r="B227" s="90"/>
      <c r="C227" s="91"/>
      <c r="D227" s="91"/>
      <c r="E227" s="91"/>
      <c r="F227" s="11"/>
      <c r="G227" s="91"/>
      <c r="H227" s="9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5.75" customHeight="1">
      <c r="A228" s="11"/>
      <c r="B228" s="90"/>
      <c r="C228" s="91"/>
      <c r="D228" s="91"/>
      <c r="E228" s="91"/>
      <c r="F228" s="11"/>
      <c r="G228" s="91"/>
      <c r="H228" s="9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5.75" customHeight="1">
      <c r="A229" s="11"/>
      <c r="B229" s="90"/>
      <c r="C229" s="91"/>
      <c r="D229" s="91"/>
      <c r="E229" s="91"/>
      <c r="F229" s="11"/>
      <c r="G229" s="91"/>
      <c r="H229" s="9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5.75" customHeight="1">
      <c r="A230" s="11"/>
      <c r="B230" s="90"/>
      <c r="C230" s="91"/>
      <c r="D230" s="91"/>
      <c r="E230" s="91"/>
      <c r="F230" s="11"/>
      <c r="G230" s="91"/>
      <c r="H230" s="9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25"/>
    <col customWidth="1" min="3" max="3" width="13.75"/>
    <col customWidth="1" min="4" max="6" width="12.63"/>
    <col customWidth="1" min="11" max="11" width="14.13"/>
    <col customWidth="1" min="12" max="12" width="14.25"/>
    <col customWidth="1" min="13" max="13" width="15.38"/>
  </cols>
  <sheetData>
    <row r="1" ht="15.75" customHeight="1">
      <c r="A1" s="6" t="s">
        <v>0</v>
      </c>
      <c r="B1" s="6" t="s">
        <v>2</v>
      </c>
      <c r="C1" s="6" t="s">
        <v>3</v>
      </c>
      <c r="D1" s="6" t="s">
        <v>10</v>
      </c>
      <c r="E1" s="6" t="s">
        <v>21</v>
      </c>
      <c r="F1" s="6" t="s">
        <v>23</v>
      </c>
      <c r="G1" s="6" t="s">
        <v>25</v>
      </c>
      <c r="H1" s="6" t="s">
        <v>27</v>
      </c>
      <c r="I1" s="6" t="s">
        <v>29</v>
      </c>
      <c r="J1" s="6" t="s">
        <v>31</v>
      </c>
      <c r="K1" s="6" t="s">
        <v>32</v>
      </c>
      <c r="L1" s="6" t="s">
        <v>34</v>
      </c>
      <c r="M1" s="6" t="s">
        <v>35</v>
      </c>
      <c r="O1" s="24" t="s">
        <v>36</v>
      </c>
      <c r="P1" s="24" t="s">
        <v>38</v>
      </c>
      <c r="Q1" s="24" t="s">
        <v>39</v>
      </c>
    </row>
    <row r="2" ht="15.75" customHeight="1">
      <c r="A2" s="82" t="s">
        <v>74</v>
      </c>
      <c r="B2" s="83"/>
      <c r="C2" s="83"/>
      <c r="D2" s="83"/>
      <c r="E2" s="83"/>
      <c r="F2" s="83"/>
      <c r="G2" s="83"/>
      <c r="H2" s="83"/>
      <c r="I2" s="83"/>
      <c r="J2" s="83"/>
      <c r="K2" s="24"/>
      <c r="L2" s="18"/>
      <c r="M2" s="18"/>
    </row>
    <row r="3" ht="15.75" customHeight="1">
      <c r="A3" s="87">
        <v>45727.0</v>
      </c>
      <c r="B3" s="18" t="s">
        <v>50</v>
      </c>
      <c r="C3" s="18">
        <v>36.0</v>
      </c>
      <c r="D3" s="24">
        <v>1.0</v>
      </c>
      <c r="E3" s="24" t="s">
        <v>39</v>
      </c>
      <c r="H3" s="18">
        <v>26.1</v>
      </c>
      <c r="I3" s="18"/>
      <c r="J3" s="24"/>
      <c r="K3" s="24"/>
      <c r="L3" s="18" t="str">
        <f t="shared" ref="L3:L57" si="1">IF(K3="Processed", H3, "")</f>
        <v/>
      </c>
      <c r="M3" s="18"/>
    </row>
    <row r="4" ht="15.75" customHeight="1">
      <c r="A4" s="87">
        <v>45727.0</v>
      </c>
      <c r="B4" s="18" t="s">
        <v>53</v>
      </c>
      <c r="C4" s="18">
        <v>34.0</v>
      </c>
      <c r="D4" s="24">
        <v>1.0</v>
      </c>
      <c r="E4" s="24" t="s">
        <v>39</v>
      </c>
      <c r="G4" s="24" t="s">
        <v>76</v>
      </c>
      <c r="H4" s="18">
        <v>27.0</v>
      </c>
      <c r="I4" s="18"/>
      <c r="J4" s="24"/>
      <c r="K4" s="24" t="s">
        <v>48</v>
      </c>
      <c r="L4" s="18" t="str">
        <f t="shared" si="1"/>
        <v/>
      </c>
      <c r="M4" s="18"/>
    </row>
    <row r="5" ht="15.75" customHeight="1">
      <c r="A5" s="87">
        <v>45727.0</v>
      </c>
      <c r="B5" s="18" t="s">
        <v>53</v>
      </c>
      <c r="C5" s="18">
        <v>32.0</v>
      </c>
      <c r="D5" s="24">
        <v>1.0</v>
      </c>
      <c r="E5" s="24" t="s">
        <v>42</v>
      </c>
      <c r="H5" s="18">
        <v>25.0</v>
      </c>
      <c r="I5" s="18"/>
      <c r="J5" s="24"/>
      <c r="K5" s="24"/>
      <c r="L5" s="18" t="str">
        <f t="shared" si="1"/>
        <v/>
      </c>
      <c r="M5" s="18"/>
    </row>
    <row r="6" ht="15.75" customHeight="1">
      <c r="A6" s="87">
        <v>45727.0</v>
      </c>
      <c r="B6" s="18" t="s">
        <v>50</v>
      </c>
      <c r="C6" s="18">
        <v>36.0</v>
      </c>
      <c r="D6" s="24">
        <v>1.0</v>
      </c>
      <c r="E6" s="24" t="s">
        <v>40</v>
      </c>
      <c r="H6" s="18">
        <v>29.0</v>
      </c>
      <c r="I6" s="18">
        <v>1.23</v>
      </c>
      <c r="J6" s="24"/>
      <c r="K6" s="24"/>
      <c r="L6" s="18" t="str">
        <f t="shared" si="1"/>
        <v/>
      </c>
      <c r="M6" s="18"/>
    </row>
    <row r="7" ht="15.75" customHeight="1">
      <c r="A7" s="87">
        <v>45758.0</v>
      </c>
      <c r="B7" s="18" t="s">
        <v>53</v>
      </c>
      <c r="C7" s="18">
        <v>34.0</v>
      </c>
      <c r="D7" s="24">
        <v>1.0</v>
      </c>
      <c r="E7" s="24" t="s">
        <v>40</v>
      </c>
      <c r="H7" s="18">
        <v>25.0</v>
      </c>
      <c r="I7" s="18">
        <v>1.23</v>
      </c>
      <c r="J7" s="24"/>
      <c r="K7" s="24"/>
      <c r="L7" s="18" t="str">
        <f t="shared" si="1"/>
        <v/>
      </c>
      <c r="M7" s="18"/>
    </row>
    <row r="8" ht="15.75" customHeight="1">
      <c r="A8" s="87">
        <v>45758.0</v>
      </c>
      <c r="B8" s="18" t="s">
        <v>50</v>
      </c>
      <c r="C8" s="18">
        <v>32.0</v>
      </c>
      <c r="D8" s="24">
        <v>1.0</v>
      </c>
      <c r="E8" s="24" t="s">
        <v>40</v>
      </c>
      <c r="G8" s="24" t="s">
        <v>77</v>
      </c>
      <c r="H8" s="18">
        <v>25.0</v>
      </c>
      <c r="I8" s="18"/>
      <c r="J8" s="24"/>
      <c r="K8" s="24" t="s">
        <v>48</v>
      </c>
      <c r="L8" s="18" t="str">
        <f t="shared" si="1"/>
        <v/>
      </c>
      <c r="M8" s="18"/>
    </row>
    <row r="9" ht="15.75" customHeight="1">
      <c r="A9" s="87">
        <v>45758.0</v>
      </c>
      <c r="B9" s="18" t="s">
        <v>50</v>
      </c>
      <c r="C9" s="18">
        <v>34.0</v>
      </c>
      <c r="D9" s="24">
        <v>1.0</v>
      </c>
      <c r="E9" s="24" t="s">
        <v>39</v>
      </c>
      <c r="G9" s="24" t="s">
        <v>78</v>
      </c>
      <c r="H9" s="18">
        <v>25.0</v>
      </c>
      <c r="I9" s="18"/>
      <c r="J9" s="24"/>
      <c r="K9" s="24" t="s">
        <v>48</v>
      </c>
      <c r="L9" s="18" t="str">
        <f t="shared" si="1"/>
        <v/>
      </c>
      <c r="M9" s="18"/>
    </row>
    <row r="10" ht="15.75" customHeight="1">
      <c r="A10" s="87">
        <v>45758.0</v>
      </c>
      <c r="B10" s="18" t="s">
        <v>53</v>
      </c>
      <c r="C10" s="18">
        <v>36.0</v>
      </c>
      <c r="D10" s="24">
        <v>1.0</v>
      </c>
      <c r="E10" s="24" t="s">
        <v>42</v>
      </c>
      <c r="H10" s="18">
        <v>25.0</v>
      </c>
      <c r="I10" s="18">
        <v>1.23</v>
      </c>
      <c r="J10" s="24"/>
      <c r="K10" s="24"/>
      <c r="L10" s="18" t="str">
        <f t="shared" si="1"/>
        <v/>
      </c>
      <c r="M10" s="18"/>
    </row>
    <row r="11" ht="15.75" customHeight="1">
      <c r="A11" s="87">
        <v>45668.0</v>
      </c>
      <c r="B11" s="18" t="s">
        <v>50</v>
      </c>
      <c r="C11" s="18">
        <v>32.0</v>
      </c>
      <c r="D11" s="24">
        <v>1.0</v>
      </c>
      <c r="E11" s="24" t="s">
        <v>39</v>
      </c>
      <c r="H11" s="18">
        <v>28.0</v>
      </c>
      <c r="I11" s="18">
        <v>1.01</v>
      </c>
      <c r="J11" s="24"/>
      <c r="K11" s="24"/>
      <c r="L11" s="18" t="str">
        <f t="shared" si="1"/>
        <v/>
      </c>
      <c r="M11" s="18"/>
    </row>
    <row r="12" ht="15.75" customHeight="1">
      <c r="A12" s="87">
        <v>45758.0</v>
      </c>
      <c r="B12" s="18" t="s">
        <v>53</v>
      </c>
      <c r="C12" s="18">
        <v>34.0</v>
      </c>
      <c r="D12" s="24">
        <v>1.0</v>
      </c>
      <c r="E12" s="24" t="s">
        <v>42</v>
      </c>
      <c r="H12" s="18">
        <v>22.5</v>
      </c>
      <c r="I12" s="18"/>
      <c r="J12" s="24"/>
      <c r="K12" s="24"/>
      <c r="L12" s="18" t="str">
        <f t="shared" si="1"/>
        <v/>
      </c>
      <c r="M12" s="18"/>
    </row>
    <row r="13" ht="15.75" customHeight="1">
      <c r="A13" s="87">
        <v>45758.0</v>
      </c>
      <c r="B13" s="18" t="s">
        <v>50</v>
      </c>
      <c r="C13" s="18">
        <v>34.0</v>
      </c>
      <c r="D13" s="24">
        <v>1.0</v>
      </c>
      <c r="E13" s="24" t="s">
        <v>40</v>
      </c>
      <c r="H13" s="18">
        <v>26.0</v>
      </c>
      <c r="I13" s="18"/>
      <c r="J13" s="24"/>
      <c r="K13" s="24"/>
      <c r="L13" s="18" t="str">
        <f t="shared" si="1"/>
        <v/>
      </c>
      <c r="M13" s="18"/>
    </row>
    <row r="14" ht="15.75" customHeight="1">
      <c r="A14" s="87">
        <v>45758.0</v>
      </c>
      <c r="B14" s="18" t="s">
        <v>50</v>
      </c>
      <c r="C14" s="18">
        <v>32.0</v>
      </c>
      <c r="D14" s="24">
        <v>1.0</v>
      </c>
      <c r="E14" s="24" t="s">
        <v>40</v>
      </c>
      <c r="G14" s="24" t="s">
        <v>79</v>
      </c>
      <c r="H14" s="18">
        <v>28.0</v>
      </c>
      <c r="I14" s="18"/>
      <c r="J14" s="24"/>
      <c r="K14" s="24"/>
      <c r="L14" s="18" t="str">
        <f t="shared" si="1"/>
        <v/>
      </c>
      <c r="M14" s="18"/>
    </row>
    <row r="15" ht="15.75" customHeight="1">
      <c r="A15" s="87">
        <v>45788.0</v>
      </c>
      <c r="B15" s="18" t="s">
        <v>50</v>
      </c>
      <c r="C15" s="18">
        <v>32.0</v>
      </c>
      <c r="D15" s="24">
        <v>1.0</v>
      </c>
      <c r="E15" s="24" t="s">
        <v>39</v>
      </c>
      <c r="H15" s="18">
        <v>23.0</v>
      </c>
      <c r="I15" s="18"/>
      <c r="J15" s="24"/>
      <c r="K15" s="24"/>
      <c r="L15" s="18" t="str">
        <f t="shared" si="1"/>
        <v/>
      </c>
      <c r="M15" s="18"/>
    </row>
    <row r="16" ht="15.75" customHeight="1">
      <c r="A16" s="87">
        <v>45788.0</v>
      </c>
      <c r="B16" s="18" t="s">
        <v>50</v>
      </c>
      <c r="C16" s="18">
        <v>34.0</v>
      </c>
      <c r="D16" s="24">
        <v>1.0</v>
      </c>
      <c r="E16" s="24" t="s">
        <v>39</v>
      </c>
      <c r="H16" s="18">
        <v>27.0</v>
      </c>
      <c r="I16" s="18"/>
      <c r="J16" s="24"/>
      <c r="K16" s="24"/>
      <c r="L16" s="18" t="str">
        <f t="shared" si="1"/>
        <v/>
      </c>
      <c r="M16" s="18"/>
    </row>
    <row r="17" ht="15.75" customHeight="1">
      <c r="A17" s="87">
        <v>45788.0</v>
      </c>
      <c r="B17" s="18" t="s">
        <v>50</v>
      </c>
      <c r="C17" s="18">
        <v>32.0</v>
      </c>
      <c r="D17" s="24">
        <v>1.0</v>
      </c>
      <c r="E17" s="24" t="s">
        <v>39</v>
      </c>
      <c r="G17" s="24" t="s">
        <v>80</v>
      </c>
      <c r="H17" s="18">
        <v>28.0</v>
      </c>
      <c r="I17" s="18"/>
      <c r="J17" s="24"/>
      <c r="K17" s="24" t="s">
        <v>48</v>
      </c>
      <c r="L17" s="18" t="str">
        <f t="shared" si="1"/>
        <v/>
      </c>
      <c r="M17" s="18"/>
    </row>
    <row r="18" ht="15.75" customHeight="1">
      <c r="A18" s="87">
        <v>45788.0</v>
      </c>
      <c r="B18" s="18" t="s">
        <v>50</v>
      </c>
      <c r="C18" s="18">
        <v>32.0</v>
      </c>
      <c r="D18" s="24">
        <v>1.0</v>
      </c>
      <c r="E18" s="24" t="s">
        <v>39</v>
      </c>
      <c r="G18" s="24" t="s">
        <v>81</v>
      </c>
      <c r="H18" s="18">
        <v>29.0</v>
      </c>
      <c r="I18" s="18"/>
      <c r="J18" s="24"/>
      <c r="K18" s="24" t="s">
        <v>48</v>
      </c>
      <c r="L18" s="18" t="str">
        <f t="shared" si="1"/>
        <v/>
      </c>
      <c r="M18" s="18"/>
    </row>
    <row r="19" ht="15.75" customHeight="1">
      <c r="A19" s="87">
        <v>45788.0</v>
      </c>
      <c r="B19" s="18" t="s">
        <v>50</v>
      </c>
      <c r="C19" s="18">
        <v>32.0</v>
      </c>
      <c r="D19" s="24">
        <v>1.0</v>
      </c>
      <c r="E19" s="24" t="s">
        <v>39</v>
      </c>
      <c r="H19" s="18">
        <v>23.0</v>
      </c>
      <c r="I19" s="18"/>
      <c r="J19" s="24"/>
      <c r="K19" s="24"/>
      <c r="L19" s="18" t="str">
        <f t="shared" si="1"/>
        <v/>
      </c>
      <c r="M19" s="18"/>
    </row>
    <row r="20" ht="15.75" customHeight="1">
      <c r="A20" s="87">
        <v>45788.0</v>
      </c>
      <c r="B20" s="18" t="s">
        <v>50</v>
      </c>
      <c r="C20" s="18">
        <v>34.0</v>
      </c>
      <c r="D20" s="24">
        <v>1.0</v>
      </c>
      <c r="E20" s="24" t="s">
        <v>40</v>
      </c>
      <c r="G20" s="24" t="s">
        <v>82</v>
      </c>
      <c r="H20" s="18">
        <v>25.0</v>
      </c>
      <c r="I20" s="18"/>
      <c r="J20" s="24"/>
      <c r="K20" s="24" t="s">
        <v>48</v>
      </c>
      <c r="L20" s="18" t="str">
        <f t="shared" si="1"/>
        <v/>
      </c>
      <c r="M20" s="18"/>
    </row>
    <row r="21" ht="15.75" customHeight="1">
      <c r="A21" s="87">
        <v>45788.0</v>
      </c>
      <c r="B21" s="18" t="s">
        <v>53</v>
      </c>
      <c r="C21" s="18">
        <v>32.0</v>
      </c>
      <c r="D21" s="24">
        <v>1.0</v>
      </c>
      <c r="E21" s="24" t="s">
        <v>39</v>
      </c>
      <c r="G21" s="24" t="s">
        <v>83</v>
      </c>
      <c r="H21" s="18">
        <v>24.0</v>
      </c>
      <c r="I21" s="18"/>
      <c r="J21" s="24"/>
      <c r="K21" s="24" t="s">
        <v>48</v>
      </c>
      <c r="L21" s="18" t="str">
        <f t="shared" si="1"/>
        <v/>
      </c>
      <c r="M21" s="18"/>
    </row>
    <row r="22" ht="15.75" customHeight="1">
      <c r="A22" s="94">
        <v>45788.0</v>
      </c>
      <c r="B22" s="18" t="s">
        <v>50</v>
      </c>
      <c r="C22" s="18">
        <v>32.0</v>
      </c>
      <c r="D22" s="24">
        <v>1.0</v>
      </c>
      <c r="E22" s="24" t="s">
        <v>42</v>
      </c>
      <c r="H22" s="18">
        <v>23.5</v>
      </c>
      <c r="I22" s="18">
        <v>1.23</v>
      </c>
      <c r="J22" s="24"/>
      <c r="K22" s="24"/>
      <c r="L22" s="18" t="str">
        <f t="shared" si="1"/>
        <v/>
      </c>
      <c r="M22" s="18"/>
    </row>
    <row r="23" ht="15.75" customHeight="1">
      <c r="A23" s="87">
        <v>45819.0</v>
      </c>
      <c r="B23" s="18" t="s">
        <v>53</v>
      </c>
      <c r="C23" s="18">
        <v>34.0</v>
      </c>
      <c r="D23" s="24">
        <v>1.0</v>
      </c>
      <c r="E23" s="24" t="s">
        <v>39</v>
      </c>
      <c r="H23" s="18">
        <v>25.0</v>
      </c>
      <c r="I23" s="18"/>
      <c r="J23" s="24"/>
      <c r="K23" s="24"/>
      <c r="L23" s="18" t="str">
        <f t="shared" si="1"/>
        <v/>
      </c>
      <c r="M23" s="18"/>
    </row>
    <row r="24" ht="15.75" customHeight="1">
      <c r="A24" s="87">
        <v>45819.0</v>
      </c>
      <c r="B24" s="18" t="s">
        <v>53</v>
      </c>
      <c r="C24" s="18">
        <v>36.0</v>
      </c>
      <c r="D24" s="24">
        <v>1.0</v>
      </c>
      <c r="E24" s="24" t="s">
        <v>42</v>
      </c>
      <c r="H24" s="18">
        <v>22.0</v>
      </c>
      <c r="I24" s="18"/>
      <c r="J24" s="24"/>
      <c r="K24" s="24"/>
      <c r="L24" s="18" t="str">
        <f t="shared" si="1"/>
        <v/>
      </c>
      <c r="M24" s="18"/>
    </row>
    <row r="25" ht="15.75" customHeight="1">
      <c r="A25" s="87">
        <v>45819.0</v>
      </c>
      <c r="B25" s="18" t="s">
        <v>53</v>
      </c>
      <c r="C25" s="18">
        <v>32.0</v>
      </c>
      <c r="D25" s="24">
        <v>1.0</v>
      </c>
      <c r="E25" s="24" t="s">
        <v>42</v>
      </c>
      <c r="H25" s="18">
        <v>24.0</v>
      </c>
      <c r="I25" s="18"/>
      <c r="J25" s="24"/>
      <c r="K25" s="24"/>
      <c r="L25" s="18" t="str">
        <f t="shared" si="1"/>
        <v/>
      </c>
      <c r="M25" s="18"/>
    </row>
    <row r="26" ht="15.75" customHeight="1">
      <c r="A26" s="87">
        <v>45849.0</v>
      </c>
      <c r="B26" s="18" t="s">
        <v>53</v>
      </c>
      <c r="C26" s="18">
        <v>36.0</v>
      </c>
      <c r="D26" s="24">
        <v>1.0</v>
      </c>
      <c r="E26" s="24" t="s">
        <v>40</v>
      </c>
      <c r="H26" s="18">
        <v>27.6</v>
      </c>
      <c r="I26" s="18">
        <v>1.23</v>
      </c>
      <c r="J26" s="24"/>
      <c r="K26" s="24"/>
      <c r="L26" s="18" t="str">
        <f t="shared" si="1"/>
        <v/>
      </c>
      <c r="M26" s="18"/>
    </row>
    <row r="27" ht="15.75" customHeight="1">
      <c r="A27" s="87">
        <v>45849.0</v>
      </c>
      <c r="B27" s="18" t="s">
        <v>53</v>
      </c>
      <c r="C27" s="18">
        <v>34.0</v>
      </c>
      <c r="D27" s="24">
        <v>1.0</v>
      </c>
      <c r="E27" s="24" t="s">
        <v>39</v>
      </c>
      <c r="G27" s="24" t="s">
        <v>85</v>
      </c>
      <c r="H27" s="18">
        <v>25.0</v>
      </c>
      <c r="I27" s="18">
        <v>1.11</v>
      </c>
      <c r="J27" s="24"/>
      <c r="K27" s="24" t="s">
        <v>48</v>
      </c>
      <c r="L27" s="18" t="str">
        <f t="shared" si="1"/>
        <v/>
      </c>
      <c r="M27" s="18"/>
    </row>
    <row r="28" ht="15.75" customHeight="1">
      <c r="A28" s="87">
        <v>45849.0</v>
      </c>
      <c r="B28" s="18" t="s">
        <v>53</v>
      </c>
      <c r="C28" s="18">
        <v>36.0</v>
      </c>
      <c r="D28" s="24">
        <v>1.0</v>
      </c>
      <c r="E28" s="24" t="s">
        <v>40</v>
      </c>
      <c r="G28" s="24" t="s">
        <v>86</v>
      </c>
      <c r="H28" s="18">
        <v>28.0</v>
      </c>
      <c r="I28" s="18">
        <v>1.21</v>
      </c>
      <c r="J28" s="24"/>
      <c r="K28" s="24" t="s">
        <v>48</v>
      </c>
      <c r="L28" s="18" t="str">
        <f t="shared" si="1"/>
        <v/>
      </c>
      <c r="M28" s="18"/>
    </row>
    <row r="29" ht="15.75" customHeight="1">
      <c r="A29" s="99">
        <v>45849.0</v>
      </c>
      <c r="B29" s="100" t="s">
        <v>50</v>
      </c>
      <c r="C29" s="100">
        <v>34.0</v>
      </c>
      <c r="D29" s="101">
        <v>1.0</v>
      </c>
      <c r="E29" s="101" t="s">
        <v>39</v>
      </c>
      <c r="F29" s="101"/>
      <c r="G29" s="101" t="s">
        <v>87</v>
      </c>
      <c r="H29" s="100">
        <v>0.0</v>
      </c>
      <c r="I29" s="100"/>
      <c r="J29" s="101" t="s">
        <v>56</v>
      </c>
      <c r="K29" s="101"/>
      <c r="L29" s="18" t="str">
        <f t="shared" si="1"/>
        <v/>
      </c>
      <c r="M29" s="18"/>
    </row>
    <row r="30" ht="15.75" customHeight="1">
      <c r="A30" s="87">
        <v>45849.0</v>
      </c>
      <c r="B30" s="18" t="s">
        <v>50</v>
      </c>
      <c r="C30" s="18">
        <v>36.0</v>
      </c>
      <c r="D30" s="24">
        <v>1.0</v>
      </c>
      <c r="E30" s="24" t="s">
        <v>40</v>
      </c>
      <c r="G30" s="24" t="s">
        <v>88</v>
      </c>
      <c r="H30" s="18">
        <v>22.0</v>
      </c>
      <c r="I30" s="18">
        <v>1.23</v>
      </c>
      <c r="J30" s="24"/>
      <c r="K30" s="24" t="s">
        <v>48</v>
      </c>
      <c r="L30" s="18" t="str">
        <f t="shared" si="1"/>
        <v/>
      </c>
      <c r="M30" s="18"/>
    </row>
    <row r="31" ht="15.75" customHeight="1">
      <c r="A31" s="87">
        <v>45849.0</v>
      </c>
      <c r="B31" s="18" t="s">
        <v>53</v>
      </c>
      <c r="C31" s="18">
        <v>36.0</v>
      </c>
      <c r="D31" s="24">
        <v>1.0</v>
      </c>
      <c r="E31" s="24" t="s">
        <v>40</v>
      </c>
      <c r="G31" s="24" t="s">
        <v>89</v>
      </c>
      <c r="H31" s="18">
        <v>29.0</v>
      </c>
      <c r="I31" s="18">
        <v>1.23</v>
      </c>
      <c r="J31" s="24"/>
      <c r="K31" s="24" t="s">
        <v>48</v>
      </c>
      <c r="L31" s="18" t="str">
        <f t="shared" si="1"/>
        <v/>
      </c>
      <c r="M31" s="18"/>
    </row>
    <row r="32" ht="15.75" customHeight="1">
      <c r="A32" s="87">
        <v>45880.0</v>
      </c>
      <c r="B32" s="18" t="s">
        <v>53</v>
      </c>
      <c r="C32" s="18">
        <v>32.0</v>
      </c>
      <c r="D32" s="24">
        <v>1.0</v>
      </c>
      <c r="E32" s="24" t="s">
        <v>39</v>
      </c>
      <c r="G32" s="24" t="s">
        <v>90</v>
      </c>
      <c r="H32" s="18">
        <v>22.5</v>
      </c>
      <c r="I32" s="18">
        <v>1.12</v>
      </c>
      <c r="J32" s="24"/>
      <c r="K32" s="24" t="s">
        <v>48</v>
      </c>
      <c r="L32" s="18" t="str">
        <f t="shared" si="1"/>
        <v/>
      </c>
      <c r="M32" s="18"/>
    </row>
    <row r="33" ht="15.75" customHeight="1">
      <c r="A33" s="87">
        <v>45880.0</v>
      </c>
      <c r="B33" s="18" t="s">
        <v>50</v>
      </c>
      <c r="C33" s="18">
        <v>34.0</v>
      </c>
      <c r="D33" s="24">
        <v>1.0</v>
      </c>
      <c r="E33" s="24" t="s">
        <v>39</v>
      </c>
      <c r="G33" s="24" t="s">
        <v>91</v>
      </c>
      <c r="H33" s="18">
        <v>25.2</v>
      </c>
      <c r="I33" s="18"/>
      <c r="J33" s="24"/>
      <c r="K33" s="24"/>
      <c r="L33" s="18" t="str">
        <f t="shared" si="1"/>
        <v/>
      </c>
      <c r="M33" s="18"/>
    </row>
    <row r="34" ht="15.75" customHeight="1">
      <c r="A34" s="87">
        <v>45880.0</v>
      </c>
      <c r="B34" s="18" t="s">
        <v>53</v>
      </c>
      <c r="C34" s="18">
        <v>32.0</v>
      </c>
      <c r="D34" s="24">
        <v>1.0</v>
      </c>
      <c r="E34" s="24" t="s">
        <v>39</v>
      </c>
      <c r="G34" s="24" t="s">
        <v>91</v>
      </c>
      <c r="H34" s="18">
        <v>25.0</v>
      </c>
      <c r="I34" s="18"/>
      <c r="J34" s="24"/>
      <c r="K34" s="24"/>
      <c r="L34" s="18" t="str">
        <f t="shared" si="1"/>
        <v/>
      </c>
      <c r="M34" s="18"/>
    </row>
    <row r="35" ht="15.75" customHeight="1">
      <c r="A35" s="94">
        <v>45880.0</v>
      </c>
      <c r="B35" s="18" t="s">
        <v>46</v>
      </c>
      <c r="C35" s="18">
        <v>32.0</v>
      </c>
      <c r="D35" s="24">
        <v>1.0</v>
      </c>
      <c r="E35" s="24" t="s">
        <v>42</v>
      </c>
      <c r="H35" s="18">
        <v>50.0</v>
      </c>
      <c r="I35" s="18">
        <v>1.75</v>
      </c>
      <c r="J35" s="24"/>
      <c r="K35" s="24"/>
      <c r="L35" s="18" t="str">
        <f t="shared" si="1"/>
        <v/>
      </c>
      <c r="M35" s="18"/>
    </row>
    <row r="36" ht="15.75" customHeight="1">
      <c r="A36" s="87">
        <v>45911.0</v>
      </c>
      <c r="B36" s="18" t="s">
        <v>50</v>
      </c>
      <c r="C36" s="18">
        <v>34.0</v>
      </c>
      <c r="D36" s="24">
        <v>1.0</v>
      </c>
      <c r="E36" s="24" t="s">
        <v>39</v>
      </c>
      <c r="G36" s="24" t="s">
        <v>93</v>
      </c>
      <c r="H36" s="18">
        <v>24.0</v>
      </c>
      <c r="I36" s="18">
        <v>1.11</v>
      </c>
      <c r="J36" s="24"/>
      <c r="K36" s="24" t="s">
        <v>48</v>
      </c>
      <c r="L36" s="18" t="str">
        <f t="shared" si="1"/>
        <v/>
      </c>
      <c r="M36" s="18"/>
    </row>
    <row r="37" ht="15.75" customHeight="1">
      <c r="A37" s="87">
        <v>45911.0</v>
      </c>
      <c r="B37" s="18" t="s">
        <v>46</v>
      </c>
      <c r="C37" s="18">
        <v>34.0</v>
      </c>
      <c r="D37" s="24">
        <v>1.0</v>
      </c>
      <c r="E37" s="24" t="s">
        <v>39</v>
      </c>
      <c r="G37" s="24" t="s">
        <v>91</v>
      </c>
      <c r="H37" s="18">
        <v>49.0</v>
      </c>
      <c r="I37" s="18">
        <v>1.09</v>
      </c>
      <c r="J37" s="24"/>
      <c r="K37" s="24"/>
      <c r="L37" s="18" t="str">
        <f t="shared" si="1"/>
        <v/>
      </c>
      <c r="M37" s="18"/>
    </row>
    <row r="38" ht="15.75" customHeight="1">
      <c r="A38" s="87">
        <v>45911.0</v>
      </c>
      <c r="B38" s="18" t="s">
        <v>53</v>
      </c>
      <c r="C38" s="18">
        <v>36.0</v>
      </c>
      <c r="D38" s="24">
        <v>1.0</v>
      </c>
      <c r="E38" s="24" t="s">
        <v>43</v>
      </c>
      <c r="H38" s="18">
        <v>21.0</v>
      </c>
      <c r="I38" s="18">
        <v>1.23</v>
      </c>
      <c r="J38" s="24"/>
      <c r="K38" s="24"/>
      <c r="L38" s="18" t="str">
        <f t="shared" si="1"/>
        <v/>
      </c>
      <c r="M38" s="18"/>
    </row>
    <row r="39" ht="15.75" customHeight="1">
      <c r="A39" s="87">
        <v>45911.0</v>
      </c>
      <c r="B39" s="18" t="s">
        <v>50</v>
      </c>
      <c r="C39" s="18">
        <v>36.0</v>
      </c>
      <c r="D39" s="24">
        <v>1.0</v>
      </c>
      <c r="E39" s="24" t="s">
        <v>43</v>
      </c>
      <c r="H39" s="18">
        <v>21.0</v>
      </c>
      <c r="I39" s="18">
        <v>1.23</v>
      </c>
      <c r="J39" s="24"/>
      <c r="K39" s="24"/>
      <c r="L39" s="18" t="str">
        <f t="shared" si="1"/>
        <v/>
      </c>
      <c r="M39" s="18"/>
    </row>
    <row r="40" ht="15.75" customHeight="1">
      <c r="A40" s="87">
        <v>45911.0</v>
      </c>
      <c r="B40" s="18" t="s">
        <v>53</v>
      </c>
      <c r="C40" s="18">
        <v>36.0</v>
      </c>
      <c r="D40" s="24">
        <v>1.0</v>
      </c>
      <c r="E40" s="24" t="s">
        <v>39</v>
      </c>
      <c r="G40" s="24" t="s">
        <v>95</v>
      </c>
      <c r="H40" s="18">
        <v>25.0</v>
      </c>
      <c r="I40" s="18">
        <v>1.03</v>
      </c>
      <c r="J40" s="24"/>
      <c r="K40" s="24"/>
      <c r="L40" s="18" t="str">
        <f t="shared" si="1"/>
        <v/>
      </c>
      <c r="M40" s="18"/>
    </row>
    <row r="41" ht="15.75" customHeight="1">
      <c r="A41" s="87">
        <v>45911.0</v>
      </c>
      <c r="B41" s="18" t="s">
        <v>50</v>
      </c>
      <c r="C41" s="18">
        <v>34.0</v>
      </c>
      <c r="D41" s="24">
        <v>1.0</v>
      </c>
      <c r="E41" s="24" t="s">
        <v>39</v>
      </c>
      <c r="G41" s="24" t="s">
        <v>96</v>
      </c>
      <c r="H41" s="18">
        <v>24.0</v>
      </c>
      <c r="I41" s="18">
        <v>1.03</v>
      </c>
      <c r="J41" s="24"/>
      <c r="K41" s="24" t="s">
        <v>48</v>
      </c>
      <c r="L41" s="18" t="str">
        <f t="shared" si="1"/>
        <v/>
      </c>
      <c r="M41" s="18"/>
    </row>
    <row r="42" ht="15.75" customHeight="1">
      <c r="A42" s="87">
        <v>45911.0</v>
      </c>
      <c r="B42" s="18" t="s">
        <v>46</v>
      </c>
      <c r="C42" s="18">
        <v>34.0</v>
      </c>
      <c r="D42" s="24">
        <v>1.0</v>
      </c>
      <c r="E42" s="24" t="s">
        <v>39</v>
      </c>
      <c r="G42" s="24" t="s">
        <v>97</v>
      </c>
      <c r="H42" s="18">
        <v>45.0</v>
      </c>
      <c r="I42" s="18">
        <v>1.09</v>
      </c>
      <c r="J42" s="24"/>
      <c r="K42" s="24"/>
      <c r="L42" s="18" t="str">
        <f t="shared" si="1"/>
        <v/>
      </c>
      <c r="M42" s="18"/>
    </row>
    <row r="43" ht="15.75" customHeight="1">
      <c r="A43" s="94">
        <v>45941.0</v>
      </c>
      <c r="B43" s="18" t="s">
        <v>53</v>
      </c>
      <c r="C43" s="18">
        <v>34.0</v>
      </c>
      <c r="D43" s="24">
        <v>1.0</v>
      </c>
      <c r="E43" s="24" t="s">
        <v>39</v>
      </c>
      <c r="G43" s="24" t="s">
        <v>98</v>
      </c>
      <c r="H43" s="18">
        <v>28.0</v>
      </c>
      <c r="I43" s="18">
        <v>1.09</v>
      </c>
      <c r="J43" s="24"/>
      <c r="K43" s="24" t="s">
        <v>48</v>
      </c>
      <c r="L43" s="18" t="str">
        <f t="shared" si="1"/>
        <v/>
      </c>
      <c r="M43" s="18"/>
    </row>
    <row r="44" ht="15.75" customHeight="1">
      <c r="A44" s="94">
        <v>45941.0</v>
      </c>
      <c r="B44" s="18" t="s">
        <v>53</v>
      </c>
      <c r="C44" s="18">
        <v>34.0</v>
      </c>
      <c r="D44" s="24">
        <v>1.0</v>
      </c>
      <c r="E44" s="24" t="s">
        <v>39</v>
      </c>
      <c r="G44" s="24" t="s">
        <v>99</v>
      </c>
      <c r="H44" s="18">
        <v>24.0</v>
      </c>
      <c r="I44" s="18"/>
      <c r="J44" s="24"/>
      <c r="K44" s="24" t="s">
        <v>48</v>
      </c>
      <c r="L44" s="18" t="str">
        <f t="shared" si="1"/>
        <v/>
      </c>
      <c r="M44" s="18"/>
    </row>
    <row r="45" ht="15.75" customHeight="1">
      <c r="A45" s="94">
        <v>45941.0</v>
      </c>
      <c r="B45" s="18" t="s">
        <v>53</v>
      </c>
      <c r="C45" s="18">
        <v>36.0</v>
      </c>
      <c r="D45" s="24">
        <v>1.0</v>
      </c>
      <c r="E45" s="24" t="s">
        <v>40</v>
      </c>
      <c r="H45" s="18">
        <v>29.0</v>
      </c>
      <c r="I45" s="18">
        <v>1.23</v>
      </c>
      <c r="J45" s="24"/>
      <c r="K45" s="24"/>
      <c r="L45" s="18" t="str">
        <f t="shared" si="1"/>
        <v/>
      </c>
      <c r="M45" s="18"/>
    </row>
    <row r="46" ht="15.75" customHeight="1">
      <c r="A46" s="94">
        <v>45941.0</v>
      </c>
      <c r="B46" s="18" t="s">
        <v>46</v>
      </c>
      <c r="C46" s="18">
        <v>34.0</v>
      </c>
      <c r="D46" s="24">
        <v>1.0</v>
      </c>
      <c r="E46" s="24" t="s">
        <v>39</v>
      </c>
      <c r="G46" s="24" t="s">
        <v>100</v>
      </c>
      <c r="H46" s="18">
        <v>45.0</v>
      </c>
      <c r="I46" s="18">
        <v>1.23</v>
      </c>
      <c r="J46" s="24"/>
      <c r="K46" s="24" t="s">
        <v>48</v>
      </c>
      <c r="L46" s="18" t="str">
        <f t="shared" si="1"/>
        <v/>
      </c>
      <c r="M46" s="18"/>
    </row>
    <row r="47" ht="15.75" customHeight="1">
      <c r="A47" s="94">
        <v>45941.0</v>
      </c>
      <c r="B47" s="18" t="s">
        <v>50</v>
      </c>
      <c r="C47" s="18">
        <v>36.0</v>
      </c>
      <c r="D47" s="24">
        <v>1.0</v>
      </c>
      <c r="E47" s="24" t="s">
        <v>39</v>
      </c>
      <c r="G47" s="24" t="s">
        <v>101</v>
      </c>
      <c r="H47" s="18">
        <v>28.0</v>
      </c>
      <c r="I47" s="18">
        <v>1.21</v>
      </c>
      <c r="J47" s="24"/>
      <c r="K47" s="24" t="s">
        <v>48</v>
      </c>
      <c r="L47" s="18" t="str">
        <f t="shared" si="1"/>
        <v/>
      </c>
      <c r="M47" s="18"/>
    </row>
    <row r="48" ht="15.75" customHeight="1">
      <c r="A48" s="94">
        <v>45941.0</v>
      </c>
      <c r="B48" s="18" t="s">
        <v>50</v>
      </c>
      <c r="C48" s="18">
        <v>36.0</v>
      </c>
      <c r="D48" s="24">
        <v>1.0</v>
      </c>
      <c r="E48" s="24" t="s">
        <v>39</v>
      </c>
      <c r="G48" s="24" t="s">
        <v>102</v>
      </c>
      <c r="H48" s="18">
        <v>28.0</v>
      </c>
      <c r="I48" s="18">
        <v>1.21</v>
      </c>
      <c r="J48" s="24"/>
      <c r="K48" s="24" t="s">
        <v>48</v>
      </c>
      <c r="L48" s="18" t="str">
        <f t="shared" si="1"/>
        <v/>
      </c>
      <c r="M48" s="18"/>
    </row>
    <row r="49" ht="15.75" customHeight="1">
      <c r="A49" s="94">
        <v>45972.0</v>
      </c>
      <c r="B49" s="18" t="s">
        <v>53</v>
      </c>
      <c r="C49" s="18">
        <v>34.0</v>
      </c>
      <c r="D49" s="24">
        <v>1.0</v>
      </c>
      <c r="E49" s="24" t="s">
        <v>39</v>
      </c>
      <c r="G49" s="24" t="s">
        <v>103</v>
      </c>
      <c r="H49" s="18">
        <v>22.5</v>
      </c>
      <c r="I49" s="18">
        <v>1.03</v>
      </c>
      <c r="J49" s="24"/>
      <c r="K49" s="24"/>
      <c r="L49" s="18" t="str">
        <f t="shared" si="1"/>
        <v/>
      </c>
      <c r="M49" s="18"/>
    </row>
    <row r="50" ht="15.75" customHeight="1">
      <c r="A50" s="94">
        <v>45972.0</v>
      </c>
      <c r="B50" s="18" t="s">
        <v>46</v>
      </c>
      <c r="C50" s="18">
        <v>34.0</v>
      </c>
      <c r="D50" s="24">
        <v>1.0</v>
      </c>
      <c r="E50" s="24" t="s">
        <v>39</v>
      </c>
      <c r="G50" s="24" t="s">
        <v>104</v>
      </c>
      <c r="H50" s="18">
        <v>50.0</v>
      </c>
      <c r="I50" s="18">
        <v>1.35</v>
      </c>
      <c r="J50" s="24"/>
      <c r="K50" s="24"/>
      <c r="L50" s="18" t="str">
        <f t="shared" si="1"/>
        <v/>
      </c>
      <c r="M50" s="18"/>
    </row>
    <row r="51" ht="15.75" customHeight="1">
      <c r="A51" s="94">
        <v>45972.0</v>
      </c>
      <c r="B51" s="18" t="s">
        <v>46</v>
      </c>
      <c r="C51" s="18">
        <v>34.0</v>
      </c>
      <c r="D51" s="24">
        <v>1.0</v>
      </c>
      <c r="E51" s="24" t="s">
        <v>39</v>
      </c>
      <c r="G51" s="24" t="s">
        <v>105</v>
      </c>
      <c r="H51" s="18">
        <v>45.0</v>
      </c>
      <c r="I51" s="18">
        <v>1.35</v>
      </c>
      <c r="J51" s="24"/>
      <c r="K51" s="24"/>
      <c r="L51" s="18" t="str">
        <f t="shared" si="1"/>
        <v/>
      </c>
      <c r="M51" s="18"/>
    </row>
    <row r="52" ht="15.75" customHeight="1">
      <c r="A52" s="94">
        <v>45972.0</v>
      </c>
      <c r="B52" s="18" t="s">
        <v>50</v>
      </c>
      <c r="C52" s="18">
        <v>34.0</v>
      </c>
      <c r="D52" s="24">
        <v>1.0</v>
      </c>
      <c r="E52" s="24" t="s">
        <v>39</v>
      </c>
      <c r="G52" s="24" t="s">
        <v>106</v>
      </c>
      <c r="H52" s="18">
        <v>26.0</v>
      </c>
      <c r="I52" s="18"/>
      <c r="J52" s="24"/>
      <c r="K52" s="24"/>
      <c r="L52" s="18" t="str">
        <f t="shared" si="1"/>
        <v/>
      </c>
      <c r="M52" s="18"/>
    </row>
    <row r="53" ht="15.75" customHeight="1">
      <c r="A53" s="94">
        <v>45972.0</v>
      </c>
      <c r="B53" s="18" t="s">
        <v>46</v>
      </c>
      <c r="C53" s="18">
        <v>36.0</v>
      </c>
      <c r="D53" s="24">
        <v>1.0</v>
      </c>
      <c r="E53" s="24" t="s">
        <v>40</v>
      </c>
      <c r="G53" s="24" t="s">
        <v>108</v>
      </c>
      <c r="H53" s="18">
        <v>45.0</v>
      </c>
      <c r="I53" s="18">
        <v>1.35</v>
      </c>
      <c r="J53" s="24"/>
      <c r="K53" s="24"/>
      <c r="L53" s="18" t="str">
        <f t="shared" si="1"/>
        <v/>
      </c>
      <c r="M53" s="18"/>
    </row>
    <row r="54" ht="15.75" customHeight="1">
      <c r="A54" s="94">
        <v>46002.0</v>
      </c>
      <c r="B54" s="18" t="s">
        <v>46</v>
      </c>
      <c r="C54" s="18">
        <v>32.0</v>
      </c>
      <c r="D54" s="24">
        <v>1.0</v>
      </c>
      <c r="E54" s="24" t="s">
        <v>39</v>
      </c>
      <c r="G54" s="24" t="s">
        <v>109</v>
      </c>
      <c r="H54" s="18">
        <v>47.0</v>
      </c>
      <c r="I54" s="18"/>
      <c r="J54" s="24"/>
      <c r="K54" s="24"/>
      <c r="L54" s="18" t="str">
        <f t="shared" si="1"/>
        <v/>
      </c>
      <c r="M54" s="18"/>
    </row>
    <row r="55" ht="15.75" customHeight="1">
      <c r="A55" s="18" t="s">
        <v>110</v>
      </c>
      <c r="B55" s="18" t="s">
        <v>53</v>
      </c>
      <c r="C55" s="18">
        <v>34.0</v>
      </c>
      <c r="D55" s="24">
        <v>1.0</v>
      </c>
      <c r="E55" s="24" t="s">
        <v>39</v>
      </c>
      <c r="G55" s="24" t="s">
        <v>111</v>
      </c>
      <c r="H55" s="18">
        <v>28.0</v>
      </c>
      <c r="I55" s="18">
        <v>1.13</v>
      </c>
      <c r="J55" s="24"/>
      <c r="K55" s="24"/>
      <c r="L55" s="18" t="str">
        <f t="shared" si="1"/>
        <v/>
      </c>
      <c r="M55" s="18"/>
    </row>
    <row r="56" ht="15.75" customHeight="1">
      <c r="A56" s="18" t="s">
        <v>110</v>
      </c>
      <c r="B56" s="18" t="s">
        <v>50</v>
      </c>
      <c r="C56" s="18">
        <v>34.0</v>
      </c>
      <c r="D56" s="24">
        <v>1.0</v>
      </c>
      <c r="E56" s="24" t="s">
        <v>39</v>
      </c>
      <c r="G56" s="24" t="s">
        <v>112</v>
      </c>
      <c r="H56" s="18">
        <v>27.0</v>
      </c>
      <c r="I56" s="18"/>
      <c r="J56" s="24"/>
      <c r="K56" s="24"/>
      <c r="L56" s="18" t="str">
        <f t="shared" si="1"/>
        <v/>
      </c>
      <c r="M56" s="18"/>
    </row>
    <row r="57" ht="15.75" customHeight="1">
      <c r="A57" s="18" t="s">
        <v>110</v>
      </c>
      <c r="B57" s="18" t="s">
        <v>53</v>
      </c>
      <c r="C57" s="18">
        <v>34.0</v>
      </c>
      <c r="D57" s="24">
        <v>1.0</v>
      </c>
      <c r="E57" s="24" t="s">
        <v>39</v>
      </c>
      <c r="G57" s="24" t="s">
        <v>113</v>
      </c>
      <c r="H57" s="18">
        <v>25.0</v>
      </c>
      <c r="I57" s="18"/>
      <c r="J57" s="24"/>
      <c r="K57" s="24"/>
      <c r="L57" s="18" t="str">
        <f t="shared" si="1"/>
        <v/>
      </c>
      <c r="M57" s="18"/>
    </row>
    <row r="58" ht="15.75" customHeight="1">
      <c r="A58" s="18" t="s">
        <v>110</v>
      </c>
      <c r="B58" s="18" t="s">
        <v>53</v>
      </c>
      <c r="C58" s="18">
        <v>34.0</v>
      </c>
      <c r="D58" s="24">
        <v>1.0</v>
      </c>
      <c r="E58" s="24" t="s">
        <v>39</v>
      </c>
      <c r="G58" s="24" t="s">
        <v>116</v>
      </c>
      <c r="H58" s="18">
        <v>24.1</v>
      </c>
      <c r="I58" s="18"/>
      <c r="J58" s="24"/>
      <c r="K58" s="24"/>
      <c r="L58" s="18"/>
      <c r="M58" s="18"/>
    </row>
    <row r="59" ht="15.75" customHeight="1">
      <c r="A59" s="18" t="s">
        <v>110</v>
      </c>
      <c r="B59" s="18" t="s">
        <v>53</v>
      </c>
      <c r="C59" s="18">
        <v>32.0</v>
      </c>
      <c r="D59" s="24">
        <v>1.0</v>
      </c>
      <c r="E59" s="24" t="s">
        <v>39</v>
      </c>
      <c r="G59" s="24" t="s">
        <v>117</v>
      </c>
      <c r="H59" s="18">
        <v>28.0</v>
      </c>
      <c r="I59" s="18"/>
      <c r="J59" s="24"/>
      <c r="K59" s="24"/>
      <c r="L59" s="18"/>
      <c r="M59" s="18"/>
    </row>
    <row r="60" ht="15.75" customHeight="1">
      <c r="A60" s="18" t="s">
        <v>110</v>
      </c>
      <c r="B60" s="18" t="s">
        <v>46</v>
      </c>
      <c r="C60" s="18">
        <v>34.0</v>
      </c>
      <c r="D60" s="24">
        <v>1.0</v>
      </c>
      <c r="E60" s="24" t="s">
        <v>39</v>
      </c>
      <c r="G60" s="24" t="s">
        <v>118</v>
      </c>
      <c r="H60" s="18">
        <v>45.0</v>
      </c>
      <c r="I60" s="18"/>
      <c r="J60" s="24"/>
      <c r="K60" s="24"/>
      <c r="L60" s="18"/>
      <c r="M60" s="18"/>
    </row>
    <row r="61" ht="15.75" customHeight="1">
      <c r="A61" s="18" t="s">
        <v>120</v>
      </c>
      <c r="B61" s="18" t="s">
        <v>50</v>
      </c>
      <c r="C61" s="18">
        <v>36.0</v>
      </c>
      <c r="D61" s="24">
        <v>1.0</v>
      </c>
      <c r="E61" s="24" t="s">
        <v>39</v>
      </c>
      <c r="G61" s="24" t="s">
        <v>123</v>
      </c>
      <c r="H61" s="18">
        <v>24.0</v>
      </c>
      <c r="I61" s="18">
        <v>1.09</v>
      </c>
      <c r="J61" s="24"/>
      <c r="K61" s="24"/>
      <c r="L61" s="18"/>
      <c r="M61" s="18"/>
    </row>
    <row r="62" ht="15.75" customHeight="1">
      <c r="A62" s="18" t="s">
        <v>120</v>
      </c>
      <c r="B62" s="18" t="s">
        <v>53</v>
      </c>
      <c r="C62" s="18">
        <v>34.0</v>
      </c>
      <c r="D62" s="24">
        <v>1.0</v>
      </c>
      <c r="E62" s="24" t="s">
        <v>39</v>
      </c>
      <c r="G62" s="24" t="s">
        <v>124</v>
      </c>
      <c r="H62" s="18">
        <v>23.0</v>
      </c>
      <c r="I62" s="18">
        <v>1.09</v>
      </c>
      <c r="J62" s="24"/>
      <c r="K62" s="24"/>
      <c r="L62" s="18"/>
      <c r="M62" s="18"/>
    </row>
    <row r="63" ht="15.75" customHeight="1">
      <c r="A63" s="18" t="s">
        <v>120</v>
      </c>
      <c r="B63" s="18" t="s">
        <v>46</v>
      </c>
      <c r="C63" s="18">
        <v>34.0</v>
      </c>
      <c r="D63" s="24">
        <v>1.0</v>
      </c>
      <c r="E63" s="24" t="s">
        <v>39</v>
      </c>
      <c r="G63" s="24" t="s">
        <v>127</v>
      </c>
      <c r="H63" s="18">
        <v>45.5</v>
      </c>
      <c r="I63" s="18"/>
      <c r="J63" s="24"/>
      <c r="K63" s="24"/>
      <c r="L63" s="18"/>
      <c r="M63" s="18"/>
    </row>
    <row r="64" ht="15.75" customHeight="1">
      <c r="A64" s="18" t="s">
        <v>131</v>
      </c>
      <c r="B64" s="18" t="s">
        <v>46</v>
      </c>
      <c r="C64" s="18">
        <v>34.0</v>
      </c>
      <c r="D64" s="24">
        <v>1.0</v>
      </c>
      <c r="E64" s="24" t="s">
        <v>39</v>
      </c>
      <c r="G64" s="24" t="s">
        <v>133</v>
      </c>
      <c r="H64" s="18">
        <v>50.0</v>
      </c>
      <c r="I64" s="18"/>
      <c r="J64" s="24"/>
      <c r="K64" s="24"/>
      <c r="L64" s="18"/>
      <c r="M64" s="18"/>
    </row>
    <row r="65" ht="15.75" customHeight="1">
      <c r="A65" s="18" t="s">
        <v>131</v>
      </c>
      <c r="B65" s="18" t="s">
        <v>53</v>
      </c>
      <c r="C65" s="18">
        <v>34.0</v>
      </c>
      <c r="D65" s="24">
        <v>1.0</v>
      </c>
      <c r="E65" s="24" t="s">
        <v>39</v>
      </c>
      <c r="G65" s="24" t="s">
        <v>134</v>
      </c>
      <c r="H65" s="18">
        <v>23.0</v>
      </c>
      <c r="I65" s="18"/>
      <c r="J65" s="24"/>
      <c r="K65" s="24"/>
      <c r="L65" s="18"/>
      <c r="M65" s="18"/>
    </row>
    <row r="66" ht="15.75" customHeight="1">
      <c r="A66" s="18" t="s">
        <v>131</v>
      </c>
      <c r="B66" s="18" t="s">
        <v>46</v>
      </c>
      <c r="C66" s="18">
        <v>32.0</v>
      </c>
      <c r="D66" s="24">
        <v>1.0</v>
      </c>
      <c r="E66" s="24"/>
      <c r="H66" s="18"/>
      <c r="I66" s="18"/>
      <c r="J66" s="24"/>
      <c r="K66" s="24"/>
      <c r="L66" s="18"/>
      <c r="M66" s="18"/>
    </row>
    <row r="67" ht="15.75" customHeight="1">
      <c r="A67" s="18" t="s">
        <v>131</v>
      </c>
      <c r="B67" s="18"/>
      <c r="C67" s="18"/>
      <c r="E67" s="24"/>
      <c r="H67" s="18"/>
      <c r="I67" s="18"/>
      <c r="J67" s="24"/>
      <c r="K67" s="24"/>
      <c r="L67" s="18"/>
      <c r="M67" s="18"/>
    </row>
    <row r="68" ht="15.75" customHeight="1">
      <c r="A68" s="18" t="s">
        <v>131</v>
      </c>
      <c r="B68" s="18"/>
      <c r="C68" s="18"/>
      <c r="E68" s="24"/>
      <c r="H68" s="18"/>
      <c r="I68" s="18"/>
      <c r="J68" s="24"/>
      <c r="K68" s="24"/>
      <c r="L68" s="18"/>
      <c r="M68" s="18"/>
    </row>
    <row r="69" ht="15.75" customHeight="1">
      <c r="A69" s="18" t="s">
        <v>131</v>
      </c>
      <c r="B69" s="18"/>
      <c r="C69" s="18"/>
      <c r="E69" s="24"/>
      <c r="H69" s="18"/>
      <c r="I69" s="18"/>
      <c r="J69" s="24"/>
      <c r="K69" s="24"/>
      <c r="L69" s="18"/>
      <c r="M69" s="18"/>
    </row>
    <row r="70" ht="15.75" customHeight="1">
      <c r="A70" s="18" t="s">
        <v>131</v>
      </c>
      <c r="B70" s="18"/>
      <c r="C70" s="18"/>
      <c r="E70" s="24"/>
      <c r="H70" s="18"/>
      <c r="I70" s="18"/>
      <c r="J70" s="24"/>
      <c r="K70" s="24"/>
      <c r="L70" s="18"/>
      <c r="M70" s="18"/>
    </row>
    <row r="71" ht="15.75" customHeight="1">
      <c r="A71" s="18" t="s">
        <v>131</v>
      </c>
      <c r="B71" s="18"/>
      <c r="C71" s="18"/>
      <c r="E71" s="24"/>
      <c r="H71" s="18"/>
      <c r="I71" s="18"/>
      <c r="J71" s="24"/>
      <c r="K71" s="24"/>
      <c r="L71" s="18"/>
      <c r="M71" s="18"/>
    </row>
    <row r="72" ht="15.75" customHeight="1">
      <c r="A72" s="18" t="s">
        <v>131</v>
      </c>
      <c r="B72" s="18"/>
      <c r="C72" s="18"/>
      <c r="E72" s="24"/>
      <c r="H72" s="18"/>
      <c r="I72" s="18"/>
      <c r="J72" s="24"/>
      <c r="K72" s="24"/>
      <c r="L72" s="18"/>
      <c r="M72" s="18"/>
    </row>
    <row r="73" ht="15.75" customHeight="1">
      <c r="A73" s="18" t="s">
        <v>131</v>
      </c>
      <c r="B73" s="18"/>
      <c r="C73" s="18"/>
      <c r="E73" s="24"/>
      <c r="H73" s="18"/>
      <c r="I73" s="18"/>
      <c r="J73" s="24"/>
      <c r="K73" s="24"/>
      <c r="L73" s="18"/>
      <c r="M73" s="18"/>
    </row>
    <row r="74" ht="15.75" customHeight="1">
      <c r="A74" s="18" t="s">
        <v>131</v>
      </c>
      <c r="B74" s="18"/>
      <c r="C74" s="18"/>
      <c r="E74" s="24"/>
      <c r="H74" s="18"/>
      <c r="I74" s="18"/>
      <c r="J74" s="24"/>
      <c r="K74" s="24"/>
      <c r="L74" s="18"/>
      <c r="M74" s="18"/>
    </row>
    <row r="75" ht="15.75" customHeight="1">
      <c r="A75" s="18" t="s">
        <v>131</v>
      </c>
      <c r="B75" s="18"/>
      <c r="C75" s="18"/>
      <c r="E75" s="24"/>
      <c r="H75" s="18"/>
      <c r="I75" s="18"/>
      <c r="J75" s="24"/>
      <c r="K75" s="24"/>
      <c r="L75" s="18"/>
      <c r="M75" s="18"/>
    </row>
    <row r="76" ht="15.75" customHeight="1">
      <c r="A76" s="18" t="s">
        <v>131</v>
      </c>
      <c r="B76" s="18"/>
      <c r="C76" s="18"/>
      <c r="E76" s="24"/>
      <c r="H76" s="18"/>
      <c r="I76" s="18"/>
      <c r="J76" s="24"/>
      <c r="K76" s="24"/>
      <c r="L76" s="18"/>
      <c r="M76" s="18"/>
    </row>
    <row r="77" ht="15.75" customHeight="1">
      <c r="A77" s="18"/>
      <c r="B77" s="18"/>
      <c r="C77" s="18"/>
      <c r="E77" s="24"/>
      <c r="H77" s="18"/>
      <c r="I77" s="18"/>
      <c r="J77" s="24"/>
      <c r="K77" s="24"/>
      <c r="L77" s="18"/>
      <c r="M77" s="18"/>
    </row>
    <row r="78" ht="15.75" customHeight="1">
      <c r="A78" s="18"/>
      <c r="B78" s="18"/>
      <c r="C78" s="18"/>
      <c r="E78" s="24"/>
      <c r="H78" s="18"/>
      <c r="I78" s="18"/>
      <c r="J78" s="24"/>
      <c r="K78" s="24"/>
      <c r="L78" s="18"/>
      <c r="M78" s="18"/>
    </row>
    <row r="79" ht="15.75" customHeight="1">
      <c r="A79" s="18"/>
      <c r="B79" s="18"/>
      <c r="C79" s="18"/>
      <c r="E79" s="24"/>
      <c r="H79" s="18"/>
      <c r="I79" s="18"/>
      <c r="J79" s="24"/>
      <c r="K79" s="24"/>
      <c r="L79" s="18"/>
      <c r="M79" s="18"/>
    </row>
    <row r="80" ht="15.75" customHeight="1">
      <c r="A80" s="18"/>
      <c r="B80" s="18"/>
      <c r="C80" s="18"/>
      <c r="E80" s="24"/>
      <c r="H80" s="18"/>
      <c r="I80" s="18"/>
      <c r="J80" s="24"/>
      <c r="K80" s="24"/>
      <c r="L80" s="18"/>
      <c r="M80" s="18"/>
    </row>
    <row r="81" ht="15.75" customHeight="1">
      <c r="A81" s="18"/>
      <c r="B81" s="18"/>
      <c r="C81" s="18"/>
      <c r="E81" s="24"/>
      <c r="H81" s="18"/>
      <c r="I81" s="18"/>
      <c r="J81" s="24"/>
      <c r="K81" s="24"/>
      <c r="L81" s="18"/>
      <c r="M81" s="18"/>
    </row>
    <row r="82" ht="15.75" customHeight="1">
      <c r="A82" s="18"/>
      <c r="B82" s="18"/>
      <c r="C82" s="18"/>
      <c r="E82" s="24"/>
      <c r="H82" s="18"/>
      <c r="I82" s="18"/>
      <c r="J82" s="24"/>
      <c r="K82" s="24"/>
      <c r="L82" s="18"/>
      <c r="M82" s="18"/>
    </row>
    <row r="83" ht="15.75" customHeight="1">
      <c r="A83" s="18"/>
      <c r="B83" s="18"/>
      <c r="C83" s="18"/>
      <c r="E83" s="24"/>
      <c r="H83" s="18"/>
      <c r="I83" s="18"/>
      <c r="J83" s="24"/>
      <c r="K83" s="24"/>
      <c r="L83" s="18"/>
      <c r="M83" s="18"/>
    </row>
    <row r="84" ht="15.75" customHeight="1">
      <c r="A84" s="18"/>
      <c r="B84" s="18"/>
      <c r="C84" s="18"/>
      <c r="E84" s="24"/>
      <c r="H84" s="18"/>
      <c r="I84" s="18"/>
      <c r="J84" s="24"/>
      <c r="K84" s="24"/>
      <c r="L84" s="18"/>
      <c r="M84" s="18"/>
    </row>
    <row r="85" ht="15.75" customHeight="1">
      <c r="A85" s="18"/>
      <c r="B85" s="18"/>
      <c r="C85" s="18"/>
      <c r="E85" s="24"/>
      <c r="H85" s="18"/>
      <c r="I85" s="18"/>
      <c r="J85" s="24"/>
      <c r="K85" s="24"/>
      <c r="L85" s="18"/>
      <c r="M85" s="18"/>
    </row>
    <row r="86" ht="15.75" customHeight="1">
      <c r="A86" s="18"/>
      <c r="B86" s="18"/>
      <c r="C86" s="18"/>
      <c r="E86" s="24"/>
      <c r="H86" s="18"/>
      <c r="I86" s="18"/>
      <c r="J86" s="24"/>
      <c r="K86" s="24"/>
      <c r="L86" s="18"/>
      <c r="M86" s="18"/>
    </row>
    <row r="87" ht="15.75" customHeight="1">
      <c r="A87" s="18"/>
      <c r="B87" s="18"/>
      <c r="C87" s="18"/>
      <c r="E87" s="24"/>
      <c r="H87" s="18"/>
      <c r="I87" s="18"/>
      <c r="J87" s="24"/>
      <c r="K87" s="24"/>
      <c r="L87" s="18"/>
      <c r="M87" s="18"/>
    </row>
    <row r="88" ht="15.75" customHeight="1">
      <c r="A88" s="18"/>
      <c r="B88" s="18"/>
      <c r="C88" s="18"/>
      <c r="E88" s="24"/>
      <c r="H88" s="18"/>
      <c r="I88" s="18"/>
      <c r="J88" s="24"/>
      <c r="K88" s="24"/>
      <c r="L88" s="18"/>
      <c r="M88" s="18"/>
    </row>
    <row r="89" ht="15.75" customHeight="1">
      <c r="A89" s="18"/>
      <c r="B89" s="18"/>
      <c r="C89" s="18"/>
      <c r="E89" s="24"/>
      <c r="H89" s="18"/>
      <c r="I89" s="18"/>
      <c r="J89" s="24"/>
      <c r="K89" s="24"/>
      <c r="L89" s="18"/>
      <c r="M89" s="18"/>
    </row>
    <row r="90" ht="15.75" customHeight="1">
      <c r="A90" s="18"/>
      <c r="B90" s="18"/>
      <c r="C90" s="18"/>
      <c r="E90" s="24"/>
      <c r="H90" s="18"/>
      <c r="I90" s="18"/>
      <c r="J90" s="24"/>
      <c r="K90" s="24"/>
      <c r="L90" s="18"/>
      <c r="M90" s="18"/>
    </row>
    <row r="91" ht="15.75" customHeight="1">
      <c r="A91" s="18"/>
      <c r="B91" s="18"/>
      <c r="C91" s="18"/>
      <c r="E91" s="24"/>
      <c r="H91" s="18"/>
      <c r="I91" s="18"/>
      <c r="J91" s="24"/>
      <c r="K91" s="24"/>
      <c r="L91" s="18"/>
      <c r="M91" s="18"/>
    </row>
    <row r="92" ht="15.75" customHeight="1">
      <c r="A92" s="18"/>
      <c r="B92" s="18"/>
      <c r="C92" s="18"/>
      <c r="E92" s="24"/>
      <c r="H92" s="18"/>
      <c r="I92" s="18"/>
      <c r="J92" s="24"/>
      <c r="K92" s="24"/>
      <c r="L92" s="18"/>
      <c r="M92" s="18"/>
    </row>
    <row r="93" ht="15.75" customHeight="1">
      <c r="A93" s="18"/>
      <c r="B93" s="18"/>
      <c r="C93" s="18"/>
      <c r="E93" s="24"/>
      <c r="H93" s="18"/>
      <c r="I93" s="18"/>
      <c r="J93" s="24"/>
      <c r="K93" s="24"/>
      <c r="L93" s="18"/>
      <c r="M93" s="18"/>
    </row>
    <row r="94" ht="15.75" customHeight="1">
      <c r="A94" s="18"/>
      <c r="B94" s="18"/>
      <c r="C94" s="18"/>
      <c r="E94" s="24"/>
      <c r="H94" s="18"/>
      <c r="I94" s="18"/>
      <c r="J94" s="24"/>
      <c r="K94" s="24"/>
      <c r="L94" s="18"/>
      <c r="M94" s="18"/>
    </row>
    <row r="95" ht="15.75" customHeight="1">
      <c r="A95" s="18"/>
      <c r="B95" s="18"/>
      <c r="C95" s="18"/>
      <c r="E95" s="24"/>
      <c r="H95" s="18"/>
      <c r="I95" s="18"/>
      <c r="J95" s="24"/>
      <c r="K95" s="24"/>
      <c r="L95" s="18"/>
      <c r="M95" s="18"/>
    </row>
    <row r="96" ht="15.75" customHeight="1">
      <c r="A96" s="18"/>
      <c r="B96" s="18"/>
      <c r="C96" s="18"/>
      <c r="E96" s="24"/>
      <c r="H96" s="18"/>
      <c r="I96" s="18"/>
      <c r="J96" s="24"/>
      <c r="K96" s="24"/>
      <c r="L96" s="18"/>
      <c r="M96" s="18"/>
    </row>
    <row r="97" ht="15.75" customHeight="1">
      <c r="A97" s="18"/>
      <c r="B97" s="18"/>
      <c r="C97" s="18"/>
      <c r="E97" s="24"/>
      <c r="H97" s="18"/>
      <c r="I97" s="18"/>
      <c r="J97" s="24"/>
      <c r="K97" s="24"/>
      <c r="L97" s="18"/>
      <c r="M97" s="18"/>
    </row>
    <row r="98" ht="15.75" customHeight="1">
      <c r="A98" s="18"/>
      <c r="B98" s="18"/>
      <c r="C98" s="18"/>
      <c r="E98" s="24"/>
      <c r="H98" s="18"/>
      <c r="I98" s="18"/>
      <c r="J98" s="24"/>
      <c r="K98" s="24"/>
      <c r="L98" s="18"/>
      <c r="M98" s="18"/>
    </row>
    <row r="99" ht="15.75" customHeight="1">
      <c r="A99" s="18"/>
      <c r="B99" s="18"/>
      <c r="C99" s="18"/>
      <c r="E99" s="24"/>
      <c r="H99" s="18"/>
      <c r="I99" s="18"/>
      <c r="J99" s="24"/>
      <c r="K99" s="24"/>
      <c r="L99" s="18"/>
      <c r="M99" s="18"/>
    </row>
    <row r="100" ht="15.75" customHeight="1">
      <c r="A100" s="18"/>
      <c r="B100" s="18"/>
      <c r="C100" s="18"/>
      <c r="E100" s="24"/>
      <c r="H100" s="18"/>
      <c r="I100" s="18"/>
      <c r="J100" s="24"/>
      <c r="K100" s="24"/>
      <c r="L100" s="18"/>
      <c r="M100" s="18"/>
    </row>
    <row r="101" ht="15.75" customHeight="1">
      <c r="A101" s="18"/>
      <c r="B101" s="18"/>
      <c r="C101" s="18"/>
      <c r="E101" s="24"/>
      <c r="H101" s="18"/>
      <c r="I101" s="18"/>
      <c r="J101" s="24"/>
      <c r="K101" s="24"/>
      <c r="L101" s="18"/>
      <c r="M101" s="18"/>
    </row>
    <row r="102" ht="15.75" customHeight="1">
      <c r="A102" s="18"/>
      <c r="B102" s="18"/>
      <c r="C102" s="18"/>
      <c r="E102" s="24"/>
      <c r="H102" s="18"/>
      <c r="I102" s="18"/>
      <c r="J102" s="24"/>
      <c r="K102" s="24"/>
      <c r="L102" s="18"/>
      <c r="M102" s="18"/>
    </row>
    <row r="103" ht="15.75" customHeight="1">
      <c r="A103" s="18"/>
      <c r="B103" s="18"/>
      <c r="C103" s="18"/>
      <c r="E103" s="24"/>
      <c r="H103" s="18"/>
      <c r="I103" s="18"/>
      <c r="J103" s="24"/>
      <c r="K103" s="24"/>
      <c r="L103" s="18"/>
      <c r="M103" s="18"/>
    </row>
    <row r="104" ht="15.75" customHeight="1">
      <c r="A104" s="18"/>
      <c r="B104" s="18"/>
      <c r="C104" s="18"/>
      <c r="E104" s="24"/>
      <c r="H104" s="18"/>
      <c r="I104" s="18"/>
      <c r="J104" s="24"/>
      <c r="K104" s="24"/>
      <c r="L104" s="18"/>
      <c r="M104" s="18"/>
    </row>
    <row r="105" ht="15.75" customHeight="1">
      <c r="A105" s="18"/>
      <c r="B105" s="18"/>
      <c r="C105" s="18"/>
      <c r="E105" s="24"/>
      <c r="H105" s="18"/>
      <c r="I105" s="18"/>
      <c r="J105" s="24"/>
      <c r="K105" s="24"/>
      <c r="L105" s="18"/>
      <c r="M105" s="18"/>
    </row>
    <row r="106" ht="15.75" customHeight="1">
      <c r="A106" s="18"/>
      <c r="B106" s="18"/>
      <c r="C106" s="18"/>
      <c r="E106" s="24"/>
      <c r="H106" s="18"/>
      <c r="I106" s="18"/>
      <c r="J106" s="24"/>
      <c r="K106" s="24"/>
      <c r="L106" s="18"/>
      <c r="M106" s="18"/>
    </row>
    <row r="107" ht="15.75" customHeight="1">
      <c r="A107" s="18"/>
      <c r="B107" s="18"/>
      <c r="C107" s="18"/>
      <c r="E107" s="24"/>
      <c r="H107" s="18"/>
      <c r="I107" s="18"/>
      <c r="J107" s="24"/>
      <c r="K107" s="24"/>
      <c r="L107" s="18"/>
      <c r="M107" s="18"/>
    </row>
    <row r="108" ht="15.75" customHeight="1">
      <c r="A108" s="18"/>
      <c r="B108" s="18"/>
      <c r="C108" s="18"/>
      <c r="E108" s="24"/>
      <c r="H108" s="18"/>
      <c r="I108" s="18"/>
      <c r="J108" s="24"/>
      <c r="K108" s="24"/>
      <c r="L108" s="18"/>
      <c r="M108" s="18"/>
    </row>
    <row r="109" ht="15.75" customHeight="1">
      <c r="A109" s="18"/>
      <c r="B109" s="18"/>
      <c r="C109" s="18"/>
      <c r="E109" s="24"/>
      <c r="H109" s="18"/>
      <c r="I109" s="18"/>
      <c r="J109" s="24"/>
      <c r="K109" s="24"/>
      <c r="L109" s="18"/>
      <c r="M109" s="18"/>
    </row>
    <row r="110" ht="15.75" customHeight="1">
      <c r="A110" s="18"/>
      <c r="B110" s="18"/>
      <c r="C110" s="18"/>
      <c r="E110" s="24"/>
      <c r="H110" s="18"/>
      <c r="I110" s="18"/>
      <c r="J110" s="24"/>
      <c r="K110" s="24"/>
      <c r="L110" s="18"/>
      <c r="M110" s="18"/>
    </row>
    <row r="111" ht="15.75" customHeight="1">
      <c r="A111" s="18"/>
      <c r="B111" s="18"/>
      <c r="C111" s="18"/>
      <c r="E111" s="24"/>
      <c r="H111" s="18"/>
      <c r="I111" s="18"/>
      <c r="J111" s="24"/>
      <c r="K111" s="24"/>
      <c r="L111" s="18"/>
      <c r="M111" s="18"/>
    </row>
    <row r="112" ht="15.75" customHeight="1">
      <c r="A112" s="18"/>
      <c r="B112" s="18"/>
      <c r="C112" s="18"/>
      <c r="E112" s="24"/>
      <c r="H112" s="18"/>
      <c r="I112" s="18"/>
      <c r="J112" s="24"/>
      <c r="K112" s="24"/>
      <c r="L112" s="18"/>
      <c r="M112" s="18"/>
    </row>
    <row r="113" ht="15.75" customHeight="1">
      <c r="A113" s="18"/>
      <c r="B113" s="18"/>
      <c r="C113" s="18"/>
      <c r="E113" s="24"/>
      <c r="H113" s="18"/>
      <c r="I113" s="18"/>
      <c r="J113" s="24"/>
      <c r="K113" s="24"/>
      <c r="L113" s="18"/>
      <c r="M113" s="18"/>
    </row>
    <row r="114" ht="15.75" customHeight="1">
      <c r="A114" s="18"/>
      <c r="B114" s="18"/>
      <c r="C114" s="18"/>
      <c r="E114" s="24"/>
      <c r="H114" s="18"/>
      <c r="I114" s="18"/>
      <c r="J114" s="24"/>
      <c r="K114" s="24"/>
      <c r="L114" s="18"/>
      <c r="M114" s="18"/>
    </row>
    <row r="115" ht="15.75" customHeight="1">
      <c r="A115" s="18"/>
      <c r="B115" s="18"/>
      <c r="C115" s="18"/>
      <c r="E115" s="24"/>
      <c r="H115" s="18"/>
      <c r="I115" s="18"/>
      <c r="J115" s="24"/>
      <c r="K115" s="24"/>
      <c r="L115" s="18"/>
      <c r="M115" s="18"/>
    </row>
    <row r="116" ht="15.75" customHeight="1">
      <c r="A116" s="18"/>
      <c r="B116" s="18"/>
      <c r="C116" s="18"/>
      <c r="E116" s="24"/>
      <c r="H116" s="18"/>
      <c r="I116" s="18"/>
      <c r="J116" s="24"/>
      <c r="K116" s="24"/>
      <c r="L116" s="18"/>
      <c r="M116" s="18"/>
    </row>
    <row r="117" ht="15.75" customHeight="1">
      <c r="A117" s="18"/>
      <c r="B117" s="18"/>
      <c r="C117" s="18"/>
      <c r="E117" s="24"/>
      <c r="H117" s="18"/>
      <c r="I117" s="18"/>
      <c r="J117" s="24"/>
      <c r="K117" s="24"/>
      <c r="L117" s="18"/>
      <c r="M117" s="18"/>
    </row>
    <row r="118" ht="15.75" customHeight="1">
      <c r="A118" s="18"/>
      <c r="B118" s="18"/>
      <c r="C118" s="18"/>
      <c r="E118" s="24"/>
      <c r="H118" s="18"/>
      <c r="I118" s="18"/>
      <c r="J118" s="24"/>
      <c r="K118" s="24"/>
      <c r="L118" s="18"/>
      <c r="M118" s="18"/>
    </row>
    <row r="119" ht="15.75" customHeight="1">
      <c r="A119" s="18"/>
      <c r="B119" s="18"/>
      <c r="C119" s="18"/>
      <c r="E119" s="24"/>
      <c r="H119" s="18"/>
      <c r="I119" s="18"/>
      <c r="J119" s="24"/>
      <c r="K119" s="24"/>
      <c r="L119" s="18"/>
      <c r="M119" s="18"/>
    </row>
    <row r="120" ht="15.75" customHeight="1">
      <c r="A120" s="18"/>
      <c r="B120" s="18"/>
      <c r="C120" s="18"/>
      <c r="E120" s="24"/>
      <c r="H120" s="18"/>
      <c r="I120" s="18"/>
      <c r="J120" s="24"/>
      <c r="K120" s="24"/>
      <c r="L120" s="18"/>
      <c r="M120" s="18"/>
    </row>
    <row r="121" ht="15.75" customHeight="1">
      <c r="A121" s="18"/>
      <c r="B121" s="18"/>
      <c r="C121" s="18"/>
      <c r="E121" s="24"/>
      <c r="H121" s="18"/>
      <c r="I121" s="18"/>
      <c r="J121" s="24"/>
      <c r="K121" s="24"/>
      <c r="L121" s="18"/>
      <c r="M121" s="18"/>
    </row>
    <row r="122" ht="15.75" customHeight="1">
      <c r="A122" s="18"/>
      <c r="B122" s="18"/>
      <c r="C122" s="18"/>
      <c r="E122" s="24"/>
      <c r="H122" s="18"/>
      <c r="I122" s="18"/>
      <c r="J122" s="24"/>
      <c r="K122" s="24"/>
      <c r="L122" s="18"/>
      <c r="M122" s="18"/>
    </row>
    <row r="123" ht="15.75" customHeight="1">
      <c r="A123" s="18"/>
      <c r="B123" s="18"/>
      <c r="C123" s="18"/>
      <c r="E123" s="24"/>
      <c r="H123" s="18"/>
      <c r="I123" s="18"/>
      <c r="J123" s="24"/>
      <c r="K123" s="24"/>
      <c r="L123" s="18"/>
      <c r="M123" s="18"/>
    </row>
    <row r="124" ht="15.75" customHeight="1">
      <c r="A124" s="18"/>
      <c r="B124" s="18"/>
      <c r="C124" s="18"/>
      <c r="E124" s="24"/>
      <c r="H124" s="18"/>
      <c r="I124" s="18"/>
      <c r="J124" s="24"/>
      <c r="K124" s="24"/>
      <c r="L124" s="18"/>
      <c r="M124" s="18"/>
    </row>
    <row r="125" ht="15.75" customHeight="1">
      <c r="A125" s="18"/>
      <c r="B125" s="18"/>
      <c r="C125" s="18"/>
      <c r="E125" s="24"/>
      <c r="H125" s="18"/>
      <c r="I125" s="18"/>
      <c r="J125" s="24"/>
      <c r="K125" s="24"/>
      <c r="L125" s="18"/>
      <c r="M125" s="18"/>
    </row>
    <row r="126" ht="15.75" customHeight="1">
      <c r="A126" s="18"/>
      <c r="B126" s="18"/>
      <c r="C126" s="18"/>
      <c r="E126" s="24"/>
      <c r="H126" s="18"/>
      <c r="I126" s="18"/>
      <c r="J126" s="24"/>
      <c r="K126" s="24"/>
      <c r="L126" s="18"/>
      <c r="M126" s="18"/>
    </row>
    <row r="127" ht="15.75" customHeight="1">
      <c r="A127" s="18"/>
      <c r="B127" s="18"/>
      <c r="C127" s="18"/>
      <c r="E127" s="24"/>
      <c r="H127" s="18"/>
      <c r="I127" s="18"/>
      <c r="J127" s="24"/>
      <c r="K127" s="24"/>
      <c r="L127" s="18"/>
      <c r="M127" s="18"/>
    </row>
    <row r="128" ht="15.75" customHeight="1">
      <c r="A128" s="18"/>
      <c r="B128" s="18"/>
      <c r="C128" s="18"/>
      <c r="E128" s="24"/>
      <c r="H128" s="18"/>
      <c r="I128" s="18"/>
      <c r="J128" s="24"/>
      <c r="K128" s="24"/>
      <c r="L128" s="18"/>
      <c r="M128" s="18"/>
    </row>
    <row r="129" ht="15.75" customHeight="1">
      <c r="A129" s="18"/>
      <c r="B129" s="18"/>
      <c r="C129" s="18"/>
      <c r="E129" s="24"/>
      <c r="H129" s="18"/>
      <c r="I129" s="18"/>
      <c r="J129" s="24"/>
      <c r="K129" s="24"/>
      <c r="L129" s="18"/>
      <c r="M129" s="18"/>
    </row>
    <row r="130" ht="15.75" customHeight="1">
      <c r="A130" s="18"/>
      <c r="B130" s="18"/>
      <c r="C130" s="18"/>
      <c r="E130" s="24"/>
      <c r="H130" s="18"/>
      <c r="I130" s="18"/>
      <c r="J130" s="24"/>
      <c r="K130" s="24"/>
      <c r="L130" s="18"/>
      <c r="M130" s="18"/>
    </row>
    <row r="131" ht="15.75" customHeight="1">
      <c r="A131" s="18"/>
      <c r="B131" s="18"/>
      <c r="C131" s="18"/>
      <c r="E131" s="24"/>
      <c r="H131" s="18"/>
      <c r="I131" s="18"/>
      <c r="J131" s="24"/>
      <c r="K131" s="24"/>
      <c r="L131" s="18"/>
      <c r="M131" s="18"/>
    </row>
    <row r="132" ht="15.75" customHeight="1">
      <c r="A132" s="18"/>
      <c r="B132" s="18"/>
      <c r="C132" s="18"/>
      <c r="E132" s="24"/>
      <c r="H132" s="18"/>
      <c r="I132" s="18"/>
      <c r="J132" s="24"/>
      <c r="K132" s="24"/>
      <c r="L132" s="18"/>
      <c r="M132" s="18"/>
    </row>
    <row r="133" ht="15.75" customHeight="1">
      <c r="A133" s="18"/>
      <c r="B133" s="18"/>
      <c r="C133" s="18"/>
      <c r="E133" s="24"/>
      <c r="H133" s="18"/>
      <c r="I133" s="18"/>
      <c r="J133" s="24"/>
      <c r="K133" s="24"/>
      <c r="L133" s="18"/>
      <c r="M133" s="18"/>
    </row>
    <row r="134" ht="15.75" customHeight="1">
      <c r="A134" s="18"/>
      <c r="B134" s="18"/>
      <c r="C134" s="18"/>
      <c r="E134" s="24"/>
      <c r="H134" s="18"/>
      <c r="I134" s="18"/>
      <c r="J134" s="24"/>
      <c r="K134" s="24"/>
      <c r="L134" s="18"/>
      <c r="M134" s="18"/>
    </row>
    <row r="135" ht="15.75" customHeight="1">
      <c r="A135" s="18"/>
      <c r="B135" s="18"/>
      <c r="C135" s="18"/>
      <c r="E135" s="24"/>
      <c r="H135" s="18"/>
      <c r="I135" s="18"/>
      <c r="J135" s="24"/>
      <c r="K135" s="24"/>
      <c r="L135" s="18"/>
      <c r="M135" s="18"/>
    </row>
    <row r="136" ht="15.75" customHeight="1">
      <c r="A136" s="18"/>
      <c r="B136" s="18"/>
      <c r="C136" s="18"/>
      <c r="E136" s="24"/>
      <c r="H136" s="18"/>
      <c r="I136" s="18"/>
      <c r="J136" s="24"/>
      <c r="K136" s="24"/>
      <c r="L136" s="18"/>
      <c r="M136" s="18"/>
    </row>
    <row r="137" ht="15.75" customHeight="1">
      <c r="A137" s="18"/>
      <c r="B137" s="18"/>
      <c r="C137" s="18"/>
      <c r="E137" s="24"/>
      <c r="H137" s="18"/>
      <c r="I137" s="18"/>
      <c r="J137" s="24"/>
      <c r="K137" s="24"/>
      <c r="L137" s="18"/>
      <c r="M137" s="18"/>
    </row>
    <row r="138" ht="15.75" customHeight="1">
      <c r="A138" s="18"/>
      <c r="B138" s="18"/>
      <c r="C138" s="18"/>
      <c r="E138" s="24"/>
      <c r="H138" s="18"/>
      <c r="I138" s="18"/>
      <c r="J138" s="24"/>
      <c r="K138" s="24"/>
      <c r="L138" s="18"/>
      <c r="M138" s="18"/>
    </row>
    <row r="139" ht="15.75" customHeight="1">
      <c r="A139" s="18"/>
      <c r="B139" s="18"/>
      <c r="C139" s="18"/>
      <c r="E139" s="24"/>
      <c r="H139" s="18"/>
      <c r="I139" s="18"/>
      <c r="J139" s="24"/>
      <c r="K139" s="24"/>
      <c r="L139" s="18"/>
      <c r="M139" s="18"/>
    </row>
    <row r="140" ht="15.75" customHeight="1">
      <c r="A140" s="18"/>
      <c r="B140" s="18"/>
      <c r="C140" s="18"/>
      <c r="E140" s="24"/>
      <c r="H140" s="18"/>
      <c r="I140" s="18"/>
      <c r="J140" s="24"/>
      <c r="K140" s="24"/>
      <c r="L140" s="18"/>
      <c r="M140" s="18"/>
    </row>
    <row r="141" ht="15.75" customHeight="1">
      <c r="A141" s="18"/>
      <c r="B141" s="18"/>
      <c r="C141" s="18"/>
      <c r="E141" s="24"/>
      <c r="H141" s="18"/>
      <c r="I141" s="18"/>
      <c r="J141" s="24"/>
      <c r="K141" s="24"/>
      <c r="L141" s="18"/>
      <c r="M141" s="18"/>
    </row>
    <row r="142" ht="15.75" customHeight="1">
      <c r="A142" s="18"/>
      <c r="B142" s="18"/>
      <c r="C142" s="18"/>
      <c r="E142" s="24"/>
      <c r="H142" s="18"/>
      <c r="I142" s="18"/>
      <c r="J142" s="24"/>
      <c r="K142" s="24"/>
      <c r="L142" s="18"/>
      <c r="M142" s="18"/>
    </row>
    <row r="143" ht="15.75" customHeight="1">
      <c r="A143" s="18"/>
      <c r="B143" s="18"/>
      <c r="C143" s="18"/>
      <c r="E143" s="24"/>
      <c r="H143" s="18"/>
      <c r="I143" s="18"/>
      <c r="J143" s="24"/>
      <c r="K143" s="24"/>
      <c r="L143" s="18"/>
      <c r="M143" s="18"/>
    </row>
    <row r="144" ht="15.75" customHeight="1">
      <c r="A144" s="18"/>
      <c r="B144" s="18"/>
      <c r="C144" s="18"/>
      <c r="E144" s="24"/>
      <c r="H144" s="18"/>
      <c r="I144" s="18"/>
      <c r="J144" s="24"/>
      <c r="K144" s="24"/>
      <c r="L144" s="18"/>
      <c r="M144" s="18"/>
    </row>
    <row r="145" ht="15.75" customHeight="1">
      <c r="A145" s="18"/>
      <c r="B145" s="18"/>
      <c r="C145" s="18"/>
      <c r="E145" s="24"/>
      <c r="H145" s="18"/>
      <c r="I145" s="18"/>
      <c r="J145" s="24"/>
      <c r="K145" s="24"/>
      <c r="L145" s="18"/>
      <c r="M145" s="18"/>
    </row>
    <row r="146" ht="15.75" customHeight="1">
      <c r="A146" s="18"/>
      <c r="B146" s="18"/>
      <c r="C146" s="18"/>
      <c r="E146" s="24"/>
      <c r="H146" s="18"/>
      <c r="I146" s="18"/>
      <c r="J146" s="24"/>
      <c r="K146" s="24"/>
      <c r="L146" s="18"/>
      <c r="M146" s="18"/>
    </row>
    <row r="147" ht="15.75" customHeight="1">
      <c r="A147" s="18"/>
      <c r="B147" s="18"/>
      <c r="C147" s="18"/>
      <c r="E147" s="24"/>
      <c r="H147" s="18"/>
      <c r="I147" s="18"/>
      <c r="J147" s="24"/>
      <c r="K147" s="24"/>
      <c r="L147" s="18"/>
      <c r="M147" s="18"/>
    </row>
    <row r="148" ht="15.75" customHeight="1">
      <c r="A148" s="18"/>
      <c r="B148" s="18"/>
      <c r="C148" s="18"/>
      <c r="E148" s="24"/>
      <c r="H148" s="18"/>
      <c r="I148" s="18"/>
      <c r="J148" s="24"/>
      <c r="K148" s="24"/>
      <c r="L148" s="18"/>
      <c r="M148" s="18"/>
    </row>
    <row r="149" ht="15.75" customHeight="1">
      <c r="A149" s="18"/>
      <c r="B149" s="18"/>
      <c r="C149" s="18"/>
      <c r="E149" s="24"/>
      <c r="H149" s="18"/>
      <c r="I149" s="18"/>
      <c r="J149" s="24"/>
      <c r="K149" s="24"/>
      <c r="L149" s="18"/>
      <c r="M149" s="18"/>
    </row>
    <row r="150" ht="15.75" customHeight="1">
      <c r="A150" s="18"/>
      <c r="B150" s="18"/>
      <c r="C150" s="18"/>
      <c r="E150" s="24"/>
      <c r="H150" s="18"/>
      <c r="I150" s="18"/>
      <c r="J150" s="24"/>
      <c r="K150" s="24"/>
      <c r="L150" s="18"/>
      <c r="M150" s="18"/>
    </row>
    <row r="151" ht="15.75" customHeight="1">
      <c r="A151" s="18"/>
      <c r="B151" s="18"/>
      <c r="C151" s="18"/>
      <c r="E151" s="24"/>
      <c r="H151" s="18"/>
      <c r="I151" s="18"/>
      <c r="J151" s="24"/>
      <c r="K151" s="24"/>
      <c r="L151" s="18"/>
      <c r="M151" s="18"/>
    </row>
    <row r="152" ht="15.75" customHeight="1">
      <c r="A152" s="18"/>
      <c r="B152" s="18"/>
      <c r="C152" s="18"/>
      <c r="E152" s="24"/>
      <c r="H152" s="18"/>
      <c r="I152" s="18"/>
      <c r="J152" s="24"/>
      <c r="K152" s="24"/>
      <c r="L152" s="18"/>
      <c r="M152" s="18"/>
    </row>
    <row r="153" ht="15.75" customHeight="1">
      <c r="A153" s="18"/>
      <c r="B153" s="18"/>
      <c r="C153" s="18"/>
      <c r="E153" s="24"/>
      <c r="H153" s="18"/>
      <c r="I153" s="18"/>
      <c r="J153" s="24"/>
      <c r="K153" s="24"/>
      <c r="L153" s="18"/>
      <c r="M153" s="18"/>
    </row>
    <row r="154" ht="15.75" customHeight="1">
      <c r="A154" s="18"/>
      <c r="B154" s="18"/>
      <c r="C154" s="18"/>
      <c r="E154" s="24"/>
      <c r="H154" s="18"/>
      <c r="I154" s="18"/>
      <c r="J154" s="24"/>
      <c r="K154" s="24"/>
      <c r="L154" s="18"/>
      <c r="M154" s="18"/>
    </row>
    <row r="155" ht="15.75" customHeight="1">
      <c r="A155" s="18"/>
      <c r="B155" s="18"/>
      <c r="C155" s="18"/>
      <c r="E155" s="24"/>
      <c r="H155" s="18"/>
      <c r="I155" s="18"/>
      <c r="J155" s="24"/>
      <c r="K155" s="24"/>
      <c r="L155" s="18"/>
      <c r="M155" s="18"/>
    </row>
    <row r="156" ht="15.75" customHeight="1">
      <c r="A156" s="18"/>
      <c r="B156" s="18"/>
      <c r="C156" s="18"/>
      <c r="E156" s="24"/>
      <c r="H156" s="18"/>
      <c r="I156" s="18"/>
      <c r="J156" s="24"/>
      <c r="K156" s="24"/>
      <c r="L156" s="18"/>
      <c r="M156" s="18"/>
    </row>
    <row r="157" ht="15.75" customHeight="1">
      <c r="A157" s="18"/>
      <c r="B157" s="18"/>
      <c r="C157" s="18"/>
      <c r="E157" s="24"/>
      <c r="H157" s="18"/>
      <c r="I157" s="18"/>
      <c r="J157" s="24"/>
      <c r="K157" s="24"/>
      <c r="L157" s="18"/>
      <c r="M157" s="18"/>
    </row>
    <row r="158" ht="15.75" customHeight="1">
      <c r="A158" s="18"/>
      <c r="B158" s="18"/>
      <c r="C158" s="18"/>
      <c r="E158" s="24"/>
      <c r="H158" s="18"/>
      <c r="I158" s="18"/>
      <c r="J158" s="24"/>
      <c r="K158" s="24"/>
      <c r="L158" s="18"/>
      <c r="M158" s="18"/>
    </row>
    <row r="159" ht="15.75" customHeight="1">
      <c r="A159" s="18"/>
      <c r="B159" s="18"/>
      <c r="C159" s="18"/>
      <c r="E159" s="24"/>
      <c r="H159" s="18"/>
      <c r="I159" s="18"/>
      <c r="J159" s="24"/>
      <c r="K159" s="24"/>
      <c r="L159" s="18"/>
      <c r="M159" s="18"/>
    </row>
    <row r="160" ht="15.75" customHeight="1">
      <c r="A160" s="18"/>
      <c r="B160" s="18"/>
      <c r="C160" s="18"/>
      <c r="E160" s="24"/>
      <c r="H160" s="18"/>
      <c r="I160" s="18"/>
      <c r="J160" s="24"/>
      <c r="K160" s="24"/>
      <c r="L160" s="18"/>
      <c r="M160" s="18"/>
    </row>
    <row r="161" ht="15.75" customHeight="1">
      <c r="A161" s="18"/>
      <c r="B161" s="18"/>
      <c r="C161" s="18"/>
      <c r="E161" s="24"/>
      <c r="H161" s="18"/>
      <c r="I161" s="18"/>
      <c r="J161" s="24"/>
      <c r="K161" s="24"/>
      <c r="L161" s="18"/>
      <c r="M161" s="18"/>
    </row>
    <row r="162" ht="15.75" customHeight="1">
      <c r="A162" s="18"/>
      <c r="B162" s="18"/>
      <c r="C162" s="18"/>
      <c r="E162" s="24"/>
      <c r="H162" s="18"/>
      <c r="I162" s="18"/>
      <c r="J162" s="24"/>
      <c r="K162" s="24"/>
      <c r="L162" s="18"/>
      <c r="M162" s="18"/>
    </row>
    <row r="163" ht="15.75" customHeight="1">
      <c r="A163" s="18"/>
      <c r="B163" s="18"/>
      <c r="C163" s="18"/>
      <c r="E163" s="24"/>
      <c r="H163" s="18"/>
      <c r="I163" s="18"/>
      <c r="J163" s="24"/>
      <c r="K163" s="24"/>
      <c r="L163" s="18"/>
      <c r="M163" s="18"/>
    </row>
    <row r="164" ht="15.75" customHeight="1">
      <c r="A164" s="18"/>
      <c r="B164" s="18"/>
      <c r="C164" s="18"/>
      <c r="E164" s="24"/>
      <c r="H164" s="18"/>
      <c r="I164" s="18"/>
      <c r="J164" s="24"/>
      <c r="K164" s="24"/>
      <c r="L164" s="18"/>
      <c r="M164" s="18"/>
    </row>
    <row r="165" ht="15.75" customHeight="1">
      <c r="A165" s="18"/>
      <c r="B165" s="18"/>
      <c r="C165" s="18"/>
      <c r="E165" s="24"/>
      <c r="H165" s="18"/>
      <c r="I165" s="18"/>
      <c r="J165" s="24"/>
      <c r="K165" s="24"/>
      <c r="L165" s="18"/>
      <c r="M165" s="18"/>
    </row>
    <row r="166" ht="15.75" customHeight="1">
      <c r="A166" s="18"/>
      <c r="B166" s="18"/>
      <c r="C166" s="18"/>
      <c r="E166" s="24"/>
      <c r="H166" s="18"/>
      <c r="I166" s="18"/>
      <c r="J166" s="24"/>
      <c r="K166" s="24"/>
      <c r="L166" s="18"/>
      <c r="M166" s="18"/>
    </row>
    <row r="167" ht="15.75" customHeight="1">
      <c r="A167" s="18"/>
      <c r="B167" s="18"/>
      <c r="C167" s="18"/>
      <c r="E167" s="24"/>
      <c r="H167" s="18"/>
      <c r="I167" s="18"/>
      <c r="J167" s="24"/>
      <c r="K167" s="24"/>
      <c r="L167" s="18"/>
      <c r="M167" s="18"/>
    </row>
    <row r="168" ht="15.75" customHeight="1">
      <c r="A168" s="18"/>
      <c r="B168" s="18"/>
      <c r="C168" s="18"/>
      <c r="E168" s="24"/>
      <c r="H168" s="18"/>
      <c r="I168" s="18"/>
      <c r="J168" s="24"/>
      <c r="K168" s="24"/>
      <c r="L168" s="18"/>
      <c r="M168" s="18"/>
    </row>
    <row r="169" ht="15.75" customHeight="1">
      <c r="A169" s="18"/>
      <c r="B169" s="18"/>
      <c r="C169" s="18"/>
      <c r="E169" s="24"/>
      <c r="H169" s="18"/>
      <c r="I169" s="18"/>
      <c r="J169" s="24"/>
      <c r="K169" s="24"/>
      <c r="L169" s="18"/>
      <c r="M169" s="18"/>
    </row>
    <row r="170" ht="15.75" customHeight="1">
      <c r="A170" s="18"/>
      <c r="B170" s="18"/>
      <c r="C170" s="18"/>
      <c r="E170" s="24"/>
      <c r="H170" s="18"/>
      <c r="I170" s="18"/>
      <c r="J170" s="24"/>
      <c r="K170" s="24"/>
      <c r="L170" s="18"/>
      <c r="M170" s="18"/>
    </row>
    <row r="171" ht="15.75" customHeight="1">
      <c r="A171" s="18"/>
      <c r="B171" s="18"/>
      <c r="C171" s="18"/>
      <c r="E171" s="24"/>
      <c r="H171" s="18"/>
      <c r="I171" s="18"/>
      <c r="J171" s="24"/>
      <c r="K171" s="24"/>
      <c r="L171" s="18"/>
      <c r="M171" s="18"/>
    </row>
    <row r="172" ht="15.75" customHeight="1">
      <c r="A172" s="18"/>
      <c r="B172" s="18"/>
      <c r="C172" s="18"/>
      <c r="E172" s="24"/>
      <c r="H172" s="18"/>
      <c r="I172" s="18"/>
      <c r="J172" s="24"/>
      <c r="K172" s="24"/>
      <c r="L172" s="18"/>
      <c r="M172" s="18"/>
    </row>
    <row r="173" ht="15.75" customHeight="1">
      <c r="A173" s="18"/>
      <c r="B173" s="18"/>
      <c r="C173" s="18"/>
      <c r="E173" s="24"/>
      <c r="H173" s="18"/>
      <c r="I173" s="18"/>
      <c r="J173" s="24"/>
      <c r="K173" s="24"/>
      <c r="L173" s="18"/>
      <c r="M173" s="18"/>
    </row>
    <row r="174" ht="15.75" customHeight="1">
      <c r="A174" s="18"/>
      <c r="B174" s="18"/>
      <c r="C174" s="18"/>
      <c r="E174" s="24"/>
      <c r="H174" s="18"/>
      <c r="I174" s="18"/>
      <c r="J174" s="24"/>
      <c r="K174" s="24"/>
      <c r="L174" s="18"/>
      <c r="M174" s="18"/>
    </row>
    <row r="175" ht="15.75" customHeight="1">
      <c r="A175" s="18"/>
      <c r="B175" s="18"/>
      <c r="C175" s="18"/>
      <c r="E175" s="24"/>
      <c r="H175" s="18"/>
      <c r="I175" s="18"/>
      <c r="J175" s="24"/>
      <c r="K175" s="24"/>
      <c r="L175" s="18"/>
      <c r="M175" s="18"/>
    </row>
    <row r="176" ht="15.75" customHeight="1">
      <c r="A176" s="18"/>
      <c r="B176" s="18"/>
      <c r="C176" s="18"/>
      <c r="E176" s="24"/>
      <c r="H176" s="18"/>
      <c r="I176" s="18"/>
      <c r="J176" s="24"/>
      <c r="K176" s="24"/>
      <c r="L176" s="18"/>
      <c r="M176" s="18"/>
    </row>
    <row r="177" ht="15.75" customHeight="1">
      <c r="A177" s="18"/>
      <c r="B177" s="18"/>
      <c r="C177" s="18"/>
      <c r="E177" s="24"/>
      <c r="H177" s="18"/>
      <c r="I177" s="18"/>
      <c r="J177" s="24"/>
      <c r="K177" s="24"/>
      <c r="L177" s="18"/>
      <c r="M177" s="18"/>
    </row>
    <row r="178" ht="15.75" customHeight="1">
      <c r="A178" s="18"/>
      <c r="B178" s="18"/>
      <c r="C178" s="18"/>
      <c r="E178" s="24"/>
      <c r="H178" s="18"/>
      <c r="I178" s="18"/>
      <c r="J178" s="24"/>
      <c r="K178" s="24"/>
      <c r="L178" s="18"/>
      <c r="M178" s="18"/>
    </row>
    <row r="179" ht="15.75" customHeight="1">
      <c r="A179" s="18"/>
      <c r="B179" s="18"/>
      <c r="C179" s="18"/>
      <c r="E179" s="24"/>
      <c r="H179" s="18"/>
      <c r="I179" s="18"/>
      <c r="J179" s="24"/>
      <c r="K179" s="24"/>
      <c r="L179" s="18"/>
      <c r="M179" s="18"/>
    </row>
    <row r="180" ht="15.75" customHeight="1">
      <c r="A180" s="18"/>
      <c r="B180" s="18"/>
      <c r="C180" s="18"/>
      <c r="E180" s="24"/>
      <c r="H180" s="18"/>
      <c r="I180" s="18"/>
      <c r="J180" s="24"/>
      <c r="K180" s="24"/>
      <c r="L180" s="18"/>
      <c r="M180" s="18"/>
    </row>
    <row r="181" ht="15.75" customHeight="1">
      <c r="A181" s="18"/>
      <c r="B181" s="18"/>
      <c r="C181" s="18"/>
      <c r="E181" s="24"/>
      <c r="H181" s="18"/>
      <c r="I181" s="18"/>
      <c r="J181" s="24"/>
      <c r="K181" s="24"/>
      <c r="L181" s="18"/>
      <c r="M181" s="18"/>
    </row>
    <row r="182" ht="15.75" customHeight="1">
      <c r="A182" s="18"/>
      <c r="B182" s="18"/>
      <c r="C182" s="18"/>
      <c r="E182" s="24"/>
      <c r="H182" s="18"/>
      <c r="I182" s="18"/>
      <c r="J182" s="24"/>
      <c r="K182" s="24"/>
      <c r="L182" s="18"/>
      <c r="M182" s="18"/>
    </row>
    <row r="183" ht="15.75" customHeight="1">
      <c r="A183" s="18"/>
      <c r="B183" s="18"/>
      <c r="C183" s="18"/>
      <c r="E183" s="24"/>
      <c r="H183" s="18"/>
      <c r="I183" s="18"/>
      <c r="J183" s="24"/>
      <c r="K183" s="24"/>
      <c r="L183" s="18"/>
      <c r="M183" s="18"/>
    </row>
    <row r="184" ht="15.75" customHeight="1">
      <c r="A184" s="18"/>
      <c r="B184" s="18"/>
      <c r="C184" s="18"/>
      <c r="E184" s="24"/>
      <c r="H184" s="18"/>
      <c r="I184" s="18"/>
      <c r="J184" s="24"/>
      <c r="K184" s="24"/>
      <c r="L184" s="18"/>
      <c r="M184" s="18"/>
    </row>
    <row r="185" ht="15.75" customHeight="1">
      <c r="A185" s="18"/>
      <c r="B185" s="18"/>
      <c r="C185" s="18"/>
      <c r="E185" s="24"/>
      <c r="H185" s="18"/>
      <c r="I185" s="18"/>
      <c r="J185" s="24"/>
      <c r="K185" s="24"/>
      <c r="L185" s="18"/>
      <c r="M185" s="18"/>
    </row>
    <row r="186" ht="15.75" customHeight="1">
      <c r="A186" s="18"/>
      <c r="B186" s="18"/>
      <c r="C186" s="18"/>
      <c r="E186" s="24"/>
      <c r="H186" s="18"/>
      <c r="I186" s="18"/>
      <c r="J186" s="24"/>
      <c r="K186" s="24"/>
      <c r="L186" s="18"/>
      <c r="M186" s="18"/>
    </row>
    <row r="187" ht="15.75" customHeight="1">
      <c r="A187" s="18"/>
      <c r="B187" s="18"/>
      <c r="C187" s="18"/>
      <c r="E187" s="24"/>
      <c r="H187" s="18"/>
      <c r="I187" s="18"/>
      <c r="J187" s="24"/>
      <c r="K187" s="24"/>
      <c r="L187" s="18"/>
      <c r="M187" s="18"/>
    </row>
    <row r="188" ht="15.75" customHeight="1">
      <c r="A188" s="18"/>
      <c r="B188" s="18"/>
      <c r="C188" s="18"/>
      <c r="E188" s="24"/>
      <c r="H188" s="18"/>
      <c r="I188" s="18"/>
      <c r="J188" s="24"/>
      <c r="K188" s="24"/>
      <c r="L188" s="18"/>
      <c r="M188" s="18"/>
    </row>
    <row r="189" ht="15.75" customHeight="1">
      <c r="A189" s="18"/>
      <c r="B189" s="18"/>
      <c r="C189" s="18"/>
      <c r="E189" s="24"/>
      <c r="H189" s="18"/>
      <c r="I189" s="18"/>
      <c r="J189" s="24"/>
      <c r="K189" s="24"/>
      <c r="L189" s="18"/>
      <c r="M189" s="18"/>
    </row>
    <row r="190" ht="15.75" customHeight="1">
      <c r="A190" s="18"/>
      <c r="B190" s="18"/>
      <c r="C190" s="18"/>
      <c r="E190" s="24"/>
      <c r="H190" s="18"/>
      <c r="I190" s="18"/>
      <c r="J190" s="24"/>
      <c r="K190" s="24"/>
      <c r="L190" s="18"/>
      <c r="M190" s="18"/>
    </row>
    <row r="191" ht="15.75" customHeight="1">
      <c r="A191" s="18"/>
      <c r="B191" s="18"/>
      <c r="C191" s="18"/>
      <c r="E191" s="24"/>
      <c r="H191" s="18"/>
      <c r="I191" s="18"/>
      <c r="J191" s="24"/>
      <c r="K191" s="24"/>
      <c r="L191" s="18"/>
      <c r="M191" s="18"/>
    </row>
    <row r="192" ht="15.75" customHeight="1">
      <c r="A192" s="18"/>
      <c r="B192" s="18"/>
      <c r="C192" s="18"/>
      <c r="E192" s="24"/>
      <c r="H192" s="18"/>
      <c r="I192" s="18"/>
      <c r="J192" s="24"/>
      <c r="K192" s="24"/>
      <c r="L192" s="18"/>
      <c r="M192" s="18"/>
    </row>
    <row r="193" ht="15.75" customHeight="1">
      <c r="A193" s="18"/>
      <c r="B193" s="18"/>
      <c r="C193" s="18"/>
      <c r="E193" s="24"/>
      <c r="H193" s="18"/>
      <c r="I193" s="18"/>
      <c r="J193" s="24"/>
      <c r="K193" s="24"/>
      <c r="L193" s="18"/>
      <c r="M193" s="18"/>
    </row>
    <row r="194" ht="15.75" customHeight="1">
      <c r="A194" s="18"/>
      <c r="B194" s="18"/>
      <c r="C194" s="18"/>
      <c r="E194" s="24"/>
      <c r="H194" s="18"/>
      <c r="I194" s="18"/>
      <c r="J194" s="24"/>
      <c r="K194" s="24"/>
      <c r="L194" s="18"/>
      <c r="M194" s="18"/>
    </row>
    <row r="195" ht="15.75" customHeight="1">
      <c r="A195" s="18"/>
      <c r="B195" s="18"/>
      <c r="C195" s="18"/>
      <c r="E195" s="24"/>
      <c r="H195" s="18"/>
      <c r="I195" s="18"/>
      <c r="J195" s="24"/>
      <c r="K195" s="24"/>
      <c r="L195" s="18"/>
      <c r="M195" s="18"/>
    </row>
    <row r="196" ht="15.75" customHeight="1">
      <c r="A196" s="18"/>
      <c r="B196" s="18"/>
      <c r="C196" s="18"/>
      <c r="E196" s="24"/>
      <c r="H196" s="18"/>
      <c r="I196" s="18"/>
      <c r="J196" s="24"/>
      <c r="K196" s="24"/>
      <c r="L196" s="18"/>
      <c r="M196" s="18"/>
    </row>
    <row r="197" ht="15.75" customHeight="1">
      <c r="A197" s="18"/>
      <c r="B197" s="18"/>
      <c r="C197" s="18"/>
      <c r="E197" s="24"/>
      <c r="H197" s="18"/>
      <c r="I197" s="18"/>
      <c r="J197" s="24"/>
      <c r="K197" s="24"/>
      <c r="L197" s="18"/>
      <c r="M197" s="18"/>
    </row>
    <row r="198" ht="15.75" customHeight="1">
      <c r="A198" s="18"/>
      <c r="B198" s="18"/>
      <c r="C198" s="18"/>
      <c r="E198" s="24"/>
      <c r="H198" s="18"/>
      <c r="I198" s="18"/>
      <c r="J198" s="24"/>
      <c r="K198" s="24"/>
      <c r="L198" s="18"/>
      <c r="M198" s="18"/>
    </row>
    <row r="199" ht="15.75" customHeight="1">
      <c r="A199" s="18"/>
      <c r="B199" s="18"/>
      <c r="C199" s="18"/>
      <c r="E199" s="24"/>
      <c r="H199" s="18"/>
      <c r="I199" s="18"/>
      <c r="J199" s="24"/>
      <c r="K199" s="24"/>
      <c r="L199" s="18"/>
      <c r="M199" s="18"/>
    </row>
    <row r="200" ht="15.75" customHeight="1">
      <c r="A200" s="18"/>
      <c r="B200" s="18"/>
      <c r="C200" s="18"/>
      <c r="E200" s="24"/>
      <c r="H200" s="18"/>
      <c r="I200" s="18"/>
      <c r="J200" s="24"/>
      <c r="K200" s="24"/>
      <c r="L200" s="18"/>
      <c r="M200" s="18"/>
    </row>
    <row r="201" ht="15.75" customHeight="1">
      <c r="A201" s="18"/>
      <c r="B201" s="18"/>
      <c r="C201" s="18"/>
      <c r="E201" s="24"/>
      <c r="H201" s="18"/>
      <c r="I201" s="18"/>
      <c r="J201" s="24"/>
      <c r="K201" s="24"/>
      <c r="L201" s="18"/>
      <c r="M201" s="18"/>
    </row>
    <row r="202" ht="15.75" customHeight="1">
      <c r="A202" s="18"/>
      <c r="B202" s="18"/>
      <c r="C202" s="18"/>
      <c r="E202" s="24"/>
      <c r="H202" s="18"/>
      <c r="I202" s="18"/>
      <c r="J202" s="24"/>
      <c r="K202" s="24"/>
      <c r="L202" s="18"/>
      <c r="M202" s="18"/>
    </row>
    <row r="203" ht="15.75" customHeight="1">
      <c r="A203" s="18"/>
      <c r="B203" s="18"/>
      <c r="C203" s="18"/>
      <c r="E203" s="24"/>
      <c r="H203" s="18"/>
      <c r="I203" s="18"/>
      <c r="J203" s="24"/>
      <c r="K203" s="24"/>
      <c r="L203" s="18"/>
      <c r="M203" s="18"/>
    </row>
    <row r="204" ht="15.75" customHeight="1">
      <c r="A204" s="18"/>
      <c r="B204" s="18"/>
      <c r="C204" s="18"/>
      <c r="E204" s="24"/>
      <c r="H204" s="18"/>
      <c r="I204" s="18"/>
      <c r="J204" s="24"/>
      <c r="K204" s="24"/>
      <c r="L204" s="18"/>
      <c r="M204" s="18"/>
    </row>
    <row r="205" ht="15.75" customHeight="1">
      <c r="A205" s="18"/>
      <c r="B205" s="18"/>
      <c r="C205" s="18"/>
      <c r="E205" s="24"/>
      <c r="H205" s="18"/>
      <c r="I205" s="18"/>
      <c r="J205" s="24"/>
      <c r="K205" s="24"/>
      <c r="L205" s="18"/>
      <c r="M205" s="18"/>
    </row>
    <row r="206" ht="15.75" customHeight="1">
      <c r="A206" s="18"/>
      <c r="B206" s="18"/>
      <c r="C206" s="18"/>
      <c r="E206" s="24"/>
      <c r="H206" s="18"/>
      <c r="I206" s="18"/>
      <c r="J206" s="24"/>
      <c r="K206" s="24"/>
      <c r="L206" s="18"/>
      <c r="M206" s="18"/>
    </row>
    <row r="207" ht="15.75" customHeight="1">
      <c r="A207" s="18"/>
      <c r="B207" s="18"/>
      <c r="C207" s="18"/>
      <c r="E207" s="24"/>
      <c r="H207" s="18"/>
      <c r="I207" s="18"/>
      <c r="J207" s="24"/>
      <c r="K207" s="24"/>
      <c r="L207" s="18"/>
      <c r="M207" s="18"/>
    </row>
    <row r="208" ht="15.75" customHeight="1">
      <c r="A208" s="18"/>
      <c r="B208" s="18"/>
      <c r="C208" s="18"/>
      <c r="E208" s="24"/>
      <c r="H208" s="18"/>
      <c r="I208" s="18"/>
      <c r="J208" s="24"/>
      <c r="K208" s="24"/>
      <c r="L208" s="18"/>
      <c r="M208" s="18"/>
    </row>
    <row r="209" ht="15.75" customHeight="1">
      <c r="A209" s="18"/>
      <c r="B209" s="18"/>
      <c r="C209" s="18"/>
      <c r="E209" s="24"/>
      <c r="H209" s="18"/>
      <c r="I209" s="18"/>
      <c r="J209" s="24"/>
      <c r="K209" s="24"/>
      <c r="L209" s="18"/>
      <c r="M209" s="18"/>
    </row>
    <row r="210" ht="15.75" customHeight="1">
      <c r="A210" s="18"/>
      <c r="B210" s="18"/>
      <c r="C210" s="18"/>
      <c r="E210" s="24"/>
      <c r="H210" s="18"/>
      <c r="I210" s="18"/>
      <c r="J210" s="24"/>
      <c r="K210" s="24"/>
      <c r="L210" s="18"/>
      <c r="M210" s="18"/>
    </row>
    <row r="211" ht="15.75" customHeight="1">
      <c r="A211" s="18"/>
      <c r="B211" s="18"/>
      <c r="C211" s="18"/>
      <c r="E211" s="24"/>
      <c r="H211" s="18"/>
      <c r="I211" s="18"/>
      <c r="J211" s="24"/>
      <c r="K211" s="24"/>
      <c r="L211" s="18"/>
      <c r="M211" s="18"/>
    </row>
    <row r="212" ht="15.75" customHeight="1">
      <c r="A212" s="18"/>
      <c r="B212" s="18"/>
      <c r="C212" s="18"/>
      <c r="E212" s="24"/>
      <c r="H212" s="18"/>
      <c r="I212" s="18"/>
      <c r="J212" s="24"/>
      <c r="K212" s="24"/>
      <c r="L212" s="18"/>
      <c r="M212" s="18"/>
    </row>
    <row r="213" ht="15.75" customHeight="1">
      <c r="A213" s="18"/>
      <c r="B213" s="18"/>
      <c r="C213" s="18"/>
      <c r="E213" s="24"/>
      <c r="H213" s="18"/>
      <c r="I213" s="18"/>
      <c r="J213" s="24"/>
      <c r="K213" s="24"/>
      <c r="L213" s="18"/>
      <c r="M213" s="18"/>
    </row>
    <row r="214" ht="15.75" customHeight="1">
      <c r="A214" s="18"/>
      <c r="B214" s="18"/>
      <c r="C214" s="18"/>
      <c r="E214" s="24"/>
      <c r="H214" s="18"/>
      <c r="I214" s="18"/>
      <c r="J214" s="24"/>
      <c r="K214" s="24"/>
      <c r="L214" s="18"/>
      <c r="M214" s="18"/>
    </row>
    <row r="215" ht="15.75" customHeight="1">
      <c r="A215" s="18"/>
      <c r="B215" s="18"/>
      <c r="C215" s="18"/>
      <c r="E215" s="24"/>
      <c r="H215" s="18"/>
      <c r="I215" s="18"/>
      <c r="J215" s="24"/>
      <c r="K215" s="24"/>
      <c r="L215" s="18"/>
      <c r="M215" s="18"/>
    </row>
    <row r="216" ht="15.75" customHeight="1">
      <c r="A216" s="18"/>
      <c r="B216" s="18"/>
      <c r="C216" s="18"/>
      <c r="E216" s="24"/>
      <c r="H216" s="18"/>
      <c r="I216" s="18"/>
      <c r="J216" s="24"/>
      <c r="K216" s="24"/>
      <c r="L216" s="18"/>
      <c r="M216" s="18"/>
    </row>
    <row r="217" ht="15.75" customHeight="1">
      <c r="A217" s="18"/>
      <c r="B217" s="18"/>
      <c r="C217" s="18"/>
      <c r="E217" s="24"/>
      <c r="H217" s="18"/>
      <c r="I217" s="18"/>
      <c r="J217" s="24"/>
      <c r="K217" s="24"/>
      <c r="L217" s="18"/>
      <c r="M217" s="18"/>
    </row>
    <row r="218" ht="15.75" customHeight="1">
      <c r="A218" s="18"/>
      <c r="B218" s="18"/>
      <c r="C218" s="18"/>
      <c r="E218" s="24"/>
      <c r="H218" s="18"/>
      <c r="I218" s="18"/>
      <c r="J218" s="24"/>
      <c r="K218" s="24"/>
      <c r="L218" s="18"/>
      <c r="M218" s="18"/>
    </row>
    <row r="219" ht="15.75" customHeight="1">
      <c r="A219" s="18"/>
      <c r="B219" s="18"/>
      <c r="C219" s="18"/>
      <c r="E219" s="24"/>
      <c r="H219" s="18"/>
      <c r="I219" s="18"/>
      <c r="J219" s="24"/>
      <c r="K219" s="24"/>
      <c r="L219" s="18"/>
      <c r="M219" s="18"/>
    </row>
    <row r="220" ht="15.75" customHeight="1">
      <c r="A220" s="18"/>
      <c r="B220" s="18"/>
      <c r="C220" s="18"/>
      <c r="E220" s="24"/>
      <c r="H220" s="18"/>
      <c r="I220" s="18"/>
      <c r="J220" s="24"/>
      <c r="K220" s="24"/>
      <c r="L220" s="18"/>
      <c r="M220" s="18"/>
    </row>
    <row r="221" ht="15.75" customHeight="1">
      <c r="A221" s="18"/>
      <c r="B221" s="18"/>
      <c r="C221" s="18"/>
      <c r="E221" s="24"/>
      <c r="H221" s="18"/>
      <c r="I221" s="18"/>
      <c r="J221" s="24"/>
      <c r="K221" s="24"/>
      <c r="L221" s="18"/>
      <c r="M221" s="18"/>
    </row>
    <row r="222" ht="15.75" customHeight="1">
      <c r="A222" s="18"/>
      <c r="B222" s="18"/>
      <c r="C222" s="18"/>
      <c r="E222" s="24"/>
      <c r="H222" s="18"/>
      <c r="I222" s="18"/>
      <c r="J222" s="24"/>
      <c r="K222" s="24"/>
      <c r="L222" s="18"/>
      <c r="M222" s="18"/>
    </row>
    <row r="223" ht="15.75" customHeight="1">
      <c r="A223" s="18"/>
      <c r="B223" s="18"/>
      <c r="C223" s="18"/>
      <c r="E223" s="24"/>
      <c r="H223" s="18"/>
      <c r="I223" s="18"/>
      <c r="J223" s="24"/>
      <c r="K223" s="24"/>
      <c r="L223" s="18"/>
      <c r="M223" s="18"/>
    </row>
    <row r="224" ht="15.75" customHeight="1">
      <c r="A224" s="18"/>
      <c r="B224" s="18"/>
      <c r="C224" s="18"/>
      <c r="E224" s="24"/>
      <c r="H224" s="18"/>
      <c r="I224" s="18"/>
      <c r="J224" s="24"/>
      <c r="K224" s="24"/>
      <c r="L224" s="18"/>
      <c r="M224" s="18"/>
    </row>
    <row r="225" ht="15.75" customHeight="1">
      <c r="A225" s="18"/>
      <c r="B225" s="18"/>
      <c r="C225" s="18"/>
      <c r="E225" s="24"/>
      <c r="H225" s="18"/>
      <c r="I225" s="18"/>
      <c r="J225" s="24"/>
      <c r="K225" s="24"/>
      <c r="L225" s="18"/>
      <c r="M225" s="18"/>
    </row>
    <row r="226" ht="15.75" customHeight="1">
      <c r="A226" s="18"/>
      <c r="B226" s="18"/>
      <c r="C226" s="18"/>
      <c r="E226" s="24"/>
      <c r="H226" s="18"/>
      <c r="I226" s="18"/>
      <c r="J226" s="24"/>
      <c r="K226" s="24"/>
      <c r="L226" s="18"/>
      <c r="M226" s="18"/>
    </row>
    <row r="227" ht="15.75" customHeight="1">
      <c r="A227" s="18"/>
      <c r="B227" s="18"/>
      <c r="C227" s="18"/>
      <c r="E227" s="24"/>
      <c r="H227" s="18"/>
      <c r="I227" s="18"/>
      <c r="J227" s="24"/>
      <c r="K227" s="24"/>
      <c r="L227" s="18"/>
      <c r="M227" s="18"/>
    </row>
    <row r="228" ht="15.75" customHeight="1">
      <c r="A228" s="18"/>
      <c r="B228" s="18"/>
      <c r="C228" s="18"/>
      <c r="E228" s="24"/>
      <c r="H228" s="18"/>
      <c r="I228" s="18"/>
      <c r="J228" s="24"/>
      <c r="K228" s="24"/>
      <c r="L228" s="18"/>
      <c r="M228" s="18"/>
    </row>
    <row r="229" ht="15.75" customHeight="1">
      <c r="A229" s="18"/>
      <c r="B229" s="18"/>
      <c r="C229" s="18"/>
      <c r="E229" s="24"/>
      <c r="H229" s="18"/>
      <c r="I229" s="18"/>
      <c r="J229" s="24"/>
      <c r="K229" s="24"/>
      <c r="L229" s="18"/>
      <c r="M229" s="18"/>
    </row>
    <row r="230" ht="15.75" customHeight="1">
      <c r="A230" s="18"/>
      <c r="B230" s="18"/>
      <c r="C230" s="18"/>
      <c r="E230" s="24"/>
      <c r="H230" s="18"/>
      <c r="I230" s="18"/>
      <c r="J230" s="24"/>
      <c r="K230" s="24"/>
      <c r="L230" s="18"/>
      <c r="M230" s="18"/>
    </row>
    <row r="231" ht="15.75" customHeight="1">
      <c r="A231" s="18"/>
      <c r="B231" s="18"/>
      <c r="C231" s="18"/>
      <c r="E231" s="24"/>
      <c r="H231" s="18"/>
      <c r="I231" s="18"/>
      <c r="J231" s="24"/>
      <c r="K231" s="24"/>
      <c r="L231" s="18"/>
      <c r="M231" s="18"/>
    </row>
    <row r="232" ht="15.75" customHeight="1">
      <c r="A232" s="18"/>
      <c r="B232" s="18"/>
      <c r="C232" s="18"/>
      <c r="E232" s="24"/>
      <c r="H232" s="18"/>
      <c r="I232" s="18"/>
      <c r="J232" s="24"/>
      <c r="K232" s="24"/>
      <c r="L232" s="18"/>
      <c r="M232" s="18"/>
    </row>
    <row r="233" ht="15.75" customHeight="1">
      <c r="A233" s="18"/>
      <c r="B233" s="18"/>
      <c r="C233" s="18"/>
      <c r="E233" s="24"/>
      <c r="H233" s="18"/>
      <c r="I233" s="18"/>
      <c r="J233" s="24"/>
      <c r="K233" s="24"/>
      <c r="L233" s="18"/>
      <c r="M233" s="18"/>
    </row>
    <row r="234" ht="15.75" customHeight="1">
      <c r="A234" s="18"/>
      <c r="B234" s="18"/>
      <c r="C234" s="18"/>
      <c r="E234" s="24"/>
      <c r="H234" s="18"/>
      <c r="I234" s="18"/>
      <c r="J234" s="24"/>
      <c r="K234" s="24"/>
      <c r="L234" s="18"/>
      <c r="M234" s="18"/>
    </row>
    <row r="235" ht="15.75" customHeight="1">
      <c r="A235" s="18"/>
      <c r="B235" s="18"/>
      <c r="C235" s="18"/>
      <c r="E235" s="24"/>
      <c r="H235" s="18"/>
      <c r="I235" s="18"/>
      <c r="J235" s="24"/>
      <c r="K235" s="24"/>
      <c r="L235" s="18"/>
      <c r="M235" s="18"/>
    </row>
    <row r="236" ht="15.75" customHeight="1">
      <c r="A236" s="18"/>
      <c r="B236" s="18"/>
      <c r="C236" s="18"/>
      <c r="E236" s="24"/>
      <c r="H236" s="18"/>
      <c r="I236" s="18"/>
      <c r="J236" s="24"/>
      <c r="K236" s="24"/>
      <c r="L236" s="18"/>
      <c r="M236" s="18"/>
    </row>
    <row r="237" ht="15.75" customHeight="1">
      <c r="A237" s="18"/>
      <c r="B237" s="18"/>
      <c r="C237" s="18"/>
      <c r="E237" s="24"/>
      <c r="H237" s="18"/>
      <c r="I237" s="18"/>
      <c r="J237" s="24"/>
      <c r="K237" s="24"/>
      <c r="L237" s="18"/>
      <c r="M237" s="18"/>
    </row>
    <row r="238" ht="15.75" customHeight="1">
      <c r="A238" s="18"/>
      <c r="B238" s="18"/>
      <c r="C238" s="18"/>
      <c r="E238" s="24"/>
      <c r="H238" s="18"/>
      <c r="I238" s="18"/>
      <c r="J238" s="24"/>
      <c r="K238" s="24"/>
      <c r="L238" s="18"/>
      <c r="M238" s="18"/>
    </row>
    <row r="239" ht="15.75" customHeight="1">
      <c r="A239" s="18"/>
      <c r="B239" s="18"/>
      <c r="C239" s="18"/>
      <c r="E239" s="24"/>
      <c r="H239" s="18"/>
      <c r="I239" s="18"/>
      <c r="J239" s="24"/>
      <c r="K239" s="24"/>
      <c r="L239" s="18"/>
      <c r="M239" s="18"/>
    </row>
    <row r="240" ht="15.75" customHeight="1">
      <c r="A240" s="18"/>
      <c r="B240" s="18"/>
      <c r="C240" s="18"/>
      <c r="E240" s="24"/>
      <c r="H240" s="18"/>
      <c r="I240" s="18"/>
      <c r="J240" s="24"/>
      <c r="K240" s="24"/>
      <c r="L240" s="18"/>
      <c r="M240" s="18"/>
    </row>
    <row r="241" ht="15.75" customHeight="1">
      <c r="A241" s="18"/>
      <c r="B241" s="18"/>
      <c r="C241" s="18"/>
      <c r="E241" s="24"/>
      <c r="H241" s="18"/>
      <c r="I241" s="18"/>
      <c r="J241" s="24"/>
      <c r="K241" s="24"/>
      <c r="L241" s="18"/>
      <c r="M241" s="18"/>
    </row>
    <row r="242" ht="15.75" customHeight="1">
      <c r="A242" s="18"/>
      <c r="B242" s="18"/>
      <c r="C242" s="18"/>
      <c r="E242" s="24"/>
      <c r="H242" s="18"/>
      <c r="I242" s="18"/>
      <c r="J242" s="24"/>
      <c r="K242" s="24"/>
      <c r="L242" s="18"/>
      <c r="M242" s="18"/>
    </row>
    <row r="243" ht="15.75" customHeight="1">
      <c r="A243" s="18"/>
      <c r="B243" s="18"/>
      <c r="C243" s="18"/>
      <c r="E243" s="24"/>
      <c r="H243" s="18"/>
      <c r="I243" s="18"/>
      <c r="J243" s="24"/>
      <c r="K243" s="24"/>
      <c r="L243" s="18"/>
      <c r="M243" s="18"/>
    </row>
    <row r="244" ht="15.75" customHeight="1">
      <c r="A244" s="18"/>
      <c r="B244" s="18"/>
      <c r="C244" s="18"/>
      <c r="E244" s="24"/>
      <c r="H244" s="18"/>
      <c r="I244" s="18"/>
      <c r="J244" s="24"/>
      <c r="K244" s="24"/>
      <c r="L244" s="18"/>
      <c r="M244" s="18"/>
    </row>
    <row r="245" ht="15.75" customHeight="1">
      <c r="A245" s="18"/>
      <c r="B245" s="18"/>
      <c r="C245" s="18"/>
      <c r="E245" s="24"/>
      <c r="H245" s="18"/>
      <c r="I245" s="18"/>
      <c r="J245" s="24"/>
      <c r="K245" s="24"/>
      <c r="L245" s="18"/>
      <c r="M245" s="18"/>
    </row>
    <row r="246" ht="15.75" customHeight="1">
      <c r="A246" s="18"/>
      <c r="B246" s="18"/>
      <c r="C246" s="18"/>
      <c r="E246" s="24"/>
      <c r="H246" s="18"/>
      <c r="I246" s="18"/>
      <c r="J246" s="24"/>
      <c r="K246" s="24"/>
      <c r="L246" s="18"/>
      <c r="M246" s="18"/>
    </row>
    <row r="247" ht="15.75" customHeight="1">
      <c r="A247" s="18"/>
      <c r="B247" s="18"/>
      <c r="C247" s="18"/>
      <c r="E247" s="24"/>
      <c r="H247" s="18"/>
      <c r="I247" s="18"/>
      <c r="J247" s="24"/>
      <c r="K247" s="24"/>
      <c r="L247" s="18"/>
      <c r="M247" s="18"/>
    </row>
    <row r="248" ht="15.75" customHeight="1">
      <c r="A248" s="18"/>
      <c r="B248" s="18"/>
      <c r="C248" s="18"/>
      <c r="E248" s="24"/>
      <c r="H248" s="18"/>
      <c r="I248" s="18"/>
      <c r="J248" s="24"/>
      <c r="K248" s="24"/>
      <c r="L248" s="18"/>
      <c r="M248" s="18"/>
    </row>
    <row r="249" ht="15.75" customHeight="1">
      <c r="A249" s="18"/>
      <c r="B249" s="18"/>
      <c r="C249" s="18"/>
      <c r="E249" s="24"/>
      <c r="H249" s="18"/>
      <c r="I249" s="18"/>
      <c r="J249" s="24"/>
      <c r="K249" s="24"/>
      <c r="L249" s="18"/>
      <c r="M249" s="18"/>
    </row>
    <row r="250" ht="15.75" customHeight="1">
      <c r="A250" s="18"/>
      <c r="B250" s="18"/>
      <c r="C250" s="18"/>
      <c r="E250" s="24"/>
      <c r="H250" s="18"/>
      <c r="I250" s="18"/>
      <c r="J250" s="24"/>
      <c r="K250" s="24"/>
      <c r="L250" s="18"/>
      <c r="M250" s="18"/>
    </row>
    <row r="251" ht="15.75" customHeight="1">
      <c r="A251" s="18"/>
      <c r="B251" s="18"/>
      <c r="C251" s="18"/>
      <c r="E251" s="24"/>
      <c r="H251" s="18"/>
      <c r="I251" s="18"/>
      <c r="J251" s="24"/>
      <c r="K251" s="24"/>
      <c r="L251" s="18"/>
      <c r="M251" s="18"/>
    </row>
    <row r="252" ht="15.75" customHeight="1">
      <c r="A252" s="18"/>
      <c r="B252" s="18"/>
      <c r="C252" s="18"/>
      <c r="E252" s="24"/>
      <c r="H252" s="18"/>
      <c r="I252" s="18"/>
      <c r="J252" s="24"/>
      <c r="K252" s="24"/>
      <c r="L252" s="18"/>
      <c r="M252" s="18"/>
    </row>
    <row r="253" ht="15.75" customHeight="1">
      <c r="A253" s="18"/>
      <c r="B253" s="18"/>
      <c r="C253" s="18"/>
      <c r="E253" s="24"/>
      <c r="H253" s="18"/>
      <c r="I253" s="18"/>
      <c r="J253" s="24"/>
      <c r="K253" s="24"/>
      <c r="L253" s="18"/>
      <c r="M253" s="18"/>
    </row>
    <row r="254" ht="15.75" customHeight="1">
      <c r="A254" s="18"/>
      <c r="B254" s="18"/>
      <c r="C254" s="18"/>
      <c r="E254" s="24"/>
      <c r="H254" s="18"/>
      <c r="I254" s="18"/>
      <c r="J254" s="24"/>
      <c r="K254" s="24"/>
      <c r="L254" s="18"/>
      <c r="M254" s="18"/>
    </row>
    <row r="255" ht="15.75" customHeight="1">
      <c r="A255" s="18"/>
      <c r="B255" s="18"/>
      <c r="C255" s="18"/>
      <c r="E255" s="24"/>
      <c r="H255" s="18"/>
      <c r="I255" s="18"/>
      <c r="J255" s="24"/>
      <c r="K255" s="24"/>
      <c r="L255" s="18"/>
      <c r="M255" s="18"/>
    </row>
    <row r="256" ht="15.75" customHeight="1">
      <c r="A256" s="18"/>
      <c r="B256" s="18"/>
      <c r="C256" s="18"/>
      <c r="E256" s="24"/>
      <c r="H256" s="18"/>
      <c r="I256" s="18"/>
      <c r="J256" s="24"/>
      <c r="K256" s="24"/>
      <c r="L256" s="18"/>
      <c r="M256" s="18"/>
    </row>
    <row r="257" ht="15.75" customHeight="1">
      <c r="A257" s="18"/>
      <c r="B257" s="18"/>
      <c r="C257" s="18"/>
      <c r="E257" s="24"/>
      <c r="H257" s="18"/>
      <c r="I257" s="18"/>
      <c r="J257" s="24"/>
      <c r="K257" s="24"/>
      <c r="L257" s="18"/>
      <c r="M257" s="18"/>
    </row>
    <row r="258" ht="15.75" customHeight="1">
      <c r="A258" s="18"/>
      <c r="B258" s="18"/>
      <c r="C258" s="18"/>
      <c r="E258" s="24"/>
      <c r="H258" s="18"/>
      <c r="I258" s="18"/>
      <c r="J258" s="24"/>
      <c r="K258" s="24"/>
      <c r="L258" s="18"/>
      <c r="M258" s="18"/>
    </row>
    <row r="259" ht="15.75" customHeight="1">
      <c r="A259" s="18"/>
      <c r="B259" s="18"/>
      <c r="C259" s="18"/>
      <c r="E259" s="24"/>
      <c r="H259" s="18"/>
      <c r="I259" s="18"/>
      <c r="J259" s="24"/>
      <c r="K259" s="24"/>
      <c r="L259" s="18"/>
      <c r="M259" s="18"/>
    </row>
    <row r="260" ht="15.75" customHeight="1">
      <c r="A260" s="18"/>
      <c r="B260" s="18"/>
      <c r="C260" s="18"/>
      <c r="E260" s="24"/>
      <c r="H260" s="18"/>
      <c r="I260" s="18"/>
      <c r="J260" s="24"/>
      <c r="K260" s="24"/>
      <c r="L260" s="18"/>
      <c r="M260" s="18"/>
    </row>
    <row r="261" ht="15.75" customHeight="1">
      <c r="A261" s="18"/>
      <c r="B261" s="18"/>
      <c r="C261" s="18"/>
      <c r="E261" s="24"/>
      <c r="H261" s="18"/>
      <c r="I261" s="18"/>
      <c r="J261" s="24"/>
      <c r="K261" s="24"/>
      <c r="L261" s="18"/>
      <c r="M261" s="18"/>
    </row>
    <row r="262" ht="15.75" customHeight="1">
      <c r="A262" s="18"/>
      <c r="B262" s="18"/>
      <c r="C262" s="18"/>
      <c r="E262" s="24"/>
      <c r="H262" s="18"/>
      <c r="I262" s="18"/>
      <c r="J262" s="24"/>
      <c r="K262" s="24"/>
      <c r="L262" s="18"/>
      <c r="M262" s="18"/>
    </row>
    <row r="263" ht="15.75" customHeight="1">
      <c r="A263" s="18"/>
      <c r="B263" s="18"/>
      <c r="C263" s="18"/>
      <c r="E263" s="24"/>
      <c r="H263" s="18"/>
      <c r="I263" s="18"/>
      <c r="J263" s="24"/>
      <c r="K263" s="24"/>
      <c r="L263" s="18"/>
      <c r="M263" s="18"/>
    </row>
    <row r="264" ht="15.75" customHeight="1">
      <c r="A264" s="18"/>
      <c r="B264" s="18"/>
      <c r="C264" s="18"/>
      <c r="E264" s="24"/>
      <c r="H264" s="18"/>
      <c r="I264" s="18"/>
      <c r="J264" s="24"/>
      <c r="K264" s="24"/>
      <c r="L264" s="18"/>
      <c r="M264" s="18"/>
    </row>
    <row r="265" ht="15.75" customHeight="1">
      <c r="A265" s="18"/>
      <c r="B265" s="18"/>
      <c r="C265" s="18"/>
      <c r="E265" s="24"/>
      <c r="H265" s="18"/>
      <c r="I265" s="18"/>
      <c r="J265" s="24"/>
      <c r="K265" s="24"/>
      <c r="L265" s="18"/>
      <c r="M265" s="18"/>
    </row>
    <row r="266" ht="15.75" customHeight="1">
      <c r="A266" s="18"/>
      <c r="B266" s="18"/>
      <c r="C266" s="18"/>
      <c r="E266" s="24"/>
      <c r="H266" s="18"/>
      <c r="I266" s="18"/>
      <c r="J266" s="24"/>
      <c r="K266" s="24"/>
      <c r="L266" s="18"/>
      <c r="M266" s="18"/>
    </row>
    <row r="267" ht="15.75" customHeight="1">
      <c r="A267" s="18"/>
      <c r="B267" s="18"/>
      <c r="C267" s="18"/>
      <c r="E267" s="24"/>
      <c r="H267" s="18"/>
      <c r="I267" s="18"/>
      <c r="J267" s="24"/>
      <c r="K267" s="24"/>
      <c r="L267" s="18"/>
      <c r="M267" s="18"/>
    </row>
    <row r="268" ht="15.75" customHeight="1">
      <c r="A268" s="18"/>
      <c r="B268" s="18"/>
      <c r="C268" s="18"/>
      <c r="E268" s="24"/>
      <c r="H268" s="18"/>
      <c r="I268" s="18"/>
      <c r="J268" s="24"/>
      <c r="K268" s="24"/>
      <c r="L268" s="18"/>
      <c r="M268" s="18"/>
    </row>
    <row r="269" ht="15.75" customHeight="1">
      <c r="A269" s="18"/>
      <c r="B269" s="18"/>
      <c r="C269" s="18"/>
      <c r="E269" s="24"/>
      <c r="H269" s="18"/>
      <c r="I269" s="18"/>
      <c r="J269" s="24"/>
      <c r="K269" s="24"/>
      <c r="L269" s="18"/>
      <c r="M269" s="18"/>
    </row>
    <row r="270" ht="15.75" customHeight="1">
      <c r="A270" s="18"/>
      <c r="B270" s="18"/>
      <c r="C270" s="18"/>
      <c r="E270" s="24"/>
      <c r="H270" s="18"/>
      <c r="I270" s="18"/>
      <c r="J270" s="24"/>
      <c r="K270" s="24"/>
      <c r="L270" s="18"/>
      <c r="M270" s="18"/>
    </row>
    <row r="271" ht="15.75" customHeight="1">
      <c r="A271" s="18"/>
      <c r="B271" s="18"/>
      <c r="C271" s="18"/>
      <c r="E271" s="24"/>
      <c r="H271" s="18"/>
      <c r="I271" s="18"/>
      <c r="J271" s="24"/>
      <c r="K271" s="24"/>
      <c r="L271" s="18"/>
      <c r="M271" s="18"/>
    </row>
    <row r="272" ht="15.75" customHeight="1">
      <c r="A272" s="18"/>
      <c r="B272" s="18"/>
      <c r="C272" s="18"/>
      <c r="E272" s="24"/>
      <c r="H272" s="18"/>
      <c r="I272" s="18"/>
      <c r="J272" s="24"/>
      <c r="K272" s="24"/>
      <c r="L272" s="18"/>
      <c r="M272" s="18"/>
    </row>
    <row r="273" ht="15.75" customHeight="1">
      <c r="A273" s="18"/>
      <c r="B273" s="18"/>
      <c r="C273" s="18"/>
      <c r="E273" s="24"/>
      <c r="H273" s="18"/>
      <c r="I273" s="18"/>
      <c r="J273" s="24"/>
      <c r="K273" s="24"/>
      <c r="L273" s="18"/>
      <c r="M273" s="18"/>
    </row>
    <row r="274" ht="15.75" customHeight="1">
      <c r="A274" s="18"/>
      <c r="B274" s="18"/>
      <c r="C274" s="18"/>
      <c r="E274" s="24"/>
      <c r="H274" s="18"/>
      <c r="I274" s="18"/>
      <c r="J274" s="24"/>
      <c r="K274" s="24"/>
      <c r="L274" s="18"/>
      <c r="M274" s="18"/>
    </row>
    <row r="275" ht="15.75" customHeight="1">
      <c r="A275" s="18"/>
      <c r="B275" s="18"/>
      <c r="C275" s="18"/>
      <c r="E275" s="24"/>
      <c r="H275" s="18"/>
      <c r="I275" s="18"/>
      <c r="J275" s="24"/>
      <c r="K275" s="24"/>
      <c r="L275" s="18"/>
      <c r="M275" s="18"/>
    </row>
    <row r="276" ht="15.75" customHeight="1">
      <c r="A276" s="18"/>
      <c r="B276" s="18"/>
      <c r="C276" s="18"/>
      <c r="E276" s="24"/>
      <c r="H276" s="18"/>
      <c r="I276" s="18"/>
      <c r="J276" s="24"/>
      <c r="K276" s="24"/>
      <c r="L276" s="18"/>
      <c r="M276" s="18"/>
    </row>
    <row r="277" ht="15.75" customHeight="1">
      <c r="B277" s="31"/>
      <c r="C277" s="31"/>
      <c r="E277" s="31"/>
      <c r="J277" s="31"/>
      <c r="K277" s="31"/>
    </row>
    <row r="278" ht="15.75" customHeight="1">
      <c r="B278" s="31"/>
      <c r="C278" s="31"/>
      <c r="E278" s="31"/>
      <c r="J278" s="31"/>
      <c r="K278" s="31"/>
    </row>
    <row r="279" ht="15.75" customHeight="1">
      <c r="B279" s="31"/>
      <c r="C279" s="31"/>
      <c r="E279" s="31"/>
      <c r="J279" s="31"/>
      <c r="K279" s="31"/>
    </row>
    <row r="280" ht="15.75" customHeight="1">
      <c r="B280" s="31"/>
      <c r="C280" s="31"/>
      <c r="E280" s="31"/>
      <c r="J280" s="31"/>
      <c r="K280" s="31"/>
    </row>
    <row r="281" ht="15.75" customHeight="1">
      <c r="B281" s="31"/>
      <c r="C281" s="31"/>
      <c r="E281" s="31"/>
      <c r="J281" s="31"/>
      <c r="K281" s="31"/>
    </row>
    <row r="282" ht="15.75" customHeight="1">
      <c r="B282" s="31"/>
      <c r="C282" s="31"/>
      <c r="E282" s="31"/>
      <c r="J282" s="31"/>
      <c r="K282" s="31"/>
    </row>
    <row r="283" ht="15.75" customHeight="1">
      <c r="B283" s="31"/>
      <c r="C283" s="31"/>
      <c r="E283" s="31"/>
      <c r="J283" s="31"/>
      <c r="K283" s="31"/>
    </row>
    <row r="284" ht="15.75" customHeight="1">
      <c r="B284" s="31"/>
      <c r="C284" s="31"/>
      <c r="E284" s="31"/>
      <c r="J284" s="31"/>
      <c r="K284" s="31"/>
    </row>
    <row r="285" ht="15.75" customHeight="1">
      <c r="B285" s="31"/>
      <c r="C285" s="31"/>
      <c r="E285" s="31"/>
      <c r="J285" s="31"/>
      <c r="K285" s="31"/>
    </row>
    <row r="286" ht="15.75" customHeight="1">
      <c r="B286" s="31"/>
      <c r="C286" s="31"/>
      <c r="E286" s="31"/>
      <c r="J286" s="31"/>
      <c r="K286" s="31"/>
    </row>
    <row r="287" ht="15.75" customHeight="1">
      <c r="B287" s="31"/>
      <c r="C287" s="31"/>
      <c r="E287" s="31"/>
      <c r="J287" s="31"/>
      <c r="K287" s="31"/>
    </row>
    <row r="288" ht="15.75" customHeight="1">
      <c r="B288" s="31"/>
      <c r="C288" s="31"/>
      <c r="E288" s="31"/>
      <c r="J288" s="31"/>
      <c r="K288" s="31"/>
    </row>
    <row r="289" ht="15.75" customHeight="1">
      <c r="B289" s="31"/>
      <c r="C289" s="31"/>
      <c r="E289" s="31"/>
      <c r="J289" s="31"/>
      <c r="K289" s="31"/>
    </row>
    <row r="290" ht="15.75" customHeight="1">
      <c r="B290" s="31"/>
      <c r="C290" s="31"/>
      <c r="E290" s="31"/>
      <c r="J290" s="31"/>
      <c r="K290" s="31"/>
    </row>
    <row r="291" ht="15.75" customHeight="1">
      <c r="B291" s="31"/>
      <c r="C291" s="31"/>
      <c r="E291" s="31"/>
      <c r="J291" s="31"/>
      <c r="K291" s="31"/>
    </row>
    <row r="292" ht="15.75" customHeight="1">
      <c r="B292" s="31"/>
      <c r="C292" s="31"/>
      <c r="E292" s="31"/>
      <c r="J292" s="31"/>
      <c r="K292" s="31"/>
    </row>
    <row r="293" ht="15.75" customHeight="1">
      <c r="B293" s="31"/>
      <c r="C293" s="31"/>
      <c r="E293" s="31"/>
      <c r="J293" s="31"/>
      <c r="K293" s="31"/>
    </row>
    <row r="294" ht="15.75" customHeight="1">
      <c r="B294" s="31"/>
      <c r="C294" s="31"/>
      <c r="E294" s="31"/>
      <c r="J294" s="31"/>
      <c r="K294" s="31"/>
    </row>
    <row r="295" ht="15.75" customHeight="1">
      <c r="B295" s="31"/>
      <c r="C295" s="31"/>
      <c r="E295" s="31"/>
      <c r="J295" s="31"/>
      <c r="K295" s="31"/>
    </row>
    <row r="296" ht="15.75" customHeight="1">
      <c r="B296" s="31"/>
      <c r="C296" s="31"/>
      <c r="E296" s="31"/>
      <c r="J296" s="31"/>
      <c r="K296" s="31"/>
    </row>
    <row r="297" ht="15.75" customHeight="1">
      <c r="B297" s="31"/>
      <c r="C297" s="31"/>
      <c r="E297" s="31"/>
      <c r="J297" s="31"/>
      <c r="K297" s="31"/>
    </row>
    <row r="298" ht="15.75" customHeight="1">
      <c r="B298" s="31"/>
      <c r="C298" s="31"/>
      <c r="E298" s="31"/>
      <c r="J298" s="31"/>
      <c r="K298" s="31"/>
    </row>
    <row r="299" ht="15.75" customHeight="1">
      <c r="B299" s="31"/>
      <c r="C299" s="31"/>
      <c r="E299" s="31"/>
      <c r="J299" s="31"/>
      <c r="K299" s="31"/>
    </row>
    <row r="300" ht="15.75" customHeight="1">
      <c r="B300" s="31"/>
      <c r="C300" s="31"/>
      <c r="E300" s="31"/>
      <c r="J300" s="31"/>
      <c r="K300" s="31"/>
    </row>
    <row r="301" ht="15.75" customHeight="1">
      <c r="B301" s="31"/>
      <c r="C301" s="31"/>
      <c r="E301" s="31"/>
      <c r="J301" s="31"/>
      <c r="K301" s="31"/>
    </row>
    <row r="302" ht="15.75" customHeight="1">
      <c r="B302" s="31"/>
      <c r="C302" s="31"/>
      <c r="E302" s="31"/>
      <c r="J302" s="31"/>
      <c r="K302" s="31"/>
    </row>
    <row r="303" ht="15.75" customHeight="1">
      <c r="B303" s="31"/>
      <c r="C303" s="31"/>
      <c r="E303" s="31"/>
      <c r="J303" s="31"/>
      <c r="K303" s="31"/>
    </row>
    <row r="304" ht="15.75" customHeight="1">
      <c r="B304" s="31"/>
      <c r="C304" s="31"/>
      <c r="E304" s="31"/>
      <c r="J304" s="31"/>
      <c r="K304" s="31"/>
    </row>
    <row r="305" ht="15.75" customHeight="1">
      <c r="B305" s="31"/>
      <c r="C305" s="31"/>
      <c r="E305" s="31"/>
      <c r="J305" s="31"/>
      <c r="K305" s="31"/>
    </row>
    <row r="306" ht="15.75" customHeight="1">
      <c r="B306" s="31"/>
      <c r="C306" s="31"/>
      <c r="E306" s="31"/>
      <c r="J306" s="31"/>
      <c r="K306" s="31"/>
    </row>
    <row r="307" ht="15.75" customHeight="1">
      <c r="B307" s="31"/>
      <c r="C307" s="31"/>
      <c r="E307" s="31"/>
      <c r="J307" s="31"/>
      <c r="K307" s="31"/>
    </row>
    <row r="308" ht="15.75" customHeight="1">
      <c r="B308" s="31"/>
      <c r="C308" s="31"/>
      <c r="E308" s="31"/>
      <c r="J308" s="31"/>
      <c r="K308" s="31"/>
    </row>
    <row r="309" ht="15.75" customHeight="1">
      <c r="B309" s="31"/>
      <c r="C309" s="31"/>
      <c r="E309" s="31"/>
      <c r="J309" s="31"/>
      <c r="K309" s="31"/>
    </row>
    <row r="310" ht="15.75" customHeight="1">
      <c r="B310" s="31"/>
      <c r="C310" s="31"/>
      <c r="E310" s="31"/>
      <c r="J310" s="31"/>
      <c r="K310" s="31"/>
    </row>
    <row r="311" ht="15.75" customHeight="1">
      <c r="B311" s="31"/>
      <c r="C311" s="31"/>
      <c r="E311" s="31"/>
      <c r="J311" s="31"/>
      <c r="K311" s="31"/>
    </row>
    <row r="312" ht="15.75" customHeight="1">
      <c r="B312" s="31"/>
      <c r="C312" s="31"/>
      <c r="E312" s="31"/>
      <c r="J312" s="31"/>
      <c r="K312" s="31"/>
    </row>
    <row r="313" ht="15.75" customHeight="1">
      <c r="B313" s="31"/>
      <c r="C313" s="31"/>
      <c r="E313" s="31"/>
      <c r="J313" s="31"/>
      <c r="K313" s="31"/>
    </row>
    <row r="314" ht="15.75" customHeight="1">
      <c r="B314" s="31"/>
      <c r="C314" s="31"/>
      <c r="E314" s="31"/>
      <c r="J314" s="31"/>
      <c r="K314" s="31"/>
    </row>
    <row r="315" ht="15.75" customHeight="1">
      <c r="B315" s="31"/>
      <c r="C315" s="31"/>
      <c r="E315" s="31"/>
      <c r="J315" s="31"/>
      <c r="K315" s="31"/>
    </row>
    <row r="316" ht="15.75" customHeight="1">
      <c r="B316" s="31"/>
      <c r="C316" s="31"/>
      <c r="E316" s="31"/>
      <c r="J316" s="31"/>
      <c r="K316" s="31"/>
    </row>
    <row r="317" ht="15.75" customHeight="1">
      <c r="B317" s="31"/>
      <c r="C317" s="31"/>
      <c r="E317" s="31"/>
      <c r="J317" s="31"/>
      <c r="K317" s="31"/>
    </row>
    <row r="318" ht="15.75" customHeight="1">
      <c r="B318" s="31"/>
      <c r="C318" s="31"/>
      <c r="E318" s="31"/>
      <c r="J318" s="31"/>
      <c r="K318" s="31"/>
    </row>
    <row r="319" ht="15.75" customHeight="1">
      <c r="B319" s="31"/>
      <c r="C319" s="31"/>
      <c r="E319" s="31"/>
      <c r="J319" s="31"/>
      <c r="K319" s="31"/>
    </row>
    <row r="320" ht="15.75" customHeight="1">
      <c r="B320" s="31"/>
      <c r="C320" s="31"/>
      <c r="E320" s="31"/>
      <c r="J320" s="31"/>
      <c r="K320" s="31"/>
    </row>
    <row r="321" ht="15.75" customHeight="1">
      <c r="B321" s="31"/>
      <c r="C321" s="31"/>
      <c r="E321" s="31"/>
      <c r="J321" s="31"/>
      <c r="K321" s="31"/>
    </row>
    <row r="322" ht="15.75" customHeight="1">
      <c r="B322" s="31"/>
      <c r="C322" s="31"/>
      <c r="E322" s="31"/>
      <c r="J322" s="31"/>
      <c r="K322" s="31"/>
    </row>
    <row r="323" ht="15.75" customHeight="1">
      <c r="B323" s="31"/>
      <c r="C323" s="31"/>
      <c r="E323" s="31"/>
      <c r="J323" s="31"/>
      <c r="K323" s="31"/>
    </row>
    <row r="324" ht="15.75" customHeight="1">
      <c r="B324" s="31"/>
      <c r="C324" s="31"/>
      <c r="E324" s="31"/>
      <c r="J324" s="31"/>
      <c r="K324" s="31"/>
    </row>
    <row r="325" ht="15.75" customHeight="1">
      <c r="B325" s="31"/>
      <c r="C325" s="31"/>
      <c r="E325" s="31"/>
      <c r="J325" s="31"/>
      <c r="K325" s="31"/>
    </row>
    <row r="326" ht="15.75" customHeight="1">
      <c r="B326" s="31"/>
      <c r="C326" s="31"/>
      <c r="E326" s="31"/>
      <c r="J326" s="31"/>
      <c r="K326" s="31"/>
    </row>
    <row r="327" ht="15.75" customHeight="1">
      <c r="B327" s="31"/>
      <c r="C327" s="31"/>
      <c r="E327" s="31"/>
      <c r="J327" s="31"/>
      <c r="K327" s="31"/>
    </row>
    <row r="328" ht="15.75" customHeight="1">
      <c r="B328" s="31"/>
      <c r="C328" s="31"/>
      <c r="E328" s="31"/>
      <c r="J328" s="31"/>
      <c r="K328" s="31"/>
    </row>
    <row r="329" ht="15.75" customHeight="1">
      <c r="B329" s="31"/>
      <c r="C329" s="31"/>
      <c r="E329" s="31"/>
      <c r="J329" s="31"/>
      <c r="K329" s="31"/>
    </row>
    <row r="330" ht="15.75" customHeight="1">
      <c r="B330" s="31"/>
      <c r="C330" s="31"/>
      <c r="E330" s="31"/>
      <c r="J330" s="31"/>
      <c r="K330" s="31"/>
    </row>
    <row r="331" ht="15.75" customHeight="1">
      <c r="B331" s="31"/>
      <c r="C331" s="31"/>
      <c r="E331" s="31"/>
      <c r="J331" s="31"/>
      <c r="K331" s="31"/>
    </row>
    <row r="332" ht="15.75" customHeight="1">
      <c r="B332" s="31"/>
      <c r="C332" s="31"/>
      <c r="E332" s="31"/>
      <c r="J332" s="31"/>
      <c r="K332" s="31"/>
    </row>
    <row r="333" ht="15.75" customHeight="1">
      <c r="B333" s="31"/>
      <c r="C333" s="31"/>
      <c r="E333" s="31"/>
      <c r="J333" s="31"/>
      <c r="K333" s="31"/>
    </row>
    <row r="334" ht="15.75" customHeight="1">
      <c r="B334" s="31"/>
      <c r="C334" s="31"/>
      <c r="E334" s="31"/>
      <c r="J334" s="31"/>
      <c r="K334" s="31"/>
    </row>
    <row r="335" ht="15.75" customHeight="1">
      <c r="B335" s="31"/>
      <c r="C335" s="31"/>
      <c r="E335" s="31"/>
      <c r="J335" s="31"/>
      <c r="K335" s="31"/>
    </row>
    <row r="336" ht="15.75" customHeight="1">
      <c r="B336" s="31"/>
      <c r="C336" s="31"/>
      <c r="E336" s="31"/>
      <c r="J336" s="31"/>
      <c r="K336" s="31"/>
    </row>
    <row r="337" ht="15.75" customHeight="1">
      <c r="B337" s="31"/>
      <c r="C337" s="31"/>
      <c r="E337" s="31"/>
      <c r="J337" s="31"/>
      <c r="K337" s="31"/>
    </row>
    <row r="338" ht="15.75" customHeight="1">
      <c r="B338" s="31"/>
      <c r="C338" s="31"/>
      <c r="E338" s="31"/>
      <c r="J338" s="31"/>
      <c r="K338" s="31"/>
    </row>
    <row r="339" ht="15.75" customHeight="1">
      <c r="B339" s="31"/>
      <c r="C339" s="31"/>
      <c r="E339" s="31"/>
      <c r="J339" s="31"/>
      <c r="K339" s="31"/>
    </row>
    <row r="340" ht="15.75" customHeight="1">
      <c r="B340" s="31"/>
      <c r="C340" s="31"/>
      <c r="E340" s="31"/>
      <c r="J340" s="31"/>
      <c r="K340" s="31"/>
    </row>
    <row r="341" ht="15.75" customHeight="1">
      <c r="B341" s="31"/>
      <c r="C341" s="31"/>
      <c r="E341" s="31"/>
      <c r="J341" s="31"/>
      <c r="K341" s="31"/>
    </row>
    <row r="342" ht="15.75" customHeight="1">
      <c r="B342" s="31"/>
      <c r="C342" s="31"/>
      <c r="E342" s="31"/>
      <c r="J342" s="31"/>
      <c r="K342" s="31"/>
    </row>
    <row r="343" ht="15.75" customHeight="1">
      <c r="B343" s="31"/>
      <c r="C343" s="31"/>
      <c r="E343" s="31"/>
      <c r="J343" s="31"/>
      <c r="K343" s="31"/>
    </row>
    <row r="344" ht="15.75" customHeight="1">
      <c r="B344" s="31"/>
      <c r="C344" s="31"/>
      <c r="E344" s="31"/>
      <c r="J344" s="31"/>
      <c r="K344" s="31"/>
    </row>
    <row r="345" ht="15.75" customHeight="1">
      <c r="B345" s="31"/>
      <c r="C345" s="31"/>
      <c r="E345" s="31"/>
      <c r="J345" s="31"/>
      <c r="K345" s="31"/>
    </row>
    <row r="346" ht="15.75" customHeight="1">
      <c r="B346" s="31"/>
      <c r="C346" s="31"/>
      <c r="E346" s="31"/>
      <c r="J346" s="31"/>
      <c r="K346" s="31"/>
    </row>
    <row r="347" ht="15.75" customHeight="1">
      <c r="B347" s="31"/>
      <c r="C347" s="31"/>
      <c r="E347" s="31"/>
      <c r="J347" s="31"/>
      <c r="K347" s="31"/>
    </row>
    <row r="348" ht="15.75" customHeight="1">
      <c r="B348" s="31"/>
      <c r="C348" s="31"/>
      <c r="E348" s="31"/>
      <c r="J348" s="31"/>
      <c r="K348" s="31"/>
    </row>
    <row r="349" ht="15.75" customHeight="1">
      <c r="B349" s="31"/>
      <c r="C349" s="31"/>
      <c r="E349" s="31"/>
      <c r="J349" s="31"/>
      <c r="K349" s="31"/>
    </row>
    <row r="350" ht="15.75" customHeight="1">
      <c r="B350" s="31"/>
      <c r="C350" s="31"/>
      <c r="E350" s="31"/>
      <c r="J350" s="31"/>
      <c r="K350" s="31"/>
    </row>
    <row r="351" ht="15.75" customHeight="1">
      <c r="B351" s="31"/>
      <c r="C351" s="31"/>
      <c r="E351" s="31"/>
      <c r="J351" s="31"/>
      <c r="K351" s="31"/>
    </row>
    <row r="352" ht="15.75" customHeight="1">
      <c r="B352" s="31"/>
      <c r="C352" s="31"/>
      <c r="E352" s="31"/>
      <c r="J352" s="31"/>
      <c r="K352" s="31"/>
    </row>
    <row r="353" ht="15.75" customHeight="1">
      <c r="B353" s="31"/>
      <c r="C353" s="31"/>
      <c r="E353" s="31"/>
      <c r="J353" s="31"/>
      <c r="K353" s="31"/>
    </row>
    <row r="354" ht="15.75" customHeight="1">
      <c r="B354" s="31"/>
      <c r="C354" s="31"/>
      <c r="E354" s="31"/>
      <c r="J354" s="31"/>
      <c r="K354" s="31"/>
    </row>
    <row r="355" ht="15.75" customHeight="1">
      <c r="B355" s="31"/>
      <c r="C355" s="31"/>
      <c r="E355" s="31"/>
      <c r="J355" s="31"/>
      <c r="K355" s="31"/>
    </row>
    <row r="356" ht="15.75" customHeight="1">
      <c r="B356" s="31"/>
      <c r="C356" s="31"/>
      <c r="E356" s="31"/>
      <c r="J356" s="31"/>
      <c r="K356" s="31"/>
    </row>
    <row r="357" ht="15.75" customHeight="1">
      <c r="B357" s="31"/>
      <c r="C357" s="31"/>
      <c r="E357" s="31"/>
      <c r="J357" s="31"/>
      <c r="K357" s="31"/>
    </row>
    <row r="358" ht="15.75" customHeight="1">
      <c r="B358" s="31"/>
      <c r="C358" s="31"/>
      <c r="E358" s="31"/>
      <c r="J358" s="31"/>
      <c r="K358" s="31"/>
    </row>
    <row r="359" ht="15.75" customHeight="1">
      <c r="B359" s="31"/>
      <c r="C359" s="31"/>
      <c r="E359" s="31"/>
      <c r="J359" s="31"/>
      <c r="K359" s="31"/>
    </row>
    <row r="360" ht="15.75" customHeight="1">
      <c r="B360" s="31"/>
      <c r="C360" s="31"/>
      <c r="E360" s="31"/>
      <c r="J360" s="31"/>
      <c r="K360" s="31"/>
    </row>
    <row r="361" ht="15.75" customHeight="1">
      <c r="B361" s="31"/>
      <c r="C361" s="31"/>
      <c r="E361" s="31"/>
      <c r="J361" s="31"/>
      <c r="K361" s="31"/>
    </row>
    <row r="362" ht="15.75" customHeight="1">
      <c r="B362" s="31"/>
      <c r="C362" s="31"/>
      <c r="E362" s="31"/>
      <c r="J362" s="31"/>
      <c r="K362" s="31"/>
    </row>
    <row r="363" ht="15.75" customHeight="1">
      <c r="B363" s="31"/>
      <c r="C363" s="31"/>
      <c r="E363" s="31"/>
      <c r="J363" s="31"/>
      <c r="K363" s="31"/>
    </row>
    <row r="364" ht="15.75" customHeight="1">
      <c r="B364" s="31"/>
      <c r="C364" s="31"/>
      <c r="E364" s="31"/>
      <c r="J364" s="31"/>
      <c r="K364" s="31"/>
    </row>
    <row r="365" ht="15.75" customHeight="1">
      <c r="B365" s="31"/>
      <c r="C365" s="31"/>
      <c r="E365" s="31"/>
      <c r="J365" s="31"/>
      <c r="K365" s="31"/>
    </row>
    <row r="366" ht="15.75" customHeight="1">
      <c r="B366" s="31"/>
      <c r="C366" s="31"/>
      <c r="E366" s="31"/>
      <c r="J366" s="31"/>
      <c r="K366" s="31"/>
    </row>
    <row r="367" ht="15.75" customHeight="1">
      <c r="B367" s="31"/>
      <c r="C367" s="31"/>
      <c r="E367" s="31"/>
      <c r="J367" s="31"/>
      <c r="K367" s="31"/>
    </row>
    <row r="368" ht="15.75" customHeight="1">
      <c r="B368" s="31"/>
      <c r="C368" s="31"/>
      <c r="E368" s="31"/>
      <c r="J368" s="31"/>
      <c r="K368" s="31"/>
    </row>
    <row r="369" ht="15.75" customHeight="1">
      <c r="B369" s="31"/>
      <c r="C369" s="31"/>
      <c r="E369" s="31"/>
      <c r="J369" s="31"/>
      <c r="K369" s="31"/>
    </row>
    <row r="370" ht="15.75" customHeight="1">
      <c r="B370" s="31"/>
      <c r="C370" s="31"/>
      <c r="E370" s="31"/>
      <c r="J370" s="31"/>
      <c r="K370" s="31"/>
    </row>
    <row r="371" ht="15.75" customHeight="1">
      <c r="B371" s="31"/>
      <c r="C371" s="31"/>
      <c r="E371" s="31"/>
      <c r="J371" s="31"/>
      <c r="K371" s="31"/>
    </row>
    <row r="372" ht="15.75" customHeight="1">
      <c r="B372" s="31"/>
      <c r="C372" s="31"/>
      <c r="E372" s="31"/>
      <c r="J372" s="31"/>
      <c r="K372" s="31"/>
    </row>
    <row r="373" ht="15.75" customHeight="1">
      <c r="B373" s="31"/>
      <c r="C373" s="31"/>
      <c r="E373" s="31"/>
      <c r="J373" s="31"/>
      <c r="K373" s="31"/>
    </row>
    <row r="374" ht="15.75" customHeight="1">
      <c r="B374" s="31"/>
      <c r="C374" s="31"/>
      <c r="E374" s="31"/>
      <c r="J374" s="31"/>
      <c r="K374" s="31"/>
    </row>
    <row r="375" ht="15.75" customHeight="1">
      <c r="B375" s="31"/>
      <c r="C375" s="31"/>
      <c r="E375" s="31"/>
      <c r="J375" s="31"/>
      <c r="K375" s="31"/>
    </row>
    <row r="376" ht="15.75" customHeight="1">
      <c r="B376" s="31"/>
      <c r="C376" s="31"/>
      <c r="E376" s="31"/>
      <c r="J376" s="31"/>
      <c r="K376" s="31"/>
    </row>
    <row r="377" ht="15.75" customHeight="1">
      <c r="B377" s="31"/>
      <c r="C377" s="31"/>
      <c r="E377" s="31"/>
      <c r="J377" s="31"/>
      <c r="K377" s="31"/>
    </row>
    <row r="378" ht="15.75" customHeight="1">
      <c r="B378" s="31"/>
      <c r="C378" s="31"/>
      <c r="E378" s="31"/>
      <c r="J378" s="31"/>
      <c r="K378" s="31"/>
    </row>
    <row r="379" ht="15.75" customHeight="1">
      <c r="B379" s="31"/>
      <c r="C379" s="31"/>
      <c r="E379" s="31"/>
      <c r="J379" s="31"/>
      <c r="K379" s="31"/>
    </row>
    <row r="380" ht="15.75" customHeight="1">
      <c r="B380" s="31"/>
      <c r="C380" s="31"/>
      <c r="E380" s="31"/>
      <c r="J380" s="31"/>
      <c r="K380" s="31"/>
    </row>
    <row r="381" ht="15.75" customHeight="1">
      <c r="B381" s="31"/>
      <c r="C381" s="31"/>
      <c r="E381" s="31"/>
      <c r="J381" s="31"/>
      <c r="K381" s="31"/>
    </row>
    <row r="382" ht="15.75" customHeight="1">
      <c r="B382" s="31"/>
      <c r="C382" s="31"/>
      <c r="E382" s="31"/>
      <c r="J382" s="31"/>
      <c r="K382" s="31"/>
    </row>
    <row r="383" ht="15.75" customHeight="1">
      <c r="B383" s="31"/>
      <c r="C383" s="31"/>
      <c r="E383" s="31"/>
      <c r="J383" s="31"/>
      <c r="K383" s="31"/>
    </row>
    <row r="384" ht="15.75" customHeight="1">
      <c r="B384" s="31"/>
      <c r="C384" s="31"/>
      <c r="E384" s="31"/>
      <c r="J384" s="31"/>
      <c r="K384" s="31"/>
    </row>
    <row r="385" ht="15.75" customHeight="1">
      <c r="B385" s="31"/>
      <c r="C385" s="31"/>
      <c r="E385" s="31"/>
      <c r="J385" s="31"/>
      <c r="K385" s="31"/>
    </row>
    <row r="386" ht="15.75" customHeight="1">
      <c r="B386" s="31"/>
      <c r="C386" s="31"/>
      <c r="E386" s="31"/>
      <c r="J386" s="31"/>
      <c r="K386" s="31"/>
    </row>
    <row r="387" ht="15.75" customHeight="1">
      <c r="B387" s="31"/>
      <c r="C387" s="31"/>
      <c r="E387" s="31"/>
      <c r="J387" s="31"/>
      <c r="K387" s="31"/>
    </row>
    <row r="388" ht="15.75" customHeight="1">
      <c r="B388" s="31"/>
      <c r="C388" s="31"/>
      <c r="E388" s="31"/>
      <c r="J388" s="31"/>
      <c r="K388" s="31"/>
    </row>
    <row r="389" ht="15.75" customHeight="1">
      <c r="B389" s="31"/>
      <c r="C389" s="31"/>
      <c r="E389" s="31"/>
      <c r="J389" s="31"/>
      <c r="K389" s="31"/>
    </row>
    <row r="390" ht="15.75" customHeight="1">
      <c r="B390" s="31"/>
      <c r="C390" s="31"/>
      <c r="E390" s="31"/>
      <c r="J390" s="31"/>
      <c r="K390" s="31"/>
    </row>
    <row r="391" ht="15.75" customHeight="1">
      <c r="B391" s="31"/>
      <c r="C391" s="31"/>
      <c r="E391" s="31"/>
      <c r="J391" s="31"/>
      <c r="K391" s="31"/>
    </row>
    <row r="392" ht="15.75" customHeight="1">
      <c r="B392" s="31"/>
      <c r="C392" s="31"/>
      <c r="E392" s="31"/>
      <c r="J392" s="31"/>
      <c r="K392" s="31"/>
    </row>
    <row r="393" ht="15.75" customHeight="1">
      <c r="B393" s="31"/>
      <c r="C393" s="31"/>
      <c r="E393" s="31"/>
      <c r="J393" s="31"/>
      <c r="K393" s="31"/>
    </row>
    <row r="394" ht="15.75" customHeight="1">
      <c r="B394" s="31"/>
      <c r="C394" s="31"/>
      <c r="E394" s="31"/>
      <c r="J394" s="31"/>
      <c r="K394" s="31"/>
    </row>
    <row r="395" ht="15.75" customHeight="1">
      <c r="B395" s="31"/>
      <c r="C395" s="31"/>
      <c r="E395" s="31"/>
      <c r="J395" s="31"/>
      <c r="K395" s="31"/>
    </row>
    <row r="396" ht="15.75" customHeight="1">
      <c r="B396" s="31"/>
      <c r="C396" s="31"/>
      <c r="E396" s="31"/>
      <c r="J396" s="31"/>
      <c r="K396" s="31"/>
    </row>
    <row r="397" ht="15.75" customHeight="1">
      <c r="B397" s="31"/>
      <c r="C397" s="31"/>
      <c r="E397" s="31"/>
      <c r="J397" s="31"/>
      <c r="K397" s="31"/>
    </row>
    <row r="398" ht="15.75" customHeight="1">
      <c r="B398" s="31"/>
      <c r="C398" s="31"/>
      <c r="E398" s="31"/>
      <c r="J398" s="31"/>
      <c r="K398" s="31"/>
    </row>
    <row r="399" ht="15.75" customHeight="1">
      <c r="B399" s="31"/>
      <c r="C399" s="31"/>
      <c r="E399" s="31"/>
      <c r="J399" s="31"/>
      <c r="K399" s="31"/>
    </row>
    <row r="400" ht="15.75" customHeight="1">
      <c r="B400" s="31"/>
      <c r="C400" s="31"/>
      <c r="E400" s="31"/>
      <c r="J400" s="31"/>
      <c r="K400" s="31"/>
    </row>
    <row r="401" ht="15.75" customHeight="1">
      <c r="B401" s="31"/>
      <c r="C401" s="31"/>
      <c r="E401" s="31"/>
      <c r="J401" s="31"/>
      <c r="K401" s="31"/>
    </row>
    <row r="402" ht="15.75" customHeight="1">
      <c r="B402" s="31"/>
      <c r="C402" s="31"/>
      <c r="E402" s="31"/>
      <c r="J402" s="31"/>
      <c r="K402" s="31"/>
    </row>
    <row r="403" ht="15.75" customHeight="1">
      <c r="B403" s="31"/>
      <c r="C403" s="31"/>
      <c r="E403" s="31"/>
      <c r="J403" s="31"/>
      <c r="K403" s="31"/>
    </row>
    <row r="404" ht="15.75" customHeight="1">
      <c r="B404" s="31"/>
      <c r="C404" s="31"/>
      <c r="E404" s="31"/>
      <c r="J404" s="31"/>
      <c r="K404" s="31"/>
    </row>
    <row r="405" ht="15.75" customHeight="1">
      <c r="B405" s="31"/>
      <c r="C405" s="31"/>
      <c r="E405" s="31"/>
      <c r="J405" s="31"/>
      <c r="K405" s="31"/>
    </row>
    <row r="406" ht="15.75" customHeight="1">
      <c r="B406" s="31"/>
      <c r="C406" s="31"/>
      <c r="E406" s="31"/>
      <c r="J406" s="31"/>
      <c r="K406" s="31"/>
    </row>
    <row r="407" ht="15.75" customHeight="1">
      <c r="B407" s="31"/>
      <c r="C407" s="31"/>
      <c r="E407" s="31"/>
      <c r="J407" s="31"/>
      <c r="K407" s="31"/>
    </row>
    <row r="408" ht="15.75" customHeight="1">
      <c r="B408" s="31"/>
      <c r="C408" s="31"/>
      <c r="E408" s="31"/>
      <c r="J408" s="31"/>
      <c r="K408" s="31"/>
    </row>
    <row r="409" ht="15.75" customHeight="1">
      <c r="B409" s="31"/>
      <c r="C409" s="31"/>
      <c r="E409" s="31"/>
      <c r="J409" s="31"/>
      <c r="K409" s="31"/>
    </row>
    <row r="410" ht="15.75" customHeight="1">
      <c r="B410" s="31"/>
      <c r="C410" s="31"/>
      <c r="E410" s="31"/>
      <c r="J410" s="31"/>
      <c r="K410" s="31"/>
    </row>
    <row r="411" ht="15.75" customHeight="1">
      <c r="B411" s="31"/>
      <c r="C411" s="31"/>
      <c r="E411" s="31"/>
      <c r="J411" s="31"/>
      <c r="K411" s="31"/>
    </row>
    <row r="412" ht="15.75" customHeight="1">
      <c r="B412" s="31"/>
      <c r="C412" s="31"/>
      <c r="E412" s="31"/>
      <c r="J412" s="31"/>
      <c r="K412" s="31"/>
    </row>
    <row r="413" ht="15.75" customHeight="1">
      <c r="B413" s="31"/>
      <c r="C413" s="31"/>
      <c r="E413" s="31"/>
      <c r="J413" s="31"/>
      <c r="K413" s="31"/>
    </row>
    <row r="414" ht="15.75" customHeight="1">
      <c r="B414" s="31"/>
      <c r="C414" s="31"/>
      <c r="E414" s="31"/>
      <c r="J414" s="31"/>
      <c r="K414" s="31"/>
    </row>
    <row r="415" ht="15.75" customHeight="1">
      <c r="B415" s="31"/>
      <c r="C415" s="31"/>
      <c r="E415" s="31"/>
      <c r="J415" s="31"/>
      <c r="K415" s="31"/>
    </row>
    <row r="416" ht="15.75" customHeight="1">
      <c r="B416" s="31"/>
      <c r="C416" s="31"/>
      <c r="E416" s="31"/>
      <c r="J416" s="31"/>
      <c r="K416" s="31"/>
    </row>
    <row r="417" ht="15.75" customHeight="1">
      <c r="B417" s="31"/>
      <c r="C417" s="31"/>
      <c r="E417" s="31"/>
      <c r="J417" s="31"/>
      <c r="K417" s="31"/>
    </row>
    <row r="418" ht="15.75" customHeight="1">
      <c r="B418" s="31"/>
      <c r="C418" s="31"/>
      <c r="E418" s="31"/>
      <c r="J418" s="31"/>
      <c r="K418" s="31"/>
    </row>
    <row r="419" ht="15.75" customHeight="1">
      <c r="B419" s="31"/>
      <c r="C419" s="31"/>
      <c r="E419" s="31"/>
      <c r="J419" s="31"/>
      <c r="K419" s="31"/>
    </row>
    <row r="420" ht="15.75" customHeight="1">
      <c r="B420" s="31"/>
      <c r="C420" s="31"/>
      <c r="E420" s="31"/>
      <c r="J420" s="31"/>
      <c r="K420" s="31"/>
    </row>
    <row r="421" ht="15.75" customHeight="1">
      <c r="B421" s="31"/>
      <c r="C421" s="31"/>
      <c r="E421" s="31"/>
      <c r="J421" s="31"/>
      <c r="K421" s="31"/>
    </row>
    <row r="422" ht="15.75" customHeight="1">
      <c r="B422" s="31"/>
      <c r="C422" s="31"/>
      <c r="E422" s="31"/>
      <c r="J422" s="31"/>
      <c r="K422" s="31"/>
    </row>
    <row r="423" ht="15.75" customHeight="1">
      <c r="B423" s="31"/>
      <c r="C423" s="31"/>
      <c r="E423" s="31"/>
      <c r="J423" s="31"/>
      <c r="K423" s="31"/>
    </row>
    <row r="424" ht="15.75" customHeight="1">
      <c r="B424" s="31"/>
      <c r="C424" s="31"/>
      <c r="E424" s="31"/>
      <c r="J424" s="31"/>
      <c r="K424" s="31"/>
    </row>
    <row r="425" ht="15.75" customHeight="1">
      <c r="B425" s="31"/>
      <c r="C425" s="31"/>
      <c r="E425" s="31"/>
      <c r="J425" s="31"/>
      <c r="K425" s="31"/>
    </row>
    <row r="426" ht="15.75" customHeight="1">
      <c r="B426" s="31"/>
      <c r="C426" s="31"/>
      <c r="E426" s="31"/>
      <c r="J426" s="31"/>
      <c r="K426" s="31"/>
    </row>
    <row r="427" ht="15.75" customHeight="1">
      <c r="B427" s="31"/>
      <c r="C427" s="31"/>
      <c r="E427" s="31"/>
      <c r="J427" s="31"/>
      <c r="K427" s="31"/>
    </row>
    <row r="428" ht="15.75" customHeight="1">
      <c r="B428" s="31"/>
      <c r="C428" s="31"/>
      <c r="E428" s="31"/>
      <c r="J428" s="31"/>
      <c r="K428" s="31"/>
    </row>
    <row r="429" ht="15.75" customHeight="1">
      <c r="B429" s="31"/>
      <c r="C429" s="31"/>
      <c r="E429" s="31"/>
      <c r="J429" s="31"/>
      <c r="K429" s="31"/>
    </row>
    <row r="430" ht="15.75" customHeight="1">
      <c r="B430" s="31"/>
      <c r="C430" s="31"/>
      <c r="E430" s="31"/>
      <c r="J430" s="31"/>
      <c r="K430" s="31"/>
    </row>
    <row r="431" ht="15.75" customHeight="1">
      <c r="B431" s="31"/>
      <c r="C431" s="31"/>
      <c r="E431" s="31"/>
      <c r="J431" s="31"/>
      <c r="K431" s="31"/>
    </row>
    <row r="432" ht="15.75" customHeight="1">
      <c r="B432" s="31"/>
      <c r="C432" s="31"/>
      <c r="E432" s="31"/>
      <c r="J432" s="31"/>
      <c r="K432" s="31"/>
    </row>
    <row r="433" ht="15.75" customHeight="1">
      <c r="B433" s="31"/>
      <c r="C433" s="31"/>
      <c r="E433" s="31"/>
      <c r="J433" s="31"/>
      <c r="K433" s="31"/>
    </row>
    <row r="434" ht="15.75" customHeight="1">
      <c r="B434" s="31"/>
      <c r="C434" s="31"/>
      <c r="E434" s="31"/>
      <c r="J434" s="31"/>
      <c r="K434" s="31"/>
    </row>
    <row r="435" ht="15.75" customHeight="1">
      <c r="B435" s="31"/>
      <c r="C435" s="31"/>
      <c r="E435" s="31"/>
      <c r="J435" s="31"/>
      <c r="K435" s="31"/>
    </row>
    <row r="436" ht="15.75" customHeight="1">
      <c r="B436" s="31"/>
      <c r="C436" s="31"/>
      <c r="E436" s="31"/>
      <c r="J436" s="31"/>
      <c r="K436" s="31"/>
    </row>
    <row r="437" ht="15.75" customHeight="1">
      <c r="B437" s="31"/>
      <c r="C437" s="31"/>
      <c r="E437" s="31"/>
      <c r="J437" s="31"/>
      <c r="K437" s="31"/>
    </row>
    <row r="438" ht="15.75" customHeight="1">
      <c r="B438" s="31"/>
      <c r="C438" s="31"/>
      <c r="E438" s="31"/>
      <c r="J438" s="31"/>
      <c r="K438" s="31"/>
    </row>
    <row r="439" ht="15.75" customHeight="1">
      <c r="B439" s="31"/>
      <c r="C439" s="31"/>
      <c r="E439" s="31"/>
      <c r="J439" s="31"/>
      <c r="K439" s="31"/>
    </row>
    <row r="440" ht="15.75" customHeight="1">
      <c r="B440" s="31"/>
      <c r="C440" s="31"/>
      <c r="E440" s="31"/>
      <c r="J440" s="31"/>
      <c r="K440" s="31"/>
    </row>
    <row r="441" ht="15.75" customHeight="1">
      <c r="B441" s="31"/>
      <c r="C441" s="31"/>
      <c r="E441" s="31"/>
      <c r="J441" s="31"/>
      <c r="K441" s="31"/>
    </row>
    <row r="442" ht="15.75" customHeight="1">
      <c r="B442" s="31"/>
      <c r="C442" s="31"/>
      <c r="E442" s="31"/>
      <c r="J442" s="31"/>
      <c r="K442" s="31"/>
    </row>
    <row r="443" ht="15.75" customHeight="1">
      <c r="B443" s="31"/>
      <c r="C443" s="31"/>
      <c r="E443" s="31"/>
      <c r="J443" s="31"/>
      <c r="K443" s="31"/>
    </row>
    <row r="444" ht="15.75" customHeight="1">
      <c r="B444" s="31"/>
      <c r="C444" s="31"/>
      <c r="E444" s="31"/>
      <c r="J444" s="31"/>
      <c r="K444" s="31"/>
    </row>
    <row r="445" ht="15.75" customHeight="1">
      <c r="B445" s="31"/>
      <c r="C445" s="31"/>
      <c r="E445" s="31"/>
      <c r="J445" s="31"/>
      <c r="K445" s="31"/>
    </row>
    <row r="446" ht="15.75" customHeight="1">
      <c r="B446" s="31"/>
      <c r="C446" s="31"/>
      <c r="E446" s="31"/>
      <c r="J446" s="31"/>
      <c r="K446" s="31"/>
    </row>
    <row r="447" ht="15.75" customHeight="1">
      <c r="B447" s="31"/>
      <c r="C447" s="31"/>
      <c r="E447" s="31"/>
      <c r="J447" s="31"/>
      <c r="K447" s="31"/>
    </row>
    <row r="448" ht="15.75" customHeight="1">
      <c r="B448" s="31"/>
      <c r="C448" s="31"/>
      <c r="E448" s="31"/>
      <c r="J448" s="31"/>
      <c r="K448" s="31"/>
    </row>
    <row r="449" ht="15.75" customHeight="1">
      <c r="B449" s="31"/>
      <c r="C449" s="31"/>
      <c r="E449" s="31"/>
      <c r="J449" s="31"/>
      <c r="K449" s="31"/>
    </row>
    <row r="450" ht="15.75" customHeight="1">
      <c r="B450" s="31"/>
      <c r="C450" s="31"/>
      <c r="E450" s="31"/>
      <c r="J450" s="31"/>
      <c r="K450" s="31"/>
    </row>
    <row r="451" ht="15.75" customHeight="1">
      <c r="B451" s="31"/>
      <c r="C451" s="31"/>
      <c r="E451" s="31"/>
      <c r="J451" s="31"/>
      <c r="K451" s="31"/>
    </row>
    <row r="452" ht="15.75" customHeight="1">
      <c r="B452" s="31"/>
      <c r="C452" s="31"/>
      <c r="E452" s="31"/>
      <c r="J452" s="31"/>
      <c r="K452" s="31"/>
    </row>
    <row r="453" ht="15.75" customHeight="1">
      <c r="B453" s="31"/>
      <c r="C453" s="31"/>
      <c r="E453" s="31"/>
      <c r="J453" s="31"/>
      <c r="K453" s="31"/>
    </row>
    <row r="454" ht="15.75" customHeight="1">
      <c r="B454" s="31"/>
      <c r="C454" s="31"/>
      <c r="E454" s="31"/>
      <c r="J454" s="31"/>
      <c r="K454" s="31"/>
    </row>
    <row r="455" ht="15.75" customHeight="1">
      <c r="B455" s="31"/>
      <c r="C455" s="31"/>
      <c r="E455" s="31"/>
      <c r="J455" s="31"/>
      <c r="K455" s="31"/>
    </row>
    <row r="456" ht="15.75" customHeight="1">
      <c r="B456" s="31"/>
      <c r="C456" s="31"/>
      <c r="E456" s="31"/>
      <c r="J456" s="31"/>
      <c r="K456" s="31"/>
    </row>
    <row r="457" ht="15.75" customHeight="1">
      <c r="B457" s="31"/>
      <c r="C457" s="31"/>
      <c r="E457" s="31"/>
      <c r="J457" s="31"/>
      <c r="K457" s="31"/>
    </row>
    <row r="458" ht="15.75" customHeight="1">
      <c r="B458" s="31"/>
      <c r="C458" s="31"/>
      <c r="E458" s="31"/>
      <c r="J458" s="31"/>
      <c r="K458" s="31"/>
    </row>
    <row r="459" ht="15.75" customHeight="1">
      <c r="B459" s="31"/>
      <c r="C459" s="31"/>
      <c r="E459" s="31"/>
      <c r="J459" s="31"/>
      <c r="K459" s="31"/>
    </row>
    <row r="460" ht="15.75" customHeight="1">
      <c r="B460" s="31"/>
      <c r="C460" s="31"/>
      <c r="E460" s="31"/>
      <c r="J460" s="31"/>
      <c r="K460" s="31"/>
    </row>
    <row r="461" ht="15.75" customHeight="1">
      <c r="B461" s="31"/>
      <c r="C461" s="31"/>
      <c r="E461" s="31"/>
      <c r="J461" s="31"/>
      <c r="K461" s="31"/>
    </row>
    <row r="462" ht="15.75" customHeight="1">
      <c r="B462" s="31"/>
      <c r="C462" s="31"/>
      <c r="E462" s="31"/>
      <c r="J462" s="31"/>
      <c r="K462" s="31"/>
    </row>
    <row r="463" ht="15.75" customHeight="1">
      <c r="B463" s="31"/>
      <c r="C463" s="31"/>
      <c r="E463" s="31"/>
      <c r="J463" s="31"/>
      <c r="K463" s="31"/>
    </row>
    <row r="464" ht="15.75" customHeight="1">
      <c r="B464" s="31"/>
      <c r="C464" s="31"/>
      <c r="E464" s="31"/>
      <c r="J464" s="31"/>
      <c r="K464" s="31"/>
    </row>
    <row r="465" ht="15.75" customHeight="1">
      <c r="B465" s="31"/>
      <c r="C465" s="31"/>
      <c r="E465" s="31"/>
      <c r="J465" s="31"/>
      <c r="K465" s="31"/>
    </row>
    <row r="466" ht="15.75" customHeight="1">
      <c r="B466" s="31"/>
      <c r="C466" s="31"/>
      <c r="E466" s="31"/>
      <c r="J466" s="31"/>
      <c r="K466" s="31"/>
    </row>
    <row r="467" ht="15.75" customHeight="1">
      <c r="B467" s="31"/>
      <c r="C467" s="31"/>
      <c r="E467" s="31"/>
      <c r="J467" s="31"/>
      <c r="K467" s="31"/>
    </row>
    <row r="468" ht="15.75" customHeight="1">
      <c r="B468" s="31"/>
      <c r="C468" s="31"/>
      <c r="E468" s="31"/>
      <c r="J468" s="31"/>
      <c r="K468" s="31"/>
    </row>
    <row r="469" ht="15.75" customHeight="1">
      <c r="B469" s="31"/>
      <c r="C469" s="31"/>
      <c r="E469" s="31"/>
      <c r="J469" s="31"/>
      <c r="K469" s="31"/>
    </row>
    <row r="470" ht="15.75" customHeight="1">
      <c r="B470" s="31"/>
      <c r="C470" s="31"/>
      <c r="E470" s="31"/>
      <c r="J470" s="31"/>
      <c r="K470" s="31"/>
    </row>
    <row r="471" ht="15.75" customHeight="1">
      <c r="B471" s="31"/>
      <c r="C471" s="31"/>
      <c r="E471" s="31"/>
      <c r="J471" s="31"/>
      <c r="K471" s="31"/>
    </row>
    <row r="472" ht="15.75" customHeight="1">
      <c r="B472" s="31"/>
      <c r="C472" s="31"/>
      <c r="E472" s="31"/>
      <c r="J472" s="31"/>
      <c r="K472" s="31"/>
    </row>
    <row r="473" ht="15.75" customHeight="1">
      <c r="B473" s="31"/>
      <c r="C473" s="31"/>
      <c r="E473" s="31"/>
      <c r="J473" s="31"/>
      <c r="K473" s="31"/>
    </row>
    <row r="474" ht="15.75" customHeight="1">
      <c r="B474" s="31"/>
      <c r="C474" s="31"/>
      <c r="E474" s="31"/>
      <c r="J474" s="31"/>
      <c r="K474" s="31"/>
    </row>
    <row r="475" ht="15.75" customHeight="1">
      <c r="B475" s="31"/>
      <c r="C475" s="31"/>
      <c r="E475" s="31"/>
      <c r="J475" s="31"/>
      <c r="K475" s="31"/>
    </row>
    <row r="476" ht="15.75" customHeight="1">
      <c r="B476" s="31"/>
      <c r="C476" s="31"/>
      <c r="E476" s="31"/>
      <c r="J476" s="31"/>
      <c r="K476" s="31"/>
    </row>
    <row r="477" ht="15.75" customHeight="1">
      <c r="B477" s="31"/>
      <c r="C477" s="31"/>
      <c r="E477" s="31"/>
      <c r="J477" s="31"/>
      <c r="K477" s="31"/>
    </row>
    <row r="478" ht="15.75" customHeight="1">
      <c r="B478" s="31"/>
      <c r="C478" s="31"/>
      <c r="E478" s="31"/>
      <c r="J478" s="31"/>
      <c r="K478" s="31"/>
    </row>
    <row r="479" ht="15.75" customHeight="1">
      <c r="B479" s="31"/>
      <c r="C479" s="31"/>
      <c r="E479" s="31"/>
      <c r="J479" s="31"/>
      <c r="K479" s="31"/>
    </row>
    <row r="480" ht="15.75" customHeight="1">
      <c r="B480" s="31"/>
      <c r="C480" s="31"/>
      <c r="E480" s="31"/>
      <c r="J480" s="31"/>
      <c r="K480" s="31"/>
    </row>
    <row r="481" ht="15.75" customHeight="1">
      <c r="B481" s="31"/>
      <c r="C481" s="31"/>
      <c r="E481" s="31"/>
      <c r="J481" s="31"/>
      <c r="K481" s="31"/>
    </row>
    <row r="482" ht="15.75" customHeight="1">
      <c r="B482" s="31"/>
      <c r="C482" s="31"/>
      <c r="E482" s="31"/>
      <c r="J482" s="31"/>
      <c r="K482" s="31"/>
    </row>
    <row r="483" ht="15.75" customHeight="1">
      <c r="B483" s="31"/>
      <c r="C483" s="31"/>
      <c r="E483" s="31"/>
      <c r="J483" s="31"/>
      <c r="K483" s="31"/>
    </row>
    <row r="484" ht="15.75" customHeight="1">
      <c r="B484" s="31"/>
      <c r="C484" s="31"/>
      <c r="E484" s="31"/>
      <c r="J484" s="31"/>
      <c r="K484" s="31"/>
    </row>
    <row r="485" ht="15.75" customHeight="1">
      <c r="B485" s="31"/>
      <c r="C485" s="31"/>
      <c r="E485" s="31"/>
      <c r="J485" s="31"/>
      <c r="K485" s="31"/>
    </row>
    <row r="486" ht="15.75" customHeight="1">
      <c r="B486" s="31"/>
      <c r="C486" s="31"/>
      <c r="E486" s="31"/>
      <c r="J486" s="31"/>
      <c r="K486" s="31"/>
    </row>
    <row r="487" ht="15.75" customHeight="1">
      <c r="B487" s="31"/>
      <c r="C487" s="31"/>
      <c r="E487" s="31"/>
      <c r="J487" s="31"/>
      <c r="K487" s="31"/>
    </row>
    <row r="488" ht="15.75" customHeight="1">
      <c r="B488" s="31"/>
      <c r="C488" s="31"/>
      <c r="E488" s="31"/>
      <c r="J488" s="31"/>
      <c r="K488" s="31"/>
    </row>
    <row r="489" ht="15.75" customHeight="1">
      <c r="B489" s="31"/>
      <c r="C489" s="31"/>
      <c r="E489" s="31"/>
      <c r="J489" s="31"/>
      <c r="K489" s="31"/>
    </row>
    <row r="490" ht="15.75" customHeight="1">
      <c r="B490" s="31"/>
      <c r="C490" s="31"/>
      <c r="E490" s="31"/>
      <c r="J490" s="31"/>
      <c r="K490" s="31"/>
    </row>
    <row r="491" ht="15.75" customHeight="1">
      <c r="B491" s="31"/>
      <c r="C491" s="31"/>
      <c r="E491" s="31"/>
      <c r="J491" s="31"/>
      <c r="K491" s="31"/>
    </row>
    <row r="492" ht="15.75" customHeight="1">
      <c r="B492" s="31"/>
      <c r="C492" s="31"/>
      <c r="E492" s="31"/>
      <c r="J492" s="31"/>
      <c r="K492" s="31"/>
    </row>
    <row r="493" ht="15.75" customHeight="1">
      <c r="B493" s="31"/>
      <c r="C493" s="31"/>
      <c r="E493" s="31"/>
      <c r="J493" s="31"/>
      <c r="K493" s="31"/>
    </row>
    <row r="494" ht="15.75" customHeight="1">
      <c r="B494" s="31"/>
      <c r="C494" s="31"/>
      <c r="E494" s="31"/>
      <c r="J494" s="31"/>
      <c r="K494" s="31"/>
    </row>
    <row r="495" ht="15.75" customHeight="1">
      <c r="B495" s="31"/>
      <c r="C495" s="31"/>
      <c r="E495" s="31"/>
      <c r="J495" s="31"/>
      <c r="K495" s="31"/>
    </row>
    <row r="496" ht="15.75" customHeight="1">
      <c r="B496" s="31"/>
      <c r="C496" s="31"/>
      <c r="E496" s="31"/>
      <c r="J496" s="31"/>
      <c r="K496" s="31"/>
    </row>
    <row r="497" ht="15.75" customHeight="1">
      <c r="B497" s="31"/>
      <c r="C497" s="31"/>
      <c r="E497" s="31"/>
      <c r="J497" s="31"/>
      <c r="K497" s="31"/>
    </row>
    <row r="498" ht="15.75" customHeight="1">
      <c r="B498" s="31"/>
      <c r="C498" s="31"/>
      <c r="E498" s="31"/>
      <c r="J498" s="31"/>
      <c r="K498" s="31"/>
    </row>
    <row r="499" ht="15.75" customHeight="1">
      <c r="B499" s="31"/>
      <c r="C499" s="31"/>
      <c r="E499" s="31"/>
      <c r="J499" s="31"/>
      <c r="K499" s="31"/>
    </row>
    <row r="500" ht="15.75" customHeight="1">
      <c r="B500" s="31"/>
      <c r="C500" s="31"/>
      <c r="E500" s="31"/>
      <c r="J500" s="31"/>
      <c r="K500" s="31"/>
    </row>
    <row r="501" ht="15.75" customHeight="1">
      <c r="B501" s="31"/>
      <c r="C501" s="31"/>
      <c r="E501" s="31"/>
      <c r="J501" s="31"/>
      <c r="K501" s="31"/>
    </row>
    <row r="502" ht="15.75" customHeight="1">
      <c r="B502" s="31"/>
      <c r="C502" s="31"/>
      <c r="E502" s="31"/>
      <c r="J502" s="31"/>
      <c r="K502" s="31"/>
    </row>
    <row r="503" ht="15.75" customHeight="1">
      <c r="B503" s="31"/>
      <c r="C503" s="31"/>
      <c r="E503" s="31"/>
      <c r="J503" s="31"/>
      <c r="K503" s="31"/>
    </row>
    <row r="504" ht="15.75" customHeight="1">
      <c r="B504" s="31"/>
      <c r="C504" s="31"/>
      <c r="E504" s="31"/>
      <c r="J504" s="31"/>
      <c r="K504" s="31"/>
    </row>
    <row r="505" ht="15.75" customHeight="1">
      <c r="B505" s="31"/>
      <c r="C505" s="31"/>
      <c r="E505" s="31"/>
      <c r="J505" s="31"/>
      <c r="K505" s="31"/>
    </row>
    <row r="506" ht="15.75" customHeight="1">
      <c r="B506" s="31"/>
      <c r="C506" s="31"/>
      <c r="E506" s="31"/>
      <c r="J506" s="31"/>
      <c r="K506" s="31"/>
    </row>
    <row r="507" ht="15.75" customHeight="1">
      <c r="B507" s="31"/>
      <c r="C507" s="31"/>
      <c r="E507" s="31"/>
      <c r="J507" s="31"/>
      <c r="K507" s="31"/>
    </row>
    <row r="508" ht="15.75" customHeight="1">
      <c r="B508" s="31"/>
      <c r="C508" s="31"/>
      <c r="E508" s="31"/>
      <c r="J508" s="31"/>
      <c r="K508" s="31"/>
    </row>
    <row r="509" ht="15.75" customHeight="1">
      <c r="B509" s="31"/>
      <c r="C509" s="31"/>
      <c r="E509" s="31"/>
      <c r="J509" s="31"/>
      <c r="K509" s="31"/>
    </row>
    <row r="510" ht="15.75" customHeight="1">
      <c r="B510" s="31"/>
      <c r="C510" s="31"/>
      <c r="E510" s="31"/>
      <c r="J510" s="31"/>
      <c r="K510" s="31"/>
    </row>
    <row r="511" ht="15.75" customHeight="1">
      <c r="B511" s="31"/>
      <c r="C511" s="31"/>
      <c r="E511" s="31"/>
      <c r="J511" s="31"/>
      <c r="K511" s="31"/>
    </row>
    <row r="512" ht="15.75" customHeight="1">
      <c r="B512" s="31"/>
      <c r="C512" s="31"/>
      <c r="E512" s="31"/>
      <c r="J512" s="31"/>
      <c r="K512" s="31"/>
    </row>
    <row r="513" ht="15.75" customHeight="1">
      <c r="B513" s="31"/>
      <c r="C513" s="31"/>
      <c r="E513" s="31"/>
      <c r="J513" s="31"/>
      <c r="K513" s="31"/>
    </row>
    <row r="514" ht="15.75" customHeight="1">
      <c r="B514" s="31"/>
      <c r="C514" s="31"/>
      <c r="E514" s="31"/>
      <c r="J514" s="31"/>
      <c r="K514" s="31"/>
    </row>
    <row r="515" ht="15.75" customHeight="1">
      <c r="B515" s="31"/>
      <c r="C515" s="31"/>
      <c r="E515" s="31"/>
      <c r="J515" s="31"/>
      <c r="K515" s="31"/>
    </row>
    <row r="516" ht="15.75" customHeight="1">
      <c r="B516" s="31"/>
      <c r="C516" s="31"/>
      <c r="E516" s="31"/>
      <c r="J516" s="31"/>
      <c r="K516" s="31"/>
    </row>
    <row r="517" ht="15.75" customHeight="1">
      <c r="B517" s="31"/>
      <c r="C517" s="31"/>
      <c r="E517" s="31"/>
      <c r="J517" s="31"/>
      <c r="K517" s="31"/>
    </row>
    <row r="518" ht="15.75" customHeight="1">
      <c r="B518" s="31"/>
      <c r="C518" s="31"/>
      <c r="E518" s="31"/>
      <c r="J518" s="31"/>
      <c r="K518" s="31"/>
    </row>
    <row r="519" ht="15.75" customHeight="1">
      <c r="B519" s="31"/>
      <c r="C519" s="31"/>
      <c r="E519" s="31"/>
      <c r="J519" s="31"/>
      <c r="K519" s="31"/>
    </row>
    <row r="520" ht="15.75" customHeight="1">
      <c r="B520" s="31"/>
      <c r="C520" s="31"/>
      <c r="E520" s="31"/>
      <c r="J520" s="31"/>
      <c r="K520" s="31"/>
    </row>
    <row r="521" ht="15.75" customHeight="1">
      <c r="B521" s="31"/>
      <c r="C521" s="31"/>
      <c r="E521" s="31"/>
      <c r="J521" s="31"/>
      <c r="K521" s="31"/>
    </row>
    <row r="522" ht="15.75" customHeight="1">
      <c r="B522" s="31"/>
      <c r="C522" s="31"/>
      <c r="E522" s="31"/>
      <c r="J522" s="31"/>
      <c r="K522" s="31"/>
    </row>
    <row r="523" ht="15.75" customHeight="1">
      <c r="B523" s="31"/>
      <c r="C523" s="31"/>
      <c r="E523" s="31"/>
      <c r="J523" s="31"/>
      <c r="K523" s="31"/>
    </row>
    <row r="524" ht="15.75" customHeight="1">
      <c r="B524" s="31"/>
      <c r="C524" s="31"/>
      <c r="E524" s="31"/>
      <c r="J524" s="31"/>
      <c r="K524" s="31"/>
    </row>
    <row r="525" ht="15.75" customHeight="1">
      <c r="B525" s="31"/>
      <c r="C525" s="31"/>
      <c r="E525" s="31"/>
      <c r="J525" s="31"/>
      <c r="K525" s="31"/>
    </row>
    <row r="526" ht="15.75" customHeight="1">
      <c r="B526" s="31"/>
      <c r="C526" s="31"/>
      <c r="E526" s="31"/>
      <c r="J526" s="31"/>
      <c r="K526" s="31"/>
    </row>
    <row r="527" ht="15.75" customHeight="1">
      <c r="B527" s="31"/>
      <c r="C527" s="31"/>
      <c r="E527" s="31"/>
      <c r="J527" s="31"/>
      <c r="K527" s="31"/>
    </row>
    <row r="528" ht="15.75" customHeight="1">
      <c r="B528" s="31"/>
      <c r="C528" s="31"/>
      <c r="E528" s="31"/>
      <c r="J528" s="31"/>
      <c r="K528" s="31"/>
    </row>
    <row r="529" ht="15.75" customHeight="1">
      <c r="B529" s="31"/>
      <c r="C529" s="31"/>
      <c r="E529" s="31"/>
      <c r="J529" s="31"/>
      <c r="K529" s="31"/>
    </row>
    <row r="530" ht="15.75" customHeight="1">
      <c r="B530" s="31"/>
      <c r="C530" s="31"/>
      <c r="E530" s="31"/>
      <c r="J530" s="31"/>
      <c r="K530" s="31"/>
    </row>
    <row r="531" ht="15.75" customHeight="1">
      <c r="B531" s="31"/>
      <c r="C531" s="31"/>
      <c r="E531" s="31"/>
      <c r="J531" s="31"/>
      <c r="K531" s="31"/>
    </row>
    <row r="532" ht="15.75" customHeight="1">
      <c r="B532" s="31"/>
      <c r="C532" s="31"/>
      <c r="E532" s="31"/>
      <c r="J532" s="31"/>
      <c r="K532" s="31"/>
    </row>
    <row r="533" ht="15.75" customHeight="1">
      <c r="B533" s="31"/>
      <c r="C533" s="31"/>
      <c r="E533" s="31"/>
      <c r="J533" s="31"/>
      <c r="K533" s="31"/>
    </row>
    <row r="534" ht="15.75" customHeight="1">
      <c r="B534" s="31"/>
      <c r="C534" s="31"/>
      <c r="E534" s="31"/>
      <c r="J534" s="31"/>
      <c r="K534" s="31"/>
    </row>
    <row r="535" ht="15.75" customHeight="1">
      <c r="B535" s="31"/>
      <c r="C535" s="31"/>
      <c r="E535" s="31"/>
      <c r="J535" s="31"/>
      <c r="K535" s="31"/>
    </row>
    <row r="536" ht="15.75" customHeight="1">
      <c r="B536" s="31"/>
      <c r="C536" s="31"/>
      <c r="E536" s="31"/>
      <c r="J536" s="31"/>
      <c r="K536" s="31"/>
    </row>
    <row r="537" ht="15.75" customHeight="1">
      <c r="B537" s="31"/>
      <c r="C537" s="31"/>
      <c r="E537" s="31"/>
      <c r="J537" s="31"/>
      <c r="K537" s="31"/>
    </row>
    <row r="538" ht="15.75" customHeight="1">
      <c r="B538" s="31"/>
      <c r="C538" s="31"/>
      <c r="E538" s="31"/>
      <c r="J538" s="31"/>
      <c r="K538" s="31"/>
    </row>
    <row r="539" ht="15.75" customHeight="1">
      <c r="B539" s="31"/>
      <c r="C539" s="31"/>
      <c r="E539" s="31"/>
      <c r="J539" s="31"/>
      <c r="K539" s="31"/>
    </row>
    <row r="540" ht="15.75" customHeight="1">
      <c r="B540" s="31"/>
      <c r="C540" s="31"/>
      <c r="E540" s="31"/>
      <c r="J540" s="31"/>
      <c r="K540" s="31"/>
    </row>
    <row r="541" ht="15.75" customHeight="1">
      <c r="B541" s="31"/>
      <c r="C541" s="31"/>
      <c r="E541" s="31"/>
      <c r="J541" s="31"/>
      <c r="K541" s="31"/>
    </row>
    <row r="542" ht="15.75" customHeight="1">
      <c r="B542" s="31"/>
      <c r="C542" s="31"/>
      <c r="E542" s="31"/>
      <c r="J542" s="31"/>
      <c r="K542" s="31"/>
    </row>
    <row r="543" ht="15.75" customHeight="1">
      <c r="B543" s="31"/>
      <c r="C543" s="31"/>
      <c r="E543" s="31"/>
      <c r="J543" s="31"/>
      <c r="K543" s="31"/>
    </row>
    <row r="544" ht="15.75" customHeight="1">
      <c r="B544" s="31"/>
      <c r="C544" s="31"/>
      <c r="E544" s="31"/>
      <c r="J544" s="31"/>
      <c r="K544" s="31"/>
    </row>
    <row r="545" ht="15.75" customHeight="1">
      <c r="B545" s="31"/>
      <c r="C545" s="31"/>
      <c r="E545" s="31"/>
      <c r="J545" s="31"/>
      <c r="K545" s="31"/>
    </row>
    <row r="546" ht="15.75" customHeight="1">
      <c r="B546" s="31"/>
      <c r="C546" s="31"/>
      <c r="E546" s="31"/>
      <c r="J546" s="31"/>
      <c r="K546" s="31"/>
    </row>
    <row r="547" ht="15.75" customHeight="1">
      <c r="B547" s="31"/>
      <c r="C547" s="31"/>
      <c r="E547" s="31"/>
      <c r="J547" s="31"/>
      <c r="K547" s="31"/>
    </row>
    <row r="548" ht="15.75" customHeight="1">
      <c r="B548" s="31"/>
      <c r="C548" s="31"/>
      <c r="E548" s="31"/>
      <c r="J548" s="31"/>
      <c r="K548" s="31"/>
    </row>
    <row r="549" ht="15.75" customHeight="1">
      <c r="B549" s="31"/>
      <c r="C549" s="31"/>
      <c r="E549" s="31"/>
      <c r="J549" s="31"/>
      <c r="K549" s="31"/>
    </row>
    <row r="550" ht="15.75" customHeight="1">
      <c r="B550" s="31"/>
      <c r="C550" s="31"/>
      <c r="E550" s="31"/>
      <c r="J550" s="31"/>
      <c r="K550" s="31"/>
    </row>
    <row r="551" ht="15.75" customHeight="1">
      <c r="B551" s="31"/>
      <c r="C551" s="31"/>
      <c r="E551" s="31"/>
      <c r="J551" s="31"/>
      <c r="K551" s="31"/>
    </row>
    <row r="552" ht="15.75" customHeight="1">
      <c r="B552" s="31"/>
      <c r="C552" s="31"/>
      <c r="E552" s="31"/>
      <c r="J552" s="31"/>
      <c r="K552" s="31"/>
    </row>
    <row r="553" ht="15.75" customHeight="1">
      <c r="B553" s="31"/>
      <c r="C553" s="31"/>
      <c r="E553" s="31"/>
      <c r="J553" s="31"/>
      <c r="K553" s="31"/>
    </row>
    <row r="554" ht="15.75" customHeight="1">
      <c r="B554" s="31"/>
      <c r="C554" s="31"/>
      <c r="E554" s="31"/>
      <c r="J554" s="31"/>
      <c r="K554" s="31"/>
    </row>
    <row r="555" ht="15.75" customHeight="1">
      <c r="B555" s="31"/>
      <c r="C555" s="31"/>
      <c r="E555" s="31"/>
      <c r="J555" s="31"/>
      <c r="K555" s="31"/>
    </row>
    <row r="556" ht="15.75" customHeight="1">
      <c r="B556" s="31"/>
      <c r="C556" s="31"/>
      <c r="E556" s="31"/>
      <c r="J556" s="31"/>
      <c r="K556" s="31"/>
    </row>
    <row r="557" ht="15.75" customHeight="1">
      <c r="B557" s="31"/>
      <c r="C557" s="31"/>
      <c r="E557" s="31"/>
      <c r="J557" s="31"/>
      <c r="K557" s="31"/>
    </row>
    <row r="558" ht="15.75" customHeight="1">
      <c r="B558" s="31"/>
      <c r="C558" s="31"/>
      <c r="E558" s="31"/>
      <c r="J558" s="31"/>
      <c r="K558" s="31"/>
    </row>
    <row r="559" ht="15.75" customHeight="1">
      <c r="B559" s="31"/>
      <c r="C559" s="31"/>
      <c r="E559" s="31"/>
      <c r="J559" s="31"/>
      <c r="K559" s="31"/>
    </row>
    <row r="560" ht="15.75" customHeight="1">
      <c r="B560" s="31"/>
      <c r="C560" s="31"/>
      <c r="E560" s="31"/>
      <c r="J560" s="31"/>
      <c r="K560" s="31"/>
    </row>
    <row r="561" ht="15.75" customHeight="1">
      <c r="B561" s="31"/>
      <c r="C561" s="31"/>
      <c r="E561" s="31"/>
      <c r="J561" s="31"/>
      <c r="K561" s="31"/>
    </row>
    <row r="562" ht="15.75" customHeight="1">
      <c r="B562" s="31"/>
      <c r="C562" s="31"/>
      <c r="E562" s="31"/>
      <c r="J562" s="31"/>
      <c r="K562" s="31"/>
    </row>
    <row r="563" ht="15.75" customHeight="1">
      <c r="B563" s="31"/>
      <c r="C563" s="31"/>
      <c r="E563" s="31"/>
      <c r="J563" s="31"/>
      <c r="K563" s="31"/>
    </row>
    <row r="564" ht="15.75" customHeight="1">
      <c r="B564" s="31"/>
      <c r="C564" s="31"/>
      <c r="E564" s="31"/>
      <c r="J564" s="31"/>
      <c r="K564" s="31"/>
    </row>
    <row r="565" ht="15.75" customHeight="1">
      <c r="B565" s="31"/>
      <c r="C565" s="31"/>
      <c r="E565" s="31"/>
      <c r="J565" s="31"/>
      <c r="K565" s="31"/>
    </row>
    <row r="566" ht="15.75" customHeight="1">
      <c r="B566" s="31"/>
      <c r="C566" s="31"/>
      <c r="E566" s="31"/>
      <c r="J566" s="31"/>
      <c r="K566" s="31"/>
    </row>
    <row r="567" ht="15.75" customHeight="1">
      <c r="B567" s="31"/>
      <c r="C567" s="31"/>
      <c r="E567" s="31"/>
      <c r="J567" s="31"/>
      <c r="K567" s="31"/>
    </row>
    <row r="568" ht="15.75" customHeight="1">
      <c r="B568" s="31"/>
      <c r="C568" s="31"/>
      <c r="E568" s="31"/>
      <c r="J568" s="31"/>
      <c r="K568" s="31"/>
    </row>
    <row r="569" ht="15.75" customHeight="1">
      <c r="B569" s="31"/>
      <c r="C569" s="31"/>
      <c r="E569" s="31"/>
      <c r="J569" s="31"/>
      <c r="K569" s="31"/>
    </row>
    <row r="570" ht="15.75" customHeight="1">
      <c r="B570" s="31"/>
      <c r="C570" s="31"/>
      <c r="E570" s="31"/>
      <c r="J570" s="31"/>
      <c r="K570" s="31"/>
    </row>
    <row r="571" ht="15.75" customHeight="1">
      <c r="B571" s="31"/>
      <c r="C571" s="31"/>
      <c r="E571" s="31"/>
      <c r="J571" s="31"/>
      <c r="K571" s="31"/>
    </row>
    <row r="572" ht="15.75" customHeight="1">
      <c r="B572" s="31"/>
      <c r="C572" s="31"/>
      <c r="E572" s="31"/>
      <c r="J572" s="31"/>
      <c r="K572" s="31"/>
    </row>
    <row r="573" ht="15.75" customHeight="1">
      <c r="B573" s="31"/>
      <c r="C573" s="31"/>
      <c r="E573" s="31"/>
      <c r="J573" s="31"/>
      <c r="K573" s="31"/>
    </row>
    <row r="574" ht="15.75" customHeight="1">
      <c r="B574" s="31"/>
      <c r="C574" s="31"/>
      <c r="E574" s="31"/>
      <c r="J574" s="31"/>
      <c r="K574" s="31"/>
    </row>
    <row r="575" ht="15.75" customHeight="1">
      <c r="B575" s="31"/>
      <c r="C575" s="31"/>
      <c r="E575" s="31"/>
      <c r="J575" s="31"/>
      <c r="K575" s="31"/>
    </row>
    <row r="576" ht="15.75" customHeight="1">
      <c r="B576" s="31"/>
      <c r="C576" s="31"/>
      <c r="E576" s="31"/>
      <c r="J576" s="31"/>
      <c r="K576" s="31"/>
    </row>
    <row r="577" ht="15.75" customHeight="1">
      <c r="B577" s="31"/>
      <c r="C577" s="31"/>
      <c r="E577" s="31"/>
      <c r="J577" s="31"/>
      <c r="K577" s="31"/>
    </row>
    <row r="578" ht="15.75" customHeight="1">
      <c r="B578" s="31"/>
      <c r="C578" s="31"/>
      <c r="E578" s="31"/>
      <c r="J578" s="31"/>
      <c r="K578" s="31"/>
    </row>
    <row r="579" ht="15.75" customHeight="1">
      <c r="B579" s="31"/>
      <c r="C579" s="31"/>
      <c r="E579" s="31"/>
      <c r="J579" s="31"/>
      <c r="K579" s="31"/>
    </row>
    <row r="580" ht="15.75" customHeight="1">
      <c r="B580" s="31"/>
      <c r="C580" s="31"/>
      <c r="E580" s="31"/>
      <c r="J580" s="31"/>
      <c r="K580" s="31"/>
    </row>
    <row r="581" ht="15.75" customHeight="1">
      <c r="B581" s="31"/>
      <c r="C581" s="31"/>
      <c r="E581" s="31"/>
      <c r="J581" s="31"/>
      <c r="K581" s="31"/>
    </row>
    <row r="582" ht="15.75" customHeight="1">
      <c r="B582" s="31"/>
      <c r="C582" s="31"/>
      <c r="E582" s="31"/>
      <c r="J582" s="31"/>
      <c r="K582" s="31"/>
    </row>
    <row r="583" ht="15.75" customHeight="1">
      <c r="B583" s="31"/>
      <c r="C583" s="31"/>
      <c r="E583" s="31"/>
      <c r="J583" s="31"/>
      <c r="K583" s="31"/>
    </row>
    <row r="584" ht="15.75" customHeight="1">
      <c r="B584" s="31"/>
      <c r="C584" s="31"/>
      <c r="E584" s="31"/>
      <c r="J584" s="31"/>
      <c r="K584" s="31"/>
    </row>
    <row r="585" ht="15.75" customHeight="1">
      <c r="B585" s="31"/>
      <c r="C585" s="31"/>
      <c r="E585" s="31"/>
      <c r="J585" s="31"/>
      <c r="K585" s="31"/>
    </row>
    <row r="586" ht="15.75" customHeight="1">
      <c r="B586" s="31"/>
      <c r="C586" s="31"/>
      <c r="E586" s="31"/>
      <c r="J586" s="31"/>
      <c r="K586" s="31"/>
    </row>
    <row r="587" ht="15.75" customHeight="1">
      <c r="B587" s="31"/>
      <c r="C587" s="31"/>
      <c r="E587" s="31"/>
      <c r="J587" s="31"/>
      <c r="K587" s="31"/>
    </row>
    <row r="588" ht="15.75" customHeight="1">
      <c r="B588" s="31"/>
      <c r="C588" s="31"/>
      <c r="E588" s="31"/>
      <c r="J588" s="31"/>
      <c r="K588" s="31"/>
    </row>
    <row r="589" ht="15.75" customHeight="1">
      <c r="B589" s="31"/>
      <c r="C589" s="31"/>
      <c r="E589" s="31"/>
      <c r="J589" s="31"/>
      <c r="K589" s="31"/>
    </row>
    <row r="590" ht="15.75" customHeight="1">
      <c r="B590" s="31"/>
      <c r="C590" s="31"/>
      <c r="E590" s="31"/>
      <c r="J590" s="31"/>
      <c r="K590" s="31"/>
    </row>
    <row r="591" ht="15.75" customHeight="1">
      <c r="B591" s="31"/>
      <c r="C591" s="31"/>
      <c r="E591" s="31"/>
      <c r="J591" s="31"/>
      <c r="K591" s="31"/>
    </row>
    <row r="592" ht="15.75" customHeight="1">
      <c r="B592" s="31"/>
      <c r="C592" s="31"/>
      <c r="E592" s="31"/>
      <c r="J592" s="31"/>
      <c r="K592" s="31"/>
    </row>
    <row r="593" ht="15.75" customHeight="1">
      <c r="B593" s="31"/>
      <c r="C593" s="31"/>
      <c r="E593" s="31"/>
      <c r="J593" s="31"/>
      <c r="K593" s="31"/>
    </row>
    <row r="594" ht="15.75" customHeight="1">
      <c r="B594" s="31"/>
      <c r="C594" s="31"/>
      <c r="E594" s="31"/>
      <c r="J594" s="31"/>
      <c r="K594" s="31"/>
    </row>
    <row r="595" ht="15.75" customHeight="1">
      <c r="B595" s="31"/>
      <c r="C595" s="31"/>
      <c r="E595" s="31"/>
      <c r="J595" s="31"/>
      <c r="K595" s="31"/>
    </row>
    <row r="596" ht="15.75" customHeight="1">
      <c r="B596" s="31"/>
      <c r="C596" s="31"/>
      <c r="E596" s="31"/>
      <c r="J596" s="31"/>
      <c r="K596" s="31"/>
    </row>
    <row r="597" ht="15.75" customHeight="1">
      <c r="B597" s="31"/>
      <c r="C597" s="31"/>
      <c r="E597" s="31"/>
      <c r="J597" s="31"/>
      <c r="K597" s="31"/>
    </row>
    <row r="598" ht="15.75" customHeight="1">
      <c r="B598" s="31"/>
      <c r="C598" s="31"/>
      <c r="E598" s="31"/>
      <c r="J598" s="31"/>
      <c r="K598" s="31"/>
    </row>
    <row r="599" ht="15.75" customHeight="1">
      <c r="B599" s="31"/>
      <c r="C599" s="31"/>
      <c r="E599" s="31"/>
      <c r="J599" s="31"/>
      <c r="K599" s="31"/>
    </row>
    <row r="600" ht="15.75" customHeight="1">
      <c r="B600" s="31"/>
      <c r="C600" s="31"/>
      <c r="E600" s="31"/>
      <c r="J600" s="31"/>
      <c r="K600" s="31"/>
    </row>
    <row r="601" ht="15.75" customHeight="1">
      <c r="B601" s="31"/>
      <c r="C601" s="31"/>
      <c r="E601" s="31"/>
      <c r="J601" s="31"/>
      <c r="K601" s="31"/>
    </row>
    <row r="602" ht="15.75" customHeight="1">
      <c r="B602" s="31"/>
      <c r="C602" s="31"/>
      <c r="E602" s="31"/>
      <c r="J602" s="31"/>
      <c r="K602" s="31"/>
    </row>
    <row r="603" ht="15.75" customHeight="1">
      <c r="B603" s="31"/>
      <c r="C603" s="31"/>
      <c r="E603" s="31"/>
      <c r="J603" s="31"/>
      <c r="K603" s="31"/>
    </row>
    <row r="604" ht="15.75" customHeight="1">
      <c r="B604" s="31"/>
      <c r="C604" s="31"/>
      <c r="E604" s="31"/>
      <c r="J604" s="31"/>
      <c r="K604" s="31"/>
    </row>
    <row r="605" ht="15.75" customHeight="1">
      <c r="B605" s="31"/>
      <c r="C605" s="31"/>
      <c r="E605" s="31"/>
      <c r="J605" s="31"/>
      <c r="K605" s="31"/>
    </row>
    <row r="606" ht="15.75" customHeight="1">
      <c r="B606" s="31"/>
      <c r="C606" s="31"/>
      <c r="E606" s="31"/>
      <c r="J606" s="31"/>
      <c r="K606" s="31"/>
    </row>
    <row r="607" ht="15.75" customHeight="1">
      <c r="B607" s="31"/>
      <c r="C607" s="31"/>
      <c r="E607" s="31"/>
      <c r="J607" s="31"/>
      <c r="K607" s="31"/>
    </row>
    <row r="608" ht="15.75" customHeight="1">
      <c r="B608" s="31"/>
      <c r="C608" s="31"/>
      <c r="E608" s="31"/>
      <c r="J608" s="31"/>
      <c r="K608" s="31"/>
    </row>
    <row r="609" ht="15.75" customHeight="1">
      <c r="B609" s="31"/>
      <c r="C609" s="31"/>
      <c r="E609" s="31"/>
      <c r="J609" s="31"/>
      <c r="K609" s="31"/>
    </row>
    <row r="610" ht="15.75" customHeight="1">
      <c r="B610" s="31"/>
      <c r="C610" s="31"/>
      <c r="E610" s="31"/>
      <c r="J610" s="31"/>
      <c r="K610" s="31"/>
    </row>
    <row r="611" ht="15.75" customHeight="1">
      <c r="B611" s="31"/>
      <c r="C611" s="31"/>
      <c r="E611" s="31"/>
      <c r="J611" s="31"/>
      <c r="K611" s="31"/>
    </row>
    <row r="612" ht="15.75" customHeight="1">
      <c r="B612" s="31"/>
      <c r="C612" s="31"/>
      <c r="E612" s="31"/>
      <c r="J612" s="31"/>
      <c r="K612" s="31"/>
    </row>
    <row r="613" ht="15.75" customHeight="1">
      <c r="B613" s="31"/>
      <c r="C613" s="31"/>
      <c r="E613" s="31"/>
      <c r="J613" s="31"/>
      <c r="K613" s="31"/>
    </row>
    <row r="614" ht="15.75" customHeight="1">
      <c r="B614" s="31"/>
      <c r="C614" s="31"/>
      <c r="E614" s="31"/>
      <c r="J614" s="31"/>
      <c r="K614" s="31"/>
    </row>
    <row r="615" ht="15.75" customHeight="1">
      <c r="B615" s="31"/>
      <c r="C615" s="31"/>
      <c r="E615" s="31"/>
      <c r="J615" s="31"/>
      <c r="K615" s="31"/>
    </row>
    <row r="616" ht="15.75" customHeight="1">
      <c r="B616" s="31"/>
      <c r="C616" s="31"/>
      <c r="E616" s="31"/>
      <c r="J616" s="31"/>
      <c r="K616" s="31"/>
    </row>
    <row r="617" ht="15.75" customHeight="1">
      <c r="B617" s="31"/>
      <c r="C617" s="31"/>
      <c r="E617" s="31"/>
      <c r="J617" s="31"/>
      <c r="K617" s="31"/>
    </row>
    <row r="618" ht="15.75" customHeight="1">
      <c r="B618" s="31"/>
      <c r="C618" s="31"/>
      <c r="E618" s="31"/>
      <c r="J618" s="31"/>
      <c r="K618" s="31"/>
    </row>
    <row r="619" ht="15.75" customHeight="1">
      <c r="B619" s="31"/>
      <c r="C619" s="31"/>
      <c r="E619" s="31"/>
      <c r="J619" s="31"/>
      <c r="K619" s="31"/>
    </row>
    <row r="620" ht="15.75" customHeight="1">
      <c r="B620" s="31"/>
      <c r="C620" s="31"/>
      <c r="E620" s="31"/>
      <c r="J620" s="31"/>
      <c r="K620" s="31"/>
    </row>
    <row r="621" ht="15.75" customHeight="1">
      <c r="B621" s="31"/>
      <c r="C621" s="31"/>
      <c r="E621" s="31"/>
      <c r="J621" s="31"/>
      <c r="K621" s="31"/>
    </row>
    <row r="622" ht="15.75" customHeight="1">
      <c r="B622" s="31"/>
      <c r="C622" s="31"/>
      <c r="E622" s="31"/>
      <c r="J622" s="31"/>
      <c r="K622" s="31"/>
    </row>
    <row r="623" ht="15.75" customHeight="1">
      <c r="B623" s="31"/>
      <c r="C623" s="31"/>
      <c r="E623" s="31"/>
      <c r="J623" s="31"/>
      <c r="K623" s="31"/>
    </row>
    <row r="624" ht="15.75" customHeight="1">
      <c r="B624" s="31"/>
      <c r="C624" s="31"/>
      <c r="E624" s="31"/>
      <c r="J624" s="31"/>
      <c r="K624" s="31"/>
    </row>
    <row r="625" ht="15.75" customHeight="1">
      <c r="B625" s="31"/>
      <c r="C625" s="31"/>
      <c r="E625" s="31"/>
      <c r="J625" s="31"/>
      <c r="K625" s="31"/>
    </row>
    <row r="626" ht="15.75" customHeight="1">
      <c r="B626" s="31"/>
      <c r="C626" s="31"/>
      <c r="E626" s="31"/>
      <c r="J626" s="31"/>
      <c r="K626" s="31"/>
    </row>
    <row r="627" ht="15.75" customHeight="1">
      <c r="B627" s="31"/>
      <c r="C627" s="31"/>
      <c r="E627" s="31"/>
      <c r="J627" s="31"/>
      <c r="K627" s="31"/>
    </row>
    <row r="628" ht="15.75" customHeight="1">
      <c r="B628" s="31"/>
      <c r="C628" s="31"/>
      <c r="E628" s="31"/>
      <c r="J628" s="31"/>
      <c r="K628" s="31"/>
    </row>
    <row r="629" ht="15.75" customHeight="1">
      <c r="B629" s="31"/>
      <c r="C629" s="31"/>
      <c r="E629" s="31"/>
      <c r="J629" s="31"/>
      <c r="K629" s="31"/>
    </row>
    <row r="630" ht="15.75" customHeight="1">
      <c r="B630" s="31"/>
      <c r="C630" s="31"/>
      <c r="E630" s="31"/>
      <c r="J630" s="31"/>
      <c r="K630" s="31"/>
    </row>
    <row r="631" ht="15.75" customHeight="1">
      <c r="B631" s="31"/>
      <c r="C631" s="31"/>
      <c r="E631" s="31"/>
      <c r="J631" s="31"/>
      <c r="K631" s="31"/>
    </row>
    <row r="632" ht="15.75" customHeight="1">
      <c r="B632" s="31"/>
      <c r="C632" s="31"/>
      <c r="E632" s="31"/>
      <c r="J632" s="31"/>
      <c r="K632" s="31"/>
    </row>
    <row r="633" ht="15.75" customHeight="1">
      <c r="B633" s="31"/>
      <c r="C633" s="31"/>
      <c r="E633" s="31"/>
      <c r="J633" s="31"/>
      <c r="K633" s="31"/>
    </row>
    <row r="634" ht="15.75" customHeight="1">
      <c r="B634" s="31"/>
      <c r="C634" s="31"/>
      <c r="E634" s="31"/>
      <c r="J634" s="31"/>
      <c r="K634" s="31"/>
    </row>
    <row r="635" ht="15.75" customHeight="1">
      <c r="B635" s="31"/>
      <c r="C635" s="31"/>
      <c r="E635" s="31"/>
      <c r="J635" s="31"/>
      <c r="K635" s="31"/>
    </row>
    <row r="636" ht="15.75" customHeight="1">
      <c r="B636" s="31"/>
      <c r="C636" s="31"/>
      <c r="E636" s="31"/>
      <c r="J636" s="31"/>
      <c r="K636" s="31"/>
    </row>
    <row r="637" ht="15.75" customHeight="1">
      <c r="B637" s="31"/>
      <c r="C637" s="31"/>
      <c r="E637" s="31"/>
      <c r="J637" s="31"/>
      <c r="K637" s="31"/>
    </row>
    <row r="638" ht="15.75" customHeight="1">
      <c r="B638" s="31"/>
      <c r="C638" s="31"/>
      <c r="E638" s="31"/>
      <c r="J638" s="31"/>
      <c r="K638" s="31"/>
    </row>
    <row r="639" ht="15.75" customHeight="1">
      <c r="B639" s="31"/>
      <c r="C639" s="31"/>
      <c r="E639" s="31"/>
      <c r="J639" s="31"/>
      <c r="K639" s="31"/>
    </row>
    <row r="640" ht="15.75" customHeight="1">
      <c r="B640" s="31"/>
      <c r="C640" s="31"/>
      <c r="E640" s="31"/>
      <c r="J640" s="31"/>
      <c r="K640" s="31"/>
    </row>
    <row r="641" ht="15.75" customHeight="1">
      <c r="B641" s="31"/>
      <c r="C641" s="31"/>
      <c r="E641" s="31"/>
      <c r="J641" s="31"/>
      <c r="K641" s="31"/>
    </row>
    <row r="642" ht="15.75" customHeight="1">
      <c r="B642" s="31"/>
      <c r="C642" s="31"/>
      <c r="E642" s="31"/>
      <c r="J642" s="31"/>
      <c r="K642" s="31"/>
    </row>
    <row r="643" ht="15.75" customHeight="1">
      <c r="B643" s="31"/>
      <c r="C643" s="31"/>
      <c r="E643" s="31"/>
      <c r="J643" s="31"/>
      <c r="K643" s="31"/>
    </row>
    <row r="644" ht="15.75" customHeight="1">
      <c r="B644" s="31"/>
      <c r="C644" s="31"/>
      <c r="E644" s="31"/>
      <c r="J644" s="31"/>
      <c r="K644" s="31"/>
    </row>
    <row r="645" ht="15.75" customHeight="1">
      <c r="B645" s="31"/>
      <c r="C645" s="31"/>
      <c r="E645" s="31"/>
      <c r="J645" s="31"/>
      <c r="K645" s="31"/>
    </row>
    <row r="646" ht="15.75" customHeight="1">
      <c r="B646" s="31"/>
      <c r="C646" s="31"/>
      <c r="E646" s="31"/>
      <c r="J646" s="31"/>
      <c r="K646" s="31"/>
    </row>
    <row r="647" ht="15.75" customHeight="1">
      <c r="B647" s="31"/>
      <c r="C647" s="31"/>
      <c r="E647" s="31"/>
      <c r="J647" s="31"/>
      <c r="K647" s="31"/>
    </row>
    <row r="648" ht="15.75" customHeight="1">
      <c r="B648" s="31"/>
      <c r="C648" s="31"/>
      <c r="E648" s="31"/>
      <c r="J648" s="31"/>
      <c r="K648" s="31"/>
    </row>
    <row r="649" ht="15.75" customHeight="1">
      <c r="B649" s="31"/>
      <c r="C649" s="31"/>
      <c r="E649" s="31"/>
      <c r="J649" s="31"/>
      <c r="K649" s="31"/>
    </row>
    <row r="650" ht="15.75" customHeight="1">
      <c r="B650" s="31"/>
      <c r="C650" s="31"/>
      <c r="E650" s="31"/>
      <c r="J650" s="31"/>
      <c r="K650" s="31"/>
    </row>
    <row r="651" ht="15.75" customHeight="1">
      <c r="B651" s="31"/>
      <c r="C651" s="31"/>
      <c r="E651" s="31"/>
      <c r="J651" s="31"/>
      <c r="K651" s="31"/>
    </row>
    <row r="652" ht="15.75" customHeight="1">
      <c r="B652" s="31"/>
      <c r="C652" s="31"/>
      <c r="E652" s="31"/>
      <c r="J652" s="31"/>
      <c r="K652" s="31"/>
    </row>
    <row r="653" ht="15.75" customHeight="1">
      <c r="B653" s="31"/>
      <c r="C653" s="31"/>
      <c r="E653" s="31"/>
      <c r="J653" s="31"/>
      <c r="K653" s="31"/>
    </row>
    <row r="654" ht="15.75" customHeight="1">
      <c r="B654" s="31"/>
      <c r="C654" s="31"/>
      <c r="E654" s="31"/>
      <c r="J654" s="31"/>
      <c r="K654" s="31"/>
    </row>
    <row r="655" ht="15.75" customHeight="1">
      <c r="B655" s="31"/>
      <c r="C655" s="31"/>
      <c r="E655" s="31"/>
      <c r="J655" s="31"/>
      <c r="K655" s="31"/>
    </row>
    <row r="656" ht="15.75" customHeight="1">
      <c r="B656" s="31"/>
      <c r="C656" s="31"/>
      <c r="E656" s="31"/>
      <c r="J656" s="31"/>
      <c r="K656" s="31"/>
    </row>
    <row r="657" ht="15.75" customHeight="1">
      <c r="B657" s="31"/>
      <c r="C657" s="31"/>
      <c r="E657" s="31"/>
      <c r="J657" s="31"/>
      <c r="K657" s="31"/>
    </row>
    <row r="658" ht="15.75" customHeight="1">
      <c r="B658" s="31"/>
      <c r="C658" s="31"/>
      <c r="E658" s="31"/>
      <c r="J658" s="31"/>
      <c r="K658" s="31"/>
    </row>
    <row r="659" ht="15.75" customHeight="1">
      <c r="B659" s="31"/>
      <c r="C659" s="31"/>
      <c r="E659" s="31"/>
      <c r="J659" s="31"/>
      <c r="K659" s="31"/>
    </row>
    <row r="660" ht="15.75" customHeight="1">
      <c r="B660" s="31"/>
      <c r="C660" s="31"/>
      <c r="E660" s="31"/>
      <c r="J660" s="31"/>
      <c r="K660" s="31"/>
    </row>
    <row r="661" ht="15.75" customHeight="1">
      <c r="B661" s="31"/>
      <c r="C661" s="31"/>
      <c r="E661" s="31"/>
      <c r="J661" s="31"/>
      <c r="K661" s="31"/>
    </row>
    <row r="662" ht="15.75" customHeight="1">
      <c r="B662" s="31"/>
      <c r="C662" s="31"/>
      <c r="E662" s="31"/>
      <c r="J662" s="31"/>
      <c r="K662" s="31"/>
    </row>
    <row r="663" ht="15.75" customHeight="1">
      <c r="B663" s="31"/>
      <c r="C663" s="31"/>
      <c r="E663" s="31"/>
      <c r="J663" s="31"/>
      <c r="K663" s="31"/>
    </row>
    <row r="664" ht="15.75" customHeight="1">
      <c r="B664" s="31"/>
      <c r="C664" s="31"/>
      <c r="E664" s="31"/>
      <c r="J664" s="31"/>
      <c r="K664" s="31"/>
    </row>
    <row r="665" ht="15.75" customHeight="1">
      <c r="B665" s="31"/>
      <c r="C665" s="31"/>
      <c r="E665" s="31"/>
      <c r="J665" s="31"/>
      <c r="K665" s="31"/>
    </row>
    <row r="666" ht="15.75" customHeight="1">
      <c r="B666" s="31"/>
      <c r="C666" s="31"/>
      <c r="E666" s="31"/>
      <c r="J666" s="31"/>
      <c r="K666" s="31"/>
    </row>
    <row r="667" ht="15.75" customHeight="1">
      <c r="B667" s="31"/>
      <c r="C667" s="31"/>
      <c r="E667" s="31"/>
      <c r="J667" s="31"/>
      <c r="K667" s="31"/>
    </row>
    <row r="668" ht="15.75" customHeight="1">
      <c r="B668" s="31"/>
      <c r="C668" s="31"/>
      <c r="E668" s="31"/>
      <c r="J668" s="31"/>
      <c r="K668" s="31"/>
    </row>
    <row r="669" ht="15.75" customHeight="1">
      <c r="B669" s="31"/>
      <c r="C669" s="31"/>
      <c r="E669" s="31"/>
      <c r="J669" s="31"/>
      <c r="K669" s="31"/>
    </row>
    <row r="670" ht="15.75" customHeight="1">
      <c r="B670" s="31"/>
      <c r="C670" s="31"/>
      <c r="E670" s="31"/>
      <c r="J670" s="31"/>
      <c r="K670" s="31"/>
    </row>
    <row r="671" ht="15.75" customHeight="1">
      <c r="B671" s="31"/>
      <c r="C671" s="31"/>
      <c r="E671" s="31"/>
      <c r="J671" s="31"/>
      <c r="K671" s="31"/>
    </row>
    <row r="672" ht="15.75" customHeight="1">
      <c r="B672" s="31"/>
      <c r="C672" s="31"/>
      <c r="E672" s="31"/>
      <c r="J672" s="31"/>
      <c r="K672" s="31"/>
    </row>
    <row r="673" ht="15.75" customHeight="1">
      <c r="B673" s="31"/>
      <c r="C673" s="31"/>
      <c r="E673" s="31"/>
      <c r="J673" s="31"/>
      <c r="K673" s="31"/>
    </row>
    <row r="674" ht="15.75" customHeight="1">
      <c r="B674" s="31"/>
      <c r="C674" s="31"/>
      <c r="E674" s="31"/>
      <c r="J674" s="31"/>
      <c r="K674" s="31"/>
    </row>
    <row r="675" ht="15.75" customHeight="1">
      <c r="B675" s="31"/>
      <c r="C675" s="31"/>
      <c r="E675" s="31"/>
      <c r="J675" s="31"/>
      <c r="K675" s="31"/>
    </row>
    <row r="676" ht="15.75" customHeight="1">
      <c r="B676" s="31"/>
      <c r="C676" s="31"/>
      <c r="E676" s="31"/>
      <c r="J676" s="31"/>
      <c r="K676" s="31"/>
    </row>
    <row r="677" ht="15.75" customHeight="1">
      <c r="B677" s="31"/>
      <c r="C677" s="31"/>
      <c r="E677" s="31"/>
      <c r="J677" s="31"/>
      <c r="K677" s="31"/>
    </row>
    <row r="678" ht="15.75" customHeight="1">
      <c r="B678" s="31"/>
      <c r="C678" s="31"/>
      <c r="E678" s="31"/>
      <c r="J678" s="31"/>
      <c r="K678" s="31"/>
    </row>
    <row r="679" ht="15.75" customHeight="1">
      <c r="B679" s="31"/>
      <c r="C679" s="31"/>
      <c r="E679" s="31"/>
      <c r="J679" s="31"/>
      <c r="K679" s="31"/>
    </row>
    <row r="680" ht="15.75" customHeight="1">
      <c r="B680" s="31"/>
      <c r="C680" s="31"/>
      <c r="E680" s="31"/>
      <c r="J680" s="31"/>
      <c r="K680" s="31"/>
    </row>
    <row r="681" ht="15.75" customHeight="1">
      <c r="B681" s="31"/>
      <c r="C681" s="31"/>
      <c r="E681" s="31"/>
      <c r="J681" s="31"/>
      <c r="K681" s="31"/>
    </row>
    <row r="682" ht="15.75" customHeight="1">
      <c r="B682" s="31"/>
      <c r="C682" s="31"/>
      <c r="E682" s="31"/>
      <c r="J682" s="31"/>
      <c r="K682" s="31"/>
    </row>
    <row r="683" ht="15.75" customHeight="1">
      <c r="B683" s="31"/>
      <c r="C683" s="31"/>
      <c r="E683" s="31"/>
      <c r="J683" s="31"/>
      <c r="K683" s="31"/>
    </row>
    <row r="684" ht="15.75" customHeight="1">
      <c r="B684" s="31"/>
      <c r="C684" s="31"/>
      <c r="E684" s="31"/>
      <c r="J684" s="31"/>
      <c r="K684" s="31"/>
    </row>
    <row r="685" ht="15.75" customHeight="1">
      <c r="B685" s="31"/>
      <c r="C685" s="31"/>
      <c r="E685" s="31"/>
      <c r="J685" s="31"/>
      <c r="K685" s="31"/>
    </row>
    <row r="686" ht="15.75" customHeight="1">
      <c r="B686" s="31"/>
      <c r="C686" s="31"/>
      <c r="E686" s="31"/>
      <c r="J686" s="31"/>
      <c r="K686" s="31"/>
    </row>
    <row r="687" ht="15.75" customHeight="1">
      <c r="B687" s="31"/>
      <c r="C687" s="31"/>
      <c r="E687" s="31"/>
      <c r="J687" s="31"/>
      <c r="K687" s="31"/>
    </row>
    <row r="688" ht="15.75" customHeight="1">
      <c r="B688" s="31"/>
      <c r="C688" s="31"/>
      <c r="E688" s="31"/>
      <c r="J688" s="31"/>
      <c r="K688" s="31"/>
    </row>
    <row r="689" ht="15.75" customHeight="1">
      <c r="B689" s="31"/>
      <c r="C689" s="31"/>
      <c r="E689" s="31"/>
      <c r="J689" s="31"/>
      <c r="K689" s="31"/>
    </row>
    <row r="690" ht="15.75" customHeight="1">
      <c r="B690" s="31"/>
      <c r="C690" s="31"/>
      <c r="E690" s="31"/>
      <c r="J690" s="31"/>
      <c r="K690" s="31"/>
    </row>
    <row r="691" ht="15.75" customHeight="1">
      <c r="B691" s="31"/>
      <c r="C691" s="31"/>
      <c r="E691" s="31"/>
      <c r="J691" s="31"/>
      <c r="K691" s="31"/>
    </row>
    <row r="692" ht="15.75" customHeight="1">
      <c r="B692" s="31"/>
      <c r="C692" s="31"/>
      <c r="E692" s="31"/>
      <c r="J692" s="31"/>
      <c r="K692" s="31"/>
    </row>
    <row r="693" ht="15.75" customHeight="1">
      <c r="B693" s="31"/>
      <c r="C693" s="31"/>
      <c r="E693" s="31"/>
      <c r="J693" s="31"/>
      <c r="K693" s="31"/>
    </row>
    <row r="694" ht="15.75" customHeight="1">
      <c r="B694" s="31"/>
      <c r="C694" s="31"/>
      <c r="E694" s="31"/>
      <c r="J694" s="31"/>
      <c r="K694" s="31"/>
    </row>
    <row r="695" ht="15.75" customHeight="1">
      <c r="B695" s="31"/>
      <c r="C695" s="31"/>
      <c r="E695" s="31"/>
      <c r="J695" s="31"/>
      <c r="K695" s="31"/>
    </row>
    <row r="696" ht="15.75" customHeight="1">
      <c r="B696" s="31"/>
      <c r="C696" s="31"/>
      <c r="E696" s="31"/>
      <c r="J696" s="31"/>
      <c r="K696" s="31"/>
    </row>
    <row r="697" ht="15.75" customHeight="1">
      <c r="B697" s="31"/>
      <c r="C697" s="31"/>
      <c r="E697" s="31"/>
      <c r="J697" s="31"/>
      <c r="K697" s="31"/>
    </row>
    <row r="698" ht="15.75" customHeight="1">
      <c r="B698" s="31"/>
      <c r="C698" s="31"/>
      <c r="E698" s="31"/>
      <c r="J698" s="31"/>
      <c r="K698" s="31"/>
    </row>
    <row r="699" ht="15.75" customHeight="1">
      <c r="B699" s="31"/>
      <c r="C699" s="31"/>
      <c r="E699" s="31"/>
      <c r="J699" s="31"/>
      <c r="K699" s="31"/>
    </row>
    <row r="700" ht="15.75" customHeight="1">
      <c r="B700" s="31"/>
      <c r="C700" s="31"/>
      <c r="E700" s="31"/>
      <c r="J700" s="31"/>
      <c r="K700" s="31"/>
    </row>
    <row r="701" ht="15.75" customHeight="1">
      <c r="B701" s="31"/>
      <c r="C701" s="31"/>
      <c r="E701" s="31"/>
      <c r="J701" s="31"/>
      <c r="K701" s="31"/>
    </row>
    <row r="702" ht="15.75" customHeight="1">
      <c r="B702" s="31"/>
      <c r="C702" s="31"/>
      <c r="E702" s="31"/>
      <c r="J702" s="31"/>
      <c r="K702" s="31"/>
    </row>
    <row r="703" ht="15.75" customHeight="1">
      <c r="B703" s="31"/>
      <c r="C703" s="31"/>
      <c r="E703" s="31"/>
      <c r="J703" s="31"/>
      <c r="K703" s="31"/>
    </row>
    <row r="704" ht="15.75" customHeight="1">
      <c r="B704" s="31"/>
      <c r="C704" s="31"/>
      <c r="E704" s="31"/>
      <c r="J704" s="31"/>
      <c r="K704" s="31"/>
    </row>
    <row r="705" ht="15.75" customHeight="1">
      <c r="B705" s="31"/>
      <c r="C705" s="31"/>
      <c r="E705" s="31"/>
      <c r="J705" s="31"/>
      <c r="K705" s="31"/>
    </row>
    <row r="706" ht="15.75" customHeight="1">
      <c r="B706" s="31"/>
      <c r="C706" s="31"/>
      <c r="E706" s="31"/>
      <c r="J706" s="31"/>
      <c r="K706" s="31"/>
    </row>
    <row r="707" ht="15.75" customHeight="1">
      <c r="B707" s="31"/>
      <c r="C707" s="31"/>
      <c r="E707" s="31"/>
      <c r="J707" s="31"/>
      <c r="K707" s="31"/>
    </row>
    <row r="708" ht="15.75" customHeight="1">
      <c r="B708" s="31"/>
      <c r="C708" s="31"/>
      <c r="E708" s="31"/>
      <c r="J708" s="31"/>
      <c r="K708" s="31"/>
    </row>
    <row r="709" ht="15.75" customHeight="1">
      <c r="B709" s="31"/>
      <c r="C709" s="31"/>
      <c r="E709" s="31"/>
      <c r="J709" s="31"/>
      <c r="K709" s="31"/>
    </row>
    <row r="710" ht="15.75" customHeight="1">
      <c r="B710" s="31"/>
      <c r="C710" s="31"/>
      <c r="E710" s="31"/>
      <c r="J710" s="31"/>
      <c r="K710" s="31"/>
    </row>
    <row r="711" ht="15.75" customHeight="1">
      <c r="B711" s="31"/>
      <c r="C711" s="31"/>
      <c r="E711" s="31"/>
      <c r="J711" s="31"/>
      <c r="K711" s="31"/>
    </row>
    <row r="712" ht="15.75" customHeight="1">
      <c r="B712" s="31"/>
      <c r="C712" s="31"/>
      <c r="E712" s="31"/>
      <c r="J712" s="31"/>
      <c r="K712" s="31"/>
    </row>
    <row r="713" ht="15.75" customHeight="1">
      <c r="B713" s="31"/>
      <c r="C713" s="31"/>
      <c r="E713" s="31"/>
      <c r="J713" s="31"/>
      <c r="K713" s="31"/>
    </row>
    <row r="714" ht="15.75" customHeight="1">
      <c r="B714" s="31"/>
      <c r="C714" s="31"/>
      <c r="E714" s="31"/>
      <c r="J714" s="31"/>
      <c r="K714" s="31"/>
    </row>
    <row r="715" ht="15.75" customHeight="1">
      <c r="B715" s="31"/>
      <c r="C715" s="31"/>
      <c r="E715" s="31"/>
      <c r="J715" s="31"/>
      <c r="K715" s="31"/>
    </row>
    <row r="716" ht="15.75" customHeight="1">
      <c r="B716" s="31"/>
      <c r="C716" s="31"/>
      <c r="E716" s="31"/>
      <c r="J716" s="31"/>
      <c r="K716" s="31"/>
    </row>
    <row r="717" ht="15.75" customHeight="1">
      <c r="B717" s="31"/>
      <c r="C717" s="31"/>
      <c r="E717" s="31"/>
      <c r="J717" s="31"/>
      <c r="K717" s="31"/>
    </row>
    <row r="718" ht="15.75" customHeight="1">
      <c r="B718" s="31"/>
      <c r="C718" s="31"/>
      <c r="E718" s="31"/>
      <c r="J718" s="31"/>
      <c r="K718" s="31"/>
    </row>
    <row r="719" ht="15.75" customHeight="1">
      <c r="B719" s="31"/>
      <c r="C719" s="31"/>
      <c r="E719" s="31"/>
      <c r="J719" s="31"/>
      <c r="K719" s="31"/>
    </row>
    <row r="720" ht="15.75" customHeight="1">
      <c r="B720" s="31"/>
      <c r="C720" s="31"/>
      <c r="E720" s="31"/>
      <c r="J720" s="31"/>
      <c r="K720" s="31"/>
    </row>
    <row r="721" ht="15.75" customHeight="1">
      <c r="B721" s="31"/>
      <c r="C721" s="31"/>
      <c r="E721" s="31"/>
      <c r="J721" s="31"/>
      <c r="K721" s="31"/>
    </row>
    <row r="722" ht="15.75" customHeight="1">
      <c r="B722" s="31"/>
      <c r="C722" s="31"/>
      <c r="E722" s="31"/>
      <c r="J722" s="31"/>
      <c r="K722" s="31"/>
    </row>
    <row r="723" ht="15.75" customHeight="1">
      <c r="B723" s="31"/>
      <c r="C723" s="31"/>
      <c r="E723" s="31"/>
      <c r="J723" s="31"/>
      <c r="K723" s="31"/>
    </row>
    <row r="724" ht="15.75" customHeight="1">
      <c r="B724" s="31"/>
      <c r="C724" s="31"/>
      <c r="E724" s="31"/>
      <c r="J724" s="31"/>
      <c r="K724" s="31"/>
    </row>
    <row r="725" ht="15.75" customHeight="1">
      <c r="B725" s="31"/>
      <c r="C725" s="31"/>
      <c r="E725" s="31"/>
      <c r="J725" s="31"/>
      <c r="K725" s="31"/>
    </row>
    <row r="726" ht="15.75" customHeight="1">
      <c r="B726" s="31"/>
      <c r="C726" s="31"/>
      <c r="E726" s="31"/>
      <c r="J726" s="31"/>
      <c r="K726" s="31"/>
    </row>
    <row r="727" ht="15.75" customHeight="1">
      <c r="B727" s="31"/>
      <c r="C727" s="31"/>
      <c r="E727" s="31"/>
      <c r="J727" s="31"/>
      <c r="K727" s="31"/>
    </row>
    <row r="728" ht="15.75" customHeight="1">
      <c r="B728" s="31"/>
      <c r="C728" s="31"/>
      <c r="E728" s="31"/>
      <c r="J728" s="31"/>
      <c r="K728" s="31"/>
    </row>
    <row r="729" ht="15.75" customHeight="1">
      <c r="B729" s="31"/>
      <c r="C729" s="31"/>
      <c r="E729" s="31"/>
      <c r="J729" s="31"/>
      <c r="K729" s="31"/>
    </row>
    <row r="730" ht="15.75" customHeight="1">
      <c r="B730" s="31"/>
      <c r="C730" s="31"/>
      <c r="E730" s="31"/>
      <c r="J730" s="31"/>
      <c r="K730" s="31"/>
    </row>
    <row r="731" ht="15.75" customHeight="1">
      <c r="B731" s="31"/>
      <c r="C731" s="31"/>
      <c r="E731" s="31"/>
      <c r="J731" s="31"/>
      <c r="K731" s="31"/>
    </row>
    <row r="732" ht="15.75" customHeight="1">
      <c r="B732" s="31"/>
      <c r="C732" s="31"/>
      <c r="E732" s="31"/>
      <c r="J732" s="31"/>
      <c r="K732" s="31"/>
    </row>
    <row r="733" ht="15.75" customHeight="1">
      <c r="B733" s="31"/>
      <c r="C733" s="31"/>
      <c r="E733" s="31"/>
      <c r="J733" s="31"/>
      <c r="K733" s="31"/>
    </row>
    <row r="734" ht="15.75" customHeight="1">
      <c r="B734" s="31"/>
      <c r="C734" s="31"/>
      <c r="E734" s="31"/>
      <c r="J734" s="31"/>
      <c r="K734" s="31"/>
    </row>
    <row r="735" ht="15.75" customHeight="1">
      <c r="B735" s="31"/>
      <c r="C735" s="31"/>
      <c r="E735" s="31"/>
      <c r="J735" s="31"/>
      <c r="K735" s="31"/>
    </row>
    <row r="736" ht="15.75" customHeight="1">
      <c r="B736" s="31"/>
      <c r="C736" s="31"/>
      <c r="E736" s="31"/>
      <c r="J736" s="31"/>
      <c r="K736" s="31"/>
    </row>
    <row r="737" ht="15.75" customHeight="1">
      <c r="B737" s="31"/>
      <c r="C737" s="31"/>
      <c r="E737" s="31"/>
      <c r="J737" s="31"/>
      <c r="K737" s="31"/>
    </row>
    <row r="738" ht="15.75" customHeight="1">
      <c r="B738" s="31"/>
      <c r="C738" s="31"/>
      <c r="E738" s="31"/>
      <c r="J738" s="31"/>
      <c r="K738" s="31"/>
    </row>
    <row r="739" ht="15.75" customHeight="1">
      <c r="B739" s="31"/>
      <c r="C739" s="31"/>
      <c r="E739" s="31"/>
      <c r="J739" s="31"/>
      <c r="K739" s="31"/>
    </row>
    <row r="740" ht="15.75" customHeight="1">
      <c r="B740" s="31"/>
      <c r="C740" s="31"/>
      <c r="E740" s="31"/>
      <c r="J740" s="31"/>
      <c r="K740" s="31"/>
    </row>
    <row r="741" ht="15.75" customHeight="1">
      <c r="B741" s="31"/>
      <c r="C741" s="31"/>
      <c r="E741" s="31"/>
      <c r="J741" s="31"/>
      <c r="K741" s="31"/>
    </row>
    <row r="742" ht="15.75" customHeight="1">
      <c r="B742" s="31"/>
      <c r="C742" s="31"/>
      <c r="E742" s="31"/>
      <c r="J742" s="31"/>
      <c r="K742" s="31"/>
    </row>
    <row r="743" ht="15.75" customHeight="1">
      <c r="B743" s="31"/>
      <c r="C743" s="31"/>
      <c r="E743" s="31"/>
      <c r="J743" s="31"/>
      <c r="K743" s="31"/>
    </row>
    <row r="744" ht="15.75" customHeight="1">
      <c r="B744" s="31"/>
      <c r="C744" s="31"/>
      <c r="E744" s="31"/>
      <c r="J744" s="31"/>
      <c r="K744" s="31"/>
    </row>
    <row r="745" ht="15.75" customHeight="1">
      <c r="B745" s="31"/>
      <c r="C745" s="31"/>
      <c r="E745" s="31"/>
      <c r="J745" s="31"/>
      <c r="K745" s="31"/>
    </row>
    <row r="746" ht="15.75" customHeight="1">
      <c r="B746" s="31"/>
      <c r="C746" s="31"/>
      <c r="E746" s="31"/>
      <c r="J746" s="31"/>
      <c r="K746" s="31"/>
    </row>
    <row r="747" ht="15.75" customHeight="1">
      <c r="B747" s="31"/>
      <c r="C747" s="31"/>
      <c r="E747" s="31"/>
      <c r="J747" s="31"/>
      <c r="K747" s="31"/>
    </row>
    <row r="748" ht="15.75" customHeight="1">
      <c r="B748" s="31"/>
      <c r="C748" s="31"/>
      <c r="E748" s="31"/>
      <c r="J748" s="31"/>
      <c r="K748" s="31"/>
    </row>
    <row r="749" ht="15.75" customHeight="1">
      <c r="B749" s="31"/>
      <c r="C749" s="31"/>
      <c r="E749" s="31"/>
      <c r="J749" s="31"/>
      <c r="K749" s="31"/>
    </row>
    <row r="750" ht="15.75" customHeight="1">
      <c r="B750" s="31"/>
      <c r="C750" s="31"/>
      <c r="E750" s="31"/>
      <c r="J750" s="31"/>
      <c r="K750" s="31"/>
    </row>
    <row r="751" ht="15.75" customHeight="1">
      <c r="B751" s="31"/>
      <c r="C751" s="31"/>
      <c r="E751" s="31"/>
      <c r="J751" s="31"/>
      <c r="K751" s="31"/>
    </row>
    <row r="752" ht="15.75" customHeight="1">
      <c r="B752" s="31"/>
      <c r="C752" s="31"/>
      <c r="E752" s="31"/>
      <c r="J752" s="31"/>
      <c r="K752" s="31"/>
    </row>
    <row r="753" ht="15.75" customHeight="1">
      <c r="B753" s="31"/>
      <c r="C753" s="31"/>
      <c r="E753" s="31"/>
      <c r="J753" s="31"/>
      <c r="K753" s="31"/>
    </row>
    <row r="754" ht="15.75" customHeight="1">
      <c r="B754" s="31"/>
      <c r="C754" s="31"/>
      <c r="E754" s="31"/>
      <c r="J754" s="31"/>
      <c r="K754" s="31"/>
    </row>
    <row r="755" ht="15.75" customHeight="1">
      <c r="B755" s="31"/>
      <c r="C755" s="31"/>
      <c r="E755" s="31"/>
      <c r="J755" s="31"/>
      <c r="K755" s="31"/>
    </row>
    <row r="756" ht="15.75" customHeight="1">
      <c r="B756" s="31"/>
      <c r="C756" s="31"/>
      <c r="E756" s="31"/>
      <c r="J756" s="31"/>
      <c r="K756" s="31"/>
    </row>
    <row r="757" ht="15.75" customHeight="1">
      <c r="B757" s="31"/>
      <c r="C757" s="31"/>
      <c r="E757" s="31"/>
      <c r="J757" s="31"/>
      <c r="K757" s="31"/>
    </row>
    <row r="758" ht="15.75" customHeight="1">
      <c r="B758" s="31"/>
      <c r="C758" s="31"/>
      <c r="E758" s="31"/>
      <c r="J758" s="31"/>
      <c r="K758" s="31"/>
    </row>
    <row r="759" ht="15.75" customHeight="1">
      <c r="B759" s="31"/>
      <c r="C759" s="31"/>
      <c r="E759" s="31"/>
      <c r="J759" s="31"/>
      <c r="K759" s="31"/>
    </row>
    <row r="760" ht="15.75" customHeight="1">
      <c r="B760" s="31"/>
      <c r="C760" s="31"/>
      <c r="E760" s="31"/>
      <c r="J760" s="31"/>
      <c r="K760" s="31"/>
    </row>
    <row r="761" ht="15.75" customHeight="1">
      <c r="B761" s="31"/>
      <c r="C761" s="31"/>
      <c r="E761" s="31"/>
      <c r="J761" s="31"/>
      <c r="K761" s="31"/>
    </row>
    <row r="762" ht="15.75" customHeight="1">
      <c r="B762" s="31"/>
      <c r="C762" s="31"/>
      <c r="E762" s="31"/>
      <c r="J762" s="31"/>
      <c r="K762" s="31"/>
    </row>
    <row r="763" ht="15.75" customHeight="1">
      <c r="B763" s="31"/>
      <c r="C763" s="31"/>
      <c r="E763" s="31"/>
      <c r="J763" s="31"/>
      <c r="K763" s="31"/>
    </row>
    <row r="764" ht="15.75" customHeight="1">
      <c r="B764" s="31"/>
      <c r="C764" s="31"/>
      <c r="E764" s="31"/>
      <c r="J764" s="31"/>
      <c r="K764" s="31"/>
    </row>
    <row r="765" ht="15.75" customHeight="1">
      <c r="B765" s="31"/>
      <c r="C765" s="31"/>
      <c r="E765" s="31"/>
      <c r="J765" s="31"/>
      <c r="K765" s="31"/>
    </row>
    <row r="766" ht="15.75" customHeight="1">
      <c r="B766" s="31"/>
      <c r="C766" s="31"/>
      <c r="E766" s="31"/>
      <c r="J766" s="31"/>
      <c r="K766" s="31"/>
    </row>
    <row r="767" ht="15.75" customHeight="1">
      <c r="B767" s="31"/>
      <c r="C767" s="31"/>
      <c r="E767" s="31"/>
      <c r="J767" s="31"/>
      <c r="K767" s="31"/>
    </row>
    <row r="768" ht="15.75" customHeight="1">
      <c r="B768" s="31"/>
      <c r="C768" s="31"/>
      <c r="E768" s="31"/>
      <c r="J768" s="31"/>
      <c r="K768" s="31"/>
    </row>
    <row r="769" ht="15.75" customHeight="1">
      <c r="B769" s="31"/>
      <c r="C769" s="31"/>
      <c r="E769" s="31"/>
      <c r="J769" s="31"/>
      <c r="K769" s="31"/>
    </row>
    <row r="770" ht="15.75" customHeight="1">
      <c r="B770" s="31"/>
      <c r="C770" s="31"/>
      <c r="E770" s="31"/>
      <c r="J770" s="31"/>
      <c r="K770" s="31"/>
    </row>
    <row r="771" ht="15.75" customHeight="1">
      <c r="B771" s="31"/>
      <c r="C771" s="31"/>
      <c r="E771" s="31"/>
      <c r="J771" s="31"/>
      <c r="K771" s="31"/>
    </row>
    <row r="772" ht="15.75" customHeight="1">
      <c r="B772" s="31"/>
      <c r="C772" s="31"/>
      <c r="E772" s="31"/>
      <c r="J772" s="31"/>
      <c r="K772" s="31"/>
    </row>
    <row r="773" ht="15.75" customHeight="1">
      <c r="B773" s="31"/>
      <c r="C773" s="31"/>
      <c r="E773" s="31"/>
      <c r="J773" s="31"/>
      <c r="K773" s="31"/>
    </row>
    <row r="774" ht="15.75" customHeight="1">
      <c r="B774" s="31"/>
      <c r="C774" s="31"/>
      <c r="E774" s="31"/>
      <c r="J774" s="31"/>
      <c r="K774" s="31"/>
    </row>
    <row r="775" ht="15.75" customHeight="1">
      <c r="B775" s="31"/>
      <c r="C775" s="31"/>
      <c r="E775" s="31"/>
      <c r="J775" s="31"/>
      <c r="K775" s="31"/>
    </row>
    <row r="776" ht="15.75" customHeight="1">
      <c r="B776" s="31"/>
      <c r="C776" s="31"/>
      <c r="E776" s="31"/>
      <c r="J776" s="31"/>
      <c r="K776" s="31"/>
    </row>
    <row r="777" ht="15.75" customHeight="1">
      <c r="B777" s="31"/>
      <c r="C777" s="31"/>
      <c r="E777" s="31"/>
      <c r="J777" s="31"/>
      <c r="K777" s="31"/>
    </row>
    <row r="778" ht="15.75" customHeight="1">
      <c r="B778" s="31"/>
      <c r="C778" s="31"/>
      <c r="E778" s="31"/>
      <c r="J778" s="31"/>
      <c r="K778" s="31"/>
    </row>
    <row r="779" ht="15.75" customHeight="1">
      <c r="B779" s="31"/>
      <c r="C779" s="31"/>
      <c r="E779" s="31"/>
      <c r="J779" s="31"/>
      <c r="K779" s="31"/>
    </row>
    <row r="780" ht="15.75" customHeight="1">
      <c r="B780" s="31"/>
      <c r="C780" s="31"/>
      <c r="E780" s="31"/>
      <c r="J780" s="31"/>
      <c r="K780" s="31"/>
    </row>
    <row r="781" ht="15.75" customHeight="1">
      <c r="B781" s="31"/>
      <c r="C781" s="31"/>
      <c r="E781" s="31"/>
      <c r="J781" s="31"/>
      <c r="K781" s="31"/>
    </row>
    <row r="782" ht="15.75" customHeight="1">
      <c r="B782" s="31"/>
      <c r="C782" s="31"/>
      <c r="E782" s="31"/>
      <c r="J782" s="31"/>
      <c r="K782" s="31"/>
    </row>
    <row r="783" ht="15.75" customHeight="1">
      <c r="B783" s="31"/>
      <c r="C783" s="31"/>
      <c r="E783" s="31"/>
      <c r="J783" s="31"/>
      <c r="K783" s="31"/>
    </row>
    <row r="784" ht="15.75" customHeight="1">
      <c r="B784" s="31"/>
      <c r="C784" s="31"/>
      <c r="E784" s="31"/>
      <c r="J784" s="31"/>
      <c r="K784" s="31"/>
    </row>
    <row r="785" ht="15.75" customHeight="1">
      <c r="B785" s="31"/>
      <c r="C785" s="31"/>
      <c r="E785" s="31"/>
      <c r="J785" s="31"/>
      <c r="K785" s="31"/>
    </row>
    <row r="786" ht="15.75" customHeight="1">
      <c r="B786" s="31"/>
      <c r="C786" s="31"/>
      <c r="E786" s="31"/>
      <c r="J786" s="31"/>
      <c r="K786" s="31"/>
    </row>
    <row r="787" ht="15.75" customHeight="1">
      <c r="B787" s="31"/>
      <c r="C787" s="31"/>
      <c r="E787" s="31"/>
      <c r="J787" s="31"/>
      <c r="K787" s="31"/>
    </row>
    <row r="788" ht="15.75" customHeight="1">
      <c r="B788" s="31"/>
      <c r="C788" s="31"/>
      <c r="E788" s="31"/>
      <c r="J788" s="31"/>
      <c r="K788" s="31"/>
    </row>
    <row r="789" ht="15.75" customHeight="1">
      <c r="B789" s="31"/>
      <c r="C789" s="31"/>
      <c r="E789" s="31"/>
      <c r="J789" s="31"/>
      <c r="K789" s="31"/>
    </row>
    <row r="790" ht="15.75" customHeight="1">
      <c r="B790" s="31"/>
      <c r="C790" s="31"/>
      <c r="E790" s="31"/>
      <c r="J790" s="31"/>
      <c r="K790" s="31"/>
    </row>
    <row r="791" ht="15.75" customHeight="1">
      <c r="B791" s="31"/>
      <c r="C791" s="31"/>
      <c r="E791" s="31"/>
      <c r="J791" s="31"/>
      <c r="K791" s="31"/>
    </row>
    <row r="792" ht="15.75" customHeight="1">
      <c r="B792" s="31"/>
      <c r="C792" s="31"/>
      <c r="E792" s="31"/>
      <c r="J792" s="31"/>
      <c r="K792" s="31"/>
    </row>
    <row r="793" ht="15.75" customHeight="1">
      <c r="B793" s="31"/>
      <c r="C793" s="31"/>
      <c r="E793" s="31"/>
      <c r="J793" s="31"/>
      <c r="K793" s="31"/>
    </row>
    <row r="794" ht="15.75" customHeight="1">
      <c r="B794" s="31"/>
      <c r="C794" s="31"/>
      <c r="E794" s="31"/>
      <c r="J794" s="31"/>
      <c r="K794" s="31"/>
    </row>
    <row r="795" ht="15.75" customHeight="1">
      <c r="B795" s="31"/>
      <c r="C795" s="31"/>
      <c r="E795" s="31"/>
      <c r="J795" s="31"/>
      <c r="K795" s="31"/>
    </row>
    <row r="796" ht="15.75" customHeight="1">
      <c r="B796" s="31"/>
      <c r="C796" s="31"/>
      <c r="E796" s="31"/>
      <c r="J796" s="31"/>
      <c r="K796" s="31"/>
    </row>
    <row r="797" ht="15.75" customHeight="1">
      <c r="B797" s="31"/>
      <c r="C797" s="31"/>
      <c r="E797" s="31"/>
      <c r="J797" s="31"/>
      <c r="K797" s="31"/>
    </row>
    <row r="798" ht="15.75" customHeight="1">
      <c r="B798" s="31"/>
      <c r="C798" s="31"/>
      <c r="E798" s="31"/>
      <c r="J798" s="31"/>
      <c r="K798" s="31"/>
    </row>
    <row r="799" ht="15.75" customHeight="1">
      <c r="B799" s="31"/>
      <c r="C799" s="31"/>
      <c r="E799" s="31"/>
      <c r="J799" s="31"/>
      <c r="K799" s="31"/>
    </row>
    <row r="800" ht="15.75" customHeight="1">
      <c r="B800" s="31"/>
      <c r="C800" s="31"/>
      <c r="E800" s="31"/>
      <c r="J800" s="31"/>
      <c r="K800" s="31"/>
    </row>
    <row r="801" ht="15.75" customHeight="1">
      <c r="B801" s="31"/>
      <c r="C801" s="31"/>
      <c r="E801" s="31"/>
      <c r="J801" s="31"/>
      <c r="K801" s="31"/>
    </row>
    <row r="802" ht="15.75" customHeight="1">
      <c r="B802" s="31"/>
      <c r="C802" s="31"/>
      <c r="E802" s="31"/>
      <c r="J802" s="31"/>
      <c r="K802" s="31"/>
    </row>
    <row r="803" ht="15.75" customHeight="1">
      <c r="B803" s="31"/>
      <c r="C803" s="31"/>
      <c r="E803" s="31"/>
      <c r="J803" s="31"/>
      <c r="K803" s="31"/>
    </row>
    <row r="804" ht="15.75" customHeight="1">
      <c r="B804" s="31"/>
      <c r="C804" s="31"/>
      <c r="E804" s="31"/>
      <c r="J804" s="31"/>
      <c r="K804" s="31"/>
    </row>
    <row r="805" ht="15.75" customHeight="1">
      <c r="B805" s="31"/>
      <c r="C805" s="31"/>
      <c r="E805" s="31"/>
      <c r="J805" s="31"/>
      <c r="K805" s="31"/>
    </row>
    <row r="806" ht="15.75" customHeight="1">
      <c r="B806" s="31"/>
      <c r="C806" s="31"/>
      <c r="E806" s="31"/>
      <c r="J806" s="31"/>
      <c r="K806" s="31"/>
    </row>
    <row r="807" ht="15.75" customHeight="1">
      <c r="B807" s="31"/>
      <c r="C807" s="31"/>
      <c r="E807" s="31"/>
      <c r="J807" s="31"/>
      <c r="K807" s="31"/>
    </row>
    <row r="808" ht="15.75" customHeight="1">
      <c r="B808" s="31"/>
      <c r="C808" s="31"/>
      <c r="E808" s="31"/>
      <c r="J808" s="31"/>
      <c r="K808" s="31"/>
    </row>
    <row r="809" ht="15.75" customHeight="1">
      <c r="B809" s="31"/>
      <c r="C809" s="31"/>
      <c r="E809" s="31"/>
      <c r="J809" s="31"/>
      <c r="K809" s="31"/>
    </row>
    <row r="810" ht="15.75" customHeight="1">
      <c r="B810" s="31"/>
      <c r="C810" s="31"/>
      <c r="E810" s="31"/>
      <c r="J810" s="31"/>
      <c r="K810" s="31"/>
    </row>
    <row r="811" ht="15.75" customHeight="1">
      <c r="B811" s="31"/>
      <c r="C811" s="31"/>
      <c r="E811" s="31"/>
      <c r="J811" s="31"/>
      <c r="K811" s="31"/>
    </row>
    <row r="812" ht="15.75" customHeight="1">
      <c r="B812" s="31"/>
      <c r="C812" s="31"/>
      <c r="E812" s="31"/>
      <c r="J812" s="31"/>
      <c r="K812" s="31"/>
    </row>
    <row r="813" ht="15.75" customHeight="1">
      <c r="B813" s="31"/>
      <c r="C813" s="31"/>
      <c r="E813" s="31"/>
      <c r="J813" s="31"/>
      <c r="K813" s="31"/>
    </row>
    <row r="814" ht="15.75" customHeight="1">
      <c r="B814" s="31"/>
      <c r="C814" s="31"/>
      <c r="E814" s="31"/>
      <c r="J814" s="31"/>
      <c r="K814" s="31"/>
    </row>
    <row r="815" ht="15.75" customHeight="1">
      <c r="B815" s="31"/>
      <c r="C815" s="31"/>
      <c r="E815" s="31"/>
      <c r="J815" s="31"/>
      <c r="K815" s="31"/>
    </row>
    <row r="816" ht="15.75" customHeight="1">
      <c r="B816" s="31"/>
      <c r="C816" s="31"/>
      <c r="E816" s="31"/>
      <c r="J816" s="31"/>
      <c r="K816" s="31"/>
    </row>
    <row r="817" ht="15.75" customHeight="1">
      <c r="B817" s="31"/>
      <c r="C817" s="31"/>
      <c r="E817" s="31"/>
      <c r="J817" s="31"/>
      <c r="K817" s="31"/>
    </row>
    <row r="818" ht="15.75" customHeight="1">
      <c r="B818" s="31"/>
      <c r="C818" s="31"/>
      <c r="E818" s="31"/>
      <c r="J818" s="31"/>
      <c r="K818" s="31"/>
    </row>
    <row r="819" ht="15.75" customHeight="1">
      <c r="B819" s="31"/>
      <c r="C819" s="31"/>
      <c r="E819" s="31"/>
      <c r="J819" s="31"/>
      <c r="K819" s="31"/>
    </row>
    <row r="820" ht="15.75" customHeight="1">
      <c r="B820" s="31"/>
      <c r="C820" s="31"/>
      <c r="E820" s="31"/>
      <c r="J820" s="31"/>
      <c r="K820" s="31"/>
    </row>
    <row r="821" ht="15.75" customHeight="1">
      <c r="B821" s="31"/>
      <c r="C821" s="31"/>
      <c r="E821" s="31"/>
      <c r="J821" s="31"/>
      <c r="K821" s="31"/>
    </row>
    <row r="822" ht="15.75" customHeight="1">
      <c r="B822" s="31"/>
      <c r="C822" s="31"/>
      <c r="E822" s="31"/>
      <c r="J822" s="31"/>
      <c r="K822" s="31"/>
    </row>
    <row r="823" ht="15.75" customHeight="1">
      <c r="B823" s="31"/>
      <c r="C823" s="31"/>
      <c r="E823" s="31"/>
      <c r="J823" s="31"/>
      <c r="K823" s="31"/>
    </row>
    <row r="824" ht="15.75" customHeight="1">
      <c r="B824" s="31"/>
      <c r="C824" s="31"/>
      <c r="E824" s="31"/>
      <c r="J824" s="31"/>
      <c r="K824" s="31"/>
    </row>
    <row r="825" ht="15.75" customHeight="1">
      <c r="B825" s="31"/>
      <c r="C825" s="31"/>
      <c r="E825" s="31"/>
      <c r="J825" s="31"/>
      <c r="K825" s="31"/>
    </row>
    <row r="826" ht="15.75" customHeight="1">
      <c r="B826" s="31"/>
      <c r="C826" s="31"/>
      <c r="E826" s="31"/>
      <c r="J826" s="31"/>
      <c r="K826" s="31"/>
    </row>
    <row r="827" ht="15.75" customHeight="1">
      <c r="B827" s="31"/>
      <c r="C827" s="31"/>
      <c r="E827" s="31"/>
      <c r="J827" s="31"/>
      <c r="K827" s="31"/>
    </row>
    <row r="828" ht="15.75" customHeight="1">
      <c r="B828" s="31"/>
      <c r="C828" s="31"/>
      <c r="E828" s="31"/>
      <c r="J828" s="31"/>
      <c r="K828" s="31"/>
    </row>
    <row r="829" ht="15.75" customHeight="1">
      <c r="B829" s="31"/>
      <c r="C829" s="31"/>
      <c r="E829" s="31"/>
      <c r="J829" s="31"/>
      <c r="K829" s="31"/>
    </row>
    <row r="830" ht="15.75" customHeight="1">
      <c r="B830" s="31"/>
      <c r="C830" s="31"/>
      <c r="E830" s="31"/>
      <c r="J830" s="31"/>
      <c r="K830" s="31"/>
    </row>
    <row r="831" ht="15.75" customHeight="1">
      <c r="B831" s="31"/>
      <c r="C831" s="31"/>
      <c r="E831" s="31"/>
      <c r="J831" s="31"/>
      <c r="K831" s="31"/>
    </row>
    <row r="832" ht="15.75" customHeight="1">
      <c r="B832" s="31"/>
      <c r="C832" s="31"/>
      <c r="E832" s="31"/>
      <c r="J832" s="31"/>
      <c r="K832" s="31"/>
    </row>
    <row r="833" ht="15.75" customHeight="1">
      <c r="B833" s="31"/>
      <c r="C833" s="31"/>
      <c r="E833" s="31"/>
      <c r="J833" s="31"/>
      <c r="K833" s="31"/>
    </row>
    <row r="834" ht="15.75" customHeight="1">
      <c r="B834" s="31"/>
      <c r="C834" s="31"/>
      <c r="E834" s="31"/>
      <c r="J834" s="31"/>
      <c r="K834" s="31"/>
    </row>
    <row r="835" ht="15.75" customHeight="1">
      <c r="B835" s="31"/>
      <c r="C835" s="31"/>
      <c r="E835" s="31"/>
      <c r="J835" s="31"/>
      <c r="K835" s="31"/>
    </row>
    <row r="836" ht="15.75" customHeight="1">
      <c r="B836" s="31"/>
      <c r="C836" s="31"/>
      <c r="E836" s="31"/>
      <c r="J836" s="31"/>
      <c r="K836" s="31"/>
    </row>
    <row r="837" ht="15.75" customHeight="1">
      <c r="B837" s="31"/>
      <c r="C837" s="31"/>
      <c r="E837" s="31"/>
      <c r="J837" s="31"/>
      <c r="K837" s="31"/>
    </row>
    <row r="838" ht="15.75" customHeight="1">
      <c r="B838" s="31"/>
      <c r="C838" s="31"/>
      <c r="E838" s="31"/>
      <c r="J838" s="31"/>
      <c r="K838" s="31"/>
    </row>
    <row r="839" ht="15.75" customHeight="1">
      <c r="B839" s="31"/>
      <c r="C839" s="31"/>
      <c r="E839" s="31"/>
      <c r="J839" s="31"/>
      <c r="K839" s="31"/>
    </row>
    <row r="840" ht="15.75" customHeight="1">
      <c r="B840" s="31"/>
      <c r="C840" s="31"/>
      <c r="E840" s="31"/>
      <c r="J840" s="31"/>
      <c r="K840" s="31"/>
    </row>
    <row r="841" ht="15.75" customHeight="1">
      <c r="B841" s="31"/>
      <c r="C841" s="31"/>
      <c r="E841" s="31"/>
      <c r="J841" s="31"/>
      <c r="K841" s="31"/>
    </row>
    <row r="842" ht="15.75" customHeight="1">
      <c r="B842" s="31"/>
      <c r="C842" s="31"/>
      <c r="E842" s="31"/>
      <c r="J842" s="31"/>
      <c r="K842" s="31"/>
    </row>
    <row r="843" ht="15.75" customHeight="1">
      <c r="B843" s="31"/>
      <c r="C843" s="31"/>
      <c r="E843" s="31"/>
      <c r="J843" s="31"/>
      <c r="K843" s="31"/>
    </row>
    <row r="844" ht="15.75" customHeight="1">
      <c r="B844" s="31"/>
      <c r="C844" s="31"/>
      <c r="E844" s="31"/>
      <c r="J844" s="31"/>
      <c r="K844" s="31"/>
    </row>
    <row r="845" ht="15.75" customHeight="1">
      <c r="B845" s="31"/>
      <c r="C845" s="31"/>
      <c r="E845" s="31"/>
      <c r="J845" s="31"/>
      <c r="K845" s="31"/>
    </row>
    <row r="846" ht="15.75" customHeight="1">
      <c r="B846" s="31"/>
      <c r="C846" s="31"/>
      <c r="E846" s="31"/>
      <c r="J846" s="31"/>
      <c r="K846" s="31"/>
    </row>
    <row r="847" ht="15.75" customHeight="1">
      <c r="B847" s="31"/>
      <c r="C847" s="31"/>
      <c r="E847" s="31"/>
      <c r="J847" s="31"/>
      <c r="K847" s="31"/>
    </row>
    <row r="848" ht="15.75" customHeight="1">
      <c r="B848" s="31"/>
      <c r="C848" s="31"/>
      <c r="E848" s="31"/>
      <c r="J848" s="31"/>
      <c r="K848" s="31"/>
    </row>
    <row r="849" ht="15.75" customHeight="1">
      <c r="B849" s="31"/>
      <c r="C849" s="31"/>
      <c r="E849" s="31"/>
      <c r="J849" s="31"/>
      <c r="K849" s="31"/>
    </row>
    <row r="850" ht="15.75" customHeight="1">
      <c r="B850" s="31"/>
      <c r="C850" s="31"/>
      <c r="E850" s="31"/>
      <c r="J850" s="31"/>
      <c r="K850" s="31"/>
    </row>
    <row r="851" ht="15.75" customHeight="1">
      <c r="B851" s="31"/>
      <c r="C851" s="31"/>
      <c r="E851" s="31"/>
      <c r="J851" s="31"/>
      <c r="K851" s="31"/>
    </row>
    <row r="852" ht="15.75" customHeight="1">
      <c r="B852" s="31"/>
      <c r="C852" s="31"/>
      <c r="E852" s="31"/>
      <c r="J852" s="31"/>
      <c r="K852" s="31"/>
    </row>
    <row r="853" ht="15.75" customHeight="1">
      <c r="B853" s="31"/>
      <c r="C853" s="31"/>
      <c r="E853" s="31"/>
      <c r="J853" s="31"/>
      <c r="K853" s="31"/>
    </row>
    <row r="854" ht="15.75" customHeight="1">
      <c r="B854" s="31"/>
      <c r="C854" s="31"/>
      <c r="E854" s="31"/>
      <c r="J854" s="31"/>
      <c r="K854" s="31"/>
    </row>
    <row r="855" ht="15.75" customHeight="1">
      <c r="B855" s="31"/>
      <c r="C855" s="31"/>
      <c r="E855" s="31"/>
      <c r="J855" s="31"/>
      <c r="K855" s="31"/>
    </row>
    <row r="856" ht="15.75" customHeight="1">
      <c r="B856" s="31"/>
      <c r="C856" s="31"/>
      <c r="E856" s="31"/>
      <c r="J856" s="31"/>
      <c r="K856" s="31"/>
    </row>
    <row r="857" ht="15.75" customHeight="1">
      <c r="B857" s="31"/>
      <c r="C857" s="31"/>
      <c r="E857" s="31"/>
      <c r="J857" s="31"/>
      <c r="K857" s="31"/>
    </row>
    <row r="858" ht="15.75" customHeight="1">
      <c r="B858" s="31"/>
      <c r="C858" s="31"/>
      <c r="E858" s="31"/>
      <c r="J858" s="31"/>
      <c r="K858" s="31"/>
    </row>
    <row r="859" ht="15.75" customHeight="1">
      <c r="B859" s="31"/>
      <c r="C859" s="31"/>
      <c r="E859" s="31"/>
      <c r="J859" s="31"/>
      <c r="K859" s="31"/>
    </row>
    <row r="860" ht="15.75" customHeight="1">
      <c r="B860" s="31"/>
      <c r="C860" s="31"/>
      <c r="E860" s="31"/>
      <c r="J860" s="31"/>
      <c r="K860" s="31"/>
    </row>
    <row r="861" ht="15.75" customHeight="1">
      <c r="B861" s="31"/>
      <c r="C861" s="31"/>
      <c r="E861" s="31"/>
      <c r="J861" s="31"/>
      <c r="K861" s="31"/>
    </row>
    <row r="862" ht="15.75" customHeight="1">
      <c r="B862" s="31"/>
      <c r="C862" s="31"/>
      <c r="E862" s="31"/>
      <c r="J862" s="31"/>
      <c r="K862" s="31"/>
    </row>
    <row r="863" ht="15.75" customHeight="1">
      <c r="B863" s="31"/>
      <c r="C863" s="31"/>
      <c r="E863" s="31"/>
      <c r="J863" s="31"/>
      <c r="K863" s="31"/>
    </row>
    <row r="864" ht="15.75" customHeight="1">
      <c r="B864" s="31"/>
      <c r="C864" s="31"/>
      <c r="E864" s="31"/>
      <c r="J864" s="31"/>
      <c r="K864" s="31"/>
    </row>
    <row r="865" ht="15.75" customHeight="1">
      <c r="B865" s="31"/>
      <c r="C865" s="31"/>
      <c r="E865" s="31"/>
      <c r="J865" s="31"/>
      <c r="K865" s="31"/>
    </row>
    <row r="866" ht="15.75" customHeight="1">
      <c r="B866" s="31"/>
      <c r="C866" s="31"/>
      <c r="E866" s="31"/>
      <c r="J866" s="31"/>
      <c r="K866" s="31"/>
    </row>
    <row r="867" ht="15.75" customHeight="1">
      <c r="B867" s="31"/>
      <c r="C867" s="31"/>
      <c r="E867" s="31"/>
      <c r="J867" s="31"/>
      <c r="K867" s="31"/>
    </row>
    <row r="868" ht="15.75" customHeight="1">
      <c r="B868" s="31"/>
      <c r="C868" s="31"/>
      <c r="E868" s="31"/>
      <c r="J868" s="31"/>
      <c r="K868" s="31"/>
    </row>
    <row r="869" ht="15.75" customHeight="1">
      <c r="B869" s="31"/>
      <c r="C869" s="31"/>
      <c r="E869" s="31"/>
      <c r="J869" s="31"/>
      <c r="K869" s="31"/>
    </row>
    <row r="870" ht="15.75" customHeight="1">
      <c r="B870" s="31"/>
      <c r="C870" s="31"/>
      <c r="E870" s="31"/>
      <c r="J870" s="31"/>
      <c r="K870" s="31"/>
    </row>
    <row r="871" ht="15.75" customHeight="1">
      <c r="B871" s="31"/>
      <c r="C871" s="31"/>
      <c r="E871" s="31"/>
      <c r="J871" s="31"/>
      <c r="K871" s="31"/>
    </row>
    <row r="872" ht="15.75" customHeight="1">
      <c r="B872" s="31"/>
      <c r="C872" s="31"/>
      <c r="E872" s="31"/>
      <c r="J872" s="31"/>
      <c r="K872" s="31"/>
    </row>
    <row r="873" ht="15.75" customHeight="1">
      <c r="B873" s="31"/>
      <c r="C873" s="31"/>
      <c r="E873" s="31"/>
      <c r="J873" s="31"/>
      <c r="K873" s="31"/>
    </row>
    <row r="874" ht="15.75" customHeight="1">
      <c r="B874" s="31"/>
      <c r="C874" s="31"/>
      <c r="E874" s="31"/>
      <c r="J874" s="31"/>
      <c r="K874" s="31"/>
    </row>
    <row r="875" ht="15.75" customHeight="1">
      <c r="B875" s="31"/>
      <c r="C875" s="31"/>
      <c r="E875" s="31"/>
      <c r="J875" s="31"/>
      <c r="K875" s="31"/>
    </row>
    <row r="876" ht="15.75" customHeight="1">
      <c r="B876" s="31"/>
      <c r="C876" s="31"/>
      <c r="E876" s="31"/>
      <c r="J876" s="31"/>
      <c r="K876" s="31"/>
    </row>
    <row r="877" ht="15.75" customHeight="1">
      <c r="B877" s="31"/>
      <c r="C877" s="31"/>
      <c r="E877" s="31"/>
      <c r="J877" s="31"/>
      <c r="K877" s="31"/>
    </row>
    <row r="878" ht="15.75" customHeight="1">
      <c r="B878" s="31"/>
      <c r="C878" s="31"/>
      <c r="E878" s="31"/>
      <c r="J878" s="31"/>
      <c r="K878" s="31"/>
    </row>
    <row r="879" ht="15.75" customHeight="1">
      <c r="B879" s="31"/>
      <c r="C879" s="31"/>
      <c r="E879" s="31"/>
      <c r="J879" s="31"/>
      <c r="K879" s="31"/>
    </row>
    <row r="880" ht="15.75" customHeight="1">
      <c r="B880" s="31"/>
      <c r="C880" s="31"/>
      <c r="E880" s="31"/>
      <c r="J880" s="31"/>
      <c r="K880" s="31"/>
    </row>
    <row r="881" ht="15.75" customHeight="1">
      <c r="B881" s="31"/>
      <c r="C881" s="31"/>
      <c r="E881" s="31"/>
      <c r="J881" s="31"/>
      <c r="K881" s="31"/>
    </row>
    <row r="882" ht="15.75" customHeight="1">
      <c r="B882" s="31"/>
      <c r="C882" s="31"/>
      <c r="E882" s="31"/>
      <c r="J882" s="31"/>
      <c r="K882" s="31"/>
    </row>
    <row r="883" ht="15.75" customHeight="1">
      <c r="B883" s="31"/>
      <c r="C883" s="31"/>
      <c r="E883" s="31"/>
      <c r="J883" s="31"/>
      <c r="K883" s="31"/>
    </row>
    <row r="884" ht="15.75" customHeight="1">
      <c r="B884" s="31"/>
      <c r="C884" s="31"/>
      <c r="E884" s="31"/>
      <c r="J884" s="31"/>
      <c r="K884" s="31"/>
    </row>
    <row r="885" ht="15.75" customHeight="1">
      <c r="B885" s="31"/>
      <c r="C885" s="31"/>
      <c r="E885" s="31"/>
      <c r="J885" s="31"/>
      <c r="K885" s="31"/>
    </row>
    <row r="886" ht="15.75" customHeight="1">
      <c r="B886" s="31"/>
      <c r="C886" s="31"/>
      <c r="E886" s="31"/>
      <c r="J886" s="31"/>
      <c r="K886" s="31"/>
    </row>
    <row r="887" ht="15.75" customHeight="1">
      <c r="B887" s="31"/>
      <c r="C887" s="31"/>
      <c r="E887" s="31"/>
      <c r="J887" s="31"/>
      <c r="K887" s="31"/>
    </row>
    <row r="888" ht="15.75" customHeight="1">
      <c r="B888" s="31"/>
      <c r="C888" s="31"/>
      <c r="E888" s="31"/>
      <c r="J888" s="31"/>
      <c r="K888" s="31"/>
    </row>
    <row r="889" ht="15.75" customHeight="1">
      <c r="B889" s="31"/>
      <c r="C889" s="31"/>
      <c r="E889" s="31"/>
      <c r="J889" s="31"/>
      <c r="K889" s="31"/>
    </row>
    <row r="890" ht="15.75" customHeight="1">
      <c r="B890" s="31"/>
      <c r="C890" s="31"/>
      <c r="E890" s="31"/>
      <c r="J890" s="31"/>
      <c r="K890" s="31"/>
    </row>
    <row r="891" ht="15.75" customHeight="1">
      <c r="B891" s="31"/>
      <c r="C891" s="31"/>
      <c r="E891" s="31"/>
      <c r="J891" s="31"/>
      <c r="K891" s="31"/>
    </row>
    <row r="892" ht="15.75" customHeight="1">
      <c r="B892" s="31"/>
      <c r="C892" s="31"/>
      <c r="E892" s="31"/>
      <c r="J892" s="31"/>
      <c r="K892" s="31"/>
    </row>
    <row r="893" ht="15.75" customHeight="1">
      <c r="B893" s="31"/>
      <c r="C893" s="31"/>
      <c r="E893" s="31"/>
      <c r="J893" s="31"/>
      <c r="K893" s="31"/>
    </row>
    <row r="894" ht="15.75" customHeight="1">
      <c r="B894" s="31"/>
      <c r="C894" s="31"/>
      <c r="E894" s="31"/>
      <c r="J894" s="31"/>
      <c r="K894" s="31"/>
    </row>
    <row r="895" ht="15.75" customHeight="1">
      <c r="B895" s="31"/>
      <c r="C895" s="31"/>
      <c r="E895" s="31"/>
      <c r="J895" s="31"/>
      <c r="K895" s="31"/>
    </row>
    <row r="896" ht="15.75" customHeight="1">
      <c r="B896" s="31"/>
      <c r="C896" s="31"/>
      <c r="E896" s="31"/>
      <c r="J896" s="31"/>
      <c r="K896" s="31"/>
    </row>
    <row r="897" ht="15.75" customHeight="1">
      <c r="B897" s="31"/>
      <c r="C897" s="31"/>
      <c r="E897" s="31"/>
      <c r="J897" s="31"/>
      <c r="K897" s="31"/>
    </row>
    <row r="898" ht="15.75" customHeight="1">
      <c r="B898" s="31"/>
      <c r="C898" s="31"/>
      <c r="E898" s="31"/>
      <c r="J898" s="31"/>
      <c r="K898" s="31"/>
    </row>
    <row r="899" ht="15.75" customHeight="1">
      <c r="B899" s="31"/>
      <c r="C899" s="31"/>
      <c r="E899" s="31"/>
      <c r="J899" s="31"/>
      <c r="K899" s="31"/>
    </row>
    <row r="900" ht="15.75" customHeight="1">
      <c r="B900" s="31"/>
      <c r="C900" s="31"/>
      <c r="E900" s="31"/>
      <c r="J900" s="31"/>
      <c r="K900" s="31"/>
    </row>
    <row r="901" ht="15.75" customHeight="1">
      <c r="B901" s="31"/>
      <c r="C901" s="31"/>
      <c r="E901" s="31"/>
      <c r="J901" s="31"/>
      <c r="K901" s="31"/>
    </row>
    <row r="902" ht="15.75" customHeight="1">
      <c r="B902" s="31"/>
      <c r="C902" s="31"/>
      <c r="E902" s="31"/>
      <c r="J902" s="31"/>
      <c r="K902" s="31"/>
    </row>
    <row r="903" ht="15.75" customHeight="1">
      <c r="B903" s="31"/>
      <c r="C903" s="31"/>
      <c r="E903" s="31"/>
      <c r="J903" s="31"/>
      <c r="K903" s="31"/>
    </row>
    <row r="904" ht="15.75" customHeight="1">
      <c r="B904" s="31"/>
      <c r="C904" s="31"/>
      <c r="E904" s="31"/>
      <c r="J904" s="31"/>
      <c r="K904" s="31"/>
    </row>
    <row r="905" ht="15.75" customHeight="1">
      <c r="B905" s="31"/>
      <c r="C905" s="31"/>
      <c r="E905" s="31"/>
      <c r="J905" s="31"/>
      <c r="K905" s="31"/>
    </row>
    <row r="906" ht="15.75" customHeight="1">
      <c r="B906" s="31"/>
      <c r="C906" s="31"/>
      <c r="E906" s="31"/>
      <c r="J906" s="31"/>
      <c r="K906" s="31"/>
    </row>
    <row r="907" ht="15.75" customHeight="1">
      <c r="B907" s="31"/>
      <c r="C907" s="31"/>
      <c r="E907" s="31"/>
      <c r="J907" s="31"/>
      <c r="K907" s="31"/>
    </row>
    <row r="908" ht="15.75" customHeight="1">
      <c r="B908" s="31"/>
      <c r="C908" s="31"/>
      <c r="E908" s="31"/>
      <c r="J908" s="31"/>
      <c r="K908" s="31"/>
    </row>
    <row r="909" ht="15.75" customHeight="1">
      <c r="B909" s="31"/>
      <c r="C909" s="31"/>
      <c r="E909" s="31"/>
      <c r="J909" s="31"/>
      <c r="K909" s="31"/>
    </row>
    <row r="910" ht="15.75" customHeight="1">
      <c r="B910" s="31"/>
      <c r="C910" s="31"/>
      <c r="E910" s="31"/>
      <c r="J910" s="31"/>
      <c r="K910" s="31"/>
    </row>
    <row r="911" ht="15.75" customHeight="1">
      <c r="B911" s="31"/>
      <c r="C911" s="31"/>
      <c r="E911" s="31"/>
      <c r="J911" s="31"/>
      <c r="K911" s="31"/>
    </row>
    <row r="912" ht="15.75" customHeight="1">
      <c r="B912" s="31"/>
      <c r="C912" s="31"/>
      <c r="E912" s="31"/>
      <c r="J912" s="31"/>
      <c r="K912" s="31"/>
    </row>
    <row r="913" ht="15.75" customHeight="1">
      <c r="B913" s="31"/>
      <c r="C913" s="31"/>
      <c r="E913" s="31"/>
      <c r="J913" s="31"/>
      <c r="K913" s="31"/>
    </row>
    <row r="914" ht="15.75" customHeight="1">
      <c r="B914" s="31"/>
      <c r="C914" s="31"/>
      <c r="E914" s="31"/>
      <c r="J914" s="31"/>
      <c r="K914" s="31"/>
    </row>
    <row r="915" ht="15.75" customHeight="1">
      <c r="B915" s="31"/>
      <c r="C915" s="31"/>
      <c r="E915" s="31"/>
      <c r="J915" s="31"/>
      <c r="K915" s="31"/>
    </row>
    <row r="916" ht="15.75" customHeight="1">
      <c r="B916" s="31"/>
      <c r="C916" s="31"/>
      <c r="E916" s="31"/>
      <c r="J916" s="31"/>
      <c r="K916" s="31"/>
    </row>
    <row r="917" ht="15.75" customHeight="1">
      <c r="B917" s="31"/>
      <c r="C917" s="31"/>
      <c r="E917" s="31"/>
      <c r="J917" s="31"/>
      <c r="K917" s="31"/>
    </row>
    <row r="918" ht="15.75" customHeight="1">
      <c r="B918" s="31"/>
      <c r="C918" s="31"/>
      <c r="E918" s="31"/>
      <c r="J918" s="31"/>
      <c r="K918" s="31"/>
    </row>
    <row r="919" ht="15.75" customHeight="1">
      <c r="B919" s="31"/>
      <c r="C919" s="31"/>
      <c r="E919" s="31"/>
      <c r="J919" s="31"/>
      <c r="K919" s="31"/>
    </row>
    <row r="920" ht="15.75" customHeight="1">
      <c r="B920" s="31"/>
      <c r="C920" s="31"/>
      <c r="E920" s="31"/>
      <c r="J920" s="31"/>
      <c r="K920" s="31"/>
    </row>
    <row r="921" ht="15.75" customHeight="1">
      <c r="B921" s="31"/>
      <c r="C921" s="31"/>
      <c r="E921" s="31"/>
      <c r="J921" s="31"/>
      <c r="K921" s="31"/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1 E3:E37 E40:E921">
      <formula1>"Safie,Abbas,Ammar,abdullah,Name"</formula1>
    </dataValidation>
    <dataValidation type="list" allowBlank="1" showErrorMessage="1" sqref="J1 J3:J921">
      <formula1>"Yes,No"</formula1>
    </dataValidation>
    <dataValidation type="list" allowBlank="1" showErrorMessage="1" sqref="B3:B921">
      <formula1>"501 Selvedge,501 Light Blue,501 Mid Blue,501 Navy Blue,501 Black,511 Light Blue,511 Navy Blue"</formula1>
    </dataValidation>
    <dataValidation type="list" allowBlank="1" showErrorMessage="1" sqref="E38:E39">
      <formula1>"Safie,Abbas,Ammar,abdullah,Hamza"</formula1>
    </dataValidation>
    <dataValidation type="list" allowBlank="1" showErrorMessage="1" sqref="C3:C921">
      <formula1>"32,34,36"</formula1>
    </dataValidation>
    <dataValidation type="list" allowBlank="1" showErrorMessage="1" sqref="K2:K921">
      <formula1>"Complete,In Process"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2025-11-15T22:23:11Z</dcterms:created>
  <dc:creator>abbas hussain</dc:creator>
</cp:coreProperties>
</file>